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ymedi-my.sharepoint.com/personal/hyunil_ju_raymedical_com/Documents/Ray IMS 연동/"/>
    </mc:Choice>
  </mc:AlternateContent>
  <xr:revisionPtr revIDLastSave="14" documentId="13_ncr:1_{09515D38-0C78-4B4A-89B0-F025A6C5EB82}" xr6:coauthVersionLast="47" xr6:coauthVersionMax="47" xr10:uidLastSave="{2CD55ACA-C00E-4DEE-BB1B-F61FCBA14BD5}"/>
  <bookViews>
    <workbookView xWindow="-108" yWindow="-108" windowWidth="23256" windowHeight="12456" firstSheet="1" activeTab="4" xr2:uid="{A8A4BCBE-430C-4A99-A0EF-6F99A908990D}"/>
  </bookViews>
  <sheets>
    <sheet name="입출고현황_백업" sheetId="15" state="hidden" r:id="rId1"/>
    <sheet name="현수량 현황표" sheetId="11" r:id="rId2"/>
    <sheet name="위치" sheetId="2" r:id="rId3"/>
    <sheet name="연동데이터" sheetId="13" state="hidden" r:id="rId4"/>
    <sheet name="입출고현황" sheetId="1" r:id="rId5"/>
    <sheet name="리스트" sheetId="9" r:id="rId6"/>
    <sheet name="입고 프로세스" sheetId="7" r:id="rId7"/>
    <sheet name="Sheet1" sheetId="12" r:id="rId8"/>
  </sheets>
  <definedNames>
    <definedName name="_xlnm._FilterDatabase" localSheetId="7" hidden="1">Sheet1!$E$2:$E$71</definedName>
    <definedName name="_xlnm._FilterDatabase" localSheetId="2" hidden="1">위치!$B$2:$G$2098</definedName>
    <definedName name="_xlnm._FilterDatabase" localSheetId="4" hidden="1">입출고현황!$B$6:$R$2198</definedName>
    <definedName name="_xlnm._FilterDatabase" localSheetId="0" hidden="1">입출고현황_백업!$B$6:$R$2198</definedName>
    <definedName name="ExternalData_1" localSheetId="3" hidden="1">연동데이터!$A$1:$S$2776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 a="1"/>
  <c r="R2198" i="15"/>
  <c r="L2198" i="15"/>
  <c r="I2198" i="15"/>
  <c r="R2197" i="15"/>
  <c r="L2197" i="15"/>
  <c r="I2197" i="15"/>
  <c r="R2196" i="15"/>
  <c r="L2196" i="15"/>
  <c r="I2196" i="15"/>
  <c r="R2195" i="15"/>
  <c r="L2195" i="15"/>
  <c r="I2195" i="15"/>
  <c r="R2194" i="15"/>
  <c r="L2194" i="15"/>
  <c r="I2194" i="15"/>
  <c r="R2193" i="15"/>
  <c r="L2193" i="15"/>
  <c r="I2193" i="15"/>
  <c r="R2192" i="15"/>
  <c r="L2192" i="15"/>
  <c r="I2192" i="15"/>
  <c r="R2191" i="15"/>
  <c r="L2191" i="15"/>
  <c r="I2191" i="15"/>
  <c r="R2190" i="15"/>
  <c r="L2190" i="15"/>
  <c r="I2190" i="15"/>
  <c r="R2189" i="15"/>
  <c r="L2189" i="15"/>
  <c r="I2189" i="15"/>
  <c r="R2188" i="15"/>
  <c r="L2188" i="15"/>
  <c r="I2188" i="15"/>
  <c r="R2187" i="15"/>
  <c r="L2187" i="15"/>
  <c r="I2187" i="15"/>
  <c r="R2186" i="15"/>
  <c r="L2186" i="15"/>
  <c r="I2186" i="15"/>
  <c r="R2185" i="15"/>
  <c r="L2185" i="15"/>
  <c r="I2185" i="15"/>
  <c r="R2184" i="15"/>
  <c r="L2184" i="15"/>
  <c r="I2184" i="15"/>
  <c r="R2183" i="15"/>
  <c r="L2183" i="15"/>
  <c r="I2183" i="15"/>
  <c r="R2182" i="15"/>
  <c r="L2182" i="15"/>
  <c r="I2182" i="15"/>
  <c r="R2181" i="15"/>
  <c r="L2181" i="15"/>
  <c r="I2181" i="15"/>
  <c r="R2180" i="15"/>
  <c r="L2180" i="15"/>
  <c r="I2180" i="15"/>
  <c r="R2179" i="15"/>
  <c r="L2179" i="15"/>
  <c r="I2179" i="15"/>
  <c r="R2178" i="15"/>
  <c r="L2178" i="15"/>
  <c r="I2178" i="15"/>
  <c r="R2177" i="15"/>
  <c r="L2177" i="15"/>
  <c r="I2177" i="15"/>
  <c r="R2176" i="15"/>
  <c r="L2176" i="15"/>
  <c r="I2176" i="15"/>
  <c r="R2175" i="15"/>
  <c r="L2175" i="15"/>
  <c r="I2175" i="15"/>
  <c r="R2174" i="15"/>
  <c r="L2174" i="15"/>
  <c r="I2174" i="15"/>
  <c r="R2173" i="15"/>
  <c r="L2173" i="15"/>
  <c r="I2173" i="15"/>
  <c r="R2172" i="15"/>
  <c r="L2172" i="15"/>
  <c r="I2172" i="15"/>
  <c r="R2171" i="15"/>
  <c r="L2171" i="15"/>
  <c r="I2171" i="15"/>
  <c r="R2170" i="15"/>
  <c r="L2170" i="15"/>
  <c r="I2170" i="15"/>
  <c r="R2169" i="15"/>
  <c r="L2169" i="15"/>
  <c r="I2169" i="15"/>
  <c r="R2168" i="15"/>
  <c r="L2168" i="15"/>
  <c r="I2168" i="15"/>
  <c r="R2167" i="15"/>
  <c r="L2167" i="15"/>
  <c r="I2167" i="15"/>
  <c r="R2166" i="15"/>
  <c r="L2166" i="15"/>
  <c r="I2166" i="15"/>
  <c r="R2165" i="15"/>
  <c r="L2165" i="15"/>
  <c r="I2165" i="15"/>
  <c r="R2164" i="15"/>
  <c r="L2164" i="15"/>
  <c r="I2164" i="15"/>
  <c r="R2163" i="15"/>
  <c r="L2163" i="15"/>
  <c r="I2163" i="15"/>
  <c r="R2162" i="15"/>
  <c r="L2162" i="15"/>
  <c r="I2162" i="15"/>
  <c r="R2161" i="15"/>
  <c r="L2161" i="15"/>
  <c r="I2161" i="15"/>
  <c r="R2160" i="15"/>
  <c r="L2160" i="15"/>
  <c r="I2160" i="15"/>
  <c r="R2159" i="15"/>
  <c r="L2159" i="15"/>
  <c r="I2159" i="15"/>
  <c r="R2158" i="15"/>
  <c r="L2158" i="15"/>
  <c r="I2158" i="15"/>
  <c r="R2157" i="15"/>
  <c r="L2157" i="15"/>
  <c r="I2157" i="15"/>
  <c r="R2156" i="15"/>
  <c r="L2156" i="15"/>
  <c r="I2156" i="15"/>
  <c r="R2155" i="15"/>
  <c r="L2155" i="15"/>
  <c r="I2155" i="15"/>
  <c r="R2154" i="15"/>
  <c r="L2154" i="15"/>
  <c r="I2154" i="15"/>
  <c r="R2153" i="15"/>
  <c r="L2153" i="15"/>
  <c r="I2153" i="15"/>
  <c r="R2152" i="15"/>
  <c r="L2152" i="15"/>
  <c r="I2152" i="15"/>
  <c r="R2151" i="15"/>
  <c r="L2151" i="15"/>
  <c r="I2151" i="15"/>
  <c r="R2150" i="15"/>
  <c r="L2150" i="15"/>
  <c r="I2150" i="15"/>
  <c r="R2149" i="15"/>
  <c r="L2149" i="15"/>
  <c r="I2149" i="15"/>
  <c r="R2148" i="15"/>
  <c r="L2148" i="15"/>
  <c r="I2148" i="15"/>
  <c r="R2147" i="15"/>
  <c r="L2147" i="15"/>
  <c r="I2147" i="15"/>
  <c r="R2146" i="15"/>
  <c r="L2146" i="15"/>
  <c r="I2146" i="15"/>
  <c r="R2145" i="15"/>
  <c r="L2145" i="15"/>
  <c r="I2145" i="15"/>
  <c r="R2144" i="15"/>
  <c r="L2144" i="15"/>
  <c r="I2144" i="15"/>
  <c r="R2143" i="15"/>
  <c r="L2143" i="15"/>
  <c r="I2143" i="15"/>
  <c r="R2142" i="15"/>
  <c r="L2142" i="15"/>
  <c r="I2142" i="15"/>
  <c r="R2141" i="15"/>
  <c r="L2141" i="15"/>
  <c r="I2141" i="15"/>
  <c r="R2140" i="15"/>
  <c r="L2140" i="15"/>
  <c r="I2140" i="15"/>
  <c r="R2139" i="15"/>
  <c r="L2139" i="15"/>
  <c r="I2139" i="15"/>
  <c r="R2138" i="15"/>
  <c r="L2138" i="15"/>
  <c r="I2138" i="15"/>
  <c r="R2137" i="15"/>
  <c r="L2137" i="15"/>
  <c r="I2137" i="15"/>
  <c r="R2136" i="15"/>
  <c r="L2136" i="15"/>
  <c r="I2136" i="15"/>
  <c r="R2135" i="15"/>
  <c r="L2135" i="15"/>
  <c r="I2135" i="15"/>
  <c r="R2134" i="15"/>
  <c r="L2134" i="15"/>
  <c r="I2134" i="15"/>
  <c r="R2133" i="15"/>
  <c r="L2133" i="15"/>
  <c r="I2133" i="15"/>
  <c r="R2132" i="15"/>
  <c r="L2132" i="15"/>
  <c r="I2132" i="15"/>
  <c r="R2131" i="15"/>
  <c r="L2131" i="15"/>
  <c r="I2131" i="15"/>
  <c r="R2130" i="15"/>
  <c r="L2130" i="15"/>
  <c r="I2130" i="15"/>
  <c r="R2129" i="15"/>
  <c r="L2129" i="15"/>
  <c r="I2129" i="15"/>
  <c r="R2128" i="15"/>
  <c r="L2128" i="15"/>
  <c r="I2128" i="15"/>
  <c r="R2127" i="15"/>
  <c r="L2127" i="15"/>
  <c r="I2127" i="15"/>
  <c r="R2126" i="15"/>
  <c r="L2126" i="15"/>
  <c r="I2126" i="15"/>
  <c r="R2125" i="15"/>
  <c r="L2125" i="15"/>
  <c r="I2125" i="15"/>
  <c r="R2124" i="15"/>
  <c r="L2124" i="15"/>
  <c r="I2124" i="15"/>
  <c r="R2123" i="15"/>
  <c r="L2123" i="15"/>
  <c r="I2123" i="15"/>
  <c r="R2122" i="15"/>
  <c r="L2122" i="15"/>
  <c r="I2122" i="15"/>
  <c r="R2121" i="15"/>
  <c r="L2121" i="15"/>
  <c r="I2121" i="15"/>
  <c r="R2120" i="15"/>
  <c r="L2120" i="15"/>
  <c r="I2120" i="15"/>
  <c r="R2119" i="15"/>
  <c r="L2119" i="15"/>
  <c r="I2119" i="15"/>
  <c r="R2118" i="15"/>
  <c r="L2118" i="15"/>
  <c r="I2118" i="15"/>
  <c r="R2117" i="15"/>
  <c r="L2117" i="15"/>
  <c r="I2117" i="15"/>
  <c r="R2116" i="15"/>
  <c r="L2116" i="15"/>
  <c r="I2116" i="15"/>
  <c r="R2115" i="15"/>
  <c r="L2115" i="15"/>
  <c r="I2115" i="15"/>
  <c r="R2114" i="15"/>
  <c r="L2114" i="15"/>
  <c r="I2114" i="15"/>
  <c r="R2113" i="15"/>
  <c r="L2113" i="15"/>
  <c r="I2113" i="15"/>
  <c r="R2112" i="15"/>
  <c r="L2112" i="15"/>
  <c r="I2112" i="15"/>
  <c r="R2111" i="15"/>
  <c r="L2111" i="15"/>
  <c r="I2111" i="15"/>
  <c r="R2110" i="15"/>
  <c r="L2110" i="15"/>
  <c r="I2110" i="15"/>
  <c r="R2109" i="15"/>
  <c r="L2109" i="15"/>
  <c r="I2109" i="15"/>
  <c r="R2108" i="15"/>
  <c r="L2108" i="15"/>
  <c r="I2108" i="15"/>
  <c r="R2107" i="15"/>
  <c r="L2107" i="15"/>
  <c r="I2107" i="15"/>
  <c r="R2106" i="15"/>
  <c r="L2106" i="15"/>
  <c r="I2106" i="15"/>
  <c r="R2105" i="15"/>
  <c r="L2105" i="15"/>
  <c r="I2105" i="15"/>
  <c r="R2104" i="15"/>
  <c r="L2104" i="15"/>
  <c r="I2104" i="15"/>
  <c r="R2103" i="15"/>
  <c r="L2103" i="15"/>
  <c r="I2103" i="15"/>
  <c r="R2102" i="15"/>
  <c r="L2102" i="15"/>
  <c r="I2102" i="15"/>
  <c r="R2101" i="15"/>
  <c r="L2101" i="15"/>
  <c r="I2101" i="15"/>
  <c r="R2100" i="15"/>
  <c r="L2100" i="15"/>
  <c r="I2100" i="15"/>
  <c r="R2099" i="15"/>
  <c r="L2099" i="15"/>
  <c r="I2099" i="15"/>
  <c r="R2098" i="15"/>
  <c r="L2098" i="15"/>
  <c r="I2098" i="15"/>
  <c r="R2097" i="15"/>
  <c r="L2097" i="15"/>
  <c r="I2097" i="15"/>
  <c r="R2096" i="15"/>
  <c r="L2096" i="15"/>
  <c r="I2096" i="15"/>
  <c r="R2095" i="15"/>
  <c r="L2095" i="15"/>
  <c r="I2095" i="15"/>
  <c r="R2094" i="15"/>
  <c r="L2094" i="15"/>
  <c r="I2094" i="15"/>
  <c r="R2093" i="15"/>
  <c r="L2093" i="15"/>
  <c r="I2093" i="15"/>
  <c r="R2092" i="15"/>
  <c r="L2092" i="15"/>
  <c r="I2092" i="15"/>
  <c r="R2091" i="15"/>
  <c r="L2091" i="15"/>
  <c r="I2091" i="15"/>
  <c r="R2090" i="15"/>
  <c r="L2090" i="15"/>
  <c r="I2090" i="15"/>
  <c r="R2089" i="15"/>
  <c r="L2089" i="15"/>
  <c r="I2089" i="15"/>
  <c r="R2088" i="15"/>
  <c r="L2088" i="15"/>
  <c r="I2088" i="15"/>
  <c r="R2087" i="15"/>
  <c r="L2087" i="15"/>
  <c r="I2087" i="15"/>
  <c r="R2086" i="15"/>
  <c r="L2086" i="15"/>
  <c r="I2086" i="15"/>
  <c r="R2085" i="15"/>
  <c r="L2085" i="15"/>
  <c r="I2085" i="15"/>
  <c r="R2084" i="15"/>
  <c r="L2084" i="15"/>
  <c r="I2084" i="15"/>
  <c r="R2083" i="15"/>
  <c r="L2083" i="15"/>
  <c r="I2083" i="15"/>
  <c r="R2082" i="15"/>
  <c r="L2082" i="15"/>
  <c r="I2082" i="15"/>
  <c r="R2081" i="15"/>
  <c r="L2081" i="15"/>
  <c r="I2081" i="15"/>
  <c r="R2080" i="15"/>
  <c r="L2080" i="15"/>
  <c r="I2080" i="15"/>
  <c r="R2079" i="15"/>
  <c r="L2079" i="15"/>
  <c r="I2079" i="15"/>
  <c r="R2078" i="15"/>
  <c r="L2078" i="15"/>
  <c r="I2078" i="15"/>
  <c r="R2077" i="15"/>
  <c r="L2077" i="15"/>
  <c r="I2077" i="15"/>
  <c r="R2076" i="15"/>
  <c r="L2076" i="15"/>
  <c r="I2076" i="15"/>
  <c r="R2075" i="15"/>
  <c r="L2075" i="15"/>
  <c r="I2075" i="15"/>
  <c r="R2074" i="15"/>
  <c r="L2074" i="15"/>
  <c r="I2074" i="15"/>
  <c r="R2073" i="15"/>
  <c r="L2073" i="15"/>
  <c r="I2073" i="15"/>
  <c r="R2072" i="15"/>
  <c r="L2072" i="15"/>
  <c r="I2072" i="15"/>
  <c r="R2071" i="15"/>
  <c r="L2071" i="15"/>
  <c r="I2071" i="15"/>
  <c r="R2070" i="15"/>
  <c r="L2070" i="15"/>
  <c r="I2070" i="15"/>
  <c r="R2069" i="15"/>
  <c r="L2069" i="15"/>
  <c r="I2069" i="15"/>
  <c r="R2068" i="15"/>
  <c r="L2068" i="15"/>
  <c r="I2068" i="15"/>
  <c r="R2067" i="15"/>
  <c r="L2067" i="15"/>
  <c r="I2067" i="15"/>
  <c r="R2066" i="15"/>
  <c r="L2066" i="15"/>
  <c r="I2066" i="15"/>
  <c r="R2065" i="15"/>
  <c r="L2065" i="15"/>
  <c r="I2065" i="15"/>
  <c r="R2064" i="15"/>
  <c r="L2064" i="15"/>
  <c r="I2064" i="15"/>
  <c r="R2063" i="15"/>
  <c r="L2063" i="15"/>
  <c r="I2063" i="15"/>
  <c r="R2062" i="15"/>
  <c r="L2062" i="15"/>
  <c r="I2062" i="15"/>
  <c r="R2061" i="15"/>
  <c r="L2061" i="15"/>
  <c r="I2061" i="15"/>
  <c r="R2060" i="15"/>
  <c r="L2060" i="15"/>
  <c r="I2060" i="15"/>
  <c r="R2059" i="15"/>
  <c r="L2059" i="15"/>
  <c r="I2059" i="15"/>
  <c r="R2058" i="15"/>
  <c r="L2058" i="15"/>
  <c r="I2058" i="15"/>
  <c r="R2057" i="15"/>
  <c r="L2057" i="15"/>
  <c r="I2057" i="15"/>
  <c r="R2056" i="15"/>
  <c r="L2056" i="15"/>
  <c r="I2056" i="15"/>
  <c r="R2055" i="15"/>
  <c r="L2055" i="15"/>
  <c r="I2055" i="15"/>
  <c r="R2054" i="15"/>
  <c r="L2054" i="15"/>
  <c r="I2054" i="15"/>
  <c r="R2053" i="15"/>
  <c r="L2053" i="15"/>
  <c r="I2053" i="15"/>
  <c r="R2052" i="15"/>
  <c r="L2052" i="15"/>
  <c r="I2052" i="15"/>
  <c r="R2051" i="15"/>
  <c r="L2051" i="15"/>
  <c r="I2051" i="15"/>
  <c r="R2050" i="15"/>
  <c r="L2050" i="15"/>
  <c r="I2050" i="15"/>
  <c r="R2049" i="15"/>
  <c r="L2049" i="15"/>
  <c r="I2049" i="15"/>
  <c r="R2048" i="15"/>
  <c r="L2048" i="15"/>
  <c r="I2048" i="15"/>
  <c r="R2047" i="15"/>
  <c r="L2047" i="15"/>
  <c r="I2047" i="15"/>
  <c r="R2046" i="15"/>
  <c r="L2046" i="15"/>
  <c r="I2046" i="15"/>
  <c r="R2045" i="15"/>
  <c r="L2045" i="15"/>
  <c r="I2045" i="15"/>
  <c r="R2044" i="15"/>
  <c r="L2044" i="15"/>
  <c r="I2044" i="15"/>
  <c r="R2043" i="15"/>
  <c r="L2043" i="15"/>
  <c r="I2043" i="15"/>
  <c r="R2042" i="15"/>
  <c r="L2042" i="15"/>
  <c r="I2042" i="15"/>
  <c r="R2041" i="15"/>
  <c r="L2041" i="15"/>
  <c r="I2041" i="15"/>
  <c r="R2040" i="15"/>
  <c r="L2040" i="15"/>
  <c r="I2040" i="15"/>
  <c r="R2039" i="15"/>
  <c r="L2039" i="15"/>
  <c r="I2039" i="15"/>
  <c r="R2038" i="15"/>
  <c r="L2038" i="15"/>
  <c r="I2038" i="15"/>
  <c r="R2037" i="15"/>
  <c r="L2037" i="15"/>
  <c r="I2037" i="15"/>
  <c r="R2036" i="15"/>
  <c r="L2036" i="15"/>
  <c r="I2036" i="15"/>
  <c r="R2035" i="15"/>
  <c r="L2035" i="15"/>
  <c r="I2035" i="15"/>
  <c r="R2034" i="15"/>
  <c r="L2034" i="15"/>
  <c r="I2034" i="15"/>
  <c r="R2033" i="15"/>
  <c r="L2033" i="15"/>
  <c r="I2033" i="15"/>
  <c r="R2032" i="15"/>
  <c r="L2032" i="15"/>
  <c r="I2032" i="15"/>
  <c r="R2031" i="15"/>
  <c r="L2031" i="15"/>
  <c r="I2031" i="15"/>
  <c r="R2030" i="15"/>
  <c r="L2030" i="15"/>
  <c r="I2030" i="15"/>
  <c r="R2029" i="15"/>
  <c r="L2029" i="15"/>
  <c r="I2029" i="15"/>
  <c r="R2028" i="15"/>
  <c r="L2028" i="15"/>
  <c r="I2028" i="15"/>
  <c r="R2027" i="15"/>
  <c r="L2027" i="15"/>
  <c r="I2027" i="15"/>
  <c r="R2026" i="15"/>
  <c r="L2026" i="15"/>
  <c r="I2026" i="15"/>
  <c r="R2025" i="15"/>
  <c r="L2025" i="15"/>
  <c r="I2025" i="15"/>
  <c r="R2024" i="15"/>
  <c r="L2024" i="15"/>
  <c r="I2024" i="15"/>
  <c r="R2023" i="15"/>
  <c r="L2023" i="15"/>
  <c r="I2023" i="15"/>
  <c r="R2022" i="15"/>
  <c r="L2022" i="15"/>
  <c r="I2022" i="15"/>
  <c r="R2021" i="15"/>
  <c r="L2021" i="15"/>
  <c r="I2021" i="15"/>
  <c r="R2020" i="15"/>
  <c r="L2020" i="15"/>
  <c r="I2020" i="15"/>
  <c r="R2019" i="15"/>
  <c r="L2019" i="15"/>
  <c r="I2019" i="15"/>
  <c r="R2018" i="15"/>
  <c r="L2018" i="15"/>
  <c r="I2018" i="15"/>
  <c r="R2017" i="15"/>
  <c r="L2017" i="15"/>
  <c r="I2017" i="15"/>
  <c r="R2016" i="15"/>
  <c r="L2016" i="15"/>
  <c r="I2016" i="15"/>
  <c r="R2015" i="15"/>
  <c r="L2015" i="15"/>
  <c r="I2015" i="15"/>
  <c r="R2014" i="15"/>
  <c r="L2014" i="15"/>
  <c r="I2014" i="15"/>
  <c r="R2013" i="15"/>
  <c r="L2013" i="15"/>
  <c r="I2013" i="15"/>
  <c r="R2012" i="15"/>
  <c r="L2012" i="15"/>
  <c r="I2012" i="15"/>
  <c r="R2011" i="15"/>
  <c r="L2011" i="15"/>
  <c r="I2011" i="15"/>
  <c r="R2010" i="15"/>
  <c r="L2010" i="15"/>
  <c r="I2010" i="15"/>
  <c r="R2009" i="15"/>
  <c r="L2009" i="15"/>
  <c r="I2009" i="15"/>
  <c r="R2008" i="15"/>
  <c r="L2008" i="15"/>
  <c r="I2008" i="15"/>
  <c r="R2007" i="15"/>
  <c r="L2007" i="15"/>
  <c r="I2007" i="15"/>
  <c r="R2006" i="15"/>
  <c r="L2006" i="15"/>
  <c r="I2006" i="15"/>
  <c r="R2005" i="15"/>
  <c r="L2005" i="15"/>
  <c r="I2005" i="15"/>
  <c r="R2004" i="15"/>
  <c r="L2004" i="15"/>
  <c r="I2004" i="15"/>
  <c r="R2003" i="15"/>
  <c r="L2003" i="15"/>
  <c r="I2003" i="15"/>
  <c r="R2002" i="15"/>
  <c r="L2002" i="15"/>
  <c r="I2002" i="15"/>
  <c r="R2001" i="15"/>
  <c r="L2001" i="15"/>
  <c r="I2001" i="15"/>
  <c r="R2000" i="15"/>
  <c r="L2000" i="15"/>
  <c r="I2000" i="15"/>
  <c r="R1999" i="15"/>
  <c r="L1999" i="15"/>
  <c r="I1999" i="15"/>
  <c r="R1998" i="15"/>
  <c r="L1998" i="15"/>
  <c r="I1998" i="15"/>
  <c r="R1997" i="15"/>
  <c r="L1997" i="15"/>
  <c r="I1997" i="15"/>
  <c r="R1996" i="15"/>
  <c r="L1996" i="15"/>
  <c r="I1996" i="15"/>
  <c r="R1995" i="15"/>
  <c r="L1995" i="15"/>
  <c r="I1995" i="15"/>
  <c r="R1994" i="15"/>
  <c r="L1994" i="15"/>
  <c r="I1994" i="15"/>
  <c r="R1993" i="15"/>
  <c r="L1993" i="15"/>
  <c r="I1993" i="15"/>
  <c r="R1992" i="15"/>
  <c r="L1992" i="15"/>
  <c r="I1992" i="15"/>
  <c r="R1991" i="15"/>
  <c r="L1991" i="15"/>
  <c r="I1991" i="15"/>
  <c r="R1990" i="15"/>
  <c r="L1990" i="15"/>
  <c r="I1990" i="15"/>
  <c r="R1989" i="15"/>
  <c r="L1989" i="15"/>
  <c r="I1989" i="15"/>
  <c r="R1988" i="15"/>
  <c r="L1988" i="15"/>
  <c r="I1988" i="15"/>
  <c r="R1987" i="15"/>
  <c r="L1987" i="15"/>
  <c r="I1987" i="15"/>
  <c r="R1986" i="15"/>
  <c r="L1986" i="15"/>
  <c r="I1986" i="15"/>
  <c r="R1985" i="15"/>
  <c r="L1985" i="15"/>
  <c r="I1985" i="15"/>
  <c r="R1984" i="15"/>
  <c r="L1984" i="15"/>
  <c r="I1984" i="15"/>
  <c r="R1983" i="15"/>
  <c r="L1983" i="15"/>
  <c r="I1983" i="15"/>
  <c r="R1982" i="15"/>
  <c r="L1982" i="15"/>
  <c r="I1982" i="15"/>
  <c r="R1981" i="15"/>
  <c r="L1981" i="15"/>
  <c r="I1981" i="15"/>
  <c r="R1980" i="15"/>
  <c r="L1980" i="15"/>
  <c r="I1980" i="15"/>
  <c r="R1979" i="15"/>
  <c r="L1979" i="15"/>
  <c r="I1979" i="15"/>
  <c r="R1978" i="15"/>
  <c r="L1978" i="15"/>
  <c r="I1978" i="15"/>
  <c r="R1977" i="15"/>
  <c r="L1977" i="15"/>
  <c r="I1977" i="15"/>
  <c r="R1976" i="15"/>
  <c r="L1976" i="15"/>
  <c r="I1976" i="15"/>
  <c r="R1975" i="15"/>
  <c r="L1975" i="15"/>
  <c r="I1975" i="15"/>
  <c r="R1974" i="15"/>
  <c r="L1974" i="15"/>
  <c r="I1974" i="15"/>
  <c r="R1973" i="15"/>
  <c r="L1973" i="15"/>
  <c r="I1973" i="15"/>
  <c r="R1972" i="15"/>
  <c r="L1972" i="15"/>
  <c r="I1972" i="15"/>
  <c r="R1971" i="15"/>
  <c r="L1971" i="15"/>
  <c r="I1971" i="15"/>
  <c r="R1970" i="15"/>
  <c r="L1970" i="15"/>
  <c r="I1970" i="15"/>
  <c r="R1969" i="15"/>
  <c r="L1969" i="15"/>
  <c r="I1969" i="15"/>
  <c r="R1968" i="15"/>
  <c r="L1968" i="15"/>
  <c r="I1968" i="15"/>
  <c r="R1967" i="15"/>
  <c r="L1967" i="15"/>
  <c r="I1967" i="15"/>
  <c r="R1966" i="15"/>
  <c r="L1966" i="15"/>
  <c r="I1966" i="15"/>
  <c r="R1965" i="15"/>
  <c r="L1965" i="15"/>
  <c r="I1965" i="15"/>
  <c r="R1964" i="15"/>
  <c r="L1964" i="15"/>
  <c r="I1964" i="15"/>
  <c r="R1963" i="15"/>
  <c r="L1963" i="15"/>
  <c r="I1963" i="15"/>
  <c r="R1962" i="15"/>
  <c r="L1962" i="15"/>
  <c r="I1962" i="15"/>
  <c r="R1961" i="15"/>
  <c r="L1961" i="15"/>
  <c r="I1961" i="15"/>
  <c r="R1960" i="15"/>
  <c r="L1960" i="15"/>
  <c r="I1960" i="15"/>
  <c r="R1959" i="15"/>
  <c r="L1959" i="15"/>
  <c r="I1959" i="15"/>
  <c r="R1958" i="15"/>
  <c r="L1958" i="15"/>
  <c r="I1958" i="15"/>
  <c r="R1957" i="15"/>
  <c r="L1957" i="15"/>
  <c r="I1957" i="15"/>
  <c r="R1956" i="15"/>
  <c r="L1956" i="15"/>
  <c r="I1956" i="15"/>
  <c r="R1955" i="15"/>
  <c r="L1955" i="15"/>
  <c r="I1955" i="15"/>
  <c r="R1954" i="15"/>
  <c r="L1954" i="15"/>
  <c r="I1954" i="15"/>
  <c r="R1953" i="15"/>
  <c r="L1953" i="15"/>
  <c r="I1953" i="15"/>
  <c r="R1952" i="15"/>
  <c r="L1952" i="15"/>
  <c r="I1952" i="15"/>
  <c r="R1951" i="15"/>
  <c r="L1951" i="15"/>
  <c r="I1951" i="15"/>
  <c r="R1950" i="15"/>
  <c r="L1950" i="15"/>
  <c r="I1950" i="15"/>
  <c r="R1949" i="15"/>
  <c r="L1949" i="15"/>
  <c r="I1949" i="15"/>
  <c r="R1948" i="15"/>
  <c r="L1948" i="15"/>
  <c r="I1948" i="15"/>
  <c r="R1947" i="15"/>
  <c r="L1947" i="15"/>
  <c r="I1947" i="15"/>
  <c r="R1946" i="15"/>
  <c r="L1946" i="15"/>
  <c r="I1946" i="15"/>
  <c r="R1945" i="15"/>
  <c r="L1945" i="15"/>
  <c r="I1945" i="15"/>
  <c r="R1944" i="15"/>
  <c r="L1944" i="15"/>
  <c r="I1944" i="15"/>
  <c r="R1943" i="15"/>
  <c r="L1943" i="15"/>
  <c r="I1943" i="15"/>
  <c r="R1942" i="15"/>
  <c r="L1942" i="15"/>
  <c r="I1942" i="15"/>
  <c r="R1941" i="15"/>
  <c r="L1941" i="15"/>
  <c r="I1941" i="15"/>
  <c r="R1940" i="15"/>
  <c r="L1940" i="15"/>
  <c r="I1940" i="15"/>
  <c r="R1939" i="15"/>
  <c r="L1939" i="15"/>
  <c r="I1939" i="15"/>
  <c r="R1938" i="15"/>
  <c r="L1938" i="15"/>
  <c r="I1938" i="15"/>
  <c r="R1937" i="15"/>
  <c r="L1937" i="15"/>
  <c r="I1937" i="15"/>
  <c r="R1936" i="15"/>
  <c r="L1936" i="15"/>
  <c r="I1936" i="15"/>
  <c r="R1935" i="15"/>
  <c r="L1935" i="15"/>
  <c r="I1935" i="15"/>
  <c r="R1934" i="15"/>
  <c r="L1934" i="15"/>
  <c r="I1934" i="15"/>
  <c r="R1933" i="15"/>
  <c r="L1933" i="15"/>
  <c r="I1933" i="15"/>
  <c r="R1932" i="15"/>
  <c r="L1932" i="15"/>
  <c r="I1932" i="15"/>
  <c r="R1931" i="15"/>
  <c r="L1931" i="15"/>
  <c r="I1931" i="15"/>
  <c r="R1930" i="15"/>
  <c r="L1930" i="15"/>
  <c r="I1930" i="15"/>
  <c r="R1929" i="15"/>
  <c r="L1929" i="15"/>
  <c r="I1929" i="15"/>
  <c r="R1928" i="15"/>
  <c r="L1928" i="15"/>
  <c r="I1928" i="15"/>
  <c r="R1927" i="15"/>
  <c r="L1927" i="15"/>
  <c r="I1927" i="15"/>
  <c r="R1926" i="15"/>
  <c r="L1926" i="15"/>
  <c r="I1926" i="15"/>
  <c r="R1925" i="15"/>
  <c r="L1925" i="15"/>
  <c r="I1925" i="15"/>
  <c r="R1924" i="15"/>
  <c r="L1924" i="15"/>
  <c r="I1924" i="15"/>
  <c r="R1923" i="15"/>
  <c r="L1923" i="15"/>
  <c r="I1923" i="15"/>
  <c r="R1922" i="15"/>
  <c r="L1922" i="15"/>
  <c r="I1922" i="15"/>
  <c r="R1921" i="15"/>
  <c r="L1921" i="15"/>
  <c r="I1921" i="15"/>
  <c r="R1920" i="15"/>
  <c r="L1920" i="15"/>
  <c r="I1920" i="15"/>
  <c r="R1919" i="15"/>
  <c r="L1919" i="15"/>
  <c r="I1919" i="15"/>
  <c r="R1918" i="15"/>
  <c r="L1918" i="15"/>
  <c r="I1918" i="15"/>
  <c r="R1917" i="15"/>
  <c r="L1917" i="15"/>
  <c r="I1917" i="15"/>
  <c r="R1916" i="15"/>
  <c r="L1916" i="15"/>
  <c r="I1916" i="15"/>
  <c r="R1915" i="15"/>
  <c r="L1915" i="15"/>
  <c r="I1915" i="15"/>
  <c r="R1914" i="15"/>
  <c r="L1914" i="15"/>
  <c r="I1914" i="15"/>
  <c r="R1913" i="15"/>
  <c r="L1913" i="15"/>
  <c r="I1913" i="15"/>
  <c r="R1912" i="15"/>
  <c r="L1912" i="15"/>
  <c r="I1912" i="15"/>
  <c r="R1911" i="15"/>
  <c r="L1911" i="15"/>
  <c r="I1911" i="15"/>
  <c r="R1910" i="15"/>
  <c r="L1910" i="15"/>
  <c r="I1910" i="15"/>
  <c r="R1909" i="15"/>
  <c r="L1909" i="15"/>
  <c r="I1909" i="15"/>
  <c r="R1908" i="15"/>
  <c r="L1908" i="15"/>
  <c r="I1908" i="15"/>
  <c r="R1907" i="15"/>
  <c r="L1907" i="15"/>
  <c r="I1907" i="15"/>
  <c r="R1906" i="15"/>
  <c r="L1906" i="15"/>
  <c r="I1906" i="15"/>
  <c r="R1905" i="15"/>
  <c r="L1905" i="15"/>
  <c r="I1905" i="15"/>
  <c r="R1904" i="15"/>
  <c r="L1904" i="15"/>
  <c r="I1904" i="15"/>
  <c r="R1903" i="15"/>
  <c r="L1903" i="15"/>
  <c r="I1903" i="15"/>
  <c r="R1902" i="15"/>
  <c r="L1902" i="15"/>
  <c r="I1902" i="15"/>
  <c r="R1901" i="15"/>
  <c r="L1901" i="15"/>
  <c r="I1901" i="15"/>
  <c r="R1900" i="15"/>
  <c r="L1900" i="15"/>
  <c r="I1900" i="15"/>
  <c r="R1899" i="15"/>
  <c r="L1899" i="15"/>
  <c r="I1899" i="15"/>
  <c r="R1898" i="15"/>
  <c r="L1898" i="15"/>
  <c r="I1898" i="15"/>
  <c r="R1897" i="15"/>
  <c r="L1897" i="15"/>
  <c r="I1897" i="15"/>
  <c r="R1896" i="15"/>
  <c r="L1896" i="15"/>
  <c r="I1896" i="15"/>
  <c r="R1895" i="15"/>
  <c r="L1895" i="15"/>
  <c r="I1895" i="15"/>
  <c r="R1894" i="15"/>
  <c r="L1894" i="15"/>
  <c r="I1894" i="15"/>
  <c r="R1893" i="15"/>
  <c r="L1893" i="15"/>
  <c r="I1893" i="15"/>
  <c r="R1892" i="15"/>
  <c r="L1892" i="15"/>
  <c r="I1892" i="15"/>
  <c r="R1891" i="15"/>
  <c r="L1891" i="15"/>
  <c r="I1891" i="15"/>
  <c r="R1890" i="15"/>
  <c r="L1890" i="15"/>
  <c r="I1890" i="15"/>
  <c r="R1889" i="15"/>
  <c r="L1889" i="15"/>
  <c r="I1889" i="15"/>
  <c r="R1888" i="15"/>
  <c r="L1888" i="15"/>
  <c r="I1888" i="15"/>
  <c r="R1887" i="15"/>
  <c r="L1887" i="15"/>
  <c r="I1887" i="15"/>
  <c r="R1886" i="15"/>
  <c r="L1886" i="15"/>
  <c r="I1886" i="15"/>
  <c r="R1885" i="15"/>
  <c r="L1885" i="15"/>
  <c r="I1885" i="15"/>
  <c r="R1884" i="15"/>
  <c r="L1884" i="15"/>
  <c r="I1884" i="15"/>
  <c r="R1883" i="15"/>
  <c r="L1883" i="15"/>
  <c r="I1883" i="15"/>
  <c r="R1882" i="15"/>
  <c r="L1882" i="15"/>
  <c r="I1882" i="15"/>
  <c r="R1881" i="15"/>
  <c r="L1881" i="15"/>
  <c r="I1881" i="15"/>
  <c r="R1880" i="15"/>
  <c r="L1880" i="15"/>
  <c r="I1880" i="15"/>
  <c r="R1879" i="15"/>
  <c r="L1879" i="15"/>
  <c r="I1879" i="15"/>
  <c r="R1878" i="15"/>
  <c r="L1878" i="15"/>
  <c r="I1878" i="15"/>
  <c r="R1877" i="15"/>
  <c r="L1877" i="15"/>
  <c r="I1877" i="15"/>
  <c r="R1876" i="15"/>
  <c r="L1876" i="15"/>
  <c r="I1876" i="15"/>
  <c r="R1875" i="15"/>
  <c r="L1875" i="15"/>
  <c r="I1875" i="15"/>
  <c r="R1874" i="15"/>
  <c r="L1874" i="15"/>
  <c r="I1874" i="15"/>
  <c r="R1873" i="15"/>
  <c r="L1873" i="15"/>
  <c r="I1873" i="15"/>
  <c r="R1872" i="15"/>
  <c r="L1872" i="15"/>
  <c r="I1872" i="15"/>
  <c r="R1871" i="15"/>
  <c r="L1871" i="15"/>
  <c r="I1871" i="15"/>
  <c r="R1870" i="15"/>
  <c r="L1870" i="15"/>
  <c r="I1870" i="15"/>
  <c r="R1869" i="15"/>
  <c r="L1869" i="15"/>
  <c r="I1869" i="15"/>
  <c r="R1868" i="15"/>
  <c r="L1868" i="15"/>
  <c r="I1868" i="15"/>
  <c r="R1867" i="15"/>
  <c r="L1867" i="15"/>
  <c r="I1867" i="15"/>
  <c r="R1866" i="15"/>
  <c r="L1866" i="15"/>
  <c r="I1866" i="15"/>
  <c r="R1865" i="15"/>
  <c r="L1865" i="15"/>
  <c r="I1865" i="15"/>
  <c r="R1864" i="15"/>
  <c r="L1864" i="15"/>
  <c r="I1864" i="15"/>
  <c r="R1863" i="15"/>
  <c r="L1863" i="15"/>
  <c r="I1863" i="15"/>
  <c r="R1862" i="15"/>
  <c r="L1862" i="15"/>
  <c r="I1862" i="15"/>
  <c r="R1861" i="15"/>
  <c r="L1861" i="15"/>
  <c r="I1861" i="15"/>
  <c r="R1860" i="15"/>
  <c r="L1860" i="15"/>
  <c r="I1860" i="15"/>
  <c r="R1859" i="15"/>
  <c r="L1859" i="15"/>
  <c r="I1859" i="15"/>
  <c r="R1858" i="15"/>
  <c r="L1858" i="15"/>
  <c r="I1858" i="15"/>
  <c r="R1857" i="15"/>
  <c r="L1857" i="15"/>
  <c r="I1857" i="15"/>
  <c r="R1856" i="15"/>
  <c r="L1856" i="15"/>
  <c r="I1856" i="15"/>
  <c r="R1855" i="15"/>
  <c r="L1855" i="15"/>
  <c r="I1855" i="15"/>
  <c r="R1854" i="15"/>
  <c r="L1854" i="15"/>
  <c r="I1854" i="15"/>
  <c r="R1853" i="15"/>
  <c r="L1853" i="15"/>
  <c r="I1853" i="15"/>
  <c r="R1852" i="15"/>
  <c r="L1852" i="15"/>
  <c r="I1852" i="15"/>
  <c r="R1851" i="15"/>
  <c r="L1851" i="15"/>
  <c r="I1851" i="15"/>
  <c r="R1850" i="15"/>
  <c r="L1850" i="15"/>
  <c r="I1850" i="15"/>
  <c r="R1849" i="15"/>
  <c r="L1849" i="15"/>
  <c r="I1849" i="15"/>
  <c r="R1848" i="15"/>
  <c r="L1848" i="15"/>
  <c r="I1848" i="15"/>
  <c r="R1847" i="15"/>
  <c r="L1847" i="15"/>
  <c r="I1847" i="15"/>
  <c r="R1846" i="15"/>
  <c r="L1846" i="15"/>
  <c r="I1846" i="15"/>
  <c r="R1845" i="15"/>
  <c r="L1845" i="15"/>
  <c r="I1845" i="15"/>
  <c r="R1844" i="15"/>
  <c r="L1844" i="15"/>
  <c r="I1844" i="15"/>
  <c r="R1843" i="15"/>
  <c r="L1843" i="15"/>
  <c r="I1843" i="15"/>
  <c r="R1842" i="15"/>
  <c r="L1842" i="15"/>
  <c r="I1842" i="15"/>
  <c r="R1841" i="15"/>
  <c r="L1841" i="15"/>
  <c r="I1841" i="15"/>
  <c r="R1840" i="15"/>
  <c r="L1840" i="15"/>
  <c r="I1840" i="15"/>
  <c r="R1839" i="15"/>
  <c r="L1839" i="15"/>
  <c r="I1839" i="15"/>
  <c r="R1838" i="15"/>
  <c r="L1838" i="15"/>
  <c r="I1838" i="15"/>
  <c r="R1837" i="15"/>
  <c r="L1837" i="15"/>
  <c r="I1837" i="15"/>
  <c r="R1836" i="15"/>
  <c r="L1836" i="15"/>
  <c r="I1836" i="15"/>
  <c r="R1835" i="15"/>
  <c r="L1835" i="15"/>
  <c r="I1835" i="15"/>
  <c r="R1834" i="15"/>
  <c r="L1834" i="15"/>
  <c r="I1834" i="15"/>
  <c r="R1833" i="15"/>
  <c r="L1833" i="15"/>
  <c r="I1833" i="15"/>
  <c r="R1832" i="15"/>
  <c r="L1832" i="15"/>
  <c r="I1832" i="15"/>
  <c r="R1831" i="15"/>
  <c r="L1831" i="15"/>
  <c r="I1831" i="15"/>
  <c r="R1830" i="15"/>
  <c r="L1830" i="15"/>
  <c r="I1830" i="15"/>
  <c r="R1829" i="15"/>
  <c r="L1829" i="15"/>
  <c r="I1829" i="15"/>
  <c r="R1828" i="15"/>
  <c r="L1828" i="15"/>
  <c r="I1828" i="15"/>
  <c r="R1827" i="15"/>
  <c r="L1827" i="15"/>
  <c r="I1827" i="15"/>
  <c r="R1826" i="15"/>
  <c r="L1826" i="15"/>
  <c r="I1826" i="15"/>
  <c r="R1825" i="15"/>
  <c r="L1825" i="15"/>
  <c r="I1825" i="15"/>
  <c r="R1824" i="15"/>
  <c r="L1824" i="15"/>
  <c r="I1824" i="15"/>
  <c r="R1823" i="15"/>
  <c r="L1823" i="15"/>
  <c r="I1823" i="15"/>
  <c r="R1822" i="15"/>
  <c r="L1822" i="15"/>
  <c r="I1822" i="15"/>
  <c r="R1821" i="15"/>
  <c r="L1821" i="15"/>
  <c r="I1821" i="15"/>
  <c r="R1820" i="15"/>
  <c r="L1820" i="15"/>
  <c r="I1820" i="15"/>
  <c r="R1819" i="15"/>
  <c r="L1819" i="15"/>
  <c r="I1819" i="15"/>
  <c r="R1818" i="15"/>
  <c r="L1818" i="15"/>
  <c r="I1818" i="15"/>
  <c r="R1817" i="15"/>
  <c r="L1817" i="15"/>
  <c r="I1817" i="15"/>
  <c r="R1816" i="15"/>
  <c r="L1816" i="15"/>
  <c r="I1816" i="15"/>
  <c r="R1815" i="15"/>
  <c r="L1815" i="15"/>
  <c r="I1815" i="15"/>
  <c r="R1814" i="15"/>
  <c r="L1814" i="15"/>
  <c r="I1814" i="15"/>
  <c r="R1813" i="15"/>
  <c r="L1813" i="15"/>
  <c r="I1813" i="15"/>
  <c r="R1812" i="15"/>
  <c r="L1812" i="15"/>
  <c r="I1812" i="15"/>
  <c r="R1811" i="15"/>
  <c r="L1811" i="15"/>
  <c r="I1811" i="15"/>
  <c r="R1810" i="15"/>
  <c r="L1810" i="15"/>
  <c r="I1810" i="15"/>
  <c r="R1809" i="15"/>
  <c r="L1809" i="15"/>
  <c r="I1809" i="15"/>
  <c r="R1808" i="15"/>
  <c r="L1808" i="15"/>
  <c r="I1808" i="15"/>
  <c r="R1807" i="15"/>
  <c r="L1807" i="15"/>
  <c r="I1807" i="15"/>
  <c r="R1806" i="15"/>
  <c r="L1806" i="15"/>
  <c r="I1806" i="15"/>
  <c r="R1805" i="15"/>
  <c r="L1805" i="15"/>
  <c r="I1805" i="15"/>
  <c r="R1804" i="15"/>
  <c r="L1804" i="15"/>
  <c r="I1804" i="15"/>
  <c r="R1803" i="15"/>
  <c r="L1803" i="15"/>
  <c r="I1803" i="15"/>
  <c r="R1802" i="15"/>
  <c r="L1802" i="15"/>
  <c r="I1802" i="15"/>
  <c r="R1801" i="15"/>
  <c r="L1801" i="15"/>
  <c r="I1801" i="15"/>
  <c r="R1800" i="15"/>
  <c r="L1800" i="15"/>
  <c r="I1800" i="15"/>
  <c r="R1799" i="15"/>
  <c r="L1799" i="15"/>
  <c r="I1799" i="15"/>
  <c r="R1798" i="15"/>
  <c r="L1798" i="15"/>
  <c r="I1798" i="15"/>
  <c r="R1797" i="15"/>
  <c r="L1797" i="15"/>
  <c r="I1797" i="15"/>
  <c r="R1796" i="15"/>
  <c r="L1796" i="15"/>
  <c r="I1796" i="15"/>
  <c r="R1795" i="15"/>
  <c r="L1795" i="15"/>
  <c r="I1795" i="15"/>
  <c r="R1794" i="15"/>
  <c r="L1794" i="15"/>
  <c r="I1794" i="15"/>
  <c r="R1793" i="15"/>
  <c r="L1793" i="15"/>
  <c r="I1793" i="15"/>
  <c r="R1792" i="15"/>
  <c r="L1792" i="15"/>
  <c r="I1792" i="15"/>
  <c r="R1791" i="15"/>
  <c r="L1791" i="15"/>
  <c r="I1791" i="15"/>
  <c r="R1790" i="15"/>
  <c r="L1790" i="15"/>
  <c r="I1790" i="15"/>
  <c r="R1789" i="15"/>
  <c r="L1789" i="15"/>
  <c r="I1789" i="15"/>
  <c r="R1788" i="15"/>
  <c r="L1788" i="15"/>
  <c r="I1788" i="15"/>
  <c r="R1787" i="15"/>
  <c r="L1787" i="15"/>
  <c r="I1787" i="15"/>
  <c r="R1786" i="15"/>
  <c r="L1786" i="15"/>
  <c r="I1786" i="15"/>
  <c r="R1785" i="15"/>
  <c r="L1785" i="15"/>
  <c r="I1785" i="15"/>
  <c r="R1784" i="15"/>
  <c r="L1784" i="15"/>
  <c r="I1784" i="15"/>
  <c r="R1783" i="15"/>
  <c r="L1783" i="15"/>
  <c r="I1783" i="15"/>
  <c r="R1782" i="15"/>
  <c r="L1782" i="15"/>
  <c r="I1782" i="15"/>
  <c r="R1781" i="15"/>
  <c r="L1781" i="15"/>
  <c r="I1781" i="15"/>
  <c r="R1780" i="15"/>
  <c r="L1780" i="15"/>
  <c r="I1780" i="15"/>
  <c r="R1779" i="15"/>
  <c r="L1779" i="15"/>
  <c r="I1779" i="15"/>
  <c r="R1778" i="15"/>
  <c r="L1778" i="15"/>
  <c r="I1778" i="15"/>
  <c r="R1777" i="15"/>
  <c r="L1777" i="15"/>
  <c r="I1777" i="15"/>
  <c r="R1776" i="15"/>
  <c r="L1776" i="15"/>
  <c r="I1776" i="15"/>
  <c r="R1775" i="15"/>
  <c r="L1775" i="15"/>
  <c r="I1775" i="15"/>
  <c r="R1774" i="15"/>
  <c r="L1774" i="15"/>
  <c r="I1774" i="15"/>
  <c r="R1773" i="15"/>
  <c r="L1773" i="15"/>
  <c r="I1773" i="15"/>
  <c r="R1772" i="15"/>
  <c r="L1772" i="15"/>
  <c r="I1772" i="15"/>
  <c r="R1771" i="15"/>
  <c r="L1771" i="15"/>
  <c r="I1771" i="15"/>
  <c r="R1770" i="15"/>
  <c r="L1770" i="15"/>
  <c r="I1770" i="15"/>
  <c r="R1769" i="15"/>
  <c r="L1769" i="15"/>
  <c r="I1769" i="15"/>
  <c r="R1768" i="15"/>
  <c r="L1768" i="15"/>
  <c r="I1768" i="15"/>
  <c r="R1767" i="15"/>
  <c r="L1767" i="15"/>
  <c r="I1767" i="15"/>
  <c r="R1766" i="15"/>
  <c r="L1766" i="15"/>
  <c r="I1766" i="15"/>
  <c r="R1765" i="15"/>
  <c r="L1765" i="15"/>
  <c r="I1765" i="15"/>
  <c r="R1764" i="15"/>
  <c r="L1764" i="15"/>
  <c r="I1764" i="15"/>
  <c r="R1763" i="15"/>
  <c r="L1763" i="15"/>
  <c r="I1763" i="15"/>
  <c r="R1762" i="15"/>
  <c r="L1762" i="15"/>
  <c r="I1762" i="15"/>
  <c r="R1761" i="15"/>
  <c r="L1761" i="15"/>
  <c r="I1761" i="15"/>
  <c r="R1760" i="15"/>
  <c r="L1760" i="15"/>
  <c r="I1760" i="15"/>
  <c r="R1759" i="15"/>
  <c r="L1759" i="15"/>
  <c r="I1759" i="15"/>
  <c r="R1758" i="15"/>
  <c r="L1758" i="15"/>
  <c r="I1758" i="15"/>
  <c r="R1757" i="15"/>
  <c r="L1757" i="15"/>
  <c r="I1757" i="15"/>
  <c r="R1756" i="15"/>
  <c r="L1756" i="15"/>
  <c r="I1756" i="15"/>
  <c r="R1755" i="15"/>
  <c r="L1755" i="15"/>
  <c r="I1755" i="15"/>
  <c r="R1754" i="15"/>
  <c r="L1754" i="15"/>
  <c r="I1754" i="15"/>
  <c r="R1753" i="15"/>
  <c r="L1753" i="15"/>
  <c r="I1753" i="15"/>
  <c r="R1752" i="15"/>
  <c r="L1752" i="15"/>
  <c r="I1752" i="15"/>
  <c r="R1751" i="15"/>
  <c r="L1751" i="15"/>
  <c r="I1751" i="15"/>
  <c r="R1750" i="15"/>
  <c r="L1750" i="15"/>
  <c r="I1750" i="15"/>
  <c r="R1749" i="15"/>
  <c r="L1749" i="15"/>
  <c r="I1749" i="15"/>
  <c r="R1748" i="15"/>
  <c r="L1748" i="15"/>
  <c r="I1748" i="15"/>
  <c r="R1747" i="15"/>
  <c r="L1747" i="15"/>
  <c r="I1747" i="15"/>
  <c r="R1746" i="15"/>
  <c r="L1746" i="15"/>
  <c r="I1746" i="15"/>
  <c r="R1745" i="15"/>
  <c r="L1745" i="15"/>
  <c r="I1745" i="15"/>
  <c r="R1744" i="15"/>
  <c r="L1744" i="15"/>
  <c r="I1744" i="15"/>
  <c r="R1743" i="15"/>
  <c r="L1743" i="15"/>
  <c r="I1743" i="15"/>
  <c r="R1742" i="15"/>
  <c r="L1742" i="15"/>
  <c r="I1742" i="15"/>
  <c r="R1741" i="15"/>
  <c r="L1741" i="15"/>
  <c r="I1741" i="15"/>
  <c r="R1740" i="15"/>
  <c r="L1740" i="15"/>
  <c r="I1740" i="15"/>
  <c r="R1739" i="15"/>
  <c r="L1739" i="15"/>
  <c r="I1739" i="15"/>
  <c r="R1738" i="15"/>
  <c r="L1738" i="15"/>
  <c r="I1738" i="15"/>
  <c r="R1737" i="15"/>
  <c r="L1737" i="15"/>
  <c r="I1737" i="15"/>
  <c r="R1736" i="15"/>
  <c r="L1736" i="15"/>
  <c r="I1736" i="15"/>
  <c r="R1735" i="15"/>
  <c r="L1735" i="15"/>
  <c r="I1735" i="15"/>
  <c r="R1734" i="15"/>
  <c r="L1734" i="15"/>
  <c r="I1734" i="15"/>
  <c r="R1733" i="15"/>
  <c r="L1733" i="15"/>
  <c r="I1733" i="15"/>
  <c r="R1732" i="15"/>
  <c r="L1732" i="15"/>
  <c r="I1732" i="15"/>
  <c r="R1731" i="15"/>
  <c r="L1731" i="15"/>
  <c r="I1731" i="15"/>
  <c r="R1730" i="15"/>
  <c r="L1730" i="15"/>
  <c r="I1730" i="15"/>
  <c r="R1729" i="15"/>
  <c r="L1729" i="15"/>
  <c r="I1729" i="15"/>
  <c r="R1728" i="15"/>
  <c r="L1728" i="15"/>
  <c r="I1728" i="15"/>
  <c r="R1727" i="15"/>
  <c r="L1727" i="15"/>
  <c r="I1727" i="15"/>
  <c r="R1726" i="15"/>
  <c r="L1726" i="15"/>
  <c r="I1726" i="15"/>
  <c r="R1725" i="15"/>
  <c r="L1725" i="15"/>
  <c r="I1725" i="15"/>
  <c r="R1724" i="15"/>
  <c r="L1724" i="15"/>
  <c r="I1724" i="15"/>
  <c r="R1723" i="15"/>
  <c r="L1723" i="15"/>
  <c r="I1723" i="15"/>
  <c r="R1722" i="15"/>
  <c r="L1722" i="15"/>
  <c r="I1722" i="15"/>
  <c r="R1721" i="15"/>
  <c r="L1721" i="15"/>
  <c r="I1721" i="15"/>
  <c r="R1720" i="15"/>
  <c r="L1720" i="15"/>
  <c r="I1720" i="15"/>
  <c r="R1719" i="15"/>
  <c r="L1719" i="15"/>
  <c r="I1719" i="15"/>
  <c r="R1718" i="15"/>
  <c r="L1718" i="15"/>
  <c r="I1718" i="15"/>
  <c r="R1717" i="15"/>
  <c r="L1717" i="15"/>
  <c r="I1717" i="15"/>
  <c r="R1716" i="15"/>
  <c r="L1716" i="15"/>
  <c r="I1716" i="15"/>
  <c r="R1715" i="15"/>
  <c r="L1715" i="15"/>
  <c r="I1715" i="15"/>
  <c r="R1714" i="15"/>
  <c r="L1714" i="15"/>
  <c r="I1714" i="15"/>
  <c r="R1713" i="15"/>
  <c r="L1713" i="15"/>
  <c r="I1713" i="15"/>
  <c r="R1712" i="15"/>
  <c r="L1712" i="15"/>
  <c r="I1712" i="15"/>
  <c r="R1711" i="15"/>
  <c r="L1711" i="15"/>
  <c r="I1711" i="15"/>
  <c r="R1710" i="15"/>
  <c r="L1710" i="15"/>
  <c r="I1710" i="15"/>
  <c r="R1709" i="15"/>
  <c r="L1709" i="15"/>
  <c r="I1709" i="15"/>
  <c r="R1708" i="15"/>
  <c r="L1708" i="15"/>
  <c r="I1708" i="15"/>
  <c r="R1707" i="15"/>
  <c r="L1707" i="15"/>
  <c r="I1707" i="15"/>
  <c r="R1706" i="15"/>
  <c r="L1706" i="15"/>
  <c r="I1706" i="15"/>
  <c r="R1705" i="15"/>
  <c r="L1705" i="15"/>
  <c r="I1705" i="15"/>
  <c r="R1704" i="15"/>
  <c r="L1704" i="15"/>
  <c r="I1704" i="15"/>
  <c r="R1703" i="15"/>
  <c r="L1703" i="15"/>
  <c r="I1703" i="15"/>
  <c r="R1702" i="15"/>
  <c r="L1702" i="15"/>
  <c r="I1702" i="15"/>
  <c r="R1701" i="15"/>
  <c r="L1701" i="15"/>
  <c r="I1701" i="15"/>
  <c r="R1700" i="15"/>
  <c r="L1700" i="15"/>
  <c r="I1700" i="15"/>
  <c r="R1699" i="15"/>
  <c r="L1699" i="15"/>
  <c r="I1699" i="15"/>
  <c r="R1698" i="15"/>
  <c r="L1698" i="15"/>
  <c r="I1698" i="15"/>
  <c r="R1697" i="15"/>
  <c r="L1697" i="15"/>
  <c r="I1697" i="15"/>
  <c r="R1696" i="15"/>
  <c r="L1696" i="15"/>
  <c r="I1696" i="15"/>
  <c r="R1695" i="15"/>
  <c r="L1695" i="15"/>
  <c r="I1695" i="15"/>
  <c r="R1694" i="15"/>
  <c r="L1694" i="15"/>
  <c r="I1694" i="15"/>
  <c r="R1693" i="15"/>
  <c r="L1693" i="15"/>
  <c r="I1693" i="15"/>
  <c r="R1692" i="15"/>
  <c r="L1692" i="15"/>
  <c r="I1692" i="15"/>
  <c r="R1691" i="15"/>
  <c r="L1691" i="15"/>
  <c r="I1691" i="15"/>
  <c r="R1690" i="15"/>
  <c r="L1690" i="15"/>
  <c r="I1690" i="15"/>
  <c r="R1689" i="15"/>
  <c r="L1689" i="15"/>
  <c r="I1689" i="15"/>
  <c r="R1688" i="15"/>
  <c r="L1688" i="15"/>
  <c r="I1688" i="15"/>
  <c r="R1687" i="15"/>
  <c r="L1687" i="15"/>
  <c r="I1687" i="15"/>
  <c r="R1686" i="15"/>
  <c r="L1686" i="15"/>
  <c r="I1686" i="15"/>
  <c r="R1685" i="15"/>
  <c r="L1685" i="15"/>
  <c r="I1685" i="15"/>
  <c r="R1684" i="15"/>
  <c r="L1684" i="15"/>
  <c r="I1684" i="15"/>
  <c r="R1683" i="15"/>
  <c r="L1683" i="15"/>
  <c r="I1683" i="15"/>
  <c r="R1682" i="15"/>
  <c r="L1682" i="15"/>
  <c r="I1682" i="15"/>
  <c r="R1681" i="15"/>
  <c r="L1681" i="15"/>
  <c r="I1681" i="15"/>
  <c r="R1680" i="15"/>
  <c r="L1680" i="15"/>
  <c r="I1680" i="15"/>
  <c r="R1679" i="15"/>
  <c r="L1679" i="15"/>
  <c r="I1679" i="15"/>
  <c r="R1678" i="15"/>
  <c r="L1678" i="15"/>
  <c r="I1678" i="15"/>
  <c r="R1677" i="15"/>
  <c r="L1677" i="15"/>
  <c r="I1677" i="15"/>
  <c r="R1676" i="15"/>
  <c r="L1676" i="15"/>
  <c r="I1676" i="15"/>
  <c r="R1675" i="15"/>
  <c r="L1675" i="15"/>
  <c r="I1675" i="15"/>
  <c r="R1674" i="15"/>
  <c r="L1674" i="15"/>
  <c r="I1674" i="15"/>
  <c r="R1673" i="15"/>
  <c r="L1673" i="15"/>
  <c r="I1673" i="15"/>
  <c r="R1672" i="15"/>
  <c r="L1672" i="15"/>
  <c r="I1672" i="15"/>
  <c r="R1671" i="15"/>
  <c r="L1671" i="15"/>
  <c r="I1671" i="15"/>
  <c r="R1670" i="15"/>
  <c r="L1670" i="15"/>
  <c r="I1670" i="15"/>
  <c r="R1669" i="15"/>
  <c r="L1669" i="15"/>
  <c r="I1669" i="15"/>
  <c r="R1668" i="15"/>
  <c r="L1668" i="15"/>
  <c r="I1668" i="15"/>
  <c r="R1667" i="15"/>
  <c r="L1667" i="15"/>
  <c r="I1667" i="15"/>
  <c r="R1666" i="15"/>
  <c r="L1666" i="15"/>
  <c r="I1666" i="15"/>
  <c r="R1665" i="15"/>
  <c r="L1665" i="15"/>
  <c r="I1665" i="15"/>
  <c r="R1664" i="15"/>
  <c r="L1664" i="15"/>
  <c r="I1664" i="15"/>
  <c r="R1663" i="15"/>
  <c r="L1663" i="15"/>
  <c r="I1663" i="15"/>
  <c r="R1662" i="15"/>
  <c r="L1662" i="15"/>
  <c r="I1662" i="15"/>
  <c r="R1661" i="15"/>
  <c r="L1661" i="15"/>
  <c r="I1661" i="15"/>
  <c r="R1660" i="15"/>
  <c r="L1660" i="15"/>
  <c r="I1660" i="15"/>
  <c r="R1659" i="15"/>
  <c r="L1659" i="15"/>
  <c r="I1659" i="15"/>
  <c r="R1658" i="15"/>
  <c r="L1658" i="15"/>
  <c r="I1658" i="15"/>
  <c r="R1657" i="15"/>
  <c r="L1657" i="15"/>
  <c r="I1657" i="15"/>
  <c r="R1656" i="15"/>
  <c r="L1656" i="15"/>
  <c r="I1656" i="15"/>
  <c r="R1655" i="15"/>
  <c r="L1655" i="15"/>
  <c r="I1655" i="15"/>
  <c r="R1654" i="15"/>
  <c r="L1654" i="15"/>
  <c r="I1654" i="15"/>
  <c r="R1653" i="15"/>
  <c r="L1653" i="15"/>
  <c r="I1653" i="15"/>
  <c r="R1652" i="15"/>
  <c r="L1652" i="15"/>
  <c r="I1652" i="15"/>
  <c r="R1651" i="15"/>
  <c r="L1651" i="15"/>
  <c r="I1651" i="15"/>
  <c r="R1650" i="15"/>
  <c r="L1650" i="15"/>
  <c r="I1650" i="15"/>
  <c r="R1649" i="15"/>
  <c r="L1649" i="15"/>
  <c r="I1649" i="15"/>
  <c r="R1648" i="15"/>
  <c r="L1648" i="15"/>
  <c r="I1648" i="15"/>
  <c r="R1647" i="15"/>
  <c r="L1647" i="15"/>
  <c r="I1647" i="15"/>
  <c r="R1646" i="15"/>
  <c r="L1646" i="15"/>
  <c r="I1646" i="15"/>
  <c r="R1645" i="15"/>
  <c r="L1645" i="15"/>
  <c r="I1645" i="15"/>
  <c r="R1644" i="15"/>
  <c r="L1644" i="15"/>
  <c r="I1644" i="15"/>
  <c r="R1643" i="15"/>
  <c r="L1643" i="15"/>
  <c r="I1643" i="15"/>
  <c r="R1642" i="15"/>
  <c r="L1642" i="15"/>
  <c r="I1642" i="15"/>
  <c r="R1641" i="15"/>
  <c r="L1641" i="15"/>
  <c r="I1641" i="15"/>
  <c r="R1640" i="15"/>
  <c r="L1640" i="15"/>
  <c r="I1640" i="15"/>
  <c r="R1639" i="15"/>
  <c r="L1639" i="15"/>
  <c r="I1639" i="15"/>
  <c r="R1638" i="15"/>
  <c r="L1638" i="15"/>
  <c r="I1638" i="15"/>
  <c r="R1637" i="15"/>
  <c r="L1637" i="15"/>
  <c r="I1637" i="15"/>
  <c r="R1636" i="15"/>
  <c r="L1636" i="15"/>
  <c r="I1636" i="15"/>
  <c r="R1635" i="15"/>
  <c r="L1635" i="15"/>
  <c r="I1635" i="15"/>
  <c r="R1634" i="15"/>
  <c r="L1634" i="15"/>
  <c r="I1634" i="15"/>
  <c r="R1633" i="15"/>
  <c r="L1633" i="15"/>
  <c r="I1633" i="15"/>
  <c r="R1632" i="15"/>
  <c r="L1632" i="15"/>
  <c r="I1632" i="15"/>
  <c r="R1631" i="15"/>
  <c r="L1631" i="15"/>
  <c r="I1631" i="15"/>
  <c r="R1630" i="15"/>
  <c r="L1630" i="15"/>
  <c r="I1630" i="15"/>
  <c r="R1629" i="15"/>
  <c r="L1629" i="15"/>
  <c r="I1629" i="15"/>
  <c r="R1628" i="15"/>
  <c r="L1628" i="15"/>
  <c r="I1628" i="15"/>
  <c r="R1627" i="15"/>
  <c r="L1627" i="15"/>
  <c r="I1627" i="15"/>
  <c r="R1626" i="15"/>
  <c r="L1626" i="15"/>
  <c r="I1626" i="15"/>
  <c r="R1625" i="15"/>
  <c r="L1625" i="15"/>
  <c r="I1625" i="15"/>
  <c r="R1624" i="15"/>
  <c r="L1624" i="15"/>
  <c r="I1624" i="15"/>
  <c r="R1623" i="15"/>
  <c r="L1623" i="15"/>
  <c r="I1623" i="15"/>
  <c r="R1622" i="15"/>
  <c r="L1622" i="15"/>
  <c r="I1622" i="15"/>
  <c r="R1621" i="15"/>
  <c r="L1621" i="15"/>
  <c r="I1621" i="15"/>
  <c r="R1620" i="15"/>
  <c r="L1620" i="15"/>
  <c r="I1620" i="15"/>
  <c r="R1619" i="15"/>
  <c r="L1619" i="15"/>
  <c r="I1619" i="15"/>
  <c r="R1618" i="15"/>
  <c r="L1618" i="15"/>
  <c r="I1618" i="15"/>
  <c r="R1617" i="15"/>
  <c r="L1617" i="15"/>
  <c r="I1617" i="15"/>
  <c r="R1616" i="15"/>
  <c r="L1616" i="15"/>
  <c r="I1616" i="15"/>
  <c r="R1615" i="15"/>
  <c r="L1615" i="15"/>
  <c r="I1615" i="15"/>
  <c r="R1614" i="15"/>
  <c r="L1614" i="15"/>
  <c r="I1614" i="15"/>
  <c r="R1613" i="15"/>
  <c r="L1613" i="15"/>
  <c r="I1613" i="15"/>
  <c r="R1612" i="15"/>
  <c r="L1612" i="15"/>
  <c r="I1612" i="15"/>
  <c r="R1611" i="15"/>
  <c r="L1611" i="15"/>
  <c r="I1611" i="15"/>
  <c r="R1610" i="15"/>
  <c r="L1610" i="15"/>
  <c r="I1610" i="15"/>
  <c r="R1609" i="15"/>
  <c r="L1609" i="15"/>
  <c r="I1609" i="15"/>
  <c r="R1608" i="15"/>
  <c r="L1608" i="15"/>
  <c r="I1608" i="15"/>
  <c r="R1607" i="15"/>
  <c r="L1607" i="15"/>
  <c r="I1607" i="15"/>
  <c r="R1606" i="15"/>
  <c r="L1606" i="15"/>
  <c r="I1606" i="15"/>
  <c r="R1605" i="15"/>
  <c r="L1605" i="15"/>
  <c r="I1605" i="15"/>
  <c r="R1604" i="15"/>
  <c r="L1604" i="15"/>
  <c r="I1604" i="15"/>
  <c r="R1603" i="15"/>
  <c r="L1603" i="15"/>
  <c r="I1603" i="15"/>
  <c r="R1602" i="15"/>
  <c r="L1602" i="15"/>
  <c r="I1602" i="15"/>
  <c r="R1601" i="15"/>
  <c r="L1601" i="15"/>
  <c r="I1601" i="15"/>
  <c r="R1600" i="15"/>
  <c r="L1600" i="15"/>
  <c r="I1600" i="15"/>
  <c r="R1599" i="15"/>
  <c r="L1599" i="15"/>
  <c r="I1599" i="15"/>
  <c r="R1598" i="15"/>
  <c r="L1598" i="15"/>
  <c r="I1598" i="15"/>
  <c r="R1597" i="15"/>
  <c r="L1597" i="15"/>
  <c r="I1597" i="15"/>
  <c r="R1596" i="15"/>
  <c r="L1596" i="15"/>
  <c r="I1596" i="15"/>
  <c r="R1595" i="15"/>
  <c r="L1595" i="15"/>
  <c r="I1595" i="15"/>
  <c r="R1594" i="15"/>
  <c r="L1594" i="15"/>
  <c r="I1594" i="15"/>
  <c r="R1593" i="15"/>
  <c r="L1593" i="15"/>
  <c r="I1593" i="15"/>
  <c r="R1592" i="15"/>
  <c r="L1592" i="15"/>
  <c r="I1592" i="15"/>
  <c r="R1591" i="15"/>
  <c r="L1591" i="15"/>
  <c r="I1591" i="15"/>
  <c r="R1590" i="15"/>
  <c r="L1590" i="15"/>
  <c r="I1590" i="15"/>
  <c r="R1589" i="15"/>
  <c r="L1589" i="15"/>
  <c r="I1589" i="15"/>
  <c r="R1588" i="15"/>
  <c r="L1588" i="15"/>
  <c r="I1588" i="15"/>
  <c r="R1587" i="15"/>
  <c r="L1587" i="15"/>
  <c r="I1587" i="15"/>
  <c r="R1586" i="15"/>
  <c r="L1586" i="15"/>
  <c r="I1586" i="15"/>
  <c r="R1585" i="15"/>
  <c r="L1585" i="15"/>
  <c r="I1585" i="15"/>
  <c r="R1584" i="15"/>
  <c r="L1584" i="15"/>
  <c r="I1584" i="15"/>
  <c r="R1583" i="15"/>
  <c r="L1583" i="15"/>
  <c r="I1583" i="15"/>
  <c r="R1582" i="15"/>
  <c r="L1582" i="15"/>
  <c r="I1582" i="15"/>
  <c r="R1581" i="15"/>
  <c r="L1581" i="15"/>
  <c r="I1581" i="15"/>
  <c r="R1580" i="15"/>
  <c r="L1580" i="15"/>
  <c r="I1580" i="15"/>
  <c r="R1579" i="15"/>
  <c r="L1579" i="15"/>
  <c r="I1579" i="15"/>
  <c r="R1578" i="15"/>
  <c r="L1578" i="15"/>
  <c r="I1578" i="15"/>
  <c r="R1577" i="15"/>
  <c r="L1577" i="15"/>
  <c r="I1577" i="15"/>
  <c r="R1576" i="15"/>
  <c r="L1576" i="15"/>
  <c r="I1576" i="15"/>
  <c r="R1575" i="15"/>
  <c r="L1575" i="15"/>
  <c r="I1575" i="15"/>
  <c r="R1574" i="15"/>
  <c r="L1574" i="15"/>
  <c r="I1574" i="15"/>
  <c r="R1573" i="15"/>
  <c r="L1573" i="15"/>
  <c r="I1573" i="15"/>
  <c r="R1572" i="15"/>
  <c r="L1572" i="15"/>
  <c r="I1572" i="15"/>
  <c r="R1571" i="15"/>
  <c r="L1571" i="15"/>
  <c r="I1571" i="15"/>
  <c r="R1570" i="15"/>
  <c r="L1570" i="15"/>
  <c r="I1570" i="15"/>
  <c r="R1569" i="15"/>
  <c r="L1569" i="15"/>
  <c r="I1569" i="15"/>
  <c r="R1568" i="15"/>
  <c r="L1568" i="15"/>
  <c r="I1568" i="15"/>
  <c r="R1567" i="15"/>
  <c r="L1567" i="15"/>
  <c r="I1567" i="15"/>
  <c r="R1566" i="15"/>
  <c r="L1566" i="15"/>
  <c r="I1566" i="15"/>
  <c r="R1565" i="15"/>
  <c r="L1565" i="15"/>
  <c r="I1565" i="15"/>
  <c r="R1564" i="15"/>
  <c r="L1564" i="15"/>
  <c r="I1564" i="15"/>
  <c r="R1563" i="15"/>
  <c r="L1563" i="15"/>
  <c r="I1563" i="15"/>
  <c r="R1562" i="15"/>
  <c r="L1562" i="15"/>
  <c r="I1562" i="15"/>
  <c r="R1561" i="15"/>
  <c r="L1561" i="15"/>
  <c r="I1561" i="15"/>
  <c r="R1560" i="15"/>
  <c r="L1560" i="15"/>
  <c r="I1560" i="15"/>
  <c r="R1559" i="15"/>
  <c r="L1559" i="15"/>
  <c r="I1559" i="15"/>
  <c r="R1558" i="15"/>
  <c r="L1558" i="15"/>
  <c r="I1558" i="15"/>
  <c r="R1557" i="15"/>
  <c r="L1557" i="15"/>
  <c r="I1557" i="15"/>
  <c r="R1556" i="15"/>
  <c r="L1556" i="15"/>
  <c r="I1556" i="15"/>
  <c r="R1555" i="15"/>
  <c r="L1555" i="15"/>
  <c r="I1555" i="15"/>
  <c r="R1554" i="15"/>
  <c r="L1554" i="15"/>
  <c r="I1554" i="15"/>
  <c r="R1553" i="15"/>
  <c r="L1553" i="15"/>
  <c r="I1553" i="15"/>
  <c r="R1552" i="15"/>
  <c r="L1552" i="15"/>
  <c r="I1552" i="15"/>
  <c r="R1551" i="15"/>
  <c r="L1551" i="15"/>
  <c r="I1551" i="15"/>
  <c r="R1550" i="15"/>
  <c r="L1550" i="15"/>
  <c r="I1550" i="15"/>
  <c r="R1549" i="15"/>
  <c r="L1549" i="15"/>
  <c r="I1549" i="15"/>
  <c r="R1548" i="15"/>
  <c r="L1548" i="15"/>
  <c r="I1548" i="15"/>
  <c r="R1547" i="15"/>
  <c r="L1547" i="15"/>
  <c r="I1547" i="15"/>
  <c r="R1546" i="15"/>
  <c r="L1546" i="15"/>
  <c r="I1546" i="15"/>
  <c r="R1545" i="15"/>
  <c r="L1545" i="15"/>
  <c r="I1545" i="15"/>
  <c r="R1544" i="15"/>
  <c r="L1544" i="15"/>
  <c r="I1544" i="15"/>
  <c r="R1543" i="15"/>
  <c r="L1543" i="15"/>
  <c r="I1543" i="15"/>
  <c r="R1542" i="15"/>
  <c r="L1542" i="15"/>
  <c r="I1542" i="15"/>
  <c r="R1541" i="15"/>
  <c r="L1541" i="15"/>
  <c r="I1541" i="15"/>
  <c r="R1540" i="15"/>
  <c r="L1540" i="15"/>
  <c r="I1540" i="15"/>
  <c r="R1539" i="15"/>
  <c r="L1539" i="15"/>
  <c r="I1539" i="15"/>
  <c r="R1538" i="15"/>
  <c r="L1538" i="15"/>
  <c r="I1538" i="15"/>
  <c r="R1537" i="15"/>
  <c r="L1537" i="15"/>
  <c r="I1537" i="15"/>
  <c r="R1536" i="15"/>
  <c r="L1536" i="15"/>
  <c r="I1536" i="15"/>
  <c r="R1535" i="15"/>
  <c r="L1535" i="15"/>
  <c r="I1535" i="15"/>
  <c r="R1534" i="15"/>
  <c r="L1534" i="15"/>
  <c r="I1534" i="15"/>
  <c r="R1533" i="15"/>
  <c r="L1533" i="15"/>
  <c r="I1533" i="15"/>
  <c r="R1532" i="15"/>
  <c r="L1532" i="15"/>
  <c r="I1532" i="15"/>
  <c r="R1531" i="15"/>
  <c r="L1531" i="15"/>
  <c r="I1531" i="15"/>
  <c r="R1530" i="15"/>
  <c r="L1530" i="15"/>
  <c r="I1530" i="15"/>
  <c r="R1529" i="15"/>
  <c r="L1529" i="15"/>
  <c r="I1529" i="15"/>
  <c r="R1528" i="15"/>
  <c r="L1528" i="15"/>
  <c r="I1528" i="15"/>
  <c r="R1527" i="15"/>
  <c r="L1527" i="15"/>
  <c r="I1527" i="15"/>
  <c r="R1526" i="15"/>
  <c r="L1526" i="15"/>
  <c r="I1526" i="15"/>
  <c r="R1525" i="15"/>
  <c r="L1525" i="15"/>
  <c r="I1525" i="15"/>
  <c r="R1524" i="15"/>
  <c r="L1524" i="15"/>
  <c r="I1524" i="15"/>
  <c r="R1523" i="15"/>
  <c r="L1523" i="15"/>
  <c r="I1523" i="15"/>
  <c r="R1522" i="15"/>
  <c r="L1522" i="15"/>
  <c r="I1522" i="15"/>
  <c r="R1521" i="15"/>
  <c r="L1521" i="15"/>
  <c r="I1521" i="15"/>
  <c r="R1520" i="15"/>
  <c r="L1520" i="15"/>
  <c r="I1520" i="15"/>
  <c r="R1519" i="15"/>
  <c r="L1519" i="15"/>
  <c r="I1519" i="15"/>
  <c r="R1518" i="15"/>
  <c r="L1518" i="15"/>
  <c r="I1518" i="15"/>
  <c r="R1517" i="15"/>
  <c r="L1517" i="15"/>
  <c r="I1517" i="15"/>
  <c r="R1516" i="15"/>
  <c r="L1516" i="15"/>
  <c r="I1516" i="15"/>
  <c r="R1515" i="15"/>
  <c r="L1515" i="15"/>
  <c r="I1515" i="15"/>
  <c r="R1514" i="15"/>
  <c r="L1514" i="15"/>
  <c r="I1514" i="15"/>
  <c r="R1513" i="15"/>
  <c r="L1513" i="15"/>
  <c r="I1513" i="15"/>
  <c r="R1512" i="15"/>
  <c r="L1512" i="15"/>
  <c r="I1512" i="15"/>
  <c r="R1511" i="15"/>
  <c r="L1511" i="15"/>
  <c r="I1511" i="15"/>
  <c r="R1510" i="15"/>
  <c r="L1510" i="15"/>
  <c r="I1510" i="15"/>
  <c r="R1509" i="15"/>
  <c r="L1509" i="15"/>
  <c r="I1509" i="15"/>
  <c r="R1508" i="15"/>
  <c r="L1508" i="15"/>
  <c r="I1508" i="15"/>
  <c r="R1507" i="15"/>
  <c r="L1507" i="15"/>
  <c r="I1507" i="15"/>
  <c r="R1506" i="15"/>
  <c r="L1506" i="15"/>
  <c r="I1506" i="15"/>
  <c r="R1505" i="15"/>
  <c r="L1505" i="15"/>
  <c r="I1505" i="15"/>
  <c r="R1504" i="15"/>
  <c r="L1504" i="15"/>
  <c r="I1504" i="15"/>
  <c r="R1503" i="15"/>
  <c r="L1503" i="15"/>
  <c r="I1503" i="15"/>
  <c r="R1502" i="15"/>
  <c r="L1502" i="15"/>
  <c r="I1502" i="15"/>
  <c r="R1501" i="15"/>
  <c r="L1501" i="15"/>
  <c r="I1501" i="15"/>
  <c r="R1500" i="15"/>
  <c r="L1500" i="15"/>
  <c r="I1500" i="15"/>
  <c r="R1499" i="15"/>
  <c r="L1499" i="15"/>
  <c r="I1499" i="15"/>
  <c r="R1498" i="15"/>
  <c r="L1498" i="15"/>
  <c r="I1498" i="15"/>
  <c r="R1497" i="15"/>
  <c r="L1497" i="15"/>
  <c r="I1497" i="15"/>
  <c r="R1496" i="15"/>
  <c r="L1496" i="15"/>
  <c r="I1496" i="15"/>
  <c r="R1495" i="15"/>
  <c r="L1495" i="15"/>
  <c r="I1495" i="15"/>
  <c r="R1494" i="15"/>
  <c r="L1494" i="15"/>
  <c r="I1494" i="15"/>
  <c r="R1493" i="15"/>
  <c r="L1493" i="15"/>
  <c r="I1493" i="15"/>
  <c r="R1492" i="15"/>
  <c r="L1492" i="15"/>
  <c r="I1492" i="15"/>
  <c r="R1491" i="15"/>
  <c r="L1491" i="15"/>
  <c r="I1491" i="15"/>
  <c r="R1490" i="15"/>
  <c r="L1490" i="15"/>
  <c r="I1490" i="15"/>
  <c r="R1489" i="15"/>
  <c r="L1489" i="15"/>
  <c r="I1489" i="15"/>
  <c r="R1488" i="15"/>
  <c r="L1488" i="15"/>
  <c r="I1488" i="15"/>
  <c r="R1487" i="15"/>
  <c r="L1487" i="15"/>
  <c r="I1487" i="15"/>
  <c r="R1486" i="15"/>
  <c r="L1486" i="15"/>
  <c r="I1486" i="15"/>
  <c r="R1485" i="15"/>
  <c r="L1485" i="15"/>
  <c r="I1485" i="15"/>
  <c r="R1484" i="15"/>
  <c r="L1484" i="15"/>
  <c r="I1484" i="15"/>
  <c r="R1483" i="15"/>
  <c r="L1483" i="15"/>
  <c r="I1483" i="15"/>
  <c r="R1482" i="15"/>
  <c r="L1482" i="15"/>
  <c r="I1482" i="15"/>
  <c r="R1481" i="15"/>
  <c r="L1481" i="15"/>
  <c r="I1481" i="15"/>
  <c r="R1480" i="15"/>
  <c r="L1480" i="15"/>
  <c r="I1480" i="15"/>
  <c r="R1479" i="15"/>
  <c r="L1479" i="15"/>
  <c r="I1479" i="15"/>
  <c r="R1478" i="15"/>
  <c r="L1478" i="15"/>
  <c r="I1478" i="15"/>
  <c r="R1477" i="15"/>
  <c r="L1477" i="15"/>
  <c r="I1477" i="15"/>
  <c r="R1476" i="15"/>
  <c r="L1476" i="15"/>
  <c r="I1476" i="15"/>
  <c r="R1475" i="15"/>
  <c r="L1475" i="15"/>
  <c r="I1475" i="15"/>
  <c r="R1474" i="15"/>
  <c r="L1474" i="15"/>
  <c r="I1474" i="15"/>
  <c r="R1473" i="15"/>
  <c r="L1473" i="15"/>
  <c r="I1473" i="15"/>
  <c r="R1472" i="15"/>
  <c r="L1472" i="15"/>
  <c r="I1472" i="15"/>
  <c r="R1471" i="15"/>
  <c r="L1471" i="15"/>
  <c r="I1471" i="15"/>
  <c r="R1470" i="15"/>
  <c r="L1470" i="15"/>
  <c r="I1470" i="15"/>
  <c r="R1469" i="15"/>
  <c r="L1469" i="15"/>
  <c r="I1469" i="15"/>
  <c r="R1468" i="15"/>
  <c r="L1468" i="15"/>
  <c r="I1468" i="15"/>
  <c r="R1467" i="15"/>
  <c r="L1467" i="15"/>
  <c r="I1467" i="15"/>
  <c r="R1466" i="15"/>
  <c r="L1466" i="15"/>
  <c r="I1466" i="15"/>
  <c r="R1465" i="15"/>
  <c r="L1465" i="15"/>
  <c r="I1465" i="15"/>
  <c r="R1464" i="15"/>
  <c r="L1464" i="15"/>
  <c r="I1464" i="15"/>
  <c r="R1463" i="15"/>
  <c r="L1463" i="15"/>
  <c r="I1463" i="15"/>
  <c r="R1462" i="15"/>
  <c r="L1462" i="15"/>
  <c r="I1462" i="15"/>
  <c r="R1461" i="15"/>
  <c r="L1461" i="15"/>
  <c r="I1461" i="15"/>
  <c r="R1460" i="15"/>
  <c r="L1460" i="15"/>
  <c r="I1460" i="15"/>
  <c r="R1459" i="15"/>
  <c r="L1459" i="15"/>
  <c r="I1459" i="15"/>
  <c r="R1458" i="15"/>
  <c r="L1458" i="15"/>
  <c r="I1458" i="15"/>
  <c r="R1457" i="15"/>
  <c r="L1457" i="15"/>
  <c r="I1457" i="15"/>
  <c r="R1456" i="15"/>
  <c r="L1456" i="15"/>
  <c r="I1456" i="15"/>
  <c r="R1455" i="15"/>
  <c r="L1455" i="15"/>
  <c r="I1455" i="15"/>
  <c r="R1454" i="15"/>
  <c r="L1454" i="15"/>
  <c r="I1454" i="15"/>
  <c r="R1453" i="15"/>
  <c r="L1453" i="15"/>
  <c r="I1453" i="15"/>
  <c r="R1452" i="15"/>
  <c r="L1452" i="15"/>
  <c r="I1452" i="15"/>
  <c r="R1451" i="15"/>
  <c r="L1451" i="15"/>
  <c r="I1451" i="15"/>
  <c r="R1450" i="15"/>
  <c r="L1450" i="15"/>
  <c r="I1450" i="15"/>
  <c r="R1449" i="15"/>
  <c r="L1449" i="15"/>
  <c r="I1449" i="15"/>
  <c r="R1448" i="15"/>
  <c r="L1448" i="15"/>
  <c r="I1448" i="15"/>
  <c r="R1447" i="15"/>
  <c r="L1447" i="15"/>
  <c r="I1447" i="15"/>
  <c r="R1446" i="15"/>
  <c r="L1446" i="15"/>
  <c r="I1446" i="15"/>
  <c r="R1445" i="15"/>
  <c r="L1445" i="15"/>
  <c r="I1445" i="15"/>
  <c r="R1444" i="15"/>
  <c r="L1444" i="15"/>
  <c r="I1444" i="15"/>
  <c r="R1443" i="15"/>
  <c r="L1443" i="15"/>
  <c r="I1443" i="15"/>
  <c r="R1442" i="15"/>
  <c r="L1442" i="15"/>
  <c r="I1442" i="15"/>
  <c r="R1441" i="15"/>
  <c r="L1441" i="15"/>
  <c r="I1441" i="15"/>
  <c r="R1440" i="15"/>
  <c r="L1440" i="15"/>
  <c r="I1440" i="15"/>
  <c r="R1439" i="15"/>
  <c r="L1439" i="15"/>
  <c r="I1439" i="15"/>
  <c r="R1438" i="15"/>
  <c r="L1438" i="15"/>
  <c r="I1438" i="15"/>
  <c r="R1437" i="15"/>
  <c r="L1437" i="15"/>
  <c r="I1437" i="15"/>
  <c r="R1436" i="15"/>
  <c r="L1436" i="15"/>
  <c r="I1436" i="15"/>
  <c r="R1435" i="15"/>
  <c r="L1435" i="15"/>
  <c r="I1435" i="15"/>
  <c r="R1434" i="15"/>
  <c r="L1434" i="15"/>
  <c r="I1434" i="15"/>
  <c r="R1433" i="15"/>
  <c r="L1433" i="15"/>
  <c r="I1433" i="15"/>
  <c r="R1432" i="15"/>
  <c r="L1432" i="15"/>
  <c r="I1432" i="15"/>
  <c r="R1431" i="15"/>
  <c r="L1431" i="15"/>
  <c r="I1431" i="15"/>
  <c r="R1430" i="15"/>
  <c r="L1430" i="15"/>
  <c r="I1430" i="15"/>
  <c r="R1429" i="15"/>
  <c r="L1429" i="15"/>
  <c r="I1429" i="15"/>
  <c r="R1428" i="15"/>
  <c r="L1428" i="15"/>
  <c r="I1428" i="15"/>
  <c r="R1427" i="15"/>
  <c r="L1427" i="15"/>
  <c r="I1427" i="15"/>
  <c r="R1426" i="15"/>
  <c r="L1426" i="15"/>
  <c r="I1426" i="15"/>
  <c r="R1425" i="15"/>
  <c r="L1425" i="15"/>
  <c r="I1425" i="15"/>
  <c r="R1424" i="15"/>
  <c r="L1424" i="15"/>
  <c r="I1424" i="15"/>
  <c r="R1423" i="15"/>
  <c r="L1423" i="15"/>
  <c r="I1423" i="15"/>
  <c r="R1422" i="15"/>
  <c r="L1422" i="15"/>
  <c r="I1422" i="15"/>
  <c r="R1421" i="15"/>
  <c r="L1421" i="15"/>
  <c r="I1421" i="15"/>
  <c r="R1420" i="15"/>
  <c r="L1420" i="15"/>
  <c r="I1420" i="15"/>
  <c r="R1419" i="15"/>
  <c r="L1419" i="15"/>
  <c r="I1419" i="15"/>
  <c r="R1418" i="15"/>
  <c r="L1418" i="15"/>
  <c r="I1418" i="15"/>
  <c r="R1417" i="15"/>
  <c r="L1417" i="15"/>
  <c r="I1417" i="15"/>
  <c r="R1416" i="15"/>
  <c r="L1416" i="15"/>
  <c r="I1416" i="15"/>
  <c r="R1415" i="15"/>
  <c r="L1415" i="15"/>
  <c r="I1415" i="15"/>
  <c r="R1414" i="15"/>
  <c r="L1414" i="15"/>
  <c r="I1414" i="15"/>
  <c r="R1413" i="15"/>
  <c r="L1413" i="15"/>
  <c r="I1413" i="15"/>
  <c r="R1412" i="15"/>
  <c r="L1412" i="15"/>
  <c r="I1412" i="15"/>
  <c r="R1411" i="15"/>
  <c r="L1411" i="15"/>
  <c r="I1411" i="15"/>
  <c r="R1410" i="15"/>
  <c r="L1410" i="15"/>
  <c r="I1410" i="15"/>
  <c r="R1409" i="15"/>
  <c r="L1409" i="15"/>
  <c r="I1409" i="15"/>
  <c r="R1408" i="15"/>
  <c r="L1408" i="15"/>
  <c r="I1408" i="15"/>
  <c r="R1407" i="15"/>
  <c r="L1407" i="15"/>
  <c r="I1407" i="15"/>
  <c r="R1406" i="15"/>
  <c r="L1406" i="15"/>
  <c r="I1406" i="15"/>
  <c r="R1405" i="15"/>
  <c r="L1405" i="15"/>
  <c r="I1405" i="15"/>
  <c r="R1404" i="15"/>
  <c r="L1404" i="15"/>
  <c r="I1404" i="15"/>
  <c r="R1403" i="15"/>
  <c r="L1403" i="15"/>
  <c r="I1403" i="15"/>
  <c r="R1402" i="15"/>
  <c r="L1402" i="15"/>
  <c r="I1402" i="15"/>
  <c r="R1401" i="15"/>
  <c r="L1401" i="15"/>
  <c r="I1401" i="15"/>
  <c r="R1400" i="15"/>
  <c r="L1400" i="15"/>
  <c r="I1400" i="15"/>
  <c r="R1399" i="15"/>
  <c r="L1399" i="15"/>
  <c r="I1399" i="15"/>
  <c r="R1398" i="15"/>
  <c r="L1398" i="15"/>
  <c r="I1398" i="15"/>
  <c r="R1397" i="15"/>
  <c r="L1397" i="15"/>
  <c r="I1397" i="15"/>
  <c r="R1396" i="15"/>
  <c r="L1396" i="15"/>
  <c r="I1396" i="15"/>
  <c r="R1395" i="15"/>
  <c r="L1395" i="15"/>
  <c r="I1395" i="15"/>
  <c r="R1394" i="15"/>
  <c r="L1394" i="15"/>
  <c r="I1394" i="15"/>
  <c r="R1393" i="15"/>
  <c r="L1393" i="15"/>
  <c r="I1393" i="15"/>
  <c r="R1392" i="15"/>
  <c r="L1392" i="15"/>
  <c r="I1392" i="15"/>
  <c r="R1391" i="15"/>
  <c r="L1391" i="15"/>
  <c r="I1391" i="15"/>
  <c r="R1390" i="15"/>
  <c r="L1390" i="15"/>
  <c r="I1390" i="15"/>
  <c r="R1389" i="15"/>
  <c r="L1389" i="15"/>
  <c r="I1389" i="15"/>
  <c r="R1388" i="15"/>
  <c r="L1388" i="15"/>
  <c r="I1388" i="15"/>
  <c r="R1387" i="15"/>
  <c r="L1387" i="15"/>
  <c r="I1387" i="15"/>
  <c r="R1386" i="15"/>
  <c r="L1386" i="15"/>
  <c r="I1386" i="15"/>
  <c r="R1385" i="15"/>
  <c r="L1385" i="15"/>
  <c r="I1385" i="15"/>
  <c r="R1384" i="15"/>
  <c r="L1384" i="15"/>
  <c r="I1384" i="15"/>
  <c r="R1383" i="15"/>
  <c r="L1383" i="15"/>
  <c r="I1383" i="15"/>
  <c r="R1382" i="15"/>
  <c r="L1382" i="15"/>
  <c r="I1382" i="15"/>
  <c r="R1381" i="15"/>
  <c r="L1381" i="15"/>
  <c r="I1381" i="15"/>
  <c r="R1380" i="15"/>
  <c r="L1380" i="15"/>
  <c r="I1380" i="15"/>
  <c r="R1379" i="15"/>
  <c r="L1379" i="15"/>
  <c r="I1379" i="15"/>
  <c r="R1378" i="15"/>
  <c r="L1378" i="15"/>
  <c r="I1378" i="15"/>
  <c r="R1377" i="15"/>
  <c r="L1377" i="15"/>
  <c r="I1377" i="15"/>
  <c r="R1376" i="15"/>
  <c r="L1376" i="15"/>
  <c r="I1376" i="15"/>
  <c r="R1375" i="15"/>
  <c r="L1375" i="15"/>
  <c r="I1375" i="15"/>
  <c r="R1374" i="15"/>
  <c r="L1374" i="15"/>
  <c r="I1374" i="15"/>
  <c r="R1373" i="15"/>
  <c r="L1373" i="15"/>
  <c r="I1373" i="15"/>
  <c r="R1372" i="15"/>
  <c r="L1372" i="15"/>
  <c r="I1372" i="15"/>
  <c r="R1371" i="15"/>
  <c r="L1371" i="15"/>
  <c r="I1371" i="15"/>
  <c r="R1370" i="15"/>
  <c r="L1370" i="15"/>
  <c r="I1370" i="15"/>
  <c r="R1369" i="15"/>
  <c r="L1369" i="15"/>
  <c r="I1369" i="15"/>
  <c r="R1368" i="15"/>
  <c r="L1368" i="15"/>
  <c r="I1368" i="15"/>
  <c r="R1367" i="15"/>
  <c r="L1367" i="15"/>
  <c r="I1367" i="15"/>
  <c r="R1366" i="15"/>
  <c r="L1366" i="15"/>
  <c r="I1366" i="15"/>
  <c r="R1365" i="15"/>
  <c r="L1365" i="15"/>
  <c r="I1365" i="15"/>
  <c r="R1364" i="15"/>
  <c r="L1364" i="15"/>
  <c r="I1364" i="15"/>
  <c r="R1363" i="15"/>
  <c r="L1363" i="15"/>
  <c r="I1363" i="15"/>
  <c r="R1362" i="15"/>
  <c r="L1362" i="15"/>
  <c r="I1362" i="15"/>
  <c r="R1361" i="15"/>
  <c r="L1361" i="15"/>
  <c r="I1361" i="15"/>
  <c r="R1360" i="15"/>
  <c r="L1360" i="15"/>
  <c r="I1360" i="15"/>
  <c r="R1359" i="15"/>
  <c r="L1359" i="15"/>
  <c r="I1359" i="15"/>
  <c r="R1358" i="15"/>
  <c r="L1358" i="15"/>
  <c r="I1358" i="15"/>
  <c r="R1357" i="15"/>
  <c r="L1357" i="15"/>
  <c r="I1357" i="15"/>
  <c r="R1356" i="15"/>
  <c r="L1356" i="15"/>
  <c r="I1356" i="15"/>
  <c r="R1355" i="15"/>
  <c r="L1355" i="15"/>
  <c r="I1355" i="15"/>
  <c r="R1354" i="15"/>
  <c r="L1354" i="15"/>
  <c r="I1354" i="15"/>
  <c r="R1353" i="15"/>
  <c r="L1353" i="15"/>
  <c r="I1353" i="15"/>
  <c r="R1352" i="15"/>
  <c r="L1352" i="15"/>
  <c r="I1352" i="15"/>
  <c r="R1351" i="15"/>
  <c r="L1351" i="15"/>
  <c r="I1351" i="15"/>
  <c r="R1350" i="15"/>
  <c r="L1350" i="15"/>
  <c r="I1350" i="15"/>
  <c r="R1349" i="15"/>
  <c r="L1349" i="15"/>
  <c r="I1349" i="15"/>
  <c r="R1348" i="15"/>
  <c r="L1348" i="15"/>
  <c r="I1348" i="15"/>
  <c r="R1347" i="15"/>
  <c r="L1347" i="15"/>
  <c r="I1347" i="15"/>
  <c r="R1346" i="15"/>
  <c r="L1346" i="15"/>
  <c r="I1346" i="15"/>
  <c r="R1345" i="15"/>
  <c r="L1345" i="15"/>
  <c r="I1345" i="15"/>
  <c r="R1344" i="15"/>
  <c r="L1344" i="15"/>
  <c r="I1344" i="15"/>
  <c r="R1343" i="15"/>
  <c r="L1343" i="15"/>
  <c r="I1343" i="15"/>
  <c r="R1342" i="15"/>
  <c r="L1342" i="15"/>
  <c r="I1342" i="15"/>
  <c r="R1341" i="15"/>
  <c r="L1341" i="15"/>
  <c r="I1341" i="15"/>
  <c r="R1340" i="15"/>
  <c r="L1340" i="15"/>
  <c r="I1340" i="15"/>
  <c r="R1339" i="15"/>
  <c r="L1339" i="15"/>
  <c r="I1339" i="15"/>
  <c r="R1338" i="15"/>
  <c r="L1338" i="15"/>
  <c r="I1338" i="15"/>
  <c r="R1337" i="15"/>
  <c r="L1337" i="15"/>
  <c r="I1337" i="15"/>
  <c r="R1336" i="15"/>
  <c r="L1336" i="15"/>
  <c r="I1336" i="15"/>
  <c r="R1335" i="15"/>
  <c r="L1335" i="15"/>
  <c r="I1335" i="15"/>
  <c r="R1334" i="15"/>
  <c r="L1334" i="15"/>
  <c r="I1334" i="15"/>
  <c r="R1333" i="15"/>
  <c r="L1333" i="15"/>
  <c r="I1333" i="15"/>
  <c r="R1332" i="15"/>
  <c r="L1332" i="15"/>
  <c r="I1332" i="15"/>
  <c r="R1331" i="15"/>
  <c r="L1331" i="15"/>
  <c r="I1331" i="15"/>
  <c r="R1330" i="15"/>
  <c r="L1330" i="15"/>
  <c r="I1330" i="15"/>
  <c r="R1329" i="15"/>
  <c r="L1329" i="15"/>
  <c r="I1329" i="15"/>
  <c r="R1328" i="15"/>
  <c r="L1328" i="15"/>
  <c r="I1328" i="15"/>
  <c r="R1327" i="15"/>
  <c r="L1327" i="15"/>
  <c r="I1327" i="15"/>
  <c r="R1326" i="15"/>
  <c r="L1326" i="15"/>
  <c r="I1326" i="15"/>
  <c r="R1325" i="15"/>
  <c r="L1325" i="15"/>
  <c r="I1325" i="15"/>
  <c r="R1324" i="15"/>
  <c r="L1324" i="15"/>
  <c r="I1324" i="15"/>
  <c r="R1323" i="15"/>
  <c r="L1323" i="15"/>
  <c r="I1323" i="15"/>
  <c r="R1322" i="15"/>
  <c r="L1322" i="15"/>
  <c r="I1322" i="15"/>
  <c r="R1321" i="15"/>
  <c r="L1321" i="15"/>
  <c r="I1321" i="15"/>
  <c r="R1320" i="15"/>
  <c r="L1320" i="15"/>
  <c r="I1320" i="15"/>
  <c r="R1319" i="15"/>
  <c r="L1319" i="15"/>
  <c r="I1319" i="15"/>
  <c r="R1318" i="15"/>
  <c r="L1318" i="15"/>
  <c r="I1318" i="15"/>
  <c r="R1317" i="15"/>
  <c r="L1317" i="15"/>
  <c r="I1317" i="15"/>
  <c r="R1316" i="15"/>
  <c r="L1316" i="15"/>
  <c r="I1316" i="15"/>
  <c r="R1315" i="15"/>
  <c r="L1315" i="15"/>
  <c r="I1315" i="15"/>
  <c r="R1314" i="15"/>
  <c r="L1314" i="15"/>
  <c r="I1314" i="15"/>
  <c r="R1313" i="15"/>
  <c r="L1313" i="15"/>
  <c r="I1313" i="15"/>
  <c r="R1312" i="15"/>
  <c r="L1312" i="15"/>
  <c r="I1312" i="15"/>
  <c r="R1311" i="15"/>
  <c r="L1311" i="15"/>
  <c r="I1311" i="15"/>
  <c r="R1310" i="15"/>
  <c r="L1310" i="15"/>
  <c r="I1310" i="15"/>
  <c r="R1309" i="15"/>
  <c r="L1309" i="15"/>
  <c r="I1309" i="15"/>
  <c r="R1308" i="15"/>
  <c r="L1308" i="15"/>
  <c r="I1308" i="15"/>
  <c r="R1307" i="15"/>
  <c r="L1307" i="15"/>
  <c r="I1307" i="15"/>
  <c r="R1306" i="15"/>
  <c r="L1306" i="15"/>
  <c r="I1306" i="15"/>
  <c r="R1305" i="15"/>
  <c r="L1305" i="15"/>
  <c r="I1305" i="15"/>
  <c r="R1304" i="15"/>
  <c r="L1304" i="15"/>
  <c r="I1304" i="15"/>
  <c r="R1303" i="15"/>
  <c r="L1303" i="15"/>
  <c r="I1303" i="15"/>
  <c r="R1302" i="15"/>
  <c r="L1302" i="15"/>
  <c r="I1302" i="15"/>
  <c r="R1301" i="15"/>
  <c r="L1301" i="15"/>
  <c r="I1301" i="15"/>
  <c r="R1300" i="15"/>
  <c r="L1300" i="15"/>
  <c r="I1300" i="15"/>
  <c r="R1299" i="15"/>
  <c r="L1299" i="15"/>
  <c r="I1299" i="15"/>
  <c r="R1298" i="15"/>
  <c r="L1298" i="15"/>
  <c r="I1298" i="15"/>
  <c r="R1297" i="15"/>
  <c r="L1297" i="15"/>
  <c r="I1297" i="15"/>
  <c r="R1296" i="15"/>
  <c r="L1296" i="15"/>
  <c r="I1296" i="15"/>
  <c r="R1295" i="15"/>
  <c r="L1295" i="15"/>
  <c r="I1295" i="15"/>
  <c r="R1294" i="15"/>
  <c r="L1294" i="15"/>
  <c r="I1294" i="15"/>
  <c r="R1293" i="15"/>
  <c r="L1293" i="15"/>
  <c r="I1293" i="15"/>
  <c r="R1292" i="15"/>
  <c r="L1292" i="15"/>
  <c r="I1292" i="15"/>
  <c r="R1291" i="15"/>
  <c r="L1291" i="15"/>
  <c r="I1291" i="15"/>
  <c r="R1290" i="15"/>
  <c r="L1290" i="15"/>
  <c r="I1290" i="15"/>
  <c r="R1289" i="15"/>
  <c r="L1289" i="15"/>
  <c r="I1289" i="15"/>
  <c r="R1288" i="15"/>
  <c r="L1288" i="15"/>
  <c r="I1288" i="15"/>
  <c r="R1287" i="15"/>
  <c r="L1287" i="15"/>
  <c r="I1287" i="15"/>
  <c r="R1286" i="15"/>
  <c r="L1286" i="15"/>
  <c r="I1286" i="15"/>
  <c r="R1285" i="15"/>
  <c r="L1285" i="15"/>
  <c r="I1285" i="15"/>
  <c r="R1284" i="15"/>
  <c r="L1284" i="15"/>
  <c r="I1284" i="15"/>
  <c r="R1283" i="15"/>
  <c r="L1283" i="15"/>
  <c r="I1283" i="15"/>
  <c r="R1282" i="15"/>
  <c r="L1282" i="15"/>
  <c r="I1282" i="15"/>
  <c r="R1281" i="15"/>
  <c r="L1281" i="15"/>
  <c r="I1281" i="15"/>
  <c r="R1280" i="15"/>
  <c r="L1280" i="15"/>
  <c r="I1280" i="15"/>
  <c r="R1279" i="15"/>
  <c r="L1279" i="15"/>
  <c r="I1279" i="15"/>
  <c r="R1278" i="15"/>
  <c r="L1278" i="15"/>
  <c r="I1278" i="15"/>
  <c r="R1277" i="15"/>
  <c r="L1277" i="15"/>
  <c r="I1277" i="15"/>
  <c r="R1276" i="15"/>
  <c r="L1276" i="15"/>
  <c r="I1276" i="15"/>
  <c r="R1275" i="15"/>
  <c r="L1275" i="15"/>
  <c r="I1275" i="15"/>
  <c r="R1274" i="15"/>
  <c r="L1274" i="15"/>
  <c r="I1274" i="15"/>
  <c r="R1273" i="15"/>
  <c r="L1273" i="15"/>
  <c r="I1273" i="15"/>
  <c r="R1272" i="15"/>
  <c r="L1272" i="15"/>
  <c r="I1272" i="15"/>
  <c r="R1271" i="15"/>
  <c r="L1271" i="15"/>
  <c r="I1271" i="15"/>
  <c r="R1270" i="15"/>
  <c r="L1270" i="15"/>
  <c r="I1270" i="15"/>
  <c r="R1269" i="15"/>
  <c r="L1269" i="15"/>
  <c r="I1269" i="15"/>
  <c r="R1268" i="15"/>
  <c r="L1268" i="15"/>
  <c r="I1268" i="15"/>
  <c r="R1267" i="15"/>
  <c r="L1267" i="15"/>
  <c r="I1267" i="15"/>
  <c r="R1266" i="15"/>
  <c r="L1266" i="15"/>
  <c r="I1266" i="15"/>
  <c r="R1265" i="15"/>
  <c r="L1265" i="15"/>
  <c r="I1265" i="15"/>
  <c r="R1264" i="15"/>
  <c r="L1264" i="15"/>
  <c r="I1264" i="15"/>
  <c r="R1263" i="15"/>
  <c r="L1263" i="15"/>
  <c r="I1263" i="15"/>
  <c r="R1262" i="15"/>
  <c r="L1262" i="15"/>
  <c r="I1262" i="15"/>
  <c r="R1261" i="15"/>
  <c r="L1261" i="15"/>
  <c r="I1261" i="15"/>
  <c r="R1260" i="15"/>
  <c r="L1260" i="15"/>
  <c r="I1260" i="15"/>
  <c r="R1259" i="15"/>
  <c r="L1259" i="15"/>
  <c r="I1259" i="15"/>
  <c r="R1258" i="15"/>
  <c r="L1258" i="15"/>
  <c r="I1258" i="15"/>
  <c r="R1257" i="15"/>
  <c r="L1257" i="15"/>
  <c r="I1257" i="15"/>
  <c r="R1256" i="15"/>
  <c r="L1256" i="15"/>
  <c r="I1256" i="15"/>
  <c r="R1255" i="15"/>
  <c r="L1255" i="15"/>
  <c r="I1255" i="15"/>
  <c r="R1254" i="15"/>
  <c r="L1254" i="15"/>
  <c r="I1254" i="15"/>
  <c r="R1253" i="15"/>
  <c r="L1253" i="15"/>
  <c r="I1253" i="15"/>
  <c r="R1252" i="15"/>
  <c r="L1252" i="15"/>
  <c r="I1252" i="15"/>
  <c r="R1251" i="15"/>
  <c r="L1251" i="15"/>
  <c r="I1251" i="15"/>
  <c r="R1250" i="15"/>
  <c r="L1250" i="15"/>
  <c r="I1250" i="15"/>
  <c r="R1249" i="15"/>
  <c r="L1249" i="15"/>
  <c r="I1249" i="15"/>
  <c r="R1248" i="15"/>
  <c r="L1248" i="15"/>
  <c r="I1248" i="15"/>
  <c r="R1247" i="15"/>
  <c r="L1247" i="15"/>
  <c r="I1247" i="15"/>
  <c r="R1246" i="15"/>
  <c r="L1246" i="15"/>
  <c r="I1246" i="15"/>
  <c r="R1245" i="15"/>
  <c r="L1245" i="15"/>
  <c r="I1245" i="15"/>
  <c r="R1244" i="15"/>
  <c r="L1244" i="15"/>
  <c r="I1244" i="15"/>
  <c r="R1243" i="15"/>
  <c r="L1243" i="15"/>
  <c r="I1243" i="15"/>
  <c r="R1242" i="15"/>
  <c r="L1242" i="15"/>
  <c r="I1242" i="15"/>
  <c r="R1241" i="15"/>
  <c r="L1241" i="15"/>
  <c r="I1241" i="15"/>
  <c r="R1240" i="15"/>
  <c r="L1240" i="15"/>
  <c r="I1240" i="15"/>
  <c r="R1239" i="15"/>
  <c r="L1239" i="15"/>
  <c r="I1239" i="15"/>
  <c r="R1238" i="15"/>
  <c r="L1238" i="15"/>
  <c r="I1238" i="15"/>
  <c r="R1237" i="15"/>
  <c r="L1237" i="15"/>
  <c r="I1237" i="15"/>
  <c r="R1236" i="15"/>
  <c r="L1236" i="15"/>
  <c r="I1236" i="15"/>
  <c r="R1235" i="15"/>
  <c r="L1235" i="15"/>
  <c r="I1235" i="15"/>
  <c r="R1234" i="15"/>
  <c r="L1234" i="15"/>
  <c r="I1234" i="15"/>
  <c r="R1233" i="15"/>
  <c r="L1233" i="15"/>
  <c r="I1233" i="15"/>
  <c r="R1232" i="15"/>
  <c r="L1232" i="15"/>
  <c r="I1232" i="15"/>
  <c r="R1231" i="15"/>
  <c r="L1231" i="15"/>
  <c r="I1231" i="15"/>
  <c r="R1230" i="15"/>
  <c r="L1230" i="15"/>
  <c r="I1230" i="15"/>
  <c r="R1229" i="15"/>
  <c r="L1229" i="15"/>
  <c r="I1229" i="15"/>
  <c r="R1228" i="15"/>
  <c r="L1228" i="15"/>
  <c r="I1228" i="15"/>
  <c r="R1227" i="15"/>
  <c r="L1227" i="15"/>
  <c r="I1227" i="15"/>
  <c r="R1226" i="15"/>
  <c r="L1226" i="15"/>
  <c r="I1226" i="15"/>
  <c r="R1225" i="15"/>
  <c r="L1225" i="15"/>
  <c r="I1225" i="15"/>
  <c r="R1224" i="15"/>
  <c r="L1224" i="15"/>
  <c r="I1224" i="15"/>
  <c r="R1223" i="15"/>
  <c r="L1223" i="15"/>
  <c r="I1223" i="15"/>
  <c r="R1222" i="15"/>
  <c r="L1222" i="15"/>
  <c r="I1222" i="15"/>
  <c r="R1221" i="15"/>
  <c r="L1221" i="15"/>
  <c r="I1221" i="15"/>
  <c r="R1220" i="15"/>
  <c r="L1220" i="15"/>
  <c r="I1220" i="15"/>
  <c r="R1219" i="15"/>
  <c r="L1219" i="15"/>
  <c r="I1219" i="15"/>
  <c r="R1218" i="15"/>
  <c r="L1218" i="15"/>
  <c r="I1218" i="15"/>
  <c r="R1217" i="15"/>
  <c r="L1217" i="15"/>
  <c r="I1217" i="15"/>
  <c r="R1216" i="15"/>
  <c r="L1216" i="15"/>
  <c r="I1216" i="15"/>
  <c r="R1215" i="15"/>
  <c r="L1215" i="15"/>
  <c r="I1215" i="15"/>
  <c r="R1214" i="15"/>
  <c r="L1214" i="15"/>
  <c r="I1214" i="15"/>
  <c r="R1213" i="15"/>
  <c r="L1213" i="15"/>
  <c r="I1213" i="15"/>
  <c r="R1212" i="15"/>
  <c r="L1212" i="15"/>
  <c r="I1212" i="15"/>
  <c r="R1211" i="15"/>
  <c r="L1211" i="15"/>
  <c r="I1211" i="15"/>
  <c r="R1210" i="15"/>
  <c r="L1210" i="15"/>
  <c r="I1210" i="15"/>
  <c r="R1209" i="15"/>
  <c r="L1209" i="15"/>
  <c r="I1209" i="15"/>
  <c r="R1208" i="15"/>
  <c r="L1208" i="15"/>
  <c r="I1208" i="15"/>
  <c r="R1207" i="15"/>
  <c r="L1207" i="15"/>
  <c r="I1207" i="15"/>
  <c r="R1206" i="15"/>
  <c r="L1206" i="15"/>
  <c r="I1206" i="15"/>
  <c r="R1205" i="15"/>
  <c r="L1205" i="15"/>
  <c r="I1205" i="15"/>
  <c r="R1204" i="15"/>
  <c r="L1204" i="15"/>
  <c r="I1204" i="15"/>
  <c r="R1203" i="15"/>
  <c r="L1203" i="15"/>
  <c r="I1203" i="15"/>
  <c r="R1202" i="15"/>
  <c r="L1202" i="15"/>
  <c r="I1202" i="15"/>
  <c r="R1201" i="15"/>
  <c r="L1201" i="15"/>
  <c r="I1201" i="15"/>
  <c r="R1200" i="15"/>
  <c r="L1200" i="15"/>
  <c r="I1200" i="15"/>
  <c r="R1199" i="15"/>
  <c r="L1199" i="15"/>
  <c r="I1199" i="15"/>
  <c r="R1198" i="15"/>
  <c r="L1198" i="15"/>
  <c r="I1198" i="15"/>
  <c r="R1197" i="15"/>
  <c r="L1197" i="15"/>
  <c r="I1197" i="15"/>
  <c r="R1196" i="15"/>
  <c r="L1196" i="15"/>
  <c r="I1196" i="15"/>
  <c r="R1195" i="15"/>
  <c r="L1195" i="15"/>
  <c r="I1195" i="15"/>
  <c r="R1194" i="15"/>
  <c r="L1194" i="15"/>
  <c r="I1194" i="15"/>
  <c r="R1193" i="15"/>
  <c r="L1193" i="15"/>
  <c r="I1193" i="15"/>
  <c r="R1192" i="15"/>
  <c r="L1192" i="15"/>
  <c r="I1192" i="15"/>
  <c r="R1191" i="15"/>
  <c r="L1191" i="15"/>
  <c r="I1191" i="15"/>
  <c r="R1190" i="15"/>
  <c r="L1190" i="15"/>
  <c r="I1190" i="15"/>
  <c r="R1189" i="15"/>
  <c r="L1189" i="15"/>
  <c r="I1189" i="15"/>
  <c r="R1188" i="15"/>
  <c r="L1188" i="15"/>
  <c r="I1188" i="15"/>
  <c r="R1187" i="15"/>
  <c r="L1187" i="15"/>
  <c r="I1187" i="15"/>
  <c r="R1186" i="15"/>
  <c r="L1186" i="15"/>
  <c r="I1186" i="15"/>
  <c r="R1185" i="15"/>
  <c r="L1185" i="15"/>
  <c r="I1185" i="15"/>
  <c r="R1184" i="15"/>
  <c r="L1184" i="15"/>
  <c r="I1184" i="15"/>
  <c r="R1183" i="15"/>
  <c r="L1183" i="15"/>
  <c r="I1183" i="15"/>
  <c r="R1182" i="15"/>
  <c r="L1182" i="15"/>
  <c r="I1182" i="15"/>
  <c r="R1181" i="15"/>
  <c r="L1181" i="15"/>
  <c r="I1181" i="15"/>
  <c r="R1180" i="15"/>
  <c r="L1180" i="15"/>
  <c r="I1180" i="15"/>
  <c r="R1179" i="15"/>
  <c r="L1179" i="15"/>
  <c r="I1179" i="15"/>
  <c r="R1178" i="15"/>
  <c r="L1178" i="15"/>
  <c r="I1178" i="15"/>
  <c r="R1177" i="15"/>
  <c r="L1177" i="15"/>
  <c r="I1177" i="15"/>
  <c r="R1176" i="15"/>
  <c r="L1176" i="15"/>
  <c r="I1176" i="15"/>
  <c r="R1175" i="15"/>
  <c r="L1175" i="15"/>
  <c r="I1175" i="15"/>
  <c r="R1174" i="15"/>
  <c r="L1174" i="15"/>
  <c r="I1174" i="15"/>
  <c r="R1173" i="15"/>
  <c r="L1173" i="15"/>
  <c r="I1173" i="15"/>
  <c r="R1172" i="15"/>
  <c r="L1172" i="15"/>
  <c r="I1172" i="15"/>
  <c r="R1171" i="15"/>
  <c r="L1171" i="15"/>
  <c r="I1171" i="15"/>
  <c r="R1170" i="15"/>
  <c r="L1170" i="15"/>
  <c r="I1170" i="15"/>
  <c r="R1169" i="15"/>
  <c r="L1169" i="15"/>
  <c r="I1169" i="15"/>
  <c r="R1168" i="15"/>
  <c r="L1168" i="15"/>
  <c r="I1168" i="15"/>
  <c r="R1167" i="15"/>
  <c r="L1167" i="15"/>
  <c r="I1167" i="15"/>
  <c r="R1166" i="15"/>
  <c r="L1166" i="15"/>
  <c r="I1166" i="15"/>
  <c r="R1165" i="15"/>
  <c r="L1165" i="15"/>
  <c r="I1165" i="15"/>
  <c r="R1164" i="15"/>
  <c r="L1164" i="15"/>
  <c r="I1164" i="15"/>
  <c r="R1163" i="15"/>
  <c r="L1163" i="15"/>
  <c r="I1163" i="15"/>
  <c r="R1162" i="15"/>
  <c r="L1162" i="15"/>
  <c r="I1162" i="15"/>
  <c r="R1161" i="15"/>
  <c r="L1161" i="15"/>
  <c r="I1161" i="15"/>
  <c r="R1160" i="15"/>
  <c r="L1160" i="15"/>
  <c r="I1160" i="15"/>
  <c r="R1159" i="15"/>
  <c r="L1159" i="15"/>
  <c r="I1159" i="15"/>
  <c r="R1158" i="15"/>
  <c r="L1158" i="15"/>
  <c r="I1158" i="15"/>
  <c r="R1157" i="15"/>
  <c r="L1157" i="15"/>
  <c r="I1157" i="15"/>
  <c r="R1156" i="15"/>
  <c r="L1156" i="15"/>
  <c r="I1156" i="15"/>
  <c r="R1155" i="15"/>
  <c r="L1155" i="15"/>
  <c r="I1155" i="15"/>
  <c r="R1154" i="15"/>
  <c r="L1154" i="15"/>
  <c r="I1154" i="15"/>
  <c r="R1153" i="15"/>
  <c r="L1153" i="15"/>
  <c r="I1153" i="15"/>
  <c r="R1152" i="15"/>
  <c r="L1152" i="15"/>
  <c r="I1152" i="15"/>
  <c r="R1151" i="15"/>
  <c r="L1151" i="15"/>
  <c r="I1151" i="15"/>
  <c r="R1150" i="15"/>
  <c r="L1150" i="15"/>
  <c r="I1150" i="15"/>
  <c r="R1149" i="15"/>
  <c r="L1149" i="15"/>
  <c r="I1149" i="15"/>
  <c r="R1148" i="15"/>
  <c r="L1148" i="15"/>
  <c r="I1148" i="15"/>
  <c r="R1147" i="15"/>
  <c r="L1147" i="15"/>
  <c r="I1147" i="15"/>
  <c r="R1146" i="15"/>
  <c r="L1146" i="15"/>
  <c r="I1146" i="15"/>
  <c r="R1145" i="15"/>
  <c r="L1145" i="15"/>
  <c r="I1145" i="15"/>
  <c r="R1144" i="15"/>
  <c r="L1144" i="15"/>
  <c r="I1144" i="15"/>
  <c r="R1143" i="15"/>
  <c r="L1143" i="15"/>
  <c r="I1143" i="15"/>
  <c r="R1142" i="15"/>
  <c r="L1142" i="15"/>
  <c r="I1142" i="15"/>
  <c r="R1141" i="15"/>
  <c r="L1141" i="15"/>
  <c r="I1141" i="15"/>
  <c r="R1140" i="15"/>
  <c r="L1140" i="15"/>
  <c r="I1140" i="15"/>
  <c r="R1139" i="15"/>
  <c r="L1139" i="15"/>
  <c r="I1139" i="15"/>
  <c r="R1138" i="15"/>
  <c r="L1138" i="15"/>
  <c r="I1138" i="15"/>
  <c r="R1137" i="15"/>
  <c r="L1137" i="15"/>
  <c r="I1137" i="15"/>
  <c r="R1136" i="15"/>
  <c r="L1136" i="15"/>
  <c r="I1136" i="15"/>
  <c r="R1135" i="15"/>
  <c r="L1135" i="15"/>
  <c r="I1135" i="15"/>
  <c r="R1134" i="15"/>
  <c r="L1134" i="15"/>
  <c r="I1134" i="15"/>
  <c r="R1133" i="15"/>
  <c r="L1133" i="15"/>
  <c r="I1133" i="15"/>
  <c r="R1132" i="15"/>
  <c r="L1132" i="15"/>
  <c r="I1132" i="15"/>
  <c r="R1131" i="15"/>
  <c r="L1131" i="15"/>
  <c r="I1131" i="15"/>
  <c r="R1130" i="15"/>
  <c r="L1130" i="15"/>
  <c r="I1130" i="15"/>
  <c r="R1129" i="15"/>
  <c r="L1129" i="15"/>
  <c r="I1129" i="15"/>
  <c r="R1128" i="15"/>
  <c r="L1128" i="15"/>
  <c r="I1128" i="15"/>
  <c r="R1127" i="15"/>
  <c r="L1127" i="15"/>
  <c r="I1127" i="15"/>
  <c r="R1126" i="15"/>
  <c r="L1126" i="15"/>
  <c r="I1126" i="15"/>
  <c r="R1125" i="15"/>
  <c r="L1125" i="15"/>
  <c r="I1125" i="15"/>
  <c r="R1124" i="15"/>
  <c r="L1124" i="15"/>
  <c r="I1124" i="15"/>
  <c r="R1123" i="15"/>
  <c r="L1123" i="15"/>
  <c r="I1123" i="15"/>
  <c r="R1122" i="15"/>
  <c r="L1122" i="15"/>
  <c r="I1122" i="15"/>
  <c r="R1121" i="15"/>
  <c r="L1121" i="15"/>
  <c r="I1121" i="15"/>
  <c r="R1120" i="15"/>
  <c r="L1120" i="15"/>
  <c r="I1120" i="15"/>
  <c r="R1119" i="15"/>
  <c r="L1119" i="15"/>
  <c r="I1119" i="15"/>
  <c r="R1118" i="15"/>
  <c r="L1118" i="15"/>
  <c r="I1118" i="15"/>
  <c r="R1117" i="15"/>
  <c r="L1117" i="15"/>
  <c r="I1117" i="15"/>
  <c r="R1116" i="15"/>
  <c r="L1116" i="15"/>
  <c r="I1116" i="15"/>
  <c r="R1115" i="15"/>
  <c r="L1115" i="15"/>
  <c r="I1115" i="15"/>
  <c r="R1114" i="15"/>
  <c r="L1114" i="15"/>
  <c r="I1114" i="15"/>
  <c r="R1113" i="15"/>
  <c r="L1113" i="15"/>
  <c r="I1113" i="15"/>
  <c r="R1112" i="15"/>
  <c r="L1112" i="15"/>
  <c r="I1112" i="15"/>
  <c r="R1111" i="15"/>
  <c r="L1111" i="15"/>
  <c r="I1111" i="15"/>
  <c r="R1110" i="15"/>
  <c r="L1110" i="15"/>
  <c r="I1110" i="15"/>
  <c r="R1109" i="15"/>
  <c r="L1109" i="15"/>
  <c r="I1109" i="15"/>
  <c r="R1108" i="15"/>
  <c r="L1108" i="15"/>
  <c r="I1108" i="15"/>
  <c r="R1107" i="15"/>
  <c r="L1107" i="15"/>
  <c r="I1107" i="15"/>
  <c r="R1106" i="15"/>
  <c r="L1106" i="15"/>
  <c r="I1106" i="15"/>
  <c r="R1105" i="15"/>
  <c r="L1105" i="15"/>
  <c r="I1105" i="15"/>
  <c r="R1104" i="15"/>
  <c r="L1104" i="15"/>
  <c r="I1104" i="15"/>
  <c r="R1103" i="15"/>
  <c r="L1103" i="15"/>
  <c r="I1103" i="15"/>
  <c r="R1102" i="15"/>
  <c r="L1102" i="15"/>
  <c r="I1102" i="15"/>
  <c r="R1101" i="15"/>
  <c r="L1101" i="15"/>
  <c r="I1101" i="15"/>
  <c r="R1100" i="15"/>
  <c r="L1100" i="15"/>
  <c r="I1100" i="15"/>
  <c r="R1099" i="15"/>
  <c r="L1099" i="15"/>
  <c r="I1099" i="15"/>
  <c r="R1098" i="15"/>
  <c r="L1098" i="15"/>
  <c r="I1098" i="15"/>
  <c r="R1097" i="15"/>
  <c r="L1097" i="15"/>
  <c r="I1097" i="15"/>
  <c r="R1096" i="15"/>
  <c r="L1096" i="15"/>
  <c r="I1096" i="15"/>
  <c r="R1095" i="15"/>
  <c r="L1095" i="15"/>
  <c r="I1095" i="15"/>
  <c r="R1094" i="15"/>
  <c r="L1094" i="15"/>
  <c r="I1094" i="15"/>
  <c r="R1093" i="15"/>
  <c r="L1093" i="15"/>
  <c r="I1093" i="15"/>
  <c r="R1092" i="15"/>
  <c r="L1092" i="15"/>
  <c r="I1092" i="15"/>
  <c r="R1091" i="15"/>
  <c r="L1091" i="15"/>
  <c r="I1091" i="15"/>
  <c r="R1090" i="15"/>
  <c r="L1090" i="15"/>
  <c r="I1090" i="15"/>
  <c r="R1089" i="15"/>
  <c r="L1089" i="15"/>
  <c r="I1089" i="15"/>
  <c r="R1088" i="15"/>
  <c r="L1088" i="15"/>
  <c r="I1088" i="15"/>
  <c r="R1087" i="15"/>
  <c r="L1087" i="15"/>
  <c r="I1087" i="15"/>
  <c r="R1086" i="15"/>
  <c r="L1086" i="15"/>
  <c r="I1086" i="15"/>
  <c r="R1085" i="15"/>
  <c r="L1085" i="15"/>
  <c r="I1085" i="15"/>
  <c r="R1084" i="15"/>
  <c r="L1084" i="15"/>
  <c r="I1084" i="15"/>
  <c r="R1083" i="15"/>
  <c r="L1083" i="15"/>
  <c r="I1083" i="15"/>
  <c r="R1082" i="15"/>
  <c r="L1082" i="15"/>
  <c r="I1082" i="15"/>
  <c r="R1081" i="15"/>
  <c r="L1081" i="15"/>
  <c r="I1081" i="15"/>
  <c r="R1080" i="15"/>
  <c r="L1080" i="15"/>
  <c r="I1080" i="15"/>
  <c r="R1079" i="15"/>
  <c r="L1079" i="15"/>
  <c r="I1079" i="15"/>
  <c r="R1078" i="15"/>
  <c r="L1078" i="15"/>
  <c r="I1078" i="15"/>
  <c r="R1077" i="15"/>
  <c r="L1077" i="15"/>
  <c r="I1077" i="15"/>
  <c r="R1076" i="15"/>
  <c r="L1076" i="15"/>
  <c r="I1076" i="15"/>
  <c r="R1075" i="15"/>
  <c r="L1075" i="15"/>
  <c r="I1075" i="15"/>
  <c r="R1074" i="15"/>
  <c r="L1074" i="15"/>
  <c r="I1074" i="15"/>
  <c r="R1073" i="15"/>
  <c r="L1073" i="15"/>
  <c r="I1073" i="15"/>
  <c r="R1072" i="15"/>
  <c r="L1072" i="15"/>
  <c r="I1072" i="15"/>
  <c r="R1071" i="15"/>
  <c r="L1071" i="15"/>
  <c r="I1071" i="15"/>
  <c r="R1070" i="15"/>
  <c r="L1070" i="15"/>
  <c r="I1070" i="15"/>
  <c r="R1069" i="15"/>
  <c r="L1069" i="15"/>
  <c r="I1069" i="15"/>
  <c r="R1068" i="15"/>
  <c r="L1068" i="15"/>
  <c r="I1068" i="15"/>
  <c r="R1067" i="15"/>
  <c r="L1067" i="15"/>
  <c r="I1067" i="15"/>
  <c r="R1066" i="15"/>
  <c r="L1066" i="15"/>
  <c r="I1066" i="15"/>
  <c r="R1065" i="15"/>
  <c r="L1065" i="15"/>
  <c r="I1065" i="15"/>
  <c r="R1064" i="15"/>
  <c r="L1064" i="15"/>
  <c r="I1064" i="15"/>
  <c r="R1063" i="15"/>
  <c r="L1063" i="15"/>
  <c r="I1063" i="15"/>
  <c r="R1062" i="15"/>
  <c r="L1062" i="15"/>
  <c r="I1062" i="15"/>
  <c r="R1061" i="15"/>
  <c r="L1061" i="15"/>
  <c r="I1061" i="15"/>
  <c r="R1060" i="15"/>
  <c r="L1060" i="15"/>
  <c r="I1060" i="15"/>
  <c r="R1059" i="15"/>
  <c r="L1059" i="15"/>
  <c r="I1059" i="15"/>
  <c r="R1058" i="15"/>
  <c r="L1058" i="15"/>
  <c r="I1058" i="15"/>
  <c r="R1057" i="15"/>
  <c r="L1057" i="15"/>
  <c r="I1057" i="15"/>
  <c r="R1056" i="15"/>
  <c r="L1056" i="15"/>
  <c r="I1056" i="15"/>
  <c r="R1055" i="15"/>
  <c r="L1055" i="15"/>
  <c r="I1055" i="15"/>
  <c r="R1054" i="15"/>
  <c r="L1054" i="15"/>
  <c r="I1054" i="15"/>
  <c r="R1053" i="15"/>
  <c r="L1053" i="15"/>
  <c r="I1053" i="15"/>
  <c r="R1052" i="15"/>
  <c r="L1052" i="15"/>
  <c r="I1052" i="15"/>
  <c r="R1051" i="15"/>
  <c r="L1051" i="15"/>
  <c r="I1051" i="15"/>
  <c r="R1050" i="15"/>
  <c r="L1050" i="15"/>
  <c r="I1050" i="15"/>
  <c r="R1049" i="15"/>
  <c r="L1049" i="15"/>
  <c r="I1049" i="15"/>
  <c r="R1048" i="15"/>
  <c r="L1048" i="15"/>
  <c r="I1048" i="15"/>
  <c r="R1047" i="15"/>
  <c r="L1047" i="15"/>
  <c r="I1047" i="15"/>
  <c r="R1046" i="15"/>
  <c r="L1046" i="15"/>
  <c r="I1046" i="15"/>
  <c r="R1045" i="15"/>
  <c r="L1045" i="15"/>
  <c r="I1045" i="15"/>
  <c r="R1044" i="15"/>
  <c r="L1044" i="15"/>
  <c r="I1044" i="15"/>
  <c r="R1043" i="15"/>
  <c r="L1043" i="15"/>
  <c r="I1043" i="15"/>
  <c r="R1042" i="15"/>
  <c r="L1042" i="15"/>
  <c r="I1042" i="15"/>
  <c r="R1041" i="15"/>
  <c r="L1041" i="15"/>
  <c r="I1041" i="15"/>
  <c r="R1040" i="15"/>
  <c r="L1040" i="15"/>
  <c r="I1040" i="15"/>
  <c r="R1039" i="15"/>
  <c r="L1039" i="15"/>
  <c r="I1039" i="15"/>
  <c r="R1038" i="15"/>
  <c r="L1038" i="15"/>
  <c r="I1038" i="15"/>
  <c r="R1037" i="15"/>
  <c r="L1037" i="15"/>
  <c r="I1037" i="15"/>
  <c r="R1036" i="15"/>
  <c r="L1036" i="15"/>
  <c r="I1036" i="15"/>
  <c r="R1035" i="15"/>
  <c r="L1035" i="15"/>
  <c r="I1035" i="15"/>
  <c r="R1034" i="15"/>
  <c r="L1034" i="15"/>
  <c r="I1034" i="15"/>
  <c r="R1033" i="15"/>
  <c r="L1033" i="15"/>
  <c r="I1033" i="15"/>
  <c r="R1032" i="15"/>
  <c r="L1032" i="15"/>
  <c r="I1032" i="15"/>
  <c r="R1031" i="15"/>
  <c r="L1031" i="15"/>
  <c r="I1031" i="15"/>
  <c r="R1030" i="15"/>
  <c r="L1030" i="15"/>
  <c r="I1030" i="15"/>
  <c r="R1029" i="15"/>
  <c r="L1029" i="15"/>
  <c r="I1029" i="15"/>
  <c r="R1028" i="15"/>
  <c r="L1028" i="15"/>
  <c r="I1028" i="15"/>
  <c r="R1027" i="15"/>
  <c r="L1027" i="15"/>
  <c r="I1027" i="15"/>
  <c r="R1026" i="15"/>
  <c r="L1026" i="15"/>
  <c r="I1026" i="15"/>
  <c r="R1025" i="15"/>
  <c r="L1025" i="15"/>
  <c r="I1025" i="15"/>
  <c r="R1024" i="15"/>
  <c r="L1024" i="15"/>
  <c r="I1024" i="15"/>
  <c r="R1023" i="15"/>
  <c r="L1023" i="15"/>
  <c r="I1023" i="15"/>
  <c r="R1022" i="15"/>
  <c r="L1022" i="15"/>
  <c r="I1022" i="15"/>
  <c r="R1021" i="15"/>
  <c r="L1021" i="15"/>
  <c r="I1021" i="15"/>
  <c r="R1020" i="15"/>
  <c r="L1020" i="15"/>
  <c r="I1020" i="15"/>
  <c r="R1019" i="15"/>
  <c r="L1019" i="15"/>
  <c r="I1019" i="15"/>
  <c r="R1018" i="15"/>
  <c r="L1018" i="15"/>
  <c r="I1018" i="15"/>
  <c r="R1017" i="15"/>
  <c r="L1017" i="15"/>
  <c r="I1017" i="15"/>
  <c r="R1016" i="15"/>
  <c r="L1016" i="15"/>
  <c r="I1016" i="15"/>
  <c r="R1015" i="15"/>
  <c r="L1015" i="15"/>
  <c r="I1015" i="15"/>
  <c r="R1014" i="15"/>
  <c r="L1014" i="15"/>
  <c r="I1014" i="15"/>
  <c r="R1013" i="15"/>
  <c r="L1013" i="15"/>
  <c r="I1013" i="15"/>
  <c r="R1012" i="15"/>
  <c r="L1012" i="15"/>
  <c r="I1012" i="15"/>
  <c r="R1011" i="15"/>
  <c r="L1011" i="15"/>
  <c r="I1011" i="15"/>
  <c r="R1010" i="15"/>
  <c r="L1010" i="15"/>
  <c r="I1010" i="15"/>
  <c r="R1009" i="15"/>
  <c r="L1009" i="15"/>
  <c r="I1009" i="15"/>
  <c r="R1008" i="15"/>
  <c r="L1008" i="15"/>
  <c r="I1008" i="15"/>
  <c r="R1007" i="15"/>
  <c r="L1007" i="15"/>
  <c r="I1007" i="15"/>
  <c r="R1006" i="15"/>
  <c r="L1006" i="15"/>
  <c r="I1006" i="15"/>
  <c r="R1005" i="15"/>
  <c r="L1005" i="15"/>
  <c r="I1005" i="15"/>
  <c r="R1004" i="15"/>
  <c r="L1004" i="15"/>
  <c r="I1004" i="15"/>
  <c r="R1003" i="15"/>
  <c r="L1003" i="15"/>
  <c r="I1003" i="15"/>
  <c r="R1002" i="15"/>
  <c r="L1002" i="15"/>
  <c r="I1002" i="15"/>
  <c r="R1001" i="15"/>
  <c r="L1001" i="15"/>
  <c r="I1001" i="15"/>
  <c r="R1000" i="15"/>
  <c r="L1000" i="15"/>
  <c r="I1000" i="15"/>
  <c r="R999" i="15"/>
  <c r="L999" i="15"/>
  <c r="I999" i="15"/>
  <c r="R998" i="15"/>
  <c r="L998" i="15"/>
  <c r="I998" i="15"/>
  <c r="R997" i="15"/>
  <c r="L997" i="15"/>
  <c r="I997" i="15"/>
  <c r="R996" i="15"/>
  <c r="L996" i="15"/>
  <c r="I996" i="15"/>
  <c r="R995" i="15"/>
  <c r="L995" i="15"/>
  <c r="I995" i="15"/>
  <c r="R994" i="15"/>
  <c r="L994" i="15"/>
  <c r="I994" i="15"/>
  <c r="R993" i="15"/>
  <c r="L993" i="15"/>
  <c r="I993" i="15"/>
  <c r="R992" i="15"/>
  <c r="L992" i="15"/>
  <c r="I992" i="15"/>
  <c r="R991" i="15"/>
  <c r="L991" i="15"/>
  <c r="I991" i="15"/>
  <c r="R990" i="15"/>
  <c r="L990" i="15"/>
  <c r="I990" i="15"/>
  <c r="R989" i="15"/>
  <c r="L989" i="15"/>
  <c r="I989" i="15"/>
  <c r="R988" i="15"/>
  <c r="L988" i="15"/>
  <c r="I988" i="15"/>
  <c r="R987" i="15"/>
  <c r="L987" i="15"/>
  <c r="I987" i="15"/>
  <c r="R986" i="15"/>
  <c r="L986" i="15"/>
  <c r="I986" i="15"/>
  <c r="R985" i="15"/>
  <c r="L985" i="15"/>
  <c r="I985" i="15"/>
  <c r="R984" i="15"/>
  <c r="L984" i="15"/>
  <c r="I984" i="15"/>
  <c r="R983" i="15"/>
  <c r="L983" i="15"/>
  <c r="I983" i="15"/>
  <c r="R982" i="15"/>
  <c r="L982" i="15"/>
  <c r="I982" i="15"/>
  <c r="R981" i="15"/>
  <c r="L981" i="15"/>
  <c r="I981" i="15"/>
  <c r="R980" i="15"/>
  <c r="L980" i="15"/>
  <c r="I980" i="15"/>
  <c r="R979" i="15"/>
  <c r="L979" i="15"/>
  <c r="I979" i="15"/>
  <c r="R978" i="15"/>
  <c r="L978" i="15"/>
  <c r="I978" i="15"/>
  <c r="R977" i="15"/>
  <c r="L977" i="15"/>
  <c r="I977" i="15"/>
  <c r="R976" i="15"/>
  <c r="L976" i="15"/>
  <c r="I976" i="15"/>
  <c r="R975" i="15"/>
  <c r="L975" i="15"/>
  <c r="I975" i="15"/>
  <c r="R974" i="15"/>
  <c r="L974" i="15"/>
  <c r="I974" i="15"/>
  <c r="R973" i="15"/>
  <c r="L973" i="15"/>
  <c r="I973" i="15"/>
  <c r="R972" i="15"/>
  <c r="L972" i="15"/>
  <c r="I972" i="15"/>
  <c r="R971" i="15"/>
  <c r="L971" i="15"/>
  <c r="I971" i="15"/>
  <c r="R970" i="15"/>
  <c r="L970" i="15"/>
  <c r="I970" i="15"/>
  <c r="R969" i="15"/>
  <c r="L969" i="15"/>
  <c r="I969" i="15"/>
  <c r="R968" i="15"/>
  <c r="L968" i="15"/>
  <c r="I968" i="15"/>
  <c r="R967" i="15"/>
  <c r="L967" i="15"/>
  <c r="I967" i="15"/>
  <c r="R966" i="15"/>
  <c r="L966" i="15"/>
  <c r="I966" i="15"/>
  <c r="R965" i="15"/>
  <c r="L965" i="15"/>
  <c r="I965" i="15"/>
  <c r="R964" i="15"/>
  <c r="L964" i="15"/>
  <c r="I964" i="15"/>
  <c r="R963" i="15"/>
  <c r="L963" i="15"/>
  <c r="I963" i="15"/>
  <c r="R962" i="15"/>
  <c r="L962" i="15"/>
  <c r="I962" i="15"/>
  <c r="R961" i="15"/>
  <c r="L961" i="15"/>
  <c r="I961" i="15"/>
  <c r="R960" i="15"/>
  <c r="L960" i="15"/>
  <c r="I960" i="15"/>
  <c r="R959" i="15"/>
  <c r="L959" i="15"/>
  <c r="I959" i="15"/>
  <c r="R958" i="15"/>
  <c r="L958" i="15"/>
  <c r="I958" i="15"/>
  <c r="R957" i="15"/>
  <c r="L957" i="15"/>
  <c r="I957" i="15"/>
  <c r="R956" i="15"/>
  <c r="L956" i="15"/>
  <c r="I956" i="15"/>
  <c r="R955" i="15"/>
  <c r="L955" i="15"/>
  <c r="I955" i="15"/>
  <c r="R954" i="15"/>
  <c r="L954" i="15"/>
  <c r="I954" i="15"/>
  <c r="R953" i="15"/>
  <c r="L953" i="15"/>
  <c r="I953" i="15"/>
  <c r="R952" i="15"/>
  <c r="L952" i="15"/>
  <c r="I952" i="15"/>
  <c r="R951" i="15"/>
  <c r="L951" i="15"/>
  <c r="I951" i="15"/>
  <c r="R950" i="15"/>
  <c r="L950" i="15"/>
  <c r="I950" i="15"/>
  <c r="R949" i="15"/>
  <c r="L949" i="15"/>
  <c r="I949" i="15"/>
  <c r="R948" i="15"/>
  <c r="L948" i="15"/>
  <c r="I948" i="15"/>
  <c r="R947" i="15"/>
  <c r="L947" i="15"/>
  <c r="I947" i="15"/>
  <c r="R946" i="15"/>
  <c r="L946" i="15"/>
  <c r="I946" i="15"/>
  <c r="R945" i="15"/>
  <c r="L945" i="15"/>
  <c r="I945" i="15"/>
  <c r="R944" i="15"/>
  <c r="L944" i="15"/>
  <c r="I944" i="15"/>
  <c r="R943" i="15"/>
  <c r="L943" i="15"/>
  <c r="I943" i="15"/>
  <c r="R942" i="15"/>
  <c r="L942" i="15"/>
  <c r="I942" i="15"/>
  <c r="R941" i="15"/>
  <c r="L941" i="15"/>
  <c r="I941" i="15"/>
  <c r="R940" i="15"/>
  <c r="L940" i="15"/>
  <c r="I940" i="15"/>
  <c r="R939" i="15"/>
  <c r="L939" i="15"/>
  <c r="I939" i="15"/>
  <c r="R938" i="15"/>
  <c r="L938" i="15"/>
  <c r="I938" i="15"/>
  <c r="R937" i="15"/>
  <c r="L937" i="15"/>
  <c r="I937" i="15"/>
  <c r="R936" i="15"/>
  <c r="L936" i="15"/>
  <c r="I936" i="15"/>
  <c r="R935" i="15"/>
  <c r="L935" i="15"/>
  <c r="I935" i="15"/>
  <c r="R934" i="15"/>
  <c r="L934" i="15"/>
  <c r="I934" i="15"/>
  <c r="R933" i="15"/>
  <c r="L933" i="15"/>
  <c r="I933" i="15"/>
  <c r="R932" i="15"/>
  <c r="L932" i="15"/>
  <c r="I932" i="15"/>
  <c r="R931" i="15"/>
  <c r="L931" i="15"/>
  <c r="I931" i="15"/>
  <c r="R930" i="15"/>
  <c r="L930" i="15"/>
  <c r="I930" i="15"/>
  <c r="R929" i="15"/>
  <c r="L929" i="15"/>
  <c r="I929" i="15"/>
  <c r="R928" i="15"/>
  <c r="L928" i="15"/>
  <c r="I928" i="15"/>
  <c r="R927" i="15"/>
  <c r="L927" i="15"/>
  <c r="I927" i="15"/>
  <c r="R926" i="15"/>
  <c r="L926" i="15"/>
  <c r="I926" i="15"/>
  <c r="R925" i="15"/>
  <c r="L925" i="15"/>
  <c r="I925" i="15"/>
  <c r="R924" i="15"/>
  <c r="L924" i="15"/>
  <c r="I924" i="15"/>
  <c r="R923" i="15"/>
  <c r="L923" i="15"/>
  <c r="I923" i="15"/>
  <c r="R922" i="15"/>
  <c r="L922" i="15"/>
  <c r="I922" i="15"/>
  <c r="R921" i="15"/>
  <c r="L921" i="15"/>
  <c r="I921" i="15"/>
  <c r="R920" i="15"/>
  <c r="L920" i="15"/>
  <c r="I920" i="15"/>
  <c r="R919" i="15"/>
  <c r="L919" i="15"/>
  <c r="I919" i="15"/>
  <c r="R918" i="15"/>
  <c r="L918" i="15"/>
  <c r="I918" i="15"/>
  <c r="R917" i="15"/>
  <c r="L917" i="15"/>
  <c r="I917" i="15"/>
  <c r="R916" i="15"/>
  <c r="L916" i="15"/>
  <c r="I916" i="15"/>
  <c r="R915" i="15"/>
  <c r="L915" i="15"/>
  <c r="I915" i="15"/>
  <c r="R914" i="15"/>
  <c r="L914" i="15"/>
  <c r="I914" i="15"/>
  <c r="R913" i="15"/>
  <c r="L913" i="15"/>
  <c r="I913" i="15"/>
  <c r="R912" i="15"/>
  <c r="L912" i="15"/>
  <c r="I912" i="15"/>
  <c r="R911" i="15"/>
  <c r="L911" i="15"/>
  <c r="I911" i="15"/>
  <c r="R910" i="15"/>
  <c r="L910" i="15"/>
  <c r="I910" i="15"/>
  <c r="R909" i="15"/>
  <c r="L909" i="15"/>
  <c r="I909" i="15"/>
  <c r="R908" i="15"/>
  <c r="L908" i="15"/>
  <c r="I908" i="15"/>
  <c r="R907" i="15"/>
  <c r="L907" i="15"/>
  <c r="I907" i="15"/>
  <c r="R906" i="15"/>
  <c r="L906" i="15"/>
  <c r="I906" i="15"/>
  <c r="R905" i="15"/>
  <c r="L905" i="15"/>
  <c r="I905" i="15"/>
  <c r="R904" i="15"/>
  <c r="L904" i="15"/>
  <c r="I904" i="15"/>
  <c r="R903" i="15"/>
  <c r="L903" i="15"/>
  <c r="I903" i="15"/>
  <c r="R902" i="15"/>
  <c r="L902" i="15"/>
  <c r="I902" i="15"/>
  <c r="R901" i="15"/>
  <c r="L901" i="15"/>
  <c r="I901" i="15"/>
  <c r="R900" i="15"/>
  <c r="L900" i="15"/>
  <c r="I900" i="15"/>
  <c r="R899" i="15"/>
  <c r="L899" i="15"/>
  <c r="I899" i="15"/>
  <c r="R898" i="15"/>
  <c r="L898" i="15"/>
  <c r="I898" i="15"/>
  <c r="R897" i="15"/>
  <c r="L897" i="15"/>
  <c r="I897" i="15"/>
  <c r="R896" i="15"/>
  <c r="L896" i="15"/>
  <c r="I896" i="15"/>
  <c r="R895" i="15"/>
  <c r="L895" i="15"/>
  <c r="I895" i="15"/>
  <c r="R894" i="15"/>
  <c r="L894" i="15"/>
  <c r="I894" i="15"/>
  <c r="R893" i="15"/>
  <c r="L893" i="15"/>
  <c r="I893" i="15"/>
  <c r="R892" i="15"/>
  <c r="L892" i="15"/>
  <c r="I892" i="15"/>
  <c r="R891" i="15"/>
  <c r="L891" i="15"/>
  <c r="I891" i="15"/>
  <c r="R890" i="15"/>
  <c r="L890" i="15"/>
  <c r="I890" i="15"/>
  <c r="R889" i="15"/>
  <c r="L889" i="15"/>
  <c r="I889" i="15"/>
  <c r="R888" i="15"/>
  <c r="L888" i="15"/>
  <c r="I888" i="15"/>
  <c r="R887" i="15"/>
  <c r="L887" i="15"/>
  <c r="I887" i="15"/>
  <c r="R886" i="15"/>
  <c r="L886" i="15"/>
  <c r="I886" i="15"/>
  <c r="R885" i="15"/>
  <c r="L885" i="15"/>
  <c r="I885" i="15"/>
  <c r="R884" i="15"/>
  <c r="L884" i="15"/>
  <c r="I884" i="15"/>
  <c r="R883" i="15"/>
  <c r="L883" i="15"/>
  <c r="I883" i="15"/>
  <c r="R882" i="15"/>
  <c r="L882" i="15"/>
  <c r="I882" i="15"/>
  <c r="R881" i="15"/>
  <c r="L881" i="15"/>
  <c r="I881" i="15"/>
  <c r="R880" i="15"/>
  <c r="L880" i="15"/>
  <c r="I880" i="15"/>
  <c r="R879" i="15"/>
  <c r="L879" i="15"/>
  <c r="I879" i="15"/>
  <c r="R878" i="15"/>
  <c r="L878" i="15"/>
  <c r="I878" i="15"/>
  <c r="R877" i="15"/>
  <c r="L877" i="15"/>
  <c r="I877" i="15"/>
  <c r="R876" i="15"/>
  <c r="L876" i="15"/>
  <c r="I876" i="15"/>
  <c r="R875" i="15"/>
  <c r="L875" i="15"/>
  <c r="I875" i="15"/>
  <c r="R874" i="15"/>
  <c r="L874" i="15"/>
  <c r="I874" i="15"/>
  <c r="R873" i="15"/>
  <c r="L873" i="15"/>
  <c r="I873" i="15"/>
  <c r="R872" i="15"/>
  <c r="L872" i="15"/>
  <c r="I872" i="15"/>
  <c r="R871" i="15"/>
  <c r="L871" i="15"/>
  <c r="I871" i="15"/>
  <c r="R870" i="15"/>
  <c r="L870" i="15"/>
  <c r="I870" i="15"/>
  <c r="R869" i="15"/>
  <c r="L869" i="15"/>
  <c r="I869" i="15"/>
  <c r="R868" i="15"/>
  <c r="L868" i="15"/>
  <c r="I868" i="15"/>
  <c r="R867" i="15"/>
  <c r="L867" i="15"/>
  <c r="I867" i="15"/>
  <c r="R866" i="15"/>
  <c r="L866" i="15"/>
  <c r="I866" i="15"/>
  <c r="R865" i="15"/>
  <c r="L865" i="15"/>
  <c r="I865" i="15"/>
  <c r="R864" i="15"/>
  <c r="L864" i="15"/>
  <c r="I864" i="15"/>
  <c r="R863" i="15"/>
  <c r="L863" i="15"/>
  <c r="I863" i="15"/>
  <c r="R862" i="15"/>
  <c r="L862" i="15"/>
  <c r="I862" i="15"/>
  <c r="R861" i="15"/>
  <c r="L861" i="15"/>
  <c r="I861" i="15"/>
  <c r="R860" i="15"/>
  <c r="L860" i="15"/>
  <c r="I860" i="15"/>
  <c r="R859" i="15"/>
  <c r="L859" i="15"/>
  <c r="I859" i="15"/>
  <c r="R858" i="15"/>
  <c r="L858" i="15"/>
  <c r="I858" i="15"/>
  <c r="R857" i="15"/>
  <c r="L857" i="15"/>
  <c r="I857" i="15"/>
  <c r="R856" i="15"/>
  <c r="L856" i="15"/>
  <c r="I856" i="15"/>
  <c r="R855" i="15"/>
  <c r="L855" i="15"/>
  <c r="I855" i="15"/>
  <c r="R854" i="15"/>
  <c r="L854" i="15"/>
  <c r="I854" i="15"/>
  <c r="R853" i="15"/>
  <c r="L853" i="15"/>
  <c r="I853" i="15"/>
  <c r="R852" i="15"/>
  <c r="L852" i="15"/>
  <c r="I852" i="15"/>
  <c r="R851" i="15"/>
  <c r="L851" i="15"/>
  <c r="I851" i="15"/>
  <c r="R850" i="15"/>
  <c r="L850" i="15"/>
  <c r="I850" i="15"/>
  <c r="R849" i="15"/>
  <c r="L849" i="15"/>
  <c r="I849" i="15"/>
  <c r="R848" i="15"/>
  <c r="L848" i="15"/>
  <c r="I848" i="15"/>
  <c r="R847" i="15"/>
  <c r="L847" i="15"/>
  <c r="I847" i="15"/>
  <c r="R846" i="15"/>
  <c r="L846" i="15"/>
  <c r="I846" i="15"/>
  <c r="R845" i="15"/>
  <c r="L845" i="15"/>
  <c r="I845" i="15"/>
  <c r="R844" i="15"/>
  <c r="L844" i="15"/>
  <c r="I844" i="15"/>
  <c r="R843" i="15"/>
  <c r="L843" i="15"/>
  <c r="I843" i="15"/>
  <c r="R842" i="15"/>
  <c r="L842" i="15"/>
  <c r="I842" i="15"/>
  <c r="R841" i="15"/>
  <c r="L841" i="15"/>
  <c r="I841" i="15"/>
  <c r="R840" i="15"/>
  <c r="L840" i="15"/>
  <c r="I840" i="15"/>
  <c r="R839" i="15"/>
  <c r="L839" i="15"/>
  <c r="I839" i="15"/>
  <c r="R838" i="15"/>
  <c r="L838" i="15"/>
  <c r="I838" i="15"/>
  <c r="R837" i="15"/>
  <c r="L837" i="15"/>
  <c r="I837" i="15"/>
  <c r="R836" i="15"/>
  <c r="L836" i="15"/>
  <c r="I836" i="15"/>
  <c r="R835" i="15"/>
  <c r="L835" i="15"/>
  <c r="I835" i="15"/>
  <c r="R834" i="15"/>
  <c r="L834" i="15"/>
  <c r="I834" i="15"/>
  <c r="R833" i="15"/>
  <c r="L833" i="15"/>
  <c r="I833" i="15"/>
  <c r="R832" i="15"/>
  <c r="L832" i="15"/>
  <c r="I832" i="15"/>
  <c r="R831" i="15"/>
  <c r="L831" i="15"/>
  <c r="I831" i="15"/>
  <c r="R830" i="15"/>
  <c r="L830" i="15"/>
  <c r="I830" i="15"/>
  <c r="R829" i="15"/>
  <c r="L829" i="15"/>
  <c r="I829" i="15"/>
  <c r="R828" i="15"/>
  <c r="L828" i="15"/>
  <c r="I828" i="15"/>
  <c r="R827" i="15"/>
  <c r="L827" i="15"/>
  <c r="I827" i="15"/>
  <c r="R826" i="15"/>
  <c r="L826" i="15"/>
  <c r="I826" i="15"/>
  <c r="R825" i="15"/>
  <c r="L825" i="15"/>
  <c r="I825" i="15"/>
  <c r="R824" i="15"/>
  <c r="L824" i="15"/>
  <c r="I824" i="15"/>
  <c r="R823" i="15"/>
  <c r="L823" i="15"/>
  <c r="I823" i="15"/>
  <c r="R822" i="15"/>
  <c r="L822" i="15"/>
  <c r="I822" i="15"/>
  <c r="R821" i="15"/>
  <c r="L821" i="15"/>
  <c r="I821" i="15"/>
  <c r="R820" i="15"/>
  <c r="L820" i="15"/>
  <c r="I820" i="15"/>
  <c r="R819" i="15"/>
  <c r="L819" i="15"/>
  <c r="I819" i="15"/>
  <c r="R818" i="15"/>
  <c r="L818" i="15"/>
  <c r="I818" i="15"/>
  <c r="R817" i="15"/>
  <c r="L817" i="15"/>
  <c r="I817" i="15"/>
  <c r="R816" i="15"/>
  <c r="L816" i="15"/>
  <c r="I816" i="15"/>
  <c r="R815" i="15"/>
  <c r="L815" i="15"/>
  <c r="I815" i="15"/>
  <c r="R814" i="15"/>
  <c r="L814" i="15"/>
  <c r="I814" i="15"/>
  <c r="R813" i="15"/>
  <c r="L813" i="15"/>
  <c r="I813" i="15"/>
  <c r="R812" i="15"/>
  <c r="L812" i="15"/>
  <c r="I812" i="15"/>
  <c r="R811" i="15"/>
  <c r="L811" i="15"/>
  <c r="I811" i="15"/>
  <c r="R810" i="15"/>
  <c r="L810" i="15"/>
  <c r="I810" i="15"/>
  <c r="R809" i="15"/>
  <c r="L809" i="15"/>
  <c r="I809" i="15"/>
  <c r="R808" i="15"/>
  <c r="L808" i="15"/>
  <c r="I808" i="15"/>
  <c r="R807" i="15"/>
  <c r="L807" i="15"/>
  <c r="I807" i="15"/>
  <c r="R806" i="15"/>
  <c r="L806" i="15"/>
  <c r="I806" i="15"/>
  <c r="R805" i="15"/>
  <c r="L805" i="15"/>
  <c r="I805" i="15"/>
  <c r="R804" i="15"/>
  <c r="L804" i="15"/>
  <c r="I804" i="15"/>
  <c r="R803" i="15"/>
  <c r="L803" i="15"/>
  <c r="I803" i="15"/>
  <c r="R802" i="15"/>
  <c r="L802" i="15"/>
  <c r="I802" i="15"/>
  <c r="R801" i="15"/>
  <c r="L801" i="15"/>
  <c r="I801" i="15"/>
  <c r="R800" i="15"/>
  <c r="L800" i="15"/>
  <c r="I800" i="15"/>
  <c r="R799" i="15"/>
  <c r="L799" i="15"/>
  <c r="I799" i="15"/>
  <c r="R798" i="15"/>
  <c r="L798" i="15"/>
  <c r="I798" i="15"/>
  <c r="R797" i="15"/>
  <c r="L797" i="15"/>
  <c r="I797" i="15"/>
  <c r="R796" i="15"/>
  <c r="L796" i="15"/>
  <c r="I796" i="15"/>
  <c r="R795" i="15"/>
  <c r="L795" i="15"/>
  <c r="I795" i="15"/>
  <c r="R794" i="15"/>
  <c r="L794" i="15"/>
  <c r="I794" i="15"/>
  <c r="R793" i="15"/>
  <c r="L793" i="15"/>
  <c r="I793" i="15"/>
  <c r="R792" i="15"/>
  <c r="L792" i="15"/>
  <c r="I792" i="15"/>
  <c r="R791" i="15"/>
  <c r="L791" i="15"/>
  <c r="I791" i="15"/>
  <c r="R790" i="15"/>
  <c r="L790" i="15"/>
  <c r="I790" i="15"/>
  <c r="R789" i="15"/>
  <c r="L789" i="15"/>
  <c r="I789" i="15"/>
  <c r="R788" i="15"/>
  <c r="L788" i="15"/>
  <c r="I788" i="15"/>
  <c r="R787" i="15"/>
  <c r="L787" i="15"/>
  <c r="I787" i="15"/>
  <c r="R786" i="15"/>
  <c r="L786" i="15"/>
  <c r="I786" i="15"/>
  <c r="R785" i="15"/>
  <c r="L785" i="15"/>
  <c r="I785" i="15"/>
  <c r="R784" i="15"/>
  <c r="L784" i="15"/>
  <c r="I784" i="15"/>
  <c r="R783" i="15"/>
  <c r="L783" i="15"/>
  <c r="I783" i="15"/>
  <c r="R782" i="15"/>
  <c r="L782" i="15"/>
  <c r="I782" i="15"/>
  <c r="R781" i="15"/>
  <c r="L781" i="15"/>
  <c r="I781" i="15"/>
  <c r="R780" i="15"/>
  <c r="L780" i="15"/>
  <c r="I780" i="15"/>
  <c r="R779" i="15"/>
  <c r="L779" i="15"/>
  <c r="I779" i="15"/>
  <c r="R778" i="15"/>
  <c r="L778" i="15"/>
  <c r="I778" i="15"/>
  <c r="R777" i="15"/>
  <c r="L777" i="15"/>
  <c r="I777" i="15"/>
  <c r="R776" i="15"/>
  <c r="L776" i="15"/>
  <c r="I776" i="15"/>
  <c r="R775" i="15"/>
  <c r="L775" i="15"/>
  <c r="I775" i="15"/>
  <c r="R774" i="15"/>
  <c r="L774" i="15"/>
  <c r="I774" i="15"/>
  <c r="R773" i="15"/>
  <c r="L773" i="15"/>
  <c r="I773" i="15"/>
  <c r="R772" i="15"/>
  <c r="L772" i="15"/>
  <c r="I772" i="15"/>
  <c r="R771" i="15"/>
  <c r="L771" i="15"/>
  <c r="I771" i="15"/>
  <c r="R770" i="15"/>
  <c r="L770" i="15"/>
  <c r="I770" i="15"/>
  <c r="R769" i="15"/>
  <c r="L769" i="15"/>
  <c r="I769" i="15"/>
  <c r="R768" i="15"/>
  <c r="L768" i="15"/>
  <c r="I768" i="15"/>
  <c r="R767" i="15"/>
  <c r="L767" i="15"/>
  <c r="I767" i="15"/>
  <c r="R766" i="15"/>
  <c r="L766" i="15"/>
  <c r="I766" i="15"/>
  <c r="R765" i="15"/>
  <c r="L765" i="15"/>
  <c r="I765" i="15"/>
  <c r="R764" i="15"/>
  <c r="L764" i="15"/>
  <c r="I764" i="15"/>
  <c r="R763" i="15"/>
  <c r="L763" i="15"/>
  <c r="I763" i="15"/>
  <c r="R762" i="15"/>
  <c r="L762" i="15"/>
  <c r="I762" i="15"/>
  <c r="R761" i="15"/>
  <c r="L761" i="15"/>
  <c r="I761" i="15"/>
  <c r="R760" i="15"/>
  <c r="L760" i="15"/>
  <c r="I760" i="15"/>
  <c r="R759" i="15"/>
  <c r="L759" i="15"/>
  <c r="I759" i="15"/>
  <c r="R758" i="15"/>
  <c r="L758" i="15"/>
  <c r="I758" i="15"/>
  <c r="R757" i="15"/>
  <c r="L757" i="15"/>
  <c r="I757" i="15"/>
  <c r="R756" i="15"/>
  <c r="L756" i="15"/>
  <c r="I756" i="15"/>
  <c r="R755" i="15"/>
  <c r="L755" i="15"/>
  <c r="I755" i="15"/>
  <c r="R754" i="15"/>
  <c r="L754" i="15"/>
  <c r="I754" i="15"/>
  <c r="R753" i="15"/>
  <c r="L753" i="15"/>
  <c r="I753" i="15"/>
  <c r="R752" i="15"/>
  <c r="L752" i="15"/>
  <c r="I752" i="15"/>
  <c r="R751" i="15"/>
  <c r="L751" i="15"/>
  <c r="I751" i="15"/>
  <c r="R750" i="15"/>
  <c r="L750" i="15"/>
  <c r="I750" i="15"/>
  <c r="R749" i="15"/>
  <c r="L749" i="15"/>
  <c r="I749" i="15"/>
  <c r="R748" i="15"/>
  <c r="L748" i="15"/>
  <c r="I748" i="15"/>
  <c r="R747" i="15"/>
  <c r="L747" i="15"/>
  <c r="I747" i="15"/>
  <c r="R746" i="15"/>
  <c r="L746" i="15"/>
  <c r="I746" i="15"/>
  <c r="R745" i="15"/>
  <c r="L745" i="15"/>
  <c r="I745" i="15"/>
  <c r="R744" i="15"/>
  <c r="L744" i="15"/>
  <c r="I744" i="15"/>
  <c r="R743" i="15"/>
  <c r="L743" i="15"/>
  <c r="I743" i="15"/>
  <c r="R742" i="15"/>
  <c r="L742" i="15"/>
  <c r="I742" i="15"/>
  <c r="R741" i="15"/>
  <c r="L741" i="15"/>
  <c r="I741" i="15"/>
  <c r="R740" i="15"/>
  <c r="L740" i="15"/>
  <c r="I740" i="15"/>
  <c r="R739" i="15"/>
  <c r="L739" i="15"/>
  <c r="I739" i="15"/>
  <c r="R738" i="15"/>
  <c r="L738" i="15"/>
  <c r="I738" i="15"/>
  <c r="R737" i="15"/>
  <c r="L737" i="15"/>
  <c r="I737" i="15"/>
  <c r="R736" i="15"/>
  <c r="L736" i="15"/>
  <c r="I736" i="15"/>
  <c r="R735" i="15"/>
  <c r="L735" i="15"/>
  <c r="I735" i="15"/>
  <c r="R734" i="15"/>
  <c r="L734" i="15"/>
  <c r="I734" i="15"/>
  <c r="R733" i="15"/>
  <c r="L733" i="15"/>
  <c r="I733" i="15"/>
  <c r="R732" i="15"/>
  <c r="L732" i="15"/>
  <c r="I732" i="15"/>
  <c r="R731" i="15"/>
  <c r="L731" i="15"/>
  <c r="I731" i="15"/>
  <c r="R730" i="15"/>
  <c r="L730" i="15"/>
  <c r="I730" i="15"/>
  <c r="R729" i="15"/>
  <c r="L729" i="15"/>
  <c r="I729" i="15"/>
  <c r="R728" i="15"/>
  <c r="L728" i="15"/>
  <c r="I728" i="15"/>
  <c r="R727" i="15"/>
  <c r="L727" i="15"/>
  <c r="I727" i="15"/>
  <c r="R726" i="15"/>
  <c r="L726" i="15"/>
  <c r="I726" i="15"/>
  <c r="R725" i="15"/>
  <c r="L725" i="15"/>
  <c r="I725" i="15"/>
  <c r="R724" i="15"/>
  <c r="L724" i="15"/>
  <c r="I724" i="15"/>
  <c r="R723" i="15"/>
  <c r="L723" i="15"/>
  <c r="I723" i="15"/>
  <c r="R722" i="15"/>
  <c r="L722" i="15"/>
  <c r="I722" i="15"/>
  <c r="R721" i="15"/>
  <c r="L721" i="15"/>
  <c r="I721" i="15"/>
  <c r="R720" i="15"/>
  <c r="L720" i="15"/>
  <c r="I720" i="15"/>
  <c r="R719" i="15"/>
  <c r="L719" i="15"/>
  <c r="I719" i="15"/>
  <c r="R718" i="15"/>
  <c r="L718" i="15"/>
  <c r="I718" i="15"/>
  <c r="R717" i="15"/>
  <c r="L717" i="15"/>
  <c r="I717" i="15"/>
  <c r="R716" i="15"/>
  <c r="L716" i="15"/>
  <c r="I716" i="15"/>
  <c r="R715" i="15"/>
  <c r="L715" i="15"/>
  <c r="I715" i="15"/>
  <c r="R714" i="15"/>
  <c r="L714" i="15"/>
  <c r="I714" i="15"/>
  <c r="R713" i="15"/>
  <c r="L713" i="15"/>
  <c r="I713" i="15"/>
  <c r="R712" i="15"/>
  <c r="L712" i="15"/>
  <c r="I712" i="15"/>
  <c r="R711" i="15"/>
  <c r="L711" i="15"/>
  <c r="I711" i="15"/>
  <c r="R710" i="15"/>
  <c r="L710" i="15"/>
  <c r="I710" i="15"/>
  <c r="R709" i="15"/>
  <c r="L709" i="15"/>
  <c r="I709" i="15"/>
  <c r="R708" i="15"/>
  <c r="L708" i="15"/>
  <c r="I708" i="15"/>
  <c r="R707" i="15"/>
  <c r="L707" i="15"/>
  <c r="I707" i="15"/>
  <c r="R706" i="15"/>
  <c r="L706" i="15"/>
  <c r="I706" i="15"/>
  <c r="R705" i="15"/>
  <c r="L705" i="15"/>
  <c r="I705" i="15"/>
  <c r="R704" i="15"/>
  <c r="L704" i="15"/>
  <c r="I704" i="15"/>
  <c r="R703" i="15"/>
  <c r="L703" i="15"/>
  <c r="I703" i="15"/>
  <c r="R702" i="15"/>
  <c r="L702" i="15"/>
  <c r="I702" i="15"/>
  <c r="R701" i="15"/>
  <c r="L701" i="15"/>
  <c r="I701" i="15"/>
  <c r="R700" i="15"/>
  <c r="L700" i="15"/>
  <c r="I700" i="15"/>
  <c r="R699" i="15"/>
  <c r="L699" i="15"/>
  <c r="I699" i="15"/>
  <c r="R698" i="15"/>
  <c r="L698" i="15"/>
  <c r="I698" i="15"/>
  <c r="R697" i="15"/>
  <c r="L697" i="15"/>
  <c r="I697" i="15"/>
  <c r="R696" i="15"/>
  <c r="L696" i="15"/>
  <c r="I696" i="15"/>
  <c r="R695" i="15"/>
  <c r="L695" i="15"/>
  <c r="I695" i="15"/>
  <c r="R694" i="15"/>
  <c r="L694" i="15"/>
  <c r="I694" i="15"/>
  <c r="R693" i="15"/>
  <c r="L693" i="15"/>
  <c r="I693" i="15"/>
  <c r="R692" i="15"/>
  <c r="L692" i="15"/>
  <c r="I692" i="15"/>
  <c r="R691" i="15"/>
  <c r="L691" i="15"/>
  <c r="I691" i="15"/>
  <c r="R690" i="15"/>
  <c r="L690" i="15"/>
  <c r="I690" i="15"/>
  <c r="R689" i="15"/>
  <c r="L689" i="15"/>
  <c r="I689" i="15"/>
  <c r="R688" i="15"/>
  <c r="L688" i="15"/>
  <c r="I688" i="15"/>
  <c r="R687" i="15"/>
  <c r="L687" i="15"/>
  <c r="I687" i="15"/>
  <c r="R686" i="15"/>
  <c r="L686" i="15"/>
  <c r="I686" i="15"/>
  <c r="R685" i="15"/>
  <c r="L685" i="15"/>
  <c r="I685" i="15"/>
  <c r="R684" i="15"/>
  <c r="L684" i="15"/>
  <c r="I684" i="15"/>
  <c r="R683" i="15"/>
  <c r="L683" i="15"/>
  <c r="I683" i="15"/>
  <c r="R682" i="15"/>
  <c r="L682" i="15"/>
  <c r="I682" i="15"/>
  <c r="R681" i="15"/>
  <c r="L681" i="15"/>
  <c r="I681" i="15"/>
  <c r="R680" i="15"/>
  <c r="L680" i="15"/>
  <c r="I680" i="15"/>
  <c r="R679" i="15"/>
  <c r="L679" i="15"/>
  <c r="I679" i="15"/>
  <c r="R678" i="15"/>
  <c r="L678" i="15"/>
  <c r="I678" i="15"/>
  <c r="R677" i="15"/>
  <c r="L677" i="15"/>
  <c r="I677" i="15"/>
  <c r="R676" i="15"/>
  <c r="L676" i="15"/>
  <c r="I676" i="15"/>
  <c r="R675" i="15"/>
  <c r="L675" i="15"/>
  <c r="I675" i="15"/>
  <c r="R674" i="15"/>
  <c r="L674" i="15"/>
  <c r="I674" i="15"/>
  <c r="R673" i="15"/>
  <c r="L673" i="15"/>
  <c r="I673" i="15"/>
  <c r="R672" i="15"/>
  <c r="L672" i="15"/>
  <c r="I672" i="15"/>
  <c r="R671" i="15"/>
  <c r="L671" i="15"/>
  <c r="I671" i="15"/>
  <c r="R670" i="15"/>
  <c r="L670" i="15"/>
  <c r="I670" i="15"/>
  <c r="R669" i="15"/>
  <c r="L669" i="15"/>
  <c r="I669" i="15"/>
  <c r="R668" i="15"/>
  <c r="L668" i="15"/>
  <c r="I668" i="15"/>
  <c r="R667" i="15"/>
  <c r="L667" i="15"/>
  <c r="I667" i="15"/>
  <c r="R666" i="15"/>
  <c r="L666" i="15"/>
  <c r="I666" i="15"/>
  <c r="R665" i="15"/>
  <c r="L665" i="15"/>
  <c r="I665" i="15"/>
  <c r="R664" i="15"/>
  <c r="L664" i="15"/>
  <c r="I664" i="15"/>
  <c r="R663" i="15"/>
  <c r="L663" i="15"/>
  <c r="I663" i="15"/>
  <c r="R662" i="15"/>
  <c r="L662" i="15"/>
  <c r="I662" i="15"/>
  <c r="R661" i="15"/>
  <c r="L661" i="15"/>
  <c r="I661" i="15"/>
  <c r="R660" i="15"/>
  <c r="L660" i="15"/>
  <c r="I660" i="15"/>
  <c r="R659" i="15"/>
  <c r="L659" i="15"/>
  <c r="I659" i="15"/>
  <c r="R658" i="15"/>
  <c r="L658" i="15"/>
  <c r="I658" i="15"/>
  <c r="R657" i="15"/>
  <c r="L657" i="15"/>
  <c r="I657" i="15"/>
  <c r="R656" i="15"/>
  <c r="L656" i="15"/>
  <c r="I656" i="15"/>
  <c r="R655" i="15"/>
  <c r="L655" i="15"/>
  <c r="I655" i="15"/>
  <c r="R654" i="15"/>
  <c r="L654" i="15"/>
  <c r="I654" i="15"/>
  <c r="R653" i="15"/>
  <c r="L653" i="15"/>
  <c r="I653" i="15"/>
  <c r="R652" i="15"/>
  <c r="L652" i="15"/>
  <c r="I652" i="15"/>
  <c r="R651" i="15"/>
  <c r="L651" i="15"/>
  <c r="I651" i="15"/>
  <c r="R650" i="15"/>
  <c r="L650" i="15"/>
  <c r="I650" i="15"/>
  <c r="R649" i="15"/>
  <c r="L649" i="15"/>
  <c r="I649" i="15"/>
  <c r="R648" i="15"/>
  <c r="L648" i="15"/>
  <c r="I648" i="15"/>
  <c r="R647" i="15"/>
  <c r="L647" i="15"/>
  <c r="I647" i="15"/>
  <c r="R646" i="15"/>
  <c r="L646" i="15"/>
  <c r="I646" i="15"/>
  <c r="R645" i="15"/>
  <c r="L645" i="15"/>
  <c r="I645" i="15"/>
  <c r="R644" i="15"/>
  <c r="L644" i="15"/>
  <c r="I644" i="15"/>
  <c r="R643" i="15"/>
  <c r="L643" i="15"/>
  <c r="I643" i="15"/>
  <c r="R642" i="15"/>
  <c r="L642" i="15"/>
  <c r="I642" i="15"/>
  <c r="R641" i="15"/>
  <c r="L641" i="15"/>
  <c r="I641" i="15"/>
  <c r="R640" i="15"/>
  <c r="L640" i="15"/>
  <c r="I640" i="15"/>
  <c r="R639" i="15"/>
  <c r="L639" i="15"/>
  <c r="I639" i="15"/>
  <c r="R638" i="15"/>
  <c r="L638" i="15"/>
  <c r="I638" i="15"/>
  <c r="R637" i="15"/>
  <c r="L637" i="15"/>
  <c r="I637" i="15"/>
  <c r="R636" i="15"/>
  <c r="L636" i="15"/>
  <c r="I636" i="15"/>
  <c r="R635" i="15"/>
  <c r="L635" i="15"/>
  <c r="I635" i="15"/>
  <c r="R634" i="15"/>
  <c r="L634" i="15"/>
  <c r="I634" i="15"/>
  <c r="R633" i="15"/>
  <c r="L633" i="15"/>
  <c r="I633" i="15"/>
  <c r="R632" i="15"/>
  <c r="L632" i="15"/>
  <c r="I632" i="15"/>
  <c r="R631" i="15"/>
  <c r="L631" i="15"/>
  <c r="I631" i="15"/>
  <c r="R630" i="15"/>
  <c r="L630" i="15"/>
  <c r="I630" i="15"/>
  <c r="R629" i="15"/>
  <c r="L629" i="15"/>
  <c r="I629" i="15"/>
  <c r="R628" i="15"/>
  <c r="L628" i="15"/>
  <c r="I628" i="15"/>
  <c r="R627" i="15"/>
  <c r="L627" i="15"/>
  <c r="I627" i="15"/>
  <c r="R626" i="15"/>
  <c r="L626" i="15"/>
  <c r="I626" i="15"/>
  <c r="R625" i="15"/>
  <c r="L625" i="15"/>
  <c r="I625" i="15"/>
  <c r="R624" i="15"/>
  <c r="L624" i="15"/>
  <c r="I624" i="15"/>
  <c r="R623" i="15"/>
  <c r="L623" i="15"/>
  <c r="I623" i="15"/>
  <c r="R622" i="15"/>
  <c r="L622" i="15"/>
  <c r="I622" i="15"/>
  <c r="R621" i="15"/>
  <c r="L621" i="15"/>
  <c r="I621" i="15"/>
  <c r="R620" i="15"/>
  <c r="L620" i="15"/>
  <c r="I620" i="15"/>
  <c r="R619" i="15"/>
  <c r="L619" i="15"/>
  <c r="I619" i="15"/>
  <c r="R618" i="15"/>
  <c r="L618" i="15"/>
  <c r="I618" i="15"/>
  <c r="R617" i="15"/>
  <c r="L617" i="15"/>
  <c r="I617" i="15"/>
  <c r="R616" i="15"/>
  <c r="L616" i="15"/>
  <c r="I616" i="15"/>
  <c r="R615" i="15"/>
  <c r="L615" i="15"/>
  <c r="I615" i="15"/>
  <c r="R614" i="15"/>
  <c r="L614" i="15"/>
  <c r="I614" i="15"/>
  <c r="R613" i="15"/>
  <c r="L613" i="15"/>
  <c r="I613" i="15"/>
  <c r="R612" i="15"/>
  <c r="L612" i="15"/>
  <c r="I612" i="15"/>
  <c r="R611" i="15"/>
  <c r="L611" i="15"/>
  <c r="I611" i="15"/>
  <c r="R610" i="15"/>
  <c r="L610" i="15"/>
  <c r="I610" i="15"/>
  <c r="R609" i="15"/>
  <c r="L609" i="15"/>
  <c r="I609" i="15"/>
  <c r="R608" i="15"/>
  <c r="L608" i="15"/>
  <c r="I608" i="15"/>
  <c r="R607" i="15"/>
  <c r="L607" i="15"/>
  <c r="I607" i="15"/>
  <c r="R606" i="15"/>
  <c r="L606" i="15"/>
  <c r="I606" i="15"/>
  <c r="R605" i="15"/>
  <c r="L605" i="15"/>
  <c r="I605" i="15"/>
  <c r="R604" i="15"/>
  <c r="L604" i="15"/>
  <c r="I604" i="15"/>
  <c r="R603" i="15"/>
  <c r="L603" i="15"/>
  <c r="I603" i="15"/>
  <c r="R602" i="15"/>
  <c r="L602" i="15"/>
  <c r="I602" i="15"/>
  <c r="R601" i="15"/>
  <c r="L601" i="15"/>
  <c r="I601" i="15"/>
  <c r="R600" i="15"/>
  <c r="L600" i="15"/>
  <c r="I600" i="15"/>
  <c r="R599" i="15"/>
  <c r="L599" i="15"/>
  <c r="I599" i="15"/>
  <c r="R598" i="15"/>
  <c r="L598" i="15"/>
  <c r="I598" i="15"/>
  <c r="R597" i="15"/>
  <c r="L597" i="15"/>
  <c r="I597" i="15"/>
  <c r="R596" i="15"/>
  <c r="L596" i="15"/>
  <c r="I596" i="15"/>
  <c r="R595" i="15"/>
  <c r="L595" i="15"/>
  <c r="I595" i="15"/>
  <c r="R594" i="15"/>
  <c r="L594" i="15"/>
  <c r="I594" i="15"/>
  <c r="R593" i="15"/>
  <c r="L593" i="15"/>
  <c r="I593" i="15"/>
  <c r="R592" i="15"/>
  <c r="L592" i="15"/>
  <c r="I592" i="15"/>
  <c r="R591" i="15"/>
  <c r="L591" i="15"/>
  <c r="I591" i="15"/>
  <c r="R590" i="15"/>
  <c r="L590" i="15"/>
  <c r="I590" i="15"/>
  <c r="R589" i="15"/>
  <c r="L589" i="15"/>
  <c r="I589" i="15"/>
  <c r="R588" i="15"/>
  <c r="L588" i="15"/>
  <c r="I588" i="15"/>
  <c r="R587" i="15"/>
  <c r="L587" i="15"/>
  <c r="I587" i="15"/>
  <c r="R586" i="15"/>
  <c r="L586" i="15"/>
  <c r="I586" i="15"/>
  <c r="R585" i="15"/>
  <c r="L585" i="15"/>
  <c r="I585" i="15"/>
  <c r="R584" i="15"/>
  <c r="L584" i="15"/>
  <c r="I584" i="15"/>
  <c r="R583" i="15"/>
  <c r="L583" i="15"/>
  <c r="I583" i="15"/>
  <c r="R582" i="15"/>
  <c r="L582" i="15"/>
  <c r="I582" i="15"/>
  <c r="R581" i="15"/>
  <c r="L581" i="15"/>
  <c r="I581" i="15"/>
  <c r="R580" i="15"/>
  <c r="L580" i="15"/>
  <c r="I580" i="15"/>
  <c r="R579" i="15"/>
  <c r="L579" i="15"/>
  <c r="I579" i="15"/>
  <c r="R578" i="15"/>
  <c r="L578" i="15"/>
  <c r="I578" i="15"/>
  <c r="R577" i="15"/>
  <c r="L577" i="15"/>
  <c r="I577" i="15"/>
  <c r="R576" i="15"/>
  <c r="L576" i="15"/>
  <c r="I576" i="15"/>
  <c r="R575" i="15"/>
  <c r="L575" i="15"/>
  <c r="I575" i="15"/>
  <c r="R574" i="15"/>
  <c r="L574" i="15"/>
  <c r="I574" i="15"/>
  <c r="R573" i="15"/>
  <c r="L573" i="15"/>
  <c r="I573" i="15"/>
  <c r="R572" i="15"/>
  <c r="L572" i="15"/>
  <c r="I572" i="15"/>
  <c r="R571" i="15"/>
  <c r="L571" i="15"/>
  <c r="I571" i="15"/>
  <c r="R570" i="15"/>
  <c r="L570" i="15"/>
  <c r="I570" i="15"/>
  <c r="R569" i="15"/>
  <c r="L569" i="15"/>
  <c r="I569" i="15"/>
  <c r="R568" i="15"/>
  <c r="L568" i="15"/>
  <c r="I568" i="15"/>
  <c r="R567" i="15"/>
  <c r="L567" i="15"/>
  <c r="I567" i="15"/>
  <c r="R566" i="15"/>
  <c r="L566" i="15"/>
  <c r="I566" i="15"/>
  <c r="R565" i="15"/>
  <c r="L565" i="15"/>
  <c r="I565" i="15"/>
  <c r="R564" i="15"/>
  <c r="L564" i="15"/>
  <c r="I564" i="15"/>
  <c r="R563" i="15"/>
  <c r="L563" i="15"/>
  <c r="I563" i="15"/>
  <c r="R562" i="15"/>
  <c r="L562" i="15"/>
  <c r="I562" i="15"/>
  <c r="R561" i="15"/>
  <c r="L561" i="15"/>
  <c r="I561" i="15"/>
  <c r="R560" i="15"/>
  <c r="L560" i="15"/>
  <c r="I560" i="15"/>
  <c r="R559" i="15"/>
  <c r="L559" i="15"/>
  <c r="I559" i="15"/>
  <c r="R558" i="15"/>
  <c r="L558" i="15"/>
  <c r="I558" i="15"/>
  <c r="R557" i="15"/>
  <c r="L557" i="15"/>
  <c r="I557" i="15"/>
  <c r="R556" i="15"/>
  <c r="L556" i="15"/>
  <c r="I556" i="15"/>
  <c r="R555" i="15"/>
  <c r="L555" i="15"/>
  <c r="I555" i="15"/>
  <c r="R554" i="15"/>
  <c r="L554" i="15"/>
  <c r="I554" i="15"/>
  <c r="R553" i="15"/>
  <c r="L553" i="15"/>
  <c r="I553" i="15"/>
  <c r="R552" i="15"/>
  <c r="L552" i="15"/>
  <c r="I552" i="15"/>
  <c r="R551" i="15"/>
  <c r="L551" i="15"/>
  <c r="I551" i="15"/>
  <c r="R550" i="15"/>
  <c r="L550" i="15"/>
  <c r="I550" i="15"/>
  <c r="R549" i="15"/>
  <c r="L549" i="15"/>
  <c r="I549" i="15"/>
  <c r="R548" i="15"/>
  <c r="L548" i="15"/>
  <c r="I548" i="15"/>
  <c r="R547" i="15"/>
  <c r="L547" i="15"/>
  <c r="I547" i="15"/>
  <c r="R546" i="15"/>
  <c r="L546" i="15"/>
  <c r="I546" i="15"/>
  <c r="R545" i="15"/>
  <c r="L545" i="15"/>
  <c r="I545" i="15"/>
  <c r="R544" i="15"/>
  <c r="L544" i="15"/>
  <c r="I544" i="15"/>
  <c r="R543" i="15"/>
  <c r="L543" i="15"/>
  <c r="I543" i="15"/>
  <c r="R542" i="15"/>
  <c r="L542" i="15"/>
  <c r="I542" i="15"/>
  <c r="R541" i="15"/>
  <c r="L541" i="15"/>
  <c r="I541" i="15"/>
  <c r="R540" i="15"/>
  <c r="L540" i="15"/>
  <c r="I540" i="15"/>
  <c r="R539" i="15"/>
  <c r="L539" i="15"/>
  <c r="I539" i="15"/>
  <c r="R538" i="15"/>
  <c r="L538" i="15"/>
  <c r="I538" i="15"/>
  <c r="R537" i="15"/>
  <c r="L537" i="15"/>
  <c r="I537" i="15"/>
  <c r="R536" i="15"/>
  <c r="L536" i="15"/>
  <c r="I536" i="15"/>
  <c r="R535" i="15"/>
  <c r="L535" i="15"/>
  <c r="I535" i="15"/>
  <c r="R534" i="15"/>
  <c r="L534" i="15"/>
  <c r="I534" i="15"/>
  <c r="R533" i="15"/>
  <c r="L533" i="15"/>
  <c r="I533" i="15"/>
  <c r="R532" i="15"/>
  <c r="L532" i="15"/>
  <c r="I532" i="15"/>
  <c r="R531" i="15"/>
  <c r="L531" i="15"/>
  <c r="I531" i="15"/>
  <c r="R530" i="15"/>
  <c r="L530" i="15"/>
  <c r="I530" i="15"/>
  <c r="R529" i="15"/>
  <c r="L529" i="15"/>
  <c r="I529" i="15"/>
  <c r="R528" i="15"/>
  <c r="L528" i="15"/>
  <c r="I528" i="15"/>
  <c r="R527" i="15"/>
  <c r="L527" i="15"/>
  <c r="I527" i="15"/>
  <c r="R526" i="15"/>
  <c r="L526" i="15"/>
  <c r="I526" i="15"/>
  <c r="R525" i="15"/>
  <c r="L525" i="15"/>
  <c r="I525" i="15"/>
  <c r="R524" i="15"/>
  <c r="L524" i="15"/>
  <c r="I524" i="15"/>
  <c r="R523" i="15"/>
  <c r="L523" i="15"/>
  <c r="I523" i="15"/>
  <c r="R522" i="15"/>
  <c r="L522" i="15"/>
  <c r="I522" i="15"/>
  <c r="R521" i="15"/>
  <c r="L521" i="15"/>
  <c r="I521" i="15"/>
  <c r="R520" i="15"/>
  <c r="L520" i="15"/>
  <c r="I520" i="15"/>
  <c r="R519" i="15"/>
  <c r="L519" i="15"/>
  <c r="I519" i="15"/>
  <c r="R518" i="15"/>
  <c r="L518" i="15"/>
  <c r="I518" i="15"/>
  <c r="R517" i="15"/>
  <c r="L517" i="15"/>
  <c r="I517" i="15"/>
  <c r="R516" i="15"/>
  <c r="L516" i="15"/>
  <c r="I516" i="15"/>
  <c r="R515" i="15"/>
  <c r="L515" i="15"/>
  <c r="I515" i="15"/>
  <c r="R514" i="15"/>
  <c r="L514" i="15"/>
  <c r="I514" i="15"/>
  <c r="R513" i="15"/>
  <c r="L513" i="15"/>
  <c r="I513" i="15"/>
  <c r="R512" i="15"/>
  <c r="L512" i="15"/>
  <c r="I512" i="15"/>
  <c r="R511" i="15"/>
  <c r="L511" i="15"/>
  <c r="I511" i="15"/>
  <c r="R510" i="15"/>
  <c r="L510" i="15"/>
  <c r="I510" i="15"/>
  <c r="R509" i="15"/>
  <c r="L509" i="15"/>
  <c r="I509" i="15"/>
  <c r="R508" i="15"/>
  <c r="L508" i="15"/>
  <c r="I508" i="15"/>
  <c r="R507" i="15"/>
  <c r="L507" i="15"/>
  <c r="I507" i="15"/>
  <c r="R506" i="15"/>
  <c r="L506" i="15"/>
  <c r="I506" i="15"/>
  <c r="R505" i="15"/>
  <c r="L505" i="15"/>
  <c r="I505" i="15"/>
  <c r="R504" i="15"/>
  <c r="L504" i="15"/>
  <c r="I504" i="15"/>
  <c r="R503" i="15"/>
  <c r="L503" i="15"/>
  <c r="I503" i="15"/>
  <c r="R502" i="15"/>
  <c r="L502" i="15"/>
  <c r="I502" i="15"/>
  <c r="R501" i="15"/>
  <c r="L501" i="15"/>
  <c r="I501" i="15"/>
  <c r="R500" i="15"/>
  <c r="L500" i="15"/>
  <c r="I500" i="15"/>
  <c r="R499" i="15"/>
  <c r="L499" i="15"/>
  <c r="I499" i="15"/>
  <c r="R498" i="15"/>
  <c r="L498" i="15"/>
  <c r="I498" i="15"/>
  <c r="R497" i="15"/>
  <c r="L497" i="15"/>
  <c r="I497" i="15"/>
  <c r="R496" i="15"/>
  <c r="L496" i="15"/>
  <c r="I496" i="15"/>
  <c r="R495" i="15"/>
  <c r="L495" i="15"/>
  <c r="I495" i="15"/>
  <c r="R494" i="15"/>
  <c r="L494" i="15"/>
  <c r="I494" i="15"/>
  <c r="R493" i="15"/>
  <c r="L493" i="15"/>
  <c r="I493" i="15"/>
  <c r="R492" i="15"/>
  <c r="L492" i="15"/>
  <c r="I492" i="15"/>
  <c r="R491" i="15"/>
  <c r="L491" i="15"/>
  <c r="I491" i="15"/>
  <c r="R490" i="15"/>
  <c r="L490" i="15"/>
  <c r="I490" i="15"/>
  <c r="R489" i="15"/>
  <c r="L489" i="15"/>
  <c r="I489" i="15"/>
  <c r="R488" i="15"/>
  <c r="L488" i="15"/>
  <c r="I488" i="15"/>
  <c r="R487" i="15"/>
  <c r="L487" i="15"/>
  <c r="I487" i="15"/>
  <c r="R486" i="15"/>
  <c r="L486" i="15"/>
  <c r="I486" i="15"/>
  <c r="R485" i="15"/>
  <c r="L485" i="15"/>
  <c r="I485" i="15"/>
  <c r="R484" i="15"/>
  <c r="L484" i="15"/>
  <c r="I484" i="15"/>
  <c r="R483" i="15"/>
  <c r="L483" i="15"/>
  <c r="I483" i="15"/>
  <c r="R482" i="15"/>
  <c r="L482" i="15"/>
  <c r="I482" i="15"/>
  <c r="R481" i="15"/>
  <c r="L481" i="15"/>
  <c r="I481" i="15"/>
  <c r="R480" i="15"/>
  <c r="L480" i="15"/>
  <c r="I480" i="15"/>
  <c r="R479" i="15"/>
  <c r="L479" i="15"/>
  <c r="I479" i="15"/>
  <c r="R478" i="15"/>
  <c r="L478" i="15"/>
  <c r="I478" i="15"/>
  <c r="R477" i="15"/>
  <c r="L477" i="15"/>
  <c r="I477" i="15"/>
  <c r="R476" i="15"/>
  <c r="L476" i="15"/>
  <c r="I476" i="15"/>
  <c r="R475" i="15"/>
  <c r="L475" i="15"/>
  <c r="I475" i="15"/>
  <c r="R474" i="15"/>
  <c r="L474" i="15"/>
  <c r="I474" i="15"/>
  <c r="R473" i="15"/>
  <c r="L473" i="15"/>
  <c r="I473" i="15"/>
  <c r="R472" i="15"/>
  <c r="L472" i="15"/>
  <c r="I472" i="15"/>
  <c r="R471" i="15"/>
  <c r="L471" i="15"/>
  <c r="I471" i="15"/>
  <c r="R470" i="15"/>
  <c r="L470" i="15"/>
  <c r="I470" i="15"/>
  <c r="R469" i="15"/>
  <c r="L469" i="15"/>
  <c r="I469" i="15"/>
  <c r="R468" i="15"/>
  <c r="L468" i="15"/>
  <c r="I468" i="15"/>
  <c r="R467" i="15"/>
  <c r="L467" i="15"/>
  <c r="I467" i="15"/>
  <c r="R466" i="15"/>
  <c r="L466" i="15"/>
  <c r="I466" i="15"/>
  <c r="R465" i="15"/>
  <c r="L465" i="15"/>
  <c r="I465" i="15"/>
  <c r="R464" i="15"/>
  <c r="L464" i="15"/>
  <c r="I464" i="15"/>
  <c r="R463" i="15"/>
  <c r="L463" i="15"/>
  <c r="I463" i="15"/>
  <c r="R462" i="15"/>
  <c r="L462" i="15"/>
  <c r="I462" i="15"/>
  <c r="R461" i="15"/>
  <c r="L461" i="15"/>
  <c r="I461" i="15"/>
  <c r="R460" i="15"/>
  <c r="L460" i="15"/>
  <c r="I460" i="15"/>
  <c r="R459" i="15"/>
  <c r="L459" i="15"/>
  <c r="I459" i="15"/>
  <c r="R458" i="15"/>
  <c r="L458" i="15"/>
  <c r="I458" i="15"/>
  <c r="R457" i="15"/>
  <c r="L457" i="15"/>
  <c r="I457" i="15"/>
  <c r="R456" i="15"/>
  <c r="L456" i="15"/>
  <c r="I456" i="15"/>
  <c r="R455" i="15"/>
  <c r="L455" i="15"/>
  <c r="I455" i="15"/>
  <c r="R454" i="15"/>
  <c r="L454" i="15"/>
  <c r="I454" i="15"/>
  <c r="R453" i="15"/>
  <c r="L453" i="15"/>
  <c r="I453" i="15"/>
  <c r="R452" i="15"/>
  <c r="L452" i="15"/>
  <c r="I452" i="15"/>
  <c r="R451" i="15"/>
  <c r="L451" i="15"/>
  <c r="I451" i="15"/>
  <c r="R450" i="15"/>
  <c r="L450" i="15"/>
  <c r="I450" i="15"/>
  <c r="R449" i="15"/>
  <c r="L449" i="15"/>
  <c r="I449" i="15"/>
  <c r="R448" i="15"/>
  <c r="L448" i="15"/>
  <c r="I448" i="15"/>
  <c r="R447" i="15"/>
  <c r="L447" i="15"/>
  <c r="I447" i="15"/>
  <c r="R446" i="15"/>
  <c r="L446" i="15"/>
  <c r="I446" i="15"/>
  <c r="R445" i="15"/>
  <c r="L445" i="15"/>
  <c r="I445" i="15"/>
  <c r="R444" i="15"/>
  <c r="L444" i="15"/>
  <c r="I444" i="15"/>
  <c r="R443" i="15"/>
  <c r="L443" i="15"/>
  <c r="I443" i="15"/>
  <c r="R442" i="15"/>
  <c r="L442" i="15"/>
  <c r="I442" i="15"/>
  <c r="R441" i="15"/>
  <c r="L441" i="15"/>
  <c r="I441" i="15"/>
  <c r="R440" i="15"/>
  <c r="L440" i="15"/>
  <c r="I440" i="15"/>
  <c r="R439" i="15"/>
  <c r="L439" i="15"/>
  <c r="I439" i="15"/>
  <c r="R438" i="15"/>
  <c r="L438" i="15"/>
  <c r="I438" i="15"/>
  <c r="R437" i="15"/>
  <c r="L437" i="15"/>
  <c r="I437" i="15"/>
  <c r="R436" i="15"/>
  <c r="L436" i="15"/>
  <c r="I436" i="15"/>
  <c r="R435" i="15"/>
  <c r="L435" i="15"/>
  <c r="I435" i="15"/>
  <c r="R434" i="15"/>
  <c r="L434" i="15"/>
  <c r="I434" i="15"/>
  <c r="R433" i="15"/>
  <c r="L433" i="15"/>
  <c r="I433" i="15"/>
  <c r="R432" i="15"/>
  <c r="L432" i="15"/>
  <c r="I432" i="15"/>
  <c r="R431" i="15"/>
  <c r="L431" i="15"/>
  <c r="I431" i="15"/>
  <c r="R430" i="15"/>
  <c r="L430" i="15"/>
  <c r="I430" i="15"/>
  <c r="R429" i="15"/>
  <c r="L429" i="15"/>
  <c r="I429" i="15"/>
  <c r="R428" i="15"/>
  <c r="L428" i="15"/>
  <c r="I428" i="15"/>
  <c r="R427" i="15"/>
  <c r="L427" i="15"/>
  <c r="I427" i="15"/>
  <c r="R426" i="15"/>
  <c r="L426" i="15"/>
  <c r="I426" i="15"/>
  <c r="R425" i="15"/>
  <c r="L425" i="15"/>
  <c r="I425" i="15"/>
  <c r="R424" i="15"/>
  <c r="L424" i="15"/>
  <c r="I424" i="15"/>
  <c r="R423" i="15"/>
  <c r="L423" i="15"/>
  <c r="I423" i="15"/>
  <c r="R422" i="15"/>
  <c r="L422" i="15"/>
  <c r="I422" i="15"/>
  <c r="R421" i="15"/>
  <c r="L421" i="15"/>
  <c r="I421" i="15"/>
  <c r="R420" i="15"/>
  <c r="L420" i="15"/>
  <c r="I420" i="15"/>
  <c r="R419" i="15"/>
  <c r="L419" i="15"/>
  <c r="I419" i="15"/>
  <c r="R418" i="15"/>
  <c r="L418" i="15"/>
  <c r="I418" i="15"/>
  <c r="R417" i="15"/>
  <c r="L417" i="15"/>
  <c r="I417" i="15"/>
  <c r="R416" i="15"/>
  <c r="L416" i="15"/>
  <c r="I416" i="15"/>
  <c r="R415" i="15"/>
  <c r="L415" i="15"/>
  <c r="I415" i="15"/>
  <c r="R414" i="15"/>
  <c r="L414" i="15"/>
  <c r="I414" i="15"/>
  <c r="R413" i="15"/>
  <c r="L413" i="15"/>
  <c r="I413" i="15"/>
  <c r="R412" i="15"/>
  <c r="L412" i="15"/>
  <c r="I412" i="15"/>
  <c r="R411" i="15"/>
  <c r="L411" i="15"/>
  <c r="I411" i="15"/>
  <c r="R410" i="15"/>
  <c r="L410" i="15"/>
  <c r="I410" i="15"/>
  <c r="R409" i="15"/>
  <c r="L409" i="15"/>
  <c r="I409" i="15"/>
  <c r="R408" i="15"/>
  <c r="L408" i="15"/>
  <c r="I408" i="15"/>
  <c r="R407" i="15"/>
  <c r="L407" i="15"/>
  <c r="I407" i="15"/>
  <c r="R406" i="15"/>
  <c r="L406" i="15"/>
  <c r="I406" i="15"/>
  <c r="R405" i="15"/>
  <c r="L405" i="15"/>
  <c r="I405" i="15"/>
  <c r="R404" i="15"/>
  <c r="L404" i="15"/>
  <c r="I404" i="15"/>
  <c r="R403" i="15"/>
  <c r="L403" i="15"/>
  <c r="I403" i="15"/>
  <c r="R402" i="15"/>
  <c r="L402" i="15"/>
  <c r="I402" i="15"/>
  <c r="R401" i="15"/>
  <c r="L401" i="15"/>
  <c r="I401" i="15"/>
  <c r="R400" i="15"/>
  <c r="L400" i="15"/>
  <c r="I400" i="15"/>
  <c r="R399" i="15"/>
  <c r="L399" i="15"/>
  <c r="I399" i="15"/>
  <c r="R398" i="15"/>
  <c r="L398" i="15"/>
  <c r="I398" i="15"/>
  <c r="R397" i="15"/>
  <c r="L397" i="15"/>
  <c r="I397" i="15"/>
  <c r="R396" i="15"/>
  <c r="L396" i="15"/>
  <c r="I396" i="15"/>
  <c r="R395" i="15"/>
  <c r="L395" i="15"/>
  <c r="I395" i="15"/>
  <c r="R394" i="15"/>
  <c r="L394" i="15"/>
  <c r="I394" i="15"/>
  <c r="R393" i="15"/>
  <c r="L393" i="15"/>
  <c r="I393" i="15"/>
  <c r="R392" i="15"/>
  <c r="L392" i="15"/>
  <c r="I392" i="15"/>
  <c r="R391" i="15"/>
  <c r="L391" i="15"/>
  <c r="I391" i="15"/>
  <c r="R390" i="15"/>
  <c r="L390" i="15"/>
  <c r="I390" i="15"/>
  <c r="R389" i="15"/>
  <c r="L389" i="15"/>
  <c r="I389" i="15"/>
  <c r="R388" i="15"/>
  <c r="L388" i="15"/>
  <c r="I388" i="15"/>
  <c r="R387" i="15"/>
  <c r="L387" i="15"/>
  <c r="I387" i="15"/>
  <c r="R386" i="15"/>
  <c r="L386" i="15"/>
  <c r="I386" i="15"/>
  <c r="R385" i="15"/>
  <c r="L385" i="15"/>
  <c r="I385" i="15"/>
  <c r="R384" i="15"/>
  <c r="L384" i="15"/>
  <c r="I384" i="15"/>
  <c r="R383" i="15"/>
  <c r="L383" i="15"/>
  <c r="I383" i="15"/>
  <c r="R382" i="15"/>
  <c r="L382" i="15"/>
  <c r="I382" i="15"/>
  <c r="R381" i="15"/>
  <c r="L381" i="15"/>
  <c r="I381" i="15"/>
  <c r="R380" i="15"/>
  <c r="L380" i="15"/>
  <c r="I380" i="15"/>
  <c r="R379" i="15"/>
  <c r="L379" i="15"/>
  <c r="I379" i="15"/>
  <c r="R378" i="15"/>
  <c r="L378" i="15"/>
  <c r="I378" i="15"/>
  <c r="R377" i="15"/>
  <c r="L377" i="15"/>
  <c r="I377" i="15"/>
  <c r="R376" i="15"/>
  <c r="L376" i="15"/>
  <c r="I376" i="15"/>
  <c r="R375" i="15"/>
  <c r="L375" i="15"/>
  <c r="I375" i="15"/>
  <c r="R374" i="15"/>
  <c r="L374" i="15"/>
  <c r="I374" i="15"/>
  <c r="R373" i="15"/>
  <c r="L373" i="15"/>
  <c r="I373" i="15"/>
  <c r="R372" i="15"/>
  <c r="L372" i="15"/>
  <c r="I372" i="15"/>
  <c r="R371" i="15"/>
  <c r="L371" i="15"/>
  <c r="I371" i="15"/>
  <c r="R370" i="15"/>
  <c r="L370" i="15"/>
  <c r="I370" i="15"/>
  <c r="R369" i="15"/>
  <c r="L369" i="15"/>
  <c r="I369" i="15"/>
  <c r="R368" i="15"/>
  <c r="L368" i="15"/>
  <c r="I368" i="15"/>
  <c r="R367" i="15"/>
  <c r="L367" i="15"/>
  <c r="I367" i="15"/>
  <c r="R366" i="15"/>
  <c r="L366" i="15"/>
  <c r="I366" i="15"/>
  <c r="R365" i="15"/>
  <c r="L365" i="15"/>
  <c r="I365" i="15"/>
  <c r="R364" i="15"/>
  <c r="L364" i="15"/>
  <c r="I364" i="15"/>
  <c r="R363" i="15"/>
  <c r="L363" i="15"/>
  <c r="I363" i="15"/>
  <c r="R362" i="15"/>
  <c r="L362" i="15"/>
  <c r="I362" i="15"/>
  <c r="R361" i="15"/>
  <c r="L361" i="15"/>
  <c r="I361" i="15"/>
  <c r="R360" i="15"/>
  <c r="L360" i="15"/>
  <c r="I360" i="15"/>
  <c r="R359" i="15"/>
  <c r="L359" i="15"/>
  <c r="I359" i="15"/>
  <c r="R358" i="15"/>
  <c r="L358" i="15"/>
  <c r="I358" i="15"/>
  <c r="R357" i="15"/>
  <c r="L357" i="15"/>
  <c r="I357" i="15"/>
  <c r="R356" i="15"/>
  <c r="L356" i="15"/>
  <c r="I356" i="15"/>
  <c r="R355" i="15"/>
  <c r="L355" i="15"/>
  <c r="I355" i="15"/>
  <c r="R354" i="15"/>
  <c r="L354" i="15"/>
  <c r="I354" i="15"/>
  <c r="R353" i="15"/>
  <c r="L353" i="15"/>
  <c r="I353" i="15"/>
  <c r="R352" i="15"/>
  <c r="L352" i="15"/>
  <c r="I352" i="15"/>
  <c r="R351" i="15"/>
  <c r="L351" i="15"/>
  <c r="I351" i="15"/>
  <c r="R350" i="15"/>
  <c r="L350" i="15"/>
  <c r="I350" i="15"/>
  <c r="R349" i="15"/>
  <c r="L349" i="15"/>
  <c r="I349" i="15"/>
  <c r="R348" i="15"/>
  <c r="L348" i="15"/>
  <c r="I348" i="15"/>
  <c r="R347" i="15"/>
  <c r="L347" i="15"/>
  <c r="I347" i="15"/>
  <c r="R346" i="15"/>
  <c r="L346" i="15"/>
  <c r="I346" i="15"/>
  <c r="R345" i="15"/>
  <c r="L345" i="15"/>
  <c r="I345" i="15"/>
  <c r="R344" i="15"/>
  <c r="L344" i="15"/>
  <c r="I344" i="15"/>
  <c r="R343" i="15"/>
  <c r="L343" i="15"/>
  <c r="I343" i="15"/>
  <c r="R342" i="15"/>
  <c r="L342" i="15"/>
  <c r="I342" i="15"/>
  <c r="R341" i="15"/>
  <c r="L341" i="15"/>
  <c r="I341" i="15"/>
  <c r="R340" i="15"/>
  <c r="L340" i="15"/>
  <c r="I340" i="15"/>
  <c r="R339" i="15"/>
  <c r="L339" i="15"/>
  <c r="I339" i="15"/>
  <c r="R338" i="15"/>
  <c r="L338" i="15"/>
  <c r="I338" i="15"/>
  <c r="R337" i="15"/>
  <c r="L337" i="15"/>
  <c r="I337" i="15"/>
  <c r="R336" i="15"/>
  <c r="L336" i="15"/>
  <c r="I336" i="15"/>
  <c r="R335" i="15"/>
  <c r="L335" i="15"/>
  <c r="I335" i="15"/>
  <c r="R334" i="15"/>
  <c r="L334" i="15"/>
  <c r="I334" i="15"/>
  <c r="R333" i="15"/>
  <c r="L333" i="15"/>
  <c r="I333" i="15"/>
  <c r="R332" i="15"/>
  <c r="L332" i="15"/>
  <c r="I332" i="15"/>
  <c r="R331" i="15"/>
  <c r="L331" i="15"/>
  <c r="I331" i="15"/>
  <c r="R330" i="15"/>
  <c r="L330" i="15"/>
  <c r="I330" i="15"/>
  <c r="R329" i="15"/>
  <c r="L329" i="15"/>
  <c r="I329" i="15"/>
  <c r="R328" i="15"/>
  <c r="L328" i="15"/>
  <c r="I328" i="15"/>
  <c r="R327" i="15"/>
  <c r="L327" i="15"/>
  <c r="I327" i="15"/>
  <c r="R326" i="15"/>
  <c r="L326" i="15"/>
  <c r="I326" i="15"/>
  <c r="R325" i="15"/>
  <c r="L325" i="15"/>
  <c r="I325" i="15"/>
  <c r="R324" i="15"/>
  <c r="L324" i="15"/>
  <c r="I324" i="15"/>
  <c r="R323" i="15"/>
  <c r="L323" i="15"/>
  <c r="I323" i="15"/>
  <c r="R322" i="15"/>
  <c r="L322" i="15"/>
  <c r="I322" i="15"/>
  <c r="R321" i="15"/>
  <c r="L321" i="15"/>
  <c r="I321" i="15"/>
  <c r="R320" i="15"/>
  <c r="L320" i="15"/>
  <c r="I320" i="15"/>
  <c r="R319" i="15"/>
  <c r="L319" i="15"/>
  <c r="I319" i="15"/>
  <c r="R318" i="15"/>
  <c r="L318" i="15"/>
  <c r="I318" i="15"/>
  <c r="R317" i="15"/>
  <c r="L317" i="15"/>
  <c r="I317" i="15"/>
  <c r="R316" i="15"/>
  <c r="L316" i="15"/>
  <c r="I316" i="15"/>
  <c r="R315" i="15"/>
  <c r="L315" i="15"/>
  <c r="I315" i="15"/>
  <c r="R314" i="15"/>
  <c r="L314" i="15"/>
  <c r="I314" i="15"/>
  <c r="R313" i="15"/>
  <c r="L313" i="15"/>
  <c r="I313" i="15"/>
  <c r="R312" i="15"/>
  <c r="L312" i="15"/>
  <c r="I312" i="15"/>
  <c r="R311" i="15"/>
  <c r="L311" i="15"/>
  <c r="I311" i="15"/>
  <c r="R310" i="15"/>
  <c r="L310" i="15"/>
  <c r="I310" i="15"/>
  <c r="R309" i="15"/>
  <c r="L309" i="15"/>
  <c r="I309" i="15"/>
  <c r="R308" i="15"/>
  <c r="L308" i="15"/>
  <c r="I308" i="15"/>
  <c r="R307" i="15"/>
  <c r="L307" i="15"/>
  <c r="I307" i="15"/>
  <c r="R306" i="15"/>
  <c r="L306" i="15"/>
  <c r="I306" i="15"/>
  <c r="R305" i="15"/>
  <c r="L305" i="15"/>
  <c r="I305" i="15"/>
  <c r="R304" i="15"/>
  <c r="L304" i="15"/>
  <c r="I304" i="15"/>
  <c r="R303" i="15"/>
  <c r="L303" i="15"/>
  <c r="I303" i="15"/>
  <c r="R302" i="15"/>
  <c r="L302" i="15"/>
  <c r="I302" i="15"/>
  <c r="R301" i="15"/>
  <c r="L301" i="15"/>
  <c r="I301" i="15"/>
  <c r="R300" i="15"/>
  <c r="L300" i="15"/>
  <c r="I300" i="15"/>
  <c r="R299" i="15"/>
  <c r="L299" i="15"/>
  <c r="I299" i="15"/>
  <c r="R298" i="15"/>
  <c r="L298" i="15"/>
  <c r="I298" i="15"/>
  <c r="R297" i="15"/>
  <c r="L297" i="15"/>
  <c r="I297" i="15"/>
  <c r="R296" i="15"/>
  <c r="L296" i="15"/>
  <c r="I296" i="15"/>
  <c r="R295" i="15"/>
  <c r="L295" i="15"/>
  <c r="I295" i="15"/>
  <c r="R294" i="15"/>
  <c r="L294" i="15"/>
  <c r="I294" i="15"/>
  <c r="R293" i="15"/>
  <c r="L293" i="15"/>
  <c r="I293" i="15"/>
  <c r="R292" i="15"/>
  <c r="L292" i="15"/>
  <c r="I292" i="15"/>
  <c r="R291" i="15"/>
  <c r="L291" i="15"/>
  <c r="I291" i="15"/>
  <c r="R290" i="15"/>
  <c r="L290" i="15"/>
  <c r="I290" i="15"/>
  <c r="R289" i="15"/>
  <c r="L289" i="15"/>
  <c r="I289" i="15"/>
  <c r="R288" i="15"/>
  <c r="L288" i="15"/>
  <c r="I288" i="15"/>
  <c r="R287" i="15"/>
  <c r="L287" i="15"/>
  <c r="I287" i="15"/>
  <c r="R286" i="15"/>
  <c r="L286" i="15"/>
  <c r="I286" i="15"/>
  <c r="R285" i="15"/>
  <c r="L285" i="15"/>
  <c r="I285" i="15"/>
  <c r="R284" i="15"/>
  <c r="L284" i="15"/>
  <c r="I284" i="15"/>
  <c r="R283" i="15"/>
  <c r="L283" i="15"/>
  <c r="I283" i="15"/>
  <c r="R282" i="15"/>
  <c r="L282" i="15"/>
  <c r="I282" i="15"/>
  <c r="R281" i="15"/>
  <c r="L281" i="15"/>
  <c r="I281" i="15"/>
  <c r="R280" i="15"/>
  <c r="L280" i="15"/>
  <c r="I280" i="15"/>
  <c r="R279" i="15"/>
  <c r="L279" i="15"/>
  <c r="I279" i="15"/>
  <c r="R278" i="15"/>
  <c r="L278" i="15"/>
  <c r="I278" i="15"/>
  <c r="R277" i="15"/>
  <c r="L277" i="15"/>
  <c r="I277" i="15"/>
  <c r="R276" i="15"/>
  <c r="L276" i="15"/>
  <c r="I276" i="15"/>
  <c r="R275" i="15"/>
  <c r="L275" i="15"/>
  <c r="I275" i="15"/>
  <c r="R274" i="15"/>
  <c r="L274" i="15"/>
  <c r="I274" i="15"/>
  <c r="R273" i="15"/>
  <c r="L273" i="15"/>
  <c r="I273" i="15"/>
  <c r="R272" i="15"/>
  <c r="L272" i="15"/>
  <c r="I272" i="15"/>
  <c r="R271" i="15"/>
  <c r="L271" i="15"/>
  <c r="I271" i="15"/>
  <c r="R270" i="15"/>
  <c r="L270" i="15"/>
  <c r="I270" i="15"/>
  <c r="R269" i="15"/>
  <c r="L269" i="15"/>
  <c r="I269" i="15"/>
  <c r="R268" i="15"/>
  <c r="L268" i="15"/>
  <c r="I268" i="15"/>
  <c r="R267" i="15"/>
  <c r="L267" i="15"/>
  <c r="I267" i="15"/>
  <c r="R266" i="15"/>
  <c r="L266" i="15"/>
  <c r="I266" i="15"/>
  <c r="R265" i="15"/>
  <c r="L265" i="15"/>
  <c r="I265" i="15"/>
  <c r="R264" i="15"/>
  <c r="L264" i="15"/>
  <c r="I264" i="15"/>
  <c r="R263" i="15"/>
  <c r="L263" i="15"/>
  <c r="I263" i="15"/>
  <c r="R262" i="15"/>
  <c r="L262" i="15"/>
  <c r="I262" i="15"/>
  <c r="R261" i="15"/>
  <c r="L261" i="15"/>
  <c r="I261" i="15"/>
  <c r="R260" i="15"/>
  <c r="L260" i="15"/>
  <c r="I260" i="15"/>
  <c r="R259" i="15"/>
  <c r="L259" i="15"/>
  <c r="I259" i="15"/>
  <c r="R258" i="15"/>
  <c r="L258" i="15"/>
  <c r="I258" i="15"/>
  <c r="R257" i="15"/>
  <c r="L257" i="15"/>
  <c r="I257" i="15"/>
  <c r="R256" i="15"/>
  <c r="L256" i="15"/>
  <c r="I256" i="15"/>
  <c r="R255" i="15"/>
  <c r="L255" i="15"/>
  <c r="I255" i="15"/>
  <c r="R254" i="15"/>
  <c r="L254" i="15"/>
  <c r="I254" i="15"/>
  <c r="R253" i="15"/>
  <c r="L253" i="15"/>
  <c r="I253" i="15"/>
  <c r="R252" i="15"/>
  <c r="L252" i="15"/>
  <c r="I252" i="15"/>
  <c r="R251" i="15"/>
  <c r="L251" i="15"/>
  <c r="I251" i="15"/>
  <c r="R250" i="15"/>
  <c r="L250" i="15"/>
  <c r="I250" i="15"/>
  <c r="R249" i="15"/>
  <c r="L249" i="15"/>
  <c r="I249" i="15"/>
  <c r="R248" i="15"/>
  <c r="L248" i="15"/>
  <c r="I248" i="15"/>
  <c r="R247" i="15"/>
  <c r="L247" i="15"/>
  <c r="I247" i="15"/>
  <c r="R246" i="15"/>
  <c r="L246" i="15"/>
  <c r="I246" i="15"/>
  <c r="R245" i="15"/>
  <c r="L245" i="15"/>
  <c r="I245" i="15"/>
  <c r="R244" i="15"/>
  <c r="L244" i="15"/>
  <c r="I244" i="15"/>
  <c r="R243" i="15"/>
  <c r="L243" i="15"/>
  <c r="I243" i="15"/>
  <c r="R242" i="15"/>
  <c r="L242" i="15"/>
  <c r="I242" i="15"/>
  <c r="R241" i="15"/>
  <c r="L241" i="15"/>
  <c r="I241" i="15"/>
  <c r="R240" i="15"/>
  <c r="L240" i="15"/>
  <c r="I240" i="15"/>
  <c r="R239" i="15"/>
  <c r="L239" i="15"/>
  <c r="I239" i="15"/>
  <c r="R238" i="15"/>
  <c r="L238" i="15"/>
  <c r="I238" i="15"/>
  <c r="R237" i="15"/>
  <c r="L237" i="15"/>
  <c r="I237" i="15"/>
  <c r="R236" i="15"/>
  <c r="L236" i="15"/>
  <c r="I236" i="15"/>
  <c r="R235" i="15"/>
  <c r="L235" i="15"/>
  <c r="I235" i="15"/>
  <c r="R234" i="15"/>
  <c r="L234" i="15"/>
  <c r="I234" i="15"/>
  <c r="R233" i="15"/>
  <c r="L233" i="15"/>
  <c r="I233" i="15"/>
  <c r="R232" i="15"/>
  <c r="L232" i="15"/>
  <c r="I232" i="15"/>
  <c r="R231" i="15"/>
  <c r="L231" i="15"/>
  <c r="I231" i="15"/>
  <c r="R230" i="15"/>
  <c r="L230" i="15"/>
  <c r="I230" i="15"/>
  <c r="R229" i="15"/>
  <c r="L229" i="15"/>
  <c r="I229" i="15"/>
  <c r="R228" i="15"/>
  <c r="L228" i="15"/>
  <c r="I228" i="15"/>
  <c r="R227" i="15"/>
  <c r="L227" i="15"/>
  <c r="I227" i="15"/>
  <c r="R226" i="15"/>
  <c r="L226" i="15"/>
  <c r="I226" i="15"/>
  <c r="R225" i="15"/>
  <c r="L225" i="15"/>
  <c r="I225" i="15"/>
  <c r="R224" i="15"/>
  <c r="L224" i="15"/>
  <c r="I224" i="15"/>
  <c r="R223" i="15"/>
  <c r="L223" i="15"/>
  <c r="I223" i="15"/>
  <c r="R222" i="15"/>
  <c r="L222" i="15"/>
  <c r="I222" i="15"/>
  <c r="R221" i="15"/>
  <c r="L221" i="15"/>
  <c r="I221" i="15"/>
  <c r="R220" i="15"/>
  <c r="L220" i="15"/>
  <c r="I220" i="15"/>
  <c r="R219" i="15"/>
  <c r="L219" i="15"/>
  <c r="I219" i="15"/>
  <c r="R218" i="15"/>
  <c r="L218" i="15"/>
  <c r="I218" i="15"/>
  <c r="R217" i="15"/>
  <c r="L217" i="15"/>
  <c r="I217" i="15"/>
  <c r="R216" i="15"/>
  <c r="L216" i="15"/>
  <c r="I216" i="15"/>
  <c r="R215" i="15"/>
  <c r="L215" i="15"/>
  <c r="I215" i="15"/>
  <c r="R214" i="15"/>
  <c r="L214" i="15"/>
  <c r="I214" i="15"/>
  <c r="R213" i="15"/>
  <c r="L213" i="15"/>
  <c r="I213" i="15"/>
  <c r="R212" i="15"/>
  <c r="L212" i="15"/>
  <c r="I212" i="15"/>
  <c r="R211" i="15"/>
  <c r="L211" i="15"/>
  <c r="I211" i="15"/>
  <c r="R210" i="15"/>
  <c r="L210" i="15"/>
  <c r="I210" i="15"/>
  <c r="R209" i="15"/>
  <c r="L209" i="15"/>
  <c r="I209" i="15"/>
  <c r="R208" i="15"/>
  <c r="L208" i="15"/>
  <c r="I208" i="15"/>
  <c r="R207" i="15"/>
  <c r="L207" i="15"/>
  <c r="I207" i="15"/>
  <c r="R206" i="15"/>
  <c r="L206" i="15"/>
  <c r="I206" i="15"/>
  <c r="R205" i="15"/>
  <c r="L205" i="15"/>
  <c r="I205" i="15"/>
  <c r="R204" i="15"/>
  <c r="L204" i="15"/>
  <c r="I204" i="15"/>
  <c r="R203" i="15"/>
  <c r="L203" i="15"/>
  <c r="I203" i="15"/>
  <c r="R202" i="15"/>
  <c r="L202" i="15"/>
  <c r="I202" i="15"/>
  <c r="R201" i="15"/>
  <c r="L201" i="15"/>
  <c r="I201" i="15"/>
  <c r="R200" i="15"/>
  <c r="L200" i="15"/>
  <c r="I200" i="15"/>
  <c r="R199" i="15"/>
  <c r="L199" i="15"/>
  <c r="I199" i="15"/>
  <c r="R198" i="15"/>
  <c r="L198" i="15"/>
  <c r="I198" i="15"/>
  <c r="R197" i="15"/>
  <c r="L197" i="15"/>
  <c r="I197" i="15"/>
  <c r="R196" i="15"/>
  <c r="L196" i="15"/>
  <c r="I196" i="15"/>
  <c r="R195" i="15"/>
  <c r="L195" i="15"/>
  <c r="I195" i="15"/>
  <c r="R194" i="15"/>
  <c r="L194" i="15"/>
  <c r="I194" i="15"/>
  <c r="R193" i="15"/>
  <c r="L193" i="15"/>
  <c r="I193" i="15"/>
  <c r="R192" i="15"/>
  <c r="L192" i="15"/>
  <c r="I192" i="15"/>
  <c r="R191" i="15"/>
  <c r="L191" i="15"/>
  <c r="I191" i="15"/>
  <c r="R190" i="15"/>
  <c r="L190" i="15"/>
  <c r="I190" i="15"/>
  <c r="R189" i="15"/>
  <c r="L189" i="15"/>
  <c r="I189" i="15"/>
  <c r="R188" i="15"/>
  <c r="L188" i="15"/>
  <c r="I188" i="15"/>
  <c r="R187" i="15"/>
  <c r="L187" i="15"/>
  <c r="I187" i="15"/>
  <c r="R186" i="15"/>
  <c r="L186" i="15"/>
  <c r="I186" i="15"/>
  <c r="R185" i="15"/>
  <c r="L185" i="15"/>
  <c r="I185" i="15"/>
  <c r="R184" i="15"/>
  <c r="L184" i="15"/>
  <c r="I184" i="15"/>
  <c r="R183" i="15"/>
  <c r="L183" i="15"/>
  <c r="I183" i="15"/>
  <c r="R182" i="15"/>
  <c r="L182" i="15"/>
  <c r="I182" i="15"/>
  <c r="R181" i="15"/>
  <c r="L181" i="15"/>
  <c r="I181" i="15"/>
  <c r="R180" i="15"/>
  <c r="L180" i="15"/>
  <c r="I180" i="15"/>
  <c r="R179" i="15"/>
  <c r="L179" i="15"/>
  <c r="I179" i="15"/>
  <c r="R178" i="15"/>
  <c r="L178" i="15"/>
  <c r="I178" i="15"/>
  <c r="R177" i="15"/>
  <c r="L177" i="15"/>
  <c r="I177" i="15"/>
  <c r="R176" i="15"/>
  <c r="L176" i="15"/>
  <c r="I176" i="15"/>
  <c r="R175" i="15"/>
  <c r="L175" i="15"/>
  <c r="I175" i="15"/>
  <c r="R174" i="15"/>
  <c r="L174" i="15"/>
  <c r="I174" i="15"/>
  <c r="R173" i="15"/>
  <c r="L173" i="15"/>
  <c r="I173" i="15"/>
  <c r="R172" i="15"/>
  <c r="L172" i="15"/>
  <c r="I172" i="15"/>
  <c r="R171" i="15"/>
  <c r="L171" i="15"/>
  <c r="I171" i="15"/>
  <c r="R170" i="15"/>
  <c r="L170" i="15"/>
  <c r="I170" i="15"/>
  <c r="R169" i="15"/>
  <c r="L169" i="15"/>
  <c r="I169" i="15"/>
  <c r="R168" i="15"/>
  <c r="L168" i="15"/>
  <c r="I168" i="15"/>
  <c r="R167" i="15"/>
  <c r="L167" i="15"/>
  <c r="I167" i="15"/>
  <c r="R166" i="15"/>
  <c r="L166" i="15"/>
  <c r="I166" i="15"/>
  <c r="R165" i="15"/>
  <c r="L165" i="15"/>
  <c r="I165" i="15"/>
  <c r="R164" i="15"/>
  <c r="L164" i="15"/>
  <c r="I164" i="15"/>
  <c r="R163" i="15"/>
  <c r="L163" i="15"/>
  <c r="I163" i="15"/>
  <c r="R162" i="15"/>
  <c r="L162" i="15"/>
  <c r="I162" i="15"/>
  <c r="R161" i="15"/>
  <c r="L161" i="15"/>
  <c r="I161" i="15"/>
  <c r="R160" i="15"/>
  <c r="L160" i="15"/>
  <c r="I160" i="15"/>
  <c r="R159" i="15"/>
  <c r="L159" i="15"/>
  <c r="I159" i="15"/>
  <c r="R158" i="15"/>
  <c r="L158" i="15"/>
  <c r="I158" i="15"/>
  <c r="R157" i="15"/>
  <c r="L157" i="15"/>
  <c r="I157" i="15"/>
  <c r="R156" i="15"/>
  <c r="L156" i="15"/>
  <c r="I156" i="15"/>
  <c r="R155" i="15"/>
  <c r="L155" i="15"/>
  <c r="I155" i="15"/>
  <c r="R154" i="15"/>
  <c r="L154" i="15"/>
  <c r="I154" i="15"/>
  <c r="R153" i="15"/>
  <c r="L153" i="15"/>
  <c r="I153" i="15"/>
  <c r="R152" i="15"/>
  <c r="L152" i="15"/>
  <c r="I152" i="15"/>
  <c r="R151" i="15"/>
  <c r="L151" i="15"/>
  <c r="I151" i="15"/>
  <c r="R150" i="15"/>
  <c r="L150" i="15"/>
  <c r="I150" i="15"/>
  <c r="R149" i="15"/>
  <c r="L149" i="15"/>
  <c r="I149" i="15"/>
  <c r="R148" i="15"/>
  <c r="L148" i="15"/>
  <c r="I148" i="15"/>
  <c r="R147" i="15"/>
  <c r="L147" i="15"/>
  <c r="I147" i="15"/>
  <c r="R146" i="15"/>
  <c r="L146" i="15"/>
  <c r="I146" i="15"/>
  <c r="R145" i="15"/>
  <c r="L145" i="15"/>
  <c r="I145" i="15"/>
  <c r="R144" i="15"/>
  <c r="L144" i="15"/>
  <c r="I144" i="15"/>
  <c r="R143" i="15"/>
  <c r="L143" i="15"/>
  <c r="I143" i="15"/>
  <c r="R142" i="15"/>
  <c r="L142" i="15"/>
  <c r="I142" i="15"/>
  <c r="R141" i="15"/>
  <c r="L141" i="15"/>
  <c r="I141" i="15"/>
  <c r="R140" i="15"/>
  <c r="L140" i="15"/>
  <c r="I140" i="15"/>
  <c r="R139" i="15"/>
  <c r="L139" i="15"/>
  <c r="I139" i="15"/>
  <c r="R138" i="15"/>
  <c r="L138" i="15"/>
  <c r="I138" i="15"/>
  <c r="R137" i="15"/>
  <c r="L137" i="15"/>
  <c r="I137" i="15"/>
  <c r="R136" i="15"/>
  <c r="L136" i="15"/>
  <c r="I136" i="15"/>
  <c r="R135" i="15"/>
  <c r="L135" i="15"/>
  <c r="I135" i="15"/>
  <c r="R134" i="15"/>
  <c r="L134" i="15"/>
  <c r="I134" i="15"/>
  <c r="R133" i="15"/>
  <c r="L133" i="15"/>
  <c r="I133" i="15"/>
  <c r="R132" i="15"/>
  <c r="L132" i="15"/>
  <c r="I132" i="15"/>
  <c r="R131" i="15"/>
  <c r="L131" i="15"/>
  <c r="I131" i="15"/>
  <c r="R130" i="15"/>
  <c r="L130" i="15"/>
  <c r="I130" i="15"/>
  <c r="R129" i="15"/>
  <c r="L129" i="15"/>
  <c r="I129" i="15"/>
  <c r="R128" i="15"/>
  <c r="L128" i="15"/>
  <c r="I128" i="15"/>
  <c r="R127" i="15"/>
  <c r="L127" i="15"/>
  <c r="I127" i="15"/>
  <c r="R126" i="15"/>
  <c r="L126" i="15"/>
  <c r="I126" i="15"/>
  <c r="R125" i="15"/>
  <c r="L125" i="15"/>
  <c r="I125" i="15"/>
  <c r="R124" i="15"/>
  <c r="L124" i="15"/>
  <c r="I124" i="15"/>
  <c r="R123" i="15"/>
  <c r="L123" i="15"/>
  <c r="I123" i="15"/>
  <c r="R122" i="15"/>
  <c r="L122" i="15"/>
  <c r="I122" i="15"/>
  <c r="R121" i="15"/>
  <c r="L121" i="15"/>
  <c r="I121" i="15"/>
  <c r="R120" i="15"/>
  <c r="L120" i="15"/>
  <c r="I120" i="15"/>
  <c r="R119" i="15"/>
  <c r="L119" i="15"/>
  <c r="I119" i="15"/>
  <c r="R118" i="15"/>
  <c r="L118" i="15"/>
  <c r="I118" i="15"/>
  <c r="R117" i="15"/>
  <c r="L117" i="15"/>
  <c r="I117" i="15"/>
  <c r="R116" i="15"/>
  <c r="L116" i="15"/>
  <c r="I116" i="15"/>
  <c r="R115" i="15"/>
  <c r="L115" i="15"/>
  <c r="I115" i="15"/>
  <c r="R114" i="15"/>
  <c r="L114" i="15"/>
  <c r="I114" i="15"/>
  <c r="R113" i="15"/>
  <c r="L113" i="15"/>
  <c r="I113" i="15"/>
  <c r="R112" i="15"/>
  <c r="L112" i="15"/>
  <c r="I112" i="15"/>
  <c r="R111" i="15"/>
  <c r="L111" i="15"/>
  <c r="I111" i="15"/>
  <c r="R110" i="15"/>
  <c r="L110" i="15"/>
  <c r="I110" i="15"/>
  <c r="R109" i="15"/>
  <c r="L109" i="15"/>
  <c r="I109" i="15"/>
  <c r="R108" i="15"/>
  <c r="L108" i="15"/>
  <c r="I108" i="15"/>
  <c r="R107" i="15"/>
  <c r="L107" i="15"/>
  <c r="I107" i="15"/>
  <c r="R106" i="15"/>
  <c r="L106" i="15"/>
  <c r="I106" i="15"/>
  <c r="R105" i="15"/>
  <c r="L105" i="15"/>
  <c r="I105" i="15"/>
  <c r="R104" i="15"/>
  <c r="L104" i="15"/>
  <c r="I104" i="15"/>
  <c r="R103" i="15"/>
  <c r="L103" i="15"/>
  <c r="I103" i="15"/>
  <c r="R102" i="15"/>
  <c r="L102" i="15"/>
  <c r="I102" i="15"/>
  <c r="R101" i="15"/>
  <c r="L101" i="15"/>
  <c r="I101" i="15"/>
  <c r="R100" i="15"/>
  <c r="L100" i="15"/>
  <c r="I100" i="15"/>
  <c r="R99" i="15"/>
  <c r="L99" i="15"/>
  <c r="I99" i="15"/>
  <c r="R98" i="15"/>
  <c r="L98" i="15"/>
  <c r="I98" i="15"/>
  <c r="R97" i="15"/>
  <c r="L97" i="15"/>
  <c r="I97" i="15"/>
  <c r="R96" i="15"/>
  <c r="L96" i="15"/>
  <c r="I96" i="15"/>
  <c r="R95" i="15"/>
  <c r="L95" i="15"/>
  <c r="I95" i="15"/>
  <c r="R94" i="15"/>
  <c r="L94" i="15"/>
  <c r="I94" i="15"/>
  <c r="R93" i="15"/>
  <c r="L93" i="15"/>
  <c r="I93" i="15"/>
  <c r="R92" i="15"/>
  <c r="L92" i="15"/>
  <c r="I92" i="15"/>
  <c r="R91" i="15"/>
  <c r="L91" i="15"/>
  <c r="I91" i="15"/>
  <c r="R90" i="15"/>
  <c r="L90" i="15"/>
  <c r="I90" i="15"/>
  <c r="R89" i="15"/>
  <c r="L89" i="15"/>
  <c r="I89" i="15"/>
  <c r="R88" i="15"/>
  <c r="L88" i="15"/>
  <c r="I88" i="15"/>
  <c r="R87" i="15"/>
  <c r="L87" i="15"/>
  <c r="I87" i="15"/>
  <c r="R86" i="15"/>
  <c r="L86" i="15"/>
  <c r="I86" i="15"/>
  <c r="R85" i="15"/>
  <c r="L85" i="15"/>
  <c r="I85" i="15"/>
  <c r="R84" i="15"/>
  <c r="L84" i="15"/>
  <c r="I84" i="15"/>
  <c r="R83" i="15"/>
  <c r="L83" i="15"/>
  <c r="I83" i="15"/>
  <c r="R82" i="15"/>
  <c r="L82" i="15"/>
  <c r="I82" i="15"/>
  <c r="R81" i="15"/>
  <c r="L81" i="15"/>
  <c r="I81" i="15"/>
  <c r="R80" i="15"/>
  <c r="L80" i="15"/>
  <c r="I80" i="15"/>
  <c r="R79" i="15"/>
  <c r="L79" i="15"/>
  <c r="I79" i="15"/>
  <c r="R78" i="15"/>
  <c r="L78" i="15"/>
  <c r="I78" i="15"/>
  <c r="R77" i="15"/>
  <c r="L77" i="15"/>
  <c r="I77" i="15"/>
  <c r="R76" i="15"/>
  <c r="L76" i="15"/>
  <c r="I76" i="15"/>
  <c r="R75" i="15"/>
  <c r="L75" i="15"/>
  <c r="I75" i="15"/>
  <c r="R74" i="15"/>
  <c r="L74" i="15"/>
  <c r="I74" i="15"/>
  <c r="R73" i="15"/>
  <c r="L73" i="15"/>
  <c r="I73" i="15"/>
  <c r="R72" i="15"/>
  <c r="L72" i="15"/>
  <c r="I72" i="15"/>
  <c r="R71" i="15"/>
  <c r="L71" i="15"/>
  <c r="I71" i="15"/>
  <c r="R70" i="15"/>
  <c r="L70" i="15"/>
  <c r="I70" i="15"/>
  <c r="R69" i="15"/>
  <c r="L69" i="15"/>
  <c r="I69" i="15"/>
  <c r="R68" i="15"/>
  <c r="L68" i="15"/>
  <c r="I68" i="15"/>
  <c r="R67" i="15"/>
  <c r="L67" i="15"/>
  <c r="I67" i="15"/>
  <c r="R66" i="15"/>
  <c r="L66" i="15"/>
  <c r="I66" i="15"/>
  <c r="R65" i="15"/>
  <c r="L65" i="15"/>
  <c r="I65" i="15"/>
  <c r="R64" i="15"/>
  <c r="L64" i="15"/>
  <c r="I64" i="15"/>
  <c r="R63" i="15"/>
  <c r="L63" i="15"/>
  <c r="I63" i="15"/>
  <c r="R62" i="15"/>
  <c r="L62" i="15"/>
  <c r="I62" i="15"/>
  <c r="R61" i="15"/>
  <c r="L61" i="15"/>
  <c r="I61" i="15"/>
  <c r="R60" i="15"/>
  <c r="L60" i="15"/>
  <c r="I60" i="15"/>
  <c r="R59" i="15"/>
  <c r="L59" i="15"/>
  <c r="I59" i="15"/>
  <c r="R58" i="15"/>
  <c r="L58" i="15"/>
  <c r="I58" i="15"/>
  <c r="R57" i="15"/>
  <c r="L57" i="15"/>
  <c r="I57" i="15"/>
  <c r="R56" i="15"/>
  <c r="L56" i="15"/>
  <c r="I56" i="15"/>
  <c r="R55" i="15"/>
  <c r="L55" i="15"/>
  <c r="I55" i="15"/>
  <c r="R54" i="15"/>
  <c r="L54" i="15"/>
  <c r="I54" i="15"/>
  <c r="R53" i="15"/>
  <c r="L53" i="15"/>
  <c r="I53" i="15"/>
  <c r="R52" i="15"/>
  <c r="L52" i="15"/>
  <c r="I52" i="15"/>
  <c r="R51" i="15"/>
  <c r="L51" i="15"/>
  <c r="I51" i="15"/>
  <c r="R50" i="15"/>
  <c r="L50" i="15"/>
  <c r="I50" i="15"/>
  <c r="R49" i="15"/>
  <c r="L49" i="15"/>
  <c r="I49" i="15"/>
  <c r="R48" i="15"/>
  <c r="L48" i="15"/>
  <c r="I48" i="15"/>
  <c r="R47" i="15"/>
  <c r="L47" i="15"/>
  <c r="I47" i="15"/>
  <c r="R46" i="15"/>
  <c r="L46" i="15"/>
  <c r="I46" i="15"/>
  <c r="R45" i="15"/>
  <c r="L45" i="15"/>
  <c r="I45" i="15"/>
  <c r="R44" i="15"/>
  <c r="L44" i="15"/>
  <c r="I44" i="15"/>
  <c r="R43" i="15"/>
  <c r="L43" i="15"/>
  <c r="I43" i="15"/>
  <c r="R42" i="15"/>
  <c r="L42" i="15"/>
  <c r="I42" i="15"/>
  <c r="R41" i="15"/>
  <c r="L41" i="15"/>
  <c r="I41" i="15"/>
  <c r="R40" i="15"/>
  <c r="L40" i="15"/>
  <c r="I40" i="15"/>
  <c r="R39" i="15"/>
  <c r="L39" i="15"/>
  <c r="I39" i="15"/>
  <c r="R38" i="15"/>
  <c r="L38" i="15"/>
  <c r="I38" i="15"/>
  <c r="R37" i="15"/>
  <c r="L37" i="15"/>
  <c r="I37" i="15"/>
  <c r="R36" i="15"/>
  <c r="L36" i="15"/>
  <c r="I36" i="15"/>
  <c r="R35" i="15"/>
  <c r="L35" i="15"/>
  <c r="I35" i="15"/>
  <c r="R34" i="15"/>
  <c r="L34" i="15"/>
  <c r="I34" i="15"/>
  <c r="R33" i="15"/>
  <c r="L33" i="15"/>
  <c r="I33" i="15"/>
  <c r="R32" i="15"/>
  <c r="L32" i="15"/>
  <c r="I32" i="15"/>
  <c r="R31" i="15"/>
  <c r="L31" i="15"/>
  <c r="I31" i="15"/>
  <c r="R30" i="15"/>
  <c r="L30" i="15"/>
  <c r="I30" i="15"/>
  <c r="R29" i="15"/>
  <c r="L29" i="15"/>
  <c r="I29" i="15"/>
  <c r="R28" i="15"/>
  <c r="L28" i="15"/>
  <c r="I28" i="15"/>
  <c r="R27" i="15"/>
  <c r="L27" i="15"/>
  <c r="I27" i="15"/>
  <c r="R26" i="15"/>
  <c r="L26" i="15"/>
  <c r="I26" i="15"/>
  <c r="R25" i="15"/>
  <c r="L25" i="15"/>
  <c r="I25" i="15"/>
  <c r="R24" i="15"/>
  <c r="L24" i="15"/>
  <c r="I24" i="15"/>
  <c r="R23" i="15"/>
  <c r="L23" i="15"/>
  <c r="I23" i="15"/>
  <c r="R22" i="15"/>
  <c r="L22" i="15"/>
  <c r="I22" i="15"/>
  <c r="R21" i="15"/>
  <c r="L21" i="15"/>
  <c r="I21" i="15"/>
  <c r="R20" i="15"/>
  <c r="L20" i="15"/>
  <c r="I20" i="15"/>
  <c r="R19" i="15"/>
  <c r="L19" i="15"/>
  <c r="I19" i="15"/>
  <c r="R18" i="15"/>
  <c r="L18" i="15"/>
  <c r="I18" i="15"/>
  <c r="R17" i="15"/>
  <c r="L17" i="15"/>
  <c r="I17" i="15"/>
  <c r="R16" i="15"/>
  <c r="L16" i="15"/>
  <c r="I16" i="15"/>
  <c r="R15" i="15"/>
  <c r="L15" i="15"/>
  <c r="I15" i="15"/>
  <c r="R14" i="15"/>
  <c r="L14" i="15"/>
  <c r="I14" i="15"/>
  <c r="R13" i="15"/>
  <c r="L13" i="15"/>
  <c r="I13" i="15"/>
  <c r="R12" i="15"/>
  <c r="L12" i="15"/>
  <c r="I12" i="15"/>
  <c r="R11" i="15"/>
  <c r="L11" i="15"/>
  <c r="I11" i="15"/>
  <c r="R10" i="15"/>
  <c r="L10" i="15"/>
  <c r="I10" i="15"/>
  <c r="R9" i="15"/>
  <c r="L9" i="15"/>
  <c r="I9" i="15"/>
  <c r="R8" i="15"/>
  <c r="L8" i="15"/>
  <c r="I8" i="15"/>
  <c r="R7" i="15"/>
  <c r="L7" i="15"/>
  <c r="I7" i="15"/>
  <c r="P4" i="15"/>
  <c r="J4" i="15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4" i="12"/>
  <c r="F5" i="12"/>
  <c r="F6" i="12"/>
  <c r="F7" i="12"/>
  <c r="F8" i="12"/>
  <c r="F9" i="12"/>
  <c r="F3" i="12"/>
  <c r="B7" i="1" l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N45" i="1"/>
  <c r="Q41" i="1"/>
  <c r="M41" i="1"/>
  <c r="H41" i="1"/>
  <c r="R40" i="1"/>
  <c r="P40" i="1"/>
  <c r="O40" i="1"/>
  <c r="R39" i="1"/>
  <c r="N39" i="1"/>
  <c r="L39" i="1"/>
  <c r="P38" i="1"/>
  <c r="J38" i="1"/>
  <c r="O37" i="1"/>
  <c r="B37" i="1"/>
  <c r="M36" i="1"/>
  <c r="I36" i="1"/>
  <c r="J35" i="1"/>
  <c r="D35" i="1"/>
  <c r="M34" i="1"/>
  <c r="C34" i="1"/>
  <c r="Q33" i="1"/>
  <c r="I33" i="1"/>
  <c r="F33" i="1"/>
  <c r="E33" i="1"/>
  <c r="B33" i="1"/>
  <c r="R32" i="1"/>
  <c r="D32" i="1"/>
  <c r="N31" i="1"/>
  <c r="E31" i="1"/>
  <c r="C31" i="1"/>
  <c r="K30" i="1"/>
  <c r="E30" i="1"/>
  <c r="H29" i="1"/>
  <c r="G29" i="1"/>
  <c r="D29" i="1"/>
  <c r="M28" i="1"/>
  <c r="H28" i="1"/>
  <c r="D28" i="1"/>
  <c r="B28" i="1"/>
  <c r="I27" i="1"/>
  <c r="B27" i="1"/>
  <c r="P26" i="1"/>
  <c r="N26" i="1"/>
  <c r="M26" i="1"/>
  <c r="L26" i="1"/>
  <c r="F26" i="1"/>
  <c r="E26" i="1"/>
  <c r="G25" i="1"/>
  <c r="B25" i="1"/>
  <c r="R24" i="1"/>
  <c r="H24" i="1"/>
  <c r="F24" i="1"/>
  <c r="R23" i="1"/>
  <c r="D23" i="1"/>
  <c r="B23" i="1"/>
  <c r="R22" i="1"/>
  <c r="L22" i="1"/>
  <c r="J22" i="1"/>
  <c r="H22" i="1"/>
  <c r="J21" i="1"/>
  <c r="E21" i="1"/>
  <c r="O20" i="1"/>
  <c r="L20" i="1"/>
  <c r="B20" i="1"/>
  <c r="R19" i="1"/>
  <c r="Q19" i="1"/>
  <c r="I19" i="1"/>
  <c r="K18" i="1"/>
  <c r="C18" i="1"/>
  <c r="R17" i="1"/>
  <c r="O17" i="1"/>
  <c r="N17" i="1"/>
  <c r="E17" i="1"/>
  <c r="C17" i="1"/>
  <c r="B17" i="1"/>
  <c r="H16" i="1"/>
  <c r="F16" i="1"/>
  <c r="E16" i="1"/>
  <c r="C16" i="1"/>
  <c r="R15" i="1"/>
  <c r="B15" i="1"/>
  <c r="R14" i="1"/>
  <c r="D14" i="1"/>
  <c r="B14" i="1"/>
  <c r="P13" i="1"/>
  <c r="M13" i="1"/>
  <c r="H13" i="1"/>
  <c r="G13" i="1"/>
  <c r="E13" i="1"/>
  <c r="G12" i="1"/>
  <c r="J11" i="1"/>
  <c r="N10" i="1"/>
  <c r="I10" i="1"/>
  <c r="D10" i="1"/>
  <c r="R9" i="1"/>
  <c r="P9" i="1"/>
  <c r="G9" i="1"/>
  <c r="D9" i="1"/>
  <c r="C9" i="1"/>
  <c r="B9" i="1"/>
  <c r="P8" i="1"/>
  <c r="O8" i="1"/>
  <c r="C8" i="1"/>
  <c r="B8" i="1"/>
  <c r="K7" i="1"/>
  <c r="G7" i="1"/>
  <c r="F7" i="1"/>
  <c r="L2184" i="1"/>
  <c r="L2190" i="1"/>
  <c r="L2192" i="1"/>
  <c r="L2197" i="1"/>
  <c r="R2177" i="1"/>
  <c r="R2178" i="1"/>
  <c r="R2188" i="1"/>
  <c r="I2190" i="1"/>
  <c r="I2192" i="1"/>
  <c r="R2193" i="1"/>
  <c r="R2197" i="1"/>
  <c r="I2198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Q2198" i="1"/>
  <c r="P2198" i="1"/>
  <c r="O2198" i="1"/>
  <c r="N2198" i="1"/>
  <c r="M2198" i="1"/>
  <c r="K2198" i="1"/>
  <c r="J2198" i="1"/>
  <c r="H2198" i="1"/>
  <c r="G2198" i="1"/>
  <c r="F2198" i="1"/>
  <c r="E2198" i="1"/>
  <c r="D2198" i="1"/>
  <c r="C2198" i="1"/>
  <c r="B2198" i="1"/>
  <c r="Q2197" i="1"/>
  <c r="P2197" i="1"/>
  <c r="O2197" i="1"/>
  <c r="N2197" i="1"/>
  <c r="M2197" i="1"/>
  <c r="K2197" i="1"/>
  <c r="J2197" i="1"/>
  <c r="H2197" i="1"/>
  <c r="G2197" i="1"/>
  <c r="F2197" i="1"/>
  <c r="E2197" i="1"/>
  <c r="D2197" i="1"/>
  <c r="C2197" i="1"/>
  <c r="B2197" i="1"/>
  <c r="Q2196" i="1"/>
  <c r="P2196" i="1"/>
  <c r="O2196" i="1"/>
  <c r="N2196" i="1"/>
  <c r="M2196" i="1"/>
  <c r="K2196" i="1"/>
  <c r="J2196" i="1"/>
  <c r="H2196" i="1"/>
  <c r="G2196" i="1"/>
  <c r="F2196" i="1"/>
  <c r="E2196" i="1"/>
  <c r="D2196" i="1"/>
  <c r="C2196" i="1"/>
  <c r="B2196" i="1"/>
  <c r="Q2195" i="1"/>
  <c r="P2195" i="1"/>
  <c r="O2195" i="1"/>
  <c r="N2195" i="1"/>
  <c r="M2195" i="1"/>
  <c r="K2195" i="1"/>
  <c r="J2195" i="1"/>
  <c r="H2195" i="1"/>
  <c r="G2195" i="1"/>
  <c r="F2195" i="1"/>
  <c r="E2195" i="1"/>
  <c r="D2195" i="1"/>
  <c r="C2195" i="1"/>
  <c r="B2195" i="1"/>
  <c r="Q2194" i="1"/>
  <c r="P2194" i="1"/>
  <c r="O2194" i="1"/>
  <c r="N2194" i="1"/>
  <c r="M2194" i="1"/>
  <c r="K2194" i="1"/>
  <c r="J2194" i="1"/>
  <c r="H2194" i="1"/>
  <c r="G2194" i="1"/>
  <c r="F2194" i="1"/>
  <c r="E2194" i="1"/>
  <c r="D2194" i="1"/>
  <c r="C2194" i="1"/>
  <c r="B2194" i="1"/>
  <c r="Q2193" i="1"/>
  <c r="P2193" i="1"/>
  <c r="O2193" i="1"/>
  <c r="N2193" i="1"/>
  <c r="M2193" i="1"/>
  <c r="K2193" i="1"/>
  <c r="J2193" i="1"/>
  <c r="H2193" i="1"/>
  <c r="G2193" i="1"/>
  <c r="F2193" i="1"/>
  <c r="E2193" i="1"/>
  <c r="D2193" i="1"/>
  <c r="C2193" i="1"/>
  <c r="B2193" i="1"/>
  <c r="Q2192" i="1"/>
  <c r="P2192" i="1"/>
  <c r="O2192" i="1"/>
  <c r="N2192" i="1"/>
  <c r="M2192" i="1"/>
  <c r="K2192" i="1"/>
  <c r="J2192" i="1"/>
  <c r="H2192" i="1"/>
  <c r="G2192" i="1"/>
  <c r="F2192" i="1"/>
  <c r="E2192" i="1"/>
  <c r="D2192" i="1"/>
  <c r="C2192" i="1"/>
  <c r="B2192" i="1"/>
  <c r="Q2191" i="1"/>
  <c r="P2191" i="1"/>
  <c r="O2191" i="1"/>
  <c r="N2191" i="1"/>
  <c r="M2191" i="1"/>
  <c r="K2191" i="1"/>
  <c r="J2191" i="1"/>
  <c r="H2191" i="1"/>
  <c r="G2191" i="1"/>
  <c r="F2191" i="1"/>
  <c r="E2191" i="1"/>
  <c r="D2191" i="1"/>
  <c r="C2191" i="1"/>
  <c r="B2191" i="1"/>
  <c r="Q2190" i="1"/>
  <c r="P2190" i="1"/>
  <c r="O2190" i="1"/>
  <c r="N2190" i="1"/>
  <c r="M2190" i="1"/>
  <c r="K2190" i="1"/>
  <c r="J2190" i="1"/>
  <c r="H2190" i="1"/>
  <c r="G2190" i="1"/>
  <c r="F2190" i="1"/>
  <c r="E2190" i="1"/>
  <c r="D2190" i="1"/>
  <c r="C2190" i="1"/>
  <c r="B2190" i="1"/>
  <c r="Q2189" i="1"/>
  <c r="P2189" i="1"/>
  <c r="O2189" i="1"/>
  <c r="N2189" i="1"/>
  <c r="M2189" i="1"/>
  <c r="K2189" i="1"/>
  <c r="J2189" i="1"/>
  <c r="H2189" i="1"/>
  <c r="G2189" i="1"/>
  <c r="F2189" i="1"/>
  <c r="E2189" i="1"/>
  <c r="D2189" i="1"/>
  <c r="C2189" i="1"/>
  <c r="B2189" i="1"/>
  <c r="Q2188" i="1"/>
  <c r="P2188" i="1"/>
  <c r="O2188" i="1"/>
  <c r="N2188" i="1"/>
  <c r="M2188" i="1"/>
  <c r="K2188" i="1"/>
  <c r="J2188" i="1"/>
  <c r="H2188" i="1"/>
  <c r="G2188" i="1"/>
  <c r="F2188" i="1"/>
  <c r="E2188" i="1"/>
  <c r="D2188" i="1"/>
  <c r="C2188" i="1"/>
  <c r="B2188" i="1"/>
  <c r="Q2187" i="1"/>
  <c r="P2187" i="1"/>
  <c r="O2187" i="1"/>
  <c r="N2187" i="1"/>
  <c r="M2187" i="1"/>
  <c r="K2187" i="1"/>
  <c r="J2187" i="1"/>
  <c r="H2187" i="1"/>
  <c r="G2187" i="1"/>
  <c r="F2187" i="1"/>
  <c r="E2187" i="1"/>
  <c r="D2187" i="1"/>
  <c r="C2187" i="1"/>
  <c r="B2187" i="1"/>
  <c r="Q2186" i="1"/>
  <c r="P2186" i="1"/>
  <c r="O2186" i="1"/>
  <c r="N2186" i="1"/>
  <c r="M2186" i="1"/>
  <c r="K2186" i="1"/>
  <c r="J2186" i="1"/>
  <c r="H2186" i="1"/>
  <c r="G2186" i="1"/>
  <c r="F2186" i="1"/>
  <c r="E2186" i="1"/>
  <c r="D2186" i="1"/>
  <c r="C2186" i="1"/>
  <c r="B2186" i="1"/>
  <c r="Q2185" i="1"/>
  <c r="P2185" i="1"/>
  <c r="O2185" i="1"/>
  <c r="N2185" i="1"/>
  <c r="M2185" i="1"/>
  <c r="K2185" i="1"/>
  <c r="J2185" i="1"/>
  <c r="H2185" i="1"/>
  <c r="G2185" i="1"/>
  <c r="F2185" i="1"/>
  <c r="E2185" i="1"/>
  <c r="D2185" i="1"/>
  <c r="C2185" i="1"/>
  <c r="B2185" i="1"/>
  <c r="Q2184" i="1"/>
  <c r="P2184" i="1"/>
  <c r="O2184" i="1"/>
  <c r="N2184" i="1"/>
  <c r="M2184" i="1"/>
  <c r="K2184" i="1"/>
  <c r="J2184" i="1"/>
  <c r="H2184" i="1"/>
  <c r="G2184" i="1"/>
  <c r="F2184" i="1"/>
  <c r="E2184" i="1"/>
  <c r="D2184" i="1"/>
  <c r="C2184" i="1"/>
  <c r="B2184" i="1"/>
  <c r="Q2183" i="1"/>
  <c r="P2183" i="1"/>
  <c r="O2183" i="1"/>
  <c r="N2183" i="1"/>
  <c r="M2183" i="1"/>
  <c r="K2183" i="1"/>
  <c r="J2183" i="1"/>
  <c r="H2183" i="1"/>
  <c r="G2183" i="1"/>
  <c r="F2183" i="1"/>
  <c r="E2183" i="1"/>
  <c r="D2183" i="1"/>
  <c r="C2183" i="1"/>
  <c r="B2183" i="1"/>
  <c r="Q2182" i="1"/>
  <c r="P2182" i="1"/>
  <c r="O2182" i="1"/>
  <c r="N2182" i="1"/>
  <c r="M2182" i="1"/>
  <c r="K2182" i="1"/>
  <c r="J2182" i="1"/>
  <c r="H2182" i="1"/>
  <c r="G2182" i="1"/>
  <c r="F2182" i="1"/>
  <c r="E2182" i="1"/>
  <c r="D2182" i="1"/>
  <c r="C2182" i="1"/>
  <c r="B2182" i="1"/>
  <c r="Q2181" i="1"/>
  <c r="P2181" i="1"/>
  <c r="O2181" i="1"/>
  <c r="N2181" i="1"/>
  <c r="M2181" i="1"/>
  <c r="K2181" i="1"/>
  <c r="J2181" i="1"/>
  <c r="H2181" i="1"/>
  <c r="G2181" i="1"/>
  <c r="F2181" i="1"/>
  <c r="E2181" i="1"/>
  <c r="D2181" i="1"/>
  <c r="C2181" i="1"/>
  <c r="B2181" i="1"/>
  <c r="Q2180" i="1"/>
  <c r="P2180" i="1"/>
  <c r="O2180" i="1"/>
  <c r="N2180" i="1"/>
  <c r="M2180" i="1"/>
  <c r="K2180" i="1"/>
  <c r="J2180" i="1"/>
  <c r="H2180" i="1"/>
  <c r="G2180" i="1"/>
  <c r="F2180" i="1"/>
  <c r="E2180" i="1"/>
  <c r="D2180" i="1"/>
  <c r="C2180" i="1"/>
  <c r="B2180" i="1"/>
  <c r="Q2179" i="1"/>
  <c r="P2179" i="1"/>
  <c r="O2179" i="1"/>
  <c r="N2179" i="1"/>
  <c r="M2179" i="1"/>
  <c r="K2179" i="1"/>
  <c r="J2179" i="1"/>
  <c r="H2179" i="1"/>
  <c r="G2179" i="1"/>
  <c r="F2179" i="1"/>
  <c r="E2179" i="1"/>
  <c r="D2179" i="1"/>
  <c r="C2179" i="1"/>
  <c r="B2179" i="1"/>
  <c r="Q2178" i="1"/>
  <c r="P2178" i="1"/>
  <c r="O2178" i="1"/>
  <c r="N2178" i="1"/>
  <c r="M2178" i="1"/>
  <c r="K2178" i="1"/>
  <c r="J2178" i="1"/>
  <c r="H2178" i="1"/>
  <c r="G2178" i="1"/>
  <c r="F2178" i="1"/>
  <c r="E2178" i="1"/>
  <c r="D2178" i="1"/>
  <c r="C2178" i="1"/>
  <c r="B2178" i="1"/>
  <c r="Q2177" i="1"/>
  <c r="P2177" i="1"/>
  <c r="O2177" i="1"/>
  <c r="N2177" i="1"/>
  <c r="M2177" i="1"/>
  <c r="K2177" i="1"/>
  <c r="J2177" i="1"/>
  <c r="H2177" i="1"/>
  <c r="G2177" i="1"/>
  <c r="F2177" i="1"/>
  <c r="E2177" i="1"/>
  <c r="D2177" i="1"/>
  <c r="C2177" i="1"/>
  <c r="B2177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O1657" i="1"/>
  <c r="N1657" i="1"/>
  <c r="P1656" i="1"/>
  <c r="O1656" i="1"/>
  <c r="I1656" i="1"/>
  <c r="G1656" i="1"/>
  <c r="F1656" i="1"/>
  <c r="E1656" i="1"/>
  <c r="D1656" i="1"/>
  <c r="C1656" i="1"/>
  <c r="B1656" i="1"/>
  <c r="R1655" i="1"/>
  <c r="Q1655" i="1"/>
  <c r="P1655" i="1"/>
  <c r="O1655" i="1"/>
  <c r="N1655" i="1"/>
  <c r="M1655" i="1"/>
  <c r="L1655" i="1"/>
  <c r="K1655" i="1"/>
  <c r="J1655" i="1"/>
  <c r="I1655" i="1"/>
  <c r="G1655" i="1"/>
  <c r="C1655" i="1"/>
  <c r="R1654" i="1"/>
  <c r="Q1654" i="1"/>
  <c r="P1654" i="1"/>
  <c r="O1654" i="1"/>
  <c r="N1654" i="1"/>
  <c r="M1654" i="1"/>
  <c r="H1654" i="1"/>
  <c r="F1654" i="1"/>
  <c r="E1654" i="1"/>
  <c r="B1654" i="1"/>
  <c r="N1653" i="1"/>
  <c r="M1653" i="1"/>
  <c r="H1653" i="1"/>
  <c r="D1653" i="1"/>
  <c r="C1653" i="1"/>
  <c r="O1652" i="1"/>
  <c r="M1652" i="1"/>
  <c r="L1652" i="1"/>
  <c r="K1652" i="1"/>
  <c r="J1652" i="1"/>
  <c r="I1652" i="1"/>
  <c r="H1652" i="1"/>
  <c r="G1652" i="1"/>
  <c r="F1652" i="1"/>
  <c r="C1652" i="1"/>
  <c r="B1652" i="1"/>
  <c r="R1651" i="1"/>
  <c r="Q1651" i="1"/>
  <c r="O1651" i="1"/>
  <c r="I1651" i="1"/>
  <c r="H1651" i="1"/>
  <c r="F1651" i="1"/>
  <c r="E1651" i="1"/>
  <c r="D1651" i="1"/>
  <c r="C1651" i="1"/>
  <c r="B1651" i="1"/>
  <c r="Q1650" i="1"/>
  <c r="P1650" i="1"/>
  <c r="O1650" i="1"/>
  <c r="H1650" i="1"/>
  <c r="G1650" i="1"/>
  <c r="F1650" i="1"/>
  <c r="E1650" i="1"/>
  <c r="D1650" i="1"/>
  <c r="C1650" i="1"/>
  <c r="B1650" i="1"/>
  <c r="R1649" i="1"/>
  <c r="Q1649" i="1"/>
  <c r="N1649" i="1"/>
  <c r="B1649" i="1"/>
  <c r="R1648" i="1"/>
  <c r="Q1648" i="1"/>
  <c r="O1648" i="1"/>
  <c r="N1648" i="1"/>
  <c r="M1648" i="1"/>
  <c r="L1648" i="1"/>
  <c r="K1648" i="1"/>
  <c r="J1648" i="1"/>
  <c r="F1648" i="1"/>
  <c r="B1648" i="1"/>
  <c r="R1647" i="1"/>
  <c r="Q1647" i="1"/>
  <c r="P1647" i="1"/>
  <c r="L1647" i="1"/>
  <c r="H1647" i="1"/>
  <c r="G1647" i="1"/>
  <c r="F1647" i="1"/>
  <c r="D1647" i="1"/>
  <c r="C1647" i="1"/>
  <c r="R1646" i="1"/>
  <c r="P1646" i="1"/>
  <c r="O1646" i="1"/>
  <c r="M1646" i="1"/>
  <c r="L1646" i="1"/>
  <c r="K1646" i="1"/>
  <c r="J1646" i="1"/>
  <c r="G1646" i="1"/>
  <c r="F1646" i="1"/>
  <c r="C1646" i="1"/>
  <c r="B1646" i="1"/>
  <c r="R1645" i="1"/>
  <c r="Q1645" i="1"/>
  <c r="P1645" i="1"/>
  <c r="O1645" i="1"/>
  <c r="N1645" i="1"/>
  <c r="K1645" i="1"/>
  <c r="J1645" i="1"/>
  <c r="H1645" i="1"/>
  <c r="G1645" i="1"/>
  <c r="F1645" i="1"/>
  <c r="B1645" i="1"/>
  <c r="O1644" i="1"/>
  <c r="N1644" i="1"/>
  <c r="M1644" i="1"/>
  <c r="J1644" i="1"/>
  <c r="F1644" i="1"/>
  <c r="E1644" i="1"/>
  <c r="D1644" i="1"/>
  <c r="C1644" i="1"/>
  <c r="B1644" i="1"/>
  <c r="O1643" i="1"/>
  <c r="N1643" i="1"/>
  <c r="M1643" i="1"/>
  <c r="L1643" i="1"/>
  <c r="I1643" i="1"/>
  <c r="H1643" i="1"/>
  <c r="G1643" i="1"/>
  <c r="D1643" i="1"/>
  <c r="C1643" i="1"/>
  <c r="B1643" i="1"/>
  <c r="R1642" i="1"/>
  <c r="Q1642" i="1"/>
  <c r="P1642" i="1"/>
  <c r="O1642" i="1"/>
  <c r="N1642" i="1"/>
  <c r="M1642" i="1"/>
  <c r="K1642" i="1"/>
  <c r="J1642" i="1"/>
  <c r="I1642" i="1"/>
  <c r="G1642" i="1"/>
  <c r="F1642" i="1"/>
  <c r="E1642" i="1"/>
  <c r="Q1641" i="1"/>
  <c r="P1641" i="1"/>
  <c r="O1641" i="1"/>
  <c r="N1641" i="1"/>
  <c r="M1641" i="1"/>
  <c r="E1641" i="1"/>
  <c r="C1641" i="1"/>
  <c r="N1640" i="1"/>
  <c r="M1640" i="1"/>
  <c r="K1640" i="1"/>
  <c r="J1640" i="1"/>
  <c r="I1640" i="1"/>
  <c r="H1640" i="1"/>
  <c r="F1640" i="1"/>
  <c r="E1640" i="1"/>
  <c r="R1639" i="1"/>
  <c r="M1639" i="1"/>
  <c r="I1639" i="1"/>
  <c r="H1639" i="1"/>
  <c r="G1639" i="1"/>
  <c r="F1639" i="1"/>
  <c r="E1639" i="1"/>
  <c r="B1639" i="1"/>
  <c r="Q1638" i="1"/>
  <c r="P1638" i="1"/>
  <c r="N1638" i="1"/>
  <c r="F1635" i="1"/>
  <c r="L1634" i="1"/>
  <c r="I1634" i="1"/>
  <c r="H1634" i="1"/>
  <c r="E1634" i="1"/>
  <c r="C1634" i="1"/>
  <c r="Q1633" i="1"/>
  <c r="O1633" i="1"/>
  <c r="N1633" i="1"/>
  <c r="M1633" i="1"/>
  <c r="L1633" i="1"/>
  <c r="K1633" i="1"/>
  <c r="J1633" i="1"/>
  <c r="F1633" i="1"/>
  <c r="E1633" i="1"/>
  <c r="D1633" i="1"/>
  <c r="B1633" i="1"/>
  <c r="R1632" i="1"/>
  <c r="L1632" i="1"/>
  <c r="K1632" i="1"/>
  <c r="J1632" i="1"/>
  <c r="F1632" i="1"/>
  <c r="B1632" i="1"/>
  <c r="R1631" i="1"/>
  <c r="Q1631" i="1"/>
  <c r="P1631" i="1"/>
  <c r="O1631" i="1"/>
  <c r="N1631" i="1"/>
  <c r="M1631" i="1"/>
  <c r="L1631" i="1"/>
  <c r="K1631" i="1"/>
  <c r="I1631" i="1"/>
  <c r="H1631" i="1"/>
  <c r="G1631" i="1"/>
  <c r="F1631" i="1"/>
  <c r="E1631" i="1"/>
  <c r="Q1630" i="1"/>
  <c r="P1630" i="1"/>
  <c r="O1630" i="1"/>
  <c r="N1630" i="1"/>
  <c r="K1630" i="1"/>
  <c r="J1630" i="1"/>
  <c r="I1630" i="1"/>
  <c r="G1630" i="1"/>
  <c r="F1630" i="1"/>
  <c r="E1630" i="1"/>
  <c r="D1630" i="1"/>
  <c r="C1630" i="1"/>
  <c r="B1630" i="1"/>
  <c r="O1629" i="1"/>
  <c r="K1629" i="1"/>
  <c r="J1629" i="1"/>
  <c r="H1629" i="1"/>
  <c r="G1629" i="1"/>
  <c r="F1629" i="1"/>
  <c r="D1629" i="1"/>
  <c r="B1629" i="1"/>
  <c r="R1628" i="1"/>
  <c r="Q1628" i="1"/>
  <c r="O1628" i="1"/>
  <c r="K1628" i="1"/>
  <c r="J1628" i="1"/>
  <c r="I1628" i="1"/>
  <c r="H1628" i="1"/>
  <c r="G1628" i="1"/>
  <c r="Q1627" i="1"/>
  <c r="P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R1626" i="1"/>
  <c r="Q1626" i="1"/>
  <c r="P1626" i="1"/>
  <c r="N1626" i="1"/>
  <c r="M1626" i="1"/>
  <c r="K1626" i="1"/>
  <c r="J1626" i="1"/>
  <c r="I1626" i="1"/>
  <c r="H1626" i="1"/>
  <c r="G1626" i="1"/>
  <c r="R1625" i="1"/>
  <c r="O1625" i="1"/>
  <c r="M1625" i="1"/>
  <c r="L1625" i="1"/>
  <c r="K1625" i="1"/>
  <c r="J1625" i="1"/>
  <c r="I1625" i="1"/>
  <c r="H1625" i="1"/>
  <c r="E1625" i="1"/>
  <c r="C1625" i="1"/>
  <c r="R1624" i="1"/>
  <c r="Q1624" i="1"/>
  <c r="P1624" i="1"/>
  <c r="N1624" i="1"/>
  <c r="M1624" i="1"/>
  <c r="K1624" i="1"/>
  <c r="H1624" i="1"/>
  <c r="G1624" i="1"/>
  <c r="F1624" i="1"/>
  <c r="E1624" i="1"/>
  <c r="D1624" i="1"/>
  <c r="C1624" i="1"/>
  <c r="B1624" i="1"/>
  <c r="Q1623" i="1"/>
  <c r="N1623" i="1"/>
  <c r="M1623" i="1"/>
  <c r="L1623" i="1"/>
  <c r="K1623" i="1"/>
  <c r="D1623" i="1"/>
  <c r="C1623" i="1"/>
  <c r="B1623" i="1"/>
  <c r="P1622" i="1"/>
  <c r="O1622" i="1"/>
  <c r="N1622" i="1"/>
  <c r="J1622" i="1"/>
  <c r="H1622" i="1"/>
  <c r="G1622" i="1"/>
  <c r="F1622" i="1"/>
  <c r="D1622" i="1"/>
  <c r="C1622" i="1"/>
  <c r="P1621" i="1"/>
  <c r="N1621" i="1"/>
  <c r="J1621" i="1"/>
  <c r="I1621" i="1"/>
  <c r="H1621" i="1"/>
  <c r="D1621" i="1"/>
  <c r="C1621" i="1"/>
  <c r="Q1620" i="1"/>
  <c r="M1620" i="1"/>
  <c r="L1620" i="1"/>
  <c r="K1620" i="1"/>
  <c r="J1620" i="1"/>
  <c r="H1620" i="1"/>
  <c r="G1620" i="1"/>
  <c r="E1620" i="1"/>
  <c r="D1620" i="1"/>
  <c r="C1620" i="1"/>
  <c r="R1619" i="1"/>
  <c r="Q1619" i="1"/>
  <c r="O1619" i="1"/>
  <c r="L1619" i="1"/>
  <c r="K1619" i="1"/>
  <c r="J1619" i="1"/>
  <c r="I1619" i="1"/>
  <c r="D1619" i="1"/>
  <c r="C1619" i="1"/>
  <c r="B1619" i="1"/>
  <c r="N1618" i="1"/>
  <c r="M1618" i="1"/>
  <c r="I1618" i="1"/>
  <c r="F1618" i="1"/>
  <c r="E1618" i="1"/>
  <c r="B1618" i="1"/>
  <c r="R1617" i="1"/>
  <c r="Q1617" i="1"/>
  <c r="P1617" i="1"/>
  <c r="K1617" i="1"/>
  <c r="I1617" i="1"/>
  <c r="H1617" i="1"/>
  <c r="G1617" i="1"/>
  <c r="F1617" i="1"/>
  <c r="I1614" i="1"/>
  <c r="B1614" i="1"/>
  <c r="R1613" i="1"/>
  <c r="P1613" i="1"/>
  <c r="N1613" i="1"/>
  <c r="M1613" i="1"/>
  <c r="L1613" i="1"/>
  <c r="K1613" i="1"/>
  <c r="F1613" i="1"/>
  <c r="C1613" i="1"/>
  <c r="R1612" i="1"/>
  <c r="N1612" i="1"/>
  <c r="M1612" i="1"/>
  <c r="L1612" i="1"/>
  <c r="K1612" i="1"/>
  <c r="I1612" i="1"/>
  <c r="H1612" i="1"/>
  <c r="G1612" i="1"/>
  <c r="F1612" i="1"/>
  <c r="B1612" i="1"/>
  <c r="R1611" i="1"/>
  <c r="Q1611" i="1"/>
  <c r="P1611" i="1"/>
  <c r="O1611" i="1"/>
  <c r="L1611" i="1"/>
  <c r="K1611" i="1"/>
  <c r="G1611" i="1"/>
  <c r="F1611" i="1"/>
  <c r="E1611" i="1"/>
  <c r="D1611" i="1"/>
  <c r="B1611" i="1"/>
  <c r="R1610" i="1"/>
  <c r="Q1610" i="1"/>
  <c r="P1610" i="1"/>
  <c r="O1610" i="1"/>
  <c r="N1610" i="1"/>
  <c r="M1610" i="1"/>
  <c r="L1610" i="1"/>
  <c r="K1610" i="1"/>
  <c r="J1610" i="1"/>
  <c r="I1610" i="1"/>
  <c r="H1610" i="1"/>
  <c r="E1610" i="1"/>
  <c r="C1610" i="1"/>
  <c r="R1609" i="1"/>
  <c r="P1609" i="1"/>
  <c r="O1609" i="1"/>
  <c r="N1609" i="1"/>
  <c r="K1609" i="1"/>
  <c r="F1609" i="1"/>
  <c r="E1609" i="1"/>
  <c r="D1609" i="1"/>
  <c r="B1609" i="1"/>
  <c r="R1608" i="1"/>
  <c r="N1608" i="1"/>
  <c r="M1608" i="1"/>
  <c r="L1608" i="1"/>
  <c r="K1608" i="1"/>
  <c r="I1608" i="1"/>
  <c r="H1608" i="1"/>
  <c r="G1608" i="1"/>
  <c r="F1608" i="1"/>
  <c r="C1608" i="1"/>
  <c r="B1608" i="1"/>
  <c r="K1607" i="1"/>
  <c r="J1607" i="1"/>
  <c r="I1607" i="1"/>
  <c r="H1607" i="1"/>
  <c r="E1607" i="1"/>
  <c r="D1607" i="1"/>
  <c r="C1607" i="1"/>
  <c r="R1606" i="1"/>
  <c r="Q1606" i="1"/>
  <c r="N1606" i="1"/>
  <c r="M1606" i="1"/>
  <c r="L1606" i="1"/>
  <c r="H1606" i="1"/>
  <c r="D1606" i="1"/>
  <c r="C1606" i="1"/>
  <c r="B1606" i="1"/>
  <c r="O1605" i="1"/>
  <c r="M1605" i="1"/>
  <c r="L1605" i="1"/>
  <c r="K1605" i="1"/>
  <c r="H1605" i="1"/>
  <c r="G1605" i="1"/>
  <c r="F1605" i="1"/>
  <c r="B1605" i="1"/>
  <c r="Q1604" i="1"/>
  <c r="O1604" i="1"/>
  <c r="L1604" i="1"/>
  <c r="I1604" i="1"/>
  <c r="H1604" i="1"/>
  <c r="G1604" i="1"/>
  <c r="C1604" i="1"/>
  <c r="B1604" i="1"/>
  <c r="R1603" i="1"/>
  <c r="N1603" i="1"/>
  <c r="M1603" i="1"/>
  <c r="L1603" i="1"/>
  <c r="J1603" i="1"/>
  <c r="I1603" i="1"/>
  <c r="H1603" i="1"/>
  <c r="D1603" i="1"/>
  <c r="C1603" i="1"/>
  <c r="B1603" i="1"/>
  <c r="L1602" i="1"/>
  <c r="J1602" i="1"/>
  <c r="I1602" i="1"/>
  <c r="H1602" i="1"/>
  <c r="C1602" i="1"/>
  <c r="B1602" i="1"/>
  <c r="R1601" i="1"/>
  <c r="N1601" i="1"/>
  <c r="M1601" i="1"/>
  <c r="J1601" i="1"/>
  <c r="H1601" i="1"/>
  <c r="G1601" i="1"/>
  <c r="F1601" i="1"/>
  <c r="P1600" i="1"/>
  <c r="O1600" i="1"/>
  <c r="N1600" i="1"/>
  <c r="M1600" i="1"/>
  <c r="L1600" i="1"/>
  <c r="K1600" i="1"/>
  <c r="I1600" i="1"/>
  <c r="F1600" i="1"/>
  <c r="C1600" i="1"/>
  <c r="B1600" i="1"/>
  <c r="O1599" i="1"/>
  <c r="N1599" i="1"/>
  <c r="M1599" i="1"/>
  <c r="H1599" i="1"/>
  <c r="G1599" i="1"/>
  <c r="C1599" i="1"/>
  <c r="B1599" i="1"/>
  <c r="Q1598" i="1"/>
  <c r="M1598" i="1"/>
  <c r="L1598" i="1"/>
  <c r="J1598" i="1"/>
  <c r="I1598" i="1"/>
  <c r="G1598" i="1"/>
  <c r="F1598" i="1"/>
  <c r="E1598" i="1"/>
  <c r="R1597" i="1"/>
  <c r="Q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R1596" i="1"/>
  <c r="Q1596" i="1"/>
  <c r="O1596" i="1"/>
  <c r="N1596" i="1"/>
  <c r="M1596" i="1"/>
  <c r="J1596" i="1"/>
  <c r="I1596" i="1"/>
  <c r="H1596" i="1"/>
  <c r="F1596" i="1"/>
  <c r="C1596" i="1"/>
  <c r="I1594" i="1"/>
  <c r="G1594" i="1"/>
  <c r="E1594" i="1"/>
  <c r="D1594" i="1"/>
  <c r="C1594" i="1"/>
  <c r="R1593" i="1"/>
  <c r="P1593" i="1"/>
  <c r="K1593" i="1"/>
  <c r="J1593" i="1"/>
  <c r="I1593" i="1"/>
  <c r="F1593" i="1"/>
  <c r="E1593" i="1"/>
  <c r="D1593" i="1"/>
  <c r="C1593" i="1"/>
  <c r="B1593" i="1"/>
  <c r="R1592" i="1"/>
  <c r="Q1592" i="1"/>
  <c r="P1592" i="1"/>
  <c r="O1592" i="1"/>
  <c r="N1592" i="1"/>
  <c r="M1592" i="1"/>
  <c r="L1592" i="1"/>
  <c r="K1592" i="1"/>
  <c r="D1592" i="1"/>
  <c r="C1592" i="1"/>
  <c r="B1592" i="1"/>
  <c r="O1591" i="1"/>
  <c r="N1591" i="1"/>
  <c r="M1591" i="1"/>
  <c r="I1591" i="1"/>
  <c r="G1591" i="1"/>
  <c r="E1591" i="1"/>
  <c r="P1590" i="1"/>
  <c r="O1590" i="1"/>
  <c r="G1590" i="1"/>
  <c r="F1590" i="1"/>
  <c r="D1590" i="1"/>
  <c r="O1589" i="1"/>
  <c r="N1589" i="1"/>
  <c r="C1589" i="1"/>
  <c r="B1589" i="1"/>
  <c r="R1588" i="1"/>
  <c r="N1588" i="1"/>
  <c r="L1588" i="1"/>
  <c r="K1588" i="1"/>
  <c r="D1588" i="1"/>
  <c r="C1588" i="1"/>
  <c r="B1588" i="1"/>
  <c r="P1587" i="1"/>
  <c r="N1587" i="1"/>
  <c r="M1587" i="1"/>
  <c r="K1587" i="1"/>
  <c r="J1587" i="1"/>
  <c r="I1587" i="1"/>
  <c r="H1587" i="1"/>
  <c r="G1587" i="1"/>
  <c r="F1587" i="1"/>
  <c r="E1587" i="1"/>
  <c r="D1587" i="1"/>
  <c r="J1202" i="1"/>
  <c r="D1202" i="1"/>
  <c r="B1202" i="1"/>
  <c r="R1201" i="1"/>
  <c r="P1201" i="1"/>
  <c r="O1201" i="1"/>
  <c r="M1201" i="1"/>
  <c r="L1201" i="1"/>
  <c r="K1201" i="1"/>
  <c r="J1201" i="1"/>
  <c r="G1201" i="1"/>
  <c r="F1201" i="1"/>
  <c r="R1200" i="1"/>
  <c r="O1200" i="1"/>
  <c r="N1200" i="1"/>
  <c r="M1200" i="1"/>
  <c r="L1200" i="1"/>
  <c r="I1200" i="1"/>
  <c r="G1200" i="1"/>
  <c r="B1200" i="1"/>
  <c r="K1199" i="1"/>
  <c r="J1199" i="1"/>
  <c r="I1199" i="1"/>
  <c r="F1199" i="1"/>
  <c r="R1198" i="1"/>
  <c r="J1198" i="1"/>
  <c r="H1198" i="1"/>
  <c r="E1198" i="1"/>
  <c r="B1198" i="1"/>
  <c r="O1197" i="1"/>
  <c r="M1197" i="1"/>
  <c r="K1197" i="1"/>
  <c r="I1197" i="1"/>
  <c r="H1197" i="1"/>
  <c r="G1197" i="1"/>
  <c r="F1197" i="1"/>
  <c r="B1197" i="1"/>
  <c r="L1196" i="1"/>
  <c r="K1196" i="1"/>
  <c r="G1196" i="1"/>
  <c r="F1196" i="1"/>
  <c r="E1196" i="1"/>
  <c r="D1196" i="1"/>
  <c r="B1196" i="1"/>
  <c r="R1195" i="1"/>
  <c r="P1195" i="1"/>
  <c r="O1195" i="1"/>
  <c r="E1195" i="1"/>
  <c r="D1195" i="1"/>
  <c r="B1195" i="1"/>
  <c r="R1194" i="1"/>
  <c r="O1194" i="1"/>
  <c r="N1194" i="1"/>
  <c r="M1194" i="1"/>
  <c r="H1194" i="1"/>
  <c r="G1194" i="1"/>
  <c r="F1194" i="1"/>
  <c r="E1194" i="1"/>
  <c r="D1194" i="1"/>
  <c r="C1194" i="1"/>
  <c r="B1194" i="1"/>
  <c r="R1193" i="1"/>
  <c r="Q1193" i="1"/>
  <c r="O1193" i="1"/>
  <c r="J1193" i="1"/>
  <c r="I1193" i="1"/>
  <c r="H1193" i="1"/>
  <c r="F1193" i="1"/>
  <c r="D1193" i="1"/>
  <c r="C1193" i="1"/>
  <c r="I1192" i="1"/>
  <c r="H1192" i="1"/>
  <c r="G1192" i="1"/>
  <c r="F1192" i="1"/>
  <c r="E1192" i="1"/>
  <c r="L51" i="1"/>
  <c r="I51" i="1"/>
  <c r="E51" i="1"/>
  <c r="P50" i="1"/>
  <c r="N50" i="1"/>
  <c r="D50" i="1"/>
  <c r="P49" i="1"/>
  <c r="I49" i="1"/>
  <c r="E49" i="1"/>
  <c r="J48" i="1"/>
  <c r="B48" i="1"/>
  <c r="M47" i="1"/>
  <c r="J47" i="1"/>
  <c r="H47" i="1"/>
  <c r="G47" i="1"/>
  <c r="E47" i="1"/>
  <c r="J46" i="1"/>
  <c r="P45" i="1"/>
  <c r="I45" i="1"/>
  <c r="H45" i="1"/>
  <c r="Q44" i="1"/>
  <c r="H44" i="1"/>
  <c r="C44" i="1"/>
  <c r="P43" i="1"/>
  <c r="C43" i="1"/>
  <c r="N42" i="1"/>
  <c r="D41" i="1"/>
  <c r="B41" i="1"/>
  <c r="Q40" i="1"/>
  <c r="H40" i="1"/>
  <c r="C40" i="1"/>
  <c r="B40" i="1"/>
  <c r="Q39" i="1"/>
  <c r="M39" i="1"/>
  <c r="K39" i="1"/>
  <c r="F39" i="1"/>
  <c r="Q38" i="1"/>
  <c r="J37" i="1"/>
  <c r="I37" i="1"/>
  <c r="K36" i="1"/>
  <c r="D36" i="1"/>
  <c r="B36" i="1"/>
  <c r="I35" i="1"/>
  <c r="Q34" i="1"/>
  <c r="N34" i="1"/>
  <c r="N33" i="1"/>
  <c r="L33" i="1"/>
  <c r="D33" i="1"/>
  <c r="M32" i="1"/>
  <c r="J30" i="1"/>
  <c r="G30" i="1"/>
  <c r="D30" i="1"/>
  <c r="Q28" i="1"/>
  <c r="P27" i="1"/>
  <c r="H27" i="1"/>
  <c r="D27" i="1"/>
  <c r="B26" i="1"/>
  <c r="P25" i="1"/>
  <c r="C25" i="1"/>
  <c r="B24" i="1"/>
  <c r="O23" i="1"/>
  <c r="M23" i="1"/>
  <c r="K23" i="1"/>
  <c r="H23" i="1"/>
  <c r="F22" i="1"/>
  <c r="B22" i="1"/>
  <c r="Q21" i="1"/>
  <c r="O21" i="1"/>
  <c r="K20" i="1"/>
  <c r="G20" i="1"/>
  <c r="N18" i="1"/>
  <c r="F17" i="1"/>
  <c r="P16" i="1"/>
  <c r="P15" i="1"/>
  <c r="O15" i="1"/>
  <c r="N15" i="1"/>
  <c r="L15" i="1"/>
  <c r="J15" i="1"/>
  <c r="H15" i="1"/>
  <c r="F15" i="1"/>
  <c r="E15" i="1"/>
  <c r="H14" i="1"/>
  <c r="O13" i="1"/>
  <c r="J13" i="1"/>
  <c r="F13" i="1"/>
  <c r="N12" i="1"/>
  <c r="M12" i="1"/>
  <c r="L12" i="1"/>
  <c r="I12" i="1"/>
  <c r="F11" i="1"/>
  <c r="M10" i="1"/>
  <c r="G10" i="1"/>
  <c r="K8" i="1"/>
  <c r="G8" i="1"/>
  <c r="L7" i="1"/>
  <c r="I7" i="1"/>
  <c r="C7" i="1"/>
  <c r="L2179" i="1"/>
  <c r="L2183" i="1"/>
  <c r="L2188" i="1"/>
  <c r="L2195" i="1"/>
  <c r="I2180" i="1"/>
  <c r="R2182" i="1"/>
  <c r="I2183" i="1"/>
  <c r="I2188" i="1"/>
  <c r="R2195" i="1"/>
  <c r="C1982" i="1"/>
  <c r="B1982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R1660" i="1"/>
  <c r="Q1660" i="1"/>
  <c r="P1660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R1657" i="1"/>
  <c r="Q1657" i="1"/>
  <c r="P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R1656" i="1"/>
  <c r="Q1656" i="1"/>
  <c r="N1656" i="1"/>
  <c r="M1656" i="1"/>
  <c r="L1656" i="1"/>
  <c r="K1656" i="1"/>
  <c r="J1656" i="1"/>
  <c r="H1656" i="1"/>
  <c r="H1655" i="1"/>
  <c r="F1655" i="1"/>
  <c r="E1655" i="1"/>
  <c r="D1655" i="1"/>
  <c r="B1655" i="1"/>
  <c r="L1654" i="1"/>
  <c r="K1654" i="1"/>
  <c r="J1654" i="1"/>
  <c r="I1654" i="1"/>
  <c r="G1654" i="1"/>
  <c r="D1654" i="1"/>
  <c r="C1654" i="1"/>
  <c r="R1653" i="1"/>
  <c r="Q1653" i="1"/>
  <c r="P1653" i="1"/>
  <c r="O1653" i="1"/>
  <c r="L1653" i="1"/>
  <c r="K1653" i="1"/>
  <c r="J1653" i="1"/>
  <c r="I1653" i="1"/>
  <c r="G1653" i="1"/>
  <c r="F1653" i="1"/>
  <c r="E1653" i="1"/>
  <c r="B1653" i="1"/>
  <c r="R1652" i="1"/>
  <c r="Q1652" i="1"/>
  <c r="P1652" i="1"/>
  <c r="N1652" i="1"/>
  <c r="E1652" i="1"/>
  <c r="D1652" i="1"/>
  <c r="P1651" i="1"/>
  <c r="N1651" i="1"/>
  <c r="M1651" i="1"/>
  <c r="L1651" i="1"/>
  <c r="K1651" i="1"/>
  <c r="J1651" i="1"/>
  <c r="G1651" i="1"/>
  <c r="R1650" i="1"/>
  <c r="N1650" i="1"/>
  <c r="M1650" i="1"/>
  <c r="L1650" i="1"/>
  <c r="K1650" i="1"/>
  <c r="J1650" i="1"/>
  <c r="I1650" i="1"/>
  <c r="P1649" i="1"/>
  <c r="O1649" i="1"/>
  <c r="M1649" i="1"/>
  <c r="L1649" i="1"/>
  <c r="K1649" i="1"/>
  <c r="J1649" i="1"/>
  <c r="I1649" i="1"/>
  <c r="H1649" i="1"/>
  <c r="G1649" i="1"/>
  <c r="F1649" i="1"/>
  <c r="E1649" i="1"/>
  <c r="D1649" i="1"/>
  <c r="C1649" i="1"/>
  <c r="P1648" i="1"/>
  <c r="I1648" i="1"/>
  <c r="H1648" i="1"/>
  <c r="G1648" i="1"/>
  <c r="E1648" i="1"/>
  <c r="D1648" i="1"/>
  <c r="C1648" i="1"/>
  <c r="O1647" i="1"/>
  <c r="N1647" i="1"/>
  <c r="M1647" i="1"/>
  <c r="K1647" i="1"/>
  <c r="J1647" i="1"/>
  <c r="I1647" i="1"/>
  <c r="E1647" i="1"/>
  <c r="B1647" i="1"/>
  <c r="Q1646" i="1"/>
  <c r="N1646" i="1"/>
  <c r="I1646" i="1"/>
  <c r="H1646" i="1"/>
  <c r="E1646" i="1"/>
  <c r="D1646" i="1"/>
  <c r="M1645" i="1"/>
  <c r="L1645" i="1"/>
  <c r="I1645" i="1"/>
  <c r="E1645" i="1"/>
  <c r="D1645" i="1"/>
  <c r="C1645" i="1"/>
  <c r="R1644" i="1"/>
  <c r="Q1644" i="1"/>
  <c r="P1644" i="1"/>
  <c r="L1644" i="1"/>
  <c r="K1644" i="1"/>
  <c r="I1644" i="1"/>
  <c r="H1644" i="1"/>
  <c r="G1644" i="1"/>
  <c r="R1643" i="1"/>
  <c r="Q1643" i="1"/>
  <c r="P1643" i="1"/>
  <c r="K1643" i="1"/>
  <c r="J1643" i="1"/>
  <c r="F1643" i="1"/>
  <c r="E1643" i="1"/>
  <c r="L1642" i="1"/>
  <c r="H1642" i="1"/>
  <c r="D1642" i="1"/>
  <c r="C1642" i="1"/>
  <c r="B1642" i="1"/>
  <c r="R1641" i="1"/>
  <c r="L1641" i="1"/>
  <c r="K1641" i="1"/>
  <c r="J1641" i="1"/>
  <c r="I1641" i="1"/>
  <c r="H1641" i="1"/>
  <c r="G1641" i="1"/>
  <c r="F1641" i="1"/>
  <c r="D1641" i="1"/>
  <c r="B1641" i="1"/>
  <c r="R1640" i="1"/>
  <c r="Q1640" i="1"/>
  <c r="P1640" i="1"/>
  <c r="O1640" i="1"/>
  <c r="L1640" i="1"/>
  <c r="G1640" i="1"/>
  <c r="D1640" i="1"/>
  <c r="C1640" i="1"/>
  <c r="B1640" i="1"/>
  <c r="Q1639" i="1"/>
  <c r="P1639" i="1"/>
  <c r="O1639" i="1"/>
  <c r="N1639" i="1"/>
  <c r="L1639" i="1"/>
  <c r="K1639" i="1"/>
  <c r="J1639" i="1"/>
  <c r="D1639" i="1"/>
  <c r="C1639" i="1"/>
  <c r="R1638" i="1"/>
  <c r="O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E1635" i="1"/>
  <c r="D1635" i="1"/>
  <c r="C1635" i="1"/>
  <c r="B1635" i="1"/>
  <c r="R1634" i="1"/>
  <c r="Q1634" i="1"/>
  <c r="P1634" i="1"/>
  <c r="O1634" i="1"/>
  <c r="N1634" i="1"/>
  <c r="M1634" i="1"/>
  <c r="K1634" i="1"/>
  <c r="J1634" i="1"/>
  <c r="G1634" i="1"/>
  <c r="F1634" i="1"/>
  <c r="D1634" i="1"/>
  <c r="B1634" i="1"/>
  <c r="R1633" i="1"/>
  <c r="P1633" i="1"/>
  <c r="I1633" i="1"/>
  <c r="H1633" i="1"/>
  <c r="G1633" i="1"/>
  <c r="C1633" i="1"/>
  <c r="Q1632" i="1"/>
  <c r="P1632" i="1"/>
  <c r="O1632" i="1"/>
  <c r="N1632" i="1"/>
  <c r="M1632" i="1"/>
  <c r="I1632" i="1"/>
  <c r="H1632" i="1"/>
  <c r="G1632" i="1"/>
  <c r="E1632" i="1"/>
  <c r="D1632" i="1"/>
  <c r="C1632" i="1"/>
  <c r="J1631" i="1"/>
  <c r="D1631" i="1"/>
  <c r="C1631" i="1"/>
  <c r="B1631" i="1"/>
  <c r="R1630" i="1"/>
  <c r="M1630" i="1"/>
  <c r="L1630" i="1"/>
  <c r="H1630" i="1"/>
  <c r="R1629" i="1"/>
  <c r="Q1629" i="1"/>
  <c r="P1629" i="1"/>
  <c r="N1629" i="1"/>
  <c r="M1629" i="1"/>
  <c r="L1629" i="1"/>
  <c r="I1629" i="1"/>
  <c r="E1629" i="1"/>
  <c r="C1629" i="1"/>
  <c r="P1628" i="1"/>
  <c r="N1628" i="1"/>
  <c r="M1628" i="1"/>
  <c r="L1628" i="1"/>
  <c r="F1628" i="1"/>
  <c r="E1628" i="1"/>
  <c r="D1628" i="1"/>
  <c r="C1628" i="1"/>
  <c r="B1628" i="1"/>
  <c r="R1627" i="1"/>
  <c r="O1627" i="1"/>
  <c r="O1626" i="1"/>
  <c r="L1626" i="1"/>
  <c r="F1626" i="1"/>
  <c r="E1626" i="1"/>
  <c r="D1626" i="1"/>
  <c r="C1626" i="1"/>
  <c r="B1626" i="1"/>
  <c r="Q1625" i="1"/>
  <c r="P1625" i="1"/>
  <c r="N1625" i="1"/>
  <c r="G1625" i="1"/>
  <c r="F1625" i="1"/>
  <c r="D1625" i="1"/>
  <c r="B1625" i="1"/>
  <c r="O1624" i="1"/>
  <c r="L1624" i="1"/>
  <c r="J1624" i="1"/>
  <c r="I1624" i="1"/>
  <c r="R1623" i="1"/>
  <c r="P1623" i="1"/>
  <c r="O1623" i="1"/>
  <c r="J1623" i="1"/>
  <c r="I1623" i="1"/>
  <c r="H1623" i="1"/>
  <c r="G1623" i="1"/>
  <c r="F1623" i="1"/>
  <c r="E1623" i="1"/>
  <c r="R1622" i="1"/>
  <c r="Q1622" i="1"/>
  <c r="M1622" i="1"/>
  <c r="L1622" i="1"/>
  <c r="K1622" i="1"/>
  <c r="I1622" i="1"/>
  <c r="E1622" i="1"/>
  <c r="B1622" i="1"/>
  <c r="R1621" i="1"/>
  <c r="Q1621" i="1"/>
  <c r="O1621" i="1"/>
  <c r="M1621" i="1"/>
  <c r="L1621" i="1"/>
  <c r="K1621" i="1"/>
  <c r="G1621" i="1"/>
  <c r="F1621" i="1"/>
  <c r="E1621" i="1"/>
  <c r="B1621" i="1"/>
  <c r="R1620" i="1"/>
  <c r="P1620" i="1"/>
  <c r="O1620" i="1"/>
  <c r="N1620" i="1"/>
  <c r="I1620" i="1"/>
  <c r="F1620" i="1"/>
  <c r="B1620" i="1"/>
  <c r="P1619" i="1"/>
  <c r="N1619" i="1"/>
  <c r="M1619" i="1"/>
  <c r="H1619" i="1"/>
  <c r="G1619" i="1"/>
  <c r="F1619" i="1"/>
  <c r="E1619" i="1"/>
  <c r="R1618" i="1"/>
  <c r="Q1618" i="1"/>
  <c r="P1618" i="1"/>
  <c r="O1618" i="1"/>
  <c r="L1618" i="1"/>
  <c r="K1618" i="1"/>
  <c r="J1618" i="1"/>
  <c r="H1618" i="1"/>
  <c r="G1618" i="1"/>
  <c r="D1618" i="1"/>
  <c r="C1618" i="1"/>
  <c r="O1617" i="1"/>
  <c r="N1617" i="1"/>
  <c r="M1617" i="1"/>
  <c r="L1617" i="1"/>
  <c r="J1617" i="1"/>
  <c r="E1617" i="1"/>
  <c r="D1617" i="1"/>
  <c r="C1617" i="1"/>
  <c r="B1617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R1614" i="1"/>
  <c r="Q1614" i="1"/>
  <c r="P1614" i="1"/>
  <c r="O1614" i="1"/>
  <c r="N1614" i="1"/>
  <c r="M1614" i="1"/>
  <c r="L1614" i="1"/>
  <c r="K1614" i="1"/>
  <c r="J1614" i="1"/>
  <c r="H1614" i="1"/>
  <c r="G1614" i="1"/>
  <c r="F1614" i="1"/>
  <c r="E1614" i="1"/>
  <c r="D1614" i="1"/>
  <c r="C1614" i="1"/>
  <c r="Q1613" i="1"/>
  <c r="O1613" i="1"/>
  <c r="J1613" i="1"/>
  <c r="I1613" i="1"/>
  <c r="H1613" i="1"/>
  <c r="G1613" i="1"/>
  <c r="E1613" i="1"/>
  <c r="D1613" i="1"/>
  <c r="B1613" i="1"/>
  <c r="Q1612" i="1"/>
  <c r="P1612" i="1"/>
  <c r="O1612" i="1"/>
  <c r="J1612" i="1"/>
  <c r="E1612" i="1"/>
  <c r="D1612" i="1"/>
  <c r="C1612" i="1"/>
  <c r="N1611" i="1"/>
  <c r="M1611" i="1"/>
  <c r="J1611" i="1"/>
  <c r="I1611" i="1"/>
  <c r="H1611" i="1"/>
  <c r="C1611" i="1"/>
  <c r="G1610" i="1"/>
  <c r="F1610" i="1"/>
  <c r="D1610" i="1"/>
  <c r="B1610" i="1"/>
  <c r="Q1609" i="1"/>
  <c r="M1609" i="1"/>
  <c r="L1609" i="1"/>
  <c r="J1609" i="1"/>
  <c r="I1609" i="1"/>
  <c r="H1609" i="1"/>
  <c r="G1609" i="1"/>
  <c r="C1609" i="1"/>
  <c r="Q1608" i="1"/>
  <c r="P1608" i="1"/>
  <c r="O1608" i="1"/>
  <c r="J1608" i="1"/>
  <c r="E1608" i="1"/>
  <c r="D1608" i="1"/>
  <c r="R1607" i="1"/>
  <c r="Q1607" i="1"/>
  <c r="P1607" i="1"/>
  <c r="O1607" i="1"/>
  <c r="N1607" i="1"/>
  <c r="M1607" i="1"/>
  <c r="L1607" i="1"/>
  <c r="G1607" i="1"/>
  <c r="F1607" i="1"/>
  <c r="B1607" i="1"/>
  <c r="P1606" i="1"/>
  <c r="O1606" i="1"/>
  <c r="K1606" i="1"/>
  <c r="J1606" i="1"/>
  <c r="I1606" i="1"/>
  <c r="G1606" i="1"/>
  <c r="F1606" i="1"/>
  <c r="E1606" i="1"/>
  <c r="R1605" i="1"/>
  <c r="Q1605" i="1"/>
  <c r="P1605" i="1"/>
  <c r="N1605" i="1"/>
  <c r="J1605" i="1"/>
  <c r="I1605" i="1"/>
  <c r="E1605" i="1"/>
  <c r="D1605" i="1"/>
  <c r="C1605" i="1"/>
  <c r="R1604" i="1"/>
  <c r="P1604" i="1"/>
  <c r="N1604" i="1"/>
  <c r="M1604" i="1"/>
  <c r="K1604" i="1"/>
  <c r="J1604" i="1"/>
  <c r="F1604" i="1"/>
  <c r="E1604" i="1"/>
  <c r="D1604" i="1"/>
  <c r="Q1603" i="1"/>
  <c r="P1603" i="1"/>
  <c r="O1603" i="1"/>
  <c r="K1603" i="1"/>
  <c r="G1603" i="1"/>
  <c r="F1603" i="1"/>
  <c r="E1603" i="1"/>
  <c r="R1602" i="1"/>
  <c r="Q1602" i="1"/>
  <c r="P1602" i="1"/>
  <c r="O1602" i="1"/>
  <c r="N1602" i="1"/>
  <c r="M1602" i="1"/>
  <c r="K1602" i="1"/>
  <c r="G1602" i="1"/>
  <c r="F1602" i="1"/>
  <c r="E1602" i="1"/>
  <c r="D1602" i="1"/>
  <c r="Q1601" i="1"/>
  <c r="P1601" i="1"/>
  <c r="O1601" i="1"/>
  <c r="L1601" i="1"/>
  <c r="K1601" i="1"/>
  <c r="I1601" i="1"/>
  <c r="E1601" i="1"/>
  <c r="D1601" i="1"/>
  <c r="C1601" i="1"/>
  <c r="B1601" i="1"/>
  <c r="R1600" i="1"/>
  <c r="Q1600" i="1"/>
  <c r="J1600" i="1"/>
  <c r="H1600" i="1"/>
  <c r="G1600" i="1"/>
  <c r="E1600" i="1"/>
  <c r="D1600" i="1"/>
  <c r="R1599" i="1"/>
  <c r="Q1599" i="1"/>
  <c r="P1599" i="1"/>
  <c r="L1599" i="1"/>
  <c r="K1599" i="1"/>
  <c r="J1599" i="1"/>
  <c r="I1599" i="1"/>
  <c r="F1599" i="1"/>
  <c r="E1599" i="1"/>
  <c r="D1599" i="1"/>
  <c r="R1598" i="1"/>
  <c r="P1598" i="1"/>
  <c r="O1598" i="1"/>
  <c r="N1598" i="1"/>
  <c r="K1598" i="1"/>
  <c r="H1598" i="1"/>
  <c r="D1598" i="1"/>
  <c r="C1598" i="1"/>
  <c r="B1598" i="1"/>
  <c r="P1597" i="1"/>
  <c r="P1596" i="1"/>
  <c r="L1596" i="1"/>
  <c r="K1596" i="1"/>
  <c r="G1596" i="1"/>
  <c r="E1596" i="1"/>
  <c r="D1596" i="1"/>
  <c r="B1596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R1594" i="1"/>
  <c r="Q1594" i="1"/>
  <c r="P1594" i="1"/>
  <c r="O1594" i="1"/>
  <c r="N1594" i="1"/>
  <c r="M1594" i="1"/>
  <c r="L1594" i="1"/>
  <c r="K1594" i="1"/>
  <c r="J1594" i="1"/>
  <c r="H1594" i="1"/>
  <c r="F1594" i="1"/>
  <c r="B1594" i="1"/>
  <c r="Q1593" i="1"/>
  <c r="O1593" i="1"/>
  <c r="N1593" i="1"/>
  <c r="M1593" i="1"/>
  <c r="L1593" i="1"/>
  <c r="H1593" i="1"/>
  <c r="G1593" i="1"/>
  <c r="J1592" i="1"/>
  <c r="I1592" i="1"/>
  <c r="H1592" i="1"/>
  <c r="G1592" i="1"/>
  <c r="F1592" i="1"/>
  <c r="E1592" i="1"/>
  <c r="R1591" i="1"/>
  <c r="Q1591" i="1"/>
  <c r="P1591" i="1"/>
  <c r="L1591" i="1"/>
  <c r="K1591" i="1"/>
  <c r="J1591" i="1"/>
  <c r="H1591" i="1"/>
  <c r="F1591" i="1"/>
  <c r="D1591" i="1"/>
  <c r="C1591" i="1"/>
  <c r="B1591" i="1"/>
  <c r="R1590" i="1"/>
  <c r="Q1590" i="1"/>
  <c r="N1590" i="1"/>
  <c r="M1590" i="1"/>
  <c r="L1590" i="1"/>
  <c r="K1590" i="1"/>
  <c r="J1590" i="1"/>
  <c r="I1590" i="1"/>
  <c r="H1590" i="1"/>
  <c r="E1590" i="1"/>
  <c r="C1590" i="1"/>
  <c r="B1590" i="1"/>
  <c r="R1589" i="1"/>
  <c r="Q1589" i="1"/>
  <c r="P1589" i="1"/>
  <c r="M1589" i="1"/>
  <c r="L1589" i="1"/>
  <c r="K1589" i="1"/>
  <c r="J1589" i="1"/>
  <c r="I1589" i="1"/>
  <c r="H1589" i="1"/>
  <c r="G1589" i="1"/>
  <c r="F1589" i="1"/>
  <c r="E1589" i="1"/>
  <c r="D1589" i="1"/>
  <c r="Q1588" i="1"/>
  <c r="P1588" i="1"/>
  <c r="O1588" i="1"/>
  <c r="M1588" i="1"/>
  <c r="J1588" i="1"/>
  <c r="I1588" i="1"/>
  <c r="H1588" i="1"/>
  <c r="G1588" i="1"/>
  <c r="F1588" i="1"/>
  <c r="E1588" i="1"/>
  <c r="R1587" i="1"/>
  <c r="Q1587" i="1"/>
  <c r="O1587" i="1"/>
  <c r="L1587" i="1"/>
  <c r="F1203" i="1"/>
  <c r="E1203" i="1"/>
  <c r="D1203" i="1"/>
  <c r="C1203" i="1"/>
  <c r="B1203" i="1"/>
  <c r="R1202" i="1"/>
  <c r="Q1202" i="1"/>
  <c r="P1202" i="1"/>
  <c r="O1202" i="1"/>
  <c r="N1202" i="1"/>
  <c r="M1202" i="1"/>
  <c r="L1202" i="1"/>
  <c r="K1202" i="1"/>
  <c r="I1202" i="1"/>
  <c r="H1202" i="1"/>
  <c r="G1202" i="1"/>
  <c r="F1202" i="1"/>
  <c r="E1202" i="1"/>
  <c r="C1202" i="1"/>
  <c r="Q1201" i="1"/>
  <c r="N1201" i="1"/>
  <c r="H1201" i="1"/>
  <c r="D1201" i="1"/>
  <c r="C1201" i="1"/>
  <c r="Q1200" i="1"/>
  <c r="K1200" i="1"/>
  <c r="H1200" i="1"/>
  <c r="F1200" i="1"/>
  <c r="E1200" i="1"/>
  <c r="D1200" i="1"/>
  <c r="R1199" i="1"/>
  <c r="P1199" i="1"/>
  <c r="O1199" i="1"/>
  <c r="N1199" i="1"/>
  <c r="M1199" i="1"/>
  <c r="L1199" i="1"/>
  <c r="E1199" i="1"/>
  <c r="C1199" i="1"/>
  <c r="B1199" i="1"/>
  <c r="Q1198" i="1"/>
  <c r="M1198" i="1"/>
  <c r="K1198" i="1"/>
  <c r="G1198" i="1"/>
  <c r="F1198" i="1"/>
  <c r="C1198" i="1"/>
  <c r="R1197" i="1"/>
  <c r="L1197" i="1"/>
  <c r="D1197" i="1"/>
  <c r="R1196" i="1"/>
  <c r="P1196" i="1"/>
  <c r="O1196" i="1"/>
  <c r="J1196" i="1"/>
  <c r="H1196" i="1"/>
  <c r="C1196" i="1"/>
  <c r="Q1195" i="1"/>
  <c r="N1195" i="1"/>
  <c r="M1195" i="1"/>
  <c r="L1195" i="1"/>
  <c r="K1195" i="1"/>
  <c r="J1195" i="1"/>
  <c r="I1195" i="1"/>
  <c r="H1195" i="1"/>
  <c r="G1195" i="1"/>
  <c r="F1195" i="1"/>
  <c r="C1195" i="1"/>
  <c r="Q1194" i="1"/>
  <c r="P1194" i="1"/>
  <c r="L1194" i="1"/>
  <c r="K1194" i="1"/>
  <c r="J1194" i="1"/>
  <c r="I1194" i="1"/>
  <c r="P1193" i="1"/>
  <c r="N1193" i="1"/>
  <c r="M1193" i="1"/>
  <c r="L1193" i="1"/>
  <c r="K1193" i="1"/>
  <c r="G1193" i="1"/>
  <c r="E1193" i="1"/>
  <c r="B1193" i="1"/>
  <c r="R1192" i="1"/>
  <c r="Q1192" i="1"/>
  <c r="P1192" i="1"/>
  <c r="O1192" i="1"/>
  <c r="N1192" i="1"/>
  <c r="M1192" i="1"/>
  <c r="L1192" i="1"/>
  <c r="K1192" i="1"/>
  <c r="J1192" i="1"/>
  <c r="D1192" i="1"/>
  <c r="L50" i="1"/>
  <c r="I50" i="1"/>
  <c r="E50" i="1"/>
  <c r="O49" i="1"/>
  <c r="K49" i="1"/>
  <c r="D49" i="1"/>
  <c r="O47" i="1"/>
  <c r="B46" i="1"/>
  <c r="Q45" i="1"/>
  <c r="L45" i="1"/>
  <c r="K45" i="1"/>
  <c r="J45" i="1"/>
  <c r="C45" i="1"/>
  <c r="J44" i="1"/>
  <c r="D44" i="1"/>
  <c r="N43" i="1"/>
  <c r="H43" i="1"/>
  <c r="F43" i="1"/>
  <c r="O42" i="1"/>
  <c r="I42" i="1"/>
  <c r="F42" i="1"/>
  <c r="B42" i="1"/>
  <c r="P41" i="1"/>
  <c r="K41" i="1"/>
  <c r="I40" i="1"/>
  <c r="E39" i="1"/>
  <c r="F38" i="1"/>
  <c r="P36" i="1"/>
  <c r="L36" i="1"/>
  <c r="P35" i="1"/>
  <c r="H35" i="1"/>
  <c r="J34" i="1"/>
  <c r="D34" i="1"/>
  <c r="P33" i="1"/>
  <c r="P32" i="1"/>
  <c r="Q31" i="1"/>
  <c r="K31" i="1"/>
  <c r="I31" i="1"/>
  <c r="G31" i="1"/>
  <c r="R30" i="1"/>
  <c r="P30" i="1"/>
  <c r="M30" i="1"/>
  <c r="I30" i="1"/>
  <c r="R29" i="1"/>
  <c r="P29" i="1"/>
  <c r="N29" i="1"/>
  <c r="B29" i="1"/>
  <c r="O28" i="1"/>
  <c r="K28" i="1"/>
  <c r="R27" i="1"/>
  <c r="N27" i="1"/>
  <c r="L27" i="1"/>
  <c r="K27" i="1"/>
  <c r="I26" i="1"/>
  <c r="G26" i="1"/>
  <c r="O25" i="1"/>
  <c r="L25" i="1"/>
  <c r="I25" i="1"/>
  <c r="O24" i="1"/>
  <c r="R20" i="1"/>
  <c r="J20" i="1"/>
  <c r="E20" i="1"/>
  <c r="G19" i="1"/>
  <c r="C19" i="1"/>
  <c r="M17" i="1"/>
  <c r="K17" i="1"/>
  <c r="I17" i="1"/>
  <c r="I16" i="1"/>
  <c r="Q15" i="1"/>
  <c r="J14" i="1"/>
  <c r="C12" i="1"/>
  <c r="N11" i="1"/>
  <c r="E11" i="1"/>
  <c r="C11" i="1"/>
  <c r="R10" i="1"/>
  <c r="M9" i="1"/>
  <c r="M8" i="1"/>
  <c r="L2177" i="1"/>
  <c r="L2181" i="1"/>
  <c r="L2194" i="1"/>
  <c r="R2179" i="1"/>
  <c r="R2184" i="1"/>
  <c r="I2187" i="1"/>
  <c r="R2191" i="1"/>
  <c r="C1587" i="1"/>
  <c r="B1587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I1201" i="1"/>
  <c r="E1201" i="1"/>
  <c r="B1201" i="1"/>
  <c r="P1200" i="1"/>
  <c r="J1200" i="1"/>
  <c r="C1200" i="1"/>
  <c r="Q1199" i="1"/>
  <c r="H1199" i="1"/>
  <c r="G1199" i="1"/>
  <c r="D1199" i="1"/>
  <c r="P1198" i="1"/>
  <c r="O1198" i="1"/>
  <c r="N1198" i="1"/>
  <c r="L1198" i="1"/>
  <c r="I1198" i="1"/>
  <c r="D1198" i="1"/>
  <c r="Q1197" i="1"/>
  <c r="P1197" i="1"/>
  <c r="N1197" i="1"/>
  <c r="J1197" i="1"/>
  <c r="E1197" i="1"/>
  <c r="C1197" i="1"/>
  <c r="Q1196" i="1"/>
  <c r="N1196" i="1"/>
  <c r="M1196" i="1"/>
  <c r="I1196" i="1"/>
  <c r="C50" i="1"/>
  <c r="J49" i="1"/>
  <c r="G48" i="1"/>
  <c r="F48" i="1"/>
  <c r="C48" i="1"/>
  <c r="L47" i="1"/>
  <c r="K47" i="1"/>
  <c r="M46" i="1"/>
  <c r="I46" i="1"/>
  <c r="G46" i="1"/>
  <c r="C46" i="1"/>
  <c r="O45" i="1"/>
  <c r="M45" i="1"/>
  <c r="I44" i="1"/>
  <c r="G44" i="1"/>
  <c r="E44" i="1"/>
  <c r="B44" i="1"/>
  <c r="M43" i="1"/>
  <c r="K43" i="1"/>
  <c r="G43" i="1"/>
  <c r="E43" i="1"/>
  <c r="R42" i="1"/>
  <c r="P42" i="1"/>
  <c r="K42" i="1"/>
  <c r="J42" i="1"/>
  <c r="D42" i="1"/>
  <c r="N41" i="1"/>
  <c r="L41" i="1"/>
  <c r="J40" i="1"/>
  <c r="D39" i="1"/>
  <c r="K38" i="1"/>
  <c r="E38" i="1"/>
  <c r="H37" i="1"/>
  <c r="F37" i="1"/>
  <c r="O36" i="1"/>
  <c r="H36" i="1"/>
  <c r="G36" i="1"/>
  <c r="L35" i="1"/>
  <c r="E34" i="1"/>
  <c r="M33" i="1"/>
  <c r="J33" i="1"/>
  <c r="K32" i="1"/>
  <c r="G32" i="1"/>
  <c r="L31" i="1"/>
  <c r="H31" i="1"/>
  <c r="O30" i="1"/>
  <c r="N30" i="1"/>
  <c r="B30" i="1"/>
  <c r="Q29" i="1"/>
  <c r="O29" i="1"/>
  <c r="N28" i="1"/>
  <c r="E28" i="1"/>
  <c r="O27" i="1"/>
  <c r="M27" i="1"/>
  <c r="J26" i="1"/>
  <c r="H26" i="1"/>
  <c r="C26" i="1"/>
  <c r="K25" i="1"/>
  <c r="I24" i="1"/>
  <c r="M22" i="1"/>
  <c r="Q20" i="1"/>
  <c r="F20" i="1"/>
  <c r="D20" i="1"/>
  <c r="D19" i="1"/>
  <c r="M18" i="1"/>
  <c r="P17" i="1"/>
  <c r="L17" i="1"/>
  <c r="J17" i="1"/>
  <c r="Q16" i="1"/>
  <c r="N16" i="1"/>
  <c r="L16" i="1"/>
  <c r="C15" i="1"/>
  <c r="P14" i="1"/>
  <c r="N14" i="1"/>
  <c r="K11" i="1"/>
  <c r="B11" i="1"/>
  <c r="H10" i="1"/>
  <c r="Q9" i="1"/>
  <c r="O9" i="1"/>
  <c r="J9" i="1"/>
  <c r="R8" i="1"/>
  <c r="I8" i="1"/>
  <c r="L2178" i="1"/>
  <c r="L2185" i="1"/>
  <c r="L2193" i="1"/>
  <c r="I2181" i="1"/>
  <c r="I2184" i="1"/>
  <c r="I2185" i="1"/>
  <c r="R2186" i="1"/>
  <c r="R2187" i="1"/>
  <c r="I2189" i="1"/>
  <c r="I2191" i="1"/>
  <c r="C1192" i="1"/>
  <c r="B1192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I62" i="1"/>
  <c r="F62" i="1"/>
  <c r="R61" i="1"/>
  <c r="N61" i="1"/>
  <c r="M61" i="1"/>
  <c r="I61" i="1"/>
  <c r="H61" i="1"/>
  <c r="D61" i="1"/>
  <c r="C61" i="1"/>
  <c r="K54" i="1"/>
  <c r="I54" i="1"/>
  <c r="H54" i="1"/>
  <c r="G54" i="1"/>
  <c r="F54" i="1"/>
  <c r="E54" i="1"/>
  <c r="Q53" i="1"/>
  <c r="P53" i="1"/>
  <c r="L53" i="1"/>
  <c r="I53" i="1"/>
  <c r="B53" i="1"/>
  <c r="N52" i="1"/>
  <c r="K52" i="1"/>
  <c r="J52" i="1"/>
  <c r="I52" i="1"/>
  <c r="Q51" i="1"/>
  <c r="P51" i="1"/>
  <c r="N51" i="1"/>
  <c r="M51" i="1"/>
  <c r="F51" i="1"/>
  <c r="D51" i="1"/>
  <c r="C51" i="1"/>
  <c r="R50" i="1"/>
  <c r="Q50" i="1"/>
  <c r="K50" i="1"/>
  <c r="H49" i="1"/>
  <c r="G49" i="1"/>
  <c r="F49" i="1"/>
  <c r="M48" i="1"/>
  <c r="H48" i="1"/>
  <c r="E48" i="1"/>
  <c r="R47" i="1"/>
  <c r="I47" i="1"/>
  <c r="C47" i="1"/>
  <c r="B47" i="1"/>
  <c r="Q46" i="1"/>
  <c r="O46" i="1"/>
  <c r="N46" i="1"/>
  <c r="K46" i="1"/>
  <c r="F46" i="1"/>
  <c r="E46" i="1"/>
  <c r="D46" i="1"/>
  <c r="F45" i="1"/>
  <c r="E45" i="1"/>
  <c r="D45" i="1"/>
  <c r="B45" i="1"/>
  <c r="R44" i="1"/>
  <c r="P44" i="1"/>
  <c r="O44" i="1"/>
  <c r="L44" i="1"/>
  <c r="F44" i="1"/>
  <c r="Q43" i="1"/>
  <c r="O43" i="1"/>
  <c r="J43" i="1"/>
  <c r="I43" i="1"/>
  <c r="D43" i="1"/>
  <c r="B43" i="1"/>
  <c r="Q42" i="1"/>
  <c r="L42" i="1"/>
  <c r="G42" i="1"/>
  <c r="C42" i="1"/>
  <c r="J41" i="1"/>
  <c r="I41" i="1"/>
  <c r="E41" i="1"/>
  <c r="M40" i="1"/>
  <c r="F40" i="1"/>
  <c r="D40" i="1"/>
  <c r="P39" i="1"/>
  <c r="O38" i="1"/>
  <c r="C38" i="1"/>
  <c r="B38" i="1"/>
  <c r="R37" i="1"/>
  <c r="P37" i="1"/>
  <c r="L37" i="1"/>
  <c r="C37" i="1"/>
  <c r="Q35" i="1"/>
  <c r="O35" i="1"/>
  <c r="O34" i="1"/>
  <c r="L34" i="1"/>
  <c r="K34" i="1"/>
  <c r="H34" i="1"/>
  <c r="K33" i="1"/>
  <c r="L32" i="1"/>
  <c r="J32" i="1"/>
  <c r="H32" i="1"/>
  <c r="E32" i="1"/>
  <c r="M31" i="1"/>
  <c r="F31" i="1"/>
  <c r="D31" i="1"/>
  <c r="B31" i="1"/>
  <c r="Q30" i="1"/>
  <c r="F30" i="1"/>
  <c r="L29" i="1"/>
  <c r="J29" i="1"/>
  <c r="F29" i="1"/>
  <c r="E29" i="1"/>
  <c r="C29" i="1"/>
  <c r="L28" i="1"/>
  <c r="C28" i="1"/>
  <c r="Q27" i="1"/>
  <c r="J27" i="1"/>
  <c r="C27" i="1"/>
  <c r="O26" i="1"/>
  <c r="Q25" i="1"/>
  <c r="N25" i="1"/>
  <c r="J25" i="1"/>
  <c r="F25" i="1"/>
  <c r="E25" i="1"/>
  <c r="N24" i="1"/>
  <c r="G24" i="1"/>
  <c r="C24" i="1"/>
  <c r="Q23" i="1"/>
  <c r="K22" i="1"/>
  <c r="I22" i="1"/>
  <c r="K21" i="1"/>
  <c r="I21" i="1"/>
  <c r="G21" i="1"/>
  <c r="B21" i="1"/>
  <c r="P20" i="1"/>
  <c r="C20" i="1"/>
  <c r="P19" i="1"/>
  <c r="M19" i="1"/>
  <c r="L19" i="1"/>
  <c r="J19" i="1"/>
  <c r="H19" i="1"/>
  <c r="L18" i="1"/>
  <c r="J18" i="1"/>
  <c r="B18" i="1"/>
  <c r="D17" i="1"/>
  <c r="R16" i="1"/>
  <c r="M16" i="1"/>
  <c r="G16" i="1"/>
  <c r="D16" i="1"/>
  <c r="D15" i="1"/>
  <c r="Q14" i="1"/>
  <c r="O14" i="1"/>
  <c r="M14" i="1"/>
  <c r="I14" i="1"/>
  <c r="C14" i="1"/>
  <c r="R13" i="1"/>
  <c r="R12" i="1"/>
  <c r="P12" i="1"/>
  <c r="K12" i="1"/>
  <c r="F12" i="1"/>
  <c r="E12" i="1"/>
  <c r="L11" i="1"/>
  <c r="H11" i="1"/>
  <c r="Q10" i="1"/>
  <c r="O10" i="1"/>
  <c r="J10" i="1"/>
  <c r="F10" i="1"/>
  <c r="C10" i="1"/>
  <c r="B10" i="1"/>
  <c r="N9" i="1"/>
  <c r="I9" i="1"/>
  <c r="H9" i="1"/>
  <c r="F9" i="1"/>
  <c r="E9" i="1"/>
  <c r="Q8" i="1"/>
  <c r="L8" i="1"/>
  <c r="J8" i="1"/>
  <c r="H8" i="1"/>
  <c r="E8" i="1"/>
  <c r="D8" i="1"/>
  <c r="M7" i="1"/>
  <c r="J7" i="1"/>
  <c r="E7" i="1"/>
  <c r="L2187" i="1"/>
  <c r="L2191" i="1"/>
  <c r="I2178" i="1"/>
  <c r="R2189" i="1"/>
  <c r="R2192" i="1"/>
  <c r="I2193" i="1"/>
  <c r="R2194" i="1"/>
  <c r="I2196" i="1"/>
  <c r="I2197" i="1"/>
  <c r="R2198" i="1"/>
  <c r="C797" i="1"/>
  <c r="B797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B71" i="1"/>
  <c r="R70" i="1"/>
  <c r="P70" i="1"/>
  <c r="O70" i="1"/>
  <c r="N70" i="1"/>
  <c r="M70" i="1"/>
  <c r="L70" i="1"/>
  <c r="K70" i="1"/>
  <c r="J70" i="1"/>
  <c r="G70" i="1"/>
  <c r="Q69" i="1"/>
  <c r="P69" i="1"/>
  <c r="O69" i="1"/>
  <c r="G66" i="1"/>
  <c r="F66" i="1"/>
  <c r="E66" i="1"/>
  <c r="D66" i="1"/>
  <c r="C66" i="1"/>
  <c r="B66" i="1"/>
  <c r="R65" i="1"/>
  <c r="Q65" i="1"/>
  <c r="P65" i="1"/>
  <c r="O65" i="1"/>
  <c r="N65" i="1"/>
  <c r="M65" i="1"/>
  <c r="L65" i="1"/>
  <c r="K65" i="1"/>
  <c r="J65" i="1"/>
  <c r="I65" i="1"/>
  <c r="H65" i="1"/>
  <c r="F65" i="1"/>
  <c r="Q64" i="1"/>
  <c r="P64" i="1"/>
  <c r="O64" i="1"/>
  <c r="N64" i="1"/>
  <c r="M64" i="1"/>
  <c r="L64" i="1"/>
  <c r="K64" i="1"/>
  <c r="J64" i="1"/>
  <c r="I64" i="1"/>
  <c r="Q63" i="1"/>
  <c r="L63" i="1"/>
  <c r="K63" i="1"/>
  <c r="J63" i="1"/>
  <c r="I63" i="1"/>
  <c r="D63" i="1"/>
  <c r="C63" i="1"/>
  <c r="P62" i="1"/>
  <c r="O62" i="1"/>
  <c r="N62" i="1"/>
  <c r="M62" i="1"/>
  <c r="K62" i="1"/>
  <c r="J62" i="1"/>
  <c r="E62" i="1"/>
  <c r="D62" i="1"/>
  <c r="C62" i="1"/>
  <c r="K61" i="1"/>
  <c r="G61" i="1"/>
  <c r="P60" i="1"/>
  <c r="O60" i="1"/>
  <c r="N60" i="1"/>
  <c r="M60" i="1"/>
  <c r="L60" i="1"/>
  <c r="K60" i="1"/>
  <c r="I60" i="1"/>
  <c r="D60" i="1"/>
  <c r="N59" i="1"/>
  <c r="M59" i="1"/>
  <c r="K59" i="1"/>
  <c r="J59" i="1"/>
  <c r="I59" i="1"/>
  <c r="C59" i="1"/>
  <c r="B59" i="1"/>
  <c r="R58" i="1"/>
  <c r="O58" i="1"/>
  <c r="N58" i="1"/>
  <c r="M58" i="1"/>
  <c r="K58" i="1"/>
  <c r="J58" i="1"/>
  <c r="I58" i="1"/>
  <c r="F58" i="1"/>
  <c r="B58" i="1"/>
  <c r="R57" i="1"/>
  <c r="M57" i="1"/>
  <c r="L57" i="1"/>
  <c r="K57" i="1"/>
  <c r="J57" i="1"/>
  <c r="H57" i="1"/>
  <c r="G57" i="1"/>
  <c r="F57" i="1"/>
  <c r="R56" i="1"/>
  <c r="Q56" i="1"/>
  <c r="P56" i="1"/>
  <c r="O56" i="1"/>
  <c r="I56" i="1"/>
  <c r="H56" i="1"/>
  <c r="F56" i="1"/>
  <c r="E56" i="1"/>
  <c r="D56" i="1"/>
  <c r="R55" i="1"/>
  <c r="Q55" i="1"/>
  <c r="M55" i="1"/>
  <c r="L55" i="1"/>
  <c r="I55" i="1"/>
  <c r="H55" i="1"/>
  <c r="G55" i="1"/>
  <c r="F55" i="1"/>
  <c r="E55" i="1"/>
  <c r="D55" i="1"/>
  <c r="C55" i="1"/>
  <c r="J54" i="1"/>
  <c r="R53" i="1"/>
  <c r="N53" i="1"/>
  <c r="M53" i="1"/>
  <c r="J53" i="1"/>
  <c r="E53" i="1"/>
  <c r="D53" i="1"/>
  <c r="C53" i="1"/>
  <c r="P52" i="1"/>
  <c r="O52" i="1"/>
  <c r="L52" i="1"/>
  <c r="H52" i="1"/>
  <c r="F52" i="1"/>
  <c r="E52" i="1"/>
  <c r="D52" i="1"/>
  <c r="R51" i="1"/>
  <c r="O51" i="1"/>
  <c r="G51" i="1"/>
  <c r="Q49" i="1"/>
  <c r="M49" i="1"/>
  <c r="L49" i="1"/>
  <c r="C49" i="1"/>
  <c r="P48" i="1"/>
  <c r="O48" i="1"/>
  <c r="N48" i="1"/>
  <c r="K48" i="1"/>
  <c r="I48" i="1"/>
  <c r="Q47" i="1"/>
  <c r="F47" i="1"/>
  <c r="D47" i="1"/>
  <c r="P46" i="1"/>
  <c r="L46" i="1"/>
  <c r="R45" i="1"/>
  <c r="G45" i="1"/>
  <c r="M44" i="1"/>
  <c r="R43" i="1"/>
  <c r="M42" i="1"/>
  <c r="H42" i="1"/>
  <c r="E42" i="1"/>
  <c r="O41" i="1"/>
  <c r="F41" i="1"/>
  <c r="K40" i="1"/>
  <c r="G40" i="1"/>
  <c r="E40" i="1"/>
  <c r="O39" i="1"/>
  <c r="H39" i="1"/>
  <c r="M38" i="1"/>
  <c r="L38" i="1"/>
  <c r="I38" i="1"/>
  <c r="G38" i="1"/>
  <c r="D38" i="1"/>
  <c r="G37" i="1"/>
  <c r="E37" i="1"/>
  <c r="Q36" i="1"/>
  <c r="N36" i="1"/>
  <c r="C36" i="1"/>
  <c r="N35" i="1"/>
  <c r="C35" i="1"/>
  <c r="R34" i="1"/>
  <c r="R33" i="1"/>
  <c r="O33" i="1"/>
  <c r="G33" i="1"/>
  <c r="C33" i="1"/>
  <c r="Q32" i="1"/>
  <c r="O32" i="1"/>
  <c r="N32" i="1"/>
  <c r="I32" i="1"/>
  <c r="F32" i="1"/>
  <c r="C32" i="1"/>
  <c r="R31" i="1"/>
  <c r="O31" i="1"/>
  <c r="J31" i="1"/>
  <c r="L30" i="1"/>
  <c r="H30" i="1"/>
  <c r="C30" i="1"/>
  <c r="M29" i="1"/>
  <c r="G28" i="1"/>
  <c r="G27" i="1"/>
  <c r="R26" i="1"/>
  <c r="R25" i="1"/>
  <c r="D25" i="1"/>
  <c r="D24" i="1"/>
  <c r="N23" i="1"/>
  <c r="L23" i="1"/>
  <c r="G23" i="1"/>
  <c r="E23" i="1"/>
  <c r="N22" i="1"/>
  <c r="G22" i="1"/>
  <c r="R21" i="1"/>
  <c r="P21" i="1"/>
  <c r="N21" i="1"/>
  <c r="H21" i="1"/>
  <c r="F21" i="1"/>
  <c r="D21" i="1"/>
  <c r="O19" i="1"/>
  <c r="K19" i="1"/>
  <c r="F19" i="1"/>
  <c r="K16" i="1"/>
  <c r="M15" i="1"/>
  <c r="I15" i="1"/>
  <c r="G15" i="1"/>
  <c r="N13" i="1"/>
  <c r="I13" i="1"/>
  <c r="O12" i="1"/>
  <c r="J12" i="1"/>
  <c r="H12" i="1"/>
  <c r="P11" i="1"/>
  <c r="M11" i="1"/>
  <c r="I11" i="1"/>
  <c r="E10" i="1"/>
  <c r="L9" i="1"/>
  <c r="R7" i="1"/>
  <c r="Q7" i="1"/>
  <c r="D7" i="1"/>
  <c r="L2182" i="1"/>
  <c r="L2186" i="1"/>
  <c r="L2189" i="1"/>
  <c r="L2198" i="1"/>
  <c r="I2179" i="1"/>
  <c r="R2180" i="1"/>
  <c r="I2182" i="1"/>
  <c r="R2183" i="1"/>
  <c r="R2185" i="1"/>
  <c r="I2195" i="1"/>
  <c r="C402" i="1"/>
  <c r="B402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Q70" i="1"/>
  <c r="I70" i="1"/>
  <c r="H70" i="1"/>
  <c r="F70" i="1"/>
  <c r="E70" i="1"/>
  <c r="D70" i="1"/>
  <c r="C70" i="1"/>
  <c r="B70" i="1"/>
  <c r="R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R66" i="1"/>
  <c r="Q66" i="1"/>
  <c r="P66" i="1"/>
  <c r="O66" i="1"/>
  <c r="N66" i="1"/>
  <c r="M66" i="1"/>
  <c r="L66" i="1"/>
  <c r="K66" i="1"/>
  <c r="J66" i="1"/>
  <c r="I66" i="1"/>
  <c r="H66" i="1"/>
  <c r="G65" i="1"/>
  <c r="E65" i="1"/>
  <c r="D65" i="1"/>
  <c r="C65" i="1"/>
  <c r="B65" i="1"/>
  <c r="R64" i="1"/>
  <c r="H64" i="1"/>
  <c r="G64" i="1"/>
  <c r="F64" i="1"/>
  <c r="E64" i="1"/>
  <c r="D64" i="1"/>
  <c r="C64" i="1"/>
  <c r="B64" i="1"/>
  <c r="R63" i="1"/>
  <c r="P63" i="1"/>
  <c r="O63" i="1"/>
  <c r="N63" i="1"/>
  <c r="M63" i="1"/>
  <c r="H63" i="1"/>
  <c r="G63" i="1"/>
  <c r="F63" i="1"/>
  <c r="E63" i="1"/>
  <c r="B63" i="1"/>
  <c r="R62" i="1"/>
  <c r="Q62" i="1"/>
  <c r="L62" i="1"/>
  <c r="H62" i="1"/>
  <c r="G62" i="1"/>
  <c r="B62" i="1"/>
  <c r="Q61" i="1"/>
  <c r="P61" i="1"/>
  <c r="O61" i="1"/>
  <c r="L61" i="1"/>
  <c r="J61" i="1"/>
  <c r="F61" i="1"/>
  <c r="E61" i="1"/>
  <c r="B61" i="1"/>
  <c r="R60" i="1"/>
  <c r="Q60" i="1"/>
  <c r="J60" i="1"/>
  <c r="H60" i="1"/>
  <c r="G60" i="1"/>
  <c r="F60" i="1"/>
  <c r="E60" i="1"/>
  <c r="C60" i="1"/>
  <c r="B60" i="1"/>
  <c r="R59" i="1"/>
  <c r="Q59" i="1"/>
  <c r="P59" i="1"/>
  <c r="O59" i="1"/>
  <c r="L59" i="1"/>
  <c r="H59" i="1"/>
  <c r="G59" i="1"/>
  <c r="F59" i="1"/>
  <c r="E59" i="1"/>
  <c r="D59" i="1"/>
  <c r="Q58" i="1"/>
  <c r="P58" i="1"/>
  <c r="L58" i="1"/>
  <c r="H58" i="1"/>
  <c r="G58" i="1"/>
  <c r="E58" i="1"/>
  <c r="D58" i="1"/>
  <c r="C58" i="1"/>
  <c r="Q57" i="1"/>
  <c r="P57" i="1"/>
  <c r="O57" i="1"/>
  <c r="N57" i="1"/>
  <c r="I57" i="1"/>
  <c r="E57" i="1"/>
  <c r="D57" i="1"/>
  <c r="C57" i="1"/>
  <c r="B57" i="1"/>
  <c r="N56" i="1"/>
  <c r="M56" i="1"/>
  <c r="L56" i="1"/>
  <c r="K56" i="1"/>
  <c r="J56" i="1"/>
  <c r="G56" i="1"/>
  <c r="C56" i="1"/>
  <c r="B56" i="1"/>
  <c r="P55" i="1"/>
  <c r="O55" i="1"/>
  <c r="N55" i="1"/>
  <c r="K55" i="1"/>
  <c r="J55" i="1"/>
  <c r="B55" i="1"/>
  <c r="R54" i="1"/>
  <c r="Q54" i="1"/>
  <c r="P54" i="1"/>
  <c r="O54" i="1"/>
  <c r="N54" i="1"/>
  <c r="M54" i="1"/>
  <c r="L54" i="1"/>
  <c r="D54" i="1"/>
  <c r="C54" i="1"/>
  <c r="B54" i="1"/>
  <c r="O53" i="1"/>
  <c r="K53" i="1"/>
  <c r="H53" i="1"/>
  <c r="G53" i="1"/>
  <c r="F53" i="1"/>
  <c r="R52" i="1"/>
  <c r="Q52" i="1"/>
  <c r="M52" i="1"/>
  <c r="G52" i="1"/>
  <c r="C52" i="1"/>
  <c r="B52" i="1"/>
  <c r="K51" i="1"/>
  <c r="J51" i="1"/>
  <c r="H51" i="1"/>
  <c r="B51" i="1"/>
  <c r="O50" i="1"/>
  <c r="M50" i="1"/>
  <c r="J50" i="1"/>
  <c r="H50" i="1"/>
  <c r="G50" i="1"/>
  <c r="F50" i="1"/>
  <c r="B50" i="1"/>
  <c r="R49" i="1"/>
  <c r="N49" i="1"/>
  <c r="B49" i="1"/>
  <c r="R48" i="1"/>
  <c r="Q48" i="1"/>
  <c r="L48" i="1"/>
  <c r="D48" i="1"/>
  <c r="P47" i="1"/>
  <c r="N47" i="1"/>
  <c r="R46" i="1"/>
  <c r="H46" i="1"/>
  <c r="N44" i="1"/>
  <c r="K44" i="1"/>
  <c r="L43" i="1"/>
  <c r="R41" i="1"/>
  <c r="G41" i="1"/>
  <c r="C41" i="1"/>
  <c r="N40" i="1"/>
  <c r="L40" i="1"/>
  <c r="J39" i="1"/>
  <c r="I39" i="1"/>
  <c r="G39" i="1"/>
  <c r="C39" i="1"/>
  <c r="B39" i="1"/>
  <c r="R38" i="1"/>
  <c r="N38" i="1"/>
  <c r="H38" i="1"/>
  <c r="Q37" i="1"/>
  <c r="N37" i="1"/>
  <c r="M37" i="1"/>
  <c r="K37" i="1"/>
  <c r="D37" i="1"/>
  <c r="R36" i="1"/>
  <c r="J36" i="1"/>
  <c r="F36" i="1"/>
  <c r="E36" i="1"/>
  <c r="R35" i="1"/>
  <c r="M35" i="1"/>
  <c r="K35" i="1"/>
  <c r="G35" i="1"/>
  <c r="F35" i="1"/>
  <c r="E35" i="1"/>
  <c r="B35" i="1"/>
  <c r="P34" i="1"/>
  <c r="I34" i="1"/>
  <c r="G34" i="1"/>
  <c r="F34" i="1"/>
  <c r="B34" i="1"/>
  <c r="H33" i="1"/>
  <c r="B32" i="1"/>
  <c r="P31" i="1"/>
  <c r="K29" i="1"/>
  <c r="I29" i="1"/>
  <c r="R28" i="1"/>
  <c r="P28" i="1"/>
  <c r="J28" i="1"/>
  <c r="I28" i="1"/>
  <c r="F28" i="1"/>
  <c r="F27" i="1"/>
  <c r="E27" i="1"/>
  <c r="Q26" i="1"/>
  <c r="K26" i="1"/>
  <c r="D26" i="1"/>
  <c r="M25" i="1"/>
  <c r="H25" i="1"/>
  <c r="Q24" i="1"/>
  <c r="P24" i="1"/>
  <c r="M24" i="1"/>
  <c r="L24" i="1"/>
  <c r="K24" i="1"/>
  <c r="J24" i="1"/>
  <c r="E24" i="1"/>
  <c r="P23" i="1"/>
  <c r="J23" i="1"/>
  <c r="I23" i="1"/>
  <c r="F23" i="1"/>
  <c r="C23" i="1"/>
  <c r="Q22" i="1"/>
  <c r="P22" i="1"/>
  <c r="O22" i="1"/>
  <c r="E22" i="1"/>
  <c r="D22" i="1"/>
  <c r="C22" i="1"/>
  <c r="M21" i="1"/>
  <c r="L21" i="1"/>
  <c r="C21" i="1"/>
  <c r="N20" i="1"/>
  <c r="M20" i="1"/>
  <c r="I20" i="1"/>
  <c r="H20" i="1"/>
  <c r="N19" i="1"/>
  <c r="E19" i="1"/>
  <c r="B19" i="1"/>
  <c r="R18" i="1"/>
  <c r="Q18" i="1"/>
  <c r="P18" i="1"/>
  <c r="O18" i="1"/>
  <c r="I18" i="1"/>
  <c r="H18" i="1"/>
  <c r="G18" i="1"/>
  <c r="F18" i="1"/>
  <c r="E18" i="1"/>
  <c r="D18" i="1"/>
  <c r="Q17" i="1"/>
  <c r="H17" i="1"/>
  <c r="G17" i="1"/>
  <c r="O16" i="1"/>
  <c r="J16" i="1"/>
  <c r="B16" i="1"/>
  <c r="K15" i="1"/>
  <c r="L14" i="1"/>
  <c r="K14" i="1"/>
  <c r="G14" i="1"/>
  <c r="F14" i="1"/>
  <c r="E14" i="1"/>
  <c r="Q13" i="1"/>
  <c r="L13" i="1"/>
  <c r="K13" i="1"/>
  <c r="D13" i="1"/>
  <c r="C13" i="1"/>
  <c r="B13" i="1"/>
  <c r="Q12" i="1"/>
  <c r="D12" i="1"/>
  <c r="B12" i="1"/>
  <c r="R11" i="1"/>
  <c r="Q11" i="1"/>
  <c r="O11" i="1"/>
  <c r="G11" i="1"/>
  <c r="D11" i="1"/>
  <c r="P10" i="1"/>
  <c r="L10" i="1"/>
  <c r="K10" i="1"/>
  <c r="K9" i="1"/>
  <c r="N8" i="1"/>
  <c r="F8" i="1"/>
  <c r="P7" i="1"/>
  <c r="O7" i="1"/>
  <c r="N7" i="1"/>
  <c r="H7" i="1"/>
  <c r="L2180" i="1"/>
  <c r="L2196" i="1"/>
  <c r="I2177" i="1"/>
  <c r="R2181" i="1"/>
  <c r="I2186" i="1"/>
  <c r="R2190" i="1"/>
  <c r="I2194" i="1"/>
  <c r="R2196" i="1"/>
  <c r="P4" i="1"/>
  <c r="J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485F5F-F173-4DB2-87A6-AE0E82ADD36E}" keepAlive="1" interval="30" name="쿼리 - 입출고현황" description="통합 문서의 '입출고현황' 쿼리에 대한 연결입니다." type="5" refreshedVersion="8" background="1" refreshOnLoad="1" saveData="1">
    <dbPr connection="Provider=Microsoft.Mashup.OleDb.1;Data Source=$Workbook$;Location=입출고현황;Extended Properties=&quot;&quot;" command="SELECT * FROM [입출고현황]"/>
  </connection>
</connections>
</file>

<file path=xl/sharedStrings.xml><?xml version="1.0" encoding="utf-8"?>
<sst xmlns="http://schemas.openxmlformats.org/spreadsheetml/2006/main" count="21912" uniqueCount="5176">
  <si>
    <t>구분</t>
    <phoneticPr fontId="1" type="noConversion"/>
  </si>
  <si>
    <t>NEW</t>
    <phoneticPr fontId="1" type="noConversion"/>
  </si>
  <si>
    <t>품번</t>
    <phoneticPr fontId="1" type="noConversion"/>
  </si>
  <si>
    <t>품명</t>
    <phoneticPr fontId="1" type="noConversion"/>
  </si>
  <si>
    <t>수량</t>
    <phoneticPr fontId="1" type="noConversion"/>
  </si>
  <si>
    <t>일자</t>
    <phoneticPr fontId="1" type="noConversion"/>
  </si>
  <si>
    <t>담당자</t>
    <phoneticPr fontId="1" type="noConversion"/>
  </si>
  <si>
    <t>RA-11-22</t>
  </si>
  <si>
    <t>RA-11-23</t>
  </si>
  <si>
    <t>위치</t>
    <phoneticPr fontId="1" type="noConversion"/>
  </si>
  <si>
    <t>G2-5</t>
    <phoneticPr fontId="1" type="noConversion"/>
  </si>
  <si>
    <t>예약번호</t>
    <phoneticPr fontId="1" type="noConversion"/>
  </si>
  <si>
    <t>출고일</t>
    <phoneticPr fontId="1" type="noConversion"/>
  </si>
  <si>
    <t>잔여수량</t>
    <phoneticPr fontId="1" type="noConversion"/>
  </si>
  <si>
    <t>출고</t>
    <phoneticPr fontId="1" type="noConversion"/>
  </si>
  <si>
    <t>출고수량</t>
    <phoneticPr fontId="1" type="noConversion"/>
  </si>
  <si>
    <t>RD-07G-0503</t>
  </si>
  <si>
    <t>NO</t>
    <phoneticPr fontId="1" type="noConversion"/>
  </si>
  <si>
    <t>입고</t>
    <phoneticPr fontId="1" type="noConversion"/>
  </si>
  <si>
    <t>RA-09S-5150</t>
  </si>
  <si>
    <t>자재 내역</t>
  </si>
  <si>
    <t>품번</t>
    <phoneticPr fontId="2" type="noConversion"/>
  </si>
  <si>
    <t>C16-609ZZ]BALL B-Ring</t>
  </si>
  <si>
    <t>C16-609ZZ</t>
  </si>
  <si>
    <t>C1-1</t>
    <phoneticPr fontId="1" type="noConversion"/>
  </si>
  <si>
    <t>C16-6200ZZ]BALL B-Ring</t>
  </si>
  <si>
    <t>C16-6200ZZ</t>
  </si>
  <si>
    <t>3L16-2</t>
  </si>
  <si>
    <t>C16-626ZZ]BALL B-Ring</t>
  </si>
  <si>
    <t>C16-626ZZ</t>
  </si>
  <si>
    <t>C16-635ZZ]BALL B-Ring</t>
  </si>
  <si>
    <t>C16-635ZZ</t>
  </si>
  <si>
    <t>C16-637ZZ]BALL B-Ring</t>
  </si>
  <si>
    <t>C16-637ZZ</t>
  </si>
  <si>
    <t>C16-6800ZZ]BALL B-Ring</t>
  </si>
  <si>
    <t>C16-6800ZZ</t>
  </si>
  <si>
    <t>3M1-4</t>
  </si>
  <si>
    <t>C16-6806ZZ]BALL B-Ring</t>
  </si>
  <si>
    <t>C16-6806ZZ</t>
  </si>
  <si>
    <t>C16-6808ZZ]BALL B-Ring</t>
  </si>
  <si>
    <t>C16-6808ZZ</t>
  </si>
  <si>
    <t>C16-687ZZ]BALL B-Ring</t>
  </si>
  <si>
    <t>C16-687ZZ</t>
  </si>
  <si>
    <t>C16-689ZZ]BEARING BALL</t>
  </si>
  <si>
    <t>C16-689ZZ</t>
  </si>
  <si>
    <t>C16-696ZZ]BALL B-Ring</t>
  </si>
  <si>
    <t>C16-696ZZ</t>
  </si>
  <si>
    <t>C16-F604ZZ]BALL B-Ring</t>
  </si>
  <si>
    <t>C16-F604ZZ</t>
  </si>
  <si>
    <t>H3-7</t>
    <phoneticPr fontId="1" type="noConversion"/>
  </si>
  <si>
    <t>C16-MF128ZZS]BALL B-Ring</t>
  </si>
  <si>
    <t>C16-MF128ZZS</t>
  </si>
  <si>
    <t>C16-MR105ZZ</t>
  </si>
  <si>
    <t>3S4-7</t>
  </si>
  <si>
    <t>C16-MR84ZZ]BALL B-Ring</t>
  </si>
  <si>
    <t>C16-MR84ZZ</t>
  </si>
  <si>
    <t>C21-120403]Mgnet Ø12XØ4.2X3</t>
    <phoneticPr fontId="1" type="noConversion"/>
  </si>
  <si>
    <t>C21-120403</t>
  </si>
  <si>
    <t>B2-3</t>
    <phoneticPr fontId="1" type="noConversion"/>
  </si>
  <si>
    <t>C21-120403-1]300006840 변경</t>
  </si>
  <si>
    <t>C21-120403-1</t>
  </si>
  <si>
    <t>KA-5630SEL2Z4S</t>
    <phoneticPr fontId="1" type="noConversion"/>
  </si>
  <si>
    <t>3L20-1</t>
  </si>
  <si>
    <t>MCT-00S-6002]Digital Hall SNSR Actuator</t>
  </si>
  <si>
    <t>MCT-00S-6002</t>
  </si>
  <si>
    <t>MCT-00S-6004]INLET WITH FUSE SWITCH NF</t>
  </si>
  <si>
    <t>MCT-00S-6004</t>
  </si>
  <si>
    <t>MCT-00S-6005]CAT5E STP Panel Cable</t>
  </si>
  <si>
    <t>MCT-00S-6005</t>
  </si>
  <si>
    <t>MCT-00S-6006]RJ45 CAP</t>
  </si>
  <si>
    <t>MCT-00S-6006</t>
  </si>
  <si>
    <t>MCT-01A-6020]MCT CONN Bd</t>
  </si>
  <si>
    <t>MCT-01A-6020</t>
  </si>
  <si>
    <t>3M1-3</t>
  </si>
  <si>
    <t>MCT-01S-6023]SMPS-CFM300M240</t>
  </si>
  <si>
    <t>MCT-01S-6023</t>
  </si>
  <si>
    <t>3M7-1</t>
  </si>
  <si>
    <t>MCT-01S-6024]MICRO SWITCH</t>
  </si>
  <si>
    <t>MCT-01S-6024</t>
  </si>
  <si>
    <t>K1-1</t>
    <phoneticPr fontId="1" type="noConversion"/>
  </si>
  <si>
    <t>MCT-03A-6015]MCT INDICTOR B/D</t>
  </si>
  <si>
    <t>MCT-03A-6015</t>
  </si>
  <si>
    <t>MCT-07S-6025]INLET WITH FUSE SW NF(CN</t>
  </si>
  <si>
    <t>MCT-07S-6025</t>
    <phoneticPr fontId="2" type="noConversion"/>
  </si>
  <si>
    <t>MCT-1-1A]AC POWER-A</t>
  </si>
  <si>
    <t>MCT-1-1A</t>
  </si>
  <si>
    <t>3M1-1</t>
  </si>
  <si>
    <t>MCT-1-1B]AC POWER-B</t>
  </si>
  <si>
    <t>MCT-1-1B</t>
  </si>
  <si>
    <t>MCT-1-1C]AC POWER-C</t>
  </si>
  <si>
    <t>MCT-1-1C</t>
  </si>
  <si>
    <t>MCT-1-3]AC POWER TUBE SMPS</t>
  </si>
  <si>
    <t>MCT-1-3</t>
  </si>
  <si>
    <t>3M1-1, 3M7-2</t>
  </si>
  <si>
    <t>MCT-1-4]CON DC POWER 24V</t>
  </si>
  <si>
    <t>MCT-1-4</t>
  </si>
  <si>
    <t>MCT-1-5]EMERGENCY CONTROL</t>
  </si>
  <si>
    <t>MCT-1-5</t>
  </si>
  <si>
    <t>MCT-1-6]MOT DC POWER 24V</t>
  </si>
  <si>
    <t>MCT-1-6</t>
  </si>
  <si>
    <t>MCT-1-7]TUBE DC POWER 24V</t>
  </si>
  <si>
    <t>MCT-1-7</t>
  </si>
  <si>
    <t>MCT-1-8]TUBS SMPS CONTROL</t>
  </si>
  <si>
    <t>MCT-1-8</t>
  </si>
  <si>
    <t>MCT-2-1]EARTH PWR</t>
  </si>
  <si>
    <t>MCT-2-1</t>
  </si>
  <si>
    <t>MCT-2-2]EARTH CTRL SMPS</t>
  </si>
  <si>
    <t>MCT-2-2</t>
  </si>
  <si>
    <t>MCT-2-3]EARTH MOT SMPS</t>
  </si>
  <si>
    <t>MCT-2-3</t>
  </si>
  <si>
    <t>MCT-2-4]EARTH TUBE SMPS</t>
  </si>
  <si>
    <t>MCT-2-4</t>
  </si>
  <si>
    <t>MCT-2-5]EARTH to FRM</t>
  </si>
  <si>
    <t>MCT-2-5</t>
  </si>
  <si>
    <t>MCT-3-1]SERIAL POWER PRIME</t>
  </si>
  <si>
    <t>MCT-3-1</t>
  </si>
  <si>
    <t>MCT-3-2]SERIAL POWER THU</t>
  </si>
  <si>
    <t>MCT-3-2</t>
  </si>
  <si>
    <t>MCT-3-3]DC POWER HUB</t>
  </si>
  <si>
    <t>MCT-3-3</t>
  </si>
  <si>
    <t>MCT-4-2A]MOT OBJECT-A</t>
  </si>
  <si>
    <t>MCT-4-2A</t>
  </si>
  <si>
    <t>3M1-2</t>
  </si>
  <si>
    <t>MCT-4-2B]MOT OBJECT-B</t>
  </si>
  <si>
    <t>MCT-4-2B</t>
  </si>
  <si>
    <t>MCT-4-3B]MOT DOOR-B</t>
  </si>
  <si>
    <t>MCT-4-3B</t>
  </si>
  <si>
    <t>MCT-4-5]MOT CABLE ASS’Y</t>
  </si>
  <si>
    <t>MCT-4-5</t>
  </si>
  <si>
    <t>MCT-5-1]LAN THU</t>
  </si>
  <si>
    <t>MCT-5-1</t>
  </si>
  <si>
    <t>MCT-6-1]DOOR INTERLOCK CONTROL</t>
  </si>
  <si>
    <t>MCT-6-1</t>
  </si>
  <si>
    <t>MCT-6-10]X-RAY INDICATOR CONTOL</t>
  </si>
  <si>
    <t>MCT-6-10</t>
  </si>
  <si>
    <t>MCT-6-11]X-RAY INDICATOR INTERFACE</t>
  </si>
  <si>
    <t>MCT-6-11</t>
  </si>
  <si>
    <t>MCT-6-12]X-RAY INDICATOR</t>
  </si>
  <si>
    <t>MCT-6-12</t>
  </si>
  <si>
    <t>MCT-6-13]EM-LOCK</t>
  </si>
  <si>
    <t>MCT-6-13</t>
  </si>
  <si>
    <t>MCT-6-14]PANNEL INTERLOCK</t>
  </si>
  <si>
    <t>MCT-6-14</t>
  </si>
  <si>
    <t>MCT-6-15]MCT FAN</t>
  </si>
  <si>
    <t>MCT-6-15</t>
  </si>
  <si>
    <t>MCT-6-2A]DOOR INTERLOCK-A</t>
  </si>
  <si>
    <t>MCT-6-2A</t>
  </si>
  <si>
    <t>MCT-6-2B]DOOR INTERLOCK-B</t>
  </si>
  <si>
    <t>MCT-6-2B</t>
  </si>
  <si>
    <t>MCT-6-2C]DOOR INTERLOCK-C</t>
  </si>
  <si>
    <t>MCT-6-2C</t>
  </si>
  <si>
    <t>MCT-6-3]EMLOCK CONTROL</t>
  </si>
  <si>
    <t>MCT-6-3</t>
  </si>
  <si>
    <t>MCT-6-4]EMLOCK INTERFACE</t>
  </si>
  <si>
    <t>MCT-6-4</t>
  </si>
  <si>
    <t>MCT-6-5]ACCESS DOOR SENSING</t>
  </si>
  <si>
    <t>MCT-6-5</t>
  </si>
  <si>
    <t>MCT-6-6]ADET PWR CONTROL</t>
  </si>
  <si>
    <t>MCT-6-6</t>
  </si>
  <si>
    <t>MCT-6-7]ADET PWR INTERFACE</t>
  </si>
  <si>
    <t>MCT-6-7</t>
  </si>
  <si>
    <t>MCT-6-9]INDICATOR INTERFACE</t>
  </si>
  <si>
    <t>MCT-6-9</t>
  </si>
  <si>
    <t>RA-00H-5098]Battery-LR03</t>
  </si>
  <si>
    <t>RA-00H-5098</t>
    <phoneticPr fontId="2" type="noConversion"/>
  </si>
  <si>
    <t>L1-2</t>
    <phoneticPr fontId="1" type="noConversion"/>
  </si>
  <si>
    <t xml:space="preserve">W-Station HP Z2 G9 (A Type) </t>
  </si>
  <si>
    <t>RA-00S-6060</t>
  </si>
  <si>
    <t>A16</t>
    <phoneticPr fontId="1" type="noConversion"/>
  </si>
  <si>
    <t xml:space="preserve">DELL Workstation (Type A) </t>
  </si>
  <si>
    <t>RA-00S-6115</t>
  </si>
  <si>
    <t>RA-01A-0856]ASM INNER MS PLT</t>
  </si>
  <si>
    <t>RA-01A-0856</t>
  </si>
  <si>
    <t>M2</t>
    <phoneticPr fontId="1" type="noConversion"/>
  </si>
  <si>
    <t>RA-01A-2728</t>
  </si>
  <si>
    <t>3C1</t>
  </si>
  <si>
    <t>FRAME MAIN BASE</t>
  </si>
  <si>
    <t>RA-01A-2771</t>
  </si>
  <si>
    <t>1층</t>
    <phoneticPr fontId="1" type="noConversion"/>
  </si>
  <si>
    <t>RA-01M-4101]PLT MAIN Bas (MCT)</t>
  </si>
  <si>
    <t>RA-01M-4101</t>
  </si>
  <si>
    <t>3M6-5</t>
  </si>
  <si>
    <t>RA-01M-4102]BLK MAIN FRM A (MCT)</t>
  </si>
  <si>
    <t>RA-01M-4102</t>
  </si>
  <si>
    <t>3M6-1</t>
  </si>
  <si>
    <t>RA-01M-4103]BLK MAIN FRM B (MCT)</t>
  </si>
  <si>
    <t>RA-01M-4103</t>
  </si>
  <si>
    <t>RA-01M-4104]BLK FRM A (MCT)</t>
  </si>
  <si>
    <t>RA-01M-4104</t>
  </si>
  <si>
    <t>RA-01M-4105]BLK FRM B (MCT)</t>
  </si>
  <si>
    <t>RA-01M-4105</t>
  </si>
  <si>
    <t>RA-01M-4106]BLK FRM C (MCT)</t>
  </si>
  <si>
    <t>RA-01M-4106</t>
  </si>
  <si>
    <t>RA-01M-4107]BLK GUIDE TUBE TNK (MCT)</t>
  </si>
  <si>
    <t>RA-01M-4107</t>
  </si>
  <si>
    <t>RA-01M-4108]BLK MAIN FRM C (MCT)</t>
  </si>
  <si>
    <t>RA-01M-4108</t>
  </si>
  <si>
    <t>RA-01M-4109]BLK FRM D (MCT)</t>
  </si>
  <si>
    <t>RA-01M-4109</t>
  </si>
  <si>
    <t>RA-01M-4110]BLK FRM E (MCT)</t>
  </si>
  <si>
    <t>RA-01M-4110</t>
  </si>
  <si>
    <t>RA-01M-4111]BLK CLMN BAR A (MCT)</t>
  </si>
  <si>
    <t>RA-01M-4111</t>
  </si>
  <si>
    <t>RA-01M-4112]BLK CLMN BAR B (MCT)</t>
  </si>
  <si>
    <t>RA-01M-4112</t>
  </si>
  <si>
    <t>3M5-1</t>
  </si>
  <si>
    <t>RA-01M-4117]PLT MAIN Bas UPPER A (MCT)</t>
  </si>
  <si>
    <t>RA-01M-4117</t>
  </si>
  <si>
    <t>3M5-5</t>
  </si>
  <si>
    <t>RA-01M-4119]PLT MAIN Bas UPPER C (MCT)</t>
  </si>
  <si>
    <t>RA-01M-4119</t>
  </si>
  <si>
    <t>RA-01M-4123]BLK GUIDE (MCT)</t>
  </si>
  <si>
    <t>RA-01M-4123</t>
  </si>
  <si>
    <t>RA-01M-4126]BLK DOOR LINKER (MCT)</t>
  </si>
  <si>
    <t>RA-01M-4126</t>
  </si>
  <si>
    <t>RA-01M-4141]BLK DOOR EM LOCK (MCT)</t>
  </si>
  <si>
    <t>RA-01M-4141</t>
  </si>
  <si>
    <t>RA-01M-4143]BLK FOOT (MCT)</t>
  </si>
  <si>
    <t>RA-01M-4143</t>
  </si>
  <si>
    <t>RA-01M-4151]BLK DOOR SLIDE RAIL (MCT)</t>
  </si>
  <si>
    <t>RA-01M-4151</t>
  </si>
  <si>
    <t>RA-01M-4152]SHAFT DOOR SLIDE RAIL (MCT)</t>
  </si>
  <si>
    <t>RA-01M-4152</t>
  </si>
  <si>
    <t>RA-01M-4153]BLK DOOR BALL BUSH (MCT)</t>
  </si>
  <si>
    <t>RA-01M-4153</t>
  </si>
  <si>
    <t>3M6-2</t>
  </si>
  <si>
    <t>RA-01M-4157]BLK TURN TABLE POSITION A</t>
  </si>
  <si>
    <t>RA-01M-4157</t>
  </si>
  <si>
    <t>3M7-2</t>
  </si>
  <si>
    <t>RA-01S-0082</t>
    <phoneticPr fontId="1" type="noConversion"/>
  </si>
  <si>
    <t>3F7</t>
  </si>
  <si>
    <t>RA-01S-0083]LEVEL FOOT M16X20</t>
  </si>
  <si>
    <t>RA-01S-0083</t>
  </si>
  <si>
    <t>3F6</t>
  </si>
  <si>
    <t>RA-01S-4125]LM SET (MGW9C-2-540 (MCT)</t>
  </si>
  <si>
    <t>RA-01S-4125</t>
  </si>
  <si>
    <t>3M1-5</t>
  </si>
  <si>
    <t>RA-01S-4154]BALL BUSH d16 L37 (MCT)</t>
  </si>
  <si>
    <t>RA-01S-4154</t>
  </si>
  <si>
    <t>RA-01T-0840]CAS LIFT CLMN DECO</t>
  </si>
  <si>
    <t>RA-01T-0840</t>
  </si>
  <si>
    <t>S</t>
    <phoneticPr fontId="1" type="noConversion"/>
  </si>
  <si>
    <t>RA-01T-1790]CAS MAIN Bas FRONT</t>
    <phoneticPr fontId="1" type="noConversion"/>
  </si>
  <si>
    <t>RA-01T-1790</t>
  </si>
  <si>
    <t>V</t>
    <phoneticPr fontId="1" type="noConversion"/>
  </si>
  <si>
    <t>RA-01T-1791]CAS MAIN Bas REAR</t>
    <phoneticPr fontId="1" type="noConversion"/>
  </si>
  <si>
    <t>RA-01T-1791</t>
  </si>
  <si>
    <t>RA-01T-1792]MAIN Bas CAP</t>
  </si>
  <si>
    <t>RA-01T-1792</t>
  </si>
  <si>
    <t>W</t>
    <phoneticPr fontId="1" type="noConversion"/>
  </si>
  <si>
    <t>RA-01T-3831]CAS LIFT CLMN DECO (MG)</t>
  </si>
  <si>
    <t>RA-01T-3831</t>
  </si>
  <si>
    <t>4F CASE</t>
  </si>
  <si>
    <t>RA-01T-3832]MAIN Bas CAP (MG)</t>
  </si>
  <si>
    <t>RA-01T-3832</t>
  </si>
  <si>
    <t>N3-1</t>
    <phoneticPr fontId="1" type="noConversion"/>
  </si>
  <si>
    <t>RA-01V-0815]BRK WALL MOUNT B</t>
  </si>
  <si>
    <t>RA-01V-0815</t>
  </si>
  <si>
    <t>3C2</t>
  </si>
  <si>
    <t>RA-01V-0816]BRK WALL MOUNT C</t>
  </si>
  <si>
    <t>RA-01V-0816</t>
  </si>
  <si>
    <t>RA-01V-0817]BRK WALL MOUNT C-JIG</t>
  </si>
  <si>
    <t>RA-01V-0817</t>
  </si>
  <si>
    <t>RA-01V-0847]BRK BAS CVR A</t>
  </si>
  <si>
    <t>RA-01V-0847</t>
  </si>
  <si>
    <t>3F-CENTER3</t>
  </si>
  <si>
    <t>BRACKET WALL BAS COVER A</t>
    <phoneticPr fontId="1" type="noConversion"/>
  </si>
  <si>
    <t>RA-01V-0851</t>
    <phoneticPr fontId="1" type="noConversion"/>
  </si>
  <si>
    <t>3D1-2</t>
    <phoneticPr fontId="1" type="noConversion"/>
  </si>
  <si>
    <t>RA-01V-0852]BRK WALL Bas CVR B</t>
  </si>
  <si>
    <t>RA-01V-0852</t>
  </si>
  <si>
    <t>RA-01V-0853]PLT WALL MOUNT LIFT BOT</t>
  </si>
  <si>
    <t>RA-01V-0853</t>
  </si>
  <si>
    <t>RA-01V-3822]BRK Bas CVR B (MG)</t>
  </si>
  <si>
    <t>RA-01V-3822</t>
  </si>
  <si>
    <t>N2-3</t>
    <phoneticPr fontId="1" type="noConversion"/>
  </si>
  <si>
    <t>RA-01V-3823]BRK Bas CVR A (MG)</t>
  </si>
  <si>
    <t>RA-01V-3823</t>
  </si>
  <si>
    <t>RA-01V-4021]BRK ELECTRONIC COMPONENT(MCT</t>
  </si>
  <si>
    <t>RA-01V-4021</t>
  </si>
  <si>
    <t>3M2-4</t>
  </si>
  <si>
    <t>RA-01V-4024]PB BODY LWR A (MCT)</t>
  </si>
  <si>
    <t>RA-01V-4024</t>
  </si>
  <si>
    <t>3M2-2</t>
  </si>
  <si>
    <t>RA-01V-4025]PB BODY LWR B (MCT)</t>
  </si>
  <si>
    <t>RA-01V-4025</t>
  </si>
  <si>
    <t>RA-01V-4026]PB BODY LOWER C (MCT)</t>
  </si>
  <si>
    <t>RA-01V-4026</t>
  </si>
  <si>
    <t>RA-01V-4027]PB BODY LWR D (MCT)</t>
  </si>
  <si>
    <t>RA-01V-4027</t>
  </si>
  <si>
    <t>RA-01V-4113]BRK L PROFILE (MCT)</t>
  </si>
  <si>
    <t>RA-01V-4113</t>
  </si>
  <si>
    <t>RA-01V-4114]PB TUBE LWR (MCT)</t>
  </si>
  <si>
    <t>RA-01V-4114</t>
  </si>
  <si>
    <t>RA-01V-4115]BRK PB TUBE LWR (MCT)</t>
  </si>
  <si>
    <t>RA-01V-4115</t>
  </si>
  <si>
    <t>RA-01V-4120]BRK FRONT FRM (MCT)</t>
  </si>
  <si>
    <t>RA-01V-4120</t>
  </si>
  <si>
    <t>RA-01V-4121]BRK SIDE FRM (MCT)</t>
  </si>
  <si>
    <t>RA-01V-4121</t>
  </si>
  <si>
    <t>3M3-2</t>
  </si>
  <si>
    <t>RA-01V-4122]BRK REAR FRM (MCT)</t>
  </si>
  <si>
    <t>RA-01V-4122</t>
  </si>
  <si>
    <t>RA-01V-4124]BRK GUIDE (MCT)</t>
  </si>
  <si>
    <t>RA-01V-4124</t>
  </si>
  <si>
    <t>RA-01V-4127</t>
    <phoneticPr fontId="1" type="noConversion"/>
  </si>
  <si>
    <t>RA-01V-4128]BRK DOOR PHOtSNSR B (MCT)</t>
  </si>
  <si>
    <t>RA-01V-4128</t>
  </si>
  <si>
    <t>RA-01V-4129]PB BODY LWR (MCT)</t>
  </si>
  <si>
    <t>RA-01V-4129</t>
  </si>
  <si>
    <t>RA-01V-4131]BRK DOOR MICRO SWITCH (MCT)</t>
  </si>
  <si>
    <t>RA-01V-4131</t>
  </si>
  <si>
    <t>RA-01V-4132]CVR TURN TABLE LWR (MCT)</t>
  </si>
  <si>
    <t>RA-01V-4132</t>
  </si>
  <si>
    <t>RA-01V-4133]PB DET LWR (MCT)</t>
  </si>
  <si>
    <t>RA-01V-4133</t>
  </si>
  <si>
    <t>RA-01V-4134]PLT PB DET LWR (MCT)</t>
  </si>
  <si>
    <t>RA-01V-4134</t>
  </si>
  <si>
    <t>RA-01V-4136]BRK DOOR PHOt SNSR (MCT)</t>
  </si>
  <si>
    <t>RA-01V-4136</t>
  </si>
  <si>
    <t>RA-01V-4137]PB BODY DET LWR (MCT)</t>
  </si>
  <si>
    <t>RA-01V-4137</t>
  </si>
  <si>
    <t>RA-01V-4144]BRK CAS BOT (MCT)</t>
  </si>
  <si>
    <t>RA-01V-4144</t>
  </si>
  <si>
    <t>RA-01V-4145]BRK ELECTRONIC FIX A (MCT)</t>
  </si>
  <si>
    <t>RA-01V-4145</t>
  </si>
  <si>
    <t>RA-01V-4146]BRK ELECTRONIC FIX B (MCT)</t>
  </si>
  <si>
    <t>RA-01V-4146</t>
  </si>
  <si>
    <t>RA-01V-4147]BRK ELECTRONIC GUIDE (MCT)</t>
  </si>
  <si>
    <t>RA-01V-4147</t>
  </si>
  <si>
    <t>RA-01V-4148]BRK CAS TOP (MCT)</t>
  </si>
  <si>
    <t>RA-01V-4148</t>
  </si>
  <si>
    <t>RA-01V-4149]BRK Mgnet SNSR (MCT)</t>
  </si>
  <si>
    <t>RA-01V-4149</t>
  </si>
  <si>
    <t>RA-02A-1333]ASM B-Ring-ROT Mdl</t>
  </si>
  <si>
    <t>RA-02A-1333</t>
  </si>
  <si>
    <t>3L16-1, 3L8-1</t>
  </si>
  <si>
    <t>3L8-1</t>
  </si>
  <si>
    <t>RA-02A-2008]ASM B-Ring ROT Mdl (A+)</t>
  </si>
  <si>
    <t>RA-02A-2008</t>
  </si>
  <si>
    <t>O3</t>
    <phoneticPr fontId="1" type="noConversion"/>
  </si>
  <si>
    <t>RA-02A-2020]ASM SCREW X-AXIS (A+)</t>
  </si>
  <si>
    <t>RA-02A-2020</t>
  </si>
  <si>
    <t>C2-1</t>
    <phoneticPr fontId="1" type="noConversion"/>
  </si>
  <si>
    <t>RA-02A-2031]ASM MAIN PULLEY MOT (A+)</t>
  </si>
  <si>
    <t>RA-02A-2031</t>
  </si>
  <si>
    <t>RA-02A-2280]ASM SHAFT IDLER A (A+)</t>
  </si>
  <si>
    <t>RA-02A-2280</t>
  </si>
  <si>
    <t>RA-02A-2303]ASM IDLER B-Ring (A+)</t>
  </si>
  <si>
    <t>RA-02A-2303</t>
  </si>
  <si>
    <t>RA-02A-2622]ASM SCREW MOVING Y-AXIS (A+)</t>
  </si>
  <si>
    <t>RA-02A-2622</t>
  </si>
  <si>
    <t>C3-4</t>
    <phoneticPr fontId="1" type="noConversion"/>
  </si>
  <si>
    <t>RA-02A-2710]ASM VERT Y-AXIS MOVING</t>
  </si>
  <si>
    <t>RA-02A-2710</t>
  </si>
  <si>
    <t>U</t>
    <phoneticPr fontId="1" type="noConversion"/>
  </si>
  <si>
    <t>RA-02A-2711]ASM GUIDE Y-AXIS SCREW B</t>
  </si>
  <si>
    <t>RA-02A-2711</t>
  </si>
  <si>
    <t>C2-2</t>
    <phoneticPr fontId="1" type="noConversion"/>
  </si>
  <si>
    <t>RA-02A-2712]ASM Y-AXIS MOT</t>
  </si>
  <si>
    <t>RA-02A-2712</t>
  </si>
  <si>
    <t>RA-02A-2740]ASM VERT TOTAL (A+) (VN)</t>
    <phoneticPr fontId="1" type="noConversion"/>
  </si>
  <si>
    <t>RA-02A-2740</t>
  </si>
  <si>
    <t>P</t>
    <phoneticPr fontId="1" type="noConversion"/>
  </si>
  <si>
    <t>RA-02A-2741]ASM VERT TOTAL (3D) (VN)</t>
  </si>
  <si>
    <t>RA-02A-2741</t>
  </si>
  <si>
    <t>T</t>
    <phoneticPr fontId="1" type="noConversion"/>
  </si>
  <si>
    <t>RA-02A-2742]ASM VERT TOTAL (P) (VN)</t>
  </si>
  <si>
    <t>RA-02A-2742</t>
  </si>
  <si>
    <t>R</t>
    <phoneticPr fontId="1" type="noConversion"/>
  </si>
  <si>
    <t>RA-02A-5000]Bd ASSY'-Prime MCU Bd</t>
    <phoneticPr fontId="1" type="noConversion"/>
  </si>
  <si>
    <t>RA-02A-5000</t>
  </si>
  <si>
    <t>A1-1</t>
    <phoneticPr fontId="1" type="noConversion"/>
  </si>
  <si>
    <t>RA-02A-6002]Bd ASSY'-Main MCU</t>
    <phoneticPr fontId="1" type="noConversion"/>
  </si>
  <si>
    <t>RA-02A-6002</t>
  </si>
  <si>
    <t>A2-3</t>
    <phoneticPr fontId="1" type="noConversion"/>
  </si>
  <si>
    <t>RA-02A-6003]Bd ASSY'-Step Driver</t>
    <phoneticPr fontId="1" type="noConversion"/>
  </si>
  <si>
    <t>RA-02A-6003</t>
  </si>
  <si>
    <t>A1-3</t>
    <phoneticPr fontId="1" type="noConversion"/>
  </si>
  <si>
    <t>RA-02A-6082]INDICATOR_L Bd</t>
  </si>
  <si>
    <t>RA-02A-6082</t>
  </si>
  <si>
    <t>A7-1</t>
    <phoneticPr fontId="1" type="noConversion"/>
  </si>
  <si>
    <t>RA-02A-6083]INDICATOR_R Bd</t>
  </si>
  <si>
    <t>RA-02A-6083</t>
  </si>
  <si>
    <t>RA-02M-0395]PIN VERT POSITION</t>
  </si>
  <si>
    <t>RA-02M-0395</t>
  </si>
  <si>
    <t>C3-1</t>
    <phoneticPr fontId="1" type="noConversion"/>
  </si>
  <si>
    <t>RA-02M-0561]TWO RATIO PULLEY</t>
  </si>
  <si>
    <t>RA-02M-0561</t>
  </si>
  <si>
    <t>3L8-4</t>
  </si>
  <si>
    <t>RA-02M-1701]FRM VERT Bas (P)</t>
  </si>
  <si>
    <t>RA-02M-1701</t>
  </si>
  <si>
    <t>RA-02M-2001] FRAME VERTICAL BASE (A+)</t>
  </si>
  <si>
    <t>RA-02M-2001</t>
  </si>
  <si>
    <t>RA-02M-2004]BLK MOVING LWR (A+)</t>
  </si>
  <si>
    <t>RA-02M-2004</t>
  </si>
  <si>
    <t>RA-02M-2007]BLK MOVING UPPER (A+)</t>
  </si>
  <si>
    <t>RA-02M-2007</t>
  </si>
  <si>
    <t>RA-02M-2015]PIN PULLEY STOPPER (A+)</t>
  </si>
  <si>
    <t>RA-02M-2015</t>
  </si>
  <si>
    <t>RA-02M-2027]BLK X-AXIS MOT (A+)</t>
  </si>
  <si>
    <t>RA-02M-2027</t>
  </si>
  <si>
    <t>D3-1</t>
    <phoneticPr fontId="1" type="noConversion"/>
  </si>
  <si>
    <t>RA-02M-2029]STOPPER ROT LIMIT (A+)</t>
  </si>
  <si>
    <t>RA-02M-2029</t>
  </si>
  <si>
    <t>C3-2</t>
    <phoneticPr fontId="1" type="noConversion"/>
  </si>
  <si>
    <t>RA-02M-2034]BLK LINKER PULLEY BOX (A+)</t>
  </si>
  <si>
    <t>RA-02M-2034</t>
  </si>
  <si>
    <t>3L16-3</t>
  </si>
  <si>
    <t>RA-02M-2047]BLK LINK Y-AXIS (A+)</t>
  </si>
  <si>
    <t>RA-02M-2047</t>
  </si>
  <si>
    <t>RA-02M-2048]PLT LINK Y-AXIS (A+)</t>
  </si>
  <si>
    <t>RA-02M-2048</t>
  </si>
  <si>
    <t>RA-02M-2270]SHAFT TWO RATIO PULLEY (A+)</t>
  </si>
  <si>
    <t>RA-02M-2270</t>
  </si>
  <si>
    <t>3L16-4</t>
  </si>
  <si>
    <t>RA-02M-2271]TWO RATIO PULLEY 15-70 (A+)</t>
  </si>
  <si>
    <t>RA-02M-2271</t>
  </si>
  <si>
    <t>K4-2</t>
    <phoneticPr fontId="1" type="noConversion"/>
  </si>
  <si>
    <t>RA-02M-2273]ROTATING MOT PULLEY T14 (A+)</t>
  </si>
  <si>
    <t>RA-02M-2273</t>
  </si>
  <si>
    <t>3L8-5</t>
  </si>
  <si>
    <t>RA-02M-2307]GUIDE Y-AXIS SCREW A (A+)</t>
  </si>
  <si>
    <t>RA-02M-2307</t>
  </si>
  <si>
    <t>RA-02M-2522]PULLEY ROT MAIN (A+)</t>
  </si>
  <si>
    <t>RA-02M-2522</t>
  </si>
  <si>
    <t>C3-5</t>
    <phoneticPr fontId="1" type="noConversion"/>
  </si>
  <si>
    <t>RA-02M-4011]HOUSING STAGE (MCT)</t>
  </si>
  <si>
    <t>RA-02M-4011</t>
  </si>
  <si>
    <t>RA-02M-4201]FRAME TURN TABLE BAS (MCT)</t>
  </si>
  <si>
    <t>RA-02M-4201</t>
  </si>
  <si>
    <t>RA-02M-4204]PULLEY TURN TABLE Z108 (MCT)</t>
  </si>
  <si>
    <t>RA-02M-4204</t>
  </si>
  <si>
    <t>RA-02M-4206]SHAFT TURN TABLE IDLER (MCT)</t>
  </si>
  <si>
    <t>RA-02M-4206</t>
  </si>
  <si>
    <t>RA-02M-4211]SHAFT TWO RATIO PULLEY (MCT)</t>
  </si>
  <si>
    <t>RA-02M-4211</t>
  </si>
  <si>
    <t>RA-02M-4213]PULLEY TWO RATIO Z36 Z24(MCT</t>
  </si>
  <si>
    <t>RA-02M-4213</t>
  </si>
  <si>
    <t>3M5-2</t>
  </si>
  <si>
    <t>RA-02M-4214]PULLEY MOT Z18 (MCT)</t>
  </si>
  <si>
    <t>RA-02M-4214</t>
  </si>
  <si>
    <t>RA-02M-4218]HOUSING STAGE Bas (MCT)</t>
  </si>
  <si>
    <t>RA-02M-4218</t>
  </si>
  <si>
    <t>RA-02S-0042]COUPLING DISK</t>
  </si>
  <si>
    <t>RA-02S-0042</t>
  </si>
  <si>
    <t>RA-02S-0044]LM SET(MGN9C-2-320)_P</t>
  </si>
  <si>
    <t>RA-02S-0044</t>
  </si>
  <si>
    <t>D3-3</t>
    <phoneticPr fontId="1" type="noConversion"/>
  </si>
  <si>
    <t>RA-02S-0558]ROTATING MOT TIMING BELT(354</t>
  </si>
  <si>
    <t>RA-02S-0558</t>
  </si>
  <si>
    <t>RA-02S-1065]TIMING BELT 699</t>
  </si>
  <si>
    <t>RA-02S-1065</t>
  </si>
  <si>
    <t>RA-02S-1324]LM SET(MGN9C-2-320)_3D</t>
  </si>
  <si>
    <t>RA-02S-1324</t>
  </si>
  <si>
    <t>D3-2</t>
    <phoneticPr fontId="1" type="noConversion"/>
  </si>
  <si>
    <t>RA-02S-2003]LM SET (MGW9C-2-295)</t>
  </si>
  <si>
    <t>RA-02S-2003</t>
  </si>
  <si>
    <t>RA-02S-2005]LM SET (MGW9C-2-204)</t>
  </si>
  <si>
    <t>RA-02S-2005</t>
  </si>
  <si>
    <t>RA-02S-2026]COUPLING</t>
  </si>
  <si>
    <t>RA-02S-2026</t>
  </si>
  <si>
    <t>RA-02S-2272]TIMMING BELT</t>
  </si>
  <si>
    <t>RA-02S-2272</t>
  </si>
  <si>
    <t>RA-02S-2278]TIMMING BELT</t>
  </si>
  <si>
    <t>RA-02S-2278</t>
  </si>
  <si>
    <t>RA-02S-4207]TIMING BELT TURN TABLE A(MCT</t>
  </si>
  <si>
    <t>RA-02S-4207</t>
  </si>
  <si>
    <t>RA-02S-4215]TIMING BELT TURN TABLE B(MCT</t>
  </si>
  <si>
    <t>RA-02S-4215</t>
  </si>
  <si>
    <t>RA-02S-5020]STEP MOT-KH56KM2-90201</t>
  </si>
  <si>
    <t>RA-02S-5020</t>
  </si>
  <si>
    <t>Q</t>
    <phoneticPr fontId="1" type="noConversion"/>
  </si>
  <si>
    <t>RA-02S-5021]PHOtSNSR-EE-SX672A</t>
    <phoneticPr fontId="1" type="noConversion"/>
  </si>
  <si>
    <t>RA-02S-5021</t>
    <phoneticPr fontId="1" type="noConversion"/>
  </si>
  <si>
    <t>A12-3</t>
    <phoneticPr fontId="1" type="noConversion"/>
  </si>
  <si>
    <t>RA-02T-0045]CAS VERT SUB BOT</t>
  </si>
  <si>
    <t>RA-02T-0045</t>
  </si>
  <si>
    <t>RA-02T-2182]CAS VERT UPPER (A+)</t>
    <phoneticPr fontId="1" type="noConversion"/>
  </si>
  <si>
    <t>RA-02T-2182</t>
  </si>
  <si>
    <t>RA-02T-2183]CAS VERT LWR (A+)</t>
    <phoneticPr fontId="1" type="noConversion"/>
  </si>
  <si>
    <t>RA-02T-2183</t>
  </si>
  <si>
    <t>RA-02T-3842]CAS VERT LWR (MG)</t>
  </si>
  <si>
    <t>RA-02T-3842</t>
  </si>
  <si>
    <t>RA-02T-3843]CAS VERT SUB BOT (MG)</t>
  </si>
  <si>
    <t>RA-02T-3843</t>
  </si>
  <si>
    <t>RA-02T-3846]CAS VERT INDICATOR WINDOW(MG</t>
  </si>
  <si>
    <t>RA-02T-3846</t>
  </si>
  <si>
    <t>RA-02T-3850]CAS VERT UPPER L (MG)</t>
  </si>
  <si>
    <t>RA-02T-3850</t>
  </si>
  <si>
    <t>RA-02T-3851]CAS VERT UPPER S (MG)</t>
  </si>
  <si>
    <t>RA-02T-3851</t>
  </si>
  <si>
    <t>RA-02T-3852]CAS WINDOW VERT (MG)</t>
  </si>
  <si>
    <t>RA-02T-3852</t>
  </si>
  <si>
    <t>RA-02V-0009]SLIDER ROT WASHER</t>
  </si>
  <si>
    <t>RA-02V-0009</t>
  </si>
  <si>
    <t>3L8-2</t>
  </si>
  <si>
    <t>RA-02V-0011]HOUSING PULLEY MOT</t>
  </si>
  <si>
    <t>RA-02V-0011</t>
  </si>
  <si>
    <t>RA-02V-0014]STOPPER ROT LIMIT</t>
  </si>
  <si>
    <t>RA-02V-0014</t>
  </si>
  <si>
    <t>PLATE-ROTATOR POSITION B</t>
  </si>
  <si>
    <t>RA-02V-0018</t>
  </si>
  <si>
    <t>F3-3</t>
    <phoneticPr fontId="1" type="noConversion"/>
  </si>
  <si>
    <t>RA-02V-0023]CVR VERT BOT</t>
  </si>
  <si>
    <t>RA-02V-0023</t>
  </si>
  <si>
    <t>C4-1</t>
    <phoneticPr fontId="1" type="noConversion"/>
  </si>
  <si>
    <t>RA-02V-0313]BRK CABLE PROTOR</t>
  </si>
  <si>
    <t>RA-02V-0313</t>
  </si>
  <si>
    <t>D1-2</t>
    <phoneticPr fontId="1" type="noConversion"/>
  </si>
  <si>
    <t>RA-02V-0559]BRK TWO RATIO PULLEY</t>
  </si>
  <si>
    <t>RA-02V-0559</t>
  </si>
  <si>
    <t>3L8-3</t>
  </si>
  <si>
    <t>RA-02V-0565]HLDR STOPER ROT PLT</t>
  </si>
  <si>
    <t>RA-02V-0565</t>
  </si>
  <si>
    <t>RA-02V-1326]BRK VERT FIX</t>
  </si>
  <si>
    <t>RA-02V-1326</t>
  </si>
  <si>
    <t>L1-3</t>
    <phoneticPr fontId="1" type="noConversion"/>
  </si>
  <si>
    <t>RA-02V-1327]BRK FIX Y-AXIS</t>
  </si>
  <si>
    <t>RA-02V-1327</t>
  </si>
  <si>
    <t>RA-02V-1332]PLT SENSING SPACER</t>
  </si>
  <si>
    <t>RA-02V-1332</t>
  </si>
  <si>
    <t>RA-02V-1614]PLT ROT POSITION A (VA)</t>
  </si>
  <si>
    <t>RA-02V-1614</t>
  </si>
  <si>
    <t>RA-02V-1616]SUP-ROT PHOt SNSR A (VA)</t>
  </si>
  <si>
    <t>RA-02V-1616</t>
  </si>
  <si>
    <t>C3-3</t>
    <phoneticPr fontId="1" type="noConversion"/>
  </si>
  <si>
    <t>RA-02V-1617]SUP-ROT PHOt SNSR B (VA)</t>
  </si>
  <si>
    <t>RA-02V-1617</t>
  </si>
  <si>
    <t>RA-02V-1703]BRK FIX Y-AXIS (P)</t>
  </si>
  <si>
    <t>RA-02V-1703</t>
  </si>
  <si>
    <t>RA-02V-1704]CVR VERT UPPER (P)</t>
  </si>
  <si>
    <t>RA-02V-1704</t>
  </si>
  <si>
    <t>3G</t>
  </si>
  <si>
    <t>RA-02V-2002]CVR VERT BOT (A+)</t>
  </si>
  <si>
    <t>RA-02V-2002</t>
  </si>
  <si>
    <t>C4-2</t>
    <phoneticPr fontId="1" type="noConversion"/>
  </si>
  <si>
    <t>RA-02V-2014]PLT ROT POSITION UPPER (A+)</t>
  </si>
  <si>
    <t>RA-02V-2014</t>
  </si>
  <si>
    <t>RA-02V-2016]SLIDER ROT WASHER (A+)</t>
  </si>
  <si>
    <t>RA-02V-2016</t>
  </si>
  <si>
    <t>RA-02V-2017]PLT ROT STOPPER (A+)</t>
  </si>
  <si>
    <t>RA-02V-2017</t>
  </si>
  <si>
    <t>D2-2</t>
    <phoneticPr fontId="1" type="noConversion"/>
  </si>
  <si>
    <t>RA-02V-2018]PLT ROT POSITION LWR (A+)</t>
  </si>
  <si>
    <t>RA-02V-2018</t>
  </si>
  <si>
    <t>RA-02V-2019]HLDR STOPPER ROT PLT (A+)</t>
  </si>
  <si>
    <t>RA-02V-2019</t>
  </si>
  <si>
    <t>RA-02V-2022]CAP B-Ring (A+)</t>
  </si>
  <si>
    <t>RA-02V-2022</t>
  </si>
  <si>
    <t>RA-02V-2028]SUP ROT PHOt SNSR (A+)</t>
  </si>
  <si>
    <t>RA-02V-2028</t>
  </si>
  <si>
    <t>RA-02V-2033]HOUSING PULLEY MOT (A+)</t>
  </si>
  <si>
    <t>RA-02V-2033</t>
  </si>
  <si>
    <t>3G9-4</t>
    <phoneticPr fontId="1" type="noConversion"/>
  </si>
  <si>
    <t>RA-02V-2042]SUP X-AXIS PHOt SNSR (A+)</t>
  </si>
  <si>
    <t>RA-02V-2042</t>
  </si>
  <si>
    <t>RA-02V-2043]PLT PHOt SNSR X-AXIS (A+)</t>
  </si>
  <si>
    <t>RA-02V-2043</t>
  </si>
  <si>
    <t>RA-02V-2049]PLT PHOt SNSR Y-AXIS (A+)</t>
  </si>
  <si>
    <t>RA-02V-2049</t>
  </si>
  <si>
    <t>RA-02V-2054]BRK FIX Y-AXIS (A+)</t>
  </si>
  <si>
    <t>RA-02V-2054</t>
  </si>
  <si>
    <t>RA-02V-2055]CVR VERT UPPER (A+)</t>
  </si>
  <si>
    <t>RA-02V-2055</t>
  </si>
  <si>
    <t>RA-02V-2056]BRK CABLE PROTOR (A+)</t>
  </si>
  <si>
    <t>RA-02V-2056</t>
  </si>
  <si>
    <t>C2-3</t>
    <phoneticPr fontId="1" type="noConversion"/>
  </si>
  <si>
    <t>RA-02V-2281]BRK PHOt SNSR Y (A+)</t>
  </si>
  <si>
    <t>RA-02V-2281</t>
  </si>
  <si>
    <t>RA-02V-2282]CVR VERT UPPER BACK (A+)</t>
  </si>
  <si>
    <t>RA-02V-2282</t>
  </si>
  <si>
    <t>D2-3</t>
    <phoneticPr fontId="1" type="noConversion"/>
  </si>
  <si>
    <t>RA-02V-2283]PLT VERT MAIN MCU (A+)</t>
  </si>
  <si>
    <t>RA-02V-2283</t>
  </si>
  <si>
    <t>D2-1</t>
    <phoneticPr fontId="1" type="noConversion"/>
  </si>
  <si>
    <t>RA-02V-2284]BRK CABLE GUIDE VERT (A+)</t>
  </si>
  <si>
    <t>RA-02V-2284</t>
  </si>
  <si>
    <t>RA-02V-2286]BRK ROTATION FIX AXIS (A+)</t>
  </si>
  <si>
    <t>RA-02V-2286</t>
  </si>
  <si>
    <t>RA-02V-2322]PLT VERT MCU PCB (CT)</t>
  </si>
  <si>
    <t>RA-02V-2322</t>
  </si>
  <si>
    <t>D1-3</t>
    <phoneticPr fontId="1" type="noConversion"/>
  </si>
  <si>
    <t>RA-02V-2324]CVR VERT UPPER (CT)</t>
  </si>
  <si>
    <t>RA-02V-2324</t>
  </si>
  <si>
    <t>RA-02V-3261]PLT VERT MAIN MCU (M+)</t>
  </si>
  <si>
    <t>RA-02V-3261</t>
  </si>
  <si>
    <t>RA-02V-3286]BRK FIX Y-AXIS (ST)</t>
  </si>
  <si>
    <t>RA-02V-3286</t>
  </si>
  <si>
    <t>RA-02V-3841]CVR VERT BOT (MG)</t>
  </si>
  <si>
    <t>RA-02V-3841</t>
  </si>
  <si>
    <t>N1-3</t>
    <phoneticPr fontId="1" type="noConversion"/>
  </si>
  <si>
    <t>RA-02V-3844]BRK WINDOW INDICATOR (MG)</t>
  </si>
  <si>
    <t>RA-02V-3844</t>
  </si>
  <si>
    <t>RA-02V-3847]CVR VERT UPPER (MG)</t>
  </si>
  <si>
    <t>RA-02V-3847</t>
  </si>
  <si>
    <t>N4</t>
    <phoneticPr fontId="1" type="noConversion"/>
  </si>
  <si>
    <t>RA-02V-3848]CVR VERT UPPER BACK (MG)</t>
  </si>
  <si>
    <t>RA-02V-3848</t>
  </si>
  <si>
    <t>RA-02V-3853]BRK VERT BOT (MG)</t>
  </si>
  <si>
    <t>RA-02V-3853</t>
  </si>
  <si>
    <t>RA-02V-3854]BRK INDICATOR GUIDE (MG)</t>
  </si>
  <si>
    <t>RA-02V-3854</t>
  </si>
  <si>
    <t>RA-02V-4203]CVR TURN TABLE Bas (MCT)</t>
  </si>
  <si>
    <t>RA-02V-4203</t>
  </si>
  <si>
    <t>RA-02V-4205]PLT TURN TABLE PHOtSNSR(MCT</t>
  </si>
  <si>
    <t>RA-02V-4205</t>
  </si>
  <si>
    <t>ra-02v-4212</t>
    <phoneticPr fontId="2" type="noConversion"/>
  </si>
  <si>
    <t>RA-02V-4219]PB STAGE Bas (MCT)</t>
  </si>
  <si>
    <t>RA-02V-4219</t>
  </si>
  <si>
    <t>RA-02V-4220]CVR STAGE Bas (MCT)</t>
  </si>
  <si>
    <t>RA-02V-4220</t>
  </si>
  <si>
    <t>RA-02V-4231]PLT TURN TABLE Bas (MCT)</t>
  </si>
  <si>
    <t>RA-02V-4231</t>
  </si>
  <si>
    <t>3D2-2</t>
    <phoneticPr fontId="1" type="noConversion"/>
  </si>
  <si>
    <t>RA-02V-4234]PLT TURN TB STAGE POtS(MCT</t>
  </si>
  <si>
    <t>RA-02V-4234</t>
  </si>
  <si>
    <t>RA-02V-4235]PB TURN TABLE STAGE Bas(MCT</t>
  </si>
  <si>
    <t>RA-02V-4235</t>
  </si>
  <si>
    <t>3M4-1</t>
  </si>
  <si>
    <t>RA-02V-4236]CVR TURN TABLE STAGE Bas(MCT</t>
  </si>
  <si>
    <t>RA-02V-4236</t>
  </si>
  <si>
    <t>RA-02V-4237]BRK PHOtSNSR (MCT)</t>
  </si>
  <si>
    <t>RA-02V-4237</t>
  </si>
  <si>
    <t>RA-03A-0050_I]ASM HORIZONTAL LASER BEAM</t>
  </si>
  <si>
    <t>RA-03A-0050</t>
    <phoneticPr fontId="2" type="noConversion"/>
  </si>
  <si>
    <t>O2</t>
    <phoneticPr fontId="1" type="noConversion"/>
  </si>
  <si>
    <t>RA-03A-0287]ASM LEVER HORIZONTAL LASER</t>
  </si>
  <si>
    <t>RA-03A-0287</t>
  </si>
  <si>
    <t>B1-4</t>
    <phoneticPr fontId="1" type="noConversion"/>
  </si>
  <si>
    <t>RA-03A-0314]ASM CAS CLMN LWR (R)</t>
    <phoneticPr fontId="1" type="noConversion"/>
  </si>
  <si>
    <t>RA-03A-0314</t>
  </si>
  <si>
    <t>RA-03A-0315]ASM CAS CLMN LWR (L)</t>
    <phoneticPr fontId="1" type="noConversion"/>
  </si>
  <si>
    <t>RA-03A-0315</t>
  </si>
  <si>
    <t>ASM COLUMN BODY</t>
  </si>
  <si>
    <t>RA-03A-2713</t>
  </si>
  <si>
    <t>RA-03A-2720]ASM MIRROR CASE MODULE</t>
    <phoneticPr fontId="1" type="noConversion"/>
  </si>
  <si>
    <t>RA-03A-2720</t>
  </si>
  <si>
    <t>RA-03A-6012]Bd ASSY'-ACT Bd(A/A+)</t>
  </si>
  <si>
    <t>RA-03A-6012</t>
  </si>
  <si>
    <t>A7-3</t>
    <phoneticPr fontId="1" type="noConversion"/>
  </si>
  <si>
    <t>RA-03A-6016A]BD ASSY'-AC FUSE BLK</t>
    <phoneticPr fontId="1" type="noConversion"/>
  </si>
  <si>
    <t>RA-03A-6016</t>
  </si>
  <si>
    <t>A3-1</t>
    <phoneticPr fontId="1" type="noConversion"/>
  </si>
  <si>
    <t>RA-03A-6016A]Bd ASSY'-AC FUSE BLK</t>
    <phoneticPr fontId="1" type="noConversion"/>
  </si>
  <si>
    <t>RA-03A-6016A</t>
  </si>
  <si>
    <t>A3-3</t>
    <phoneticPr fontId="1" type="noConversion"/>
  </si>
  <si>
    <t>RA-03A-6046]SMPS CONN B/D</t>
    <phoneticPr fontId="1" type="noConversion"/>
  </si>
  <si>
    <t>RA-03A-6046</t>
    <phoneticPr fontId="1" type="noConversion"/>
  </si>
  <si>
    <t>RA-03M-0063]GUIDE PIN 2</t>
  </si>
  <si>
    <t>RA-03M-0063</t>
  </si>
  <si>
    <t>B1-2</t>
    <phoneticPr fontId="1" type="noConversion"/>
  </si>
  <si>
    <t>RA-03M-1158]BLK 1717SCC IO BOX</t>
  </si>
  <si>
    <t>RA-03M-1158</t>
  </si>
  <si>
    <t>B2-1</t>
    <phoneticPr fontId="1" type="noConversion"/>
  </si>
  <si>
    <t>RA-03M-2061] FRAME COLUMN BODY (A+)</t>
  </si>
  <si>
    <t>RA-03M-2061</t>
  </si>
  <si>
    <t>RA-03M-2064]PLT MIRROR (A+)</t>
  </si>
  <si>
    <t>RA-03M-2064</t>
  </si>
  <si>
    <t>L2-1</t>
    <phoneticPr fontId="1" type="noConversion"/>
  </si>
  <si>
    <t>RA-03M-2068]BRK CLMN REAR CAS LWR (A+)</t>
  </si>
  <si>
    <t>RA-03M-2068</t>
  </si>
  <si>
    <t>B4-3</t>
    <phoneticPr fontId="1" type="noConversion"/>
  </si>
  <si>
    <t>RA-03M-2193]CVR PROT (A+)</t>
  </si>
  <si>
    <t>RA-03M-2193</t>
  </si>
  <si>
    <t>B1-1</t>
    <phoneticPr fontId="1" type="noConversion"/>
  </si>
  <si>
    <t>ASM]COLUMN BODY MODULE</t>
  </si>
  <si>
    <t>RA-03M-2713</t>
  </si>
  <si>
    <t>RA-03M-2714]ASM COLUMN BODY (P)</t>
  </si>
  <si>
    <t>RA-03M-2714</t>
  </si>
  <si>
    <t>RA-03M-3271]BLK 1717SCC IO BOX L (M+)</t>
  </si>
  <si>
    <t>RA-03M-3271</t>
  </si>
  <si>
    <t>RA-03M-3272]BLK 1717SCC IO BOX R (M+)</t>
  </si>
  <si>
    <t>RA-03M-3272</t>
  </si>
  <si>
    <t>RA-03M-3289]PLT MIRROR (ST)</t>
  </si>
  <si>
    <t>RA-03M-3289</t>
  </si>
  <si>
    <t>RA-03M-3866]MIRROR FRONT (MG)</t>
  </si>
  <si>
    <t>RA-03M-3866</t>
  </si>
  <si>
    <t>N2-2</t>
    <phoneticPr fontId="1" type="noConversion"/>
  </si>
  <si>
    <t>RA-03M-4301]BLK MOUNT TUBE TNK A (MCT)</t>
  </si>
  <si>
    <t>RA-03M-4301</t>
  </si>
  <si>
    <t>RA-03M-4302]BLK MOUNT TUBE TNK B (MCT)</t>
  </si>
  <si>
    <t>RA-03M-4302</t>
  </si>
  <si>
    <t>RA-03M-4303]SHAFT BRASS TUBE TNK (MCT)</t>
  </si>
  <si>
    <t>RA-03M-4303</t>
  </si>
  <si>
    <t>RA-03S-0070]IGUS RAIL BLK(NW-01-27)</t>
  </si>
  <si>
    <t>RA-03S-0070</t>
  </si>
  <si>
    <t>RA-03S-0650]160 License Key</t>
    <phoneticPr fontId="1" type="noConversion"/>
  </si>
  <si>
    <t>RA-03S-0650</t>
  </si>
  <si>
    <t>A8-1</t>
    <phoneticPr fontId="1" type="noConversion"/>
  </si>
  <si>
    <t>RA-03S-3858]IGUS RAIL(NA-01-27_150mm)(MG</t>
  </si>
  <si>
    <t>RA-03S-3858</t>
  </si>
  <si>
    <t>RA-03S-5012]EARTH BAR</t>
  </si>
  <si>
    <t>RA-03S-5012</t>
  </si>
  <si>
    <t>3L9-1</t>
  </si>
  <si>
    <t>RA-03S-5013]Mgnet CONTECTOR-LP1K0910BD</t>
    <phoneticPr fontId="1" type="noConversion"/>
  </si>
  <si>
    <t>RA-03S-5013</t>
  </si>
  <si>
    <t>A13-4</t>
    <phoneticPr fontId="1" type="noConversion"/>
  </si>
  <si>
    <t>RA-03S-5176]NOISE FILTER RSHN2016</t>
    <phoneticPr fontId="1" type="noConversion"/>
  </si>
  <si>
    <t>RA-03S-5176</t>
  </si>
  <si>
    <t>A12-4</t>
    <phoneticPr fontId="1" type="noConversion"/>
  </si>
  <si>
    <t>RA-03S-5180A]A2K_LBM01-570</t>
  </si>
  <si>
    <t>RA-03S-5180</t>
  </si>
  <si>
    <t>RA-03S-5181A]A2K_LBM01-970</t>
  </si>
  <si>
    <t>RA-03S-5181</t>
  </si>
  <si>
    <t>H2-1</t>
    <phoneticPr fontId="1" type="noConversion"/>
  </si>
  <si>
    <t>RA-03S-6009A]A2K_LBM01-370</t>
  </si>
  <si>
    <t>RA-03S-6009A</t>
  </si>
  <si>
    <t>RA-03S-6025]LBM-RAY01</t>
  </si>
  <si>
    <t>RA-03S-6025</t>
  </si>
  <si>
    <t>RA-03S-6036]Earth bar 4P</t>
  </si>
  <si>
    <t>RA-03S-6036</t>
  </si>
  <si>
    <t>RA-03S-6037]SMPS TUBE</t>
  </si>
  <si>
    <t>ra-03s-6037</t>
    <phoneticPr fontId="2" type="noConversion"/>
  </si>
  <si>
    <t>3M1-5, 3M7-2</t>
  </si>
  <si>
    <t>RA-03S-6045]SMPS-RPS-200-24V</t>
    <phoneticPr fontId="1" type="noConversion"/>
  </si>
  <si>
    <t>RA-03S-6045</t>
  </si>
  <si>
    <t>RA-03S-6081]Main Switch</t>
  </si>
  <si>
    <t>RA-03S-6081</t>
  </si>
  <si>
    <t>RA-03S-6091]1430 5G Switch (R8R44A)</t>
    <phoneticPr fontId="1" type="noConversion"/>
  </si>
  <si>
    <t>RA-03S-6091</t>
  </si>
  <si>
    <t>A13-3</t>
    <phoneticPr fontId="1" type="noConversion"/>
  </si>
  <si>
    <t>RA-03T-0072]CAS CLMN BODY REAR</t>
    <phoneticPr fontId="1" type="noConversion"/>
  </si>
  <si>
    <t>RA-03T-0072</t>
  </si>
  <si>
    <t>RA-03T-0073]CAS MIRROR</t>
    <phoneticPr fontId="1" type="noConversion"/>
  </si>
  <si>
    <t>RA-03T-0073</t>
  </si>
  <si>
    <t>RA-03T-0076]CAS MIRROR DECO</t>
    <phoneticPr fontId="1" type="noConversion"/>
  </si>
  <si>
    <t>RA-03T-0076</t>
  </si>
  <si>
    <t>RA-03T-1992]HLDR LASER BEAM V</t>
  </si>
  <si>
    <t>RA-03T-1992</t>
  </si>
  <si>
    <t>RA-03T-1993]HLDR LASER BEAM H</t>
  </si>
  <si>
    <t>RA-03T-1993</t>
  </si>
  <si>
    <t>RA-03T-2627_B]CAS RAIL BLK</t>
  </si>
  <si>
    <t>RA-03T-2627</t>
    <phoneticPr fontId="2" type="noConversion"/>
  </si>
  <si>
    <t>3L9-2</t>
  </si>
  <si>
    <t>RA-03T-3865]CAS MIRROR (MG)</t>
  </si>
  <si>
    <t>RA-03T-3865</t>
  </si>
  <si>
    <t>RA-03T-3869]CAS LASER BEAM LEVER (MG)</t>
  </si>
  <si>
    <t>RA-03T-3869</t>
  </si>
  <si>
    <t>RA-03T-3870]CAS CLMN BODY LWR L (MG)</t>
  </si>
  <si>
    <t>RA-03T-3870</t>
  </si>
  <si>
    <t>RA-03T-3871]CAS CLMN BODY LWR R (MG)</t>
  </si>
  <si>
    <t>RA-03T-3871</t>
  </si>
  <si>
    <t>RA-03T-3872]CAS CLMN BODY REAR L (MG)</t>
  </si>
  <si>
    <t>RA-03T-3872</t>
  </si>
  <si>
    <t>RA-03T-3873]CAS CLMN BODY REAR R (MG)</t>
  </si>
  <si>
    <t>RA-03T-3873</t>
  </si>
  <si>
    <t>RA-03V-0054]HLDR CAS CLMN BODY LWR 1</t>
  </si>
  <si>
    <t>RA-03V-0054</t>
  </si>
  <si>
    <t>RA-03V-0055]HLDR CAS CLMN BODY LWR 2</t>
  </si>
  <si>
    <t>RA-03V-0055</t>
  </si>
  <si>
    <t>RA-03V-0056]BRK CAS MIRROR (UPPER)</t>
  </si>
  <si>
    <t>RA-03V-0056</t>
  </si>
  <si>
    <t>RA-03V-0057]BRK-CAS MIRROR (LWR)</t>
  </si>
  <si>
    <t>RA-03V-0057</t>
  </si>
  <si>
    <t>3L9-3</t>
  </si>
  <si>
    <t>RA-03V-0059]BRK CAS CLMN BODY LWR</t>
  </si>
  <si>
    <t>RA-03V-0059</t>
  </si>
  <si>
    <t>3L16-4, 3L9-4</t>
  </si>
  <si>
    <t>3L9-4</t>
  </si>
  <si>
    <t>RA-03V-0062]PLT CLMN BODY (LWR)</t>
  </si>
  <si>
    <t>RA-03V-0062</t>
  </si>
  <si>
    <t>RA-03V-0316]BRK USB HUB FIX</t>
  </si>
  <si>
    <t>RA-03V-0316</t>
  </si>
  <si>
    <t>3G2-1</t>
    <phoneticPr fontId="1" type="noConversion"/>
  </si>
  <si>
    <t>RA-03V-1159]BRK 1717SCC IO BOX</t>
  </si>
  <si>
    <t>RA-03V-1159</t>
  </si>
  <si>
    <t>RA-03V-1213]BRK VARIAN POWER PROT</t>
  </si>
  <si>
    <t>RA-03V-1213</t>
  </si>
  <si>
    <t>RA-03V-1214</t>
  </si>
  <si>
    <t>RA-03V-1341]BRK CLMN REAR CAS LWR</t>
  </si>
  <si>
    <t>RA-03V-1341</t>
  </si>
  <si>
    <t>RA-03V-1639]PLT ELECT COMPONENT (VA)</t>
  </si>
  <si>
    <t>RA-03V-1639</t>
  </si>
  <si>
    <t>RA-03V-1907]BRK FIX HUB (P)</t>
  </si>
  <si>
    <t>RA-03V-1907</t>
  </si>
  <si>
    <t>RA-03V-1908]BRK FIX HUB</t>
  </si>
  <si>
    <t>RA-03V-1908</t>
  </si>
  <si>
    <t>RA-03V-1909]BRK PUSH HUB</t>
  </si>
  <si>
    <t>RA-03V-1909</t>
  </si>
  <si>
    <t>B1-3</t>
    <phoneticPr fontId="1" type="noConversion"/>
  </si>
  <si>
    <t>RA-03V-1991]BRK CENTER LASERBEAM (A+)</t>
  </si>
  <si>
    <t>RA-03V-1991</t>
  </si>
  <si>
    <t>RA-03V-1994]BRK HORIZONTAL LASER BEAM</t>
  </si>
  <si>
    <t>RA-03V-1994</t>
  </si>
  <si>
    <t>RA-03V-1996]BRK CENTER LASER BEAM (P)</t>
  </si>
  <si>
    <t>RA-03V-1996</t>
  </si>
  <si>
    <t>RA-03V-2065]BRK CAS MIRROR (A+)</t>
  </si>
  <si>
    <t>RA-03V-2065</t>
  </si>
  <si>
    <t>3L9-5</t>
  </si>
  <si>
    <t>RA-03V-2066]BRK CLMN REAR CAS UPPER (A+)</t>
  </si>
  <si>
    <t>RA-03V-2066</t>
  </si>
  <si>
    <t>RA-03V-2248]BLK CEPH ARM FIX SUB (A+)</t>
  </si>
  <si>
    <t>RA-03V-2248</t>
  </si>
  <si>
    <t>RA-03V-2285]BRK CABLE GUIDE CLMN (A+)</t>
  </si>
  <si>
    <t>RA-03V-2285</t>
  </si>
  <si>
    <t>BRK PUSH VW 1717 POWER</t>
  </si>
  <si>
    <t>RA-03V-3031</t>
  </si>
  <si>
    <t>RA-03V-3032]BRK VW 1717 IO BOX</t>
  </si>
  <si>
    <t>RA-03V-3032</t>
  </si>
  <si>
    <t>E4-3</t>
    <phoneticPr fontId="1" type="noConversion"/>
  </si>
  <si>
    <t>RA-03V-3273]BRK 1717SCC IO BOX</t>
  </si>
  <si>
    <t>RA-03V-3273</t>
  </si>
  <si>
    <t>RA-03V-3857]BRK CVR HORIZONTAL (MG)</t>
  </si>
  <si>
    <t>RA-03V-3857</t>
  </si>
  <si>
    <t>N1-2</t>
    <phoneticPr fontId="1" type="noConversion"/>
  </si>
  <si>
    <t>RA-03V-3859]BRK HORIZONTAL LASERBEAM(MG</t>
  </si>
  <si>
    <t>RA-03V-3859</t>
  </si>
  <si>
    <t>N3-3</t>
    <phoneticPr fontId="1" type="noConversion"/>
  </si>
  <si>
    <t>RA-03V-3860]BRK CLMN FRONT FIX L (MG)</t>
  </si>
  <si>
    <t>RA-03V-3860</t>
  </si>
  <si>
    <t>RA-03V-3861]BRK CLMN FRONT FIX R (MG)</t>
  </si>
  <si>
    <t>RA-03V-3861</t>
  </si>
  <si>
    <t>RA-03V-3862]PLT SWITCH (MG)</t>
  </si>
  <si>
    <t>RA-03V-3862</t>
  </si>
  <si>
    <t>RA-03V-3863]CVR PROTOR SWITCH (MG)</t>
  </si>
  <si>
    <t>RA-03V-3863</t>
  </si>
  <si>
    <t>RA-03V-3868]BRK LASER BEAM KNOB (MG)</t>
  </si>
  <si>
    <t>RA-03V-3868</t>
  </si>
  <si>
    <t>RA-03V-4307]BRK SHIELD TUBE TNK A (MCT)</t>
  </si>
  <si>
    <t>RA-03V-4307</t>
  </si>
  <si>
    <t>RA-03V-4308]BRK SHIELD TUBE TNK B (MCT)</t>
  </si>
  <si>
    <t>RA-03V-4308</t>
  </si>
  <si>
    <t>RA-03V-4309]CVR PB TUBE TNK Bas (MCT)</t>
  </si>
  <si>
    <t>RA-03V-4309</t>
  </si>
  <si>
    <t>3M2-1</t>
  </si>
  <si>
    <t>RA-03V-4310]PB TUBE TNK Bas A (MCT)</t>
  </si>
  <si>
    <t>RA-03V-4310</t>
  </si>
  <si>
    <t>3M4-2</t>
  </si>
  <si>
    <t>RA-03V-4312]CVR PB TUBE TNK TOP (MCT)</t>
  </si>
  <si>
    <t>RA-03V-4312</t>
  </si>
  <si>
    <t>RA-03V-4313]PB TUBE TNK TOP (MCT)</t>
  </si>
  <si>
    <t>RA-03V-4313</t>
  </si>
  <si>
    <t>RA-03V-4314]FILTER TUBE TNK (MCT)</t>
  </si>
  <si>
    <t>RA-03V-4314</t>
  </si>
  <si>
    <t>RA-03V-4321]BRK FAN TUBE TNK (MCT)</t>
  </si>
  <si>
    <t>RA-03V-4321</t>
  </si>
  <si>
    <t>RA-04A-0369]ASM CAS ARM UPPER</t>
    <phoneticPr fontId="1" type="noConversion"/>
  </si>
  <si>
    <t>RA-04A-0369</t>
  </si>
  <si>
    <t>RA-04A-0899]ASM LCD M101NWT2 R1</t>
  </si>
  <si>
    <t>RA-04A-0899</t>
  </si>
  <si>
    <t>RA-04A-1926]ASM CHINREST SUB</t>
  </si>
  <si>
    <t>RA-04A-1926</t>
  </si>
  <si>
    <t>RA-04A-2296]ASM HANDLE (A+)</t>
  </si>
  <si>
    <t>RA-04A-2296</t>
  </si>
  <si>
    <t>M1</t>
    <phoneticPr fontId="1" type="noConversion"/>
  </si>
  <si>
    <t>RA-04A-2748]ASM ARM SUB (A+) (VN)</t>
  </si>
  <si>
    <t>RA-04A-2748</t>
  </si>
  <si>
    <t>RA-04A-3581]ASM HANDLE (ST)</t>
  </si>
  <si>
    <t>RA-04A-3581</t>
  </si>
  <si>
    <t>RA-04A-4414]ASM SCREW MOVING DET (MCT)</t>
  </si>
  <si>
    <t>RA-04A-4414</t>
  </si>
  <si>
    <t>3D7-3</t>
    <phoneticPr fontId="1" type="noConversion"/>
  </si>
  <si>
    <t>RA-04A-5007]Bd ASSY'-CONNECTOR Bd</t>
    <phoneticPr fontId="1" type="noConversion"/>
  </si>
  <si>
    <t>RA-04A-5007</t>
  </si>
  <si>
    <t>A1-4</t>
    <phoneticPr fontId="1" type="noConversion"/>
  </si>
  <si>
    <t>RA-04A-6035_4]Bd ASSY'-THU Bd</t>
    <phoneticPr fontId="1" type="noConversion"/>
  </si>
  <si>
    <t>RA-04A-6035</t>
    <phoneticPr fontId="2" type="noConversion"/>
  </si>
  <si>
    <t>RA-04M-0136]SLIDER FIX HINGE HEADREST</t>
  </si>
  <si>
    <t>RA-04M-0136</t>
  </si>
  <si>
    <t>B2-2</t>
    <phoneticPr fontId="1" type="noConversion"/>
  </si>
  <si>
    <t>RA-04M-0754]BLK NUT CHINREST(R)</t>
  </si>
  <si>
    <t>RA-04M-0754</t>
  </si>
  <si>
    <t>3G2-3</t>
    <phoneticPr fontId="1" type="noConversion"/>
  </si>
  <si>
    <t>RA-04M-0755]BLK NUT CHINREST(L)</t>
  </si>
  <si>
    <t>RA-04M-0755</t>
  </si>
  <si>
    <t>RA-04M-0756]SIDE BLK CHINREST</t>
  </si>
  <si>
    <t>RA-04M-0756</t>
  </si>
  <si>
    <t>RA-04M-0757]BLK BOLT CHINREST</t>
  </si>
  <si>
    <t>RA-04M-0757</t>
  </si>
  <si>
    <t>RA-04M-0758]BRK CHINREST SIDE KNOB(R-L)</t>
  </si>
  <si>
    <t>RA-04M-0758</t>
  </si>
  <si>
    <t>RA-04M-0759]SHAFT HINGE HEADREST-A</t>
  </si>
  <si>
    <t>RA-04M-0759</t>
  </si>
  <si>
    <t>RA-04M-0760]SHAFT HINGE HEADREST-B</t>
  </si>
  <si>
    <t>RA-04M-0760</t>
  </si>
  <si>
    <t>RA-04M-1338]BLK HEADREST FIX BAR-L</t>
  </si>
  <si>
    <t>RA-04M-1338</t>
  </si>
  <si>
    <t>B1-5</t>
    <phoneticPr fontId="1" type="noConversion"/>
  </si>
  <si>
    <t>RA-04M-1339]BLK HEADREST FIX BAR-R</t>
  </si>
  <si>
    <t>RA-04M-1339</t>
  </si>
  <si>
    <t>RA-04M-1936]BLK NUT CHINREST (R)</t>
  </si>
  <si>
    <t>RA-04M-1936</t>
  </si>
  <si>
    <t>RA-04M-2399]GUIDE BITE BLK A (A+)</t>
  </si>
  <si>
    <t>RA-04M-2399</t>
  </si>
  <si>
    <t>B1-6</t>
    <phoneticPr fontId="1" type="noConversion"/>
  </si>
  <si>
    <t>RA-04M-3121]BLK HEADREST FIX BAR-L (M+)</t>
  </si>
  <si>
    <t>RA-04M-3121</t>
  </si>
  <si>
    <t>B2-4</t>
    <phoneticPr fontId="1" type="noConversion"/>
  </si>
  <si>
    <t>RA-04M-3122]BLK HEADREST FIX BAR-R (M+)</t>
  </si>
  <si>
    <t>RA-04M-3122</t>
  </si>
  <si>
    <t>RA-04M-3125]SHAFT CHINREST (M+)</t>
  </si>
  <si>
    <t>RA-04M-3125</t>
  </si>
  <si>
    <t>RA-04M-3133]BRK CHINREST SIDE KNOB(RL/M+</t>
  </si>
  <si>
    <t>RA-04M-3133</t>
  </si>
  <si>
    <t>RA-04M-3134]HINGE HEADREST GUIDE (M+)</t>
  </si>
  <si>
    <t>RA-04M-3134</t>
  </si>
  <si>
    <t>B2-5</t>
    <phoneticPr fontId="1" type="noConversion"/>
  </si>
  <si>
    <t>RA-04M-3135]SHAFT HINGE HEADREST-B (M+)</t>
  </si>
  <si>
    <t>RA-04M-3135</t>
  </si>
  <si>
    <t>RA-04M-3136]BLK LINK CHINREST L (M+)</t>
  </si>
  <si>
    <t>RA-04M-3136</t>
  </si>
  <si>
    <t>RA-04M-3137]BLK LINK CHINREST R (M+)</t>
  </si>
  <si>
    <t>RA-04M-3137</t>
  </si>
  <si>
    <t>RA-04M-3138]SCREW CHINREST L (M+)</t>
  </si>
  <si>
    <t>RA-04M-3138</t>
  </si>
  <si>
    <t>RA-04M-3139]SCREW CHINREST R (M+)</t>
  </si>
  <si>
    <t>RA-04M-3139</t>
  </si>
  <si>
    <t>RA-04M-3140]BLK NUT CHINREST L (M+)</t>
  </si>
  <si>
    <t>RA-04M-3140</t>
  </si>
  <si>
    <t>RA-04M-3141]BLK NUT CHINREST R (M+)</t>
  </si>
  <si>
    <t>RA-04M-3141</t>
  </si>
  <si>
    <t>RA-04M-3142]BLK GUIDE SHAFT (M+)</t>
  </si>
  <si>
    <t>RA-04M-3142</t>
  </si>
  <si>
    <t>RA-04M-3143]SHAFT GUIDE BLK (M+)</t>
  </si>
  <si>
    <t>RA-04M-3143</t>
  </si>
  <si>
    <t>RA-04M-3151]BLK CHINREST SCREW Mdl (M+)</t>
  </si>
  <si>
    <t>RA-04M-3151</t>
  </si>
  <si>
    <t>RA-04M-3154]BLK CHINREST LINK (M+)</t>
  </si>
  <si>
    <t>RA-04M-3154</t>
  </si>
  <si>
    <t>RA-04M-3155]SCREW NUT MOVING CHINREST(M+</t>
  </si>
  <si>
    <t>RA-04M-3155</t>
  </si>
  <si>
    <t>B2-6</t>
    <phoneticPr fontId="1" type="noConversion"/>
  </si>
  <si>
    <t>RA-04M-3157]SCREW MOVING CHINREST (M+)</t>
  </si>
  <si>
    <t>RA-04M-3157</t>
  </si>
  <si>
    <t>RA-04M-3161]ROTATING SCREW PULLEY T14(M+</t>
  </si>
  <si>
    <t>RA-04M-3161</t>
  </si>
  <si>
    <t>RA-04M-3162]ROTATING MOT PULLEY T14 (M+)</t>
  </si>
  <si>
    <t>RA-04M-3162</t>
  </si>
  <si>
    <t>RA-04M-3166]SHAFT IDLER (M+)</t>
  </si>
  <si>
    <t>RA-04M-3166</t>
  </si>
  <si>
    <t>RA-04M-3817]ARM MONITOR (MG)</t>
  </si>
  <si>
    <t>RA-04M-3817</t>
  </si>
  <si>
    <t>N1-1</t>
    <phoneticPr fontId="1" type="noConversion"/>
  </si>
  <si>
    <t>RA-04M-3897]PLT DECO KNOB CHINREST (MG)</t>
  </si>
  <si>
    <t>RA-04M-3897</t>
  </si>
  <si>
    <t>RA-04M-4401]BLK DET FIX (MCT)</t>
  </si>
  <si>
    <t>RA-04M-4401</t>
  </si>
  <si>
    <t>RA-04M-4402]BLK MOUNT DET Bas (MCT)</t>
  </si>
  <si>
    <t>RA-04M-4402</t>
  </si>
  <si>
    <t>RA-04M-4403]BLK MOUNT DET (MCT)</t>
  </si>
  <si>
    <t>RA-04M-4403</t>
  </si>
  <si>
    <t>RA-04M-4404]PLT DET Bas (MCT)</t>
  </si>
  <si>
    <t>RA-04M-4404</t>
  </si>
  <si>
    <t>3M6-3</t>
  </si>
  <si>
    <t>RA-04M-4406]BLK DET LINKER (MCT)</t>
  </si>
  <si>
    <t>RA-04M-4406</t>
  </si>
  <si>
    <t>RA-04M-4411]BLK MOT HOUSING (MCT)</t>
  </si>
  <si>
    <t>RA-04M-4411</t>
  </si>
  <si>
    <t>RA-04M-4417]SHAFT ROT CIRCLE A (MCT)</t>
  </si>
  <si>
    <t>RA-04M-4417</t>
  </si>
  <si>
    <t>RA-04M-4418]SHAFT ROT CIRCLE B (MCT)</t>
  </si>
  <si>
    <t>RA-04M-4418</t>
  </si>
  <si>
    <t>RA-04M-4419]PULLEY ROTATING MOT (MCT)</t>
  </si>
  <si>
    <t>RA-04M-4419</t>
  </si>
  <si>
    <t>RA-04M-4421]BLK ROT Mdl (MCT)</t>
  </si>
  <si>
    <t>RA-04M-4421</t>
  </si>
  <si>
    <t>RA-04M-4423]PULLEY ROT Mdl Z63 (MCT)</t>
  </si>
  <si>
    <t>RA-04M-4423</t>
  </si>
  <si>
    <t>3M5-3</t>
  </si>
  <si>
    <t>RA-04M-4424]BLK ROT STOPPER (MCT)</t>
  </si>
  <si>
    <t>RA-04M-4424</t>
  </si>
  <si>
    <t>RA-04M-4428]BLK DET Bas (MCT)</t>
  </si>
  <si>
    <t>RA-04M-4428</t>
  </si>
  <si>
    <t>RA-04M-4429]BLK ROT Mdl BOT (MCT)</t>
  </si>
  <si>
    <t>RA-04M-4429</t>
  </si>
  <si>
    <t>RA-04S-0121]HINGE SET</t>
  </si>
  <si>
    <t>RA-04S-0121</t>
  </si>
  <si>
    <t>RA-04S-0977]SPRING CEPH AND ARM</t>
    <phoneticPr fontId="1" type="noConversion"/>
  </si>
  <si>
    <t>RA-04S-0977</t>
  </si>
  <si>
    <t>RA-04S-3129]PANEL BLK CHINREST (M+)</t>
  </si>
  <si>
    <t>RA-04S-3129</t>
  </si>
  <si>
    <t>RA-04S-3153]LM BLK MGW7C (M+)</t>
  </si>
  <si>
    <t>RA-04S-3153</t>
  </si>
  <si>
    <t>RA-04S-3163]TIMING BELT S3M 174 (M+)</t>
  </si>
  <si>
    <t>RA-04S-3163</t>
  </si>
  <si>
    <t>RA-04S-4407]LM RAIL SET MGN9C-150L (MCT)</t>
  </si>
  <si>
    <t>RA-04S-4407</t>
  </si>
  <si>
    <t>RA-04S-4427]TIMING BELT ROT Mdl (MCT)</t>
  </si>
  <si>
    <t>RA-04S-4427</t>
  </si>
  <si>
    <t>RA-04S-5016]MAIN S/W_R210-1-C5L-BG1NWC</t>
    <phoneticPr fontId="1" type="noConversion"/>
  </si>
  <si>
    <t>RA-04S-5016</t>
  </si>
  <si>
    <t>RA-04S-5017]EMERGENCY S/W-K16-811</t>
  </si>
  <si>
    <t>RA-04S-5017</t>
  </si>
  <si>
    <t>RA-04S-5174]THU Cable Ass'y</t>
  </si>
  <si>
    <t>RA-04S-5174</t>
  </si>
  <si>
    <t>RA-04S-5179]SMPS-RPS-75-24</t>
    <phoneticPr fontId="1" type="noConversion"/>
  </si>
  <si>
    <t>RA-04S-5179</t>
  </si>
  <si>
    <t>A12-2</t>
    <phoneticPr fontId="1" type="noConversion"/>
  </si>
  <si>
    <t>RA-04S-6015]TFT-LCD</t>
  </si>
  <si>
    <t>RA-04S-6015</t>
  </si>
  <si>
    <t>3F8</t>
  </si>
  <si>
    <t>RA-04T-0113]CAS ARM BOT</t>
    <phoneticPr fontId="1" type="noConversion"/>
  </si>
  <si>
    <t>RA-04T-0113</t>
  </si>
  <si>
    <t>RA-04T-0141]DECO CHINREST SIDE KNOB(R-L)</t>
  </si>
  <si>
    <t>RA-04T-0141</t>
  </si>
  <si>
    <t>RA-04T-0142]KNOB CHINREST SIDE(R-L)</t>
  </si>
  <si>
    <t>RA-04T-0142</t>
  </si>
  <si>
    <t>RA-04T-0143]CAS CHINREST UPPER</t>
  </si>
  <si>
    <t>RA-04T-0143</t>
  </si>
  <si>
    <t>RA-04T-0144]CAS CHINREST BOT</t>
  </si>
  <si>
    <t>RA-04T-0144</t>
  </si>
  <si>
    <t>RA-04T-1706]CAS MONITOR REAR</t>
  </si>
  <si>
    <t>RA-04T-1706</t>
  </si>
  <si>
    <t>RA-04T-1707]CAS MONITOR DECO</t>
  </si>
  <si>
    <t>RA-04T-1707</t>
  </si>
  <si>
    <t>RA-04T-1932]HINGE HEADREST GUIDE</t>
  </si>
  <si>
    <t>RA-04T-1932</t>
  </si>
  <si>
    <t>RA-04T-2524]CAS CHINREST UPPER (A+)</t>
  </si>
  <si>
    <t>RA-04T-2524</t>
  </si>
  <si>
    <t>RA-04T-3123]CAS CHINREST UPPER (M+)</t>
  </si>
  <si>
    <t>RA-04T-3123</t>
  </si>
  <si>
    <t>RA-04T-3126]BLK CHINREST (M+)</t>
  </si>
  <si>
    <t>RA-04T-3126</t>
  </si>
  <si>
    <t>RA-04T-3128]CAS CHINREST BOT (M+)</t>
  </si>
  <si>
    <t>RA-04T-3128</t>
  </si>
  <si>
    <t>RA-04T-3437]CAS MONITOR FRONT (ST)</t>
  </si>
  <si>
    <t>RA-04T-3437</t>
  </si>
  <si>
    <t>RA-04T-3812]CAS MONITOR FRONT (MG)</t>
  </si>
  <si>
    <t>RA-04T-3812</t>
  </si>
  <si>
    <t>RA-04T-3814]CAS MONITOR REAR (MG)</t>
  </si>
  <si>
    <t>RA-04T-3814</t>
  </si>
  <si>
    <t>RA-04T-3816]CAS MONITOR DECO (MG)</t>
  </si>
  <si>
    <t>RA-04T-3816</t>
  </si>
  <si>
    <t>RA-04T-3883]CAS ARM BOT (MG)</t>
  </si>
  <si>
    <t>RA-04T-3883</t>
  </si>
  <si>
    <t>RA-04T-3885]CAS HANDLE FRONT (MG)</t>
  </si>
  <si>
    <t>RA-04T-3885</t>
  </si>
  <si>
    <t>RA-04T-3888]CAS HANDLE REAR (MG)</t>
  </si>
  <si>
    <t>RA-04T-3888</t>
  </si>
  <si>
    <t>RA-04T-3891]KNOB CHINREST SIDE(R-L) (MG)</t>
  </si>
  <si>
    <t>RA-04T-3891</t>
  </si>
  <si>
    <t>RA-04T-3892]DECO CHINREST SIDE KNOB(RLMG</t>
  </si>
  <si>
    <t>RA-04T-3892</t>
  </si>
  <si>
    <t>RA-04T-3893]CAS CHINREST UPPER (MG)</t>
  </si>
  <si>
    <t>RA-04T-3893</t>
  </si>
  <si>
    <t>RA-04T-3894]CAS CHINREST BOT (MG)</t>
  </si>
  <si>
    <t>RA-04T-3894</t>
  </si>
  <si>
    <t>RA-04T-3896]CAS ARM UPPER (MG)</t>
  </si>
  <si>
    <t>RA-04T-3896</t>
  </si>
  <si>
    <t>RA-04V-0110]BRK CAS ARM BOT (REAR)</t>
  </si>
  <si>
    <t>RA-04V-0110</t>
  </si>
  <si>
    <t>RA-04V-0117] ARM MONITOR</t>
  </si>
  <si>
    <t>RA-04V-0117</t>
  </si>
  <si>
    <t>H1</t>
    <phoneticPr fontId="1" type="noConversion"/>
  </si>
  <si>
    <t>RA-04V-0118]BRK MONITOR HINGE</t>
  </si>
  <si>
    <t>RA-04V-0118</t>
  </si>
  <si>
    <t>RA-04V-0752]SIDE BLK BRK</t>
  </si>
  <si>
    <t>RA-04V-0752</t>
  </si>
  <si>
    <t>RA-04V-1108]BRK ARM RIGID R</t>
  </si>
  <si>
    <t>RA-04V-1108</t>
  </si>
  <si>
    <t>RA-04V-1109]BRK ARM RIGID L</t>
  </si>
  <si>
    <t>RA-04V-1109</t>
  </si>
  <si>
    <t>RA-04V-1708]CVR THU Bd</t>
  </si>
  <si>
    <t>RA-04V-1708</t>
  </si>
  <si>
    <t>B3-3</t>
    <phoneticPr fontId="1" type="noConversion"/>
  </si>
  <si>
    <t>RA-04V-1709]BRK THU Bd</t>
  </si>
  <si>
    <t>RA-04V-1709</t>
  </si>
  <si>
    <t>B3-1</t>
    <phoneticPr fontId="1" type="noConversion"/>
  </si>
  <si>
    <t>RA-04V-1930]BRK NUT CHINREST (L)</t>
  </si>
  <si>
    <t>RA-04V-1930</t>
  </si>
  <si>
    <t>K1-3</t>
    <phoneticPr fontId="1" type="noConversion"/>
  </si>
  <si>
    <t>RA-04V-1934]BRK BITE BLK GUIDE (A+)</t>
  </si>
  <si>
    <t>RA-04V-1934</t>
  </si>
  <si>
    <t>B1-7</t>
    <phoneticPr fontId="1" type="noConversion"/>
  </si>
  <si>
    <t>RA-04V-2078]PLT SWITCH (A+)</t>
  </si>
  <si>
    <t>RA-04V-2078</t>
  </si>
  <si>
    <t>RA-04V-2294]FRM ARM BAS (A+)</t>
  </si>
  <si>
    <t>RA-04V-2294</t>
  </si>
  <si>
    <t>3C4</t>
  </si>
  <si>
    <t>RA-04V-2295]BRK FIX CHINREST (A+)</t>
  </si>
  <si>
    <t>RA-04V-2295</t>
  </si>
  <si>
    <t>3C5, 3L9-5</t>
  </si>
  <si>
    <t>RA-04V-3111]BRK FIX CHINREST (M+)</t>
  </si>
  <si>
    <t>RA-04V-3111</t>
  </si>
  <si>
    <t>RA-04V-3127]PLT CHINREST (M+)</t>
  </si>
  <si>
    <t>RA-04V-3127</t>
  </si>
  <si>
    <t>RA-04V-3131]FRM CHINREST Bas L (M+)</t>
  </si>
  <si>
    <t>RA-04V-3131</t>
  </si>
  <si>
    <t>B2-7</t>
    <phoneticPr fontId="1" type="noConversion"/>
  </si>
  <si>
    <t>RA-04V-3132]FRM CHINREST Bas R (M+)</t>
  </si>
  <si>
    <t>RA-04V-3132</t>
  </si>
  <si>
    <t>RA-04V-3156]BRK PHOt SNSR (M+)</t>
  </si>
  <si>
    <t>RA-04V-3156</t>
  </si>
  <si>
    <t>RA-04V-3158]BRK CHINREST MICRO SW (M+)</t>
  </si>
  <si>
    <t>RA-04V-3158</t>
  </si>
  <si>
    <t>RA-04V-3159]BRK MOUNT CHINREST (M+)</t>
  </si>
  <si>
    <t>RA-04V-3159</t>
  </si>
  <si>
    <t>RA-04V-3160]BRK Bas CHINREST (M+)</t>
  </si>
  <si>
    <t>RA-04V-3160</t>
  </si>
  <si>
    <t>RA-04V-3815]BRK THU CABLE GUIDE (MG)</t>
  </si>
  <si>
    <t>RA-04V-3815</t>
  </si>
  <si>
    <t>RA-04V-3882]BRK THU ARM (MG)</t>
  </si>
  <si>
    <t>RA-04V-3882</t>
  </si>
  <si>
    <t>RA-04V-3886</t>
    <phoneticPr fontId="1" type="noConversion"/>
  </si>
  <si>
    <t>RA-04V-3887</t>
    <phoneticPr fontId="1" type="noConversion"/>
  </si>
  <si>
    <t>RA-04V-4408]BRK DET PHOt SNSR (MCT)</t>
  </si>
  <si>
    <t>RA-04V-4408</t>
  </si>
  <si>
    <t>RA-04V-4409]PLT FIX DET (MCT)</t>
  </si>
  <si>
    <t>RA-04V-4409</t>
  </si>
  <si>
    <t>RA-04V-4410]PLT ROT STOPPER (MCT)</t>
  </si>
  <si>
    <t>RA-04V-4410</t>
  </si>
  <si>
    <t>RA-04V-4413]PLT POWER Bd (MCT)</t>
  </si>
  <si>
    <t>RA-04V-4413</t>
  </si>
  <si>
    <t>RA-04V-4416]BRK FAN DET (MCT)</t>
  </si>
  <si>
    <t>RA-04V-4416</t>
  </si>
  <si>
    <t>RA-04V-4422]PLT ROT Mdl (MCT)</t>
  </si>
  <si>
    <t>RA-04V-4422</t>
  </si>
  <si>
    <t>RA-04V-4425]PLT ROT PHOt SNSR (MCT)</t>
  </si>
  <si>
    <t>RA-04V-4425</t>
  </si>
  <si>
    <t>RA-04V-4426]BRK ROT MOT (MCT)</t>
  </si>
  <si>
    <t>RA-04V-4426</t>
  </si>
  <si>
    <t>RA-05A-0208]ASM CAS ROT TOP</t>
    <phoneticPr fontId="1" type="noConversion"/>
  </si>
  <si>
    <t>RA-05A-0208</t>
  </si>
  <si>
    <t>RA-05A-2655]ASM CAS ROT BOT LEFT</t>
    <phoneticPr fontId="1" type="noConversion"/>
  </si>
  <si>
    <t>RA-05A-2655</t>
  </si>
  <si>
    <t>RA-05A-2656]ASM CAS ROT BOT RIGHT</t>
    <phoneticPr fontId="1" type="noConversion"/>
  </si>
  <si>
    <t>RA-05A-2656</t>
  </si>
  <si>
    <t>ASM ROTATOR</t>
  </si>
  <si>
    <t>RA-05A-2721</t>
  </si>
  <si>
    <t>ASM FRM ROT BAS(P)</t>
    <phoneticPr fontId="1" type="noConversion"/>
  </si>
  <si>
    <t>RA-05A-2722</t>
    <phoneticPr fontId="1" type="noConversion"/>
  </si>
  <si>
    <t>RA-05A-6004]Bd ASSY'-Aux MCU</t>
    <phoneticPr fontId="1" type="noConversion"/>
  </si>
  <si>
    <t>RA-05A-6004</t>
  </si>
  <si>
    <t>A2-2</t>
    <phoneticPr fontId="1" type="noConversion"/>
  </si>
  <si>
    <t>RA-05A-6112</t>
    <phoneticPr fontId="1" type="noConversion"/>
  </si>
  <si>
    <t>A1-2</t>
    <phoneticPr fontId="1" type="noConversion"/>
  </si>
  <si>
    <t>RA-05H-5055]HFG CONTROL CABLE</t>
  </si>
  <si>
    <t>RA-05H-5055</t>
  </si>
  <si>
    <t>?</t>
    <phoneticPr fontId="1" type="noConversion"/>
  </si>
  <si>
    <t>RA-05M-0194]FRM ROT Bas</t>
  </si>
  <si>
    <t>RA-05M-0194</t>
  </si>
  <si>
    <t>RA-05M-2498]FRM ROT WEIGHT (A+ ODD)</t>
  </si>
  <si>
    <t>RA-05M-2498</t>
  </si>
  <si>
    <t>RA-05M-2907]FRM ROT WEIGHT</t>
  </si>
  <si>
    <t>RA-05M-2907</t>
  </si>
  <si>
    <t>O4,T</t>
    <phoneticPr fontId="1" type="noConversion"/>
  </si>
  <si>
    <t>RA-05M-3359]FRM ROT WEIGHT (ST)</t>
  </si>
  <si>
    <t>RA-05M-3359</t>
  </si>
  <si>
    <t>RA-05M-3801]FRM ROT Bas (MG)</t>
  </si>
  <si>
    <t>RA-05M-4012]SHAFT SHEILD CAP (MCT)</t>
  </si>
  <si>
    <t>RA-05M-4012</t>
  </si>
  <si>
    <t>RA-05T-0187]CAS ROT LED REFLECTION</t>
  </si>
  <si>
    <t>RA-05T-0187</t>
  </si>
  <si>
    <t>3RA-렉3 옆,3F-CENTER1</t>
  </si>
  <si>
    <t>RA-05T-0207]CAS ROT BOT DECO</t>
  </si>
  <si>
    <t>RA-05T-0207</t>
  </si>
  <si>
    <t>RA-05T-0210]CAS ROT TOP SUB</t>
  </si>
  <si>
    <t>RA-05T-0210</t>
  </si>
  <si>
    <t>RA-05T-0366]PLT LED SMOG</t>
  </si>
  <si>
    <t>RA-05T-0366</t>
  </si>
  <si>
    <t>3F-CENTER1</t>
  </si>
  <si>
    <t>RA-05T-3926]CAS ROT BOT (MG)</t>
  </si>
  <si>
    <t>RA-05T-3926</t>
  </si>
  <si>
    <t>RA-05T-3927]CAS ROT TOP (MG)</t>
  </si>
  <si>
    <t>RA-05T-3927</t>
  </si>
  <si>
    <t>RA-05T-3928]CAS ROT TOP ACCESS (MG)</t>
  </si>
  <si>
    <t>RA-05T-3928</t>
  </si>
  <si>
    <t>RA-05V-0186]BRK CAS ROT TOP</t>
  </si>
  <si>
    <t>RA-05V-0186</t>
  </si>
  <si>
    <t>RA-05V-0190]BRK CAS ROT BRIDGE B</t>
  </si>
  <si>
    <t>RA-05V-0190</t>
  </si>
  <si>
    <t>RA-05V-0191]BRK ROT CAS BRIDGE A</t>
  </si>
  <si>
    <t>RA-05V-0191</t>
  </si>
  <si>
    <t>RA-05V-0192]HLDR CAS ROT TOP</t>
  </si>
  <si>
    <t>RA-05V-0192</t>
  </si>
  <si>
    <t>RA-05V-0199]BRK PXD-200CT DRV PCB R</t>
  </si>
  <si>
    <t>RA-05V-0199</t>
  </si>
  <si>
    <t>H2-2</t>
    <phoneticPr fontId="1" type="noConversion"/>
  </si>
  <si>
    <t>RA-05V-0201]BRK CAS ROT BOT</t>
  </si>
  <si>
    <t>RA-05V-0201</t>
  </si>
  <si>
    <t>J4-1</t>
    <phoneticPr fontId="1" type="noConversion"/>
  </si>
  <si>
    <t>RA-05V-0297]BRK PXD-200CT DRV PCB L</t>
  </si>
  <si>
    <t>RA-05V-0297</t>
  </si>
  <si>
    <t>RA-05V-0303]CVR PRIME MCU Bas</t>
  </si>
  <si>
    <t>RA-05V-0303</t>
  </si>
  <si>
    <t>J4-3</t>
    <phoneticPr fontId="1" type="noConversion"/>
  </si>
  <si>
    <t>RA-05V-0324]BRK ROT TOP</t>
  </si>
  <si>
    <t>RA-05V-0324</t>
  </si>
  <si>
    <t>RA-05V-0442]PLT SIDE RIGID FRM ROT Bas(R</t>
  </si>
  <si>
    <t>RA-05V-0442</t>
  </si>
  <si>
    <t>RA-05V-0443]PLT SIDE RIGID FRM ROT Bas(L</t>
  </si>
  <si>
    <t>RA-05V-0443</t>
  </si>
  <si>
    <t>RA-05V-0451]RING ROT CABLE PROT</t>
  </si>
  <si>
    <t>RA-05V-0451</t>
  </si>
  <si>
    <t>RA-05V-0501]BRK ROT CAS-A</t>
  </si>
  <si>
    <t>RA-05V-0501</t>
  </si>
  <si>
    <t>RA-05V-0502]BRK ROT CAS-B</t>
  </si>
  <si>
    <t>RA-05V-0502</t>
  </si>
  <si>
    <t>RA-05V-0513]BRK LED PCB</t>
  </si>
  <si>
    <t>RA-05V-0513</t>
  </si>
  <si>
    <t>J4-2</t>
    <phoneticPr fontId="1" type="noConversion"/>
  </si>
  <si>
    <t>RA-05V-0767]CVR PRIME MCU</t>
  </si>
  <si>
    <t>RA-05V-0767</t>
  </si>
  <si>
    <t>RA-05V-0868]PLT SIDE RIGID FRM ROT Bas</t>
  </si>
  <si>
    <t>RA-05V-0868</t>
  </si>
  <si>
    <t>RA-05V-1684]CVR PRIME MCU</t>
  </si>
  <si>
    <t>RA-05V-1684</t>
  </si>
  <si>
    <t>RA-05V-2559]CVR SUB MCU</t>
  </si>
  <si>
    <t>RA-05V-2559</t>
  </si>
  <si>
    <t>RA-05V-2649]BRK FRM CLAMP</t>
  </si>
  <si>
    <t>RA-05V-2649</t>
  </si>
  <si>
    <t>RA-05V-2651]BRK HARNESS CLAMP</t>
  </si>
  <si>
    <t>RA-05V-2651</t>
  </si>
  <si>
    <t>RA-05V-2653]PLT SIDE RIGID FRM ROT Bas</t>
  </si>
  <si>
    <t>RA-05V-2653</t>
  </si>
  <si>
    <t>RA-05V-2654]BRK CAS ROT BOT</t>
  </si>
  <si>
    <t>RA-05V-2654</t>
  </si>
  <si>
    <t>RA-05V-3292</t>
  </si>
  <si>
    <t>RA-05V-3802]PLT ROT BOT CAS (MG)</t>
  </si>
  <si>
    <t>RA-05V-3802</t>
  </si>
  <si>
    <t>RA-05V-3803]BRK CAS ROT L-R (MG)</t>
  </si>
  <si>
    <t>RA-05V-3803</t>
  </si>
  <si>
    <t>RA-05V-3804]BRK ROT CAS A (MG)</t>
  </si>
  <si>
    <t>RA-05V-3804</t>
  </si>
  <si>
    <t>RA-05V-3921]PLT ROT BOT CAS (MG)</t>
  </si>
  <si>
    <t>RA-05V-3921</t>
  </si>
  <si>
    <t>RA-05V-3922]BRK ROT BOT DECO (MG)</t>
  </si>
  <si>
    <t>RA-05V-3922</t>
  </si>
  <si>
    <t>RA-05V-3923]BRK CAS ROT L-R (MG)</t>
  </si>
  <si>
    <t>RA-05V-3923</t>
  </si>
  <si>
    <t>RA-05V-3924]BRK ROT CAS A (MG)</t>
  </si>
  <si>
    <t>RA-05V-3924</t>
  </si>
  <si>
    <t>RA-05V-3925]BRK ROT CAS B (MG)</t>
  </si>
  <si>
    <t>RA-05V-3925</t>
  </si>
  <si>
    <t>N2-4</t>
    <phoneticPr fontId="1" type="noConversion"/>
  </si>
  <si>
    <t>RA-05V-4001]PB DET Bas (MCT)</t>
  </si>
  <si>
    <t>RA-05V-4001</t>
  </si>
  <si>
    <t>3M2-3</t>
  </si>
  <si>
    <t>RA-05V-4003]PB TUBE TNK TOP (MCT)</t>
  </si>
  <si>
    <t>RA-05V-4003</t>
  </si>
  <si>
    <t>RA-05V-4004]CVR TUBE TNK TOP (MCT)</t>
  </si>
  <si>
    <t>RA-05V-4004</t>
  </si>
  <si>
    <t>RA-05V-4016]CAS SHIELD ROOM (MCT)</t>
  </si>
  <si>
    <t>RA-05V-4016</t>
  </si>
  <si>
    <t>RA-05V-4017]PB CAS SHIELD ROOM A (MCT)</t>
  </si>
  <si>
    <t>RA-05V-4017</t>
  </si>
  <si>
    <t>RA-05V-4018]PB CAS SHIELD ROOM B (MCT)</t>
  </si>
  <si>
    <t>RA-05V-4018</t>
  </si>
  <si>
    <t>RA-05V-4019]PB CAS SHIELD ROOM C (MCT)</t>
  </si>
  <si>
    <t>RA-05V-4019</t>
  </si>
  <si>
    <t>RA-05V-4022]BRK SHIELD (MCT)</t>
  </si>
  <si>
    <t>RA-05V-4022</t>
  </si>
  <si>
    <t>RA-05V-4501]FRM SHIELD ROOM (MCT)</t>
  </si>
  <si>
    <t>RA-05V-4501</t>
  </si>
  <si>
    <t>3M3-1</t>
  </si>
  <si>
    <t>RA-05V-4502]PB LWR SHIELD ROOM (MCT)</t>
  </si>
  <si>
    <t>RA-05V-4502</t>
  </si>
  <si>
    <t>RA-05V-4503]PB SHIELD ROOM A (MCT)</t>
  </si>
  <si>
    <t>RA-05V-4503</t>
  </si>
  <si>
    <t>RA-05V-4504]PB SHIELD ROOM B (MCT)</t>
  </si>
  <si>
    <t>RA-05V-4504</t>
  </si>
  <si>
    <t>RA-05V-4505]PB SHIELD ROOM C (MCT)</t>
  </si>
  <si>
    <t>RA-05V-4505</t>
  </si>
  <si>
    <t>3M3-3</t>
  </si>
  <si>
    <t>RA-05V-4506]PB SHIELD ROOM D (MCT)</t>
  </si>
  <si>
    <t>RA-05V-4506</t>
  </si>
  <si>
    <t>RA-05V-4507]PB SHIELD ROOM E (MCT)</t>
  </si>
  <si>
    <t>RA-05V-4507</t>
  </si>
  <si>
    <t>RA-05V-4508]BRK SHIELD ROOM HLDR (MCT)</t>
  </si>
  <si>
    <t>RA-05V-4508</t>
  </si>
  <si>
    <t>RA-05V-4511]FRM SHIELD DET BOT (MCT)</t>
  </si>
  <si>
    <t>RA-05V-4511</t>
  </si>
  <si>
    <t>RA-05V-4512]BRK SHIELD DET BOT (MCT)</t>
  </si>
  <si>
    <t>RA-05V-4512</t>
  </si>
  <si>
    <t>RA-05V-4513]PB SHIELD DET BOT A (MCT)</t>
  </si>
  <si>
    <t>RA-05V-4513</t>
  </si>
  <si>
    <t>RA-05V-4514]PB SHIELD DET BOT B (MCT)</t>
  </si>
  <si>
    <t>RA-05V-4514</t>
  </si>
  <si>
    <t>RA-05V-4515]PB SHIELD DET BOT C (MCT)</t>
  </si>
  <si>
    <t>RA-05V-4515</t>
  </si>
  <si>
    <t>RA-05V-4516]PB SHIELD DET BOT D (MCT)</t>
  </si>
  <si>
    <t>RA-05V-4516</t>
  </si>
  <si>
    <t>RA-05V-4521]FRM SHIELD DET TOP (MCT)</t>
  </si>
  <si>
    <t>RA-05V-4521</t>
  </si>
  <si>
    <t>RA-05V-4522]BRK HANDLE DET TOP (MCT)</t>
  </si>
  <si>
    <t>RA-05V-4522</t>
  </si>
  <si>
    <t>RA-05V-4523]PB SHIELD DET TOP A (MCT)</t>
  </si>
  <si>
    <t>RA-05V-4523</t>
  </si>
  <si>
    <t>3M4-3</t>
  </si>
  <si>
    <t>RA-05V-4524]PB SHIELD DET TOP B (MCT)</t>
  </si>
  <si>
    <t>RA-05V-4524</t>
  </si>
  <si>
    <t>RA-05V-4525]PB SHIELD DET TOP C (MCT)</t>
  </si>
  <si>
    <t>RA-05V-4525</t>
  </si>
  <si>
    <t>RA-05V-4526]PB SHIELD DET TOP D (MCT)</t>
  </si>
  <si>
    <t>RA-05V-4526</t>
  </si>
  <si>
    <t>RA-05V-4528]PB SHIELD DET TOP F (MCT)</t>
  </si>
  <si>
    <t>RA-05V-4528</t>
  </si>
  <si>
    <t>RA-06A-1063]ASM TUBE TNK SUP</t>
  </si>
  <si>
    <t>RA-06A-1063</t>
  </si>
  <si>
    <t>O1</t>
    <phoneticPr fontId="1" type="noConversion"/>
  </si>
  <si>
    <t>RA-06A-1510]ASM MULTI COL MDL</t>
  </si>
  <si>
    <t>RA-06A-1510</t>
  </si>
  <si>
    <t>I3-1</t>
    <phoneticPr fontId="1" type="noConversion"/>
  </si>
  <si>
    <t>RA-06A-1529]ASM COL Mdl</t>
  </si>
  <si>
    <t>RA-06A-1529</t>
  </si>
  <si>
    <t>RA-06A-1747]ASM MOUNT TUBE TNK</t>
  </si>
  <si>
    <t>RA-06A-1747</t>
  </si>
  <si>
    <t>3L10-1</t>
  </si>
  <si>
    <t>RA-06A-1764]ASM BALL SCREW NUT</t>
  </si>
  <si>
    <t>RA-06A-1764</t>
    <phoneticPr fontId="1" type="noConversion"/>
  </si>
  <si>
    <t>RA-06A-1772]ASM XTRUSION PB COL Bas</t>
    <phoneticPr fontId="1" type="noConversion"/>
  </si>
  <si>
    <t>RA-06A-1772</t>
  </si>
  <si>
    <t>H4-1</t>
    <phoneticPr fontId="1" type="noConversion"/>
  </si>
  <si>
    <t>RA-06A-2139]ASM BRK FAN SUP (A+)</t>
  </si>
  <si>
    <t>RA-06A-2139</t>
  </si>
  <si>
    <t>N5</t>
    <phoneticPr fontId="1" type="noConversion"/>
  </si>
  <si>
    <t>RA-06A-2143]ASM TUBE TNK SUP (A+)</t>
  </si>
  <si>
    <t>RA-06A-2143</t>
  </si>
  <si>
    <t>RA-06A-2743]SHAFT BRASS COL (P) (VN)</t>
  </si>
  <si>
    <t>RA-06A-2743</t>
  </si>
  <si>
    <t>RA-06A-2744]SHAFT BRASS COL (3D) (VN)</t>
  </si>
  <si>
    <t>RA-06A-2744</t>
  </si>
  <si>
    <t>RA-06A-2745]SHAFT BRASS COL (A+) (VN)</t>
  </si>
  <si>
    <t>RA-06A-2745</t>
  </si>
  <si>
    <t>RA-06A-2746]SHAFT BRASS COL (ST)</t>
  </si>
  <si>
    <t>RA-06A-2746</t>
  </si>
  <si>
    <t>RA-06A-2747]ASM EXTRUSION COL (VN)</t>
  </si>
  <si>
    <t>RA-06A-2747</t>
  </si>
  <si>
    <t>RA-06A-2760]ASM COL MOVING (ST) (VN)</t>
  </si>
  <si>
    <t>RA-06A-2760</t>
  </si>
  <si>
    <t>RA-06A-2761]ASM COL MOVING (A+) (VN)</t>
    <phoneticPr fontId="1" type="noConversion"/>
  </si>
  <si>
    <t>RA-06A-2761</t>
  </si>
  <si>
    <t>RA-06A-3314]ASM TUBE TNK SUP (ST)</t>
  </si>
  <si>
    <t>RA-06A-3314</t>
  </si>
  <si>
    <t>RA-06A-3387]ASM BRK FAN SUP (ST)</t>
  </si>
  <si>
    <t>RA-06A-3387</t>
  </si>
  <si>
    <t>RA-06A-5004]Bd ASSY'-Indicator Bd</t>
    <phoneticPr fontId="1" type="noConversion"/>
  </si>
  <si>
    <t>RA-06A-5004</t>
  </si>
  <si>
    <t>A1-5</t>
    <phoneticPr fontId="1" type="noConversion"/>
  </si>
  <si>
    <t>RA-06A-5005]Bd ASSY'-DC MOT Bd</t>
    <phoneticPr fontId="1" type="noConversion"/>
  </si>
  <si>
    <t>RA-06A-5005</t>
  </si>
  <si>
    <t>A3-2, A3-3</t>
    <phoneticPr fontId="1" type="noConversion"/>
  </si>
  <si>
    <t>RA-06A-6006]Bd ASSY'-Fcol MCU</t>
    <phoneticPr fontId="1" type="noConversion"/>
  </si>
  <si>
    <t>RA-06A-6006</t>
  </si>
  <si>
    <t>A2-1</t>
    <phoneticPr fontId="1" type="noConversion"/>
  </si>
  <si>
    <t>RA-06A-6084]CAMP_LAMP_S2</t>
  </si>
  <si>
    <t>RA-06A-6084</t>
  </si>
  <si>
    <t>A7-1, A7-4</t>
    <phoneticPr fontId="1" type="noConversion"/>
  </si>
  <si>
    <t>RA-06A-6085]CAM_LAMP_S6</t>
  </si>
  <si>
    <t>RA-06A-6085</t>
  </si>
  <si>
    <t>RA-06M-0220]BLOCK CANINE TOOTH LASER B</t>
  </si>
  <si>
    <t>RA-06M-0220</t>
  </si>
  <si>
    <t>RA-06M-0243]BLK TUBE TILT LIMIT</t>
  </si>
  <si>
    <t>RA-06M-0243</t>
  </si>
  <si>
    <t>I3-3</t>
    <phoneticPr fontId="1" type="noConversion"/>
  </si>
  <si>
    <t>RA-06M-0244]PIN TUBE TILT LIMIT</t>
  </si>
  <si>
    <t>RA-06M-0244</t>
  </si>
  <si>
    <t>RA-06M-0432]FLANGE TUBE TILT SHAFT B</t>
  </si>
  <si>
    <t>RA-06M-0432</t>
  </si>
  <si>
    <t>RA-06M-0447]COL-B-Ring GUIDE</t>
  </si>
  <si>
    <t>RA-06M-0447</t>
  </si>
  <si>
    <t>K2-3</t>
    <phoneticPr fontId="1" type="noConversion"/>
  </si>
  <si>
    <t>RA-06M-0520]HEATSINK</t>
  </si>
  <si>
    <t>RA-06M-0520</t>
  </si>
  <si>
    <t>RA-06M-0910]COL MOT LINKER</t>
  </si>
  <si>
    <t>RA-06M-0910</t>
  </si>
  <si>
    <t>3L10-3</t>
  </si>
  <si>
    <t>RA-06M-1072]FILTER AL1.0</t>
  </si>
  <si>
    <t>RA-06M-1072</t>
  </si>
  <si>
    <t>RA-06M-1105]DECO WINDOW COL</t>
  </si>
  <si>
    <t>RA-06M-1105</t>
  </si>
  <si>
    <t>L2-2</t>
    <phoneticPr fontId="1" type="noConversion"/>
  </si>
  <si>
    <t>RA-06M-1195]200002337 변경</t>
  </si>
  <si>
    <t>RA-06M-1195</t>
  </si>
  <si>
    <t>RA-06M-1688]FILTER CU 0.2 (VA)</t>
  </si>
  <si>
    <t>RA-06M-1688</t>
  </si>
  <si>
    <t>RA-06M-2082]SHAFT BRASS COL (A+)</t>
  </si>
  <si>
    <t>RA-06M-2082</t>
  </si>
  <si>
    <t>RA-06M-2084]BLK FIX COL UPPER(A+)</t>
  </si>
  <si>
    <t>RA-06M-2084</t>
  </si>
  <si>
    <t>I2-1</t>
    <phoneticPr fontId="1" type="noConversion"/>
  </si>
  <si>
    <t>RA-06M-2085]BLK FIX COL LWR(A+)</t>
  </si>
  <si>
    <t>RA-06M-2085</t>
  </si>
  <si>
    <t>RA-06M-2090]SHAFT BALL BUSH d6 A (A+)</t>
  </si>
  <si>
    <t>RA-06M-2090</t>
  </si>
  <si>
    <t>3L10-2</t>
  </si>
  <si>
    <t>RA-06M-2201</t>
    <phoneticPr fontId="1" type="noConversion"/>
  </si>
  <si>
    <t>3L19-1</t>
  </si>
  <si>
    <t>RA-06M-2202</t>
    <phoneticPr fontId="1" type="noConversion"/>
  </si>
  <si>
    <t>RA-06M-2203</t>
    <phoneticPr fontId="1" type="noConversion"/>
  </si>
  <si>
    <t>RA-06M-2204</t>
    <phoneticPr fontId="1" type="noConversion"/>
  </si>
  <si>
    <t>RA-06M-2205</t>
    <phoneticPr fontId="1" type="noConversion"/>
  </si>
  <si>
    <t>RA-06M-2206</t>
    <phoneticPr fontId="1" type="noConversion"/>
  </si>
  <si>
    <t>RA-06M-2244]PANEL MIRROR CAP (A+)</t>
  </si>
  <si>
    <t>RA-06M-2244</t>
  </si>
  <si>
    <t>RA-06M-2298]PLT MIRROR TUBE CAS L (A+)</t>
  </si>
  <si>
    <t>RA-06M-2298</t>
  </si>
  <si>
    <t>RA-06M-2299]PLT MIRROR TUBE CAS R (A+)</t>
  </si>
  <si>
    <t>RA-06M-2299</t>
  </si>
  <si>
    <t>RA-06M-2308]BLK CANINE TOOTH LASER BEAM+</t>
  </si>
  <si>
    <t>RA-06M-2308</t>
    <phoneticPr fontId="2" type="noConversion"/>
  </si>
  <si>
    <t>RA-06M-2471]BLK AUTO-FILTER (A+)</t>
  </si>
  <si>
    <t>RA-06M-2471</t>
  </si>
  <si>
    <t>RA-06M-2473]SHAFT AUTO-FILTER MOT (A+)</t>
  </si>
  <si>
    <t>RA-06M-2473</t>
  </si>
  <si>
    <t>RA-06M-2477]CU AUTO-FILTER 0.2T (A+)</t>
  </si>
  <si>
    <t>RA-06M-2477</t>
  </si>
  <si>
    <t>H3-1</t>
    <phoneticPr fontId="1" type="noConversion"/>
  </si>
  <si>
    <t>RA-06M-2587]BLK COL UPPER (A+)</t>
  </si>
  <si>
    <t>RA-06M-2587</t>
  </si>
  <si>
    <t>D4-2</t>
    <phoneticPr fontId="1" type="noConversion"/>
  </si>
  <si>
    <t>RA-06M-2588]BLK COL LWR (A+)</t>
  </si>
  <si>
    <t>RA-06M-2588</t>
  </si>
  <si>
    <t>RA-06M-3187]BLK COL FIX LWR A (ST)</t>
  </si>
  <si>
    <t>RA-06M-3187</t>
  </si>
  <si>
    <t>RA-06M-3251]BLK TUBE TILT LIMIT (M+)</t>
  </si>
  <si>
    <t>RA-06M-3251</t>
  </si>
  <si>
    <t>RA-06M-3252]PIN TUBE TILT LIMIT (M+)</t>
  </si>
  <si>
    <t>RA-06M-3252</t>
  </si>
  <si>
    <t>RA-06M-3262]BLK COL B-RING GUIDE A</t>
  </si>
  <si>
    <t>RA-06M-3262</t>
  </si>
  <si>
    <t>RA-06M-3298]BLK LED LEFT (ST)</t>
  </si>
  <si>
    <t>RA-06M-3298</t>
  </si>
  <si>
    <t>RA-06M-3299]BLK LED RIGHT (ST)</t>
  </si>
  <si>
    <t>RA-06M-3299</t>
  </si>
  <si>
    <t>H2-3</t>
    <phoneticPr fontId="1" type="noConversion"/>
  </si>
  <si>
    <t>RA-06M-3301</t>
  </si>
  <si>
    <t>RA-06M-3302]BLK CAM (ST)</t>
  </si>
  <si>
    <t>RA-06M-3302</t>
  </si>
  <si>
    <t>RA-06M-3305]DECO WINDOW COL (ST)</t>
  </si>
  <si>
    <t>RA-06M-3305</t>
  </si>
  <si>
    <t>RA-06M-3311]HEAT SINK (ST)</t>
  </si>
  <si>
    <t>RA-06M-3311</t>
  </si>
  <si>
    <t>N6</t>
    <phoneticPr fontId="1" type="noConversion"/>
  </si>
  <si>
    <t>RA-06M-3312]BLK TUBE TNK ANGLE (ST)</t>
  </si>
  <si>
    <t>RA-06M-3312</t>
  </si>
  <si>
    <t>RA-06M-3316]BLK TUBE SHAFT (ST)</t>
  </si>
  <si>
    <t>RA-06M-3316</t>
  </si>
  <si>
    <t>RA-06M-3317]BLK COL FIX UPPER (ST)</t>
  </si>
  <si>
    <t>RA-06M-3317</t>
  </si>
  <si>
    <t>RA-06M-3318]BLK COL FIX LWR A (ST)</t>
  </si>
  <si>
    <t>RA-06M-3318</t>
  </si>
  <si>
    <t>H4-2</t>
    <phoneticPr fontId="1" type="noConversion"/>
  </si>
  <si>
    <t>RA-06M-3319]BLK COL FIX LWR B (ST)</t>
  </si>
  <si>
    <t>RA-06M-3319</t>
  </si>
  <si>
    <t>RA-06M-3341]BLK AUTO-FILTER (ST)</t>
  </si>
  <si>
    <t>RA-06M-3341</t>
  </si>
  <si>
    <t>RA-06M-3344]HINGE AUTO-FILTER MOT (ST)</t>
  </si>
  <si>
    <t>RA-06M-3344</t>
  </si>
  <si>
    <t>RA-06M-3346]CU AUTO FILTER 0.2T (ST)</t>
  </si>
  <si>
    <t>RA-06M-3346</t>
  </si>
  <si>
    <t>RA-06M-3348]HEAT SINK LED (ST)</t>
  </si>
  <si>
    <t>RA-06M-3348</t>
  </si>
  <si>
    <t>H3-2</t>
    <phoneticPr fontId="1" type="noConversion"/>
  </si>
  <si>
    <t>RA-06M-3353]BLK FILTER LED A (ST)</t>
  </si>
  <si>
    <t>RA-06M-3353</t>
  </si>
  <si>
    <t>RA-06M-3354]BLK FILTER LED B (ST)</t>
  </si>
  <si>
    <t>RA-06M-3354</t>
  </si>
  <si>
    <t>RA-06M-3361]BLK BAS REFLECTION (ST)</t>
  </si>
  <si>
    <t>RA-06M-3361</t>
  </si>
  <si>
    <t>RA-06M-3362]PLT MIRROR (ST)</t>
  </si>
  <si>
    <t>RA-06M-3362</t>
  </si>
  <si>
    <t>RA-06M-3363]PANEL MIRRIR CAP (ST)</t>
  </si>
  <si>
    <t>RA-06M-3363</t>
  </si>
  <si>
    <t>RA-06M-3365]BLK RAIL COL UPPER (ST)</t>
  </si>
  <si>
    <t>RA-06M-3365</t>
  </si>
  <si>
    <t>RA-06M-3366]BLK RAIL COL RIGHT (ST)</t>
  </si>
  <si>
    <t>RA-06M-3366</t>
  </si>
  <si>
    <t>H4-3</t>
    <phoneticPr fontId="1" type="noConversion"/>
  </si>
  <si>
    <t>RA-06M-3367]BLK RAIL COL LEFT (ST)</t>
  </si>
  <si>
    <t>RA-06M-3367</t>
  </si>
  <si>
    <t>RA-06M-3392]BLOCK CAMERA FIX A (ST)</t>
  </si>
  <si>
    <t>RA-06M-3392</t>
  </si>
  <si>
    <t>RA-06M-3472]BLK TUBE TNK HOLLOW BOT (ST)</t>
  </si>
  <si>
    <t>RA-06M-3472</t>
    <phoneticPr fontId="1" type="noConversion"/>
  </si>
  <si>
    <t>RA-06M-3476]PLT LED SHIELD (ST)</t>
  </si>
  <si>
    <t>RA-06M-3476</t>
  </si>
  <si>
    <t>RA-06M-3477]PLT CAM SHIELD (ST)</t>
  </si>
  <si>
    <t>RA-06M-3477</t>
  </si>
  <si>
    <t>RA-06M-3547]FILTER BLUE LED (ST)</t>
  </si>
  <si>
    <t>RA-06M-3547</t>
  </si>
  <si>
    <t>RA-06M-3933]BLK CONNECTOR FIX (MG)</t>
  </si>
  <si>
    <t>RA-06M-3933</t>
  </si>
  <si>
    <t>RA-06M-3941]BLK LED SMOG R (MG)</t>
  </si>
  <si>
    <t>RA-06M-3941</t>
  </si>
  <si>
    <t>RA-06M-3942]BLK LED SMOG L (MG)</t>
  </si>
  <si>
    <t>RA-06M-3942</t>
  </si>
  <si>
    <t>RA-06M-3943]BLK LED RIGHT (MG)</t>
  </si>
  <si>
    <t>RA-06M-3943</t>
  </si>
  <si>
    <t>RA-06M-3944]BLK LED LEFT (MG)</t>
  </si>
  <si>
    <t>RA-06M-3944</t>
  </si>
  <si>
    <t>RA-06M-3945]BLK CAM (MG)</t>
  </si>
  <si>
    <t>RA-06M-3945</t>
  </si>
  <si>
    <t>N3-2</t>
    <phoneticPr fontId="1" type="noConversion"/>
  </si>
  <si>
    <t>RA-06M-3947]DECO WINDOW COL (MG)</t>
  </si>
  <si>
    <t>RA-06M-3947</t>
  </si>
  <si>
    <t>RA-06M-4007]BLK DOOR LINKER (MCT)</t>
  </si>
  <si>
    <t>RA-06M-4007</t>
  </si>
  <si>
    <t>RA-06M-4008]BLK DOOR LINKER Bas (MCT)</t>
  </si>
  <si>
    <t>RA-06M-4008</t>
  </si>
  <si>
    <t>RA-06M-4013]BLK DOOR LINKER A (MCT)</t>
  </si>
  <si>
    <t>RA-06M-4013</t>
  </si>
  <si>
    <t>RA-06M-4014]BLK DOOR LINKER B (MCT)</t>
  </si>
  <si>
    <t>RA-06M-4014</t>
  </si>
  <si>
    <t>3M6-4</t>
  </si>
  <si>
    <t>RA-06M-4601]BLK PULLEY LINKER (MCT)</t>
  </si>
  <si>
    <t>RA-06M-4601</t>
  </si>
  <si>
    <t>RA-06M-4603]PULLEY DOOR MOT Z16 (MCT)</t>
  </si>
  <si>
    <t>RA-06M-4603</t>
  </si>
  <si>
    <t>RA-06M-4605]SHAFT TWO RATIO PULLEY (MCT)</t>
  </si>
  <si>
    <t>RA-06M-4605</t>
  </si>
  <si>
    <t>RA-06M-4606]PULLEY TWO RATIO Z72 Z16(MCT</t>
  </si>
  <si>
    <t>RA-06M-4606</t>
  </si>
  <si>
    <t>RA-06M-4608]SHAFT DOOR PULLEY (MCT)</t>
  </si>
  <si>
    <t>RA-06M-4608</t>
  </si>
  <si>
    <t>RA-06M-4609]PULLEY DOOR LINKER Z16 (MCT)</t>
  </si>
  <si>
    <t>RA-06M-4609</t>
  </si>
  <si>
    <t>RA-06M-4611]BLK MOVING Bas A (MCT)</t>
  </si>
  <si>
    <t>RA-06M-4611</t>
  </si>
  <si>
    <t>RA-06M-4612]BLK MOUNT LOCK (MCT)</t>
  </si>
  <si>
    <t>RA-06M-4612</t>
  </si>
  <si>
    <t>RA-06M-4613]BLK MOVING Bas B (MCT)</t>
  </si>
  <si>
    <t>RA-06M-4613</t>
  </si>
  <si>
    <t>RA-06M-4626]SHAFT FIX IDLER (MCT)</t>
  </si>
  <si>
    <t>RA-06M-4626</t>
  </si>
  <si>
    <t>RA-06M-4627]HOUSING FIX IDLER (MCT)</t>
  </si>
  <si>
    <t>RA-06M-4627</t>
  </si>
  <si>
    <t>RA-06M-4629]SHAFT ADJUST IDLER (MCT)</t>
  </si>
  <si>
    <t>RA-06M-4629</t>
  </si>
  <si>
    <t>3M5-4</t>
  </si>
  <si>
    <t>RA-06S-0214]COUPLING DISK</t>
  </si>
  <si>
    <t>RA-06S-0214</t>
  </si>
  <si>
    <t>RA-06S-3342]LM RAIL MGN7C-52 (ST)</t>
  </si>
  <si>
    <t>RA-06S-3342</t>
  </si>
  <si>
    <t>RA-06S-4604]TIMING BELT DOOR MOT (MCT)</t>
  </si>
  <si>
    <t>RA-06S-4604</t>
  </si>
  <si>
    <t>RA-06S-4607]TIMING BELT DOOR LINKER (MCT</t>
  </si>
  <si>
    <t>RA-06S-4607</t>
  </si>
  <si>
    <t>RA-06S-5018]MICRO SWITCH</t>
    <phoneticPr fontId="1" type="noConversion"/>
  </si>
  <si>
    <t>RA-06S-5018</t>
  </si>
  <si>
    <t>RA-06S-5091] DC motor(HDSG56-3448C-615)</t>
  </si>
  <si>
    <t>RA-06S-5091</t>
  </si>
  <si>
    <t>RA-06S-5167]STEP MOT-KH4238-90102</t>
  </si>
  <si>
    <t>RA-06S-5167</t>
  </si>
  <si>
    <t>RA-06S-6017]LEDMdl-CBT-90-W65S-C11-NA100</t>
  </si>
  <si>
    <t>RA-06S-6017</t>
  </si>
  <si>
    <t>A7-4</t>
    <phoneticPr fontId="1" type="noConversion"/>
  </si>
  <si>
    <t>RA-06S-6033]LED Mdl-CBT-90-B-L11-H101</t>
  </si>
  <si>
    <t>RA-06S-6033</t>
  </si>
  <si>
    <t>RA-06S-6055]CAM LAMP Bd</t>
  </si>
  <si>
    <t>RA-06S-6055</t>
  </si>
  <si>
    <t>A7-2</t>
    <phoneticPr fontId="1" type="noConversion"/>
  </si>
  <si>
    <t>RA-06S-6056]CAM LAMP DRV Bd</t>
  </si>
  <si>
    <t>RA-06S-6056</t>
  </si>
  <si>
    <t>RA-06S-6058]CAM I/F Bd</t>
  </si>
  <si>
    <t>RA-06S-6058</t>
  </si>
  <si>
    <t>RA-06S-6059]CAM</t>
  </si>
  <si>
    <t>RA-06S-6059</t>
  </si>
  <si>
    <t>RA-06S-6070]16GB eMMC Mdl</t>
    <phoneticPr fontId="1" type="noConversion"/>
  </si>
  <si>
    <t>RA-06S-6070</t>
  </si>
  <si>
    <t>RA-06T-0085]CAS TUBE TNK REAR (ALPHA)</t>
    <phoneticPr fontId="1" type="noConversion"/>
  </si>
  <si>
    <t>RA-06T-0085</t>
  </si>
  <si>
    <t>RA-06T-0248]CAS TUBE TNK REAR</t>
    <phoneticPr fontId="1" type="noConversion"/>
  </si>
  <si>
    <t>RA-06T-0248</t>
  </si>
  <si>
    <t>RA-06T-0296]CAS TUBE TNK FAN</t>
  </si>
  <si>
    <t>RA-06T-0296</t>
  </si>
  <si>
    <t>RA-06T-1641]CAS TUBE TNK FRONT</t>
    <phoneticPr fontId="1" type="noConversion"/>
  </si>
  <si>
    <t>RA-06T-1641</t>
    <phoneticPr fontId="1" type="noConversion"/>
  </si>
  <si>
    <t>RA-06T-2143]CAS TUBE TNK FRONT (A+)</t>
    <phoneticPr fontId="1" type="noConversion"/>
  </si>
  <si>
    <t>RA-06T-2143</t>
  </si>
  <si>
    <t>RA-06T-2144]DECO WINDOW COL</t>
  </si>
  <si>
    <t>RA-06T-2144</t>
  </si>
  <si>
    <t>RA-06T-2188]CAS TUBE TNK REAR (A+)</t>
    <phoneticPr fontId="1" type="noConversion"/>
  </si>
  <si>
    <t>RA-06T-2188</t>
  </si>
  <si>
    <t>RA-06T-3205]CASE TUBE TANK FRONT(M+)</t>
  </si>
  <si>
    <t>RA-06T-3205</t>
  </si>
  <si>
    <t>RA-06T-3207]CAS TUBE TNK REAR (M+)</t>
  </si>
  <si>
    <t>RA-06T-3207</t>
  </si>
  <si>
    <t>RA-06T-3266]CAS TUBE TNK FRONT (ST)</t>
    <phoneticPr fontId="1" type="noConversion"/>
  </si>
  <si>
    <t>RA-06T-3266</t>
  </si>
  <si>
    <t>RA-06T-3267]CAS TUBE TNK REAR (ST)</t>
    <phoneticPr fontId="1" type="noConversion"/>
  </si>
  <si>
    <t>RA-06T-3267</t>
  </si>
  <si>
    <t>RA-06T-3938]CAS TUBE TNK FAN (MG)</t>
  </si>
  <si>
    <t>RA-06T-3938</t>
  </si>
  <si>
    <t>RA-06T-3940]CAS TUBE TNK FRONT (MG)</t>
  </si>
  <si>
    <t>RA-06T-3940</t>
  </si>
  <si>
    <t>RA-06T-3948]CAS TUBE TNK REAR (MG)</t>
  </si>
  <si>
    <t>RA-06T-3948</t>
  </si>
  <si>
    <t>RA-06V-0230]BRK FAN SUP</t>
  </si>
  <si>
    <t>RA-06V-0230</t>
  </si>
  <si>
    <t>RA-06V-0241]GUIDE TUBE TILT MICRO SW</t>
  </si>
  <si>
    <t>RA-06V-0241</t>
  </si>
  <si>
    <t>RA-06V-0242]BRK TUBE TILT MICRO SW</t>
  </si>
  <si>
    <t>RA-06V-0242</t>
  </si>
  <si>
    <t>H3-3</t>
    <phoneticPr fontId="1" type="noConversion"/>
  </si>
  <si>
    <t>RA-06V-0249]HLDR CAS TUBE TNK REAR</t>
  </si>
  <si>
    <t>RA-06V-0249</t>
  </si>
  <si>
    <t>RA-06V-0651]BRK TUBE CAS FIX A</t>
  </si>
  <si>
    <t>RA-06V-0651</t>
  </si>
  <si>
    <t>I2-3</t>
    <phoneticPr fontId="1" type="noConversion"/>
  </si>
  <si>
    <t>RA-06V-0788]BRK BRASS PB COL</t>
  </si>
  <si>
    <t>RA-06V-0788</t>
  </si>
  <si>
    <t>RA-06V-0793]BRK TUBE FIX A</t>
  </si>
  <si>
    <t>RA-06V-0793</t>
  </si>
  <si>
    <t>RA-06V-0794]BRK TUBE FIX B</t>
  </si>
  <si>
    <t>RA-06V-0794</t>
  </si>
  <si>
    <t>RA-06V-0795]BRK TUBE FIX C</t>
  </si>
  <si>
    <t>RA-06V-0795</t>
  </si>
  <si>
    <t>RA-06V-0866]BRK TUBE TILT MICRO SW</t>
  </si>
  <si>
    <t>RA-06V-0866</t>
  </si>
  <si>
    <t>RA-06V-1199]BRACKET FAN TUBE TANK</t>
  </si>
  <si>
    <t>RA-06V-1199</t>
  </si>
  <si>
    <t>3D1-5</t>
    <phoneticPr fontId="1" type="noConversion"/>
  </si>
  <si>
    <t>RA-06V-1311]BRK TUBE CAS FIX B</t>
  </si>
  <si>
    <t>RA-06V-1311</t>
  </si>
  <si>
    <t>I3-2</t>
    <phoneticPr fontId="1" type="noConversion"/>
  </si>
  <si>
    <t>RA-06V-1315]BRK XTRUSION COL Bas</t>
  </si>
  <si>
    <t>RA-06V-1315</t>
  </si>
  <si>
    <t>RA-06V-1318]BRACKET CANINE LASER BEAM</t>
  </si>
  <si>
    <t>RA-06V-1318</t>
  </si>
  <si>
    <t>3L10-5</t>
  </si>
  <si>
    <t>RA-06V-1319]BRK COL PHOt SNSR</t>
  </si>
  <si>
    <t>RA-06V-1319</t>
  </si>
  <si>
    <t>H4-4</t>
    <phoneticPr fontId="1" type="noConversion"/>
  </si>
  <si>
    <t>RA-06V-1359]BRK XTRUSION PB COL OCS</t>
  </si>
  <si>
    <t>RA-06V-1359</t>
  </si>
  <si>
    <t>RA-06V-1384]BRK XTRUSION PB COL SC</t>
  </si>
  <si>
    <t>RA-06V-1384</t>
  </si>
  <si>
    <t>RA-06V-1389]BRK XTRUSION PB COL OCS</t>
  </si>
  <si>
    <t>RA-06V-1389</t>
  </si>
  <si>
    <t>RA-06V-1507]BRK BRASS PB COL</t>
  </si>
  <si>
    <t>RA-06V-1507</t>
  </si>
  <si>
    <t>RA-06V-1509]BRK XTRUSION PB COL OCL</t>
  </si>
  <si>
    <t>RA-06V-1509</t>
  </si>
  <si>
    <t>RA-06V-1512]BRK XTRUSION PB COL A</t>
  </si>
  <si>
    <t>RA-06V-1512</t>
  </si>
  <si>
    <t>3L10-4</t>
  </si>
  <si>
    <t>RA-06V-1513]BRK XTRUSION PB COL B</t>
  </si>
  <si>
    <t>RA-06V-1513</t>
  </si>
  <si>
    <t>RA-06V-1514]BRK XTRUSION PB COL OCG</t>
  </si>
  <si>
    <t>RA-06V-1514</t>
  </si>
  <si>
    <t>RA-06V-1517]BRACKER COL PHOt SNSR</t>
  </si>
  <si>
    <t>RA-06V-1517</t>
  </si>
  <si>
    <t>H3-4</t>
    <phoneticPr fontId="1" type="noConversion"/>
  </si>
  <si>
    <t>RA-06V-1547]BRK XTRUSION PB COL Bas</t>
  </si>
  <si>
    <t>RA-06V-1547</t>
  </si>
  <si>
    <t>RA-06V-1678]BRK CANINE TOOTH LASER BEAM</t>
  </si>
  <si>
    <t>RA-06V-1678</t>
  </si>
  <si>
    <t>RA-06V-1687]BRK XTRUSION PB COL Bas C(VA</t>
  </si>
  <si>
    <t>RA-06V-1687</t>
  </si>
  <si>
    <t>RA-06V-1947]BRK FAN SUP</t>
  </si>
  <si>
    <t>RA-06V-1947</t>
  </si>
  <si>
    <t>D4-1</t>
    <phoneticPr fontId="1" type="noConversion"/>
  </si>
  <si>
    <t>RA-06V-1948]BRK COL UPPER</t>
  </si>
  <si>
    <t>RA-06V-1948</t>
  </si>
  <si>
    <t>RA-06V-1949]BRK COL LWR</t>
  </si>
  <si>
    <t>RA-06V-1949</t>
  </si>
  <si>
    <t>RA-06V-1956]BRK TUBE FIX A</t>
  </si>
  <si>
    <t>RA-06V-1956</t>
  </si>
  <si>
    <t>3C5</t>
  </si>
  <si>
    <t>RA-06V-1957]BRK TUBE FIX B</t>
  </si>
  <si>
    <t>RA-06V-1957</t>
  </si>
  <si>
    <t>RA-06V-2114]PLT BLADE LWR (A+)</t>
  </si>
  <si>
    <t>RA-06V-2114</t>
    <phoneticPr fontId="2" type="noConversion"/>
  </si>
  <si>
    <t>RA-06V-2115]BLADE PB LWR (A+)</t>
  </si>
  <si>
    <t>RA-06V-2115</t>
  </si>
  <si>
    <t>RA-06V-2116]CVR BLADE LWR (A+)</t>
  </si>
  <si>
    <t>RA-06V-2116</t>
  </si>
  <si>
    <t>RA-06V-2121]BRK HARNESS GUIDE LWR (A+)</t>
  </si>
  <si>
    <t>RA-06V-2121</t>
  </si>
  <si>
    <t>RA-06V-2138]BRK COL Bd (A+)</t>
  </si>
  <si>
    <t>RA-06V-2138</t>
  </si>
  <si>
    <t>RA-06V-2140]BRK TUBE CAS FRONT (A+)</t>
  </si>
  <si>
    <t>RA-06V-2140</t>
  </si>
  <si>
    <t>RA-06V-2141]BRK TUBE CAS REAR (A+)</t>
  </si>
  <si>
    <t>RA-06V-2141</t>
  </si>
  <si>
    <t>RA-06V-2142]BRK TUBE CAS (A+)</t>
  </si>
  <si>
    <t>RA-06V-2142</t>
  </si>
  <si>
    <t>RA-06V-2172]PB SHIELDING SIDE A (A+)</t>
  </si>
  <si>
    <t>RA-06V-2172</t>
  </si>
  <si>
    <t>RA-06V-2207</t>
    <phoneticPr fontId="1" type="noConversion"/>
  </si>
  <si>
    <t>3I1</t>
    <phoneticPr fontId="1" type="noConversion"/>
  </si>
  <si>
    <t>RA-06V-2478]HLDR CU AUTO-FILTER (A+)</t>
  </si>
  <si>
    <t>RA-06V-2478</t>
  </si>
  <si>
    <t>H4-5</t>
    <phoneticPr fontId="1" type="noConversion"/>
  </si>
  <si>
    <t>RA-06V-2479]BRK PHOT SNSR (A+)</t>
  </si>
  <si>
    <t>RA-06V-2479</t>
  </si>
  <si>
    <t>RA-06V-2488]BRK SHIELDING SIDE (A+)</t>
  </si>
  <si>
    <t>RA-06V-2488</t>
  </si>
  <si>
    <t>RA-06V-2490]PB SHIELDING SIDE B (A+)</t>
  </si>
  <si>
    <t>RA-06V-2490</t>
  </si>
  <si>
    <t>RA-06V-2585]BRACKET TUBE CASE (A+)</t>
  </si>
  <si>
    <t>RA-06V-2585</t>
  </si>
  <si>
    <t>RA-06V-2586]BRACKET FAN TUBE TANK(A+)</t>
  </si>
  <si>
    <t>RA-06V-2586</t>
  </si>
  <si>
    <t>RA-06V-2589]BRK FAN SUP (A+)</t>
  </si>
  <si>
    <t>RA-06V-2589</t>
  </si>
  <si>
    <t>RA-06V-3189]BRK FAN SUP (ST)</t>
  </si>
  <si>
    <t>RA-06V-3189</t>
  </si>
  <si>
    <t>D4-3</t>
    <phoneticPr fontId="1" type="noConversion"/>
  </si>
  <si>
    <t>RA-06V-3201]BRK BRASS PB COL (M+)</t>
  </si>
  <si>
    <t>RA-06V-3201</t>
  </si>
  <si>
    <t>RA-06V-3202</t>
  </si>
  <si>
    <t>RA-06V-3203]PANEL COL WINDOWS B (M+)</t>
  </si>
  <si>
    <t>RA-06V-3203</t>
  </si>
  <si>
    <t>RA-06V-3204]PLT WINDOW COL (M+)</t>
  </si>
  <si>
    <t>RA-06V-3204</t>
  </si>
  <si>
    <t>H3-5</t>
    <phoneticPr fontId="1" type="noConversion"/>
  </si>
  <si>
    <t>RA-06V-3211]BRK PHOt SNSR UPPER (M+)</t>
  </si>
  <si>
    <t>RA-06V-3211</t>
  </si>
  <si>
    <t>RA-06V-3221]PLT BLADE UPPER (M+)</t>
  </si>
  <si>
    <t>RA-06V-3221</t>
  </si>
  <si>
    <t>RA-06V-3226]PLT BLADE LWR (M+)</t>
  </si>
  <si>
    <t>RA-06V-3226</t>
  </si>
  <si>
    <t>RA-06V-3227]BLADE PB LWR (M+)</t>
  </si>
  <si>
    <t>RA-06V-3227</t>
  </si>
  <si>
    <t>RA-06V-3228]CVR BLADE LWR (M+)</t>
  </si>
  <si>
    <t>RA-06V-3228</t>
  </si>
  <si>
    <t>RA-06V-3253]HLDR DC GEARED MOT (M+)</t>
  </si>
  <si>
    <t>RA-06V-3253</t>
  </si>
  <si>
    <t>RA-06V-3300]BRK HARNESS GUIDE RIGHT(ST)</t>
  </si>
  <si>
    <t>RA-06V-3300</t>
  </si>
  <si>
    <t>RA-06V-3303]BRK HARNESS GUIDE (ST)</t>
  </si>
  <si>
    <t>RA-06V-3303</t>
  </si>
  <si>
    <t>H4-6</t>
    <phoneticPr fontId="1" type="noConversion"/>
  </si>
  <si>
    <t>RA-06V-3306]BRK HARNESS GUIDE LEFT(ST)</t>
  </si>
  <si>
    <t>RA-06V-3306</t>
  </si>
  <si>
    <t>RA-06V-3307]BRK TUBE CAS (ST)</t>
    <phoneticPr fontId="1" type="noConversion"/>
  </si>
  <si>
    <t>RA-06V-3307</t>
  </si>
  <si>
    <t>RA-06V-3308]BRK TUBE CAS FRONT (ST)</t>
  </si>
  <si>
    <t>RA-06V-3308</t>
  </si>
  <si>
    <t>RA-06V-3309]BRK TUBE CAS REAR (ST)</t>
  </si>
  <si>
    <t>RA-06V-3309</t>
  </si>
  <si>
    <t>RA-06V-3324]BRK MOT A (ST)</t>
  </si>
  <si>
    <t>RA-06V-3324</t>
  </si>
  <si>
    <t>RA-06V-3326]BRK MOT B-C (ST)</t>
  </si>
  <si>
    <t>RA-06V-3326</t>
  </si>
  <si>
    <t>RA-06V-3343]BRK PHOT SNSR FIX (ST)</t>
  </si>
  <si>
    <t>RA-06V-3343</t>
  </si>
  <si>
    <t>RA-06V-3345]PLT AUTO FILTER (ST)</t>
  </si>
  <si>
    <t>RA-06V-3345</t>
  </si>
  <si>
    <t>RA-06V-3347]BRK PHOt SNSR (ST)</t>
  </si>
  <si>
    <t>RA-06V-3347</t>
  </si>
  <si>
    <t>RA-06V-3351]PB SHIELDING TOP (ST)</t>
  </si>
  <si>
    <t>RA-06V-3351</t>
  </si>
  <si>
    <t>RA-06V-3355]PLT FILTER LED A (ST)</t>
  </si>
  <si>
    <t>RA-06V-3355</t>
  </si>
  <si>
    <t>RA-06V-3356]PLT FILTER LED B (ST)</t>
  </si>
  <si>
    <t>RA-06V-3356</t>
  </si>
  <si>
    <t>H3-6</t>
    <phoneticPr fontId="1" type="noConversion"/>
  </si>
  <si>
    <t>RA-06V-3357]PLT FILTER LED C (ST)</t>
  </si>
  <si>
    <t>RA-06V-3357</t>
  </si>
  <si>
    <t>RA-06V-3358]PLT FILTER LED D (ST)</t>
  </si>
  <si>
    <t>RA-06V-3358</t>
  </si>
  <si>
    <t>RA-06V-3369]BRK PHOt SNSR LEFT (ST)</t>
  </si>
  <si>
    <t>RA-06V-3369</t>
  </si>
  <si>
    <t>RA-06V-3371]BRK HARNESS GUIDE REAR (ST)</t>
  </si>
  <si>
    <t>RA-06V-3371</t>
  </si>
  <si>
    <t>RA-06V-3372]HLDR PHOt SNSR LWR (ST)</t>
  </si>
  <si>
    <t>RA-06V-3372</t>
  </si>
  <si>
    <t>RA-06V-3374]BRK CANINE LASER BEAM (ST)</t>
  </si>
  <si>
    <t>RA-06V-3374</t>
  </si>
  <si>
    <t>RA-06V-3376]PLT BLADE LWR (ST)</t>
  </si>
  <si>
    <t>RA-06V-3376</t>
  </si>
  <si>
    <t>RA-06V-3377]BLADE PB LWR (ST)</t>
  </si>
  <si>
    <t>RA-06V-3377</t>
  </si>
  <si>
    <t>RA-06V-3378]CVR BLADE LWR (ST)</t>
  </si>
  <si>
    <t>RA-06V-3378</t>
  </si>
  <si>
    <t>RA-06V-3380]PLT BLADE UPPER (ST)</t>
  </si>
  <si>
    <t>RA-06V-3380</t>
  </si>
  <si>
    <t>H4-7</t>
    <phoneticPr fontId="1" type="noConversion"/>
  </si>
  <si>
    <t>RA-06V-3381]BLADE PB UPPER (ST)</t>
  </si>
  <si>
    <t>RA-06V-3381</t>
  </si>
  <si>
    <t>RA-06V-3382]CVR BLADE UPPER (ST)</t>
  </si>
  <si>
    <t>RA-06V-3382</t>
  </si>
  <si>
    <t>RA-06V-3384]PLT BLADE R/L (ST)</t>
  </si>
  <si>
    <t>RA-06V-3384</t>
  </si>
  <si>
    <t>RA-06V-3385]BLADE PB R/L (ST)</t>
  </si>
  <si>
    <t>RA-06V-3385</t>
  </si>
  <si>
    <t>RA-06V-3386]CVR BLADE R/L (ST)</t>
  </si>
  <si>
    <t>RA-06V-3386</t>
  </si>
  <si>
    <t>RA-06V-3388]BRK FAN SUP (ST)</t>
  </si>
  <si>
    <t>RA-06V-3388</t>
  </si>
  <si>
    <t>RA-06V-3389]BRK COL Bd (ST)</t>
  </si>
  <si>
    <t>RA-06V-3389</t>
  </si>
  <si>
    <t>RA-06V-3390]BRK CAM MCU Bd (ST)</t>
  </si>
  <si>
    <t>RA-06V-3390</t>
  </si>
  <si>
    <t>I2-2</t>
    <phoneticPr fontId="1" type="noConversion"/>
  </si>
  <si>
    <t>RA-06V-3397]BRK HARNESS FIX LWR (ST)</t>
  </si>
  <si>
    <t>RA-06V-3397</t>
  </si>
  <si>
    <t>RA-06V-3461]BRK HARNESS GUIDE R (ST)</t>
  </si>
  <si>
    <t>RA-06V-3461</t>
  </si>
  <si>
    <t>RA-06V-3462]BRK HARNESS GUIDE L (ST)</t>
  </si>
  <si>
    <t>RA-06V-3462</t>
  </si>
  <si>
    <t>RA-06V-3478]BRK PUSHER L (ST)</t>
  </si>
  <si>
    <t>RA-06V-3478</t>
  </si>
  <si>
    <t>RA-06V-3479]BRK PUSHER R (ST)</t>
  </si>
  <si>
    <t>RA-06V-3479</t>
  </si>
  <si>
    <t>BRK CAM Bd (ST)</t>
    <phoneticPr fontId="1" type="noConversion"/>
  </si>
  <si>
    <t>RA-06V-3748</t>
  </si>
  <si>
    <t>J1-3</t>
    <phoneticPr fontId="1" type="noConversion"/>
  </si>
  <si>
    <t>BRK USB CABLE HLDR (ST)</t>
    <phoneticPr fontId="1" type="noConversion"/>
  </si>
  <si>
    <t>RA-06V-3749</t>
    <phoneticPr fontId="1" type="noConversion"/>
  </si>
  <si>
    <t>RA-06V-3932]BRK CAM FIX (MG)</t>
  </si>
  <si>
    <t>RA-06V-3932</t>
  </si>
  <si>
    <t>RA-06V-3934]BRK TUBE CAS FRONT (MG)</t>
  </si>
  <si>
    <t>RA-06V-3934</t>
  </si>
  <si>
    <t>RA-06V-3937]BRK FAN SUP (MG)</t>
  </si>
  <si>
    <t>RA-06V-3937</t>
  </si>
  <si>
    <t>RA-06V-3946]BRK HARNESS GUIDE LEFT (MG)</t>
  </si>
  <si>
    <t>RA-06V-3946</t>
  </si>
  <si>
    <t>RA-06V-4602]BRK PULLEY MOT (MCT)</t>
  </si>
  <si>
    <t>RA-06V-4602</t>
  </si>
  <si>
    <t>RA-06V-4615]PB DOOR MOVING (MCT)</t>
  </si>
  <si>
    <t>RA-06V-4615</t>
  </si>
  <si>
    <t>RA-06V-4616]BRK DOOR MOVING (MCT)</t>
  </si>
  <si>
    <t>RA-06V-4616</t>
  </si>
  <si>
    <t>RA-06V-4617]CAS DOOR MOVING (MCT)</t>
  </si>
  <si>
    <t>RA-06V-4617</t>
  </si>
  <si>
    <t>RA-07A-2717]ASM DET BAS (ST)</t>
  </si>
  <si>
    <t>RA-07A-0330</t>
  </si>
  <si>
    <t>RA-07A-1777]ASM SCREW MOVING DET (VA)</t>
  </si>
  <si>
    <t>RA-07A-1777</t>
  </si>
  <si>
    <t>J2-2</t>
    <phoneticPr fontId="1" type="noConversion"/>
  </si>
  <si>
    <t>RA-07A-2715]ASM BLOCK DETECTOR SENSOR L</t>
  </si>
  <si>
    <t>RA-07A-2715</t>
  </si>
  <si>
    <t>J3-3</t>
    <phoneticPr fontId="1" type="noConversion"/>
  </si>
  <si>
    <t>RA-07A-2716]ASM BLOCK DETECTOR SENSOR R</t>
  </si>
  <si>
    <t>RA-07A-2716</t>
  </si>
  <si>
    <t>RA-07A-2717</t>
  </si>
  <si>
    <t>RA-07A-2718]ASM PLT ADJUST DET (VA)</t>
  </si>
  <si>
    <t>RA-07A-2718</t>
  </si>
  <si>
    <t>RA-07A-2719]ASM DET BAS Mdl (P)</t>
  </si>
  <si>
    <t>RA-07A-2719</t>
  </si>
  <si>
    <t>RA-07A-2757]ASM DET BAS (PRE) (VN)</t>
  </si>
  <si>
    <t>RA-07A-2757</t>
  </si>
  <si>
    <t>RA-07A-3469]ASM SCREW MOVING DET (ST)</t>
  </si>
  <si>
    <t>RA-07A-3469</t>
  </si>
  <si>
    <t>3L14-1</t>
  </si>
  <si>
    <t>RA-07A-6047]Bd ASSY'-ADET POWER-2D NEW</t>
  </si>
  <si>
    <t>RA-07A-6047</t>
  </si>
  <si>
    <t>RA-07A-6048]Bd ASSY'-ADET POWER-3D NEW</t>
    <phoneticPr fontId="1" type="noConversion"/>
  </si>
  <si>
    <t>RA-07A-6048</t>
  </si>
  <si>
    <t>RA-07A-6093]IDET POWER Bd</t>
  </si>
  <si>
    <t>RA-07A-6093</t>
  </si>
  <si>
    <t>RA-07M-0253]CVR DET FRONT</t>
  </si>
  <si>
    <t>RA-07M-0253</t>
  </si>
  <si>
    <t>RA-07M-0518]CVR CT DET FRONT</t>
  </si>
  <si>
    <t>RA-07M-0518</t>
  </si>
  <si>
    <t>L2-3</t>
    <phoneticPr fontId="1" type="noConversion"/>
  </si>
  <si>
    <t>RA-07M-1609]BLK FIX DET (IR-P)</t>
  </si>
  <si>
    <t>RA-07M-1609</t>
  </si>
  <si>
    <t>RA-07M-1655]COL B-Ring GUIDE (VA)</t>
  </si>
  <si>
    <t>RA-07M-1655</t>
  </si>
  <si>
    <t>J2-1</t>
    <phoneticPr fontId="1" type="noConversion"/>
  </si>
  <si>
    <t>RA-07M-1658]BLK DET MOT LINKER (VA)</t>
  </si>
  <si>
    <t>RA-07M-1658</t>
  </si>
  <si>
    <t>RA-07M-1666]BLK STOPPER MICROMTR HEAD(VA</t>
  </si>
  <si>
    <t>RA-07M-1666</t>
  </si>
  <si>
    <t>RA-07M-1718]BLK FIX DET (P)</t>
  </si>
  <si>
    <t>RA-07M-1718</t>
  </si>
  <si>
    <t>3G5-3</t>
    <phoneticPr fontId="1" type="noConversion"/>
  </si>
  <si>
    <t>RA-07M-2497]CVR CT DET FRONT (A+ ODD)</t>
  </si>
  <si>
    <t>RA-07M-2497</t>
  </si>
  <si>
    <t>RA-07M-2783]BLK MOT HOUSING (IR)</t>
  </si>
  <si>
    <t>RA-07M-2783</t>
  </si>
  <si>
    <t>RA-07M-2786]PLT DET SNSR (IR)</t>
  </si>
  <si>
    <t>RA-07M-2786</t>
  </si>
  <si>
    <t>RA-07M-3236]CVR CT DET FRONT (M+)</t>
  </si>
  <si>
    <t>RA-07M-3236</t>
  </si>
  <si>
    <t>RA-07M-3424]BLK STOPPER MICROMTR HEAD(ST</t>
  </si>
  <si>
    <t>RA-07M-3424</t>
  </si>
  <si>
    <t>J3-2</t>
    <phoneticPr fontId="1" type="noConversion"/>
  </si>
  <si>
    <t>RA-07M-3431]CVR DET FRONT (ST)</t>
  </si>
  <si>
    <t>RA-07M-3431</t>
  </si>
  <si>
    <t>RA-07M-3434]BLK MICROMTR HEAD (ST)</t>
  </si>
  <si>
    <t>RA-07M-3434</t>
  </si>
  <si>
    <t>RA-07M-3594]BLK DET B-RING GUIDE (ST)</t>
  </si>
  <si>
    <t>RA-07M-3594</t>
  </si>
  <si>
    <t>RA-07M-3595]BLK MOT LINKER (ST)</t>
  </si>
  <si>
    <t>RA-07M-3595</t>
  </si>
  <si>
    <t>RA-07M-3596]BLK DET MOT (ST)</t>
  </si>
  <si>
    <t>RA-07M-3596</t>
  </si>
  <si>
    <t>RA-07M-3961]CVR DET FRONT (MG)</t>
  </si>
  <si>
    <t>RA-07M-3961</t>
  </si>
  <si>
    <t>RA-07M-4009]CAS WARNING LIGHT (MCT)</t>
  </si>
  <si>
    <t>RA-07M-4009</t>
  </si>
  <si>
    <t>RA-07M-4056]BLK LED CAS FRONT (MCT)</t>
  </si>
  <si>
    <t>RA-07M-4056</t>
  </si>
  <si>
    <t>RA-07M-4057]GUIDE PIN</t>
  </si>
  <si>
    <t>RA-07M-4057</t>
  </si>
  <si>
    <t>RA-07M-4058]PANEL LED CAS FRONT (MCT)</t>
  </si>
  <si>
    <t>RA-07M-4058</t>
  </si>
  <si>
    <t>RA-07M-4073]BLK CAS BODY DECO (MCT)</t>
  </si>
  <si>
    <t>RA-07M-4073</t>
  </si>
  <si>
    <t>RA-07S-1653]LM SET(MGN9C-2-240) (VA)</t>
  </si>
  <si>
    <t>RA-07S-1653</t>
  </si>
  <si>
    <t>J3-1</t>
    <phoneticPr fontId="1" type="noConversion"/>
  </si>
  <si>
    <t>RA-07S-1654]LM RAIL SET (MGN9C-125L (VA)</t>
  </si>
  <si>
    <t>RA-07S-1654</t>
  </si>
  <si>
    <t>RA-07S-1668]MICROMTR HEAD (VA)</t>
    <phoneticPr fontId="1" type="noConversion"/>
  </si>
  <si>
    <t>RA-07S-1668</t>
  </si>
  <si>
    <t>RA-07S-3407</t>
  </si>
  <si>
    <t>RA-07S-5019]STEP MOT-KH42KM2-901</t>
  </si>
  <si>
    <t>RA-07S-5019</t>
  </si>
  <si>
    <t>RA-07S-6042]VIEWORKS,FXDD-0606CA DET</t>
    <phoneticPr fontId="1" type="noConversion"/>
  </si>
  <si>
    <t>RA-07S-6042</t>
  </si>
  <si>
    <t>A11-2</t>
    <phoneticPr fontId="1" type="noConversion"/>
  </si>
  <si>
    <t>RA-07S-6049]PANO DET-C10500D-02-00</t>
    <phoneticPr fontId="1" type="noConversion"/>
  </si>
  <si>
    <t>RA-07S-6049</t>
  </si>
  <si>
    <t>A9-3</t>
    <phoneticPr fontId="1" type="noConversion"/>
  </si>
  <si>
    <t>RA-07S-6052]XID-C24DC-C</t>
    <phoneticPr fontId="1" type="noConversion"/>
  </si>
  <si>
    <t>RA-07S-6052</t>
  </si>
  <si>
    <t>A8-4</t>
    <phoneticPr fontId="1" type="noConversion"/>
  </si>
  <si>
    <t>RA-07S-6054]VIEWORKS, FXDD-1012CHA DET</t>
    <phoneticPr fontId="1" type="noConversion"/>
  </si>
  <si>
    <t>RA-07S-6054</t>
  </si>
  <si>
    <t>A10-3</t>
    <phoneticPr fontId="1" type="noConversion"/>
  </si>
  <si>
    <t>RA-07S-6086]VIEWORKS FXDD 1724RA DET</t>
    <phoneticPr fontId="1" type="noConversion"/>
  </si>
  <si>
    <t>RA-07S-6086</t>
  </si>
  <si>
    <t>A9-2</t>
    <phoneticPr fontId="1" type="noConversion"/>
  </si>
  <si>
    <t>RA-07S-6087]i-Ray, Jupi0606X1 DET</t>
    <phoneticPr fontId="1" type="noConversion"/>
  </si>
  <si>
    <t>RA-07S-6087</t>
  </si>
  <si>
    <t>RA-07S-6092]i-Ray, Pluto0600X DET</t>
    <phoneticPr fontId="1" type="noConversion"/>
  </si>
  <si>
    <t>RA-07S-6092</t>
  </si>
  <si>
    <t>RA-07T-0251]CAS DET REAR</t>
    <phoneticPr fontId="1" type="noConversion"/>
  </si>
  <si>
    <t>RA-07T-0251</t>
  </si>
  <si>
    <t>RA-07T-1645]CAS DET REAR (A3D)</t>
    <phoneticPr fontId="1" type="noConversion"/>
  </si>
  <si>
    <t>RA-07T-1645</t>
  </si>
  <si>
    <t>RA-07T-1766]BLK DET SNSR</t>
  </si>
  <si>
    <t>RA-07T-1766</t>
  </si>
  <si>
    <t>RA-07T-2036]CAS DET REAR (V16)</t>
    <phoneticPr fontId="1" type="noConversion"/>
  </si>
  <si>
    <t>RA-07T-2036</t>
  </si>
  <si>
    <t>RA-07T-2187]CAS DET REAR (CT) (A+)</t>
  </si>
  <si>
    <t>RA-07T-2187</t>
  </si>
  <si>
    <t>RA-07T-2495]CAS DET FRONT(A+ ODD)</t>
    <phoneticPr fontId="1" type="noConversion"/>
  </si>
  <si>
    <t>RA-07T-2495</t>
    <phoneticPr fontId="1" type="noConversion"/>
  </si>
  <si>
    <t>RA-07T-3072]CAS DET REAR (RAY)</t>
    <phoneticPr fontId="1" type="noConversion"/>
  </si>
  <si>
    <t>RA-07T-3072</t>
  </si>
  <si>
    <t>RA-07T-3073]CAS DET REAR (ST)</t>
    <phoneticPr fontId="1" type="noConversion"/>
  </si>
  <si>
    <t>RA-07T-3073</t>
    <phoneticPr fontId="1" type="noConversion"/>
  </si>
  <si>
    <t>RA-07T-3074]CAS DET REAR (V18)</t>
    <phoneticPr fontId="1" type="noConversion"/>
  </si>
  <si>
    <t>RA-07T-3074</t>
  </si>
  <si>
    <t>RA-07T-3075]CAS DET REAR (V20)</t>
    <phoneticPr fontId="1" type="noConversion"/>
  </si>
  <si>
    <t>RA-07T-3075</t>
  </si>
  <si>
    <t>RA-07T-3239]200002338 변경</t>
  </si>
  <si>
    <t>RA-07T-3239</t>
  </si>
  <si>
    <t>RA-07T-3268]CAS DET FRONT (ST)</t>
    <phoneticPr fontId="1" type="noConversion"/>
  </si>
  <si>
    <t>RA-07T-3268</t>
  </si>
  <si>
    <t>RA-07T-3429</t>
  </si>
  <si>
    <t>RA-07T-3469</t>
  </si>
  <si>
    <t>RA-07T-3956]CAS DET REAR (MG)</t>
  </si>
  <si>
    <t>RA-07T-3956</t>
  </si>
  <si>
    <t>RA-07T-3957]CAS DET LWR (MG)</t>
  </si>
  <si>
    <t>RA-07T-3957</t>
  </si>
  <si>
    <t>RA-07T-3959]CAS DET UPPER (MG)</t>
  </si>
  <si>
    <t>RA-07T-3959</t>
  </si>
  <si>
    <t>RA-07T-3960]CAS DET FRONT (MG)</t>
  </si>
  <si>
    <t>RA-07T-3960</t>
  </si>
  <si>
    <t>RA-07V-0267]BRK CAS DET REAR (LWR)</t>
  </si>
  <si>
    <t>RA-07V-0267</t>
  </si>
  <si>
    <t>3L15-2, 3L16-3</t>
  </si>
  <si>
    <t>RA-07V-0268]BRK CAS DET REAR (R/L)</t>
  </si>
  <si>
    <t>RA-07V-0268</t>
  </si>
  <si>
    <t>RA-07V-0430]PLT DET Bas (PANO)</t>
  </si>
  <si>
    <t>RA-07V-0430</t>
  </si>
  <si>
    <t>O4</t>
    <phoneticPr fontId="1" type="noConversion"/>
  </si>
  <si>
    <t>RA-07V-0503]HLDR DET CAS FRONT</t>
  </si>
  <si>
    <t>RA-07V-0503</t>
  </si>
  <si>
    <t>RA-07V-0973]CHINREST MOT BRK</t>
  </si>
  <si>
    <t>RA-07V-0973</t>
  </si>
  <si>
    <t>RA-07V-1608]PLT FIX DET (IR-P)</t>
  </si>
  <si>
    <t>RA-07V-1608</t>
  </si>
  <si>
    <t>PLT Bas DET (VA)</t>
  </si>
  <si>
    <t>RA-07V-1652</t>
  </si>
  <si>
    <t>4F</t>
    <phoneticPr fontId="1" type="noConversion"/>
  </si>
  <si>
    <t>RA-07V-1659]CVR DET MOT LINKER (VA)</t>
  </si>
  <si>
    <t>RA-07V-1659</t>
  </si>
  <si>
    <t>3L15-2</t>
  </si>
  <si>
    <t>RA-07V-1660]PLT FIX DET (VA)</t>
  </si>
  <si>
    <t>RA-07V-1660</t>
  </si>
  <si>
    <t>3L15-1</t>
  </si>
  <si>
    <t>RA-07V-1661]BRK PHOtSNSR (VA)</t>
  </si>
  <si>
    <t>RA-07V-1661</t>
  </si>
  <si>
    <t>J2-3</t>
    <phoneticPr fontId="1" type="noConversion"/>
  </si>
  <si>
    <t>RA-07V-1662]PLT ADJUST DET (VA)</t>
  </si>
  <si>
    <t>RA-07V-1662</t>
  </si>
  <si>
    <t>RA-07V-1665]BRK DET PCB (VA)</t>
  </si>
  <si>
    <t>RA-07V-1665</t>
  </si>
  <si>
    <t>RA-07V-1669]PLT PHOTSNSR (VA)</t>
  </si>
  <si>
    <t>RA-07V-1669</t>
  </si>
  <si>
    <t>RA-07V-1679]CVR DET PCB (VA)</t>
  </si>
  <si>
    <t>RA-07V-1679</t>
  </si>
  <si>
    <t>RA-07V-1717]PLT FIX DET(P)</t>
  </si>
  <si>
    <t>RA-07V-1717</t>
  </si>
  <si>
    <t>PLATE DETECTOR SENSOR</t>
  </si>
  <si>
    <t>RA-07V-1767</t>
    <phoneticPr fontId="1" type="noConversion"/>
  </si>
  <si>
    <t>RA-07V-2781]PLT Bas DET (IR)</t>
  </si>
  <si>
    <t>RA-07V-2781</t>
  </si>
  <si>
    <t>RA-07V-2782]CVR DET MOT LINKER (IR)</t>
  </si>
  <si>
    <t>RA-07V-2782</t>
  </si>
  <si>
    <t>RA-07V-2784]PLT FIX DET (IR)</t>
  </si>
  <si>
    <t>RA-07V-2784</t>
  </si>
  <si>
    <t>RA-07V-2785]PLT ADJUST DET (IR)</t>
  </si>
  <si>
    <t>RA-07V-2785</t>
  </si>
  <si>
    <t>RA-07V-2787]BRK DET PCB (IR)</t>
  </si>
  <si>
    <t>RA-07V-2787</t>
  </si>
  <si>
    <t>RA-07V-2788]BRK CAS DET LWR (IR)</t>
  </si>
  <si>
    <t>RA-07V-2788</t>
  </si>
  <si>
    <t>RA-07V-2789]PLT WEIGHT DET (IR)</t>
  </si>
  <si>
    <t>RA-07V-2789</t>
  </si>
  <si>
    <t>RA-07V-2790]PLT SPACER DET (IR)</t>
  </si>
  <si>
    <t>RA-07V-2790</t>
  </si>
  <si>
    <t>J2-4</t>
    <phoneticPr fontId="1" type="noConversion"/>
  </si>
  <si>
    <t>RA-07V-2791]CVR DET PCB (IR)</t>
  </si>
  <si>
    <t>RA-07V-2791</t>
  </si>
  <si>
    <t>RA-07V-3591]PLT DET Bas</t>
  </si>
  <si>
    <t>RA-07V-3591</t>
  </si>
  <si>
    <t>3G7</t>
    <phoneticPr fontId="1" type="noConversion"/>
  </si>
  <si>
    <t>RA-07V-3592]PLT MOT LINKER BAR</t>
  </si>
  <si>
    <t>RA-07V-3592</t>
  </si>
  <si>
    <t>RA-07V-3597]BRK MOT LINKER PHOtSNSR (ST)</t>
  </si>
  <si>
    <t>RA-07V-3597</t>
  </si>
  <si>
    <t>RA-07V-3605]PLT WEIGHT SUB A (ST)</t>
  </si>
  <si>
    <t>RA-07V-3605</t>
  </si>
  <si>
    <t>N3-4</t>
    <phoneticPr fontId="1" type="noConversion"/>
  </si>
  <si>
    <t>RA-07V-3607]PLT WEIGHT SUB C (ST)</t>
  </si>
  <si>
    <t>RA-07V-3607</t>
  </si>
  <si>
    <t>RA-07V-3608]PLT WEIGHT SUB D (ST)</t>
  </si>
  <si>
    <t>RA-07V-3608</t>
  </si>
  <si>
    <t>RA-07V-3609]BRK CAS DET LWR (ST)</t>
  </si>
  <si>
    <t>RA-07V-3609</t>
  </si>
  <si>
    <t>RA-07V-3613]PLATE DETECTOR SENS</t>
    <phoneticPr fontId="1" type="noConversion"/>
  </si>
  <si>
    <t>RA-07V-3613</t>
    <phoneticPr fontId="1" type="noConversion"/>
  </si>
  <si>
    <t>RA-07V-3742]PLT FIX DET (ST)</t>
  </si>
  <si>
    <t>RA-07V-3742</t>
  </si>
  <si>
    <t>3L14-2</t>
  </si>
  <si>
    <t>RA-07V-3743]PLT ADJUST DET (ST)</t>
  </si>
  <si>
    <t>RA-07V-3743</t>
  </si>
  <si>
    <t>J3-4</t>
    <phoneticPr fontId="1" type="noConversion"/>
  </si>
  <si>
    <t>RA-07V-3744]PLT DET SNSR (ST)</t>
  </si>
  <si>
    <t>RA-07V-3744</t>
  </si>
  <si>
    <t>RA-07V-3951]PLT FIX DET (MG)</t>
  </si>
  <si>
    <t>RA-07V-3951</t>
  </si>
  <si>
    <t>RA-07V-3952]PLT ADJUST DET (MG)</t>
  </si>
  <si>
    <t>RA-07V-3952</t>
  </si>
  <si>
    <t>RA-07V-3953]PLT DET SNSR (MG)</t>
    <phoneticPr fontId="1" type="noConversion"/>
  </si>
  <si>
    <t>RA-07V-3953</t>
    <phoneticPr fontId="1" type="noConversion"/>
  </si>
  <si>
    <t>RA-07V-3954]PLT WEIGHT SUB E (MG)</t>
  </si>
  <si>
    <t>RA-07V-3954</t>
  </si>
  <si>
    <t>N2-5</t>
    <phoneticPr fontId="1" type="noConversion"/>
  </si>
  <si>
    <t>RA-07V-3955]PLT WEIGHT SUB F (MG)</t>
  </si>
  <si>
    <t>RA-07V-3955</t>
  </si>
  <si>
    <t>RA-07V-3958]BRK DET LWR CAS (MG)</t>
  </si>
  <si>
    <t>RA-07V-3958</t>
  </si>
  <si>
    <t>RA-07V-3962]CVR DET PCB (MG)</t>
  </si>
  <si>
    <t>RA-07V-3962</t>
  </si>
  <si>
    <t>RA-07V-4041]CAS BODY LEFT (MCT)</t>
  </si>
  <si>
    <t>RA-07V-4041</t>
  </si>
  <si>
    <t>3M3-4</t>
  </si>
  <si>
    <t>RA-07V-4042]PLT EMERGENCY CAS LEFT (MCT)</t>
  </si>
  <si>
    <t>RA-07V-4042</t>
  </si>
  <si>
    <t>RA-07V-4043]PLT PUSHER CAS LEFT (MCT)</t>
  </si>
  <si>
    <t>RA-07V-4043</t>
  </si>
  <si>
    <t>RA-07V-4044]PLT LAN CAS LEFT (MCT)</t>
  </si>
  <si>
    <t>RA-07V-4044</t>
  </si>
  <si>
    <t>RA-07V-4045]CAS BODY RIGHT (MCT)</t>
  </si>
  <si>
    <t>RA-07V-4045</t>
  </si>
  <si>
    <t>RA-07V-4047]BRK SWITCH_CHINA (MCT)</t>
  </si>
  <si>
    <t>RA-07V-4047</t>
  </si>
  <si>
    <t>3M4-4</t>
  </si>
  <si>
    <t>RA-07V-4048]PLT PUSHER CAS L_CHINA(MCT</t>
  </si>
  <si>
    <t>RA-07V-4048</t>
  </si>
  <si>
    <t>RA-07V-4051]CAS BODY FRONT (MCT)</t>
  </si>
  <si>
    <t>RA-07V-4051</t>
  </si>
  <si>
    <t>RA-07V-4061]CAS BODY REAR (MCT)</t>
  </si>
  <si>
    <t>RA-07V-4061</t>
  </si>
  <si>
    <t>RA-07V-4064]PB CAS BODY REAR (MCT)</t>
  </si>
  <si>
    <t>RA-07V-4064</t>
  </si>
  <si>
    <t>RA-07V-4067]PB CAS BODY TOP A (MCT)</t>
  </si>
  <si>
    <t>RA-07V-4067</t>
  </si>
  <si>
    <t>RA-07V-4068]PB CAS BODY TOP B (MCT)</t>
  </si>
  <si>
    <t>RA-07V-4068</t>
  </si>
  <si>
    <t>RA-07V-4069]BRK CAS BODY REAR (MCT)</t>
  </si>
  <si>
    <t>RA-07V-4069</t>
  </si>
  <si>
    <t>RA-07V-4071]CAS BODY MAGNET (MCT)</t>
  </si>
  <si>
    <t>RA-07V-4071</t>
  </si>
  <si>
    <t>3D2-1</t>
    <phoneticPr fontId="1" type="noConversion"/>
  </si>
  <si>
    <t>RA-07V-4074]PB CAS BODY TOP C (MCT)</t>
  </si>
  <si>
    <t>RA-07V-4074</t>
  </si>
  <si>
    <t>RA-08A-0600]DETECTOR SCREW MODULE</t>
  </si>
  <si>
    <t>RA-08A-0600</t>
  </si>
  <si>
    <t>3L13-2</t>
  </si>
  <si>
    <t>RA-08A-0611]ASM EARLOD Mdl</t>
  </si>
  <si>
    <t>RA-08A-0611</t>
  </si>
  <si>
    <t>E1-6</t>
    <phoneticPr fontId="1" type="noConversion"/>
  </si>
  <si>
    <t>RA-08A-0612]ASM _4HEAD Mdl</t>
  </si>
  <si>
    <t>RA-08A-0612</t>
  </si>
  <si>
    <t>RA-08A-0745]ASM OC EARLOD L</t>
  </si>
  <si>
    <t>RA-08A-0745</t>
  </si>
  <si>
    <t>RA-08A-2225]ASM CARPUS Mdl (A+)</t>
  </si>
  <si>
    <t>RA-08A-2225</t>
  </si>
  <si>
    <t>RA-08A-2252]COL SCREW MDL (A+)</t>
  </si>
  <si>
    <t>RA-08A-2252</t>
  </si>
  <si>
    <t>3G6-2</t>
    <phoneticPr fontId="1" type="noConversion"/>
  </si>
  <si>
    <t>RA-08A-2260]ASM FOREHEAD (A+)</t>
  </si>
  <si>
    <t>RA-08A-2260</t>
  </si>
  <si>
    <t>I1</t>
    <phoneticPr fontId="1" type="noConversion"/>
  </si>
  <si>
    <t>RA-08A-2593]ASM SCAN CEPH HEADREST</t>
  </si>
  <si>
    <t>RA-08A-2593</t>
  </si>
  <si>
    <t>RA-08A-2726]ASM SCAN CEPH Mdl</t>
  </si>
  <si>
    <t>RA-08A-2726</t>
  </si>
  <si>
    <t>RA-08A-2749]ASM CAS CEPH COL FRONT</t>
  </si>
  <si>
    <t>RA-08A-2749</t>
  </si>
  <si>
    <t>RA-08A-2750]ASM CAS CEPH COL REAR</t>
  </si>
  <si>
    <t>RA-08A-2750</t>
  </si>
  <si>
    <t>RA-08A-2751]ASM CAS CEPH SNSR FRONT</t>
  </si>
  <si>
    <t>RA-08A-2751</t>
  </si>
  <si>
    <t>RA-08A-2752]ASM CAS CEPH SNSR REAR</t>
  </si>
  <si>
    <t>RA-08A-2752</t>
  </si>
  <si>
    <t>RA-08A-5166]Bd ASSY'-SCCONN Bd</t>
    <phoneticPr fontId="1" type="noConversion"/>
  </si>
  <si>
    <t>RA-08A-5166</t>
  </si>
  <si>
    <t>A2-4</t>
    <phoneticPr fontId="1" type="noConversion"/>
  </si>
  <si>
    <t>RA-08A-5167]Bd ASSY'-SLIDE Bd</t>
    <phoneticPr fontId="1" type="noConversion"/>
  </si>
  <si>
    <t>RA-08A-5167</t>
  </si>
  <si>
    <t>RA-08A-6098]Bd ASSY'-SC I/F Bd</t>
  </si>
  <si>
    <t>RA-08A-6098</t>
  </si>
  <si>
    <t>A4-3</t>
    <phoneticPr fontId="1" type="noConversion"/>
  </si>
  <si>
    <t>RA-08A-6113</t>
    <phoneticPr fontId="1" type="noConversion"/>
  </si>
  <si>
    <t>A1-1</t>
    <phoneticPr fontId="1" type="noConversion"/>
  </si>
  <si>
    <t>RA-08M-0174]CVR CEPH DET</t>
  </si>
  <si>
    <t>RA-08M-0174</t>
  </si>
  <si>
    <t>RA-08M-0593]ARM SCAN CEPH</t>
  </si>
  <si>
    <t>RA-08M-0593</t>
  </si>
  <si>
    <t>RA-08M-0619]SHAFT _4HEAD FIX</t>
  </si>
  <si>
    <t>RA-08M-0619</t>
  </si>
  <si>
    <t>E2-1</t>
    <phoneticPr fontId="1" type="noConversion"/>
  </si>
  <si>
    <t>RA-08M-0620]PLT CEPH _4HEAD</t>
  </si>
  <si>
    <t>RA-08M-0620</t>
  </si>
  <si>
    <t>RA-08M-0622]WASHER SCAN CEPH</t>
  </si>
  <si>
    <t>RA-08M-0622</t>
  </si>
  <si>
    <t>RA-08M-0623]PIN STOPPER</t>
  </si>
  <si>
    <t>RA-08M-0623</t>
  </si>
  <si>
    <t>RA-08M-0624]BLK CEPH _4HEAD</t>
  </si>
  <si>
    <t>RA-08M-0624</t>
  </si>
  <si>
    <t>RA-08M-0625]_4M CEPH _4HEAD</t>
  </si>
  <si>
    <t>RA-08M-0625</t>
  </si>
  <si>
    <t>RA-08M-0642]PANEL CEPH COL B</t>
  </si>
  <si>
    <t>RA-08M-0642</t>
  </si>
  <si>
    <t>3L13-1</t>
  </si>
  <si>
    <t>RA-08M-0644]SHAFT CARPUS FIX</t>
  </si>
  <si>
    <t>RA-08M-0644</t>
  </si>
  <si>
    <t>RA-08M-0705]BLK CABLE PROT</t>
  </si>
  <si>
    <t>RA-08M-0705</t>
  </si>
  <si>
    <t>RA-08M-0707]CAP EARLOD</t>
  </si>
  <si>
    <t>RA-08M-0707</t>
  </si>
  <si>
    <t>E1-1</t>
    <phoneticPr fontId="1" type="noConversion"/>
  </si>
  <si>
    <t>RA-08M-0708]RING EARLOD</t>
  </si>
  <si>
    <t>RA-08M-0708</t>
  </si>
  <si>
    <t>RA-08M-0738]BLK OC _4HEAD FIX</t>
  </si>
  <si>
    <t>RA-08M-0738</t>
  </si>
  <si>
    <t>RA-08M-0975]SHAFT ROLLER AXIS</t>
  </si>
  <si>
    <t>RA-08M-0975</t>
  </si>
  <si>
    <t>E1-2</t>
    <phoneticPr fontId="1" type="noConversion"/>
  </si>
  <si>
    <t>RA-08M-0976]CEPH SCALE BAR</t>
  </si>
  <si>
    <t>RA-08M-0976</t>
  </si>
  <si>
    <t>RA-08M-1193]PANEL OCS BOLT CAP</t>
  </si>
  <si>
    <t>RA-08M-1193</t>
  </si>
  <si>
    <t>RA-08M-1225]STRIPPER BOLT ROLLER</t>
  </si>
  <si>
    <t>RA-08M-1225</t>
  </si>
  <si>
    <t>RA-08M-1235</t>
  </si>
  <si>
    <t>RA-08M-1236]BLK CEPH AXIS BODY OC-C</t>
  </si>
  <si>
    <t>RA-08M-1236</t>
  </si>
  <si>
    <t>E2-2</t>
    <phoneticPr fontId="1" type="noConversion"/>
  </si>
  <si>
    <t>RA-08M-1266]BLK Bas1</t>
  </si>
  <si>
    <t>RA-08M-1266</t>
  </si>
  <si>
    <t>F2-7,F1</t>
    <phoneticPr fontId="1" type="noConversion"/>
  </si>
  <si>
    <t>RA-08M-1267]BLK OCS Bas2</t>
  </si>
  <si>
    <t>RA-08M-1267</t>
  </si>
  <si>
    <t>RA-08M-1696]PANEL OCS SNSR</t>
  </si>
  <si>
    <t>RA-08M-1696</t>
  </si>
  <si>
    <t>RA-08M-1738]BLK OCS Bas A</t>
  </si>
  <si>
    <t>RA-08M-1738</t>
  </si>
  <si>
    <t>RA-08M-1739]BLK OCS Bas B</t>
  </si>
  <si>
    <t>RA-08M-1739</t>
  </si>
  <si>
    <t>RA-08M-1741]BLK _4HEAD FIX</t>
  </si>
  <si>
    <t>RA-08M-1741</t>
  </si>
  <si>
    <t>RA-08M-1887]FRM Bas CEPH (VW)</t>
  </si>
  <si>
    <t>RA-08M-1887</t>
  </si>
  <si>
    <t>E4-2</t>
    <phoneticPr fontId="1" type="noConversion"/>
  </si>
  <si>
    <t>RA-08M-1939]BLK OC EARLOD FIX</t>
  </si>
  <si>
    <t>RA-08M-1939</t>
  </si>
  <si>
    <t>RA-08M-2192]PANEL CEPH COL (A+)</t>
  </si>
  <si>
    <t>RA-08M-2192</t>
  </si>
  <si>
    <t>RA-08M-2261]BLK _4HEAD FIX (A+)</t>
  </si>
  <si>
    <t>RA-08M-2261</t>
  </si>
  <si>
    <t>3L13-3</t>
  </si>
  <si>
    <t>RA-08M-2539_D]FRM SCAN CEPH MAIN Bas</t>
  </si>
  <si>
    <t>RA-08M-2539</t>
    <phoneticPr fontId="2" type="noConversion"/>
  </si>
  <si>
    <t>RA-08M-2670]ARM CEPH BODY (VW)</t>
  </si>
  <si>
    <t>RA-08M-2670</t>
  </si>
  <si>
    <t>E4-4</t>
    <phoneticPr fontId="1" type="noConversion"/>
  </si>
  <si>
    <t>RA-08M-2673]BRK CEPH AXIS BODY (VW)</t>
  </si>
  <si>
    <t>RA-08M-2673</t>
  </si>
  <si>
    <t>RA-08M-2677]DRUM SCAN CEPH HEADREST (VW)</t>
  </si>
  <si>
    <t>RA-08M-2677</t>
  </si>
  <si>
    <t>RA-08M-2679]SHAFT CEPH AXIS BODY (VW)</t>
  </si>
  <si>
    <t>RA-08M-2679</t>
  </si>
  <si>
    <t>RA-08M-2705]BLK CEPH AXIS BODY TOP (VW)</t>
  </si>
  <si>
    <t>RA-08M-2705</t>
  </si>
  <si>
    <t>RA-08M-2706]BLK CEPH AXIS BODY FRONT(VW</t>
  </si>
  <si>
    <t>RA-08M-2706</t>
  </si>
  <si>
    <t>RA-08M-2707]BLK CEPH AXIS BODY REAR (VW)</t>
  </si>
  <si>
    <t>RA-08M-2707</t>
  </si>
  <si>
    <t>RA-08M-2708]SHAFT CEPH AXIS BODY (VW)</t>
  </si>
  <si>
    <t>RA-08M-2708</t>
  </si>
  <si>
    <t>RA-08M-3051]ARM BODY Bas 1 (M+)</t>
    <phoneticPr fontId="1" type="noConversion"/>
  </si>
  <si>
    <t>RA-08M-3051</t>
  </si>
  <si>
    <t>1F</t>
    <phoneticPr fontId="1" type="noConversion"/>
  </si>
  <si>
    <t>RA-08M-3052]ARM BODY Bas 2 (M+)</t>
  </si>
  <si>
    <t>RA-08M-3052</t>
  </si>
  <si>
    <t>RA-08M-3053]BLK CEPH ARM FIX (M+)</t>
  </si>
  <si>
    <t>RA-08M-3053</t>
  </si>
  <si>
    <t>RA-08M-3055]SHAFT HINGE DR DET (M+)</t>
  </si>
  <si>
    <t>RA-08M-3055</t>
  </si>
  <si>
    <t>E4-1</t>
    <phoneticPr fontId="1" type="noConversion"/>
  </si>
  <si>
    <t>RA-08M-3976]PANEL SCAN CEPH (MG)</t>
  </si>
  <si>
    <t>RA-08M-3976</t>
  </si>
  <si>
    <t>RA-08M-3979]ARM SCAN CEPH (MG)</t>
  </si>
  <si>
    <t>RA-08M-3979</t>
  </si>
  <si>
    <t>RA-08S-2614]DU BUSH D8 L10</t>
  </si>
  <si>
    <t>RA-08S-2614</t>
  </si>
  <si>
    <t>RA-08S-5182]VARIAN PAXSCAN 2530C DET</t>
    <phoneticPr fontId="1" type="noConversion"/>
  </si>
  <si>
    <t>RA-08S-5182</t>
  </si>
  <si>
    <t>A14-1</t>
    <phoneticPr fontId="1" type="noConversion"/>
  </si>
  <si>
    <t>RA-08S-6013]SG 1717 DET</t>
    <phoneticPr fontId="1" type="noConversion"/>
  </si>
  <si>
    <t>RA-08S-6013</t>
  </si>
  <si>
    <t>A11-1</t>
    <phoneticPr fontId="1" type="noConversion"/>
  </si>
  <si>
    <t>RA-08S-6076]VIEWORKS, FXRD-1717VA DET</t>
    <phoneticPr fontId="1" type="noConversion"/>
  </si>
  <si>
    <t>RA-08S-6076</t>
  </si>
  <si>
    <t>RA-08S-6079]VIEWORKS, FXDD-1012CA DET</t>
    <phoneticPr fontId="1" type="noConversion"/>
  </si>
  <si>
    <t>RA-08S-6079</t>
  </si>
  <si>
    <t>A10-2</t>
    <phoneticPr fontId="1" type="noConversion"/>
  </si>
  <si>
    <t>RA-08T-0178]CAS CEPH SNSR BOT</t>
    <phoneticPr fontId="1" type="noConversion"/>
  </si>
  <si>
    <t>RA-08T-0178</t>
    <phoneticPr fontId="1" type="noConversion"/>
  </si>
  <si>
    <t>RA-08T-0632]CAS CEPH _4HEAD BAR</t>
  </si>
  <si>
    <t>RA-08T-0632</t>
  </si>
  <si>
    <t>RA-08T-0634]CAS SCAN CEPH UPPER</t>
    <phoneticPr fontId="1" type="noConversion"/>
  </si>
  <si>
    <t>RA-08T-0634</t>
  </si>
  <si>
    <t>RA-08T-0635]CAS SCAN CEPH BOT</t>
    <phoneticPr fontId="1" type="noConversion"/>
  </si>
  <si>
    <t>RA-08T-0635</t>
    <phoneticPr fontId="1" type="noConversion"/>
  </si>
  <si>
    <t>RA-08T-0637]CAS CEPH SNSR REAR</t>
  </si>
  <si>
    <t>RA-08T-0637</t>
  </si>
  <si>
    <t>RA-08T-0639]CAS CEPH COL FRONT</t>
  </si>
  <si>
    <t>RA-08T-0639</t>
  </si>
  <si>
    <t>RA-08T-1261]CAS OCS SNSR REAR</t>
    <phoneticPr fontId="1" type="noConversion"/>
  </si>
  <si>
    <t>RA-08T-1261</t>
  </si>
  <si>
    <t>RA-08T-1262]CASE OCS SENSOR FRONT</t>
    <phoneticPr fontId="1" type="noConversion"/>
  </si>
  <si>
    <t>RA-08T-1262</t>
  </si>
  <si>
    <t>RA-08T-1264]CAS SCAN CEPH BOT CAP1</t>
  </si>
  <si>
    <t>RA-08T-1264</t>
  </si>
  <si>
    <t>RA-08T-1265]CAS SCAN CEPH BOT CAP2</t>
  </si>
  <si>
    <t>RA-08T-1265</t>
  </si>
  <si>
    <t>RA-08T-1466]CAS CEPH EAR-ROD</t>
  </si>
  <si>
    <t>RA-08T-1466</t>
  </si>
  <si>
    <t>RA-08T-2185]CAS CEPH _4HEAD</t>
  </si>
  <si>
    <t>RA-08T-2185</t>
  </si>
  <si>
    <t>RA-08T-2592]CAS EARLOD FIX</t>
  </si>
  <si>
    <t>RA-08T-2592</t>
  </si>
  <si>
    <t>E3-1</t>
    <phoneticPr fontId="1" type="noConversion"/>
  </si>
  <si>
    <t>RA-08T-2629]CAS CARPUS</t>
  </si>
  <si>
    <t>RA-08T-2629</t>
  </si>
  <si>
    <t>RA-08T-2702]CASE OCS SENSOR FRONT(OCSV)</t>
    <phoneticPr fontId="1" type="noConversion"/>
  </si>
  <si>
    <t>RA-08T-2702</t>
  </si>
  <si>
    <t>RA-08T-3011</t>
  </si>
  <si>
    <t>RA-08T-3061]CVR DR ARM</t>
  </si>
  <si>
    <t>RA-08T-3061</t>
  </si>
  <si>
    <t>E3-4</t>
    <phoneticPr fontId="1" type="noConversion"/>
  </si>
  <si>
    <t>RA-08T-3967]CAS SCAN CEPH BOT (MG)</t>
  </si>
  <si>
    <t>RA-08T-3967</t>
  </si>
  <si>
    <t>RA-08T-3968]CAS SCAN CEPH UPPER (MG)</t>
  </si>
  <si>
    <t>RA-08T-3968</t>
  </si>
  <si>
    <t>RA-08T-3978]CAS CEPH _4HEAD (MG)</t>
  </si>
  <si>
    <t>RA-08T-3978</t>
  </si>
  <si>
    <t>RA-08V-0162]HLDR CAS CEPH SNSR R_L</t>
  </si>
  <si>
    <t>RA-08V-0162</t>
  </si>
  <si>
    <t>E2-3</t>
    <phoneticPr fontId="1" type="noConversion"/>
  </si>
  <si>
    <t>RA-08V-0168]BLK MOUNT MECHA</t>
  </si>
  <si>
    <t>RA-08V-0168</t>
  </si>
  <si>
    <t>RA-08V-0169]BRK CAS CEPH SNSR BRIDGE</t>
  </si>
  <si>
    <t>RA-08V-0169</t>
  </si>
  <si>
    <t>RA-08V-0170]CVR MOUNT CEPH ARM</t>
  </si>
  <si>
    <t>RA-08V-0170</t>
  </si>
  <si>
    <t>RA-08V-0171]BRK CAS CEPH SNSR BOT</t>
  </si>
  <si>
    <t>RA-08V-0171</t>
  </si>
  <si>
    <t>RA-08V-0173]DECO CEPH ARM</t>
  </si>
  <si>
    <t>RA-08V-0173</t>
  </si>
  <si>
    <t>RA-08V-0181]BLK CEPH ARM FIX</t>
  </si>
  <si>
    <t>RA-08V-0181</t>
  </si>
  <si>
    <t>RA-08V-0361]HLDR CAS CEPH SNSR BACK</t>
  </si>
  <si>
    <t>RA-08V-0361</t>
  </si>
  <si>
    <t>RA-08V-0436]BRK CAS CEPH SNSR UPPER</t>
  </si>
  <si>
    <t>RA-08V-0436</t>
  </si>
  <si>
    <t>E1-3</t>
    <phoneticPr fontId="1" type="noConversion"/>
  </si>
  <si>
    <t>RA-08V-0460]TILT ARM HINGE</t>
  </si>
  <si>
    <t>RA-08V-0460</t>
  </si>
  <si>
    <t>RA-08V-0592]CVR BRK CEPH ARM</t>
  </si>
  <si>
    <t>RA-08V-0592</t>
  </si>
  <si>
    <t>RA-08V-0595]CAS MOUNT BRK</t>
  </si>
  <si>
    <t>RA-08V-0595</t>
  </si>
  <si>
    <t>RA-08V-0599]BRK PHOt SNSR</t>
  </si>
  <si>
    <t>RA-08V-0599</t>
  </si>
  <si>
    <t>RA-08V-0602]BRK DET SCREW MDL</t>
  </si>
  <si>
    <t>RA-08V-0602</t>
  </si>
  <si>
    <t>RA-08V-0604]STOPPER SCAN CEPH</t>
  </si>
  <si>
    <t>RA-08V-0604</t>
  </si>
  <si>
    <t>RA-08V-0621]PLT WASHER FIX</t>
  </si>
  <si>
    <t>RA-08V-0621</t>
  </si>
  <si>
    <t>RA-08V-0688]BRK CEPH ARM B</t>
  </si>
  <si>
    <t>RA-08V-0688</t>
  </si>
  <si>
    <t>RA-08V-0703]DET CABLE PROT</t>
  </si>
  <si>
    <t>RA-08V-0703</t>
  </si>
  <si>
    <t>E3-2</t>
    <phoneticPr fontId="1" type="noConversion"/>
  </si>
  <si>
    <t>RA-08V-0729]BRK BOT CVR FIX A</t>
  </si>
  <si>
    <t>RA-08V-0729</t>
  </si>
  <si>
    <t>RA-08V-0730]BRK BOT CVR FIX B</t>
  </si>
  <si>
    <t>RA-08V-0730</t>
  </si>
  <si>
    <t>RA-08V-0737]CVR OC HEADREST BOT</t>
  </si>
  <si>
    <t>RA-08V-0737</t>
  </si>
  <si>
    <t>RA-08V-0851</t>
  </si>
  <si>
    <t>3C3</t>
  </si>
  <si>
    <t>RA-08V-0974]BRK WIRE MOUNT</t>
  </si>
  <si>
    <t>RA-08V-0974</t>
  </si>
  <si>
    <t>RA-08V-1028]PLT DET CVR</t>
  </si>
  <si>
    <t>RA-08V-1028</t>
  </si>
  <si>
    <t>E2-4</t>
    <phoneticPr fontId="1" type="noConversion"/>
  </si>
  <si>
    <t>RA-08V-1177]HOOK CAS CEPH SNSR(R)</t>
  </si>
  <si>
    <t>RA-08V-1177</t>
  </si>
  <si>
    <t>RA-08V-1178]HOOK CAS CEPH SNSR(L)</t>
  </si>
  <si>
    <t>RA-08V-1178</t>
  </si>
  <si>
    <t>RA-08V-1179]BRK OCS CAS</t>
  </si>
  <si>
    <t>RA-08V-1179</t>
  </si>
  <si>
    <t>RA-08V-1206]BRK CAS PUSHER</t>
  </si>
  <si>
    <t>RA-08V-1206</t>
  </si>
  <si>
    <t>RA-08V-1243]PLT WASHER FIX</t>
  </si>
  <si>
    <t>RA-08V-1243</t>
  </si>
  <si>
    <t>RA-08V-1269]BRK GUIDE</t>
  </si>
  <si>
    <t>RA-08V-1269</t>
  </si>
  <si>
    <t>RA-08V-1270]BRK OCS BOT</t>
  </si>
  <si>
    <t>RA-08V-1270</t>
  </si>
  <si>
    <t>E1-4</t>
    <phoneticPr fontId="1" type="noConversion"/>
  </si>
  <si>
    <t>RA-08V-1276]HOOK CAS CEPH SNSR(R)</t>
  </si>
  <si>
    <t>RA-08V-1276</t>
  </si>
  <si>
    <t>RA-08V-1277]HLDR CAS OCS SNSR</t>
  </si>
  <si>
    <t>RA-08V-1277</t>
  </si>
  <si>
    <t>RA-08V-1279]PLT OCS CAS</t>
  </si>
  <si>
    <t>RA-08V-1279</t>
  </si>
  <si>
    <t>RA-08V-1307]BLK MOUNT OCL SNSR (SG)</t>
  </si>
  <si>
    <t>RA-08V-1307</t>
  </si>
  <si>
    <t>RA-08V-1308]HLDR CAS CEPH SNSR BOT (SG)</t>
  </si>
  <si>
    <t>RA-08V-1308</t>
  </si>
  <si>
    <t>RA-08V-1545]PLT SC 2ND PB COL</t>
  </si>
  <si>
    <t>RA-08V-1545</t>
  </si>
  <si>
    <t>E3-3</t>
    <phoneticPr fontId="1" type="noConversion"/>
  </si>
  <si>
    <t>RA-08V-1697]BRK CAS CEPH SNSR(L)</t>
  </si>
  <si>
    <t>RA-08V-1697</t>
  </si>
  <si>
    <t>E1-5</t>
    <phoneticPr fontId="1" type="noConversion"/>
  </si>
  <si>
    <t>RA-08V-1698]PLT MAIN Bas OCS</t>
  </si>
  <si>
    <t>RA-08V-1698</t>
  </si>
  <si>
    <t>RA-08V-1699]HOOK CAS CEPH SNSR(L)</t>
  </si>
  <si>
    <t>RA-08V-1699</t>
  </si>
  <si>
    <t>E2-5</t>
    <phoneticPr fontId="1" type="noConversion"/>
  </si>
  <si>
    <t>RA-08V-1734]HOOK CAS CEPH SNSR(L)</t>
  </si>
  <si>
    <t>RA-08V-1734</t>
  </si>
  <si>
    <t>RA-08V-1735]HOOK CAS CEPH SNSR(R)</t>
  </si>
  <si>
    <t>RA-08V-1735</t>
  </si>
  <si>
    <t>RA-08V-1744]CVR BRK CEPH ARM</t>
  </si>
  <si>
    <t>RA-08V-1744</t>
  </si>
  <si>
    <t>RA-08V-1872]BLK MOUNT OCG SNSR (VW)</t>
  </si>
  <si>
    <t>RA-08V-1872</t>
  </si>
  <si>
    <t>RA-08V-2613]PLT FIX SUP</t>
  </si>
  <si>
    <t>RA-08V-2613</t>
  </si>
  <si>
    <t>RA-08V-2617]PLT FIX SUP (OC)</t>
  </si>
  <si>
    <t>RA-08V-2617</t>
  </si>
  <si>
    <t>RA-08V-2662]HOOK CAS CEPH SNSR (R)</t>
  </si>
  <si>
    <t>RA-08V-2662</t>
  </si>
  <si>
    <t>RA-08V-2663]HOOK CAS CEPH SNSR (L)</t>
  </si>
  <si>
    <t>RA-08V-2663</t>
  </si>
  <si>
    <t>RA-08V-2664]HLDR CAS CEPH SNSR (RL) (VW)</t>
  </si>
  <si>
    <t>RA-08V-2664</t>
  </si>
  <si>
    <t>RA-08V-2665]BRK PUSH VIEWORKS POWER</t>
  </si>
  <si>
    <t>RA-08V-2665</t>
  </si>
  <si>
    <t>RA-08V-2666]BRK EARLOD FIX A (VW)</t>
  </si>
  <si>
    <t>RA-08V-2666</t>
  </si>
  <si>
    <t>RA-08V-2667]BRK EARLOD FIX B (VW)</t>
  </si>
  <si>
    <t>RA-08V-2667</t>
  </si>
  <si>
    <t>RA-08V-2671]BRK ROT CAS BRIDGE A (VW)</t>
  </si>
  <si>
    <t>RA-08V-2671</t>
  </si>
  <si>
    <t>RA-08V-2672]BRK SCAN CEPH BOT (VW)</t>
  </si>
  <si>
    <t>RA-08V-2672</t>
  </si>
  <si>
    <t>RA-08V-2676]BRK MOUNT CEPH ARM (VW)</t>
  </si>
  <si>
    <t>RA-08V-2676</t>
  </si>
  <si>
    <t>RA-08V-2678]PLT DRUM MOUNT HEADREST (VW)</t>
  </si>
  <si>
    <t>RA-08V-2678</t>
  </si>
  <si>
    <t>RA-08V-2680]TILT ARM HINGE (VW)</t>
  </si>
  <si>
    <t>RA-08V-2680</t>
  </si>
  <si>
    <t>RA-08V-2681]PLT STOPPER GUIDE (VW)</t>
  </si>
  <si>
    <t>RA-08V-2681</t>
  </si>
  <si>
    <t>RA-08V-2683]PLT CEPH ARM FIX (VW)</t>
  </si>
  <si>
    <t>RA-08V-2683</t>
  </si>
  <si>
    <t>E2-6</t>
    <phoneticPr fontId="1" type="noConversion"/>
  </si>
  <si>
    <t>RA-08V-2688]SPACER WASHER HEADREST (VW)</t>
  </si>
  <si>
    <t>RA-08V-2688</t>
  </si>
  <si>
    <t>RA-08V-2691]HLDR CAS CEPH SNSR BOT (VW)</t>
  </si>
  <si>
    <t>RA-08V-2691</t>
  </si>
  <si>
    <t>RA-08V-2693]PLT MAIN Bas OCS (VW)</t>
  </si>
  <si>
    <t>RA-08V-2693</t>
  </si>
  <si>
    <t>RA-08V-2694]BRK ADAPTOR HOLD (VW)</t>
  </si>
  <si>
    <t>RA-08V-2694</t>
  </si>
  <si>
    <t>RA-08V-2695]BRK OCS ADAPTOR SUP (VW)</t>
  </si>
  <si>
    <t>RA-08V-2695</t>
  </si>
  <si>
    <t>RA-08V-2696]HOOK CAS CEPH SNSR(R) (VW)</t>
  </si>
  <si>
    <t>RA-08V-2696</t>
  </si>
  <si>
    <t>RA-08V-2697]HOOK CAS CEPH SNSR(L) (VW)</t>
  </si>
  <si>
    <t>RA-08V-2697</t>
  </si>
  <si>
    <t>RA-08V-2700]BRK OCS BOT (VW)</t>
  </si>
  <si>
    <t>RA-08V-2700</t>
  </si>
  <si>
    <t>RA-08V-2701]BRK CEPH ARM A (VW)</t>
  </si>
  <si>
    <t>RA-08V-2701</t>
  </si>
  <si>
    <t>RA-08V-2796]BRK SC SPACER (IR)</t>
  </si>
  <si>
    <t>RA-08V-2796</t>
  </si>
  <si>
    <t>J1-2</t>
    <phoneticPr fontId="1" type="noConversion"/>
  </si>
  <si>
    <t>RA-08V-3001]CVR BRK DR ARM (M+)</t>
  </si>
  <si>
    <t>RA-08V-3001</t>
  </si>
  <si>
    <t>RA-08V-3012]CAS DR REAR CAS (M+)</t>
  </si>
  <si>
    <t>RA-08V-3012</t>
  </si>
  <si>
    <t>RA-08V-3013]BRK MOUNT 1717SCC (M+)</t>
  </si>
  <si>
    <t>RA-08V-3013</t>
  </si>
  <si>
    <t>RA-08V-3014]BRK Bas DET</t>
  </si>
  <si>
    <t>RA-08V-3014</t>
  </si>
  <si>
    <t>RA-08V-3015]PLT Bas DET</t>
  </si>
  <si>
    <t>RA-08V-3015</t>
  </si>
  <si>
    <t>RA-08V-3022]CAS VW 1717 DR REAR CAS (M+)</t>
    <phoneticPr fontId="1" type="noConversion"/>
  </si>
  <si>
    <t>RA-08V-3022</t>
    <phoneticPr fontId="1" type="noConversion"/>
  </si>
  <si>
    <t>RA-08V-3024]BRK DET DSUB FIX (M+)</t>
  </si>
  <si>
    <t>RA-08V-3024</t>
  </si>
  <si>
    <t>RA-08V-3054]HLDR ARM CVR (M+)</t>
  </si>
  <si>
    <t>RA-08V-3054</t>
  </si>
  <si>
    <t>RA-08V-3056]PLT CHEST ARM (M+)</t>
  </si>
  <si>
    <t>RA-08V-3056</t>
  </si>
  <si>
    <t>RA-08V-3062]BRK CVR DR ARM A (M+)</t>
  </si>
  <si>
    <t>RA-08V-3062</t>
  </si>
  <si>
    <t>RA-08V-3063]BRK CVR DR ARM B (M+)</t>
  </si>
  <si>
    <t>RA-08V-3063</t>
  </si>
  <si>
    <t>RA-08V-3970]BRK SNSR PLT (MG)</t>
  </si>
  <si>
    <t>RA-08V-3970</t>
  </si>
  <si>
    <t>RA-08V-3972]BRK PLT 2ND COL (MG)</t>
  </si>
  <si>
    <t>RA-08V-3972</t>
  </si>
  <si>
    <t>RA-08V-3973]BRK 2ND COL SUB (MG)</t>
  </si>
  <si>
    <t>RA-08V-3973</t>
  </si>
  <si>
    <t>N3-5</t>
    <phoneticPr fontId="1" type="noConversion"/>
  </si>
  <si>
    <t>RA-08V-3980]PLT DET CVR (MG)</t>
  </si>
  <si>
    <t>RA-08V-3980</t>
  </si>
  <si>
    <t>RA-09A-0345]ASM REMOTE CONTROL</t>
  </si>
  <si>
    <t>RA-09A-0345</t>
  </si>
  <si>
    <t>L1-1</t>
    <phoneticPr fontId="1" type="noConversion"/>
  </si>
  <si>
    <t>RA-09A-0967]ASM EXPOSURE SW</t>
  </si>
  <si>
    <t>RA-09A-0967</t>
  </si>
  <si>
    <t>RA-09A-1487]PATIENT ALIGN PHANTOM</t>
    <phoneticPr fontId="1" type="noConversion"/>
  </si>
  <si>
    <t>RA-09A-1487</t>
  </si>
  <si>
    <t>M6</t>
    <phoneticPr fontId="1" type="noConversion"/>
  </si>
  <si>
    <t>RA-09A-1940]ASM REMOTE(α)</t>
    <phoneticPr fontId="1" type="noConversion"/>
  </si>
  <si>
    <t>RA-09A-1940</t>
  </si>
  <si>
    <t>A13-1</t>
    <phoneticPr fontId="1" type="noConversion"/>
  </si>
  <si>
    <t>RA-09A-2030]ASM REMOTE (α+)</t>
    <phoneticPr fontId="1" type="noConversion"/>
  </si>
  <si>
    <t>RA-09A-2030</t>
  </si>
  <si>
    <t>A13-2</t>
    <phoneticPr fontId="1" type="noConversion"/>
  </si>
  <si>
    <t>RA-09A-2630]ASM OBJECT SCAN TRAY</t>
  </si>
  <si>
    <t>RA-09A-2630</t>
  </si>
  <si>
    <t>M3</t>
    <phoneticPr fontId="1" type="noConversion"/>
  </si>
  <si>
    <t>RA-09A-2725]ASM CT HEADREST (A+)</t>
  </si>
  <si>
    <t>RA-09A-2725</t>
  </si>
  <si>
    <t>RA-09A-2729]ASM COMPONENT SUB-1</t>
  </si>
  <si>
    <t>RA-09A-2729</t>
  </si>
  <si>
    <t>RA-09A-2730]ASM COMPONENT SUB-2</t>
  </si>
  <si>
    <t>RA-09A-2730</t>
  </si>
  <si>
    <t>RA-09A-2753]ASM CT HEADREST FIX BAS(A+)</t>
  </si>
  <si>
    <t>RA-09A-2753</t>
  </si>
  <si>
    <t>RA-09A-2754]ASM CT HEADREST (A+) (VN)</t>
    <phoneticPr fontId="1" type="noConversion"/>
  </si>
  <si>
    <t>RA-09A-2754</t>
  </si>
  <si>
    <t>ASM OBJEXT SCAN</t>
    <phoneticPr fontId="1" type="noConversion"/>
  </si>
  <si>
    <t>RA-09A-2870</t>
    <phoneticPr fontId="1" type="noConversion"/>
  </si>
  <si>
    <t>RA-09A-3007]ASM REMOTE (M+)</t>
    <phoneticPr fontId="1" type="noConversion"/>
  </si>
  <si>
    <t>RA-09A-3007</t>
    <phoneticPr fontId="1" type="noConversion"/>
  </si>
  <si>
    <t>RA-09A-4805]ASM STAGE TOP (MCT)</t>
  </si>
  <si>
    <t>RA-09A-4805</t>
  </si>
  <si>
    <t>RA-09A-4810]ASM IMPRESSION HLDR MCT)</t>
  </si>
  <si>
    <t>RA-09A-4810</t>
  </si>
  <si>
    <t>RA-09A-4820]ASM MODEL SUP (MCT)</t>
  </si>
  <si>
    <t>RA-09A-4820</t>
  </si>
  <si>
    <t>RA-09A-4824]ASM DVT PHNT (MCT)</t>
  </si>
  <si>
    <t>RA-09A-4824</t>
  </si>
  <si>
    <t>RA-09A-4830]ASM ALIGN PHNT (MCT)</t>
  </si>
  <si>
    <t>RA-09A-4830</t>
  </si>
  <si>
    <t>RA-09A-5006]Exposure Switch board</t>
    <phoneticPr fontId="1" type="noConversion"/>
  </si>
  <si>
    <t>RA-09A-5006</t>
  </si>
  <si>
    <t>RA-09M-0983]FOAM SURGICAL GUIDE</t>
  </si>
  <si>
    <t>RA-09M-0983</t>
  </si>
  <si>
    <t>RA-09M-1133]PIN GUIDE BITE</t>
  </si>
  <si>
    <t>RA-09M-1133</t>
  </si>
  <si>
    <t>RA-09M-1134]BLK GUIDE BITE</t>
  </si>
  <si>
    <t>RA-09M-1134</t>
  </si>
  <si>
    <t>RA-09M-2269]SCREW FIX PHNT (A+)</t>
  </si>
  <si>
    <t>RA-09M-2269</t>
  </si>
  <si>
    <t>RA-09M-2529]SHAFT CT HEADREST (A+)</t>
  </si>
  <si>
    <t>RA-09M-2529</t>
  </si>
  <si>
    <t>RA-09M-3440]BLK GUIDE BITE (ST)_REV.C</t>
  </si>
  <si>
    <t>RA-09M-3440</t>
  </si>
  <si>
    <t>RA-09M-3441]PIN GUIDE BITE (ST)</t>
  </si>
  <si>
    <t>RA-09M-3441</t>
  </si>
  <si>
    <t>RA-09M-4835]WIRE ALIGN PHNT (MCT)</t>
  </si>
  <si>
    <t>ra-09m-4835</t>
    <phoneticPr fontId="2" type="noConversion"/>
  </si>
  <si>
    <t>RA-09S-0389]CVR BITE BLK VINYL CVR</t>
  </si>
  <si>
    <t>RA-09S-0389</t>
  </si>
  <si>
    <t>RA-09S-0797]RUBBER VIBRATION PROOF A</t>
  </si>
  <si>
    <t>RA-09S-0797</t>
  </si>
  <si>
    <t>L2-4</t>
    <phoneticPr fontId="1" type="noConversion"/>
  </si>
  <si>
    <t>RA-09S-0798]RUBBER VIBRATION PROOF B</t>
  </si>
  <si>
    <t>RA-09S-0798</t>
  </si>
  <si>
    <t>RA-09S-1471]CT QA PHANTOM</t>
  </si>
  <si>
    <t>RA-09S-1471</t>
  </si>
  <si>
    <t>M5</t>
    <phoneticPr fontId="1" type="noConversion"/>
  </si>
  <si>
    <t>RA-09S-1476]WATER DROP LEVEL</t>
  </si>
  <si>
    <t>RA-09S-1476</t>
  </si>
  <si>
    <t>RA-09S-1478]PANO ARC PHANTOM</t>
  </si>
  <si>
    <t>RA-09S-1478</t>
  </si>
  <si>
    <t>RA-09S-1495]SPHERE PHNT</t>
  </si>
  <si>
    <t>RA-09S-1495</t>
  </si>
  <si>
    <t>RA-09S-3101]CAS CHINREST SINUS (M+)</t>
  </si>
  <si>
    <t>RA-09S-3101</t>
  </si>
  <si>
    <t>RA-09S-3102]CAS CHINREST AIRWAY (M+)</t>
  </si>
  <si>
    <t>RA-09S-3102</t>
  </si>
  <si>
    <t>RA-09S-3983]STK FOOT (MG)</t>
  </si>
  <si>
    <t>RA-09S-3983</t>
  </si>
  <si>
    <t>RA-09S-3984]FOOT STK JIG (MG)</t>
  </si>
  <si>
    <t>RA-09S-3984</t>
  </si>
  <si>
    <t>RA-09S-5150]GIGABIT LAN CARD</t>
    <phoneticPr fontId="1" type="noConversion"/>
  </si>
  <si>
    <t>RA-09S-6024]VGA- GTX 1660</t>
  </si>
  <si>
    <t>RA-09S-6024</t>
  </si>
  <si>
    <t>RA-09S-6053]FERRITE CORE-ZCAT 2035-0930</t>
  </si>
  <si>
    <t>RA-09S-6053</t>
    <phoneticPr fontId="1" type="noConversion"/>
  </si>
  <si>
    <t>3S2-1</t>
  </si>
  <si>
    <t>RA-09S-6061]이엠텍 GTX 1050Ti MIRACLE2D54GB</t>
  </si>
  <si>
    <t>RA-09S-6061</t>
  </si>
  <si>
    <t>RA-09S-6625]VGA</t>
  </si>
  <si>
    <t>RA-09S-6625</t>
  </si>
  <si>
    <t>RA-09S-9001]SYSTEM ID-RCT820 (ENG-FDA)</t>
    <phoneticPr fontId="1" type="noConversion"/>
  </si>
  <si>
    <t>RA-09S-9001</t>
  </si>
  <si>
    <t>RA-09T-0281]CASE CHINREST A</t>
  </si>
  <si>
    <t>RA-09T-0281</t>
  </si>
  <si>
    <t>RA-09T-0284]CAS CHINREST B</t>
  </si>
  <si>
    <t>RA-09T-0284</t>
  </si>
  <si>
    <t>RA-09T-0344]KNOB CEPH ADJUST</t>
  </si>
  <si>
    <t>RA-09T-0344</t>
  </si>
  <si>
    <t>RA-09T-0733]CAS S.W HLDR</t>
  </si>
  <si>
    <t>RA-09T-0733</t>
  </si>
  <si>
    <t>RA-09T-0772]CAS EDENTULOUS BITE</t>
  </si>
  <si>
    <t>RA-09T-0772</t>
  </si>
  <si>
    <t>3I3, 3L13-2</t>
  </si>
  <si>
    <t>3I3</t>
  </si>
  <si>
    <t>RA-09T-1132]CAS EDENTULOUS GUIDE</t>
  </si>
  <si>
    <t>RA-09T-1132</t>
  </si>
  <si>
    <t>RA-09T-1183]BLK BITE</t>
  </si>
  <si>
    <t>RA-09T-1183</t>
  </si>
  <si>
    <t>3I4</t>
  </si>
  <si>
    <t>RA-09T-1184]CAS CHINREST</t>
  </si>
  <si>
    <t>RA-09T-1184</t>
  </si>
  <si>
    <t>RA-09T-1463]BAR TMJ HEADREST (L)</t>
  </si>
  <si>
    <t>RA-09T-1463</t>
  </si>
  <si>
    <t>RA-09T-1464]BAR TMJ HEADREST (R)</t>
  </si>
  <si>
    <t>RA-09T-1464</t>
  </si>
  <si>
    <t>RA-09T-1467]BAR PANO CT HEADREST (L)</t>
  </si>
  <si>
    <t>RA-09T-1467</t>
  </si>
  <si>
    <t>RA-09T-1468]BAR PANO CT HEADREST (R)</t>
  </si>
  <si>
    <t>RA-09T-1468</t>
  </si>
  <si>
    <t>RA-09T-1981]RIT-LU(LARGE UPPER)</t>
  </si>
  <si>
    <t>RA-09T-1981</t>
  </si>
  <si>
    <t>3B1</t>
  </si>
  <si>
    <t>RA-09T-1982]RIT-LL(LARGE LWR)</t>
  </si>
  <si>
    <t>RA-09T-1982</t>
  </si>
  <si>
    <t>RA-09T-1983]RIT-MU(MID UPPER)</t>
  </si>
  <si>
    <t>RA-09T-1983</t>
  </si>
  <si>
    <t>3B2</t>
  </si>
  <si>
    <t>RA-09T-1984]RIT-ML(MID LWR)</t>
  </si>
  <si>
    <t>RA-09T-1984</t>
  </si>
  <si>
    <t>RA-09T-1985]RIT-SU(SMALL UPPER)</t>
  </si>
  <si>
    <t>RA-09T-1985</t>
  </si>
  <si>
    <t>RA-09T-1986]RIT-SL(SMALL LWR)</t>
  </si>
  <si>
    <t>RA-09T-1986</t>
  </si>
  <si>
    <t>3B3</t>
  </si>
  <si>
    <t>RA-09T-1987]RIT-PA(LWR LEFT)</t>
  </si>
  <si>
    <t>RA-09T-1987</t>
  </si>
  <si>
    <t>RA-09T-1988]RIT-PB(LWR RIGHT)</t>
  </si>
  <si>
    <t>RA-09T-1988</t>
  </si>
  <si>
    <t>RA-09T-2531]CAS TOP CT HEADREST (A+)</t>
  </si>
  <si>
    <t>RA-09T-2531</t>
  </si>
  <si>
    <t>RA-09T-2532]CAS LINK CT HEDREST (A+)</t>
  </si>
  <si>
    <t>RA-09T-2532</t>
  </si>
  <si>
    <t>RA-09T-2533]CAS Bas CT HEADREST (A+)</t>
  </si>
  <si>
    <t>RA-09T-2533</t>
  </si>
  <si>
    <t>RA-09T-2534]CAS CT HEADREST (A+)</t>
  </si>
  <si>
    <t>RA-09T-2534</t>
  </si>
  <si>
    <t>RA-09T-3986]CAS TOP CT HEADREST (MG)</t>
  </si>
  <si>
    <t>RA-09T-3986</t>
  </si>
  <si>
    <t>RA-09T-3987]CAS LINK CT HEADREST (MG)</t>
  </si>
  <si>
    <t>RA-09T-3987</t>
  </si>
  <si>
    <t>RA-09T-3988]CAS Bas CT HEADREST (MG)</t>
  </si>
  <si>
    <t>RA-09T-3988</t>
  </si>
  <si>
    <t>RA-09T-3991]CAS CHINREST (MG)</t>
  </si>
  <si>
    <t>RA-09T-3991</t>
  </si>
  <si>
    <t>RA-09V-0437</t>
    <phoneticPr fontId="1" type="noConversion"/>
  </si>
  <si>
    <t>3L19-2</t>
  </si>
  <si>
    <t>RA-09V-0438</t>
    <phoneticPr fontId="1" type="noConversion"/>
  </si>
  <si>
    <t>RA-09V-0439</t>
    <phoneticPr fontId="1" type="noConversion"/>
  </si>
  <si>
    <t>RA-09V-0440</t>
    <phoneticPr fontId="1" type="noConversion"/>
  </si>
  <si>
    <t>RA-09V-1210]BRK EARTH</t>
  </si>
  <si>
    <t>RA-09V-1210</t>
  </si>
  <si>
    <t>3A3-2</t>
    <phoneticPr fontId="1" type="noConversion"/>
  </si>
  <si>
    <t>RA-09V-1944]PLT MAGNET REMOTE</t>
  </si>
  <si>
    <t>RA-09V-1944</t>
  </si>
  <si>
    <t>3L16-1</t>
    <phoneticPr fontId="1" type="noConversion"/>
  </si>
  <si>
    <t>RA-09V-2419]PLT PHNT (VA+)</t>
  </si>
  <si>
    <t>RA-09V-2419</t>
  </si>
  <si>
    <t>RA-09V-2536]BRK TOP CT HEADREST (A+)</t>
  </si>
  <si>
    <t>RA-09V-2536</t>
  </si>
  <si>
    <t>RA-09V-3433]PLT LIGHT PHNT (ST)</t>
  </si>
  <si>
    <t>RA-09V-3433</t>
  </si>
  <si>
    <t>RA-09V-3436]PLT ALIGN PHNT (ST)</t>
  </si>
  <si>
    <t>RA-09V-3436</t>
  </si>
  <si>
    <t>RA-09V-3767]PLT WALL MOUNT LIFT BOT (MG)</t>
  </si>
  <si>
    <t>RA-09V-3767</t>
  </si>
  <si>
    <t>RA-09V-3768]BRK WALL Bas CVR B (MG)</t>
  </si>
  <si>
    <t>RA-09V-3768</t>
  </si>
  <si>
    <t>RA-09V-4075]BRK FIX PRODUCT (MCT)</t>
  </si>
  <si>
    <t>RA-09V-4075</t>
  </si>
  <si>
    <t>RA-09V-4093]BRK PACKING GUIDE (MCT)</t>
  </si>
  <si>
    <t>RA-09V-4093</t>
  </si>
  <si>
    <t>RA-10-1]AC CABLE ASS’Y</t>
  </si>
  <si>
    <t>RA-10-1</t>
  </si>
  <si>
    <t>G4</t>
    <phoneticPr fontId="1" type="noConversion"/>
  </si>
  <si>
    <t>RA-10-2]PRIME CABLE ASS’Y</t>
  </si>
  <si>
    <t>RA-10-2</t>
  </si>
  <si>
    <t>RA-10-3]SUB CABLE ASS’Y</t>
  </si>
  <si>
    <t>RA-10-3</t>
  </si>
  <si>
    <t>RA-10-4]FAN ASS'Y</t>
  </si>
  <si>
    <t>RA-10-4</t>
  </si>
  <si>
    <t>RA-10-6]AC CABLE ASS’Y1</t>
  </si>
  <si>
    <t>RA-10-6</t>
  </si>
  <si>
    <t>N2-1</t>
    <phoneticPr fontId="1" type="noConversion"/>
  </si>
  <si>
    <t>RA-10-7]AC CABLE ASS’Y2</t>
  </si>
  <si>
    <t>RA-10-7</t>
  </si>
  <si>
    <t>RA-1-1_2]AC POWER FUSE TO NF2</t>
  </si>
  <si>
    <t>RA-1-1</t>
    <phoneticPr fontId="2" type="noConversion"/>
  </si>
  <si>
    <t>G3-1</t>
    <phoneticPr fontId="1" type="noConversion"/>
  </si>
  <si>
    <t>RA-1-11]DC POWER HUB</t>
  </si>
  <si>
    <t>RA-1-11</t>
  </si>
  <si>
    <t>RA-11-11]DC POWER MOT-C</t>
  </si>
  <si>
    <t>RA-11-11</t>
  </si>
  <si>
    <t>G3-5</t>
    <phoneticPr fontId="1" type="noConversion"/>
  </si>
  <si>
    <t>RA-11-12_3]PRIME MOT LINEAR Front-Rear</t>
  </si>
  <si>
    <t>RA-11-12</t>
    <phoneticPr fontId="2" type="noConversion"/>
  </si>
  <si>
    <t>RA-11-13_3]PRIME MOT LINEAR Left-Right</t>
  </si>
  <si>
    <t>RA-11-13</t>
    <phoneticPr fontId="2" type="noConversion"/>
  </si>
  <si>
    <t>RA-11-15]DC POWER HUB</t>
  </si>
  <si>
    <t>RA-11-15</t>
  </si>
  <si>
    <t>RA-11-19]LED Power Cable</t>
  </si>
  <si>
    <t>RA-11-19</t>
  </si>
  <si>
    <t>RA-11-2]AUX MCU to FCOL</t>
  </si>
  <si>
    <t>RA-11-2</t>
  </si>
  <si>
    <t>G2-4</t>
    <phoneticPr fontId="1" type="noConversion"/>
  </si>
  <si>
    <t>RA-1-12]DC POWER SMPS CONN</t>
  </si>
  <si>
    <t>RA-1-12</t>
  </si>
  <si>
    <t>RA-11-20]Fcol MOT Cable A</t>
  </si>
  <si>
    <t>RA-11-20</t>
  </si>
  <si>
    <t>RA-11-21]Fcol MOT Cable B</t>
  </si>
  <si>
    <t>RA-11-21</t>
  </si>
  <si>
    <t>RA-11-22]Fcol MOT Cable C</t>
  </si>
  <si>
    <t>G1-5</t>
    <phoneticPr fontId="1" type="noConversion"/>
  </si>
  <si>
    <t>RA-11-23]Fcol MOT Cable D</t>
  </si>
  <si>
    <t>RA-11-29]FCOL Servo MOT ASS'Y</t>
  </si>
  <si>
    <t>RA-11-29</t>
  </si>
  <si>
    <t>RA-11-3]DET POWER to AUX</t>
  </si>
  <si>
    <t>RA-11-3</t>
  </si>
  <si>
    <t>G1-4</t>
    <phoneticPr fontId="1" type="noConversion"/>
  </si>
  <si>
    <t>RA-11-30]FCOL PHOt SEN ASS'Y</t>
  </si>
  <si>
    <t>RA-11-30</t>
  </si>
  <si>
    <t>RA-11-31]ADET POWER to AUX</t>
  </si>
  <si>
    <t>RA-11-31</t>
  </si>
  <si>
    <t>RA-11-33]DET SIGNAL(V)</t>
  </si>
  <si>
    <t>RA-11-33</t>
  </si>
  <si>
    <t>G3-6</t>
    <phoneticPr fontId="1" type="noConversion"/>
  </si>
  <si>
    <t>RA-11-34_2]SUB MOT DET(V)</t>
  </si>
  <si>
    <t>RA-11-34</t>
    <phoneticPr fontId="2" type="noConversion"/>
  </si>
  <si>
    <t>RA-11-4]MainMCU to STEP DRV</t>
  </si>
  <si>
    <t>RA-11-4</t>
  </si>
  <si>
    <t>RA-11-9]DC POWER MOT-A</t>
  </si>
  <si>
    <t>RA-11-9</t>
  </si>
  <si>
    <t>RA-1-2_2]AC POWER FUSE TO NF1</t>
  </si>
  <si>
    <t>RA-1-2</t>
    <phoneticPr fontId="2" type="noConversion"/>
  </si>
  <si>
    <t>RA-12-1]SUB CABLE ASS’Y</t>
  </si>
  <si>
    <t>RA-12-1</t>
  </si>
  <si>
    <t>RA-13-1]PRIME MOT CHINREST-A</t>
  </si>
  <si>
    <t>RA-13-1</t>
  </si>
  <si>
    <t>RA-13-2]PRIME MOT CHINREST-B</t>
  </si>
  <si>
    <t>RA-13-2</t>
  </si>
  <si>
    <t>RA-1-5]AC POWER SMPS-1</t>
  </si>
  <si>
    <t>RA-1-5</t>
  </si>
  <si>
    <t>RA-15-1]LAMP DRV CONTROL</t>
  </si>
  <si>
    <t>RA-15-1</t>
  </si>
  <si>
    <t>G2-6</t>
    <phoneticPr fontId="1" type="noConversion"/>
  </si>
  <si>
    <t>RA-15-10]SUB MOT DET(VL)</t>
  </si>
  <si>
    <t>RA-15-10</t>
  </si>
  <si>
    <t>G3-7</t>
    <phoneticPr fontId="1" type="noConversion"/>
  </si>
  <si>
    <t>RA-15-11]Fcol MOT Cable B</t>
  </si>
  <si>
    <t>RA-15-11</t>
  </si>
  <si>
    <t>RA-15-12]Fcol MOT Cable C</t>
  </si>
  <si>
    <t>RA-15-12</t>
  </si>
  <si>
    <t>RA-15-13L]CAM-L</t>
  </si>
  <si>
    <t>RA-15-13L</t>
  </si>
  <si>
    <t>RA-15-13R]CAM-R</t>
  </si>
  <si>
    <t>RA-15-13R</t>
  </si>
  <si>
    <t>G2-7</t>
    <phoneticPr fontId="1" type="noConversion"/>
  </si>
  <si>
    <t>RA-15-14]LAMP POWER-R</t>
  </si>
  <si>
    <t>RA-15-14</t>
  </si>
  <si>
    <t>RA-15-15]LAMP POWER-LR</t>
  </si>
  <si>
    <t>RA-15-15</t>
  </si>
  <si>
    <t>RA-15-2-L]CAM BD POWER-L</t>
  </si>
  <si>
    <t>RA-15-2L</t>
  </si>
  <si>
    <t>RA-15-2-R]CAM BD POWER-R</t>
  </si>
  <si>
    <t>RA-15-2R</t>
  </si>
  <si>
    <t>RA-15-3]Lamp DRV MOT Power</t>
  </si>
  <si>
    <t>RA-15-3</t>
  </si>
  <si>
    <t>RA-15-4]Lamp DRV CON Power</t>
  </si>
  <si>
    <t>RA-15-4</t>
  </si>
  <si>
    <t>RA-15-5]LAMP POWER-R</t>
  </si>
  <si>
    <t>RA-15-5</t>
  </si>
  <si>
    <t>G1-6</t>
    <phoneticPr fontId="1" type="noConversion"/>
  </si>
  <si>
    <t>RA-15-6]LAMP POWER-L</t>
  </si>
  <si>
    <t>RA-15-6</t>
  </si>
  <si>
    <t>RA-15-7]DET SIGNAL(VL)</t>
  </si>
  <si>
    <t>RA-15-7</t>
  </si>
  <si>
    <t>RA-15-8]LED Power Cable</t>
  </si>
  <si>
    <t>RA-15-8</t>
  </si>
  <si>
    <t>RA-15-9-L]CAM LAN-L</t>
  </si>
  <si>
    <t>RA-15-9-R]CAM LAN-R</t>
  </si>
  <si>
    <t>RA-1-8B]AC POWER PFC CONNECT</t>
  </si>
  <si>
    <t>RA-1-8B</t>
  </si>
  <si>
    <t>RA-1-9A]DC POWER MOT-A</t>
  </si>
  <si>
    <t>RA-1-9A</t>
  </si>
  <si>
    <t>RA-2-4]SERIAL POWER THU</t>
  </si>
  <si>
    <t>RA-2-4</t>
  </si>
  <si>
    <t>G2-1</t>
    <phoneticPr fontId="1" type="noConversion"/>
  </si>
  <si>
    <t>RA-2-9]ACT 2nd LIMIT</t>
  </si>
  <si>
    <t>RA-2-9</t>
  </si>
  <si>
    <t>RA-3-3A]DCM CONTROL-A</t>
  </si>
  <si>
    <t>RA-3-3A</t>
  </si>
  <si>
    <t>RA-3-3B]DCM CONTROL-B</t>
  </si>
  <si>
    <t>RA-3-3B</t>
  </si>
  <si>
    <t>RA-3-4]FAN CABLE</t>
  </si>
  <si>
    <t>RA-3-4</t>
  </si>
  <si>
    <t>G2-2</t>
    <phoneticPr fontId="1" type="noConversion"/>
  </si>
  <si>
    <t>RA-3-5]INDICATOR</t>
  </si>
  <si>
    <t>RA-3-5</t>
  </si>
  <si>
    <t>G1-1</t>
    <phoneticPr fontId="1" type="noConversion"/>
  </si>
  <si>
    <t>RA-3-6]INDICATOR CONTROL</t>
  </si>
  <si>
    <t>RA-3-6</t>
  </si>
  <si>
    <t>RA-3-8]INDICATOR CONTROL</t>
  </si>
  <si>
    <t>RA-3-8</t>
  </si>
  <si>
    <t>RA-4-1]RF RX CONTROL</t>
  </si>
  <si>
    <t>RA-4-1</t>
  </si>
  <si>
    <t>RA-5-1]EARTH NF</t>
  </si>
  <si>
    <t>RA-5-1</t>
  </si>
  <si>
    <t>G3-2</t>
    <phoneticPr fontId="1" type="noConversion"/>
  </si>
  <si>
    <t>RA-5-10]EARTH MOT SMPS(RPS)</t>
  </si>
  <si>
    <t>RA-5-10</t>
  </si>
  <si>
    <t>RA-5-2_2]EARTH CEPH</t>
  </si>
  <si>
    <t>RA-5-2</t>
    <phoneticPr fontId="2" type="noConversion"/>
  </si>
  <si>
    <t>RA-5-4]EARTH ROT TO TUBE</t>
  </si>
  <si>
    <t>RA-5-4</t>
  </si>
  <si>
    <t>RA-5-5]EARTH ROT TO PFC</t>
  </si>
  <si>
    <t>RA-5-5</t>
  </si>
  <si>
    <t>RA-5-6]EARTH SHAFT TO PC</t>
  </si>
  <si>
    <t>RA-5-6</t>
  </si>
  <si>
    <t>RA-5-7]EARTH SHAFT TO WALL</t>
  </si>
  <si>
    <t>RA-5-7</t>
  </si>
  <si>
    <t>RA-5-8]EARTH CTRL SMPS</t>
  </si>
  <si>
    <t>RA-5-8</t>
  </si>
  <si>
    <t>RA-6-1]PRIME MOT LINEAR</t>
  </si>
  <si>
    <t>RA-6-1</t>
  </si>
  <si>
    <t>RA-6-2_3]PRIME MOT ROT</t>
  </si>
  <si>
    <t>RA-6-2</t>
    <phoneticPr fontId="2" type="noConversion"/>
  </si>
  <si>
    <t>RA-6-3]SUB MOT TUBE</t>
  </si>
  <si>
    <t>RA-6-3</t>
  </si>
  <si>
    <t>RA-7-10]ADET POWER to SUB(LPP)</t>
  </si>
  <si>
    <t>RA-7-10</t>
  </si>
  <si>
    <t>G1-2</t>
    <phoneticPr fontId="1" type="noConversion"/>
  </si>
  <si>
    <t>RA-7-11]DC POWER PANO(LPP)</t>
  </si>
  <si>
    <t>RA-7-11</t>
  </si>
  <si>
    <t>RA-7-12]PANO SIGNAL(LPP)</t>
  </si>
  <si>
    <t>RA-7-12</t>
  </si>
  <si>
    <t>RA-7-13]ADET POWER to SUB(NEW)</t>
  </si>
  <si>
    <t>RA-7-13</t>
  </si>
  <si>
    <t>RA-7-14]i-Ray, PANO Dector Power</t>
  </si>
  <si>
    <t>RA-7-14</t>
  </si>
  <si>
    <t>RA-7-15]i-Ray, PANO DET Signal</t>
  </si>
  <si>
    <t>RA-7-15</t>
  </si>
  <si>
    <t>RA-7-2]LAN GIGA</t>
  </si>
  <si>
    <t>RA-7-2</t>
  </si>
  <si>
    <t>RA-7-3]LAN PC</t>
  </si>
  <si>
    <t>RA-7-3</t>
  </si>
  <si>
    <t>RA-7-4]LAN CEPH</t>
  </si>
  <si>
    <t>RA-7-4</t>
  </si>
  <si>
    <t>RA-7-5]LAN THU</t>
  </si>
  <si>
    <t>RA-7-5</t>
  </si>
  <si>
    <t>RA-7-9]LAN OCS</t>
  </si>
  <si>
    <t>RA-7-9</t>
  </si>
  <si>
    <t>RA-8-10]AC POWER DR</t>
  </si>
  <si>
    <t>RA-8-10</t>
  </si>
  <si>
    <t>G3-3</t>
    <phoneticPr fontId="1" type="noConversion"/>
  </si>
  <si>
    <t>RA-8-11]AC POWER CABLE(UL)</t>
  </si>
  <si>
    <t>RA-8-11</t>
  </si>
  <si>
    <t>RA-8-14A]OCS SIGNAL(V)-A</t>
  </si>
  <si>
    <t>RA-8-14A</t>
  </si>
  <si>
    <t>RA-8-14B]OCS SIGNAL(V)-B</t>
  </si>
  <si>
    <t>RA-8-14B</t>
  </si>
  <si>
    <t>RA-8-15]OCL SIGNAL(V)</t>
  </si>
  <si>
    <t>RA-8-15</t>
  </si>
  <si>
    <t>RA-8-16]OCL INTERFACE(V)</t>
  </si>
  <si>
    <t>RA-8-16</t>
  </si>
  <si>
    <t>G2-3</t>
    <phoneticPr fontId="1" type="noConversion"/>
  </si>
  <si>
    <t>RA-8-17]AC POWER OC(V)</t>
  </si>
  <si>
    <t>RA-8-17</t>
  </si>
  <si>
    <t>RA-8-18]DR SIGNAL(V)</t>
  </si>
  <si>
    <t>RA-8-18</t>
  </si>
  <si>
    <t>RA-8-19]DR INTERFACE(V)</t>
  </si>
  <si>
    <t>RA-8-19</t>
  </si>
  <si>
    <t>RA-8-1A]Expos. Spring cable</t>
  </si>
  <si>
    <t>RA-8-1A</t>
  </si>
  <si>
    <t>3ACC</t>
    <phoneticPr fontId="1" type="noConversion"/>
  </si>
  <si>
    <t>RA-8-1B]EXPO SW-B</t>
  </si>
  <si>
    <t>RA-8-1B</t>
  </si>
  <si>
    <t>RA-8-4]AC POWER CEPH</t>
  </si>
  <si>
    <t>RA-8-4</t>
  </si>
  <si>
    <t>RA-8-6]OCS Cable</t>
  </si>
  <si>
    <t>RA-8-6</t>
  </si>
  <si>
    <t>RA-8-7]OCL CABLE</t>
  </si>
  <si>
    <t>RA-8-7</t>
  </si>
  <si>
    <t>RA-8-9]AC POWER CABLE(IEC)</t>
  </si>
  <si>
    <t>RA-8-9</t>
  </si>
  <si>
    <t>RA-9-1]DC POWER SCCONN</t>
  </si>
  <si>
    <t>RA-9-1</t>
  </si>
  <si>
    <t>RA-9-10_3]LS MOT SCEPH</t>
  </si>
  <si>
    <t>RA-9-10</t>
    <phoneticPr fontId="2" type="noConversion"/>
  </si>
  <si>
    <t>G3-4</t>
    <phoneticPr fontId="1" type="noConversion"/>
  </si>
  <si>
    <t>RA-9-11_3]LS MOT COL</t>
  </si>
  <si>
    <t>RA-9-11</t>
    <phoneticPr fontId="2" type="noConversion"/>
  </si>
  <si>
    <t>RA-9-12]SCEPH LAN</t>
  </si>
  <si>
    <t>RA-9-12</t>
  </si>
  <si>
    <t>RA-9-13A]SCEPH DECTOR-A</t>
  </si>
  <si>
    <t>RA-9-13A</t>
  </si>
  <si>
    <t>RA-9-13B]SCEPH DECTOR-B</t>
  </si>
  <si>
    <t>RA-9-13B</t>
  </si>
  <si>
    <t>RA-9-14]ISC I/F</t>
  </si>
  <si>
    <t>RA-9-14</t>
  </si>
  <si>
    <t>J1-1</t>
    <phoneticPr fontId="1" type="noConversion"/>
  </si>
  <si>
    <t>RA-9-15]ISC POWER</t>
  </si>
  <si>
    <t>RA-9-15</t>
  </si>
  <si>
    <t>RA-9-16]ISC DET</t>
  </si>
  <si>
    <t>RA-9-16</t>
  </si>
  <si>
    <t>RA-9-17]ISC DET-B</t>
  </si>
  <si>
    <t>RA-9-17</t>
  </si>
  <si>
    <t>RA-9-2]SCEPH SIG SCCONN</t>
  </si>
  <si>
    <t>RA-9-2</t>
  </si>
  <si>
    <t>RA-9-3]SLIDE SCCONN</t>
  </si>
  <si>
    <t>RA-9-3</t>
  </si>
  <si>
    <t>G1-3</t>
    <phoneticPr fontId="1" type="noConversion"/>
  </si>
  <si>
    <t>RA-9-7]DC POWER LS MOT 2</t>
  </si>
  <si>
    <t>RA-9-7</t>
  </si>
  <si>
    <t>RA-9-8]SERIAL POWER LS 1</t>
  </si>
  <si>
    <t>RA-9-8</t>
  </si>
  <si>
    <t>RA-9-9]SERIAL POWER LS 2</t>
  </si>
  <si>
    <t>RA-9-9</t>
  </si>
  <si>
    <t>RD-00S-0020_B]BOTTLE</t>
  </si>
  <si>
    <t>RD-00S-0020</t>
    <phoneticPr fontId="2" type="noConversion"/>
  </si>
  <si>
    <t>RD-00S-0402]LCD PROTOR FILM</t>
  </si>
  <si>
    <t>RD-00S-0402</t>
  </si>
  <si>
    <t>3S6-6</t>
  </si>
  <si>
    <t>RD-00S-0403]VAT)FILM TEFLON_RAM600</t>
  </si>
  <si>
    <t>RD-00S-0403</t>
  </si>
  <si>
    <t>RD-00S-0404]LCD)TEFLON TAPE,W20x147</t>
  </si>
  <si>
    <t>RD-00S-0404</t>
  </si>
  <si>
    <t>RD-00S-0405]LCD)TEFLON TAPE,W20X100</t>
  </si>
  <si>
    <t>RD-00S-0405</t>
  </si>
  <si>
    <t>RD-00S-0601]OPTION)NIPPERS</t>
  </si>
  <si>
    <t>RD-00S-0601</t>
  </si>
  <si>
    <t>3S6-5</t>
  </si>
  <si>
    <t>RD-00S-0602]OPTION)SCRAPER</t>
  </si>
  <si>
    <t>RD-00S-0602</t>
  </si>
  <si>
    <t>3E2</t>
  </si>
  <si>
    <t>RD-00S-0603]OPTION)PINCETTE</t>
  </si>
  <si>
    <t>RD-00S-0603</t>
  </si>
  <si>
    <t>3S6-7</t>
  </si>
  <si>
    <t>RD-00S-0604]OPTION)TRIMMERS</t>
  </si>
  <si>
    <t>RD-00S-0604</t>
  </si>
  <si>
    <t>RD-00S-0605]OPTION)SPATULA</t>
  </si>
  <si>
    <t>RD-00S-0605</t>
  </si>
  <si>
    <t>RD-00S-5201]USB A to B Cable</t>
  </si>
  <si>
    <t>RD-00S-5201</t>
  </si>
  <si>
    <t>RD-00S-5203]AC adapter</t>
  </si>
  <si>
    <t>RD-00S-5203</t>
  </si>
  <si>
    <t>RD-00T-4306</t>
  </si>
  <si>
    <t>3F6</t>
    <phoneticPr fontId="1" type="noConversion"/>
  </si>
  <si>
    <t>RD-00T-4307</t>
  </si>
  <si>
    <t>3E8</t>
  </si>
  <si>
    <t>RD-01B-5101]UV AMBIENT SNSR Bd</t>
  </si>
  <si>
    <t>RD-01B-5101</t>
  </si>
  <si>
    <t>3L11-4</t>
  </si>
  <si>
    <t>RD-01B-5209]SPEAKER HARNESS PBA</t>
  </si>
  <si>
    <t>RD-01B-5209</t>
  </si>
  <si>
    <t>3L11-1</t>
  </si>
  <si>
    <t>RD-01B-5212]MIPI Power Bd</t>
  </si>
  <si>
    <t>RD-01B-5212</t>
  </si>
  <si>
    <t>RD-01G-0502]SPONGE)UV SNSR</t>
  </si>
  <si>
    <t>RD-01G-0502</t>
  </si>
  <si>
    <t>3S3-1</t>
  </si>
  <si>
    <t>RD-01G-0503]DOOR PROTECTOR TAPE</t>
  </si>
  <si>
    <t>RD-01G-0503</t>
  </si>
  <si>
    <t>3S7-5</t>
  </si>
  <si>
    <t>RD-01H-5003]HARNESS DC POWER LCD BOARD</t>
  </si>
  <si>
    <t>RD-01H-5003</t>
  </si>
  <si>
    <t>3L17-1</t>
  </si>
  <si>
    <t>RD-01H-5006]Harness Step Motor</t>
  </si>
  <si>
    <t>RD-01H-5006</t>
  </si>
  <si>
    <t>RD-01H-5007]Harness LED Power</t>
  </si>
  <si>
    <t>RD-01H-5007</t>
  </si>
  <si>
    <t>3S7-1</t>
  </si>
  <si>
    <t>RD-01H-5010]VAT PCB HARNESS 3PIN</t>
  </si>
  <si>
    <t>RD-01H-5010</t>
  </si>
  <si>
    <t>3S7-1, 3S7-2</t>
  </si>
  <si>
    <t>RD-01H-5012]Temp SNSR Harness</t>
  </si>
  <si>
    <t>RD-01H-5012</t>
  </si>
  <si>
    <t>3S7-2</t>
  </si>
  <si>
    <t>RD-01H-5210]MIPI FPC</t>
  </si>
  <si>
    <t>RD-01H-5210</t>
  </si>
  <si>
    <t>3F4-2</t>
    <phoneticPr fontId="1" type="noConversion"/>
  </si>
  <si>
    <t>RD-01H-5211]MIPI Bd Power Cable</t>
  </si>
  <si>
    <t>RD-01H-5211</t>
  </si>
  <si>
    <t>RD-01HG-0503]MIPI LCD _4M</t>
  </si>
  <si>
    <t>RD-01HG-0503</t>
  </si>
  <si>
    <t>RD-01M-0059]JIG CAL LED</t>
  </si>
  <si>
    <t>RD-01M-0059</t>
  </si>
  <si>
    <t>3L17-2</t>
  </si>
  <si>
    <t>RD-01M-0104]FRM)SIDE( R )_FHD</t>
  </si>
  <si>
    <t>RD-01M-0104</t>
  </si>
  <si>
    <t>3S6-1</t>
  </si>
  <si>
    <t>RD-01M-0105]FRM)SIDE( L )_FHD</t>
  </si>
  <si>
    <t>RD-01M-0105</t>
  </si>
  <si>
    <t>RD-01S-0070]COUPLING DISK</t>
  </si>
  <si>
    <t>RD-01S-0070</t>
  </si>
  <si>
    <t>RD-01S-5217]Audio Amp Board+Speaker MDl</t>
  </si>
  <si>
    <t>RD-01S-5217</t>
  </si>
  <si>
    <t>3L11-2</t>
  </si>
  <si>
    <t>RD-01T-0302]SIDE CVR(L)</t>
  </si>
  <si>
    <t>RD-01T-0302</t>
  </si>
  <si>
    <t>3E1</t>
  </si>
  <si>
    <t>RD-01T-0303]SIDE CVR(R)</t>
  </si>
  <si>
    <t>RD-01T-0303</t>
  </si>
  <si>
    <t>RD-01T-0304]FRONT DOOR_MEGAGEN</t>
  </si>
  <si>
    <t>RD-01T-0304</t>
  </si>
  <si>
    <t>3E7</t>
  </si>
  <si>
    <t>RD-01T-0305]FRONT DOOR_FHD_RAY</t>
  </si>
  <si>
    <t>RD-01T-0305</t>
  </si>
  <si>
    <t>3E6</t>
  </si>
  <si>
    <t>RD-01V-0201]BRK)UV SNSR</t>
  </si>
  <si>
    <t>RD-01V-0201</t>
  </si>
  <si>
    <t>3S6-3</t>
  </si>
  <si>
    <t>RD-02H-5001]Harness LED FAN</t>
  </si>
  <si>
    <t>RD-02H-5001</t>
  </si>
  <si>
    <t>RD-02M-0101]UV HEAT SINK</t>
  </si>
  <si>
    <t>RD-02M-0101</t>
  </si>
  <si>
    <t>3S6-2</t>
  </si>
  <si>
    <t>RD-02M-0102]LENS HEAT SINK</t>
  </si>
  <si>
    <t>RD-02M-0102</t>
  </si>
  <si>
    <t>RD-02M-0103]RAIL)UV Mdl BRK</t>
  </si>
  <si>
    <t>RD-02M-0103</t>
  </si>
  <si>
    <t>RD-02M-0104]UV HEAT SINK(MAIN UNIT)</t>
  </si>
  <si>
    <t>RD-02M-0104</t>
  </si>
  <si>
    <t>RD-02S-0601]CONDENSING LENS</t>
  </si>
  <si>
    <t>RD-02S-0601</t>
  </si>
  <si>
    <t>RD-02S-5201]UV LED Mdl</t>
  </si>
  <si>
    <t>RD-02S-5201</t>
  </si>
  <si>
    <t>3S3-2, 3S6-7</t>
  </si>
  <si>
    <t>3S3-2</t>
  </si>
  <si>
    <t>RD-02V-0201]BRK)LED HEAT SINK</t>
  </si>
  <si>
    <t>RD-02V-0201</t>
  </si>
  <si>
    <t>RD-02V-0203]BRK)LCD BD_FHD</t>
  </si>
  <si>
    <t>RD-02V-0203</t>
  </si>
  <si>
    <t>RD-03B-5101]RDS MainMCU</t>
    <phoneticPr fontId="1" type="noConversion"/>
  </si>
  <si>
    <t>RD-03B-5101</t>
  </si>
  <si>
    <t>3L11-3</t>
  </si>
  <si>
    <t>RD-03H-5001]Harness LCD FAN</t>
  </si>
  <si>
    <t>RD-03H-5001</t>
  </si>
  <si>
    <t>RD-03M-0101]LENS PLT</t>
  </si>
  <si>
    <t>RD-03M-0101</t>
  </si>
  <si>
    <t>RD-03S-0601]MENISCUS LENS</t>
  </si>
  <si>
    <t>RD-03S-0601</t>
  </si>
  <si>
    <t>RD-03V-0201]BRK)LCD INLET FAN</t>
  </si>
  <si>
    <t>RD-03V-0201</t>
  </si>
  <si>
    <t>RD-03V-0202]BRK)ANTI DUST FAN</t>
  </si>
  <si>
    <t>RD-03V-0202</t>
  </si>
  <si>
    <t>RD-03V-0203]BRK)UV LAMP FAN</t>
  </si>
  <si>
    <t>RD-03V-0203</t>
  </si>
  <si>
    <t>RD-03V-0204]PLT)LENS FIX</t>
  </si>
  <si>
    <t>RD-03V-0204</t>
  </si>
  <si>
    <t>RD-03V-0206]BRK)UV LAMP Mdl(FRONT)</t>
  </si>
  <si>
    <t>RD-03V-0206</t>
  </si>
  <si>
    <t>3S6-4</t>
  </si>
  <si>
    <t>RD-03V-0207]BRK)UV LAMP Mdl(BACK)</t>
  </si>
  <si>
    <t>RD-03V-0207</t>
  </si>
  <si>
    <t>RD-04H-5001]5V DC PLUG CABLE</t>
  </si>
  <si>
    <t>RD-04H-5001</t>
  </si>
  <si>
    <t>3F1-1</t>
    <phoneticPr fontId="1" type="noConversion"/>
  </si>
  <si>
    <t>RD-04H-5002]Micro USB Cable</t>
  </si>
  <si>
    <t>RD-04H-5002</t>
  </si>
  <si>
    <t>RD-04H-5003]USB Type-A Cable</t>
  </si>
  <si>
    <t>RD-04H-5003</t>
  </si>
  <si>
    <t>3S7-3</t>
  </si>
  <si>
    <t>RD-04H-5004]UV AMBIENT SNSR</t>
  </si>
  <si>
    <t>RD-04H-5004</t>
  </si>
  <si>
    <t>RD-04H-5005]Odroid-C4 DC Power</t>
  </si>
  <si>
    <t>RD-04H-5005</t>
  </si>
  <si>
    <t>RD-04H-5008]ODROID Speaker Cable</t>
  </si>
  <si>
    <t>RD-04H-5008</t>
  </si>
  <si>
    <t>RD-04S-5208]HDMI to DSI Bd - MONO(SET)</t>
  </si>
  <si>
    <t>RD-04S-5208</t>
  </si>
  <si>
    <t>RD-04V-0202]BRK)ODROID B/D_FHD</t>
  </si>
  <si>
    <t>RD-04V-0202</t>
  </si>
  <si>
    <t>RD-05B-0506]PCB)VAT KNOB_REAR</t>
  </si>
  <si>
    <t>RD-05B-0506</t>
  </si>
  <si>
    <t>RD-05H-5001]HDMI Cable (Angle Type)</t>
  </si>
  <si>
    <t>RD-05H-5001</t>
  </si>
  <si>
    <t>RD-06A-1015]ASSY)MID PLT_FHD</t>
  </si>
  <si>
    <t>RD-06A-1015</t>
  </si>
  <si>
    <t>3D9</t>
  </si>
  <si>
    <t>RD-06M-0126]LCD)ACRYLIC BOT</t>
  </si>
  <si>
    <t>RD-06M-0126</t>
  </si>
  <si>
    <t>RD-06S-0601]MGN9CE1R143</t>
  </si>
  <si>
    <t>RD-06S-0601</t>
  </si>
  <si>
    <t>RD-06S-5201]PHOtSNSR-EE-SX674A</t>
    <phoneticPr fontId="1" type="noConversion"/>
  </si>
  <si>
    <t>RD-06S-5201</t>
  </si>
  <si>
    <t>RD-06S-5204]SHARP LCD</t>
  </si>
  <si>
    <t>RD-06S-5204</t>
  </si>
  <si>
    <t>RD-06S-5205]Mono LCD</t>
  </si>
  <si>
    <t>RD-06S-5205</t>
  </si>
  <si>
    <t>RD-06V-0201]PLT)SNSR</t>
  </si>
  <si>
    <t>RD-06V-0201</t>
  </si>
  <si>
    <t>RD-06V-0202]HLDR)B-RING</t>
  </si>
  <si>
    <t>RD-06V-0202</t>
  </si>
  <si>
    <t>RD-06V-0204]CAP PLT)SCREW TAP</t>
  </si>
  <si>
    <t>RD-06V-0204</t>
  </si>
  <si>
    <t>RD-07G-0501]PROTOR INSIDE RUBBER</t>
  </si>
  <si>
    <t>RD-07G-0501</t>
  </si>
  <si>
    <t>RD-07G-0503]VAT)GASKET</t>
  </si>
  <si>
    <t>3S7-6</t>
  </si>
  <si>
    <t>RD-07G-0504]RUBBER)PCB CAP</t>
  </si>
  <si>
    <t>RD-07G-0504</t>
  </si>
  <si>
    <t>RD-07T-0301]CVR FRONT_RAY</t>
  </si>
  <si>
    <t>RD-07T-0301</t>
  </si>
  <si>
    <t>RD-07T-0302]COVER FRONT_MEGAGEN</t>
  </si>
  <si>
    <t>RD-07T-0302</t>
  </si>
  <si>
    <t>RD-08G-0501]LIGHT PROTOR)POWER LED</t>
  </si>
  <si>
    <t>RD-08G-0501</t>
  </si>
  <si>
    <t>RD-08H-5001]Harness MCU to PIB</t>
  </si>
  <si>
    <t>RD-08H-5001</t>
  </si>
  <si>
    <t>RD-08S-0602]SUB ASSY)POWER BUTTON</t>
  </si>
  <si>
    <t>RD-08S-0602</t>
  </si>
  <si>
    <t>RD-08T-0301]CVR TOP</t>
  </si>
  <si>
    <t>RD-08T-0301</t>
  </si>
  <si>
    <t>RD-08T-0302]LED INDICATOR)READY</t>
  </si>
  <si>
    <t>RD-08T-0302</t>
  </si>
  <si>
    <t>RD-08T-0303]LED INDICATOR)PRINT</t>
  </si>
  <si>
    <t>RD-08T-0303</t>
  </si>
  <si>
    <t>RD-08T-0304]LED INDICATOR)FINISH</t>
  </si>
  <si>
    <t>RD-08T-0304</t>
  </si>
  <si>
    <t>RD-08T-0306]LED INDICATOR)POWER BUTTON</t>
  </si>
  <si>
    <t>RD-08T-0306</t>
  </si>
  <si>
    <t>RD-08V-0201]FRM)TOP CVR INNER</t>
  </si>
  <si>
    <t>RD-08V-0201</t>
  </si>
  <si>
    <t>RD-09A-1001]ASSY)BUILD ARM_PULL TYPE</t>
  </si>
  <si>
    <t>RD-09A-1001</t>
  </si>
  <si>
    <t>3F2</t>
    <phoneticPr fontId="1" type="noConversion"/>
  </si>
  <si>
    <t>RD-09L-0101]TAPE)ANTI STSTIC</t>
  </si>
  <si>
    <t>RD-09L-0101</t>
  </si>
  <si>
    <t>3S7-7</t>
  </si>
  <si>
    <t>RD-09M-0105]FIX PLT)BUILD ARM_R</t>
  </si>
  <si>
    <t>RD-09M-0105</t>
  </si>
  <si>
    <t>RD-09M-0106]FIX PLT)BUILD ARM_L</t>
  </si>
  <si>
    <t>RD-09M-0106</t>
  </si>
  <si>
    <t>RD-10T-0306]VAT)KNOB INSERT</t>
  </si>
  <si>
    <t>RD-10T-0306</t>
  </si>
  <si>
    <t>RD-10T-0307]FILM VAT BODY</t>
  </si>
  <si>
    <t>RD-10T-0307</t>
  </si>
  <si>
    <t>3D10</t>
  </si>
  <si>
    <t>RD-11B-5101]RDS CB (Connector Bd)</t>
  </si>
  <si>
    <t>RD-11B-5101</t>
  </si>
  <si>
    <t>RD-11S-5202]RJ45 Extension Cable</t>
  </si>
  <si>
    <t>RD-11S-5202</t>
  </si>
  <si>
    <t>RD-11T-0302]CVR BACK_FHD</t>
  </si>
  <si>
    <t>RD-11T-0302</t>
  </si>
  <si>
    <t>RD-11V-0201]BRK)PCB CONNECTOR</t>
  </si>
  <si>
    <t>RD-11V-0201</t>
  </si>
  <si>
    <t>RD-14A-0101]RAIL)UV Mdl BAS TOP</t>
  </si>
  <si>
    <t>RD-14A-0101</t>
  </si>
  <si>
    <t>RD-14A-0102]RAIL)UV Mdl BAS</t>
  </si>
  <si>
    <t>RD-14A-0102</t>
  </si>
  <si>
    <t>RD-15A-0001]ASSY)CRADLE PLT</t>
  </si>
  <si>
    <t>RD-15A-0001</t>
  </si>
  <si>
    <t>RD-15T-0301]CRADLE)BUILD PLT</t>
  </si>
  <si>
    <t>RD-15T-0301</t>
  </si>
  <si>
    <t>RD-15V-0201]PLT)CRADLE Bas</t>
  </si>
  <si>
    <t>RD-15V-0201</t>
  </si>
  <si>
    <t>RD-21G-0501]RUBBER)CURING FOOT</t>
  </si>
  <si>
    <t>RD-21G-0501</t>
  </si>
  <si>
    <t>RD-21H-5001]Harness UART Serial</t>
  </si>
  <si>
    <t>RD-21H-5001</t>
  </si>
  <si>
    <t>3S7-4</t>
  </si>
  <si>
    <t>RD-21H-5002]Harness UPC Main Power</t>
  </si>
  <si>
    <t>RD-21H-5002</t>
  </si>
  <si>
    <t>RD-21H-5003]Harness UPC Door Switch</t>
  </si>
  <si>
    <t>RD-21H-5003</t>
  </si>
  <si>
    <t>RD-21H-5004]Harness UPC TEMP SNSR</t>
  </si>
  <si>
    <t>RD-21H-5004</t>
  </si>
  <si>
    <t>RD-21H-5005]Harness Ground</t>
  </si>
  <si>
    <t>RD-21H-5005</t>
  </si>
  <si>
    <t>RD-21S-0601]LBL)BOLT CAP</t>
  </si>
  <si>
    <t>RD-21S-0601</t>
  </si>
  <si>
    <t>RD-21T-0301]CVR)BOT</t>
  </si>
  <si>
    <t>RD-21T-0301</t>
  </si>
  <si>
    <t>3E1, 3E2, 3E3</t>
  </si>
  <si>
    <t>RD-21T-0303]CHAMBER)REFLAX PLATE</t>
  </si>
  <si>
    <t>RD-21T-0303</t>
  </si>
  <si>
    <t>RD-22M-0101]PLT)Bas</t>
  </si>
  <si>
    <t>RD-22M-0101</t>
  </si>
  <si>
    <t>RD-22M-0102]PLT)FRM</t>
  </si>
  <si>
    <t>RD-22M-0102</t>
  </si>
  <si>
    <t>RD-22V-0201]BRK)FRONT FIX A</t>
  </si>
  <si>
    <t>RD-22V-0201</t>
  </si>
  <si>
    <t>RD-22V-0202]BRK)FRONT FIX B</t>
  </si>
  <si>
    <t>RD-22V-0202</t>
  </si>
  <si>
    <t>RD-22V-0203]BRK)RDS CONN</t>
  </si>
  <si>
    <t>RD-22V-0203</t>
  </si>
  <si>
    <t>RD-23T-0301]CVR)SIDE L</t>
  </si>
  <si>
    <t>RD-23T-0301</t>
  </si>
  <si>
    <t>RD-23V-0201]BRK)SIDE CVR FIX</t>
  </si>
  <si>
    <t>RD-23V-0201</t>
  </si>
  <si>
    <t>RD-24T-0301]CVR)SIDE R</t>
  </si>
  <si>
    <t>RD-24T-0301</t>
  </si>
  <si>
    <t>3E3</t>
  </si>
  <si>
    <t>RD-25B-5101]LM35 TEMPERATURE SNSR</t>
  </si>
  <si>
    <t>RD-25B-5101</t>
  </si>
  <si>
    <t>RD-25T-0302]CVR)FRONT_RAY</t>
  </si>
  <si>
    <t>RD-25T-0302</t>
  </si>
  <si>
    <t>RD-25T-0303]CHAMBER)TOP</t>
  </si>
  <si>
    <t>RD-25T-0303</t>
  </si>
  <si>
    <t>RD-25T-0304]CHAMBER)BOT</t>
  </si>
  <si>
    <t>RD-25T-0304</t>
  </si>
  <si>
    <t>RD-26T-0303]CHAMBER)DOOR</t>
  </si>
  <si>
    <t>RD-26T-0303</t>
  </si>
  <si>
    <t>RD-26T-0304]CVR)DOOR_Ver1.0</t>
  </si>
  <si>
    <t>RD-26T-0304</t>
  </si>
  <si>
    <t>RD-26T-0306]CVR)DOOR_MEGAGEN</t>
  </si>
  <si>
    <t>RD-26T-0306</t>
  </si>
  <si>
    <t>RD-27G-0101]INSULATOR)THERMAL CVR</t>
  </si>
  <si>
    <t>RD-27G-0101</t>
  </si>
  <si>
    <t>RD-27H-5001]UV LED Mdl</t>
  </si>
  <si>
    <t>RD-27H-5001</t>
  </si>
  <si>
    <t>RD-27M-0101]THERMAL CVR</t>
  </si>
  <si>
    <t>RD-27M-0101</t>
  </si>
  <si>
    <t>RD-27V-0201]BRK)LED HEAT SINK</t>
  </si>
  <si>
    <t>RD-27V-0201</t>
  </si>
  <si>
    <t>RD-27V-0202]BRK)FAN</t>
  </si>
  <si>
    <t>RD-27V-0202</t>
  </si>
  <si>
    <t>RD-28T-0301]CVR)TOP</t>
  </si>
  <si>
    <t>RD-28T-0301</t>
  </si>
  <si>
    <t>RD-28V-0201]BRK)CVR TOP FIX</t>
  </si>
  <si>
    <t>RD-28V-0201</t>
  </si>
  <si>
    <t>RD-29T-0305]CVR)BACK_Ver1.0</t>
  </si>
  <si>
    <t>RD-29T-0305</t>
  </si>
  <si>
    <t>RD-29V-0201]BRK)EXHAUST FAN</t>
  </si>
  <si>
    <t>RD-29V-0201</t>
  </si>
  <si>
    <t>RD-30V-0201]BRK)DOOR SNSR</t>
  </si>
  <si>
    <t>RD-30V-0201</t>
  </si>
  <si>
    <t>ASM MAIN BASE MODULE</t>
  </si>
  <si>
    <t>RE-01A-1010</t>
  </si>
  <si>
    <t>RE-01S-6024</t>
    <phoneticPr fontId="1" type="noConversion"/>
  </si>
  <si>
    <t>RE-01T-0102]CAS MAIN Bas L</t>
  </si>
  <si>
    <t>RE-01T-0102</t>
  </si>
  <si>
    <t>3A-4,3A-5</t>
  </si>
  <si>
    <t>RE-01T-0103]CAS MAIN Bas R</t>
  </si>
  <si>
    <t>RE-01T-0103</t>
  </si>
  <si>
    <t>3A-6,3A-7</t>
  </si>
  <si>
    <t>RE-01T-0104]RUBBER CAP DECO</t>
  </si>
  <si>
    <t>RE-01T-0104</t>
  </si>
  <si>
    <t>RE-02A-0236]ASM SCREW MOVING Y-AXIS</t>
  </si>
  <si>
    <t>RE-02A-0236</t>
  </si>
  <si>
    <t>K1-2</t>
    <phoneticPr fontId="1" type="noConversion"/>
  </si>
  <si>
    <t>RE-02A-1020]ASM VERTICAL MODULE</t>
  </si>
  <si>
    <t>RE-02A-1020</t>
  </si>
  <si>
    <t>K8</t>
    <phoneticPr fontId="1" type="noConversion"/>
  </si>
  <si>
    <t>RE-02B-5100]ePRIME Bd</t>
  </si>
  <si>
    <t>RE-02B-5100</t>
  </si>
  <si>
    <t>K6-2</t>
    <phoneticPr fontId="1" type="noConversion"/>
  </si>
  <si>
    <t>RE-02B-5105]eINDICATOR Bd</t>
  </si>
  <si>
    <t>RE-02B-5105</t>
  </si>
  <si>
    <t>K6-3</t>
    <phoneticPr fontId="1" type="noConversion"/>
  </si>
  <si>
    <t>RE-02H-5008]eMAIN DC CON PWR</t>
    <phoneticPr fontId="1" type="noConversion"/>
  </si>
  <si>
    <t>RE-02H-5008</t>
  </si>
  <si>
    <t>F3-1</t>
    <phoneticPr fontId="1" type="noConversion"/>
  </si>
  <si>
    <t>RE-02H-5011]eMAIN LAN</t>
    <phoneticPr fontId="1" type="noConversion"/>
  </si>
  <si>
    <t>RE-02H-5011</t>
  </si>
  <si>
    <t>F2-1</t>
    <phoneticPr fontId="1" type="noConversion"/>
  </si>
  <si>
    <t>RE-02H-5012]DC PWR HUB</t>
    <phoneticPr fontId="1" type="noConversion"/>
  </si>
  <si>
    <t>RE-02H-5012</t>
  </si>
  <si>
    <t>RE-02H-5014]INDICATOR</t>
    <phoneticPr fontId="1" type="noConversion"/>
  </si>
  <si>
    <t>RE-02H-5014</t>
  </si>
  <si>
    <t>RE-02H-5015]EXPOSURE</t>
    <phoneticPr fontId="1" type="noConversion"/>
  </si>
  <si>
    <t>RE-02H-5015</t>
  </si>
  <si>
    <t>RE-02H-5016]eMAIN MOT ROTATOR</t>
    <phoneticPr fontId="1" type="noConversion"/>
  </si>
  <si>
    <t>RE-02H-5016</t>
  </si>
  <si>
    <t>RE-02H-5017]eMAIN MOT LINEAR</t>
    <phoneticPr fontId="1" type="noConversion"/>
  </si>
  <si>
    <t>RE-02H-5017</t>
  </si>
  <si>
    <t>RE-02H-5019]LIFT SIGNAL</t>
    <phoneticPr fontId="1" type="noConversion"/>
  </si>
  <si>
    <t>RE-02H-5019</t>
  </si>
  <si>
    <t>F2-2</t>
    <phoneticPr fontId="1" type="noConversion"/>
  </si>
  <si>
    <t>RE-02H-5061]Earth Vertical</t>
    <phoneticPr fontId="1" type="noConversion"/>
  </si>
  <si>
    <t>RE-02H-5061</t>
  </si>
  <si>
    <t>F3-2</t>
    <phoneticPr fontId="1" type="noConversion"/>
  </si>
  <si>
    <t>RE-02M-0201]FRM VERT Bas</t>
  </si>
  <si>
    <t>RE-02M-0201</t>
  </si>
  <si>
    <t xml:space="preserve">4F  </t>
  </si>
  <si>
    <t>RE-02M-0206]FRM MOVING Bas</t>
  </si>
  <si>
    <t>RE-02M-0206</t>
  </si>
  <si>
    <t>PULLEY ROT MAIN</t>
    <phoneticPr fontId="1" type="noConversion"/>
  </si>
  <si>
    <t>RE-02M-0211</t>
    <phoneticPr fontId="1" type="noConversion"/>
  </si>
  <si>
    <t>RE-02M-0216]SHAFT B-Ring BOT</t>
  </si>
  <si>
    <t>RE-02M-0216</t>
  </si>
  <si>
    <t>K2-1</t>
    <phoneticPr fontId="1" type="noConversion"/>
  </si>
  <si>
    <t>RE-02M-0221]BLK STOPPER</t>
  </si>
  <si>
    <t>RE-02M-0221</t>
  </si>
  <si>
    <t>RE-02M-0226]SHAFT IDLER</t>
  </si>
  <si>
    <t>RE-02M-0226</t>
  </si>
  <si>
    <t>K3-1</t>
    <phoneticPr fontId="1" type="noConversion"/>
  </si>
  <si>
    <t>RE-02M-0227]ROLLER IDLER</t>
  </si>
  <si>
    <t>RE-02M-0227</t>
  </si>
  <si>
    <t>RE-02M-0233]BLK GUIDE SUP</t>
  </si>
  <si>
    <t>RE-02M-0233</t>
  </si>
  <si>
    <t>RE-02M-0239]BLK LINK</t>
  </si>
  <si>
    <t>RE-02M-0239</t>
  </si>
  <si>
    <t>RE-02M-0249]PLT PROT SMPS</t>
  </si>
  <si>
    <t>RE-02M-0249</t>
  </si>
  <si>
    <t>RE-02S-0202]LM SET 9-260-B2</t>
  </si>
  <si>
    <t>RE-02S-0202</t>
  </si>
  <si>
    <t>K4-1</t>
    <phoneticPr fontId="1" type="noConversion"/>
  </si>
  <si>
    <t>RE-02S-0217]TIMING BELT S3M-453-10</t>
  </si>
  <si>
    <t>RE-02S-0217</t>
  </si>
  <si>
    <t>RE-02S-2272]TIMING BELT (S3M-282-10)</t>
  </si>
  <si>
    <t>RE-02S-2272</t>
  </si>
  <si>
    <t>RE-02S-5205]STEP MOT [KH5640-B95101]</t>
  </si>
  <si>
    <t>RE-02S-5205</t>
  </si>
  <si>
    <t>RE-02T-0242]CAS VERT BOT L</t>
  </si>
  <si>
    <t>RE-02T-0242</t>
  </si>
  <si>
    <t>3A-14</t>
  </si>
  <si>
    <t>RE-02T-0243]CAS VERT BOT R</t>
  </si>
  <si>
    <t>RE-02T-0243</t>
  </si>
  <si>
    <t>RE-02T-0246]CAS LED</t>
  </si>
  <si>
    <t>RE-02T-0246</t>
  </si>
  <si>
    <t>3A-19</t>
  </si>
  <si>
    <t>RE-02T-0247]CAS VERT TOP</t>
  </si>
  <si>
    <t>RE-02T-0247</t>
  </si>
  <si>
    <t>RE-02V-0212]PLT SNSR BOT</t>
  </si>
  <si>
    <t>RE-02V-0212</t>
  </si>
  <si>
    <t>RE-02V-0213]PLT ROT STOPPER</t>
  </si>
  <si>
    <t>RE-02V-0213</t>
  </si>
  <si>
    <t>RE-02V-0214]PLT SNSR UPPER</t>
  </si>
  <si>
    <t>RE-02V-0214</t>
  </si>
  <si>
    <t>RE-02V-0215]PLT HLDR TOP</t>
  </si>
  <si>
    <t>RE-02V-0215</t>
  </si>
  <si>
    <t>RE-02V-0219]PLT MOT</t>
  </si>
  <si>
    <t>RE-02V-0219</t>
  </si>
  <si>
    <t>RE-02V-0222]PLT IDLER</t>
  </si>
  <si>
    <t>RE-02V-0222</t>
  </si>
  <si>
    <t>RE-02V-0228]PLT Y-AXIS SNSR</t>
  </si>
  <si>
    <t>RE-02V-0228</t>
  </si>
  <si>
    <t>RE-02V-0231]BRK CABLE PROTOR</t>
  </si>
  <si>
    <t>RE-02V-0231</t>
  </si>
  <si>
    <t>K4-4</t>
    <phoneticPr fontId="1" type="noConversion"/>
  </si>
  <si>
    <t>RE-02V-0232]BRK FIX ROT</t>
  </si>
  <si>
    <t>RE-02V-0232</t>
  </si>
  <si>
    <t>RE-02V-0234]BRK Y-AXIS MOT</t>
  </si>
  <si>
    <t>RE-02V-0234</t>
  </si>
  <si>
    <t>RE-02V-0244]CVR VERT UPPER</t>
  </si>
  <si>
    <t>RE-02V-0244</t>
  </si>
  <si>
    <t>RE-03A-1030]ASM COLUMN MODULE</t>
  </si>
  <si>
    <t>RE-03A-1030</t>
  </si>
  <si>
    <t>RE-03B-5102]eLIFT Bd</t>
  </si>
  <si>
    <t>RE-03B-5102</t>
  </si>
  <si>
    <t>RE-03H-5001_1]AC PWR (IEC)</t>
    <phoneticPr fontId="1" type="noConversion"/>
  </si>
  <si>
    <t>RE-03H-5001</t>
    <phoneticPr fontId="2" type="noConversion"/>
  </si>
  <si>
    <t>F1</t>
    <phoneticPr fontId="1" type="noConversion"/>
  </si>
  <si>
    <t>RE-03H-5002]FUSE to NF1</t>
    <phoneticPr fontId="1" type="noConversion"/>
  </si>
  <si>
    <t>RE-03H-5002</t>
  </si>
  <si>
    <t>RE-03H-5003]FUSE to NF2</t>
    <phoneticPr fontId="1" type="noConversion"/>
  </si>
  <si>
    <t>RE-03H-5003</t>
  </si>
  <si>
    <t>RE-03H-5004]FUSE to SW</t>
    <phoneticPr fontId="1" type="noConversion"/>
  </si>
  <si>
    <t>RE-03H-5004</t>
  </si>
  <si>
    <t>RE-03H-5006]AC PWR MOT SMPS</t>
    <phoneticPr fontId="1" type="noConversion"/>
  </si>
  <si>
    <t>RE-03H-5006</t>
  </si>
  <si>
    <t>RE-03H-5022]LIFT LIMIT_SW</t>
    <phoneticPr fontId="1" type="noConversion"/>
  </si>
  <si>
    <t>RE-03H-5022</t>
  </si>
  <si>
    <t>RE-03H-5023]LIFT MOT</t>
    <phoneticPr fontId="1" type="noConversion"/>
  </si>
  <si>
    <t>RE-03H-5023</t>
  </si>
  <si>
    <t>RE-03H-5040]LIFT LIMIT_SW(B)</t>
    <phoneticPr fontId="1" type="noConversion"/>
  </si>
  <si>
    <t>RE-03H-5040</t>
  </si>
  <si>
    <t>F2-3</t>
    <phoneticPr fontId="1" type="noConversion"/>
  </si>
  <si>
    <t>RE-03H-5060]Earth N/F</t>
    <phoneticPr fontId="1" type="noConversion"/>
  </si>
  <si>
    <t>RE-03H-5060</t>
  </si>
  <si>
    <t>RE-03H-5070]AC PWR (UL)</t>
    <phoneticPr fontId="1" type="noConversion"/>
  </si>
  <si>
    <t>RE-03H-5070</t>
  </si>
  <si>
    <t>RE-03M-0301]FRM CLMN BODY</t>
  </si>
  <si>
    <t>RE-03M-0301</t>
  </si>
  <si>
    <t>RE-03M-0303]GUIDE PIN</t>
  </si>
  <si>
    <t>RE-03M-0303</t>
  </si>
  <si>
    <t>K3-2</t>
    <phoneticPr fontId="1" type="noConversion"/>
  </si>
  <si>
    <t>RE-03T-0306]CAS CLMN FRONT</t>
  </si>
  <si>
    <t>RE-03T-0306</t>
  </si>
  <si>
    <t>3A-11</t>
  </si>
  <si>
    <t>RE-03T-0307]CAS CLMN REAR L</t>
  </si>
  <si>
    <t>RE-03T-0307</t>
  </si>
  <si>
    <t>3A-16</t>
  </si>
  <si>
    <t>RE-03T-0308]CAS CLMN REAR R</t>
  </si>
  <si>
    <t>RE-03T-0308</t>
  </si>
  <si>
    <t>RE-03T-0309]CAS CLMN DECO</t>
  </si>
  <si>
    <t>RE-03T-0309</t>
  </si>
  <si>
    <t>3A-21</t>
  </si>
  <si>
    <t>RE-03V-0302]PLT CLMN BOT</t>
  </si>
  <si>
    <t>RE-03V-0302</t>
  </si>
  <si>
    <t>RE-03V-0304]CVR CLMN REAR</t>
  </si>
  <si>
    <t>RE-03V-0304</t>
  </si>
  <si>
    <t>K7-1</t>
    <phoneticPr fontId="1" type="noConversion"/>
  </si>
  <si>
    <t>RE-03V-0311]PLT ELECTRONIC COMPONENT</t>
  </si>
  <si>
    <t>RE-03V-0311</t>
  </si>
  <si>
    <t>RE-03V-0313]PLT FIX HUB</t>
  </si>
  <si>
    <t>RE-03V-0313</t>
  </si>
  <si>
    <t>RE-03V-0316]BRK MAIN SWITCH</t>
  </si>
  <si>
    <t>RE-03V-0316</t>
  </si>
  <si>
    <t>RE-03V-0317]BRK PROTOR SWITCH</t>
  </si>
  <si>
    <t>RE-03V-0317</t>
  </si>
  <si>
    <t>K2-2</t>
    <phoneticPr fontId="1" type="noConversion"/>
  </si>
  <si>
    <t>RE-03V-0318]BRK SUP CLMN SUB</t>
  </si>
  <si>
    <t>RE-03V-0318</t>
  </si>
  <si>
    <t>RE-04A-0428]ASM HEADREST SHAFT</t>
  </si>
  <si>
    <t>RE-04A-0428</t>
  </si>
  <si>
    <t>RE-04A-0448]ASM CAS ARM UPPPER</t>
  </si>
  <si>
    <t>RE-04A-0448</t>
  </si>
  <si>
    <t>3E</t>
    <phoneticPr fontId="1" type="noConversion"/>
  </si>
  <si>
    <t>RE-04A-0451]LM SET 7C-47-B1</t>
  </si>
  <si>
    <t>RE-04A-0451</t>
  </si>
  <si>
    <t>K3-4</t>
    <phoneticPr fontId="1" type="noConversion"/>
  </si>
  <si>
    <t>RE-04A-1040]ASM ARM MODULE</t>
  </si>
  <si>
    <t>RE-04A-1040</t>
  </si>
  <si>
    <t>RE-04B-5104]eKEYIF Bd</t>
  </si>
  <si>
    <t>RE-04B-5104</t>
  </si>
  <si>
    <t>RE-04H-5047]LASER V_C [LBM01-180]</t>
    <phoneticPr fontId="1" type="noConversion"/>
  </si>
  <si>
    <t>RE-04H-5047</t>
  </si>
  <si>
    <t>RE-04M-0401]FRM ARM Bas</t>
  </si>
  <si>
    <t>RE-04M-0401</t>
  </si>
  <si>
    <t>RE-04M-0412_B]BLK LASER FIX</t>
  </si>
  <si>
    <t>RE-04M-0412</t>
    <phoneticPr fontId="2" type="noConversion"/>
  </si>
  <si>
    <t>RE-04M-0422]BLK BOLT HEADREST</t>
  </si>
  <si>
    <t>RE-04M-0422</t>
  </si>
  <si>
    <t>RE-04M-0423]BLK NUT CHINREST L</t>
  </si>
  <si>
    <t>RE-04M-0423</t>
  </si>
  <si>
    <t>RE-04M-0424]BLK NUT CHINREST R</t>
  </si>
  <si>
    <t>RE-04M-0424</t>
  </si>
  <si>
    <t>RE-04M-0426]SIDE BLK HEADREST</t>
  </si>
  <si>
    <t>RE-04M-0426</t>
  </si>
  <si>
    <t>K3-3</t>
    <phoneticPr fontId="1" type="noConversion"/>
  </si>
  <si>
    <t>RE-04M-0427]BLK HEADREST SHAFT</t>
  </si>
  <si>
    <t>RE-04M-0427</t>
  </si>
  <si>
    <t>RE-04M-0429]BLK BEVEL GEAR BOX A</t>
  </si>
  <si>
    <t>RE-04M-0429</t>
  </si>
  <si>
    <t>RE-04M-0430]BLK BEVEL GEAR BOX B</t>
  </si>
  <si>
    <t>RE-04M-0430</t>
  </si>
  <si>
    <t>RE-04M-0432]SHAFT BEVEL KNOB</t>
  </si>
  <si>
    <t>RE-04M-0432</t>
  </si>
  <si>
    <t>RE-04M-0438]DECO CANINE WINDOW</t>
  </si>
  <si>
    <t>RE-04M-0438</t>
  </si>
  <si>
    <t>RE-04S-0425]SPACER 10-6-2</t>
  </si>
  <si>
    <t>RE-04S-0425</t>
  </si>
  <si>
    <t>RE-04S-0431]GEAR BEVEL PM1-20</t>
  </si>
  <si>
    <t>RE-04S-0431</t>
  </si>
  <si>
    <t>RE-04S-0443]DU BUSH DU0606</t>
  </si>
  <si>
    <t>RE-04S-0443</t>
  </si>
  <si>
    <t>RE-04S-0444]SPACER 10-6-1</t>
  </si>
  <si>
    <t>RE-04S-0444</t>
  </si>
  <si>
    <t>RE-04S-0446]MAGNET 12X5</t>
  </si>
  <si>
    <t>RE-04S-0446</t>
  </si>
  <si>
    <t>RE-04S-5200]EMERGENCY SWITCH [KEPB16ER]</t>
  </si>
  <si>
    <t>RE-04S-5200</t>
  </si>
  <si>
    <t>RE-04T-0409]CAS CANINE KNOB</t>
  </si>
  <si>
    <t>RE-04T-0409</t>
  </si>
  <si>
    <t>RE-04T-0413]CAS CHINREST Bas</t>
  </si>
  <si>
    <t>RE-04T-0413</t>
  </si>
  <si>
    <t>RE-04T-0416]CAS HANDLE FRONT</t>
  </si>
  <si>
    <t>RE-04T-0416</t>
  </si>
  <si>
    <t>3A-20</t>
  </si>
  <si>
    <t>RE-04T-0419]CAS HANDLE REAR</t>
  </si>
  <si>
    <t>RE-04T-0419</t>
  </si>
  <si>
    <t>RE-04T-0434]CAS ARM BOT</t>
  </si>
  <si>
    <t>RE-04T-0434</t>
  </si>
  <si>
    <t>3A-12</t>
  </si>
  <si>
    <t>RE-04T-0435]CAS ARM UPPER</t>
  </si>
  <si>
    <t>RE-04T-0435</t>
  </si>
  <si>
    <t>3A-13</t>
  </si>
  <si>
    <t>RE-04T-0436]CAS CHINREST BOT</t>
  </si>
  <si>
    <t>RE-04T-0436</t>
  </si>
  <si>
    <t>3A-22</t>
  </si>
  <si>
    <t>RE-04T-0437]CAS CHINREST UPPER</t>
  </si>
  <si>
    <t>RE-04T-0437</t>
  </si>
  <si>
    <t>RE-04T-0439]CAS HEADREST KNOB</t>
  </si>
  <si>
    <t>RE-04T-0439</t>
  </si>
  <si>
    <t>RE-04T-0440]CAP HEADREST KNOB</t>
  </si>
  <si>
    <t>RE-04T-0440</t>
  </si>
  <si>
    <t>RE-04T-0452]CAP HANDLE A</t>
  </si>
  <si>
    <t>RE-04T-0452</t>
  </si>
  <si>
    <t>RE-04T-0453]CAP HANDLE B</t>
  </si>
  <si>
    <t>RE-04T-0453</t>
  </si>
  <si>
    <t>RE-04V-0408]BRK CANINE LASER</t>
  </si>
  <si>
    <t>RE-04V-0408</t>
  </si>
  <si>
    <t>RE-04V-0411]BRK VERT LASER</t>
  </si>
  <si>
    <t>RE-04V-0411</t>
  </si>
  <si>
    <t>RE-04V-0414]BRK SLIDE Bd</t>
  </si>
  <si>
    <t>RE-04V-0414</t>
  </si>
  <si>
    <t>RE-04V-0417]PLT HANDLE FRONT</t>
  </si>
  <si>
    <t>RE-04V-0417</t>
  </si>
  <si>
    <t>RE-04V-0418]PLT HANDLE REAR</t>
  </si>
  <si>
    <t>RE-04V-0418</t>
  </si>
  <si>
    <t>RE-04V-0421]BRK HEADREST Bas</t>
  </si>
  <si>
    <t>RE-04V-0421</t>
  </si>
  <si>
    <t>RE-04V-0433]BRK CVR HEADREST</t>
  </si>
  <si>
    <t>RE-04V-0433</t>
  </si>
  <si>
    <t>RE-05A-0512]ASM ROTATOR WEIGH</t>
  </si>
  <si>
    <t>RE-05A-0512</t>
  </si>
  <si>
    <t>RE-05A-0530]ASM TUBE TNK SUP</t>
  </si>
  <si>
    <t>RE-05A-0530</t>
  </si>
  <si>
    <t>K5-4</t>
    <phoneticPr fontId="1" type="noConversion"/>
  </si>
  <si>
    <t>RE-05A-1050]ASM ROTATOR MODULE</t>
  </si>
  <si>
    <t>RE-05A-1050</t>
  </si>
  <si>
    <t>RE-05B-5101]eSUB Bd</t>
  </si>
  <si>
    <t>RE-05B-5101</t>
  </si>
  <si>
    <t>K6-4</t>
    <phoneticPr fontId="1" type="noConversion"/>
  </si>
  <si>
    <t>RE-05B-5106]eLCEPH Bd</t>
  </si>
  <si>
    <t>RE-05B-5106</t>
  </si>
  <si>
    <t>RE-05H-5024_1]eSUB MOT COL</t>
    <phoneticPr fontId="1" type="noConversion"/>
  </si>
  <si>
    <t>RE-05H-5024</t>
    <phoneticPr fontId="2" type="noConversion"/>
  </si>
  <si>
    <t>RE-05H-5025_1]eSUB MOT DET</t>
    <phoneticPr fontId="1" type="noConversion"/>
  </si>
  <si>
    <t>RE-05H-5025</t>
    <phoneticPr fontId="2" type="noConversion"/>
  </si>
  <si>
    <t>RE-05H-5030_1]TILT SIGNAL</t>
    <phoneticPr fontId="1" type="noConversion"/>
  </si>
  <si>
    <t>RE-05H-5030</t>
    <phoneticPr fontId="2" type="noConversion"/>
  </si>
  <si>
    <t>RE-05H-5049_1]LASER_H Extend</t>
    <phoneticPr fontId="1" type="noConversion"/>
  </si>
  <si>
    <t>RE-05H-5049</t>
    <phoneticPr fontId="2" type="noConversion"/>
  </si>
  <si>
    <t>F2-4</t>
    <phoneticPr fontId="1" type="noConversion"/>
  </si>
  <si>
    <t>RE-05H-5065_1]Earth ROT to TNK</t>
    <phoneticPr fontId="1" type="noConversion"/>
  </si>
  <si>
    <t>RE-05H-5065</t>
    <phoneticPr fontId="2" type="noConversion"/>
  </si>
  <si>
    <t>F2-5</t>
    <phoneticPr fontId="1" type="noConversion"/>
  </si>
  <si>
    <t>RE-05M-0501]FRM ROT Bas</t>
  </si>
  <si>
    <t>RE-05M-0501</t>
  </si>
  <si>
    <t>RE-05M-0504]SHAFT TUBE TILT STOPPER</t>
  </si>
  <si>
    <t>RE-05M-0504</t>
  </si>
  <si>
    <t>RE-05M-0505]PIN TUBE TILT LIMIT</t>
  </si>
  <si>
    <t>RE-05M-0505</t>
  </si>
  <si>
    <t>RE-05M-0506]BLK TUBE TILT FIX</t>
  </si>
  <si>
    <t>RE-05M-0506</t>
  </si>
  <si>
    <t>RE-05M-0551]BLK HEATSINK PFC (EHVG)</t>
  </si>
  <si>
    <t>RE-05M-0551</t>
  </si>
  <si>
    <t xml:space="preserve">4F  </t>
    <phoneticPr fontId="1" type="noConversion"/>
  </si>
  <si>
    <t>RE-05M-0552]BLK HEATSINK DRV (EHVG)</t>
  </si>
  <si>
    <t>RE-05M-0552</t>
  </si>
  <si>
    <t>RE-05M-0555]TOP HEATSINK (EHVG)</t>
  </si>
  <si>
    <t>RE-05M-0555</t>
  </si>
  <si>
    <t>K5-2</t>
    <phoneticPr fontId="1" type="noConversion"/>
  </si>
  <si>
    <t>RE-05M-0558]INSULATION INVERTER (EHVG)</t>
  </si>
  <si>
    <t>RE-05M-0558</t>
  </si>
  <si>
    <t>RE-05S-5203]STEP MOT [KH4238-B95101]</t>
    <phoneticPr fontId="1" type="noConversion"/>
  </si>
  <si>
    <t>RE-05S-5203</t>
  </si>
  <si>
    <t>RE-05T-0516]CAS ROT BOT</t>
  </si>
  <si>
    <t>RE-05T-0516</t>
  </si>
  <si>
    <t>3A-9</t>
  </si>
  <si>
    <t>RE-05T-0517]CAS ROT UPPER L</t>
  </si>
  <si>
    <t>RE-05T-0517</t>
  </si>
  <si>
    <t>3A-15</t>
  </si>
  <si>
    <t>RE-05T-0518]CAS ROT UPPER R</t>
  </si>
  <si>
    <t>RE-05T-0518</t>
  </si>
  <si>
    <t>RE-05T-0519]CAS ROT FRONT</t>
  </si>
  <si>
    <t>RE-05T-0519</t>
  </si>
  <si>
    <t>RE-05T-0520]CAS ROT REAR</t>
  </si>
  <si>
    <t>RE-05T-0520</t>
  </si>
  <si>
    <t>RE-05V-0508]HLDR DC GEARED MOT</t>
  </si>
  <si>
    <t>RE-05V-0508</t>
  </si>
  <si>
    <t>RE-05V-0509]GUIDE TUBE TILT MICRO SW</t>
  </si>
  <si>
    <t>RE-05V-0509</t>
  </si>
  <si>
    <t>RE-05V-0511]BRK HARNESS CLAMP</t>
  </si>
  <si>
    <t>RE-05V-0511</t>
  </si>
  <si>
    <t>RE-05V-0521]PLT ROT WEIGHT 1</t>
  </si>
  <si>
    <t>RE-05V-0521</t>
  </si>
  <si>
    <t>RE-05V-0522]PLT ROT WEIGHT 2</t>
  </si>
  <si>
    <t>RE-05V-0522</t>
  </si>
  <si>
    <t>RE-05V-0523]PLT ROT WEIGHT 3</t>
  </si>
  <si>
    <t>RE-05V-0523</t>
  </si>
  <si>
    <t>RE-05V-0525]PLT ROT WEIGHT 5</t>
  </si>
  <si>
    <t>RE-05V-0525</t>
  </si>
  <si>
    <t>RE-05V-0553]PLT PFC (EHVG)</t>
  </si>
  <si>
    <t>RE-05V-0553</t>
  </si>
  <si>
    <t>RE-05V-0554]PLT DRV (EHVG)</t>
  </si>
  <si>
    <t>RE-05V-0554</t>
  </si>
  <si>
    <t>RE-05V-0556]CVR INVERTER BOT (EHVG)</t>
  </si>
  <si>
    <t>RE-05V-0556</t>
  </si>
  <si>
    <t>RE-05V-0557]CVR INVERTER UPPER (EHVG)</t>
  </si>
  <si>
    <t>RE-05V-0557</t>
  </si>
  <si>
    <t>RE-06A-0601]ASM COLLIMATOR MODULE</t>
    <phoneticPr fontId="1" type="noConversion"/>
  </si>
  <si>
    <t>RE-06A-0601</t>
  </si>
  <si>
    <t>RE-06A-0605]ASM SCREW COL</t>
  </si>
  <si>
    <t>RE-06A-0605</t>
  </si>
  <si>
    <t>K1-4</t>
    <phoneticPr fontId="1" type="noConversion"/>
  </si>
  <si>
    <t>RE-06A-0625]ASM TUBE FAN</t>
  </si>
  <si>
    <t>RE-06A-0625</t>
  </si>
  <si>
    <t>K6-1</t>
    <phoneticPr fontId="1" type="noConversion"/>
  </si>
  <si>
    <t>RE-06A-0630]ASM TUBE SHAFT BRASS</t>
  </si>
  <si>
    <t>RE-06A-0630</t>
  </si>
  <si>
    <t>K7-2</t>
    <phoneticPr fontId="1" type="noConversion"/>
  </si>
  <si>
    <t>RE-06A-0675</t>
  </si>
  <si>
    <t>K2-5</t>
    <phoneticPr fontId="1" type="noConversion"/>
  </si>
  <si>
    <t>RE-06B-5103]eTILT Bd</t>
  </si>
  <si>
    <t>RE-06B-5103</t>
  </si>
  <si>
    <t>RE-06B-5107] ASM INVERTOR B'D</t>
  </si>
  <si>
    <t>RE-06B-5107</t>
  </si>
  <si>
    <t>RE-06H-5031]TILT LIMIT_SW</t>
    <phoneticPr fontId="1" type="noConversion"/>
  </si>
  <si>
    <t>RE-06H-5031</t>
  </si>
  <si>
    <t>RE-06H-5032]TILT MOT</t>
    <phoneticPr fontId="1" type="noConversion"/>
  </si>
  <si>
    <t>RE-06H-5032</t>
  </si>
  <si>
    <t>RE-06H-5048]LASER H [LBM01-300]</t>
    <phoneticPr fontId="1" type="noConversion"/>
  </si>
  <si>
    <t>RE-06H-5048</t>
  </si>
  <si>
    <t>RE-06H-5050]HVG AC-IN</t>
    <phoneticPr fontId="1" type="noConversion"/>
  </si>
  <si>
    <t>RE-06H-5050</t>
  </si>
  <si>
    <t>RE-06H-5051]HVG to TANK</t>
    <phoneticPr fontId="1" type="noConversion"/>
  </si>
  <si>
    <t>RE-06H-5051</t>
  </si>
  <si>
    <t>RE-06H-5052]HVG Feedback</t>
    <phoneticPr fontId="1" type="noConversion"/>
  </si>
  <si>
    <t>RE-06H-5052</t>
  </si>
  <si>
    <t>RE-06H-5053]HVG Filament</t>
    <phoneticPr fontId="1" type="noConversion"/>
  </si>
  <si>
    <t>RE-06H-5053</t>
  </si>
  <si>
    <t>RE-06H-5054]HVG FAN</t>
    <phoneticPr fontId="1" type="noConversion"/>
  </si>
  <si>
    <t>RE-06H-5054</t>
  </si>
  <si>
    <t>RE-06H-5055]HVG Control</t>
    <phoneticPr fontId="1" type="noConversion"/>
  </si>
  <si>
    <t>RE-06H-5055</t>
  </si>
  <si>
    <t>RE-06H-5056]Earth ROT to HVG</t>
    <phoneticPr fontId="1" type="noConversion"/>
  </si>
  <si>
    <t>RE-06H-5056</t>
  </si>
  <si>
    <t>RE-06M-0607]BLK COL LINKER</t>
  </si>
  <si>
    <t>RE-06M-0607</t>
  </si>
  <si>
    <t>RE-06M-0611]FRM COL Bas</t>
  </si>
  <si>
    <t>RE-06M-0611</t>
  </si>
  <si>
    <t>RE-06M-0617]FILTER CU 0.2</t>
  </si>
  <si>
    <t>RE-06M-0617</t>
  </si>
  <si>
    <t>K2-4</t>
    <phoneticPr fontId="1" type="noConversion"/>
  </si>
  <si>
    <t>RE-06M-0618]FILTER AL 1.0</t>
  </si>
  <si>
    <t>RE-06M-0618</t>
  </si>
  <si>
    <t>RE-06M-0631]SHAFT BRASS COL</t>
  </si>
  <si>
    <t>RE-06M-0631</t>
  </si>
  <si>
    <t>RE-06M-0636]DECO HORIZONTAL LASER</t>
  </si>
  <si>
    <t>RE-06M-0636</t>
  </si>
  <si>
    <t>RE-06M-0637]BLK RAIL</t>
  </si>
  <si>
    <t>RE-06M-0637</t>
  </si>
  <si>
    <t>RE-06S-0603]LM SET 9-140</t>
  </si>
  <si>
    <t>RE-06S-0603</t>
  </si>
  <si>
    <t>RE-06S-5207]LINE FILTER [LF291314]</t>
  </si>
  <si>
    <t>RE-06S-5207</t>
  </si>
  <si>
    <t>3F10</t>
  </si>
  <si>
    <t>RE-06T-0633]CAS TUBE TNK FRONT</t>
  </si>
  <si>
    <t>RE-06T-0633</t>
  </si>
  <si>
    <t>3A-17</t>
  </si>
  <si>
    <t>RE-06T-0634]CAS TUBE TNK REAR</t>
  </si>
  <si>
    <t>RE-06T-0634</t>
  </si>
  <si>
    <t>3A-8</t>
  </si>
  <si>
    <t>RE-06T-0635]CAS HORIZONTAL KNOB</t>
  </si>
  <si>
    <t>RE-06T-0635</t>
  </si>
  <si>
    <t>RE-06V-0602]PLT COL Bas</t>
  </si>
  <si>
    <t>RE-06V-0602</t>
  </si>
  <si>
    <t>K5-1</t>
    <phoneticPr fontId="1" type="noConversion"/>
  </si>
  <si>
    <t>RE-06V-0608]BRK COL LWR</t>
  </si>
  <si>
    <t>RE-06V-0608</t>
  </si>
  <si>
    <t>RE-06V-0612]PB COL Bas</t>
  </si>
  <si>
    <t>RE-06V-0612</t>
  </si>
  <si>
    <t>RE-06V-0613]BRK PB COL CT</t>
  </si>
  <si>
    <t>RE-06V-0613</t>
  </si>
  <si>
    <t>RE-06V-0614]BRK PB COL PANO</t>
  </si>
  <si>
    <t>RE-06V-0614</t>
  </si>
  <si>
    <t>RE-06V-0615]BRK PB COL SC</t>
  </si>
  <si>
    <t>RE-06V-0615</t>
  </si>
  <si>
    <t>RE-06V-0616]BRK COL SNSR</t>
  </si>
  <si>
    <t>RE-06V-0616</t>
  </si>
  <si>
    <t>RE-06V-0619]PB COL Bas REAR</t>
  </si>
  <si>
    <t>RE-06V-0619</t>
  </si>
  <si>
    <t>K1-5</t>
    <phoneticPr fontId="1" type="noConversion"/>
  </si>
  <si>
    <t>RE-06V-0621]BRK HORIZONTAL RAIL</t>
  </si>
  <si>
    <t>RE-06V-0621</t>
  </si>
  <si>
    <t>RE-06V-0622_B]BRK HORIZONTAL BLK</t>
  </si>
  <si>
    <t>RE-06V-0622</t>
    <phoneticPr fontId="2" type="noConversion"/>
  </si>
  <si>
    <t>RE-06V-0623_B]BRK HORIZONTAL KNOB</t>
  </si>
  <si>
    <t>RE-06V-0623</t>
    <phoneticPr fontId="2" type="noConversion"/>
  </si>
  <si>
    <t>RE-06V-0626]BRK FAN Bas</t>
  </si>
  <si>
    <t>RE-06V-0626</t>
  </si>
  <si>
    <t>RE-06V-0627]BRK TUBE CAS TOP</t>
  </si>
  <si>
    <t>RE-06V-0627</t>
  </si>
  <si>
    <t>RE-06V-0628]BRK TUBE CAS BOT</t>
  </si>
  <si>
    <t>RE-06V-0628</t>
  </si>
  <si>
    <t>RE-06V-0632]BRK BRASS PB COL</t>
  </si>
  <si>
    <t>RE-06V-0632</t>
  </si>
  <si>
    <t>RE-07A-1070]ASM DETECTOR MODULE</t>
    <phoneticPr fontId="1" type="noConversion"/>
  </si>
  <si>
    <t>RE-07A-1070</t>
  </si>
  <si>
    <t>RE-07M-0706]BLK DET MOT LINKER</t>
  </si>
  <si>
    <t>RE-07M-0706</t>
  </si>
  <si>
    <t>RE-07M-0707]BLK MOT HOUSING</t>
  </si>
  <si>
    <t>RE-07M-0707</t>
  </si>
  <si>
    <t>K1-6</t>
    <phoneticPr fontId="1" type="noConversion"/>
  </si>
  <si>
    <t>RE-07M-0711_B]PLT DET SNSR (IR)</t>
  </si>
  <si>
    <t>RE-07M-0711</t>
    <phoneticPr fontId="2" type="noConversion"/>
  </si>
  <si>
    <t>RE-07M-0717]CVR DET FRONT</t>
  </si>
  <si>
    <t>RE-07M-0717</t>
  </si>
  <si>
    <t>K2-6</t>
    <phoneticPr fontId="1" type="noConversion"/>
  </si>
  <si>
    <t>RE-07S-0702]LM SET 9-230-B2</t>
  </si>
  <si>
    <t>RE-07S-0702</t>
  </si>
  <si>
    <t>RE-07T-0715]CAS DET REAR</t>
  </si>
  <si>
    <t>RE-07T-0715</t>
  </si>
  <si>
    <t>3A-10</t>
  </si>
  <si>
    <t>RE-07T-0716]CAS DET FRONT</t>
  </si>
  <si>
    <t>RE-07T-0716</t>
  </si>
  <si>
    <t>RE-07V-0701]PLT Bas DET</t>
  </si>
  <si>
    <t>RE-07V-0701</t>
  </si>
  <si>
    <t>RE-07V-0704]PLT FIX DET</t>
  </si>
  <si>
    <t>RE-07V-0704</t>
  </si>
  <si>
    <t>RE-07V-0708]PLT MOT HOUSING</t>
  </si>
  <si>
    <t>RE-07V-0708</t>
  </si>
  <si>
    <t>RE-07V-0709]PLT ADJUST DET</t>
    <phoneticPr fontId="1" type="noConversion"/>
  </si>
  <si>
    <t>RE-07V-0709</t>
  </si>
  <si>
    <t>RE-07V-0712]BRK PHOtSNSR</t>
  </si>
  <si>
    <t>RE-07V-0712</t>
  </si>
  <si>
    <t>RE-07V-0713]PLT WEIGHT DET</t>
  </si>
  <si>
    <t>RE-07V-0713</t>
  </si>
  <si>
    <t>RE-07V-0714]BRK CAS DET</t>
  </si>
  <si>
    <t>RE-07V-0714</t>
  </si>
  <si>
    <t>RE-08A-0832]ASM ARM SCAN CEPH</t>
  </si>
  <si>
    <t>RE-08A-0832</t>
  </si>
  <si>
    <t>RE-08A-1080]ASM SCAN CEPH Mdl</t>
  </si>
  <si>
    <t>RE-08A-1080</t>
  </si>
  <si>
    <t>RE-08A-1082]ASM SCAN CEPH COLLIMATOR</t>
  </si>
  <si>
    <t>RE-08A-1082</t>
  </si>
  <si>
    <t>RE-08H-5035]eLC MOT COLLIMATOR</t>
    <phoneticPr fontId="1" type="noConversion"/>
  </si>
  <si>
    <t>RE-08H-5035</t>
  </si>
  <si>
    <t>RE-08H-5036]eLC MOT DETECTOR</t>
    <phoneticPr fontId="1" type="noConversion"/>
  </si>
  <si>
    <t>RE-08H-5036</t>
  </si>
  <si>
    <t>RE-08H-5037]LC SLIDE</t>
    <phoneticPr fontId="1" type="noConversion"/>
  </si>
  <si>
    <t>RE-08H-5037</t>
  </si>
  <si>
    <t>RE-08H-5038]ISC DET-A</t>
    <phoneticPr fontId="1" type="noConversion"/>
  </si>
  <si>
    <t>RE-08H-5038</t>
  </si>
  <si>
    <t>RE-08M-0802]300007730 변경</t>
  </si>
  <si>
    <t>RE-08M-0802</t>
  </si>
  <si>
    <t>RE-08M-0806]PULLEY Z40 L</t>
  </si>
  <si>
    <t>RE-08M-0806</t>
  </si>
  <si>
    <t>K7-3</t>
    <phoneticPr fontId="1" type="noConversion"/>
  </si>
  <si>
    <t>RE-08M-0807]SHAFT FIXED PULLEY</t>
  </si>
  <si>
    <t>RE-08M-0807</t>
  </si>
  <si>
    <t>RE-08M-0811]PULLEY Z40 S</t>
  </si>
  <si>
    <t>RE-08M-0811</t>
  </si>
  <si>
    <t>RE-08M-0814]SHAFT ADJUSTABLE PULLEY</t>
  </si>
  <si>
    <t>RE-08M-0814</t>
  </si>
  <si>
    <t>RE-08M-0817]BLK CLAMP TIMING BELT</t>
  </si>
  <si>
    <t>RE-08M-0817</t>
  </si>
  <si>
    <t>K1-7</t>
    <phoneticPr fontId="1" type="noConversion"/>
  </si>
  <si>
    <t>RE-08M-0830]PANEL CAS SCAN CEPH</t>
  </si>
  <si>
    <t>RE-08M-0830</t>
  </si>
  <si>
    <t>RE-08M-0833]ARM SCAN CEPH</t>
  </si>
  <si>
    <t>RE-08M-0833</t>
  </si>
  <si>
    <t>RE-08M-0836]PULLEY Z16</t>
  </si>
  <si>
    <t>RE-08M-0836</t>
  </si>
  <si>
    <t>K2-7</t>
    <phoneticPr fontId="1" type="noConversion"/>
  </si>
  <si>
    <t>RE-08M-0841_A]BLK FIX SC DET</t>
  </si>
  <si>
    <t>RE-08M-0841</t>
    <phoneticPr fontId="2" type="noConversion"/>
  </si>
  <si>
    <t>K3-5</t>
    <phoneticPr fontId="1" type="noConversion"/>
  </si>
  <si>
    <t>RE-08S-0803]LM SET 9-390-B2</t>
  </si>
  <si>
    <t>RE-08S-0803</t>
  </si>
  <si>
    <t>RE-08S-0804]LM SET 9-410-B2</t>
  </si>
  <si>
    <t>RE-08S-0804</t>
  </si>
  <si>
    <t>RE-08S-0808]TIMING BELT S2M-178-10</t>
  </si>
  <si>
    <t>RE-08S-0808</t>
  </si>
  <si>
    <t>RE-08S-0816]TIMING BELT S2M-983-10-OPEN</t>
  </si>
  <si>
    <t>RE-08S-0816</t>
  </si>
  <si>
    <t>RE-08S-0835]TIMING BELT S2M-1033-10-OPEN</t>
  </si>
  <si>
    <t>RE-08S-0835</t>
  </si>
  <si>
    <t>RE-08T-0821]CAS SCAN CEPH LWR</t>
  </si>
  <si>
    <t>RE-08T-0821</t>
  </si>
  <si>
    <t>3A-3</t>
  </si>
  <si>
    <t>RE-08T-0826]CAS SCAN CEPH REAR</t>
  </si>
  <si>
    <t>RE-08T-0826</t>
  </si>
  <si>
    <t>RE-08T-0827]CAS SCAN CEPH FRONT</t>
  </si>
  <si>
    <t>RE-08T-0827</t>
  </si>
  <si>
    <t>RE-08T-0831]CAS SCAN CEPH UPPER</t>
  </si>
  <si>
    <t>RE-08T-0831</t>
  </si>
  <si>
    <t>3A-1,3A-2</t>
  </si>
  <si>
    <t>RE-08V-0810]BRK FIXED MOT</t>
  </si>
  <si>
    <t>RE-08V-0810</t>
  </si>
  <si>
    <t>RE-08V-0812]BRK ADJUSTABLE PULLEY</t>
  </si>
  <si>
    <t>RE-08V-0812</t>
  </si>
  <si>
    <t>RE-08V-0818]BRK SC PHOtSNSR</t>
  </si>
  <si>
    <t>RE-08V-0818</t>
  </si>
  <si>
    <t>RE-08V-0819]BRK SC HARNESS GUIDE</t>
  </si>
  <si>
    <t>RE-08V-0819</t>
  </si>
  <si>
    <t>RE-08V-0820]BRK HARNESS PROT GUIDE</t>
  </si>
  <si>
    <t>RE-08V-0820</t>
  </si>
  <si>
    <t>RE-08V-0823]BRK FIXED 2ND COL</t>
  </si>
  <si>
    <t>RE-08V-0823</t>
  </si>
  <si>
    <t>RE-08V-0824]PB SC 2ND COL</t>
  </si>
  <si>
    <t>RE-08V-0824</t>
  </si>
  <si>
    <t>RE-08V-0825]BRK SC COL WEIGHT</t>
  </si>
  <si>
    <t>RE-08V-0825</t>
  </si>
  <si>
    <t>RE-08V-0828_C]BRK FIXED SC DET</t>
  </si>
  <si>
    <t>RE-08V-0828</t>
    <phoneticPr fontId="2" type="noConversion"/>
  </si>
  <si>
    <t>RE-08V-0829]BRK CVR HARNESS</t>
  </si>
  <si>
    <t>RE-08V-0829</t>
  </si>
  <si>
    <t>RE-08V-0834]BRK FIXED SC ARM</t>
  </si>
  <si>
    <t>RE-08V-0834</t>
  </si>
  <si>
    <t>RE-08V-0844]PLATE SC DETECTOR REAR (ECD)</t>
  </si>
  <si>
    <t>RE-08V-0844</t>
  </si>
  <si>
    <t>RE-09A-0910]ASM MA PHNT</t>
  </si>
  <si>
    <t>RE-09A-0910</t>
  </si>
  <si>
    <t>M4</t>
    <phoneticPr fontId="1" type="noConversion"/>
  </si>
  <si>
    <t>RE-09A-0916]ASM PANO ARC PHNT</t>
  </si>
  <si>
    <t>RE-09A-0916</t>
  </si>
  <si>
    <t>RE-09M-0911]CAS CHINREST PHNT</t>
  </si>
  <si>
    <t>RE-09M-0911</t>
  </si>
  <si>
    <t>RE-09M-0917]BLK PANO ARC PHNT</t>
  </si>
  <si>
    <t>RE-09M-0917</t>
  </si>
  <si>
    <t>K7-3  -&gt; K7-4</t>
    <phoneticPr fontId="1" type="noConversion"/>
  </si>
  <si>
    <t>RE-09S-0907]MAGNET TEMPLE SUP 15_8</t>
  </si>
  <si>
    <t>RE-09S-0907</t>
  </si>
  <si>
    <t>RE-09S-0908]FOOT STK JIG</t>
  </si>
  <si>
    <t>RE-09S-0908</t>
  </si>
  <si>
    <t>RE-09S-0909]STK FOOT</t>
  </si>
  <si>
    <t>RE-09S-0909</t>
  </si>
  <si>
    <t>RE-09S-0921]STK MAGNET RED</t>
  </si>
  <si>
    <t>RE-09S-0921</t>
  </si>
  <si>
    <t>RE-09S-0922]STK MAGNET BLUE</t>
  </si>
  <si>
    <t>RE-09S-0922</t>
  </si>
  <si>
    <t>RE-09S-0994</t>
  </si>
  <si>
    <t>K7-4</t>
    <phoneticPr fontId="1" type="noConversion"/>
  </si>
  <si>
    <t>RE-09T-0901]CAS CHINREST</t>
  </si>
  <si>
    <t>RE-09T-0901</t>
  </si>
  <si>
    <t>RE-09T-0902]CAS CHINREST LOW</t>
  </si>
  <si>
    <t>RE-09T-0902</t>
  </si>
  <si>
    <t>RE-09T-0904]CAS TMJREST</t>
  </si>
  <si>
    <t>RE-09T-0904</t>
  </si>
  <si>
    <t>RE-09T-0905]CAS TEMPLE SUP L</t>
  </si>
  <si>
    <t>RE-09T-0905</t>
  </si>
  <si>
    <t>RE-09T-0906]CAS TEMPLE SUP R</t>
  </si>
  <si>
    <t>RE-09T-0906</t>
  </si>
  <si>
    <t>RE-10H-5066]SUB CABLE ASS’Y</t>
    <phoneticPr fontId="1" type="noConversion"/>
  </si>
  <si>
    <t>RE-10H-5066</t>
  </si>
  <si>
    <t>RE-10H-5067]PRIME CABLE ASS’Y</t>
  </si>
  <si>
    <t>RE-10H-5067</t>
  </si>
  <si>
    <t>RE-10H-5068]CEPH CABLE ASS’Y</t>
    <phoneticPr fontId="1" type="noConversion"/>
  </si>
  <si>
    <t>RE-10H-5068</t>
  </si>
  <si>
    <t>RE-10H-5069]VERTICAL CABLE ASS’Y</t>
    <phoneticPr fontId="1" type="noConversion"/>
  </si>
  <si>
    <t>RE-10H-5069</t>
  </si>
  <si>
    <t>RF-01A-0272</t>
    <phoneticPr fontId="1" type="noConversion"/>
  </si>
  <si>
    <t>3L3-1</t>
  </si>
  <si>
    <t>RF-01A-0273</t>
    <phoneticPr fontId="1" type="noConversion"/>
  </si>
  <si>
    <t>3L3-4</t>
  </si>
  <si>
    <t>RF-01A-0276</t>
    <phoneticPr fontId="1" type="noConversion"/>
  </si>
  <si>
    <t>RF-01A-0281</t>
    <phoneticPr fontId="1" type="noConversion"/>
  </si>
  <si>
    <t>RF-01B-5034] POWER BUTTON BOARD</t>
    <phoneticPr fontId="1" type="noConversion"/>
  </si>
  <si>
    <t>RF-01B-5034</t>
  </si>
  <si>
    <t>A4-2</t>
    <phoneticPr fontId="1" type="noConversion"/>
  </si>
  <si>
    <t>RF-01B-5035]CONNECTOR Bd</t>
    <phoneticPr fontId="1" type="noConversion"/>
  </si>
  <si>
    <t>RF-01B-5035</t>
  </si>
  <si>
    <t>RF-01B-5036] LED CENTER BOARD</t>
  </si>
  <si>
    <t>RF-01B-5036</t>
  </si>
  <si>
    <t>RF-01B-5037] LED SIDE BOARD_REV2</t>
    <phoneticPr fontId="1" type="noConversion"/>
  </si>
  <si>
    <t>RF-01B-5037</t>
  </si>
  <si>
    <t>A5-4</t>
    <phoneticPr fontId="1" type="noConversion"/>
  </si>
  <si>
    <t>RF-01B-5038] BOTTOM LED BOARD</t>
    <phoneticPr fontId="1" type="noConversion"/>
  </si>
  <si>
    <t>RF-01B-5038</t>
  </si>
  <si>
    <t>A6-3</t>
    <phoneticPr fontId="1" type="noConversion"/>
  </si>
  <si>
    <t>RF-01B-5039]POWER HUB Bd</t>
  </si>
  <si>
    <t>RF-01B-5039</t>
  </si>
  <si>
    <t>A3-4</t>
    <phoneticPr fontId="1" type="noConversion"/>
  </si>
  <si>
    <t>RF-01B-5040]MAIN Bd</t>
  </si>
  <si>
    <t>RF-01B-5040</t>
  </si>
  <si>
    <t>RF-01B-5073]DMD FPC Cable</t>
    <phoneticPr fontId="1" type="noConversion"/>
  </si>
  <si>
    <t>RF-01B-5073</t>
  </si>
  <si>
    <t>RF-01B-5077]Cal Controller Bd</t>
    <phoneticPr fontId="1" type="noConversion"/>
  </si>
  <si>
    <t>RF-01B-5077</t>
  </si>
  <si>
    <t>A5-2</t>
    <phoneticPr fontId="1" type="noConversion"/>
  </si>
  <si>
    <t>RF-01G-0168]BOT RUBBER</t>
  </si>
  <si>
    <t>RF-01G-0168</t>
  </si>
  <si>
    <t>RF-01G-0252]MOLDING FRONT MIRROR</t>
  </si>
  <si>
    <t>RF-01G-0252</t>
  </si>
  <si>
    <t>RF-01H-5027]CAM-L CABLE</t>
  </si>
  <si>
    <t>RF-01H-5027</t>
  </si>
  <si>
    <t>3S3-3</t>
  </si>
  <si>
    <t>RF-01H-5028]CAM-R CABLE</t>
  </si>
  <si>
    <t>RF-01H-5028</t>
  </si>
  <si>
    <t>RF-01H-5029]CAM-C CABLE</t>
  </si>
  <si>
    <t>RF-01H-5029</t>
  </si>
  <si>
    <t>RF-01H-5052]USB TO SBC HARNESS</t>
  </si>
  <si>
    <t>RF-01H-5052</t>
  </si>
  <si>
    <t>3S3-4</t>
  </si>
  <si>
    <t>RF-01H-5053]USB to PC harness</t>
  </si>
  <si>
    <t>RF-01H-5053</t>
  </si>
  <si>
    <t>RF-01H-5054]DLP Power harness</t>
  </si>
  <si>
    <t>RF-01H-5054</t>
  </si>
  <si>
    <t>RF-01H-5055]LED Power harness</t>
  </si>
  <si>
    <t>RF-01H-5055</t>
  </si>
  <si>
    <t>RF-01H-5056]LED PWM harness</t>
  </si>
  <si>
    <t>RF-01H-5056</t>
  </si>
  <si>
    <t>RF-01H-5057]Camera Trigger_L harness</t>
  </si>
  <si>
    <t>RF-01H-5057</t>
  </si>
  <si>
    <t>RF-01H-5058]Camera Trigger_C harness</t>
  </si>
  <si>
    <t>RF-01H-5058</t>
  </si>
  <si>
    <t>3L3-3</t>
  </si>
  <si>
    <t>RF-01H-5060]Real Sense Sync_L,R harness</t>
  </si>
  <si>
    <t>RF-01H-5060</t>
  </si>
  <si>
    <t>3S3-5</t>
  </si>
  <si>
    <t>RF-01H-5061_2]Real-Sense sync_B harness</t>
  </si>
  <si>
    <t>RF-01H-5061</t>
    <phoneticPr fontId="2" type="noConversion"/>
  </si>
  <si>
    <t>RF-01H-5065]Main Power harness</t>
  </si>
  <si>
    <t>RF-01H-5065</t>
  </si>
  <si>
    <t>RF-01H-5066]SBC Power harness (EN715)</t>
  </si>
  <si>
    <t>RF-01H-5066</t>
  </si>
  <si>
    <t>RF-01H-5067]LED_Right harness</t>
  </si>
  <si>
    <t>RF-01H-5067</t>
  </si>
  <si>
    <t>RF-01H-5068]LED_Left harness</t>
  </si>
  <si>
    <t>RF-01H-5068</t>
  </si>
  <si>
    <t>RF-01H-5069]LED_Bottom harness</t>
  </si>
  <si>
    <t>RF-01H-5069</t>
  </si>
  <si>
    <t>RF-01H-5070]Power Switch harness</t>
  </si>
  <si>
    <t>RF-01H-5070</t>
  </si>
  <si>
    <t>3S3-6</t>
  </si>
  <si>
    <t>RF-01H-5071]SBC LAN Cable</t>
  </si>
  <si>
    <t>RF-01H-5071</t>
  </si>
  <si>
    <t>RF-01H-5074]Calibration Controller harn</t>
  </si>
  <si>
    <t>RF-01H-5074</t>
  </si>
  <si>
    <t>RF-01H-5075] USB to Cal kit harness</t>
  </si>
  <si>
    <t>RF-01H-5075</t>
  </si>
  <si>
    <t>RF-01H-5079]EN715-FAN</t>
  </si>
  <si>
    <t>RF-01H-5079</t>
  </si>
  <si>
    <t>RF-01M-0166</t>
    <phoneticPr fontId="1" type="noConversion"/>
  </si>
  <si>
    <t>3L3-2</t>
  </si>
  <si>
    <t>RF-01M-0181]TEETH CAM CVR</t>
  </si>
  <si>
    <t>RF-01M-0181</t>
  </si>
  <si>
    <t>3L4-3</t>
  </si>
  <si>
    <t>RF-01M-0183]TEETH CAM BLK</t>
  </si>
  <si>
    <t>RF-01M-0183</t>
  </si>
  <si>
    <t>3L4-2, 3S5-4</t>
  </si>
  <si>
    <t>3L4-2</t>
  </si>
  <si>
    <t>RF-01M-0200]MIRROR PLT</t>
  </si>
  <si>
    <t>RF-01M-0200</t>
  </si>
  <si>
    <t>RF-01M-0204</t>
    <phoneticPr fontId="1" type="noConversion"/>
  </si>
  <si>
    <t>3L4-5</t>
  </si>
  <si>
    <t>RF-01M-0205</t>
    <phoneticPr fontId="1" type="noConversion"/>
  </si>
  <si>
    <t>RF-렉2</t>
    <phoneticPr fontId="1" type="noConversion"/>
  </si>
  <si>
    <t>RF-01M-0211]DLP FIX BRK</t>
  </si>
  <si>
    <t>RF-01M-0211</t>
  </si>
  <si>
    <t>3L4-1</t>
  </si>
  <si>
    <t>RF-01M-0231]CAL CAS HOLD PLT</t>
  </si>
  <si>
    <t>RF-01M-0231</t>
  </si>
  <si>
    <t>3L4-4</t>
  </si>
  <si>
    <t>USB HOLDER FRONT</t>
  </si>
  <si>
    <t>RF-01M-0256</t>
  </si>
  <si>
    <t>RF-01M-0268]TEETH CAM BLK_HR</t>
  </si>
  <si>
    <t>RF-01M-0268</t>
  </si>
  <si>
    <t>RF-01M-0269]FACE CAM BLK_HR</t>
  </si>
  <si>
    <t>RF-01M-0269</t>
  </si>
  <si>
    <t>RF-01M-0358</t>
    <phoneticPr fontId="1" type="noConversion"/>
  </si>
  <si>
    <t>RF-렉1</t>
    <phoneticPr fontId="1" type="noConversion"/>
  </si>
  <si>
    <t>RF-01M-0362</t>
    <phoneticPr fontId="1" type="noConversion"/>
  </si>
  <si>
    <t>3A1</t>
    <phoneticPr fontId="1" type="noConversion"/>
  </si>
  <si>
    <t>RF-01M-0389]BLOCK CAL SPACER</t>
  </si>
  <si>
    <t>RF-01M-0389</t>
  </si>
  <si>
    <t>3E5</t>
  </si>
  <si>
    <t>RF-01M-0395]BLOCK BASE BOTTOM</t>
    <phoneticPr fontId="1" type="noConversion"/>
  </si>
  <si>
    <t>RF-01M-0395</t>
  </si>
  <si>
    <t>RF-01M-0396]FRAME PIPE ALIGN</t>
  </si>
  <si>
    <t>RF-01M-0396</t>
  </si>
  <si>
    <t>RF-01M-0397]COVER BOTTOM</t>
  </si>
  <si>
    <t>RF-01M-0397</t>
  </si>
  <si>
    <t>RF-01M-0398]COVER TOP</t>
  </si>
  <si>
    <t>RF-01M-0398</t>
  </si>
  <si>
    <t>RF-01S-0230]CAL PATTERN Bd</t>
  </si>
  <si>
    <t>RF-01S-0230</t>
  </si>
  <si>
    <t>RF-01S-0251]CAL Mgnet</t>
  </si>
  <si>
    <t>RF-01S-0251</t>
  </si>
  <si>
    <t>RF-01S-5030</t>
    <phoneticPr fontId="1" type="noConversion"/>
  </si>
  <si>
    <t>3B21</t>
  </si>
  <si>
    <t>RF-01S-5046]DLP ENGINE</t>
  </si>
  <si>
    <t>RF-01S-5046</t>
  </si>
  <si>
    <t>3C7</t>
  </si>
  <si>
    <t>RF-01S-5049]Face Lens</t>
  </si>
  <si>
    <t>RF-01S-5049</t>
  </si>
  <si>
    <t>RF-01S-5050]TEETH LENS</t>
  </si>
  <si>
    <t>RF-01S-5050</t>
  </si>
  <si>
    <t>RF-01S-5051]CAM CABLE_FACE</t>
  </si>
  <si>
    <t>RF-01S-5051</t>
    <phoneticPr fontId="1" type="noConversion"/>
  </si>
  <si>
    <t>RF-01S-5072]USB 3.0 A to B Cable</t>
  </si>
  <si>
    <t>RF-01S-5072</t>
  </si>
  <si>
    <t>RF-01S-5078]PHOTSNSR-BS5-Y2M</t>
  </si>
  <si>
    <t>RF-01S-5078</t>
    <phoneticPr fontId="1" type="noConversion"/>
  </si>
  <si>
    <t>RF-01S-5083]CAM Trigger_L-R harness</t>
  </si>
  <si>
    <t>RF-01S-5083</t>
  </si>
  <si>
    <t>RF-01S-5084]CAM Trigger_C harness</t>
  </si>
  <si>
    <t>RF-01S-5084</t>
  </si>
  <si>
    <t>RF-01S-5085]FACE CAM</t>
  </si>
  <si>
    <t>RF-01S-5085</t>
  </si>
  <si>
    <t>3F9</t>
  </si>
  <si>
    <t>RF-01S-5086]TEETH CAM</t>
  </si>
  <si>
    <t>RF-01S-5086</t>
  </si>
  <si>
    <t>RF-01S-5087]CAM Cable_Face</t>
  </si>
  <si>
    <t>RF-01S-5087</t>
  </si>
  <si>
    <t>3F1</t>
  </si>
  <si>
    <t>RF-01S-5090]CAM Cable_TEETH_L</t>
  </si>
  <si>
    <t>RF-01S-5090</t>
  </si>
  <si>
    <t>RF-01S-5093]CAM Cable_TEETH_R</t>
  </si>
  <si>
    <t>RF-01S-5093</t>
  </si>
  <si>
    <t>RF-01S-5095</t>
    <phoneticPr fontId="1" type="noConversion"/>
  </si>
  <si>
    <t>RF-01T-0160_C]Bas BOT LWR</t>
  </si>
  <si>
    <t>RF-01T-0160</t>
    <phoneticPr fontId="2" type="noConversion"/>
  </si>
  <si>
    <t>3B6</t>
  </si>
  <si>
    <t>RF-01T-0161]Bas BOT UPPER</t>
  </si>
  <si>
    <t>RF-01T-0161</t>
  </si>
  <si>
    <t>3B11</t>
  </si>
  <si>
    <t>RF-01T-0162]WINDOW LED B</t>
  </si>
  <si>
    <t>RF-01T-0162</t>
  </si>
  <si>
    <t>3A6-3</t>
    <phoneticPr fontId="1" type="noConversion"/>
  </si>
  <si>
    <t>RF-01T-0163]CAM CAS B</t>
  </si>
  <si>
    <t>RF-01T-0163</t>
  </si>
  <si>
    <t>RF-01T-0164]LED TOUCH INDIGATOR</t>
  </si>
  <si>
    <t>RF-01T-0164</t>
  </si>
  <si>
    <t>RF-01T-0169_B]ARM CVR FRONT R</t>
  </si>
  <si>
    <t>RF-01T-0169</t>
    <phoneticPr fontId="2" type="noConversion"/>
  </si>
  <si>
    <t>3B7</t>
  </si>
  <si>
    <t>RF-01T-0170</t>
    <phoneticPr fontId="2" type="noConversion"/>
  </si>
  <si>
    <t>RF-01T-0170_B]ARM CVR FRONT L</t>
  </si>
  <si>
    <t>RF-01T-0171]ARM CVR REAR R</t>
  </si>
  <si>
    <t>RF-01T-0171</t>
  </si>
  <si>
    <t>3B4</t>
  </si>
  <si>
    <t>RF-01T-0172]ARM CVR REAR L</t>
  </si>
  <si>
    <t>RF-01T-0172</t>
  </si>
  <si>
    <t>3B5</t>
  </si>
  <si>
    <t>RF-01T-0173]ARM CVR REAR DECO</t>
  </si>
  <si>
    <t>RF-01T-0173</t>
  </si>
  <si>
    <t>3B8</t>
  </si>
  <si>
    <t>RF-01T-0175]CAM CAS R</t>
  </si>
  <si>
    <t>RF-01T-0175</t>
  </si>
  <si>
    <t>3F9, 3L3-4</t>
  </si>
  <si>
    <t>RF-01T-0176]CAM CAS L</t>
  </si>
  <si>
    <t>RF-01T-0176</t>
  </si>
  <si>
    <t>3F1, 3F9</t>
  </si>
  <si>
    <t>RF-01T-0177]WINDOW LED</t>
  </si>
  <si>
    <t>RF-01T-0177</t>
  </si>
  <si>
    <t>RF-01T-0179]TEETH CAM CAS R</t>
  </si>
  <si>
    <t>RF-01T-0179</t>
  </si>
  <si>
    <t>3A6-4</t>
    <phoneticPr fontId="1" type="noConversion"/>
  </si>
  <si>
    <t>RF-01T-0180]TEETH CAM CAS L</t>
  </si>
  <si>
    <t>RF-01T-0180</t>
  </si>
  <si>
    <t>RF-01T-0190]CVR FRONT</t>
  </si>
  <si>
    <t>RF-01T-0190</t>
  </si>
  <si>
    <t>3F4</t>
  </si>
  <si>
    <t>RF-01T-0196]CVR REAR</t>
  </si>
  <si>
    <t>RF-01T-0196</t>
  </si>
  <si>
    <t>3I5</t>
  </si>
  <si>
    <t>RF-01T-0199]CVR REAR TOP</t>
  </si>
  <si>
    <t>RF-01T-0199</t>
  </si>
  <si>
    <t>3F5</t>
  </si>
  <si>
    <t>RF-01T-0210]CVR FRONT MID L</t>
  </si>
  <si>
    <t>RF-01T-0210</t>
  </si>
  <si>
    <t>RF-01T-0228]CAL CVR FRONT</t>
  </si>
  <si>
    <t>RF-01T-0228</t>
  </si>
  <si>
    <t>RF-01T-0229]CAL CVR REAR</t>
  </si>
  <si>
    <t>RF-01T-0229</t>
  </si>
  <si>
    <t>RF-01T-0241]CAL Bas UPPER</t>
  </si>
  <si>
    <t>RF-01T-0241</t>
  </si>
  <si>
    <t>RF-01T-0255]CVR FRONT MID R</t>
  </si>
  <si>
    <t>RF-01T-0255</t>
  </si>
  <si>
    <t>RF-01T-0351]WINDOW LED B</t>
  </si>
  <si>
    <t>RF-01T-0351</t>
  </si>
  <si>
    <t>3E9</t>
  </si>
  <si>
    <t>RF-01T-0352]CAMERA CASE B</t>
  </si>
  <si>
    <t>RF-01T-0352</t>
  </si>
  <si>
    <t>RF-01T-0353]WINDOW LED</t>
  </si>
  <si>
    <t>RF-01T-0353</t>
  </si>
  <si>
    <t>RF-01T-0354]CAMERA CASE L</t>
  </si>
  <si>
    <t>RF-01T-0354</t>
  </si>
  <si>
    <t>RF-01T-0355]CAMERA CASE R</t>
  </si>
  <si>
    <t>RF-01T-0355</t>
  </si>
  <si>
    <t>RF-01T-0356]RUBBER CAP ARM</t>
  </si>
  <si>
    <t>RF-01T-0356</t>
  </si>
  <si>
    <t>RF-01V-0197]JETSON BRK</t>
  </si>
  <si>
    <t>RF-01V-0197</t>
  </si>
  <si>
    <t>3F3</t>
  </si>
  <si>
    <t>RF-01V-0208]FRONT FRM</t>
  </si>
  <si>
    <t>RF-01V-0208</t>
  </si>
  <si>
    <t>RF-01V-0209]FRONT BRK TOP</t>
  </si>
  <si>
    <t>RF-01V-0209</t>
  </si>
  <si>
    <t>RF-01V-0212]DLP Bd BRK</t>
  </si>
  <si>
    <t>RF-01V-0212</t>
  </si>
  <si>
    <t>RF-01V-0213]DLP MCU BRK</t>
  </si>
  <si>
    <t>RF-01V-0213</t>
  </si>
  <si>
    <t>RF-01V-0242]CAL Bas BOT</t>
  </si>
  <si>
    <t>RF-01V-0242</t>
  </si>
  <si>
    <t>3D5</t>
  </si>
  <si>
    <t>RF-01V-0254]REAR CVR TOP BRK</t>
  </si>
  <si>
    <t>RF-01V-0254</t>
  </si>
  <si>
    <t>RF-01V-0293]BRK USB HLDR</t>
  </si>
  <si>
    <t>RF-01V-0293</t>
  </si>
  <si>
    <t>RF-09P-0271]MIRROR PROTIVE FILM</t>
  </si>
  <si>
    <t>RF-09P-0271</t>
  </si>
  <si>
    <t>RF-10A-2086]ASM JETSON NANO</t>
    <phoneticPr fontId="1" type="noConversion"/>
  </si>
  <si>
    <t>RF-10A-2086</t>
  </si>
  <si>
    <t>RF-20A-0272]MODULE BASE BOTTOM FRAME</t>
  </si>
  <si>
    <t>RF-20A-0272</t>
  </si>
  <si>
    <t>3D8</t>
  </si>
  <si>
    <t>RF-20A-0273]Mdl ARM RIGHT</t>
  </si>
  <si>
    <t>RF-20A-0273</t>
  </si>
  <si>
    <t>3D7</t>
  </si>
  <si>
    <t>RF-20A-0276]Mdl ARM LEFT</t>
  </si>
  <si>
    <t>RF-20A-0276</t>
  </si>
  <si>
    <t>3D4</t>
  </si>
  <si>
    <t>RF-20A-0279]Mdl DLP PLT</t>
  </si>
  <si>
    <t>RF-20A-0279</t>
  </si>
  <si>
    <t>3F2</t>
  </si>
  <si>
    <t>RF-20A-0280]MODULE DLP MCU BRACKET</t>
  </si>
  <si>
    <t>RF-20A-0280</t>
  </si>
  <si>
    <t>RF-20A-0281]Mdl Cal BODY</t>
  </si>
  <si>
    <t>RF-20A-0281</t>
  </si>
  <si>
    <t>3D3</t>
  </si>
  <si>
    <t>RF-20A-0292]300007748 대치</t>
  </si>
  <si>
    <t>RF-20A-0292</t>
  </si>
  <si>
    <t>3D2, 3D6</t>
  </si>
  <si>
    <t>MODULE BASE BOTTOM FRAME</t>
  </si>
  <si>
    <t>RF-20A-0357</t>
  </si>
  <si>
    <t>RF-20A-0368</t>
    <phoneticPr fontId="1" type="noConversion"/>
  </si>
  <si>
    <t>3A6-5</t>
    <phoneticPr fontId="1" type="noConversion"/>
  </si>
  <si>
    <t>MODULE ARM RIGHT</t>
  </si>
  <si>
    <t>RF-20A-0369</t>
  </si>
  <si>
    <t>3C6</t>
  </si>
  <si>
    <t>MODULE ARM LEFT</t>
  </si>
  <si>
    <t>RF-20A-0378</t>
  </si>
  <si>
    <t>RH-01A-0004]ASM Bas INSULATION</t>
    <phoneticPr fontId="1" type="noConversion"/>
  </si>
  <si>
    <t>RH-01A-0004</t>
  </si>
  <si>
    <t>RH-01A-0023]ASM HV B'D</t>
    <phoneticPr fontId="1" type="noConversion"/>
  </si>
  <si>
    <t>RH-01A-0023</t>
  </si>
  <si>
    <t>RH-01A-0088]ASM FRONT SHIELD PB</t>
    <phoneticPr fontId="1" type="noConversion"/>
  </si>
  <si>
    <t>RH-01A-0088</t>
  </si>
  <si>
    <t>3B5</t>
    <phoneticPr fontId="1" type="noConversion"/>
  </si>
  <si>
    <t>RH-01A-0089]ASM COVER INSULATION</t>
  </si>
  <si>
    <t>RH-01A-0089</t>
  </si>
  <si>
    <t>RH-01A-0090]ASM TERMINAL BAR</t>
  </si>
  <si>
    <t>RH-01A-0090</t>
  </si>
  <si>
    <t>3L2-3</t>
  </si>
  <si>
    <t>RH-01A-0094]ASM COVER_HV INSULATION</t>
  </si>
  <si>
    <t>RH-01A-0094</t>
    <phoneticPr fontId="1" type="noConversion"/>
  </si>
  <si>
    <t>RH-01B-5004] HV_IF B'D</t>
  </si>
  <si>
    <t>RH-01B-5004</t>
  </si>
  <si>
    <t>A4-4</t>
    <phoneticPr fontId="1" type="noConversion"/>
  </si>
  <si>
    <t>RH-01G-0010]BELLOWS</t>
  </si>
  <si>
    <t>RH-01G-0010</t>
    <phoneticPr fontId="1" type="noConversion"/>
  </si>
  <si>
    <t>소모품</t>
    <phoneticPr fontId="1" type="noConversion"/>
  </si>
  <si>
    <t>RH-01G-0027]HOUSING SEAL RUBBER</t>
  </si>
  <si>
    <t>RH-01G-0027</t>
    <phoneticPr fontId="1" type="noConversion"/>
  </si>
  <si>
    <t>RH-01H-5019_A]TANK HV-1</t>
  </si>
  <si>
    <t>RH-01H-5019</t>
    <phoneticPr fontId="2" type="noConversion"/>
  </si>
  <si>
    <t>3L1-3</t>
  </si>
  <si>
    <t>RH-01H-5020_A]TANK HV-2</t>
  </si>
  <si>
    <t>RH-01H-5020</t>
    <phoneticPr fontId="2" type="noConversion"/>
  </si>
  <si>
    <t>RH-01H-5021]TNK FEED BACK 3P</t>
  </si>
  <si>
    <t>RH-01H-5021</t>
  </si>
  <si>
    <t>RH-01H-5022]TUBE ANODE</t>
  </si>
  <si>
    <t>RH-01H-5022</t>
    <phoneticPr fontId="1" type="noConversion"/>
  </si>
  <si>
    <t>RH-01H-5031]TNK SENSING</t>
  </si>
  <si>
    <t>RH-01H-5031</t>
  </si>
  <si>
    <t>3S2-3</t>
  </si>
  <si>
    <t>RH-01H-5034_A]TUBE GND</t>
    <phoneticPr fontId="1" type="noConversion"/>
  </si>
  <si>
    <t>RH-01H-5034</t>
    <phoneticPr fontId="2" type="noConversion"/>
  </si>
  <si>
    <t>3S2-2</t>
  </si>
  <si>
    <t>RH-01H-5035]IP_FEEDBACK</t>
  </si>
  <si>
    <t>RH-01H-5035</t>
  </si>
  <si>
    <t>RH-01M-0007]DN INNER_SHIELD PB</t>
  </si>
  <si>
    <t>RH-01M-0007</t>
    <phoneticPr fontId="1" type="noConversion"/>
  </si>
  <si>
    <t>3L1-2</t>
  </si>
  <si>
    <t>RH-01M-0013]WINDOW</t>
  </si>
  <si>
    <t>RH-01M-0013</t>
  </si>
  <si>
    <t>3L2-4</t>
  </si>
  <si>
    <t>RH-01M-0014]HLDR WINDOW</t>
    <phoneticPr fontId="1" type="noConversion"/>
  </si>
  <si>
    <t>RH-01M-0014</t>
  </si>
  <si>
    <t>RH-01M-0017]ANODE HLDR</t>
    <phoneticPr fontId="1" type="noConversion"/>
  </si>
  <si>
    <t>RH-01M-0017</t>
    <phoneticPr fontId="1" type="noConversion"/>
  </si>
  <si>
    <t>INSULATION TUBE</t>
    <phoneticPr fontId="1" type="noConversion"/>
  </si>
  <si>
    <t>RH-01M-0020</t>
    <phoneticPr fontId="1" type="noConversion"/>
  </si>
  <si>
    <t>RH-01M-0022</t>
    <phoneticPr fontId="1" type="noConversion"/>
  </si>
  <si>
    <t>RH-01M-0026]CVR_HV INSULATION</t>
  </si>
  <si>
    <t>RH-01M-0026</t>
    <phoneticPr fontId="1" type="noConversion"/>
  </si>
  <si>
    <t>3L1-1</t>
  </si>
  <si>
    <t>RH-01M-0032]PORT CAP</t>
    <phoneticPr fontId="1" type="noConversion"/>
  </si>
  <si>
    <t>RH-01M-0032</t>
  </si>
  <si>
    <t>RH-01M-0092]BLK SUP Bd 1</t>
  </si>
  <si>
    <t>RH-01M-0092</t>
  </si>
  <si>
    <t>RH-01M-0093]BLK SUP Bd 2</t>
  </si>
  <si>
    <t>RH-01M-0093</t>
  </si>
  <si>
    <t>RH-01S-0008]PUSH RIVET</t>
  </si>
  <si>
    <t>RH-01S-0008</t>
    <phoneticPr fontId="1" type="noConversion"/>
  </si>
  <si>
    <t>3B1-1</t>
    <phoneticPr fontId="1" type="noConversion"/>
  </si>
  <si>
    <t>RH-01S-0012]O-RING</t>
  </si>
  <si>
    <t>RH-01S-0012</t>
    <phoneticPr fontId="1" type="noConversion"/>
  </si>
  <si>
    <t>RH-01S-0015]O-RING</t>
  </si>
  <si>
    <t>RH-01S-0015</t>
    <phoneticPr fontId="1" type="noConversion"/>
  </si>
  <si>
    <t>RH-01S-0031]O-RING</t>
  </si>
  <si>
    <t>RH-01S-0031</t>
    <phoneticPr fontId="1" type="noConversion"/>
  </si>
  <si>
    <t>RH-01S-0065</t>
    <phoneticPr fontId="1" type="noConversion"/>
  </si>
  <si>
    <t>RH-01S-0071]INNER ADHESIVE_02</t>
  </si>
  <si>
    <t>RH-01S-0071</t>
  </si>
  <si>
    <t>RH-01S-0072]OUTTER ADHESIVE_FRONT</t>
  </si>
  <si>
    <t>RH-01S-0072</t>
  </si>
  <si>
    <t>RH-01S-0076]O-RING</t>
  </si>
  <si>
    <t>RH-01S-0076</t>
    <phoneticPr fontId="1" type="noConversion"/>
  </si>
  <si>
    <t>3S4-1</t>
  </si>
  <si>
    <t>RH-01S-0083]TUBE-KL29SB-0.5-100</t>
  </si>
  <si>
    <t>RH-01S-0083</t>
  </si>
  <si>
    <t>RH-01S-5009]HV TRANS</t>
  </si>
  <si>
    <t>RH-01S-5009</t>
  </si>
  <si>
    <t>3I2</t>
  </si>
  <si>
    <t>RH-01S-5010]FIL TRANS</t>
  </si>
  <si>
    <t>RH-01S-5010</t>
  </si>
  <si>
    <t>3L1-4</t>
  </si>
  <si>
    <t>RH-01T-0002]HOUSING BODY</t>
  </si>
  <si>
    <t>RH-01T-0002</t>
  </si>
  <si>
    <t>RH-01T-0018]TUBE HLDR</t>
  </si>
  <si>
    <t>RH-01T-0018</t>
  </si>
  <si>
    <t>RH-01T-0019]INSULATION_ANODE HLDR</t>
  </si>
  <si>
    <t>RH-01T-0019</t>
  </si>
  <si>
    <t>RH-01T-0030]HOUSING CVR</t>
  </si>
  <si>
    <t>RH-01T-0030</t>
  </si>
  <si>
    <t>3I1</t>
  </si>
  <si>
    <t>RH-01T-0087]INSULATION HV B'D</t>
  </si>
  <si>
    <t>RH-01T-0087</t>
    <phoneticPr fontId="1" type="noConversion"/>
  </si>
  <si>
    <t>3S2-4</t>
  </si>
  <si>
    <t>RH-01V-0011]HLDR BELLOWS</t>
    <phoneticPr fontId="1" type="noConversion"/>
  </si>
  <si>
    <t>RH-01V-0011</t>
  </si>
  <si>
    <t>3B2-2</t>
    <phoneticPr fontId="1" type="noConversion"/>
  </si>
  <si>
    <t>RH-01V-0033]CVR BELLOWS</t>
  </si>
  <si>
    <t>RH-01V-0033</t>
  </si>
  <si>
    <t>3L2-2</t>
  </si>
  <si>
    <t>RH-01V-0073]BASIC FILTER_02T</t>
  </si>
  <si>
    <t>RH-01V-0073</t>
    <phoneticPr fontId="1" type="noConversion"/>
  </si>
  <si>
    <t>RH-01V-0074]BASIC FILTER_01T</t>
  </si>
  <si>
    <t>RH-01V-0074</t>
  </si>
  <si>
    <t>RH-02B-5005]PFC B'D_PBA (Ver 2.0)</t>
  </si>
  <si>
    <t>RH-02B-5005</t>
  </si>
  <si>
    <t>RH-02B-5006]DRV B'D</t>
  </si>
  <si>
    <t>RH-02B-5006</t>
  </si>
  <si>
    <t>RH-02B-5007]HCU B'D_PBA (Ver.2.0)</t>
    <phoneticPr fontId="1" type="noConversion"/>
  </si>
  <si>
    <t>RH-02B-5007</t>
  </si>
  <si>
    <t>A6-2</t>
    <phoneticPr fontId="1" type="noConversion"/>
  </si>
  <si>
    <t>RH-02H-5023]SMPS</t>
  </si>
  <si>
    <t>RH-02H-5023</t>
  </si>
  <si>
    <t>RH-02H-5024_A]TANK FEED BACK 3P</t>
  </si>
  <si>
    <t>RH-02H-5024</t>
    <phoneticPr fontId="2" type="noConversion"/>
  </si>
  <si>
    <t>RH-02H-5025_A]INV-TANK</t>
  </si>
  <si>
    <t>RH-02H-5025</t>
    <phoneticPr fontId="2" type="noConversion"/>
  </si>
  <si>
    <t>RH-02H-5026_A]FEED BACK</t>
  </si>
  <si>
    <t>RH-02H-5026</t>
    <phoneticPr fontId="2" type="noConversion"/>
  </si>
  <si>
    <t>RH-02H-5027_A]FILAMENT</t>
  </si>
  <si>
    <t>RH-02H-5027</t>
    <phoneticPr fontId="2" type="noConversion"/>
  </si>
  <si>
    <t>RH-02H-5028_A]FAN</t>
  </si>
  <si>
    <t>RH-02H-5028</t>
    <phoneticPr fontId="2" type="noConversion"/>
  </si>
  <si>
    <t>RH-02H-5041]SMPS</t>
  </si>
  <si>
    <t>RH-02H-5041</t>
  </si>
  <si>
    <t>RH-02M-0037]INSULATION INVERTOR</t>
  </si>
  <si>
    <t>RH-02M-0037</t>
  </si>
  <si>
    <t>3L2-5</t>
  </si>
  <si>
    <t>RH-02M-0039]BLK HEATSINK PFC_01</t>
  </si>
  <si>
    <t>RH-02M-0039</t>
  </si>
  <si>
    <t>RH-02M-0040]BLK HEATSINK PFC_02</t>
  </si>
  <si>
    <t>RH-02M-0040</t>
  </si>
  <si>
    <t>RH-02M-0044]TOP HEATSINK PFC</t>
  </si>
  <si>
    <t>RH-02M-0044</t>
  </si>
  <si>
    <t>RH-02M-0047]BLK HEATSINK DRV</t>
  </si>
  <si>
    <t>RH-02M-0047</t>
  </si>
  <si>
    <t>3E10</t>
  </si>
  <si>
    <t>RH-02M-0049]TOP HEATSINK DRV</t>
  </si>
  <si>
    <t>RH-02M-0049</t>
  </si>
  <si>
    <t>3L2-2, 3L2-5</t>
  </si>
  <si>
    <t>RH-02S-5011]PFC L1</t>
  </si>
  <si>
    <t>RH-02S-5011</t>
  </si>
  <si>
    <t>RH-02S-5012]PFC I1</t>
  </si>
  <si>
    <t>RH-02S-5012</t>
  </si>
  <si>
    <t>3L1-5</t>
  </si>
  <si>
    <t>RH-02S-5013]PFC T1</t>
  </si>
  <si>
    <t>RH-02S-5013</t>
  </si>
  <si>
    <t>RH-02S-5014]DRV L1</t>
  </si>
  <si>
    <t>RH-02S-5014</t>
  </si>
  <si>
    <t>3I2, 3L1-5</t>
  </si>
  <si>
    <t>RH-02S-5015]DRV I1</t>
  </si>
  <si>
    <t>RH-02S-5015</t>
  </si>
  <si>
    <t>RH-02S-5016]DRV T1</t>
    <phoneticPr fontId="1" type="noConversion"/>
  </si>
  <si>
    <t>RH-02S-5016</t>
  </si>
  <si>
    <t>RH-02V-0036]Bas INVERTOR</t>
  </si>
  <si>
    <t>RH-02V-0036</t>
  </si>
  <si>
    <t>RH-02V-0042]PFC HEATSINK HLDR_01</t>
  </si>
  <si>
    <t>RH-02V-0042</t>
  </si>
  <si>
    <t>RH-02V-0043]PFC HEATSINK HLDR_02</t>
  </si>
  <si>
    <t>RH-02V-0043</t>
  </si>
  <si>
    <t>RH-02V-0045]BKT HLDR HCU</t>
  </si>
  <si>
    <t>RH-02V-0045</t>
  </si>
  <si>
    <t>3L2-2</t>
    <phoneticPr fontId="1" type="noConversion"/>
  </si>
  <si>
    <t>RH-02V-0048]DRV HEATSINK HLDR</t>
  </si>
  <si>
    <t>RH-02V-0048</t>
  </si>
  <si>
    <t>RH-02V-0050]CVR INVERTOR</t>
  </si>
  <si>
    <t>RH-02V-0050</t>
  </si>
  <si>
    <t>RH-02V-0051]ROT HLDR INVERTOR_01</t>
  </si>
  <si>
    <t>RH-02V-0051</t>
  </si>
  <si>
    <t>RH-02V-0052]ROT HLDR INVERTOR_02_L</t>
  </si>
  <si>
    <t>RH-02V-0052</t>
  </si>
  <si>
    <t>RH-02V-0053]ROT HLDR INVERTOR_02_R</t>
  </si>
  <si>
    <t>RH-02V-0053</t>
  </si>
  <si>
    <t>RH-02V-0054]TERMINAL BAR</t>
  </si>
  <si>
    <t>RH-02V-0054</t>
    <phoneticPr fontId="1" type="noConversion"/>
  </si>
  <si>
    <t>3B2-3</t>
    <phoneticPr fontId="1" type="noConversion"/>
  </si>
  <si>
    <t>RH-02V-0082]TERMINAL GUIDE</t>
  </si>
  <si>
    <t>RH-02V-0082</t>
  </si>
  <si>
    <t>RIO-01S-0210</t>
  </si>
  <si>
    <t>A5-1</t>
    <phoneticPr fontId="1" type="noConversion"/>
  </si>
  <si>
    <t>RIO-01S-0220</t>
  </si>
  <si>
    <t>A6-1</t>
    <phoneticPr fontId="1" type="noConversion"/>
  </si>
  <si>
    <t>RP-00S-5040]AC adapter</t>
  </si>
  <si>
    <t>RP-00S-5040</t>
  </si>
  <si>
    <t>3B19</t>
  </si>
  <si>
    <t>RP-00S-5054]BARRIER ENVELOPES SIZE1</t>
  </si>
  <si>
    <t>RP-00S-5054</t>
  </si>
  <si>
    <t>3S1-1</t>
  </si>
  <si>
    <t>RP-00S-5056]BARRIER ENVELOPES SIZE3</t>
  </si>
  <si>
    <t>RP-00S-5056</t>
  </si>
  <si>
    <t>RP-00S-5057]BARRIER ENVELOPES SIZE4</t>
  </si>
  <si>
    <t>RP-00S-5057</t>
  </si>
  <si>
    <t>RP-00S-5060]AC adapter_BM060S24F</t>
  </si>
  <si>
    <t>RP-00S-5060</t>
  </si>
  <si>
    <t>3L6-4</t>
  </si>
  <si>
    <t>RP-01A-5021]MCB (Main control Bd)</t>
    <phoneticPr fontId="1" type="noConversion"/>
  </si>
  <si>
    <t>RP-01A-5021</t>
  </si>
  <si>
    <t>RP-01H-5000]Harness Step MOT to MCB</t>
  </si>
  <si>
    <t>RP-01H-5000</t>
  </si>
  <si>
    <t>3S5-1</t>
  </si>
  <si>
    <t>RP-01H-5001]Harness Encoder to MCB</t>
  </si>
  <si>
    <t>RP-01H-5001</t>
  </si>
  <si>
    <t>RP-01H-5002]Harness ELB to MCB</t>
  </si>
  <si>
    <t>RP-01H-5002</t>
  </si>
  <si>
    <t>RP-01H-5003]Harness SIB to MCB</t>
  </si>
  <si>
    <t>RP-01H-5003</t>
  </si>
  <si>
    <t>RP-01H-5004]Harness PBB to MCB</t>
  </si>
  <si>
    <t>RP-01H-5004</t>
  </si>
  <si>
    <t>RP-01H-5007]IDC cable ROB to MCB</t>
  </si>
  <si>
    <t>RP-01H-5007</t>
  </si>
  <si>
    <t>3L6-1</t>
  </si>
  <si>
    <t>RP-01H-5008]IDC cable LIB to MCB</t>
  </si>
  <si>
    <t>RP-01H-5008</t>
  </si>
  <si>
    <t>RP-01H-5009]Lan cable</t>
  </si>
  <si>
    <t>RP-01H-5009</t>
  </si>
  <si>
    <t>RP-01S-0085]ND MAGNET TRAY</t>
  </si>
  <si>
    <t>RP-01S-0085</t>
  </si>
  <si>
    <t>3S5-6</t>
  </si>
  <si>
    <t>RP-01S-0095]FOOT</t>
  </si>
  <si>
    <t>RP-01S-0095</t>
  </si>
  <si>
    <t>RP-01T-0057]FRM MAIN</t>
  </si>
  <si>
    <t>RP-01T-0057</t>
  </si>
  <si>
    <t>3B14</t>
  </si>
  <si>
    <t>RP-01T-0061]CVR BOT</t>
  </si>
  <si>
    <t>RP-01T-0061</t>
  </si>
  <si>
    <t>3B9</t>
  </si>
  <si>
    <t>RP-01T-0062]CVR FRONT DN</t>
  </si>
  <si>
    <t>RP-01T-0062</t>
  </si>
  <si>
    <t>3B16</t>
  </si>
  <si>
    <t>RP-01T-0063]CVR SIDE R</t>
  </si>
  <si>
    <t>RP-01T-0063</t>
  </si>
  <si>
    <t>RP-01T-0064]CVR SIDE L</t>
  </si>
  <si>
    <t>RP-01T-0064</t>
  </si>
  <si>
    <t>RP-01T-0065]CVR REAR</t>
  </si>
  <si>
    <t>RP-01T-0065</t>
  </si>
  <si>
    <t>3C7</t>
    <phoneticPr fontId="1" type="noConversion"/>
  </si>
  <si>
    <t>RP-01V-0142]FIXED BKT FEED Mdl</t>
  </si>
  <si>
    <t>RP-01V-0142</t>
  </si>
  <si>
    <t>3S4-4</t>
  </si>
  <si>
    <t>RP-02A-0143]ASM FRM SCAN Mdl</t>
  </si>
  <si>
    <t>RP-02A-0143</t>
  </si>
  <si>
    <t>RP-02A-5022]ROB (Readout Bd)</t>
    <phoneticPr fontId="1" type="noConversion"/>
  </si>
  <si>
    <t>RP-02A-5022</t>
  </si>
  <si>
    <t>RP-02A-5023]DVB (Divider board)</t>
    <phoneticPr fontId="1" type="noConversion"/>
  </si>
  <si>
    <t>RP-02A-5023</t>
  </si>
  <si>
    <t>RP-02H-5010] HARNESS LASER MODULE</t>
  </si>
  <si>
    <t>RP-02H-5010</t>
  </si>
  <si>
    <t>RP-02M-0001]SCAN MOT Bas</t>
  </si>
  <si>
    <t>RP-02M-0001</t>
  </si>
  <si>
    <t>3L5-3</t>
  </si>
  <si>
    <t>RP-02M-0002]FRM SCAN Mdl MAIN</t>
  </si>
  <si>
    <t>RP-02M-0002</t>
  </si>
  <si>
    <t>RP-02M-0003]HLDR LASER</t>
  </si>
  <si>
    <t>RP-02M-0003</t>
  </si>
  <si>
    <t>RP-02M-0005]MIRROR BODY</t>
  </si>
  <si>
    <t>RP-02M-0005</t>
  </si>
  <si>
    <t>3S5-2</t>
  </si>
  <si>
    <t>RP-02M-0006]HLDR ENCODER DISK</t>
  </si>
  <si>
    <t>RP-02M-0006</t>
  </si>
  <si>
    <t>RP-02M-0084]CONNECTOR SOCKET</t>
  </si>
  <si>
    <t>RP-02M-0084</t>
  </si>
  <si>
    <t>rp-렉2</t>
  </si>
  <si>
    <t>RP-02M-0147]FRM SCAN Mdl BOT</t>
  </si>
  <si>
    <t>RP-02M-0147</t>
  </si>
  <si>
    <t>3S4-2</t>
  </si>
  <si>
    <t>RP-02S-0014]COLOR FILTER</t>
  </si>
  <si>
    <t>RP-02S-0014</t>
  </si>
  <si>
    <t>RP-02S-0020]MIRROR</t>
  </si>
  <si>
    <t>RP-02S-0020</t>
  </si>
  <si>
    <t>RP-02S-0138]O RING</t>
  </si>
  <si>
    <t>RP-02S-0138</t>
  </si>
  <si>
    <t>3S4-5</t>
  </si>
  <si>
    <t>RP-02S-5043]BLDC MOT</t>
    <phoneticPr fontId="1" type="noConversion"/>
  </si>
  <si>
    <t>RP-02S-5043</t>
  </si>
  <si>
    <t>A14-3</t>
    <phoneticPr fontId="1" type="noConversion"/>
  </si>
  <si>
    <t>RP-02S-5046]ENCODER</t>
  </si>
  <si>
    <t>RP-02S-5046</t>
  </si>
  <si>
    <t>3S4-6</t>
  </si>
  <si>
    <t>RP-02S-5047]ROTARY DISK</t>
  </si>
  <si>
    <t>RP-02S-5047</t>
  </si>
  <si>
    <t>RP-02S-5059]PMT</t>
  </si>
  <si>
    <t>RP-02S-5059</t>
  </si>
  <si>
    <t>3L7-1</t>
  </si>
  <si>
    <t>RP-02T-0009]HOUSING PMT</t>
  </si>
  <si>
    <t>RP-02T-0009</t>
  </si>
  <si>
    <t>RP-02T-0010]SAFETY CVR PMT</t>
  </si>
  <si>
    <t>RP-02T-0010</t>
  </si>
  <si>
    <t>3B17</t>
  </si>
  <si>
    <t>RP-02T-0011]FIXED _4M PMT</t>
  </si>
  <si>
    <t>RP-02T-0011</t>
  </si>
  <si>
    <t>RP-02T-0012]COLLECTOR BEAM UP</t>
  </si>
  <si>
    <t>RP-02T-0012</t>
  </si>
  <si>
    <t>3B18</t>
  </si>
  <si>
    <t>RP-02T-0013]COLLECTOR BEAM DN</t>
  </si>
  <si>
    <t>RP-02T-0013</t>
  </si>
  <si>
    <t>RP-02V-0004]FIX BKT ENCODER</t>
  </si>
  <si>
    <t>RP-02V-0004</t>
  </si>
  <si>
    <t>RP-02V-0007]SPACER SCAN Mdl</t>
  </si>
  <si>
    <t>RP-02V-0007</t>
  </si>
  <si>
    <t>RP-03A-0116]ASM FEED Mdl</t>
  </si>
  <si>
    <t>RP-03A-0116</t>
  </si>
  <si>
    <t>RP-03A-5025]SIB (SNSR interface Bd)</t>
    <phoneticPr fontId="1" type="noConversion"/>
  </si>
  <si>
    <t>RP-03A-5025</t>
  </si>
  <si>
    <t>A6-4</t>
    <phoneticPr fontId="1" type="noConversion"/>
  </si>
  <si>
    <t>RP-03A-5026]ELB (Erasing LED Bd)</t>
    <phoneticPr fontId="1" type="noConversion"/>
  </si>
  <si>
    <t>RP-03A-5026</t>
  </si>
  <si>
    <t>RP-03A-5028]PSB (Position SNSR Bd)</t>
    <phoneticPr fontId="1" type="noConversion"/>
  </si>
  <si>
    <t>RP-03A-5028</t>
  </si>
  <si>
    <t>RP-03H-5011]Harness PSB to SIB</t>
  </si>
  <si>
    <t>RP-03H-5011</t>
  </si>
  <si>
    <t>RP-03M-0022]FEED PRESS ROLLER</t>
  </si>
  <si>
    <t>RP-03M-0022</t>
  </si>
  <si>
    <t>RP-03M-0023]FEED END PRESS ROLLER</t>
  </si>
  <si>
    <t>RP-03M-0023</t>
  </si>
  <si>
    <t>rp-03m-0025</t>
    <phoneticPr fontId="2" type="noConversion"/>
  </si>
  <si>
    <t>RP-03M-0032]ENTERANCE FLOW ROLLER PRESS</t>
  </si>
  <si>
    <t>RP-03M-0032</t>
  </si>
  <si>
    <t>RP-03M-0036]CONVEYOR GUIDE ROLLER</t>
  </si>
  <si>
    <t>RP-03M-0036</t>
  </si>
  <si>
    <t>3S5-3</t>
  </si>
  <si>
    <t>RP-03M-0037]CONVEYOR MAIN ROLLER</t>
  </si>
  <si>
    <t>RP-03M-0037</t>
  </si>
  <si>
    <t>RP-03M-0038]CONVEYOR END ROLLER</t>
  </si>
  <si>
    <t>RP-03M-0038</t>
  </si>
  <si>
    <t>RP-03M-0199]PULLEY FEED DRIVE</t>
  </si>
  <si>
    <t>RP-03M-0199</t>
  </si>
  <si>
    <t>RP-03M-0204]ENTRANCE CONVEYOR ROLLER</t>
  </si>
  <si>
    <t>RP-03M-0204</t>
  </si>
  <si>
    <t>RP-03M-0206]SHADE PLT SLOT</t>
  </si>
  <si>
    <t>RP-03M-0206</t>
  </si>
  <si>
    <t>3S4-3</t>
  </si>
  <si>
    <t>RP-03M-0208]CONVEYOR SUB ROLLER</t>
  </si>
  <si>
    <t>RP-03M-0208</t>
  </si>
  <si>
    <t>RP-03M-0209]FEED SIDE PRESS ROLLER</t>
  </si>
  <si>
    <t>RP-03M-0209</t>
  </si>
  <si>
    <t>RP-03S-0047]BELT CONVEYOR</t>
  </si>
  <si>
    <t>RP-03S-0047</t>
  </si>
  <si>
    <t>3L5-1</t>
  </si>
  <si>
    <t>RP-03T-0029]REFLECTOR ERASING LAMP</t>
  </si>
  <si>
    <t>RP-03T-0029</t>
  </si>
  <si>
    <t>RP-03T-0030]SLOT BODY</t>
  </si>
  <si>
    <t>RP-03T-0030</t>
  </si>
  <si>
    <t>RP-03T-0039]CONVEYOR BEND BODY</t>
  </si>
  <si>
    <t>RP-03T-0039</t>
  </si>
  <si>
    <t>RP-03T-0041]CONVEYOR BEND BODY SIDE R</t>
  </si>
  <si>
    <t>RP-03T-0041</t>
  </si>
  <si>
    <t>RP-03V-0026]FIX BKT SPRING 01</t>
  </si>
  <si>
    <t>RP-03V-0026</t>
  </si>
  <si>
    <t>3S5-5</t>
  </si>
  <si>
    <t>RP-03V-0027]FIX BKT SPRING 02</t>
  </si>
  <si>
    <t>RP-03V-0027</t>
  </si>
  <si>
    <t>RP-03V-0028]FIX BKT SPRING 03</t>
  </si>
  <si>
    <t>RP-03V-0028</t>
  </si>
  <si>
    <t>RP-03V-0033]FIX BKT B-Ring</t>
  </si>
  <si>
    <t>RP-03V-0033</t>
  </si>
  <si>
    <t>RP-03V-0035]DISK CHECK MOTION</t>
  </si>
  <si>
    <t>RP-03V-0035</t>
  </si>
  <si>
    <t>RP-03V-0205]BKT ENTRANCE PRESS ROLLER</t>
  </si>
  <si>
    <t>RP-03V-0205</t>
  </si>
  <si>
    <t>RP-04A-0120]ASM REDUCER Mdl</t>
  </si>
  <si>
    <t>RP-04A-0120</t>
  </si>
  <si>
    <t>RP-04M-0089]BODY REDUCER</t>
  </si>
  <si>
    <t>RP-04M-0089</t>
  </si>
  <si>
    <t>RP-04M-0090]FLAT PULLEY MOT</t>
  </si>
  <si>
    <t>RP-04M-0090</t>
  </si>
  <si>
    <t>RP-04M-0091]SHAFT PULLEY</t>
  </si>
  <si>
    <t>RP-04M-0091</t>
  </si>
  <si>
    <t>RP-04M-0092]FLAT PULLEY 01</t>
  </si>
  <si>
    <t>RP-04M-0092</t>
  </si>
  <si>
    <t>RP-04M-0129]BKT HLDR REDUCER-A</t>
  </si>
  <si>
    <t>RP-04M-0129</t>
  </si>
  <si>
    <t>3S5-4</t>
  </si>
  <si>
    <t>RP-04M-0137]FLAT PULLEY 02</t>
  </si>
  <si>
    <t>RP-04M-0137</t>
  </si>
  <si>
    <t>RP-04M-0148]BKT HLDR REDUCER-B</t>
  </si>
  <si>
    <t>RP-04M-0148</t>
  </si>
  <si>
    <t>RP-04S-0093]TIMING BELT 65MXL</t>
  </si>
  <si>
    <t>RP-04S-0093</t>
  </si>
  <si>
    <t>RP-04S-0200]TIMING BELT 99MXL</t>
  </si>
  <si>
    <t>RP-04S-0200</t>
  </si>
  <si>
    <t>RP-04V-0059]FIXED BKT SCAN Mdl</t>
  </si>
  <si>
    <t>RP-04V-0059</t>
  </si>
  <si>
    <t>3L5-2</t>
  </si>
  <si>
    <t>RP-05S-5045]LCD(w/ Touch)</t>
    <phoneticPr fontId="1" type="noConversion"/>
  </si>
  <si>
    <t>RP-05S-5045</t>
  </si>
  <si>
    <t>RP-06A-5024]LIB (LCD interface Bd)</t>
    <phoneticPr fontId="1" type="noConversion"/>
  </si>
  <si>
    <t>RP-06A-5024</t>
  </si>
  <si>
    <t>RP-06A-5026</t>
    <phoneticPr fontId="1" type="noConversion"/>
  </si>
  <si>
    <t>A6-4</t>
    <phoneticPr fontId="1" type="noConversion"/>
  </si>
  <si>
    <t>RP-06S-0081]ND MAGNET GUIDE IP</t>
  </si>
  <si>
    <t>RP-06S-0081</t>
  </si>
  <si>
    <t>RP-06T-0069]CVR FRONT TOP</t>
  </si>
  <si>
    <t>RP-06T-0069</t>
  </si>
  <si>
    <t>3B15</t>
  </si>
  <si>
    <t>RP-06V-0070]FIX BKT LCD</t>
  </si>
  <si>
    <t>RP-06V-0070</t>
  </si>
  <si>
    <t>RP-07A-5027]PBB (Power button Bd)</t>
    <phoneticPr fontId="1" type="noConversion"/>
  </si>
  <si>
    <t>RP-07A-5027</t>
  </si>
  <si>
    <t>RP-07T-0071]CVR FRONT</t>
  </si>
  <si>
    <t>RP-07T-0071</t>
  </si>
  <si>
    <t>RP-07T-0072]BUTTON POWER</t>
  </si>
  <si>
    <t>RP-07T-0072</t>
  </si>
  <si>
    <t>RP-07T-0073]LIGHTING RING</t>
  </si>
  <si>
    <t>RP-07T-0073</t>
  </si>
  <si>
    <t>RP-07T-0074]HOUSING LIGHTING BLK</t>
  </si>
  <si>
    <t>RP-07T-0074</t>
  </si>
  <si>
    <t>3S1-2</t>
  </si>
  <si>
    <t>RP-08A-0139]ASM CVR FRONT DN</t>
  </si>
  <si>
    <t>RP-08A-0139</t>
  </si>
  <si>
    <t>RP-09A-0140]ASM CVR GUIDE IP-S</t>
    <phoneticPr fontId="1" type="noConversion"/>
  </si>
  <si>
    <t>RP-09A-0140</t>
  </si>
  <si>
    <t>3C5-5</t>
    <phoneticPr fontId="1" type="noConversion"/>
  </si>
  <si>
    <t>RP-09A-0146]ASM TRAY IP</t>
  </si>
  <si>
    <t>RP-09A-0146</t>
  </si>
  <si>
    <t>RP-09M-0181]MAIN BODY</t>
  </si>
  <si>
    <t>RP-09M-0181</t>
  </si>
  <si>
    <t>RP-09M-0182]SECTION BODY</t>
  </si>
  <si>
    <t>RP-09M-0182</t>
  </si>
  <si>
    <t>RP-09M-0183]IP GUIDE</t>
  </si>
  <si>
    <t>RP-09M-0183</t>
  </si>
  <si>
    <t>3C3-4</t>
    <phoneticPr fontId="1" type="noConversion"/>
  </si>
  <si>
    <t>RP-09M-0184]WEDGE PHANTOM_8STEP</t>
  </si>
  <si>
    <t>RP-09M-0184</t>
  </si>
  <si>
    <t>RP-09M-0185]GUIDE BLOCK</t>
  </si>
  <si>
    <t>RP-09M-0185</t>
  </si>
  <si>
    <t>RP-09M-0194]GUIDE PIN</t>
  </si>
  <si>
    <t>RP-09M-0194</t>
  </si>
  <si>
    <t>RP-09P-0162]PROT FILM</t>
  </si>
  <si>
    <t>RP-09P-0162</t>
  </si>
  <si>
    <t>3S1-3</t>
  </si>
  <si>
    <t>RP-09S-0165]PROT CVR SIZE0</t>
  </si>
  <si>
    <t>RP-09S-0165</t>
  </si>
  <si>
    <t>3B13</t>
  </si>
  <si>
    <t>RP-09S-0166]PROT CVR SIZE1</t>
  </si>
  <si>
    <t>RP-09S-0166</t>
  </si>
  <si>
    <t>RP-09S-0167]PROT CVR SIZE2</t>
  </si>
  <si>
    <t>RP-09S-0167</t>
  </si>
  <si>
    <t>RP-09S-0168]PROT CVR SIZE3</t>
  </si>
  <si>
    <t>RP-09S-0168</t>
  </si>
  <si>
    <t>3B12</t>
  </si>
  <si>
    <t>RP-09S-0169]PROT CVR SIZE4</t>
  </si>
  <si>
    <t>RP-09S-0169</t>
  </si>
  <si>
    <t>RP-09S-0176]CLEANING SHEET</t>
  </si>
  <si>
    <t>RP-09S-0176</t>
  </si>
  <si>
    <t>3L7-3</t>
  </si>
  <si>
    <t>RP-09S-0178]STK CLEANING CLIP</t>
  </si>
  <si>
    <t>RP-09S-0178</t>
  </si>
  <si>
    <t>3S5-7</t>
  </si>
  <si>
    <t>RP-09S-0195]CAPTIVE FASTENER</t>
  </si>
  <si>
    <t>RP-09S-0195</t>
  </si>
  <si>
    <t>RP-09T-0066]CVR GUIDE IP-S</t>
  </si>
  <si>
    <t>RP-09T-0066</t>
  </si>
  <si>
    <t>RP-09T-0067]CVR GUIDE IP-L</t>
  </si>
  <si>
    <t>RP-09T-0067</t>
  </si>
  <si>
    <t>3L7-4</t>
  </si>
  <si>
    <t>RP-09T-0068]TRAY IP</t>
  </si>
  <si>
    <t>RP-09T-0068</t>
  </si>
  <si>
    <t>RP-09T-0075]Bas PLT STORAGE</t>
  </si>
  <si>
    <t>RP-09T-0075</t>
  </si>
  <si>
    <t>3B10</t>
  </si>
  <si>
    <t>RP-09T-0076]CVR STORAGE</t>
  </si>
  <si>
    <t>RP-09T-0076</t>
  </si>
  <si>
    <t>RP-09T-0077]PAD STORAGE</t>
  </si>
  <si>
    <t>RP-09T-0077</t>
  </si>
  <si>
    <t>RP-09T-0135]SLOT GUIDE IP-L</t>
  </si>
  <si>
    <t>RP-09T-0135</t>
  </si>
  <si>
    <t>RP-09T-0191]CVR CLEANING GUIDE</t>
  </si>
  <si>
    <t>RP-09T-0191</t>
  </si>
  <si>
    <t>RP-09T-0192]SLOT CLEANING GUIDE</t>
  </si>
  <si>
    <t>RP-09T-0192</t>
  </si>
  <si>
    <t>RP-09V-0096]MAGNET PLT TRAY</t>
  </si>
  <si>
    <t>RP-09V-0096</t>
  </si>
  <si>
    <t>RS-02S-5135]PHOtSNSR-EE-SX671A</t>
    <phoneticPr fontId="1" type="noConversion"/>
  </si>
  <si>
    <t>RS-02S-5135</t>
  </si>
  <si>
    <t>WO-GIIO-RIPS01-C0X]RIOSNSR+  Size1</t>
  </si>
  <si>
    <t>WO-GIIO-RIPS01-C0X</t>
  </si>
  <si>
    <t>A8-2</t>
    <phoneticPr fontId="1" type="noConversion"/>
  </si>
  <si>
    <t>WO-GIIO-RIPS02-C0X]RIOSNSR+  Size2</t>
  </si>
  <si>
    <t>WO-GIIO-RIPS02-C0X</t>
  </si>
  <si>
    <t>A8-3</t>
    <phoneticPr fontId="1" type="noConversion"/>
  </si>
  <si>
    <t>RF-01H-5031</t>
    <phoneticPr fontId="1" type="noConversion"/>
  </si>
  <si>
    <t>3S2-1</t>
    <phoneticPr fontId="1" type="noConversion"/>
  </si>
  <si>
    <t>RF-02H-5028</t>
    <phoneticPr fontId="1" type="noConversion"/>
  </si>
  <si>
    <t>RA-05A-2721</t>
    <phoneticPr fontId="1" type="noConversion"/>
  </si>
  <si>
    <t>■ 구매자재팀 입출고 현황표</t>
    <phoneticPr fontId="1" type="noConversion"/>
  </si>
  <si>
    <t>RP-03S-0024</t>
  </si>
  <si>
    <t>3S4-2</t>
    <phoneticPr fontId="1" type="noConversion"/>
  </si>
  <si>
    <t>출고수량</t>
    <phoneticPr fontId="1" type="noConversion"/>
  </si>
  <si>
    <t>입고수량</t>
    <phoneticPr fontId="1" type="noConversion"/>
  </si>
  <si>
    <t>RF-01S-5042</t>
  </si>
  <si>
    <t>RF-01S-5043</t>
  </si>
  <si>
    <t>RF-01S-5044</t>
  </si>
  <si>
    <t>RA-07D-6052</t>
  </si>
  <si>
    <t>F3-4</t>
    <phoneticPr fontId="1" type="noConversion"/>
  </si>
  <si>
    <t>A15-3</t>
    <phoneticPr fontId="1" type="noConversion"/>
  </si>
  <si>
    <t>RA-05V-0513</t>
    <phoneticPr fontId="1" type="noConversion"/>
  </si>
  <si>
    <t>E1-3, J1-2</t>
    <phoneticPr fontId="1" type="noConversion"/>
  </si>
  <si>
    <t>H4-6, F3-3</t>
    <phoneticPr fontId="1" type="noConversion"/>
  </si>
  <si>
    <t>C31-24623</t>
    <phoneticPr fontId="1" type="noConversion"/>
  </si>
  <si>
    <t>3L1-2</t>
    <phoneticPr fontId="1" type="noConversion"/>
  </si>
  <si>
    <t>3S5-2</t>
    <phoneticPr fontId="1" type="noConversion"/>
  </si>
  <si>
    <t>RA-07S-6124</t>
  </si>
  <si>
    <t>A10-4</t>
    <phoneticPr fontId="1" type="noConversion"/>
  </si>
  <si>
    <t>RA-07S-6122</t>
  </si>
  <si>
    <t>RA-07S-6123</t>
  </si>
  <si>
    <t>RA-00S-6119</t>
  </si>
  <si>
    <t>RA-09S-1477</t>
    <phoneticPr fontId="1" type="noConversion"/>
  </si>
  <si>
    <t>업체</t>
    <phoneticPr fontId="1" type="noConversion"/>
  </si>
  <si>
    <t>가용재고</t>
  </si>
  <si>
    <t>RA-05M-2907</t>
    <phoneticPr fontId="1" type="noConversion"/>
  </si>
  <si>
    <t xml:space="preserve"> 1. 업체로부터 입고품 인수</t>
    <phoneticPr fontId="1" type="noConversion"/>
  </si>
  <si>
    <t xml:space="preserve"> 2. 입고자재 품질팀 전달</t>
    <phoneticPr fontId="1" type="noConversion"/>
  </si>
  <si>
    <t xml:space="preserve"> 3. 검사 완료품 지정 장소로 실물 이동</t>
    <phoneticPr fontId="1" type="noConversion"/>
  </si>
  <si>
    <t xml:space="preserve">   - 실물 이동 및 SAP 품질팀(SL11) -&gt; 자재팀(SL01)이동</t>
    <phoneticPr fontId="1" type="noConversion"/>
  </si>
  <si>
    <t xml:space="preserve">   - 입출고 현황파일에 입고품 수량 및 위치 작성</t>
    <phoneticPr fontId="1" type="noConversion"/>
  </si>
  <si>
    <t xml:space="preserve">   - 거래명세서 및 실물 수량 확인</t>
    <phoneticPr fontId="1" type="noConversion"/>
  </si>
  <si>
    <t xml:space="preserve"> 1. 수동예약 확인 및 불출서 출력</t>
    <phoneticPr fontId="1" type="noConversion"/>
  </si>
  <si>
    <t xml:space="preserve"> 2. 실물 출고 진행</t>
    <phoneticPr fontId="1" type="noConversion"/>
  </si>
  <si>
    <t xml:space="preserve"> 3. 자재 전달</t>
    <phoneticPr fontId="1" type="noConversion"/>
  </si>
  <si>
    <t xml:space="preserve">  - 실물 요청자에게 전달</t>
    <phoneticPr fontId="1" type="noConversion"/>
  </si>
  <si>
    <t xml:space="preserve">  - SAP 이동전기 진행 및 입출고 현황파일에 출고내역 작성</t>
    <phoneticPr fontId="1" type="noConversion"/>
  </si>
  <si>
    <t xml:space="preserve">   - 모든 자재들은 거래명세서가 실물전달시 같이 전달 되어야 하며</t>
    <phoneticPr fontId="1" type="noConversion"/>
  </si>
  <si>
    <t xml:space="preserve">      실물과 전달이 안된다면, 실물 도착전 메일상으로 전달 받아야함</t>
    <phoneticPr fontId="1" type="noConversion"/>
  </si>
  <si>
    <t xml:space="preserve">   - 실물 품질팀 전달 및 SAP 입고 진행</t>
    <phoneticPr fontId="1" type="noConversion"/>
  </si>
  <si>
    <t xml:space="preserve">   - 검사품목이 아닌 경우 SL01로 입고를 잡거나,</t>
    <phoneticPr fontId="1" type="noConversion"/>
  </si>
  <si>
    <t xml:space="preserve">     SL11로 입고를 잡고 바로 SL01로 이동전기 진행</t>
    <phoneticPr fontId="1" type="noConversion"/>
  </si>
  <si>
    <t xml:space="preserve">   - 동일 자재가 서로 다른위치에 적재될 경우 입출고현황파일에 각 위치 작성 진행</t>
    <phoneticPr fontId="1" type="noConversion"/>
  </si>
  <si>
    <t>*현 프로세스를 진행시 실물과 전산과 엑셀파일은 항시 같이 완료 되어야 하며</t>
    <phoneticPr fontId="1" type="noConversion"/>
  </si>
  <si>
    <t xml:space="preserve"> 각 진행 업무가 끝나면 다른 업무를 지원 또는 진행 해야 합니다.</t>
    <phoneticPr fontId="1" type="noConversion"/>
  </si>
  <si>
    <t>[입고 프로세스]</t>
    <phoneticPr fontId="1" type="noConversion"/>
  </si>
  <si>
    <t>[출고 프로세스]</t>
    <phoneticPr fontId="1" type="noConversion"/>
  </si>
  <si>
    <t>K5-3</t>
    <phoneticPr fontId="1" type="noConversion"/>
  </si>
  <si>
    <t>REV</t>
    <phoneticPr fontId="1" type="noConversion"/>
  </si>
  <si>
    <t>RF-01M-0182</t>
    <phoneticPr fontId="1" type="noConversion"/>
  </si>
  <si>
    <t>F3-4</t>
    <phoneticPr fontId="1" type="noConversion"/>
  </si>
  <si>
    <t>RF-20A-0381</t>
    <phoneticPr fontId="1" type="noConversion"/>
  </si>
  <si>
    <t>RF-20A-0382</t>
  </si>
  <si>
    <t>RF-20A-0382</t>
    <phoneticPr fontId="1" type="noConversion"/>
  </si>
  <si>
    <t>3L1-1</t>
    <phoneticPr fontId="1" type="noConversion"/>
  </si>
  <si>
    <t>3I1</t>
    <phoneticPr fontId="1" type="noConversion"/>
  </si>
  <si>
    <t>K8</t>
    <phoneticPr fontId="1" type="noConversion"/>
  </si>
  <si>
    <t>RA-07A-2871</t>
    <phoneticPr fontId="1" type="noConversion"/>
  </si>
  <si>
    <t>RA-07A-2872</t>
    <phoneticPr fontId="1" type="noConversion"/>
  </si>
  <si>
    <t>RA-07A-2874</t>
    <phoneticPr fontId="1" type="noConversion"/>
  </si>
  <si>
    <t>RA-07A-2873</t>
  </si>
  <si>
    <t>3I4</t>
    <phoneticPr fontId="1" type="noConversion"/>
  </si>
  <si>
    <t>RE-03T-0320</t>
    <phoneticPr fontId="1" type="noConversion"/>
  </si>
  <si>
    <t>3A-14</t>
    <phoneticPr fontId="1" type="noConversion"/>
  </si>
  <si>
    <t>5층사급</t>
    <phoneticPr fontId="1" type="noConversion"/>
  </si>
  <si>
    <t>RA-15-9-L</t>
    <phoneticPr fontId="1" type="noConversion"/>
  </si>
  <si>
    <t>RA-15-9-R</t>
    <phoneticPr fontId="1" type="noConversion"/>
  </si>
  <si>
    <t>총합계</t>
  </si>
  <si>
    <t>구분</t>
  </si>
  <si>
    <t>RF-20A-0383</t>
  </si>
  <si>
    <t>RP-00S-5041</t>
  </si>
  <si>
    <t>합계 : 수량</t>
  </si>
  <si>
    <t>품번</t>
  </si>
  <si>
    <t>위치</t>
  </si>
  <si>
    <t>요약</t>
  </si>
  <si>
    <t>A1-6</t>
    <phoneticPr fontId="1" type="noConversion"/>
  </si>
  <si>
    <t>A1-6, A7-3</t>
    <phoneticPr fontId="1" type="noConversion"/>
  </si>
  <si>
    <t>RP-02S-0131</t>
    <phoneticPr fontId="1" type="noConversion"/>
  </si>
  <si>
    <t>3S4-4</t>
    <phoneticPr fontId="1" type="noConversion"/>
  </si>
  <si>
    <t>RA-15-2-R</t>
    <phoneticPr fontId="2" type="noConversion"/>
  </si>
  <si>
    <t>G2-6</t>
    <phoneticPr fontId="1" type="noConversion"/>
  </si>
  <si>
    <t>RA-09M-0725</t>
    <phoneticPr fontId="1" type="noConversion"/>
  </si>
  <si>
    <t>L1-2</t>
    <phoneticPr fontId="1" type="noConversion"/>
  </si>
  <si>
    <t>RA-06M-1506</t>
    <phoneticPr fontId="1" type="noConversion"/>
  </si>
  <si>
    <t>H3-1</t>
    <phoneticPr fontId="1" type="noConversion"/>
  </si>
  <si>
    <t>RA-09M-0726</t>
    <phoneticPr fontId="1" type="noConversion"/>
  </si>
  <si>
    <t>RA-02M-0032</t>
    <phoneticPr fontId="1" type="noConversion"/>
  </si>
  <si>
    <t>F3-5</t>
    <phoneticPr fontId="1" type="noConversion"/>
  </si>
  <si>
    <t>RA-02M-0033</t>
    <phoneticPr fontId="1" type="noConversion"/>
  </si>
  <si>
    <t>RA-08M-1241</t>
    <phoneticPr fontId="1" type="noConversion"/>
  </si>
  <si>
    <t>RA-09M-0811</t>
    <phoneticPr fontId="1" type="noConversion"/>
  </si>
  <si>
    <t>RA-02M-0560</t>
    <phoneticPr fontId="1" type="noConversion"/>
  </si>
  <si>
    <t>RA-08T-0176</t>
  </si>
  <si>
    <t>1층</t>
    <phoneticPr fontId="1" type="noConversion"/>
  </si>
  <si>
    <t>RA-08T-0177</t>
  </si>
  <si>
    <t>S</t>
    <phoneticPr fontId="1" type="noConversion"/>
  </si>
  <si>
    <t>RA-08T-2661</t>
  </si>
  <si>
    <t>3D(VERTICAL, ROTATOR)</t>
    <phoneticPr fontId="1" type="noConversion"/>
  </si>
  <si>
    <t>RA-10-2</t>
    <phoneticPr fontId="1" type="noConversion"/>
  </si>
  <si>
    <t>RA-05V-2651</t>
    <phoneticPr fontId="1" type="noConversion"/>
  </si>
  <si>
    <t>RA-05V-2653</t>
    <phoneticPr fontId="1" type="noConversion"/>
  </si>
  <si>
    <t>RA-02A-2741</t>
    <phoneticPr fontId="1" type="noConversion"/>
  </si>
  <si>
    <t>RA-05V-0501</t>
    <phoneticPr fontId="1" type="noConversion"/>
  </si>
  <si>
    <t>파렛트화</t>
    <phoneticPr fontId="1" type="noConversion"/>
  </si>
  <si>
    <t>비고</t>
    <phoneticPr fontId="1" type="noConversion"/>
  </si>
  <si>
    <t>1순위 재고실사</t>
    <phoneticPr fontId="1" type="noConversion"/>
  </si>
  <si>
    <t>2순위재고실사</t>
    <phoneticPr fontId="1" type="noConversion"/>
  </si>
  <si>
    <t>F2-6, F1</t>
    <phoneticPr fontId="1" type="noConversion"/>
  </si>
  <si>
    <t>3E10</t>
    <phoneticPr fontId="1" type="noConversion"/>
  </si>
  <si>
    <t>K8, T</t>
    <phoneticPr fontId="1" type="noConversion"/>
  </si>
  <si>
    <t>E4-3, T</t>
    <phoneticPr fontId="1" type="noConversion"/>
  </si>
  <si>
    <t>E2-3, T</t>
    <phoneticPr fontId="1" type="noConversion"/>
  </si>
  <si>
    <t>E4-2, T</t>
    <phoneticPr fontId="1" type="noConversion"/>
  </si>
  <si>
    <t>RF-01V-0165</t>
    <phoneticPr fontId="1" type="noConversion"/>
  </si>
  <si>
    <t>T</t>
    <phoneticPr fontId="1" type="noConversion"/>
  </si>
  <si>
    <t>3L18-1</t>
    <phoneticPr fontId="1" type="noConversion"/>
  </si>
  <si>
    <t>RA-06M-3301]BLK LED SMOG (ST)</t>
    <phoneticPr fontId="1" type="noConversion"/>
  </si>
  <si>
    <t>RE-02S-0207</t>
    <phoneticPr fontId="1" type="noConversion"/>
  </si>
  <si>
    <t>K3-6</t>
    <phoneticPr fontId="1" type="noConversion"/>
  </si>
  <si>
    <t>RE-02V-0241</t>
    <phoneticPr fontId="1" type="noConversion"/>
  </si>
  <si>
    <t>K4-3</t>
    <phoneticPr fontId="1" type="noConversion"/>
  </si>
  <si>
    <t>RE-02H-5045</t>
    <phoneticPr fontId="1" type="noConversion"/>
  </si>
  <si>
    <t>3F3</t>
    <phoneticPr fontId="1" type="noConversion"/>
  </si>
  <si>
    <t>RA-09M-2528</t>
    <phoneticPr fontId="1" type="noConversion"/>
  </si>
  <si>
    <t>F3-5</t>
    <phoneticPr fontId="1" type="noConversion"/>
  </si>
  <si>
    <t>RE-04T-0461</t>
    <phoneticPr fontId="1" type="noConversion"/>
  </si>
  <si>
    <t>3A18</t>
    <phoneticPr fontId="1" type="noConversion"/>
  </si>
  <si>
    <t>RA-02M-2025</t>
    <phoneticPr fontId="1" type="noConversion"/>
  </si>
  <si>
    <t>F2-6</t>
    <phoneticPr fontId="1" type="noConversion"/>
  </si>
  <si>
    <t>3C7</t>
    <phoneticPr fontId="1" type="noConversion"/>
  </si>
  <si>
    <t>RA-08T-0638</t>
    <phoneticPr fontId="1" type="noConversion"/>
  </si>
  <si>
    <t>C1-2</t>
    <phoneticPr fontId="1" type="noConversion"/>
  </si>
  <si>
    <t>3L18-1</t>
    <phoneticPr fontId="1" type="noConversion"/>
  </si>
  <si>
    <t>RD-08B-5101</t>
    <phoneticPr fontId="1" type="noConversion"/>
  </si>
  <si>
    <t>RF-01S-5094</t>
    <phoneticPr fontId="1" type="noConversion"/>
  </si>
  <si>
    <t>RF-01S-5096</t>
    <phoneticPr fontId="1" type="noConversion"/>
  </si>
  <si>
    <t>3F1</t>
    <phoneticPr fontId="1" type="noConversion"/>
  </si>
  <si>
    <t>RF-01S-5097</t>
    <phoneticPr fontId="1" type="noConversion"/>
  </si>
  <si>
    <t>3F2</t>
    <phoneticPr fontId="1" type="noConversion"/>
  </si>
  <si>
    <t>3C6</t>
    <phoneticPr fontId="1" type="noConversion"/>
  </si>
  <si>
    <t>사급</t>
    <phoneticPr fontId="1" type="noConversion"/>
  </si>
  <si>
    <t>RA-09M-2526</t>
    <phoneticPr fontId="1" type="noConversion"/>
  </si>
  <si>
    <t>J2-4</t>
    <phoneticPr fontId="1" type="noConversion"/>
  </si>
  <si>
    <t>3A-22</t>
    <phoneticPr fontId="1" type="noConversion"/>
  </si>
  <si>
    <t>3L9-1</t>
    <phoneticPr fontId="1" type="noConversion"/>
  </si>
  <si>
    <t>RA-3-2</t>
    <phoneticPr fontId="1" type="noConversion"/>
  </si>
  <si>
    <t>F3-6</t>
    <phoneticPr fontId="1" type="noConversion"/>
  </si>
  <si>
    <t>3E5</t>
    <phoneticPr fontId="1" type="noConversion"/>
  </si>
  <si>
    <t>3L6-3</t>
    <phoneticPr fontId="1" type="noConversion"/>
  </si>
  <si>
    <t>3E10</t>
    <phoneticPr fontId="1" type="noConversion"/>
  </si>
  <si>
    <t>RE-04S-0447</t>
    <phoneticPr fontId="1" type="noConversion"/>
  </si>
  <si>
    <t>PIN SUS[M6X18]</t>
    <phoneticPr fontId="1" type="noConversion"/>
  </si>
  <si>
    <t>K3-5</t>
    <phoneticPr fontId="1" type="noConversion"/>
  </si>
  <si>
    <t>3L4-3</t>
    <phoneticPr fontId="1" type="noConversion"/>
  </si>
  <si>
    <t>RF-20A-0383</t>
    <phoneticPr fontId="1" type="noConversion"/>
  </si>
  <si>
    <t>3L1-3</t>
    <phoneticPr fontId="1" type="noConversion"/>
  </si>
  <si>
    <t>WO-GOPG-ETRBAS-00X</t>
    <phoneticPr fontId="1" type="noConversion"/>
  </si>
  <si>
    <t>K8</t>
    <phoneticPr fontId="1" type="noConversion"/>
  </si>
  <si>
    <t>3E9</t>
    <phoneticPr fontId="1" type="noConversion"/>
  </si>
  <si>
    <t>RA-05M-3801</t>
    <phoneticPr fontId="1" type="noConversion"/>
  </si>
  <si>
    <t>RE-04S-0456</t>
    <phoneticPr fontId="1" type="noConversion"/>
  </si>
  <si>
    <t>K3-6</t>
    <phoneticPr fontId="1" type="noConversion"/>
  </si>
  <si>
    <t>3L4-4</t>
    <phoneticPr fontId="1" type="noConversion"/>
  </si>
  <si>
    <t>3C10</t>
    <phoneticPr fontId="1" type="noConversion"/>
  </si>
  <si>
    <t>3C10</t>
    <phoneticPr fontId="1" type="noConversion"/>
  </si>
  <si>
    <t>3F10</t>
    <phoneticPr fontId="1" type="noConversion"/>
  </si>
  <si>
    <t>3L3-2</t>
    <phoneticPr fontId="1" type="noConversion"/>
  </si>
  <si>
    <t>3L3-3</t>
    <phoneticPr fontId="1" type="noConversion"/>
  </si>
  <si>
    <t>3S3-2</t>
    <phoneticPr fontId="1" type="noConversion"/>
  </si>
  <si>
    <t>3L3-5</t>
    <phoneticPr fontId="1" type="noConversion"/>
  </si>
  <si>
    <t>3E5</t>
    <phoneticPr fontId="1" type="noConversion"/>
  </si>
  <si>
    <t>A6-3</t>
  </si>
  <si>
    <t>A6-4</t>
  </si>
  <si>
    <t>3I5</t>
    <phoneticPr fontId="1" type="noConversion"/>
  </si>
  <si>
    <t>3L4-5</t>
    <phoneticPr fontId="1" type="noConversion"/>
  </si>
  <si>
    <t>RP-00S-5041</t>
    <phoneticPr fontId="1" type="noConversion"/>
  </si>
  <si>
    <t>3B20</t>
  </si>
  <si>
    <t>3B20</t>
    <phoneticPr fontId="1" type="noConversion"/>
  </si>
  <si>
    <t>RD-10T-0308</t>
    <phoneticPr fontId="1" type="noConversion"/>
  </si>
  <si>
    <t>3C8</t>
    <phoneticPr fontId="1" type="noConversion"/>
  </si>
  <si>
    <t>가용재고</t>
    <phoneticPr fontId="1" type="noConversion"/>
  </si>
  <si>
    <t>RF-01T-0160</t>
  </si>
  <si>
    <t>RF-20A-0381</t>
  </si>
  <si>
    <t>RF-01S-5095</t>
  </si>
  <si>
    <t>RF-01S-5097</t>
  </si>
  <si>
    <t>RF-01S-5096</t>
  </si>
  <si>
    <t>RF-01S-5030</t>
  </si>
  <si>
    <t>3C10</t>
  </si>
  <si>
    <t>A16</t>
  </si>
  <si>
    <t>A4-3</t>
  </si>
  <si>
    <t>A4-2</t>
  </si>
  <si>
    <t>A5-4</t>
  </si>
  <si>
    <t>A3-4</t>
  </si>
  <si>
    <t>이행찬</t>
    <phoneticPr fontId="1" type="noConversion"/>
  </si>
  <si>
    <t>기초</t>
    <phoneticPr fontId="1" type="noConversion"/>
  </si>
  <si>
    <t>출고재고</t>
    <phoneticPr fontId="1" type="noConversion"/>
  </si>
  <si>
    <t>장비</t>
    <phoneticPr fontId="1" type="noConversion"/>
  </si>
  <si>
    <t>RFS 200</t>
    <phoneticPr fontId="1" type="noConversion"/>
  </si>
  <si>
    <t>입고업체</t>
    <phoneticPr fontId="1" type="noConversion"/>
  </si>
  <si>
    <t>DIEN QUANG H.T COMP. LIMITED (400066)</t>
  </si>
  <si>
    <t>에이투케이주식회사 (10169)</t>
  </si>
  <si>
    <t>(주)피에스케이테크놀로지 (10206)</t>
  </si>
  <si>
    <t>SON TUNG HCM(베트남) (400069)</t>
  </si>
  <si>
    <t>A&amp;T MACHINING INVESTMENT TRADN(베트남) (400070)</t>
  </si>
  <si>
    <t>(주)투에스컴퍼니 (10203)</t>
  </si>
  <si>
    <t>HIKROBOT(중국) (400077)</t>
  </si>
  <si>
    <t>00000000RAY CO., LTD (300040)</t>
  </si>
  <si>
    <t>RAY CO., LTD (300120)</t>
  </si>
  <si>
    <t>(주)진광 (10201)</t>
  </si>
  <si>
    <t>(주)지엘 (10165)</t>
  </si>
  <si>
    <t>주식회사 가나아크릴 (10178)</t>
  </si>
  <si>
    <t>제이에스티 (10196)</t>
  </si>
  <si>
    <t>주식회사 클레어옵틱 (10202)</t>
  </si>
  <si>
    <t>주식회사 일루코 (10531)</t>
  </si>
  <si>
    <t>드림에스피 (10212)</t>
  </si>
  <si>
    <t>주식회사 케이비엘러먼트 (12181)</t>
  </si>
  <si>
    <t>주식회사오성롤테크 (10166)</t>
  </si>
  <si>
    <t>플랜피뎀 (10171)</t>
  </si>
  <si>
    <t>주식회사 솔바이드 (10187)</t>
  </si>
  <si>
    <t>아이티인포(주) (10391)</t>
  </si>
  <si>
    <t>주식회사 다유 (10168)</t>
  </si>
  <si>
    <t>(주)우주정공 (10229)</t>
  </si>
  <si>
    <t>Bach Tung MECHANICS &amp; CONSTRUCTION( (400065)</t>
  </si>
  <si>
    <t>주식회사이엠넥스 (10174)</t>
  </si>
  <si>
    <t>한울테크 (10175)</t>
  </si>
  <si>
    <t>주식회사 정호기공 (10232)</t>
  </si>
  <si>
    <t>하이윈코퍼레이션 (주) (10238)</t>
  </si>
  <si>
    <t>우진써보씨스템(주) (10230)</t>
  </si>
  <si>
    <t>MTS VIET NAM SERVICE TRADING(베트남) (400068)</t>
  </si>
  <si>
    <t>(주)미래디피 (10219)</t>
  </si>
  <si>
    <t>하이버스주식회사 (10176)</t>
  </si>
  <si>
    <t>(주)지케이빌로바 (10244)</t>
  </si>
  <si>
    <t>KOG ELECTRONIC CO.,LIMITED (400078)</t>
  </si>
  <si>
    <t>(주)퍼스트모델 (11732)</t>
  </si>
  <si>
    <t>주식회사 창대엔지니어링 (10233)</t>
  </si>
  <si>
    <t>(주)한일모텍 (10240)</t>
  </si>
  <si>
    <t>제이엠티 (10197)</t>
  </si>
  <si>
    <t>주식회사 뷰웍스 (10221)</t>
  </si>
  <si>
    <t>HAMAMATSU PHOTONICS K.K.(일본) (400072)</t>
  </si>
  <si>
    <t>아이쓰리시스템 주식회사 (10226)</t>
  </si>
  <si>
    <t>아이레이코리아 주식회사 (10225)</t>
  </si>
  <si>
    <t>파웍스 (10204)</t>
  </si>
  <si>
    <t>주식회사세진팩 (10185)</t>
  </si>
  <si>
    <t>월드덴탈 (10192)</t>
  </si>
  <si>
    <t>메디서브 (10183)</t>
  </si>
  <si>
    <t>주식회사 키스톤 (10236)</t>
  </si>
  <si>
    <t>RAY CO.,LT (300070)</t>
  </si>
  <si>
    <t>DAE YOUNG HARNESS VINA(베트남) (400067)</t>
  </si>
  <si>
    <t>큐브케어 (12519)</t>
  </si>
  <si>
    <t>주식회사레이(본사) (300061)</t>
  </si>
  <si>
    <t>(주)파인디스플레이 (10471)</t>
  </si>
  <si>
    <t>주식회사 코메이트 (10258)</t>
  </si>
  <si>
    <t>티알에스씰 (10552)</t>
  </si>
  <si>
    <t>용휘정밀 (12461)</t>
  </si>
  <si>
    <t>Steinchen Twenty Three UG(독일) (400073)</t>
  </si>
  <si>
    <t>금동화산업 (10179)</t>
  </si>
  <si>
    <t>Hangzhou Kailong Medical Instrument (400080)</t>
  </si>
  <si>
    <t>진테크 (10173)</t>
  </si>
  <si>
    <t>주식회사 에스제이정밀 (10228)</t>
  </si>
  <si>
    <t>주식회사 아이온세미 (11801)</t>
  </si>
  <si>
    <t>(주)브리지파워 (10532)</t>
  </si>
  <si>
    <t>대야전자 (10210)</t>
  </si>
  <si>
    <t>(주)맥슨모터코리아 (10217)</t>
  </si>
  <si>
    <t>네오스페이스 (10180)</t>
  </si>
  <si>
    <t>Ray Europe GmbH (300131)</t>
  </si>
  <si>
    <t>(주)엠디에스테크 (10172)</t>
  </si>
  <si>
    <t>RP-00S-5055</t>
    <phoneticPr fontId="1" type="noConversion"/>
  </si>
  <si>
    <t>RP-00S-5053</t>
    <phoneticPr fontId="1" type="noConversion"/>
  </si>
  <si>
    <t>3S1-1,3S1-2</t>
    <phoneticPr fontId="1" type="noConversion"/>
  </si>
  <si>
    <t>RP-04T-0065</t>
    <phoneticPr fontId="1" type="noConversion"/>
  </si>
  <si>
    <t>3B9</t>
    <phoneticPr fontId="1" type="noConversion"/>
  </si>
  <si>
    <t>O</t>
    <phoneticPr fontId="1" type="noConversion"/>
  </si>
  <si>
    <t>A5-3</t>
    <phoneticPr fontId="1" type="noConversion"/>
  </si>
  <si>
    <t>기초추가</t>
    <phoneticPr fontId="1" type="noConversion"/>
  </si>
  <si>
    <t>RF-01S-5094</t>
  </si>
  <si>
    <t>C2-2</t>
    <phoneticPr fontId="1" type="noConversion"/>
  </si>
  <si>
    <t>RE-01V-0319</t>
    <phoneticPr fontId="1" type="noConversion"/>
  </si>
  <si>
    <t>3C2</t>
    <phoneticPr fontId="1" type="noConversion"/>
  </si>
  <si>
    <t>RA-06M-0540</t>
    <phoneticPr fontId="1" type="noConversion"/>
  </si>
  <si>
    <t>K3-6</t>
    <phoneticPr fontId="1" type="noConversion"/>
  </si>
  <si>
    <t>A5-3</t>
  </si>
  <si>
    <t>J2-3</t>
    <phoneticPr fontId="1" type="noConversion"/>
  </si>
  <si>
    <t>3S7-1</t>
    <phoneticPr fontId="1" type="noConversion"/>
  </si>
  <si>
    <t>RH-02V-0103</t>
    <phoneticPr fontId="1" type="noConversion"/>
  </si>
  <si>
    <t>RE-04M-0474</t>
    <phoneticPr fontId="1" type="noConversion"/>
  </si>
  <si>
    <t>RE-04M-0472</t>
    <phoneticPr fontId="1" type="noConversion"/>
  </si>
  <si>
    <t>3S4-1</t>
    <phoneticPr fontId="1" type="noConversion"/>
  </si>
  <si>
    <t>3L2-1</t>
    <phoneticPr fontId="1" type="noConversion"/>
  </si>
  <si>
    <t>RA-07M-3745</t>
    <phoneticPr fontId="1" type="noConversion"/>
  </si>
  <si>
    <t>F3-6</t>
    <phoneticPr fontId="1" type="noConversion"/>
  </si>
  <si>
    <t>A14-3</t>
    <phoneticPr fontId="1" type="noConversion"/>
  </si>
  <si>
    <t>RA-5-2</t>
  </si>
  <si>
    <t>RA-08A-0744</t>
  </si>
  <si>
    <t>RA-08T-0178</t>
  </si>
  <si>
    <t>OCLV</t>
    <phoneticPr fontId="1" type="noConversion"/>
  </si>
  <si>
    <t>기준</t>
    <phoneticPr fontId="1" type="noConversion"/>
  </si>
  <si>
    <t>E4-2</t>
  </si>
  <si>
    <t>E2-2</t>
  </si>
  <si>
    <t>E1-2</t>
  </si>
  <si>
    <t>S</t>
  </si>
  <si>
    <t>E2-1</t>
  </si>
  <si>
    <t>E1-6</t>
  </si>
  <si>
    <t>E1-5</t>
  </si>
  <si>
    <t>E4-4</t>
  </si>
  <si>
    <t>E2-5</t>
  </si>
  <si>
    <t>E2-6</t>
  </si>
  <si>
    <t>F1</t>
  </si>
  <si>
    <t>E1-3</t>
  </si>
  <si>
    <t>1층</t>
  </si>
  <si>
    <t>C1-1</t>
  </si>
  <si>
    <t>G2-3</t>
  </si>
  <si>
    <t>E1-1</t>
  </si>
  <si>
    <t>V</t>
  </si>
  <si>
    <t>E2-3</t>
  </si>
  <si>
    <t>L2-3</t>
  </si>
  <si>
    <t>H4-4</t>
  </si>
  <si>
    <t>E1-4</t>
  </si>
  <si>
    <t>G4</t>
  </si>
  <si>
    <t>G3-3</t>
  </si>
  <si>
    <t>R</t>
  </si>
  <si>
    <t>G2-1</t>
  </si>
  <si>
    <t>RA-08M-2679</t>
    <phoneticPr fontId="1" type="noConversion"/>
  </si>
  <si>
    <t>RA-08M-2705</t>
    <phoneticPr fontId="1" type="noConversion"/>
  </si>
  <si>
    <t>RA-08M-2707</t>
    <phoneticPr fontId="1" type="noConversion"/>
  </si>
  <si>
    <t>RA-08M-1887</t>
    <phoneticPr fontId="1" type="noConversion"/>
  </si>
  <si>
    <t>불량 대체품</t>
    <phoneticPr fontId="1" type="noConversion"/>
  </si>
  <si>
    <t>RF-01T-0196</t>
    <phoneticPr fontId="1" type="noConversion"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</si>
  <si>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</si>
  <si>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</si>
  <si>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</si>
  <si>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</si>
  <si>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</si>
  <si>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</si>
  <si>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</si>
  <si>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</si>
  <si>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</si>
  <si>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</si>
  <si>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</si>
  <si>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</si>
  <si>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</si>
  <si>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</si>
  <si>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</si>
  <si>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</si>
  <si>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</si>
  <si>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</si>
  <si>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</si>
  <si>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■ 구매자재팀 입출고 현황표</t>
  </si>
  <si>
    <t>입고수량</t>
  </si>
  <si>
    <t>출고수량</t>
  </si>
  <si>
    <t>입고</t>
  </si>
  <si>
    <t>출고</t>
  </si>
  <si>
    <t>NO</t>
  </si>
  <si>
    <t>사급</t>
  </si>
  <si>
    <t>NEW</t>
  </si>
  <si>
    <t>업체</t>
  </si>
  <si>
    <t>담당자</t>
  </si>
  <si>
    <t>품명</t>
  </si>
  <si>
    <t>수량</t>
  </si>
  <si>
    <t>REV</t>
  </si>
  <si>
    <t>일자</t>
  </si>
  <si>
    <t>예약번호</t>
  </si>
  <si>
    <t>출고일</t>
  </si>
  <si>
    <t>잔여수량</t>
  </si>
  <si>
    <t>출고재고</t>
  </si>
  <si>
    <t>기초</t>
  </si>
  <si>
    <t>RA-05A-6004]Bd ASSY'-Aux MCU</t>
  </si>
  <si>
    <t>A2-2</t>
  </si>
  <si>
    <t>RF-01B-5035]CONNECTOR Bd</t>
  </si>
  <si>
    <t>3L3-5</t>
  </si>
  <si>
    <t>RF-01B-5034] POWER BUTTON BOARD</t>
  </si>
  <si>
    <t>94760</t>
  </si>
  <si>
    <t>RF-01B-5073]DMD FPC Cable</t>
  </si>
  <si>
    <t>RF-10A-2086]ASM JETSON NANO</t>
  </si>
  <si>
    <t>RF-01M-0395]BLOCK BASE BOTTOM</t>
  </si>
  <si>
    <t>RF-01B-5037] LED SIDE BOARD_REV2</t>
  </si>
  <si>
    <t>RF-01B-5038] BOTTOM LED BOARD</t>
  </si>
  <si>
    <t>기초추가</t>
  </si>
  <si>
    <t>RA-08S-6076]VIEWORKS, FXRD-1717VA DET</t>
  </si>
  <si>
    <t>A11-1</t>
  </si>
  <si>
    <t>RA-04S-0977]SPRING CEPH AND ARM</t>
  </si>
  <si>
    <t>B2-2</t>
  </si>
  <si>
    <t>G3-4</t>
  </si>
  <si>
    <t>RA-08T-0178]CAS CEPH SNSR BOT</t>
  </si>
  <si>
    <t>불량 대체품</t>
  </si>
  <si>
    <t>A&amp;T</t>
  </si>
  <si>
    <t>조영우</t>
  </si>
  <si>
    <t>하이크로봇</t>
  </si>
  <si>
    <t>장동은</t>
  </si>
  <si>
    <t>SON TUNG</t>
  </si>
  <si>
    <t>RA-06A-5004]Bd ASSY'-Indicator Bd</t>
  </si>
  <si>
    <t>A1-5</t>
  </si>
  <si>
    <t>B1-6</t>
  </si>
  <si>
    <t>C3-1</t>
  </si>
  <si>
    <t>G1-1</t>
  </si>
  <si>
    <t>G1-3</t>
  </si>
  <si>
    <t>G2-2</t>
  </si>
  <si>
    <t>G3-1</t>
  </si>
  <si>
    <t>G3-2</t>
  </si>
  <si>
    <t>RA-11-34</t>
  </si>
  <si>
    <t>G3-6</t>
  </si>
  <si>
    <t>H2-2</t>
  </si>
  <si>
    <t>J4-2</t>
  </si>
  <si>
    <t>J1-3</t>
  </si>
  <si>
    <t>L1-1</t>
  </si>
  <si>
    <t>L1-2</t>
  </si>
  <si>
    <t>M1</t>
  </si>
  <si>
    <t>T</t>
  </si>
  <si>
    <t>RA-02T-2182]CAS VERT UPPER (A+)</t>
  </si>
  <si>
    <t>RA-01T-1791]CAS MAIN Bas REAR</t>
  </si>
  <si>
    <t>RA-01T-1790]CAS MAIN Bas FRONT</t>
  </si>
  <si>
    <t>RA-03T-0072]CAS CLMN BODY REAR</t>
  </si>
  <si>
    <t>RA-03A-0315]ASM CAS CLMN LWR (L)</t>
  </si>
  <si>
    <t>RA-03A-0314]ASM CAS CLMN LWR (R)</t>
  </si>
  <si>
    <t>B1-4</t>
  </si>
  <si>
    <t>K5-3</t>
  </si>
  <si>
    <t>L2-1</t>
  </si>
  <si>
    <t>L2-2</t>
  </si>
  <si>
    <t>RA-03T-0076]CAS MIRROR DECO</t>
  </si>
  <si>
    <t>W</t>
  </si>
  <si>
    <t>RA-04A-6035</t>
  </si>
  <si>
    <t>RA-04A-6035_4]Bd ASSY'-THU Bd</t>
  </si>
  <si>
    <t>A1-1</t>
  </si>
  <si>
    <t>RA-03S-6045]SMPS-RPS-200-24V</t>
  </si>
  <si>
    <t>A12-4</t>
  </si>
  <si>
    <t>RA-03S-5176]NOISE FILTER RSHN2016</t>
  </si>
  <si>
    <t>RA-03A-6046</t>
  </si>
  <si>
    <t>RA-03A-6046]SMPS CONN B/D</t>
  </si>
  <si>
    <t>A1-3</t>
  </si>
  <si>
    <t>RA-03S-5013]Mgnet CONTECTOR-LP1K0910BD</t>
  </si>
  <si>
    <t>A13-4</t>
  </si>
  <si>
    <t>RA-03A-6016A]BD ASSY'-AC FUSE BLK</t>
  </si>
  <si>
    <t>A3-1</t>
  </si>
  <si>
    <t>A7-3</t>
  </si>
  <si>
    <t>B1-1</t>
  </si>
  <si>
    <t>B1-2</t>
  </si>
  <si>
    <t>B1-3</t>
  </si>
  <si>
    <t>B1-5</t>
  </si>
  <si>
    <t>B2-1</t>
  </si>
  <si>
    <t>B2-3</t>
  </si>
  <si>
    <t>B3-1</t>
  </si>
  <si>
    <t>B3-3</t>
  </si>
  <si>
    <t>RA-1-1</t>
  </si>
  <si>
    <t>RA-1-2</t>
  </si>
  <si>
    <t>H1</t>
  </si>
  <si>
    <t>M2</t>
  </si>
  <si>
    <t>RA-03A-0050</t>
  </si>
  <si>
    <t>O2</t>
  </si>
  <si>
    <t>O1</t>
  </si>
  <si>
    <t>RE-03T-0320</t>
  </si>
  <si>
    <t>K3-5</t>
  </si>
  <si>
    <t>K7-3</t>
  </si>
  <si>
    <t>RE-04H-5047]LASER V_C [LBM01-180]</t>
  </si>
  <si>
    <t>F3-2</t>
  </si>
  <si>
    <t>K8</t>
  </si>
  <si>
    <t>RE-05H-5025</t>
  </si>
  <si>
    <t>RE-05H-5025_1]eSUB MOT DET</t>
  </si>
  <si>
    <t>F2-2</t>
  </si>
  <si>
    <t>RE-05H-5024</t>
  </si>
  <si>
    <t>RE-05H-5024_1]eSUB MOT COL</t>
  </si>
  <si>
    <t>RE-05H-5030</t>
  </si>
  <si>
    <t>RE-05H-5030_1]TILT SIGNAL</t>
  </si>
  <si>
    <t>RE-05H-5049</t>
  </si>
  <si>
    <t>RE-05H-5049_1]LASER_H Extend</t>
  </si>
  <si>
    <t>F2-4</t>
  </si>
  <si>
    <t>RE-05H-5065</t>
  </si>
  <si>
    <t>RE-05H-5065_1]Earth ROT to TNK</t>
  </si>
  <si>
    <t>F2-5</t>
  </si>
  <si>
    <t>RE-07M-0711</t>
  </si>
  <si>
    <t>K1-6</t>
  </si>
  <si>
    <t>K6-3</t>
  </si>
  <si>
    <t>RA-02A-2740]ASM VERT TOTAL (A+) (VN)</t>
  </si>
  <si>
    <t>P</t>
  </si>
  <si>
    <t>Q</t>
  </si>
  <si>
    <t>G1-2</t>
  </si>
  <si>
    <t>I2-3</t>
  </si>
  <si>
    <t>I3-2</t>
  </si>
  <si>
    <t>J3-3</t>
  </si>
  <si>
    <t>RA-09A-1940]ASM REMOTE(α)</t>
  </si>
  <si>
    <t>A13-1</t>
  </si>
  <si>
    <t>RA-05A-6112</t>
  </si>
  <si>
    <t>A1-2</t>
  </si>
  <si>
    <t>J4-1</t>
  </si>
  <si>
    <t>O4,T</t>
  </si>
  <si>
    <t>RA-07A-6048]Bd ASSY'-ADET POWER-3D NEW</t>
  </si>
  <si>
    <t>H2-1</t>
  </si>
  <si>
    <t>H3-3</t>
  </si>
  <si>
    <t>H3-4</t>
  </si>
  <si>
    <t>H4-1</t>
  </si>
  <si>
    <t>I3-1</t>
  </si>
  <si>
    <t>I3-3</t>
  </si>
  <si>
    <t>N1-2</t>
  </si>
  <si>
    <t>RE-06H-5048]LASER H [LBM01-300]</t>
  </si>
  <si>
    <t>K1-4</t>
  </si>
  <si>
    <t>K2-4</t>
  </si>
  <si>
    <t>K6-1</t>
  </si>
  <si>
    <t>K7-2</t>
  </si>
  <si>
    <t>RE-07A-1070]ASM DETECTOR MODULE</t>
  </si>
  <si>
    <t>RE-06A-0601]ASM COLLIMATOR MODULE</t>
  </si>
  <si>
    <t>K6-4</t>
  </si>
  <si>
    <t>K2-6</t>
  </si>
  <si>
    <t>K3-3</t>
  </si>
  <si>
    <t>K3-4</t>
  </si>
  <si>
    <t>U</t>
  </si>
  <si>
    <t>A7-1</t>
  </si>
  <si>
    <t>RA-05M-3801</t>
  </si>
  <si>
    <t>A7-1, A7-4</t>
  </si>
  <si>
    <t>N2-3</t>
  </si>
  <si>
    <t>N3-3</t>
  </si>
  <si>
    <t>N6</t>
  </si>
  <si>
    <t>G3-7</t>
  </si>
  <si>
    <t>G1-6</t>
  </si>
  <si>
    <t>N2-4</t>
  </si>
  <si>
    <t>N2-2</t>
  </si>
  <si>
    <t>G2-7</t>
  </si>
  <si>
    <t>N3-1</t>
  </si>
  <si>
    <t>N1-3</t>
  </si>
  <si>
    <t>N4</t>
  </si>
  <si>
    <t>RA-04V-3887</t>
  </si>
  <si>
    <t>A7-2</t>
  </si>
  <si>
    <t>RA-06S-6070]16GB eMMC Mdl</t>
  </si>
  <si>
    <t>D3-3</t>
  </si>
  <si>
    <t>H2-3</t>
  </si>
  <si>
    <t>H3-7</t>
  </si>
  <si>
    <t>D3-2</t>
  </si>
  <si>
    <t>L2-4</t>
  </si>
  <si>
    <t>RA-04V-3886</t>
  </si>
  <si>
    <t>G2-6</t>
  </si>
  <si>
    <t>N1-1</t>
  </si>
  <si>
    <t>I2-2</t>
  </si>
  <si>
    <t>J3-2</t>
  </si>
  <si>
    <t>N3-2</t>
  </si>
  <si>
    <t>RA-07T-3958</t>
  </si>
  <si>
    <t>4F제일안쪽창고</t>
  </si>
  <si>
    <t>RA-15-2-R</t>
  </si>
  <si>
    <t>N2-1</t>
  </si>
  <si>
    <t>RA-02A-6002]Bd ASSY'-Main MCU</t>
  </si>
  <si>
    <t>A2-3</t>
  </si>
  <si>
    <t>RA-06V-3749</t>
  </si>
  <si>
    <t>BRK USB CABLE HLDR (ST)</t>
  </si>
  <si>
    <t>F3-4</t>
  </si>
  <si>
    <t>G1-5</t>
  </si>
  <si>
    <t>G2-4</t>
  </si>
  <si>
    <t>RA-02A-6003]Bd ASSY'-Step Driver</t>
  </si>
  <si>
    <t>C2-1</t>
  </si>
  <si>
    <t>G2-5</t>
  </si>
  <si>
    <t>C2-2</t>
  </si>
  <si>
    <t>H4-2</t>
  </si>
  <si>
    <t>RA-04S-5179]SMPS-RPS-75-24</t>
  </si>
  <si>
    <t>A12-2</t>
  </si>
  <si>
    <t>G3-5</t>
  </si>
  <si>
    <t>C3-5</t>
  </si>
  <si>
    <t>RA-07S-1668]MICROMTR HEAD (VA)</t>
  </si>
  <si>
    <t>J3-1</t>
  </si>
  <si>
    <t>BRK CAM Bd (ST)</t>
  </si>
  <si>
    <t>D2-1</t>
  </si>
  <si>
    <t>C3-4</t>
  </si>
  <si>
    <t>C3-3</t>
  </si>
  <si>
    <t>O3</t>
  </si>
  <si>
    <t>RA-11-13</t>
  </si>
  <si>
    <t>H4-6</t>
  </si>
  <si>
    <t>RA-06A-6006]Bd ASSY'-Fcol MCU</t>
  </si>
  <si>
    <t>A2-1</t>
  </si>
  <si>
    <t>G1-4</t>
  </si>
  <si>
    <t>RA-07V-3953</t>
  </si>
  <si>
    <t>RA-07V-3953]PLT DET SNSR (MG)</t>
  </si>
  <si>
    <t>RA-11-12</t>
  </si>
  <si>
    <t>C3-2</t>
  </si>
  <si>
    <t>C2-3</t>
  </si>
  <si>
    <t>B1-7</t>
  </si>
  <si>
    <t>D2-2</t>
  </si>
  <si>
    <t>L1-3</t>
  </si>
  <si>
    <t>I2-1</t>
  </si>
  <si>
    <t>RA-06S-5018]MICRO SWITCH</t>
  </si>
  <si>
    <t>A12-3</t>
  </si>
  <si>
    <t>D3-1</t>
  </si>
  <si>
    <t>RA-04A-5007]Bd ASSY'-CONNECTOR Bd</t>
  </si>
  <si>
    <t>A1-4</t>
  </si>
  <si>
    <t>H4-3</t>
  </si>
  <si>
    <t>B4-3</t>
  </si>
  <si>
    <t>C1-2</t>
  </si>
  <si>
    <t>RA-6-2</t>
  </si>
  <si>
    <t>RA-06A-5005]Bd ASSY'-DC MOT Bd</t>
  </si>
  <si>
    <t>A3-2, A3-3</t>
  </si>
  <si>
    <t>RA-02S-5021</t>
  </si>
  <si>
    <t>RA-02S-5021]PHOtSNSR-EE-SX672A</t>
  </si>
  <si>
    <t>J2-2</t>
  </si>
  <si>
    <t>RA-09A-2754]ASM CT HEADREST (A+) (VN)</t>
  </si>
  <si>
    <t>RS-02S-5135]PHOtSNSR-EE-SX671A</t>
  </si>
  <si>
    <t>J2-1</t>
  </si>
  <si>
    <t>J2-3</t>
  </si>
  <si>
    <t>J2-4</t>
  </si>
  <si>
    <t>N5</t>
  </si>
  <si>
    <t>O4</t>
  </si>
  <si>
    <t>RA-06A-2761]ASM COL MOVING (A+) (VN)</t>
  </si>
  <si>
    <t>대영하네스</t>
  </si>
  <si>
    <t>유영국</t>
  </si>
  <si>
    <t>진광</t>
  </si>
  <si>
    <t>Bach tung</t>
  </si>
  <si>
    <t>월드덴탈</t>
  </si>
  <si>
    <t>곽동준</t>
  </si>
  <si>
    <t>반납</t>
  </si>
  <si>
    <t>다유</t>
  </si>
  <si>
    <t>BACHTUNG</t>
  </si>
  <si>
    <t>우진써보씨스템</t>
  </si>
  <si>
    <t>RA-03S-5180A</t>
  </si>
  <si>
    <t>RA-03S-5181A</t>
  </si>
  <si>
    <t>Bach Tung</t>
  </si>
  <si>
    <t>디엔꽝</t>
  </si>
  <si>
    <t>플랜피뎀</t>
  </si>
  <si>
    <t>에이투케이</t>
  </si>
  <si>
    <t>클레어옵틱</t>
  </si>
  <si>
    <t>Son Tung</t>
  </si>
  <si>
    <t>MTS</t>
  </si>
  <si>
    <t>제이에스티</t>
  </si>
  <si>
    <t>하이버스</t>
  </si>
  <si>
    <t>우주정공</t>
  </si>
  <si>
    <t>큐브케어</t>
  </si>
  <si>
    <t>한울테크</t>
  </si>
  <si>
    <t>DONGSHANG</t>
  </si>
  <si>
    <t>DIEN QUANG</t>
  </si>
  <si>
    <t xml:space="preserve">  </t>
  </si>
  <si>
    <t>정호기공</t>
  </si>
  <si>
    <t>BACH TUNG</t>
  </si>
  <si>
    <t>아이온세미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</si>
</sst>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131E2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131E29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1" fontId="5" fillId="0" borderId="1" xfId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1" xfId="0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8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14" fillId="0" borderId="0" xfId="0" applyFo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49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/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4" fillId="6" borderId="1" xfId="0" applyFont="1" applyFill="1" applyBorder="1">
      <alignment vertical="center"/>
    </xf>
    <xf numFmtId="0" fontId="14" fillId="5" borderId="1" xfId="0" applyFont="1" applyFill="1" applyBorder="1" applyAlignment="1"/>
    <xf numFmtId="0" fontId="14" fillId="0" borderId="2" xfId="0" applyFont="1" applyBorder="1">
      <alignment vertical="center"/>
    </xf>
    <xf numFmtId="49" fontId="14" fillId="0" borderId="2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49" fontId="13" fillId="4" borderId="2" xfId="0" applyNumberFormat="1" applyFont="1" applyFill="1" applyBorder="1" applyAlignment="1">
      <alignment horizontal="center" vertical="center"/>
    </xf>
    <xf numFmtId="49" fontId="13" fillId="4" borderId="4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주 현일" refreshedDate="46316.392232523147" createdVersion="8" refreshedVersion="8" minRefreshableVersion="3" recordCount="2770" xr:uid="{D5FCD57F-475D-491F-9331-8EF2B2440C2D}">
  <cacheSource type="worksheet">
    <worksheetSource ref="C6:R1048576" sheet="입출고현황"/>
  </cacheSource>
  <cacheFields count="16">
    <cacheField name="구분" numFmtId="0">
      <sharedItems containsBlank="1" count="4">
        <s v="출고재고"/>
        <s v="가용재고"/>
        <s v=""/>
        <m/>
      </sharedItems>
    </cacheField>
    <cacheField name="사급" numFmtId="0">
      <sharedItems containsBlank="1"/>
    </cacheField>
    <cacheField name="NEW" numFmtId="0">
      <sharedItems containsBlank="1"/>
    </cacheField>
    <cacheField name="업체" numFmtId="0">
      <sharedItems containsBlank="1"/>
    </cacheField>
    <cacheField name="담당자" numFmtId="0">
      <sharedItems containsBlank="1"/>
    </cacheField>
    <cacheField name="품번" numFmtId="0">
      <sharedItems containsBlank="1" count="800">
        <s v="RA-3-3B"/>
        <s v="RA-06M-0432"/>
        <s v="RA-06V-0241"/>
        <s v="RA-06V-0242"/>
        <s v="RA-06V-0866"/>
        <s v="RA-06V-3253"/>
        <s v="RA-06A-5005"/>
        <s v="RA-06S-5091"/>
        <s v="RA-06M-0243"/>
        <s v="RA-06M-0244"/>
        <s v="RA-06S-5018"/>
        <s v="RA-5-2"/>
        <s v="RA-03A-0315"/>
        <s v="RA-03A-0314"/>
        <s v="RA-09A-2754"/>
        <s v="RA-5-6"/>
        <s v="RA-08M-0623"/>
        <s v="RE-03A-1030"/>
        <s v="RE-05A-0512"/>
        <s v="RE-01T-0104"/>
        <s v="RE-09T-0902"/>
        <s v="RA-09S-0389"/>
        <s v="RE-02T-0247"/>
        <s v="RE-04T-0453"/>
        <s v="RA-02A-2740"/>
        <s v="RA-08M-2677"/>
        <s v="RA-08M-2679"/>
        <s v="RA-08M-2705"/>
        <s v="RA-08M-2707"/>
        <s v="RA-08M-1887"/>
        <s v="RA-08M-2673"/>
        <s v="RA-03V-0062"/>
        <s v="RA-05M-3359"/>
        <s v="RA-06A-2760"/>
        <s v="RA-06A-6085"/>
        <s v="RA-08T-0177"/>
        <s v="RF-01V-0208"/>
        <s v="RE-05B-5101"/>
        <s v="RA-5-4"/>
        <s v="RA-06A-2139"/>
        <s v="RF-01M-0398"/>
        <s v="RA-05M-3801"/>
        <s v="RF-01V-0209"/>
        <s v="RF-01T-0255"/>
        <s v="RE-04A-1040"/>
        <s v="RF-01S-5085"/>
        <s v="RF-01S-5083"/>
        <s v="RA-08A-0611"/>
        <s v="RA-06A-6084"/>
        <s v="RF-20A-0378"/>
        <s v="RF-01M-0396"/>
        <s v="RA-02V-3848"/>
        <s v="RA-03V-3861"/>
        <s v="RA-06S-6059"/>
        <s v="RE-04T-0439"/>
        <s v="RA-08M-2706"/>
        <s v="RA-08M-2708"/>
        <s v="RA-09A-2725"/>
        <s v="RF-01S-5087"/>
        <s v="RF-01B-5040"/>
        <s v="RA-15-11"/>
        <s v="RA-08V-2680"/>
        <s v="RA-08M-2670"/>
        <s v="RA-06A-2761"/>
        <s v="RA-08A-0744"/>
        <s v="RA-08A-0745"/>
        <s v="RF-20A-0357"/>
        <s v="RF-01B-5073"/>
        <s v="RE-02T-0243"/>
        <s v="RF-01H-5054"/>
        <s v="RE-06A-0601"/>
        <s v="RF-01S-5097"/>
        <s v="RA-06M-0520"/>
        <s v="RF-01H-5052"/>
        <s v="RF-01T-0356"/>
        <s v="RF-20A-0280"/>
        <s v="RF-10A-2086"/>
        <s v="RA-06M-3317"/>
        <s v="RF-01T-0355"/>
        <s v="RD-00S-5201"/>
        <s v="RE-06A-0630"/>
        <s v="RE-06H-5048"/>
        <s v="C16-6808ZZ"/>
        <s v="RF-01H-5065"/>
        <s v="RA-03V-2066"/>
        <s v="RF-01S-5086"/>
        <s v="RF-01S-5096"/>
        <s v="RF-01T-0210"/>
        <s v="RA-07M-2786"/>
        <s v="RF-01T-0352"/>
        <s v="RA-06V-3934"/>
        <s v="RF-01V-0293"/>
        <s v="RF-01M-0268"/>
        <s v="RF-01S-5030"/>
        <s v="RF-01S-5049"/>
        <s v="RE-02T-0242"/>
        <s v="RA-7-13"/>
        <s v="RA-04A-2296"/>
        <s v="RA-02S-2003"/>
        <s v="RF-01T-0353"/>
        <s v="RA-08V-2671"/>
        <s v="RF-01H-5069"/>
        <s v="RF-01H-5068"/>
        <s v="RA-07V-2789"/>
        <s v="RA-04S-5017"/>
        <s v="RA-08V-2663"/>
        <s v="RA-08V-2681"/>
        <s v="RE-02A-1020"/>
        <s v="RA-08V-2665"/>
        <s v="RA-08V-2672"/>
        <s v="RA-08V-2678"/>
        <s v="RA-08V-2691"/>
        <s v="RF-20A-0382"/>
        <s v="RF-01M-0395"/>
        <s v="RF-01T-0172"/>
        <s v="RA-03T-0076"/>
        <s v="RA-08V-1872"/>
        <s v="RF-01H-5070"/>
        <s v="RA-02A-6082"/>
        <s v="RF-01V-0197"/>
        <s v="RF-01T-0241"/>
        <s v="RE-05A-1050"/>
        <s v="RA-08V-2688"/>
        <s v="RF-01M-0397"/>
        <s v="RF-01S-5095"/>
        <s v="RF-01T-0196"/>
        <s v="RF-01M-0256"/>
        <s v="RF-01M-0200"/>
        <s v="RA-03V-1639"/>
        <s v="RA-08V-0737"/>
        <s v="RA-08V-2662"/>
        <s v="RA-08V-2667"/>
        <s v="RA-08V-2683"/>
        <s v="RF-01S-5094"/>
        <s v="RA-08V-0974"/>
        <s v="RF-01H-5067"/>
        <s v="RA-01V-3822"/>
        <s v="RA-01V-3823"/>
        <s v="RA-05V-3922"/>
        <s v="RF-20A-0369"/>
        <s v="RA-09M-1133"/>
        <s v="RA-03A-2713"/>
        <s v="RA-5-1"/>
        <s v="RA-08V-2676"/>
        <s v="RF-01H-5055"/>
        <s v="RA-03T-3873"/>
        <s v="RA-03V-3859"/>
        <s v="RA-06M-3941"/>
        <s v="RA-06M-3942"/>
        <s v="RF-01V-0254"/>
        <s v="RA-08T-2661"/>
        <s v="RA-08V-2664"/>
        <s v="RA-04V-3815"/>
        <s v="RF-01G-0252"/>
        <s v="RF-01B-5035"/>
        <s v="RF-20A-0381"/>
        <s v="RF-01B-5039"/>
        <s v="RA-11-9"/>
        <s v="RA-08V-2666"/>
        <s v="RA-02V-3854"/>
        <s v="RA-03V-3857"/>
        <s v="RA-15-13R"/>
        <s v="RF-01B-5036"/>
        <s v="RF-01B-5034"/>
        <s v="RF-01T-0354"/>
        <s v="RA-11-19"/>
        <s v="RA-02V-3844"/>
        <s v="RA-04V-2294"/>
        <s v="RA-02M-2004"/>
        <s v="RA-09S-3983"/>
        <s v="RA-09S-3984"/>
        <s v="RF-20A-0383"/>
        <s v="RA-04A-6035"/>
        <s v="RA-08V-0604"/>
        <s v="RA-03T-3872"/>
        <s v="RF-01T-0164"/>
        <s v="RP-00S-5041"/>
        <s v="RA-04A-2748"/>
        <s v="RA-04V-3882"/>
        <s v="RA-03S-6081"/>
        <s v="RF-01T-0190"/>
        <s v="RA-03A-0050"/>
        <s v="RA-02A-6083"/>
        <s v="RA-02V-3841"/>
        <s v="RA-02V-3847"/>
        <s v="RA-03V-3863"/>
        <s v="RA-04V-3887"/>
        <s v="RA-06S-6058"/>
        <s v="RF-01H-5071"/>
        <s v="RA-02T-3850"/>
        <s v="RA-06S-6070"/>
        <s v="RA-03T-3870"/>
        <s v="RA-06V-3932"/>
        <s v="RA-04V-0117"/>
        <s v="RA-06T-3940"/>
        <s v="RA-11-23"/>
        <s v="RA-05T-3926"/>
        <s v="RA-07V-2781"/>
        <s v="RA-03S-6045"/>
        <s v="RF-01M-0269"/>
        <s v="RA-07A-6048"/>
        <s v="RA-07T-3957"/>
        <s v="RF-01H-5075"/>
        <s v="RF-01H-5053"/>
        <s v="RF-01S-5084"/>
        <s v="RA-03V-3868"/>
        <s v="RA-06V-3389"/>
        <s v="RF-01S-5093"/>
        <s v="RA-06V-3462"/>
        <s v="RA-07T-3956"/>
        <s v="RA-02T-3851"/>
        <s v="RA-03V-1909"/>
        <s v="RF-01S-5046"/>
        <s v="RA-11-2"/>
        <s v="RA-04S-5174"/>
        <s v="RA-04T-3896"/>
        <s v="RA-09T-3988"/>
        <s v="RA-09V-2419"/>
        <s v="RF-01B-5037"/>
        <s v="RA-02T-3842"/>
        <s v="RF-09P-0271"/>
        <s v="RA-04V-1709"/>
        <s v="RF-01T-0173"/>
        <s v="C16-MF128ZZS"/>
        <s v="RA-03S-3858"/>
        <s v="RA-04T-3885"/>
        <s v="RA-05T-3927"/>
        <s v="RA-05T-3928"/>
        <s v="RA-07A-2757"/>
        <s v="RA-09T-3987"/>
        <s v="RA-8-17"/>
        <s v="RA-11-20"/>
        <s v="RA-03S-5176"/>
        <s v="RF-20A-0279"/>
        <s v="RA-05A-6112"/>
        <s v="RA-7-5"/>
        <s v="RA-08T-0176"/>
        <s v="RA-03T-3865"/>
        <s v="RA-07M-3424"/>
        <s v="RA-03S-5013"/>
        <s v="RA-02T-3852"/>
        <s v="RA-03V-3860"/>
        <s v="RA-04T-3814"/>
        <s v="RA-04T-3816"/>
        <s v="RA-06V-3946"/>
        <s v="RA-04A-1926"/>
        <s v="RA-07S-5019"/>
        <s v="RA-02T-3846"/>
        <s v="RA-04T-3812"/>
        <s v="RA-04T-3893"/>
        <s v="RA-06A-3314"/>
        <s v="RA-11-12"/>
        <s v="RA-04V-1109"/>
        <s v="RA-04V-1108"/>
        <s v="RA-07S-1653"/>
        <s v="RA-04T-3894"/>
        <s v="RA-07T-3959"/>
        <s v="RA-09T-3986"/>
        <s v="RA-06T-3948"/>
        <s v="RA-03T-3871"/>
        <s v="RA-04M-3897"/>
        <s v="RA-04T-3888"/>
        <s v="RA-3-5"/>
        <s v="RA-07T-3960"/>
        <s v="RA-06A-5004"/>
        <s v="RA-06V-0230"/>
        <s v="RA-02T-3843"/>
        <s v="RA-04V-3886"/>
        <s v="RA-15-4"/>
        <s v="RA-06M-3312"/>
        <s v="RA-09A-1940"/>
        <s v="RA-03T-3869"/>
        <s v="RA-06T-3938"/>
        <s v="RA-04M-1339"/>
        <s v="RF-01H-5056"/>
        <s v="RA-05V-3802"/>
        <s v="RA-05V-2651"/>
        <s v="RA-15-3"/>
        <s v="RA-9-8"/>
        <s v="RA-08M-1225"/>
        <s v="RA-04T-3883"/>
        <s v="RA-07V-1661"/>
        <s v="RP-01H-5009"/>
        <s v="RA-06M-3187"/>
        <s v="RA-03S-0070"/>
        <s v="RA-03T-1993"/>
        <s v="RA-03V-3862"/>
        <s v="RA-06V-3390"/>
        <s v="RA-02A-2741"/>
        <s v="RA-06V-1311"/>
        <s v="RA-15-1"/>
        <s v="RA-05V-3925"/>
        <s v="RF-01B-5038"/>
        <s v="RA-07M-2497"/>
        <s v="RA-03S-5180A"/>
        <s v="RA-03S-6025"/>
        <s v="RA-02T-0045"/>
        <s v="RA-04T-3892"/>
        <s v="RA-06M-3947"/>
        <s v="RA-05T-0210"/>
        <s v="RA-02V-3853"/>
        <s v="RA-07T-3958"/>
        <s v="RA-15-2-R"/>
        <s v="RA-02A-6002"/>
        <s v="RA-08T-0178"/>
        <s v="RA-06A-1063"/>
        <s v="RA-07M-3961"/>
        <s v="RA-04T-3891"/>
        <s v="RF-01S-5072"/>
        <s v="RA-08V-0173"/>
        <s v="RA-07V-1679"/>
        <s v="RE-06V-0608"/>
        <s v="RA-15-10"/>
        <s v="RA-06A-2143"/>
        <s v="RA-10-7"/>
        <s v="RA-12-1"/>
        <s v="RA-03S-5181A"/>
        <s v="RA-08V-0361"/>
        <s v="RA-10-6"/>
        <s v="RA-06V-1687"/>
        <s v="RA-11-11"/>
        <s v="RA-04S-0121"/>
        <s v="RA-15-14"/>
        <s v="RA-04A-0899"/>
        <s v="RA-08V-0170"/>
        <s v="RA-06V-1509"/>
        <s v="RA-15-15"/>
        <s v="RF-01S-5050"/>
        <s v="RA-06V-2142"/>
        <s v="RA-08V-1308"/>
        <s v="RA-3-8"/>
        <s v="RA-11-34"/>
        <s v="RE-06V-0615"/>
        <s v="RA-06M-3319"/>
        <s v="RA-1-9A"/>
        <s v="C16-635ZZ"/>
        <s v="RA-02M-2522"/>
        <s v="RA-02A-2622"/>
        <s v="RA-07S-1668"/>
        <s v="RA-07V-2791"/>
        <s v="RA-07V-2790"/>
        <s v="RA-07M-1655"/>
        <s v="RA-10-2"/>
        <s v="RA-08V-0181"/>
        <s v="RA-11-4"/>
        <s v="RA-06S-6056"/>
        <s v="RA-05V-1684"/>
        <s v="RA-07T-1766"/>
        <s v="RA-02A-6003"/>
        <s v="RA-07A-1777"/>
        <s v="RA-06V-1678"/>
        <s v="RA-03M-2193"/>
        <s v="RA-04V-0118"/>
        <s v="RA-02A-2020"/>
        <s v="RA-02A-2711"/>
        <s v="RA-04M-1338"/>
        <s v="RA-02M-2001"/>
        <s v="RA-03V-1908"/>
        <s v="RA-07M-1666"/>
        <s v="RA-06V-3749"/>
        <s v="RA-07V-2782"/>
        <s v="RA-03V-1991"/>
        <s v="RA-08M-0975"/>
        <s v="RA-02A-2031"/>
        <s v="RA-06A-2747"/>
        <s v="RA-02A-2712"/>
        <s v="RA-07A-2718"/>
        <s v="RA-02A-2303"/>
        <s v="RA-06M-2085"/>
        <s v="RA-04V-1708"/>
        <s v="RA-06V-3937"/>
        <s v="RA-06A-1510"/>
        <s v="RA-09M-2529"/>
        <s v="RA-06M-3316"/>
        <s v="RA-3-3A"/>
        <s v="RA-11-22"/>
        <s v="RA-06T-2144"/>
        <s v="RA-06V-0651"/>
        <s v="RA-02M-2007"/>
        <s v="RA-1-12"/>
        <s v="RA-11-21"/>
        <s v="RA-8-15"/>
        <s v="RA-2-9"/>
        <s v="RA-06M-3943"/>
        <s v="RA-06M-3945"/>
        <s v="RA-06M-3944"/>
        <s v="RA-06V-0793"/>
        <s v="RA-03M-2064"/>
        <s v="RA-8-4"/>
        <s v="RA-03S-6009A"/>
        <s v="RA-05V-3804"/>
        <s v="RA-03A-6012"/>
        <s v="RA-04M-3817"/>
        <s v="RA-06V-1384"/>
        <s v="RA-06A-2746"/>
        <s v="RA-5-8"/>
        <s v="RA-02V-2049"/>
        <s v="RA-15-8"/>
        <s v="RA-11-13"/>
        <s v="RA-6-2"/>
        <s v="RA-07V-2787"/>
        <s v="RS-02S-5135"/>
        <s v="RA-06S-5167"/>
        <s v="RA-2-4"/>
        <s v="RD-01G-0502"/>
        <s v="RA-07S-1654"/>
        <s v="RA-7-2"/>
        <s v="RA-06V-2138"/>
        <s v="RF-01T-0351"/>
        <s v="RA-06M-2084"/>
        <s v="RA-05V-0513"/>
        <s v="RA-07V-3962"/>
        <s v="RA-06M-3933"/>
        <s v="RA-04S-5179"/>
        <s v="RF-01T-0161"/>
        <s v="RA-08T-2185"/>
        <s v="RA-02V-3286"/>
        <s v="RA-06V-2140"/>
        <s v="RA-10-1"/>
        <s v="RF-01T-0171"/>
        <s v="RA-06V-0795"/>
        <s v="RA-5-5"/>
        <s v="RA-03M-3866"/>
        <s v="RF-01T-0160"/>
        <s v="RA-03T-1992"/>
        <s v="RA-03A-6016A"/>
        <s v="RF-01S-0251"/>
        <s v="RA-09M-1134"/>
        <s v="RA-05A-6004"/>
        <s v="RA-07V-2784"/>
        <s v="RE-04T-0452"/>
        <s v="RA-09M-2269"/>
        <s v="RA-06S-0214"/>
        <s v="RA-06M-1688"/>
        <s v="RA-06V-3748"/>
        <s v="RA-1-8B"/>
        <s v="RA-02A-2280"/>
        <s v="RF-01G-0168"/>
        <s v="RA-06V-2141"/>
        <s v="RA-07M-3434"/>
        <s v="RA-07V-2785"/>
        <s v="RA-02S-2278"/>
        <s v="RA-06A-2745"/>
        <s v="RA-02S-0042"/>
        <s v="RA-04M-2399"/>
        <s v="RA-05V-0199"/>
        <s v="RA-1-1"/>
        <s v="RA-02V-2283"/>
        <s v="RA-8-16"/>
        <s v="RA-06A-2744"/>
        <s v="RA-05V-3803"/>
        <s v="RA-05V-0297"/>
        <s v="RA-1-2"/>
        <s v="RA-02S-2026"/>
        <s v="RA-07M-2783"/>
        <s v="RA-5-10"/>
        <s v="RA-02V-2019"/>
        <s v="RA-07V-1669"/>
        <s v="RA-15-12"/>
        <s v="RA-06M-2299"/>
        <s v="RA-06A-6006"/>
        <s v="RA-06V-0794"/>
        <s v="RA-04S-0977"/>
        <s v="RA-04V-2295"/>
        <s v="RA-09A-2753"/>
        <s v="RA-03A-6046"/>
        <s v="RA-1-5"/>
        <s v="RA-06M-0220"/>
        <s v="RA-06V-3303"/>
        <s v="RA-06M-2298"/>
        <s v="RA-01T-3832"/>
        <s v="RA-08T-3978"/>
        <s v="RA-03V-1341"/>
        <s v="RA-3-6"/>
        <s v="RA-8-9"/>
        <s v="RA-11-33"/>
        <s v="RA-02V-2016"/>
        <s v="RA-02V-2028"/>
        <s v="RA-02A-2008"/>
        <s v="RA-02V-2043"/>
        <s v="RA-09T-1184"/>
        <s v="RA-02V-2281"/>
        <s v="RA-06V-0249"/>
        <s v="RA-02M-2029"/>
        <s v="RA-02V-2056"/>
        <s v="RA-07V-3953"/>
        <s v="RA-02V-2286"/>
        <s v="RA-04T-2524"/>
        <s v="RA-02V-2018"/>
        <s v="RA-02V-2284"/>
        <s v="RA-02M-2015"/>
        <s v="RA-02V-2017"/>
        <s v="RA-04V-1934"/>
        <s v="RA-07V-3952"/>
        <s v="RA-02V-2042"/>
        <s v="RA-09V-2536"/>
        <s v="RA-02M-2307"/>
        <s v="RA-03V-2285"/>
        <s v="RA-07M-1658"/>
        <s v="RA-10-4"/>
        <s v="RA-3-4"/>
        <s v="RA-02V-2014"/>
        <s v="RA-04A-5007"/>
        <s v="RA-03M-0063"/>
        <s v="RA-03M-2068"/>
        <s v="RA-06V-1517"/>
        <s v="RA-07A-2716"/>
        <s v="RA-07A-2715"/>
        <s v="RA-02M-2048"/>
        <s v="RA-02M-2027"/>
        <s v="RA-04T-0143"/>
        <s v="RA-02S-5021"/>
        <s v="RA-6-3"/>
        <s v="RA-06T-0296"/>
        <s v="C16-626ZZ"/>
        <s v="RA-04V-0110"/>
        <s v="RA-02M-2047"/>
        <s v="RE-04T-0440"/>
        <s v="RE-09T-0904"/>
        <s v="RE-04T-0419"/>
        <s v="RE-04T-0416"/>
        <s v="RE-04V-0418"/>
        <s v="RE-04V-0417"/>
        <s v="RE-09T-0901"/>
        <s v="RE-09S-0921"/>
        <s v="RE-09T-0905"/>
        <s v="RE-09S-0922"/>
        <s v="RE-09T-0906"/>
        <s v="RE-03T-0320"/>
        <s v="RA-09T-1132"/>
        <s v="RE-09S-0907"/>
        <s v="RA-09T-1183"/>
        <s v="RE-04M-0438"/>
        <s v="RE-05H-5065"/>
        <s v="RE-02T-0246"/>
        <s v="RA-02M-0395"/>
        <s v="RE-04T-0436"/>
        <s v="RE-05H-5049"/>
        <s v="RE-05H-5030"/>
        <s v="RE-04T-0434"/>
        <s v="RE-02B-5105"/>
        <s v="RA-08M-0738"/>
        <s v="RA-08M-0619"/>
        <s v="RA-08M-0620"/>
        <s v="RA-08V-0621"/>
        <s v="RA-08T-0632"/>
        <s v="RA-08M-0976"/>
        <s v="RA-08M-0624"/>
        <s v="RA-08M-0625"/>
        <s v="RA-08M-0622"/>
        <s v="RA-05V-2559"/>
        <s v="RA-09V-3433"/>
        <s v="RA-03A-0287"/>
        <s v="RA-7-3"/>
        <s v="RA-04T-0144"/>
        <s v="RA-05T-0207"/>
        <s v="RA-05A-2721"/>
        <s v="RA-09M-3440"/>
        <s v="RA-09T-3991"/>
        <s v="RA-09A-2729"/>
        <s v="RA-09A-2730"/>
        <s v="RA-09A-0967"/>
        <s v="RA-09T-0733"/>
        <s v="RA-09A-0345"/>
        <s v="RA-01T-1791"/>
        <s v="RA-01T-1790"/>
        <s v="RA-03T-0072"/>
        <s v="RA-03V-0055"/>
        <s v="RA-03V-0054"/>
        <s v="RA-04T-1707"/>
        <s v="RA-02T-2182"/>
        <s v="RA-5-7"/>
        <s v="RA-09T-2534"/>
        <s v="RA-09T-0344"/>
        <s v="RA-09M-3441"/>
        <s v="RE-03T-0307"/>
        <s v="RE-03T-0308"/>
        <s v="RA-9-12"/>
        <s v="RA-08M-0708"/>
        <s v="RA-08M-0707"/>
        <s v="RA-08T-1466"/>
        <s v="RE-04T-0413"/>
        <s v="RF-01T-0199"/>
        <s v="RF-01S-5090"/>
        <s v="RA-08S-6076"/>
        <s v="RA-08A-0612"/>
        <s v="RA-1-11"/>
        <s v="RA-05M-2907"/>
        <s v="RA-05V-0501"/>
        <s v="RA-05V-2654"/>
        <s v="RE-04H-5047"/>
        <s v="RE-07A-1070"/>
        <s v="RE-06A-0625"/>
        <s v="RE-06M-0636"/>
        <s v="RE-07M-0717"/>
        <s v="RA-06M-1105"/>
        <s v="RE-03T-0309"/>
        <s v="RE-09S-0909"/>
        <s v="RE-03T-0306"/>
        <s v="RE-01T-0103"/>
        <s v="RE-01T-0102"/>
        <s v="RE-09S-0908"/>
        <s v="RE-05H-5024"/>
        <s v="RE-05H-5025"/>
        <s v="RE-07M-0711"/>
        <s v="RA-05V-2653"/>
        <s v="RA-05V-0186"/>
        <s v="RA-07V-2788"/>
        <s v="RA-02S-2005"/>
        <s v=""/>
        <m/>
        <s v="RA-09S-5150" u="1"/>
        <s v="RA-07S-6054" u="1"/>
        <s v="RA-08A-5167" u="1"/>
        <s v="RA-09T-0281" u="1"/>
        <s v="RP-03T-0039" u="1"/>
        <s v="RP-03M-0208" u="1"/>
        <s v="RP-03M-0038" u="1"/>
        <s v="RP-03M-0032" u="1"/>
        <s v="RP-03M-0206" u="1"/>
        <s v="RP-03M-0022" u="1"/>
        <s v="RP-03M-0023" u="1"/>
        <s v="RP-03M-0037" u="1"/>
        <s v="RF-01S-5042" u="1"/>
        <s v="RF-01S-5043" u="1"/>
        <s v="RF-01S-5044" u="1"/>
        <s v="RF-01H-5079" u="1"/>
        <s v="RF-01H-5066" u="1"/>
        <s v="RA-08M-1696" u="1"/>
        <s v="RH-01T-0087" u="1"/>
        <s v="RA-08M-1193" u="1"/>
        <s v="RA-07M-0518" u="1"/>
        <s v="RE-05M-0558" u="1"/>
        <s v="RP-02S-0020" u="1"/>
        <s v="RA-07D-6052" u="1"/>
        <s v="RA-06V-3478" u="1"/>
        <s v="RA-06V-3479" u="1"/>
        <s v="RA-06V-1074" u="1"/>
        <s v="RA-06V-3300" u="1"/>
        <s v="RA-09T-2730" u="1"/>
        <s v="RP-05S-5045" u="1"/>
        <s v="RP-06A-5024" u="1"/>
        <s v="RP-07T-0071" u="1"/>
        <s v="RP-07T-0074" u="1"/>
        <s v="RP-07T-0073" u="1"/>
        <s v="RP-07T-0072" u="1"/>
        <s v="RP-07A-5027" u="1"/>
        <s v="RA-08V-0436" u="1"/>
        <s v="RA-02V-1615" u="1"/>
        <s v="RE-05V-0556" u="1"/>
        <s v="RA-06V-3307" u="1"/>
        <s v="RP-09M-0184" u="1"/>
        <s v="RP-09M-0183" u="1"/>
        <s v="RP-09M-0182" u="1"/>
        <s v="RP-09M-0181" u="1"/>
        <s v="RA-08A-2726" u="1"/>
        <s v="RA-06A-1529" u="1"/>
        <s v="RA-05A-2722" u="1"/>
        <s v="RA-4-1" u="1"/>
        <s v="RA-02V-2282" u="1"/>
        <s v="RH-01S-5009" u="1"/>
        <s v="RH-01H-5035" u="1"/>
        <s v="RH-01H-5021" u="1"/>
        <s v="RA-04A-3581" u="1"/>
        <s v="RA-08A-2260" u="1"/>
        <s v="RA-08A-2752" u="1"/>
        <s v="RE-05M-0504" u="1"/>
        <s v="RE-08A-0832" u="1"/>
        <s v="RH-01A-0088" u="1"/>
        <s v="RH-01M-0032" u="1"/>
        <s v="RH-02M-0039" u="1"/>
        <s v="RE-05V-0557" u="1"/>
        <s v="RH-02V-0045" u="1"/>
        <s v="RA-08T-2592" u="1"/>
        <s v="RA-08A-2751" u="1"/>
        <s v="RA-03S-5181" u="1"/>
        <s v="RA-09S-1478" u="1"/>
        <s v="RE-09A-0916" u="1"/>
        <s v="RA-03S-6091" u="1"/>
        <s v="RE-05M-0555" u="1"/>
        <s v="RE-06H-5055" u="1"/>
        <s v="RE-06H-5056" u="1"/>
        <s v="RE-06H-5053" u="1"/>
        <s v="RE-06H-5054" u="1"/>
        <s v="RE-06H-5052" u="1"/>
        <s v="RE-06H-5051" u="1"/>
        <s v="RP-00S-5053" u="1"/>
        <s v="RP-00S-5055" u="1"/>
        <s v="RA-01A-0856" u="1"/>
        <s v="RF-01M-0182" u="1"/>
        <s v="RH-02V-0036" u="1"/>
        <s v="RH-02V-0050" u="1"/>
        <s v="RA-03A-6016" u="1"/>
        <s v="RA-09A-2030" u="1"/>
        <s v="RA-07T-1645" u="1"/>
        <s v="RA-03S-5180" u="1"/>
        <s v="RA-04M-3162" u="1"/>
        <s v="RA-04M-3161" u="1"/>
        <s v="RA-04T-3126" u="1"/>
        <s v="RA-04M-3121" u="1"/>
        <s v="RA-04S-3153" u="1"/>
        <s v="RA-04M-3122" u="1"/>
        <s v="RA-04M-3154" u="1"/>
        <s v="RA-04M-3136" u="1"/>
        <s v="RA-04V-3160" u="1"/>
        <s v="RA-04S-3129" u="1"/>
        <s v="RA-04S-3163" u="1"/>
        <s v="RA-04M-0759" u="1"/>
        <s v="RA-04T-3437" u="1"/>
        <s v="RA-07A-2871" u="1"/>
        <s v="RA-08V-0688" u="1"/>
        <s v="RA-09S-1495" u="1"/>
        <s v="RA-09S-1471" u="1"/>
        <s v="RA-08V-2613" u="1"/>
        <s v="RA-07M-3431" u="1"/>
        <s v="RA-08A-2750" u="1"/>
        <s v="RH-01M-0014" u="1"/>
        <s v="RA-03S-5012" u="1"/>
        <s v="RA-07S-6086" u="1"/>
        <s v="RA-9-10" u="1"/>
        <s v="RA-08A-5166" u="1"/>
        <s v="RA-9-11" u="1"/>
        <s v="RA-9-7" u="1"/>
        <s v="RA-08V-2701" u="1"/>
        <s v="RA-08V-0703" u="1"/>
        <s v="RA-08A-2749" u="1"/>
        <s v="RA-08A-2225" u="1"/>
        <s v="RA-09A-2870" u="1"/>
        <s v="RA-07A-2872" u="1"/>
        <s v="RA-07A-2874" u="1"/>
        <s v="RA-07A-2873" u="1"/>
        <s v="RE-06H-5050" u="1"/>
        <s v="RA-03A-2720" u="1"/>
        <s v="RA-08T-0635" u="1"/>
        <s v="RA-05A-2655" u="1"/>
        <s v="RA-07T-2495" u="1"/>
        <s v="RA-05A-2656" u="1"/>
        <s v="RA-08T-0634" u="1"/>
        <s v="RA-05A-0208" u="1"/>
        <s v="RA-06T-2143" u="1"/>
        <s v="RA-04A-0369" u="1"/>
        <s v="RA-06T-2188" u="1"/>
        <s v="RA-04T-0113" u="1"/>
        <s v="RA-07V-3613" u="1"/>
        <s v="RA-04T-1706" u="1"/>
        <s v="RA-08A-2593" u="1"/>
        <s v="RA-01T-1792" u="1"/>
        <s v="RA-04M-3137" u="1"/>
        <s v="RA-06M-3305" u="1"/>
        <s v="RA-03M-3289" u="1"/>
        <s v="RA-08V-1028" u="1"/>
        <s v="RA-08V-0730" u="1"/>
        <s v="C16-6806ZZ" u="1"/>
        <s v="RP-03S-0024" u="1"/>
        <s v="RP-04M-0092" u="1"/>
        <s v="RP-04M-0137" u="1"/>
        <s v="RP-04S-0093" u="1"/>
        <s v="RP-04S-0200" u="1"/>
        <s v="RP-09T-0068" u="1"/>
        <s v="RP-09V-0096" u="1"/>
        <s v="RP-09M-0194" u="1"/>
        <s v="RP-09S-0195" u="1"/>
        <s v="RP-09M-0185" u="1"/>
        <s v="RA-08M-0705" u="1"/>
        <s v="RA-08V-0595" u="1"/>
        <s v="RA-02T-2183" u="1"/>
        <s v="RD-27M-0101" u="1"/>
        <s v="RD-02M-0103" u="1"/>
        <s v="RD-14A-0101" u="1"/>
        <s v="RD-03M-0101" u="1"/>
        <s v="RD-14A-0102" u="1"/>
        <s v="RD-22M-0101" u="1"/>
        <s v="RA-08M-1266" u="1"/>
        <s v="RD-02M-0102" u="1"/>
        <s v="RD-02M-0101" u="1"/>
        <s v="RD-01M-0104" u="1"/>
        <s v="RD-01M-0105" u="1"/>
        <s v="RA-06M-2587" u="1"/>
        <s v="RA-06M-2588" u="1"/>
        <s v="RH-01M-0017" u="1"/>
        <s v="RH-01M-0092" u="1"/>
        <s v="RH-01M-0093" u="1"/>
        <s v="RE-03H-5001" u="1"/>
        <s v="RA-06T-1641" u="1"/>
        <s v="RA-15-9-L" u="1"/>
        <s v="RA-15-9-R" u="1"/>
        <s v="RA-02S-0014" u="1"/>
        <s v="RD-00S-5204" u="1"/>
        <s v="RE-05T-0519" u="1"/>
        <s v="RP-06S-0081" u="1"/>
        <s v="RP-02S-0138" u="1"/>
        <s v="RE-04T-0437" u="1"/>
        <s v="RE-05T-0520" u="1"/>
        <s v="RE-09M-0911" u="1"/>
        <s v="RH-01M-0013" u="1"/>
        <s v="RH-01M-0020" u="1"/>
        <s v="RH-01M-0395" u="1"/>
        <s v="RA-06M-3476" u="1"/>
        <s v="RA-06M-3477" u="1"/>
        <s v="RA-05M-0504" u="1"/>
      </sharedItems>
    </cacheField>
    <cacheField name="품명" numFmtId="0">
      <sharedItems containsBlank="1"/>
    </cacheField>
    <cacheField name="수량" numFmtId="0">
      <sharedItems containsString="0" containsBlank="1" containsNumber="1" containsInteger="1" minValue="0" maxValue="2700"/>
    </cacheField>
    <cacheField name="REV" numFmtId="0">
      <sharedItems containsBlank="1"/>
    </cacheField>
    <cacheField name="위치" numFmtId="0">
      <sharedItems containsBlank="1" containsMixedTypes="1" containsNumber="1" containsInteger="1" minValue="0" maxValue="120" count="235">
        <s v="G2-1"/>
        <s v="H4-1"/>
        <s v="H4-3"/>
        <s v="H3-3"/>
        <s v="I2-1"/>
        <s v="A3-2, A3-3"/>
        <s v="Q"/>
        <s v="I3-3"/>
        <s v="A12-3"/>
        <s v="G4"/>
        <s v="V"/>
        <s v="O3"/>
        <s v="E2-1"/>
        <s v="K8"/>
        <s v="4F  "/>
        <s v="W"/>
        <s v="3A-22"/>
        <s v="L1-1"/>
        <s v="3A-14"/>
        <s v="3L14-2"/>
        <s v="P"/>
        <s v="E2-2"/>
        <s v="E1-2"/>
        <s v="E4-2"/>
        <s v="3G"/>
        <s v="U"/>
        <s v="A7-1"/>
        <s v="S"/>
        <s v="3C10"/>
        <s v="K6-4"/>
        <s v="G3-2"/>
        <s v="N5"/>
        <s v="3E5"/>
        <s v="T"/>
        <s v="3L4-5"/>
        <s v="3L3-1"/>
        <s v="3F9"/>
        <s v="3L3-3"/>
        <s v="E1-6"/>
        <s v="A7-1, A7-4"/>
        <s v="94760"/>
        <s v="N2-3"/>
        <s v="N3-3"/>
        <s v="H2-1"/>
        <s v="N6"/>
        <s v="3F1"/>
        <s v="A5-4"/>
        <s v="G3-7"/>
        <s v="E1-5"/>
        <s v="E4-4"/>
        <s v=""/>
        <s v="3F3"/>
        <s v="A5-3"/>
        <s v="3S3-4"/>
        <s v="3F2"/>
        <s v="M1"/>
        <s v="3L4-2"/>
        <s v="A6-3"/>
        <s v="H2-3"/>
        <s v="3E9"/>
        <s v="3S3-2"/>
        <s v="K7-2"/>
        <s v="F3-2"/>
        <s v="3M1-4"/>
        <s v="3S3-5"/>
        <s v="B1-3"/>
        <s v="3F10"/>
        <s v="J2-2"/>
        <s v="N2-4"/>
        <s v="3S2-1"/>
        <s v="3B21"/>
        <s v="G1-2"/>
        <s v="D3-2"/>
        <s v="O4"/>
        <s v="B1-1"/>
        <s v="E2-5"/>
        <s v="E2-6"/>
        <s v="3C6"/>
        <s v="3B5"/>
        <s v="3S3-6"/>
        <s v="3I5"/>
        <s v="3L4-4"/>
        <s v="3L4-3"/>
        <s v="M2"/>
        <s v="F1"/>
        <s v="E1-3"/>
        <s v="4F CASE"/>
        <s v="N2-2"/>
        <s v="1층"/>
        <s v="3S3-1"/>
        <s v="A4-3"/>
        <s v="A3-4"/>
        <s v="N1-2"/>
        <s v="G2-7"/>
        <s v="A16"/>
        <s v="A4-2"/>
        <s v="G2-5"/>
        <s v="3C4"/>
        <s v="N3-1"/>
        <s v="3L1-3"/>
        <s v="A1-1"/>
        <s v="3L3-5"/>
        <s v="3B20"/>
        <s v="3F4"/>
        <s v="O2"/>
        <s v="N1-3"/>
        <s v="N4"/>
        <s v="A7-2"/>
        <s v="H1"/>
        <s v="G1-5"/>
        <s v="A12-4"/>
        <s v="A1-3"/>
        <s v="3L3-2"/>
        <s v="I3-2"/>
        <s v="H3-7"/>
        <s v="3C7"/>
        <s v="G2-4"/>
        <s v="B2-2"/>
        <s v="B3-1"/>
        <s v="3B8"/>
        <s v="C1-1"/>
        <s v="G2-3"/>
        <s v="A1-2"/>
        <s v="G2-2"/>
        <s v="J3-2"/>
        <s v="A13-4"/>
        <s v="O1"/>
        <s v="G3-5"/>
        <s v="B1-6"/>
        <s v="J3-1"/>
        <s v="G1-1"/>
        <s v="A1-5"/>
        <s v="G2-6"/>
        <s v="A13-1"/>
        <s v="B1-5"/>
        <s v="N1-1"/>
        <s v="J4-1"/>
        <s v="G1-3"/>
        <s v="E1-1"/>
        <s v="J2-3"/>
        <s v="I2-2"/>
        <s v="A6-4"/>
        <s v="L2-3"/>
        <s v="N3-2"/>
        <s v="4F제일안쪽창고"/>
        <s v="A2-3"/>
        <s v="E2-3"/>
        <s v="K1-4"/>
        <s v="N2-1"/>
        <s v="H3-4"/>
        <s v="B1-4"/>
        <s v="H4-4"/>
        <s v="E1-4"/>
        <s v="G3-6"/>
        <s v="K2-4"/>
        <s v="H4-2"/>
        <s v="C3-5"/>
        <s v="J2-4"/>
        <s v="J2-1"/>
        <s v="G1-4"/>
        <s v="B2-3"/>
        <s v="C2-1"/>
        <s v="C2-2"/>
        <s v="B1-2"/>
        <s v="F3-4"/>
        <s v="B3-3"/>
        <s v="I3-1"/>
        <s v="L2-2"/>
        <s v="I2-3"/>
        <s v="G3-3"/>
        <s v="L2-1"/>
        <s v="L1-2"/>
        <s v="A7-3"/>
        <s v="C3-4"/>
        <s v="G1-6"/>
        <s v="J4-2"/>
        <s v="A12-2"/>
        <s v="3B11"/>
        <s v="R"/>
        <s v="3B4"/>
        <s v="3B6"/>
        <s v="A3-1"/>
        <s v="A2-2"/>
        <s v="J1-3"/>
        <s v="G3-1"/>
        <s v="C3-1"/>
        <s v="H2-2"/>
        <s v="D2-1"/>
        <s v="C3-3"/>
        <s v="A2-1"/>
        <s v="3C5, 3L9-5"/>
        <s v="H4-6"/>
        <s v="C3-2"/>
        <s v="C2-3"/>
        <s v="L1-3"/>
        <s v="D2-2"/>
        <s v="B1-7"/>
        <s v="D3-1"/>
        <s v="B2-1"/>
        <s v="A1-4"/>
        <s v="B4-3"/>
        <s v="J3-3"/>
        <s v="C1-2"/>
        <s v="3A-20"/>
        <s v="K7-3"/>
        <s v="3I4"/>
        <s v="K3-5"/>
        <s v="K3-3"/>
        <s v="F2-5"/>
        <s v="3A-19"/>
        <s v="F2-4"/>
        <s v="F2-2"/>
        <s v="3A-12"/>
        <s v="K6-3"/>
        <s v="K5-3"/>
        <s v="L2-4"/>
        <s v="3A-16"/>
        <s v="G3-4"/>
        <s v="3L14-1"/>
        <s v="3F5"/>
        <s v="A11-1"/>
        <s v="O4,T"/>
        <s v="K6-1"/>
        <s v="K3-4"/>
        <s v="K2-6"/>
        <s v="3A-21"/>
        <s v="3A-11"/>
        <s v="3A-6,3A-7"/>
        <s v="3A-4,3A-5"/>
        <s v="K1-6"/>
        <s v="D3-3"/>
        <m/>
        <n v="0" u="1"/>
        <n v="120" u="1"/>
        <n v="50" u="1"/>
      </sharedItems>
    </cacheField>
    <cacheField name="일자" numFmtId="14">
      <sharedItems containsDate="1" containsBlank="1" containsMixedTypes="1" minDate="2026-07-20T00:00:00" maxDate="2026-10-14T00:00:00"/>
    </cacheField>
    <cacheField name="담당자2" numFmtId="0">
      <sharedItems containsBlank="1"/>
    </cacheField>
    <cacheField name="예약번호" numFmtId="0">
      <sharedItems containsBlank="1" containsMixedTypes="1" containsNumber="1" containsInteger="1" minValue="69253" maxValue="104753"/>
    </cacheField>
    <cacheField name="출고수량" numFmtId="0">
      <sharedItems containsBlank="1" containsMixedTypes="1" containsNumber="1" containsInteger="1" minValue="0" maxValue="1000"/>
    </cacheField>
    <cacheField name="출고일" numFmtId="14">
      <sharedItems containsDate="1" containsBlank="1" containsMixedTypes="1" minDate="2026-07-21T00:00:00" maxDate="2026-10-14T00:00:00"/>
    </cacheField>
    <cacheField name="잔여수량" numFmtId="0">
      <sharedItems containsString="0" containsBlank="1" containsNumber="1" containsInteger="1" minValue="-12" maxValue="2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0">
  <r>
    <x v="0"/>
    <s v=""/>
    <s v=""/>
    <s v=""/>
    <s v=""/>
    <x v="0"/>
    <s v="RA-3-3B]DCM CONTROL-B"/>
    <n v="412"/>
    <s v=""/>
    <x v="0"/>
    <d v="2026-10-06T00:00:00"/>
    <s v=""/>
    <n v="102930"/>
    <n v="30"/>
    <d v="2026-10-02T00:00:00"/>
    <n v="382"/>
  </r>
  <r>
    <x v="0"/>
    <s v=""/>
    <s v=""/>
    <s v=""/>
    <s v=""/>
    <x v="1"/>
    <s v="RA-06M-0432]FLANGE TUBE TILT SHAFT B"/>
    <n v="259"/>
    <s v=""/>
    <x v="1"/>
    <d v="2026-10-06T00:00:00"/>
    <s v=""/>
    <n v="102930"/>
    <n v="30"/>
    <d v="2026-10-02T00:00:00"/>
    <n v="229"/>
  </r>
  <r>
    <x v="0"/>
    <s v=""/>
    <s v=""/>
    <s v=""/>
    <s v=""/>
    <x v="2"/>
    <s v="RA-06V-0241]GUIDE TUBE TILT MICRO SW"/>
    <n v="501"/>
    <s v=""/>
    <x v="2"/>
    <d v="2026-10-06T00:00:00"/>
    <s v=""/>
    <n v="102930"/>
    <n v="30"/>
    <d v="2026-10-02T00:00:00"/>
    <n v="471"/>
  </r>
  <r>
    <x v="0"/>
    <s v=""/>
    <s v=""/>
    <s v=""/>
    <s v=""/>
    <x v="3"/>
    <s v="RA-06V-0242]BRK TUBE TILT MICRO SW"/>
    <n v="317"/>
    <s v=""/>
    <x v="3"/>
    <d v="2026-10-06T00:00:00"/>
    <s v=""/>
    <n v="102930"/>
    <n v="30"/>
    <d v="2026-10-02T00:00:00"/>
    <n v="287"/>
  </r>
  <r>
    <x v="0"/>
    <s v=""/>
    <s v=""/>
    <s v=""/>
    <s v=""/>
    <x v="4"/>
    <s v="RA-06V-0866]BRK TUBE TILT MICRO SW"/>
    <n v="611"/>
    <s v=""/>
    <x v="3"/>
    <d v="2026-10-06T00:00:00"/>
    <s v=""/>
    <n v="102930"/>
    <n v="30"/>
    <d v="2026-10-02T00:00:00"/>
    <n v="581"/>
  </r>
  <r>
    <x v="0"/>
    <s v=""/>
    <s v=""/>
    <s v=""/>
    <s v=""/>
    <x v="5"/>
    <s v="RA-06V-3253]HLDR DC GEARED MOT (M+)"/>
    <n v="369"/>
    <s v=""/>
    <x v="4"/>
    <d v="2026-10-06T00:00:00"/>
    <s v=""/>
    <n v="102930"/>
    <n v="30"/>
    <d v="2026-10-02T00:00:00"/>
    <n v="339"/>
  </r>
  <r>
    <x v="0"/>
    <s v=""/>
    <s v=""/>
    <s v=""/>
    <s v=""/>
    <x v="6"/>
    <s v="RA-06A-5005]Bd ASSY'-DC MOT Bd"/>
    <n v="664"/>
    <s v=""/>
    <x v="5"/>
    <d v="2026-10-06T00:00:00"/>
    <s v=""/>
    <n v="102930"/>
    <n v="30"/>
    <d v="2026-10-02T00:00:00"/>
    <n v="634"/>
  </r>
  <r>
    <x v="0"/>
    <s v=""/>
    <s v=""/>
    <s v=""/>
    <s v=""/>
    <x v="7"/>
    <s v="RA-06S-5091] DC motor(HDSG56-3448C-615)"/>
    <n v="324"/>
    <s v=""/>
    <x v="6"/>
    <d v="2026-10-06T00:00:00"/>
    <s v=""/>
    <n v="102930"/>
    <n v="30"/>
    <d v="2026-10-02T00:00:00"/>
    <n v="294"/>
  </r>
  <r>
    <x v="0"/>
    <s v=""/>
    <s v=""/>
    <s v=""/>
    <s v=""/>
    <x v="8"/>
    <s v="RA-06M-0243]BLK TUBE TILT LIMIT"/>
    <n v="112"/>
    <s v=""/>
    <x v="7"/>
    <d v="2026-10-06T00:00:00"/>
    <s v=""/>
    <n v="102930"/>
    <n v="60"/>
    <d v="2026-10-02T00:00:00"/>
    <n v="52"/>
  </r>
  <r>
    <x v="0"/>
    <s v=""/>
    <s v=""/>
    <s v=""/>
    <s v=""/>
    <x v="9"/>
    <s v="RA-06M-0244]PIN TUBE TILT LIMIT"/>
    <n v="334"/>
    <s v=""/>
    <x v="7"/>
    <d v="2026-10-06T00:00:00"/>
    <s v=""/>
    <n v="102930"/>
    <n v="60"/>
    <d v="2026-10-02T00:00:00"/>
    <n v="274"/>
  </r>
  <r>
    <x v="0"/>
    <s v=""/>
    <s v=""/>
    <s v=""/>
    <s v=""/>
    <x v="10"/>
    <s v="RA-06S-5018]MICRO SWITCH"/>
    <n v="220"/>
    <s v=""/>
    <x v="8"/>
    <d v="2026-10-06T00:00:00"/>
    <s v=""/>
    <n v="102930"/>
    <n v="60"/>
    <d v="2026-10-02T00:00:00"/>
    <n v="160"/>
  </r>
  <r>
    <x v="1"/>
    <s v=""/>
    <s v="입고"/>
    <s v="대영하네스"/>
    <s v="유영국"/>
    <x v="0"/>
    <s v="RA-3-3B]DCM CONTROL-B"/>
    <n v="300"/>
    <s v=""/>
    <x v="0"/>
    <d v="2026-10-01T00:00:00"/>
    <s v=""/>
    <s v=""/>
    <s v=""/>
    <s v=""/>
    <n v="300"/>
  </r>
  <r>
    <x v="1"/>
    <s v=""/>
    <s v="입고"/>
    <s v="A&amp;T"/>
    <s v="장동은"/>
    <x v="8"/>
    <s v="RA-06M-0243]BLK TUBE TILT LIMIT"/>
    <n v="300"/>
    <s v=""/>
    <x v="7"/>
    <d v="2026-10-06T00:00:00"/>
    <s v=""/>
    <s v=""/>
    <s v=""/>
    <s v=""/>
    <n v="300"/>
  </r>
  <r>
    <x v="1"/>
    <s v=""/>
    <s v="입고"/>
    <s v="A&amp;T"/>
    <s v="장동은"/>
    <x v="9"/>
    <s v="RA-06M-0244]PIN TUBE TILT LIMIT"/>
    <n v="300"/>
    <s v=""/>
    <x v="7"/>
    <d v="2026-10-06T00:00:00"/>
    <s v=""/>
    <s v=""/>
    <s v=""/>
    <s v=""/>
    <n v="300"/>
  </r>
  <r>
    <x v="1"/>
    <s v=""/>
    <s v="입고"/>
    <s v="대영하네스"/>
    <s v="유영국"/>
    <x v="11"/>
    <s v="RA-5-2_2]EARTH CEPH"/>
    <n v="200"/>
    <s v=""/>
    <x v="9"/>
    <d v="2026-10-01T00:00:00"/>
    <s v=""/>
    <s v=""/>
    <s v=""/>
    <s v=""/>
    <n v="200"/>
  </r>
  <r>
    <x v="1"/>
    <s v=""/>
    <s v="입고"/>
    <s v="진광"/>
    <s v="장동은"/>
    <x v="12"/>
    <s v="RA-03A-0315]ASM CAS CLMN LWR (L)"/>
    <n v="300"/>
    <s v=""/>
    <x v="10"/>
    <d v="2026-09-21T00:00:00"/>
    <s v=""/>
    <s v=""/>
    <s v=""/>
    <s v=""/>
    <n v="300"/>
  </r>
  <r>
    <x v="1"/>
    <s v=""/>
    <s v="입고"/>
    <s v="진광"/>
    <s v="장동은"/>
    <x v="13"/>
    <s v="RA-03A-0314]ASM CAS CLMN LWR (R)"/>
    <n v="300"/>
    <s v=""/>
    <x v="10"/>
    <d v="2026-09-21T00:00:00"/>
    <s v=""/>
    <s v=""/>
    <s v=""/>
    <s v=""/>
    <n v="300"/>
  </r>
  <r>
    <x v="1"/>
    <s v=""/>
    <s v="입고"/>
    <s v="A&amp;T"/>
    <s v="장동은"/>
    <x v="14"/>
    <s v="RA-09A-2754]ASM CT HEADREST (A+) (VN)"/>
    <n v="18"/>
    <s v=""/>
    <x v="11"/>
    <d v="2026-10-01T00:00:00"/>
    <s v=""/>
    <s v=""/>
    <s v=""/>
    <s v=""/>
    <n v="18"/>
  </r>
  <r>
    <x v="1"/>
    <s v=""/>
    <s v="입고"/>
    <s v="A&amp;T"/>
    <s v="장동은"/>
    <x v="14"/>
    <s v="RA-09A-2754]ASM CT HEADREST (A+) (VN)"/>
    <n v="47"/>
    <s v=""/>
    <x v="11"/>
    <d v="2026-10-01T00:00:00"/>
    <s v=""/>
    <s v=""/>
    <s v=""/>
    <s v=""/>
    <n v="47"/>
  </r>
  <r>
    <x v="1"/>
    <s v=""/>
    <s v="입고"/>
    <s v="A&amp;T"/>
    <s v="장동은"/>
    <x v="14"/>
    <s v="RA-09A-2754]ASM CT HEADREST (A+) (VN)"/>
    <n v="52"/>
    <s v=""/>
    <x v="11"/>
    <d v="2026-10-01T00:00:00"/>
    <s v=""/>
    <s v=""/>
    <s v=""/>
    <s v=""/>
    <n v="52"/>
  </r>
  <r>
    <x v="1"/>
    <s v=""/>
    <s v="입고"/>
    <s v="대영하네스"/>
    <s v="유영국"/>
    <x v="15"/>
    <s v="RA-5-6]EARTH SHAFT TO PC"/>
    <n v="250"/>
    <s v=""/>
    <x v="9"/>
    <d v="2026-10-01T00:00:00"/>
    <s v=""/>
    <s v=""/>
    <s v=""/>
    <s v=""/>
    <n v="250"/>
  </r>
  <r>
    <x v="1"/>
    <s v=""/>
    <s v="입고"/>
    <s v="Bach tung"/>
    <s v="유영국"/>
    <x v="16"/>
    <s v="RA-08M-0623]PIN STOPPER"/>
    <n v="100"/>
    <s v=""/>
    <x v="12"/>
    <d v="2026-10-07T00:00:00"/>
    <s v=""/>
    <s v=""/>
    <s v=""/>
    <s v=""/>
    <n v="100"/>
  </r>
  <r>
    <x v="1"/>
    <s v=""/>
    <s v="기초"/>
    <s v=""/>
    <s v=""/>
    <x v="17"/>
    <s v="RE-03A-1030]ASM COLUMN MODULE"/>
    <n v="0"/>
    <s v=""/>
    <x v="13"/>
    <d v="2026-09-10T00:00:00"/>
    <s v=""/>
    <s v=""/>
    <s v=""/>
    <s v=""/>
    <n v="0"/>
  </r>
  <r>
    <x v="1"/>
    <s v=""/>
    <s v="입고"/>
    <s v="A&amp;T"/>
    <s v="장동은"/>
    <x v="17"/>
    <s v="RE-03A-1030]ASM COLUMN MODULE"/>
    <n v="3"/>
    <s v=""/>
    <x v="13"/>
    <d v="2026-10-07T00:00:00"/>
    <s v=""/>
    <s v=""/>
    <s v=""/>
    <s v=""/>
    <n v="3"/>
  </r>
  <r>
    <x v="1"/>
    <s v=""/>
    <s v="입고"/>
    <s v="Bach tung"/>
    <s v="유영국"/>
    <x v="18"/>
    <s v="RE-05A-0512]ASM ROTATOR WEIGH"/>
    <n v="50"/>
    <s v=""/>
    <x v="14"/>
    <d v="2026-10-01T00:00:00"/>
    <s v=""/>
    <s v=""/>
    <s v=""/>
    <s v=""/>
    <n v="50"/>
  </r>
  <r>
    <x v="1"/>
    <s v=""/>
    <s v="입고"/>
    <s v="진광"/>
    <s v="장동은"/>
    <x v="19"/>
    <s v="RE-01T-0104]RUBBER CAP DECO"/>
    <n v="2000"/>
    <s v=""/>
    <x v="15"/>
    <d v="2026-10-02T00:00:00"/>
    <s v=""/>
    <s v=""/>
    <s v=""/>
    <s v=""/>
    <n v="2000"/>
  </r>
  <r>
    <x v="1"/>
    <s v=""/>
    <s v="입고"/>
    <s v="진광"/>
    <s v="장동은"/>
    <x v="20"/>
    <s v="RE-09T-0902]CAS CHINREST LOW"/>
    <n v="100"/>
    <s v=""/>
    <x v="16"/>
    <d v="2026-09-14T00:00:00"/>
    <s v=""/>
    <s v=""/>
    <s v=""/>
    <s v=""/>
    <n v="100"/>
  </r>
  <r>
    <x v="1"/>
    <s v=""/>
    <s v="입고"/>
    <s v="월드덴탈"/>
    <s v="곽동준"/>
    <x v="21"/>
    <s v="RA-09S-0389]CVR BITE BLK VINYL CVR"/>
    <n v="455"/>
    <s v=""/>
    <x v="17"/>
    <d v="2026-09-14T00:00:00"/>
    <s v=""/>
    <s v=""/>
    <s v=""/>
    <s v=""/>
    <n v="455"/>
  </r>
  <r>
    <x v="1"/>
    <s v=""/>
    <s v="입고"/>
    <s v="진광"/>
    <s v="장동은"/>
    <x v="22"/>
    <s v="RE-02T-0247]CAS VERT TOP"/>
    <n v="50"/>
    <s v=""/>
    <x v="18"/>
    <d v="2026-10-01T00:00:00"/>
    <s v=""/>
    <s v=""/>
    <s v=""/>
    <s v=""/>
    <n v="50"/>
  </r>
  <r>
    <x v="1"/>
    <s v=""/>
    <s v="입고"/>
    <s v="진광"/>
    <s v="장동은"/>
    <x v="23"/>
    <s v="RE-04T-0453]CAP HANDLE B"/>
    <n v="80"/>
    <s v=""/>
    <x v="19"/>
    <d v="2026-09-21T00:00:00"/>
    <s v=""/>
    <s v=""/>
    <s v=""/>
    <s v=""/>
    <n v="80"/>
  </r>
  <r>
    <x v="1"/>
    <s v=""/>
    <s v="입고"/>
    <s v="진광"/>
    <s v="장동은"/>
    <x v="23"/>
    <s v="RE-04T-0453]CAP HANDLE B"/>
    <n v="300"/>
    <s v=""/>
    <x v="19"/>
    <d v="2026-09-21T00:00:00"/>
    <s v=""/>
    <s v=""/>
    <s v=""/>
    <s v=""/>
    <n v="300"/>
  </r>
  <r>
    <x v="1"/>
    <s v=""/>
    <s v="기초"/>
    <s v=""/>
    <s v=""/>
    <x v="24"/>
    <s v="RA-02A-2740]ASM VERT TOTAL (A+) (VN)"/>
    <n v="0"/>
    <s v=""/>
    <x v="20"/>
    <d v="2026-08-19T00:00:00"/>
    <s v=""/>
    <s v=""/>
    <s v=""/>
    <s v=""/>
    <n v="0"/>
  </r>
  <r>
    <x v="1"/>
    <s v=""/>
    <s v="기초"/>
    <s v=""/>
    <s v=""/>
    <x v="25"/>
    <s v="RA-08M-2677]DRUM SCAN CEPH HEADREST (VW)"/>
    <n v="0"/>
    <s v=""/>
    <x v="21"/>
    <d v="2026-07-29T00:00:00"/>
    <s v=""/>
    <s v=""/>
    <s v=""/>
    <s v=""/>
    <n v="0"/>
  </r>
  <r>
    <x v="1"/>
    <s v=""/>
    <s v="기초"/>
    <s v=""/>
    <s v=""/>
    <x v="26"/>
    <s v="RA-08M-2679]SHAFT CEPH AXIS BODY (VW)"/>
    <n v="0"/>
    <s v=""/>
    <x v="22"/>
    <d v="2026-07-29T00:00:00"/>
    <s v=""/>
    <s v=""/>
    <s v=""/>
    <s v=""/>
    <n v="0"/>
  </r>
  <r>
    <x v="1"/>
    <s v=""/>
    <s v="기초"/>
    <s v=""/>
    <s v=""/>
    <x v="27"/>
    <s v="RA-08M-2705]BLK CEPH AXIS BODY TOP (VW)"/>
    <n v="0"/>
    <s v=""/>
    <x v="22"/>
    <d v="2026-07-29T00:00:00"/>
    <s v=""/>
    <s v=""/>
    <s v=""/>
    <s v=""/>
    <n v="0"/>
  </r>
  <r>
    <x v="1"/>
    <s v=""/>
    <s v="기초"/>
    <s v=""/>
    <s v=""/>
    <x v="28"/>
    <s v="RA-08M-2707]BLK CEPH AXIS BODY REAR (VW)"/>
    <n v="0"/>
    <s v=""/>
    <x v="22"/>
    <d v="2026-07-29T00:00:00"/>
    <s v=""/>
    <s v=""/>
    <s v=""/>
    <s v=""/>
    <n v="0"/>
  </r>
  <r>
    <x v="1"/>
    <s v=""/>
    <s v="기초"/>
    <s v=""/>
    <s v=""/>
    <x v="29"/>
    <s v="RA-08M-1887]FRM Bas CEPH (VW)"/>
    <n v="0"/>
    <s v=""/>
    <x v="23"/>
    <d v="2026-07-29T00:00:00"/>
    <s v=""/>
    <s v=""/>
    <s v=""/>
    <s v=""/>
    <n v="0"/>
  </r>
  <r>
    <x v="1"/>
    <s v=""/>
    <s v="기초"/>
    <s v=""/>
    <s v=""/>
    <x v="30"/>
    <s v="RA-08M-2673]BRK CEPH AXIS BODY (VW)"/>
    <n v="0"/>
    <s v=""/>
    <x v="21"/>
    <d v="2026-07-29T00:00:00"/>
    <s v=""/>
    <s v=""/>
    <s v=""/>
    <s v=""/>
    <n v="0"/>
  </r>
  <r>
    <x v="1"/>
    <s v=""/>
    <s v="기초"/>
    <s v=""/>
    <s v=""/>
    <x v="31"/>
    <s v="RA-03V-0062]PLT CLMN BODY (LWR)"/>
    <n v="0"/>
    <s v=""/>
    <x v="24"/>
    <d v="2026-09-11T00:00:00"/>
    <s v=""/>
    <s v=""/>
    <s v=""/>
    <s v=""/>
    <n v="0"/>
  </r>
  <r>
    <x v="1"/>
    <s v=""/>
    <s v="기초"/>
    <s v=""/>
    <s v=""/>
    <x v="32"/>
    <s v="RA-05M-3359]FRM ROT WEIGHT (ST)"/>
    <n v="0"/>
    <s v=""/>
    <x v="20"/>
    <d v="2026-09-11T00:00:00"/>
    <s v=""/>
    <s v=""/>
    <s v=""/>
    <s v=""/>
    <n v="0"/>
  </r>
  <r>
    <x v="1"/>
    <s v=""/>
    <s v="기초"/>
    <s v=""/>
    <s v=""/>
    <x v="33"/>
    <s v="RA-06A-2760]ASM COL MOVING (ST) (VN)"/>
    <n v="0"/>
    <s v=""/>
    <x v="25"/>
    <d v="2026-09-11T00:00:00"/>
    <s v=""/>
    <s v=""/>
    <s v=""/>
    <s v=""/>
    <n v="0"/>
  </r>
  <r>
    <x v="1"/>
    <s v=""/>
    <s v="기초"/>
    <s v=""/>
    <s v=""/>
    <x v="34"/>
    <s v="RA-06A-6085]CAM_LAMP_S6"/>
    <n v="0"/>
    <s v=""/>
    <x v="26"/>
    <d v="2026-09-11T00:00:00"/>
    <s v=""/>
    <s v=""/>
    <s v=""/>
    <s v=""/>
    <n v="0"/>
  </r>
  <r>
    <x v="1"/>
    <s v=""/>
    <s v=""/>
    <s v=""/>
    <s v=""/>
    <x v="35"/>
    <s v=""/>
    <n v="1"/>
    <s v=""/>
    <x v="27"/>
    <d v="2026-07-29T00:00:00"/>
    <s v=""/>
    <s v=""/>
    <s v=""/>
    <s v=""/>
    <n v="1"/>
  </r>
  <r>
    <x v="1"/>
    <s v=""/>
    <s v=""/>
    <s v=""/>
    <s v=""/>
    <x v="36"/>
    <s v="RF-01V-0208]FRONT FRM"/>
    <n v="1"/>
    <s v=""/>
    <x v="28"/>
    <d v="2026-09-22T00:00:00"/>
    <s v=""/>
    <s v=""/>
    <s v=""/>
    <s v=""/>
    <n v="1"/>
  </r>
  <r>
    <x v="1"/>
    <s v=""/>
    <s v=""/>
    <s v=""/>
    <s v=""/>
    <x v="37"/>
    <s v="RE-05B-5101]eSUB Bd"/>
    <n v="1"/>
    <s v=""/>
    <x v="29"/>
    <d v="2026-10-01T00:00:00"/>
    <s v=""/>
    <s v=""/>
    <s v=""/>
    <s v=""/>
    <n v="1"/>
  </r>
  <r>
    <x v="1"/>
    <s v=""/>
    <s v=""/>
    <s v=""/>
    <s v=""/>
    <x v="38"/>
    <s v="RA-5-4]EARTH ROT TO TUBE"/>
    <n v="1"/>
    <s v=""/>
    <x v="30"/>
    <d v="2026-10-06T00:00:00"/>
    <s v=""/>
    <s v=""/>
    <s v=""/>
    <s v=""/>
    <n v="1"/>
  </r>
  <r>
    <x v="1"/>
    <s v=""/>
    <s v="입고"/>
    <s v="A&amp;T"/>
    <s v="장동은"/>
    <x v="39"/>
    <s v="RA-06A-2139]ASM BRK FAN SUP (A+)"/>
    <n v="2"/>
    <s v=""/>
    <x v="31"/>
    <d v="2026-10-01T00:00:00"/>
    <s v=""/>
    <s v=""/>
    <s v=""/>
    <s v=""/>
    <n v="2"/>
  </r>
  <r>
    <x v="1"/>
    <s v=""/>
    <s v=""/>
    <s v=""/>
    <s v=""/>
    <x v="29"/>
    <s v="RA-08M-1887]FRM Bas CEPH (VW)"/>
    <n v="2"/>
    <s v=""/>
    <x v="23"/>
    <d v="2026-07-30T00:00:00"/>
    <s v=""/>
    <s v=""/>
    <s v=""/>
    <s v=""/>
    <n v="2"/>
  </r>
  <r>
    <x v="1"/>
    <s v=""/>
    <s v=""/>
    <s v=""/>
    <s v=""/>
    <x v="40"/>
    <s v="RF-01M-0398]COVER TOP"/>
    <n v="2"/>
    <s v=""/>
    <x v="32"/>
    <d v="2026-08-25T00:00:00"/>
    <s v=""/>
    <s v=""/>
    <s v=""/>
    <s v=""/>
    <n v="2"/>
  </r>
  <r>
    <x v="1"/>
    <s v=""/>
    <s v="기초"/>
    <s v=""/>
    <s v=""/>
    <x v="41"/>
    <s v="RA-05M-3801]FRM ROT Bas (MG)"/>
    <n v="2"/>
    <s v=""/>
    <x v="33"/>
    <d v="2026-09-11T00:00:00"/>
    <s v=""/>
    <s v=""/>
    <s v=""/>
    <s v=""/>
    <n v="2"/>
  </r>
  <r>
    <x v="1"/>
    <s v=""/>
    <s v="반납"/>
    <s v=""/>
    <s v=""/>
    <x v="42"/>
    <s v="RF-01V-0209]FRONT BRK TOP"/>
    <n v="2"/>
    <s v=""/>
    <x v="34"/>
    <d v="2026-09-22T00:00:00"/>
    <s v=""/>
    <s v=""/>
    <s v=""/>
    <s v=""/>
    <n v="2"/>
  </r>
  <r>
    <x v="1"/>
    <s v=""/>
    <s v=""/>
    <s v=""/>
    <s v=""/>
    <x v="43"/>
    <s v="RF-01T-0255]CVR FRONT MID R"/>
    <n v="2"/>
    <s v=""/>
    <x v="35"/>
    <d v="2026-09-22T00:00:00"/>
    <s v=""/>
    <s v=""/>
    <s v=""/>
    <s v=""/>
    <n v="2"/>
  </r>
  <r>
    <x v="1"/>
    <s v=""/>
    <s v="입고"/>
    <s v="A&amp;T"/>
    <s v="장동은"/>
    <x v="44"/>
    <s v="RE-04A-1040]ASM ARM MODULE"/>
    <n v="2"/>
    <s v=""/>
    <x v="13"/>
    <d v="2026-09-16T00:00:00"/>
    <s v=""/>
    <s v=""/>
    <s v=""/>
    <s v=""/>
    <n v="2"/>
  </r>
  <r>
    <x v="1"/>
    <s v=""/>
    <s v=""/>
    <s v=""/>
    <s v=""/>
    <x v="45"/>
    <s v="RF-01S-5085]FACE CAM"/>
    <n v="2"/>
    <s v=""/>
    <x v="36"/>
    <d v="2026-10-07T00:00:00"/>
    <s v=""/>
    <s v=""/>
    <s v=""/>
    <s v=""/>
    <n v="2"/>
  </r>
  <r>
    <x v="1"/>
    <s v=""/>
    <s v=""/>
    <s v=""/>
    <s v=""/>
    <x v="46"/>
    <s v="RF-01S-5083]CAM Trigger_L-R harness"/>
    <n v="2"/>
    <s v=""/>
    <x v="37"/>
    <d v="2026-09-30T00:00:00"/>
    <s v=""/>
    <s v=""/>
    <s v=""/>
    <s v=""/>
    <n v="2"/>
  </r>
  <r>
    <x v="1"/>
    <s v=""/>
    <s v=""/>
    <s v=""/>
    <s v=""/>
    <x v="47"/>
    <s v="RA-08A-0611]ASM EARLOD Mdl"/>
    <n v="3"/>
    <s v=""/>
    <x v="38"/>
    <d v="2026-07-29T00:00:00"/>
    <s v=""/>
    <s v=""/>
    <s v=""/>
    <s v=""/>
    <n v="3"/>
  </r>
  <r>
    <x v="1"/>
    <s v=""/>
    <s v="기초"/>
    <s v=""/>
    <s v=""/>
    <x v="48"/>
    <s v="RA-06A-6084]CAMP_LAMP_S2"/>
    <n v="3"/>
    <s v=""/>
    <x v="39"/>
    <d v="2026-09-11T00:00:00"/>
    <s v=""/>
    <s v=""/>
    <s v=""/>
    <s v=""/>
    <n v="3"/>
  </r>
  <r>
    <x v="1"/>
    <s v=""/>
    <s v="입고"/>
    <s v="A&amp;T"/>
    <s v="장동은"/>
    <x v="49"/>
    <s v="MODULE ARM LEFT"/>
    <n v="3"/>
    <s v=""/>
    <x v="40"/>
    <d v="2026-10-01T00:00:00"/>
    <s v=""/>
    <s v=""/>
    <s v=""/>
    <s v=""/>
    <n v="3"/>
  </r>
  <r>
    <x v="1"/>
    <s v=""/>
    <s v=""/>
    <s v=""/>
    <s v=""/>
    <x v="33"/>
    <s v="RA-06A-2760]ASM COL MOVING (ST) (VN)"/>
    <n v="3"/>
    <s v=""/>
    <x v="25"/>
    <d v="2026-09-22T00:00:00"/>
    <s v=""/>
    <s v=""/>
    <s v=""/>
    <s v=""/>
    <n v="3"/>
  </r>
  <r>
    <x v="1"/>
    <s v=""/>
    <s v=""/>
    <s v=""/>
    <s v=""/>
    <x v="50"/>
    <s v="RF-01M-0396]FRAME PIPE ALIGN"/>
    <n v="3"/>
    <s v=""/>
    <x v="28"/>
    <d v="2026-10-06T00:00:00"/>
    <s v=""/>
    <s v=""/>
    <s v=""/>
    <s v=""/>
    <n v="3"/>
  </r>
  <r>
    <x v="1"/>
    <s v=""/>
    <s v=""/>
    <s v=""/>
    <s v=""/>
    <x v="26"/>
    <s v="RA-08M-2679]SHAFT CEPH AXIS BODY (VW)"/>
    <n v="4"/>
    <s v=""/>
    <x v="22"/>
    <d v="2026-07-30T00:00:00"/>
    <s v=""/>
    <s v=""/>
    <s v=""/>
    <s v=""/>
    <n v="4"/>
  </r>
  <r>
    <x v="1"/>
    <s v=""/>
    <s v=""/>
    <s v=""/>
    <s v=""/>
    <x v="27"/>
    <s v="RA-08M-2705]BLK CEPH AXIS BODY TOP (VW)"/>
    <n v="4"/>
    <s v=""/>
    <x v="22"/>
    <d v="2026-07-30T00:00:00"/>
    <s v=""/>
    <s v=""/>
    <s v=""/>
    <s v=""/>
    <n v="4"/>
  </r>
  <r>
    <x v="1"/>
    <s v=""/>
    <s v=""/>
    <s v=""/>
    <s v=""/>
    <x v="28"/>
    <s v="RA-08M-2707]BLK CEPH AXIS BODY REAR (VW)"/>
    <n v="4"/>
    <s v=""/>
    <x v="22"/>
    <d v="2026-07-30T00:00:00"/>
    <s v=""/>
    <s v=""/>
    <s v=""/>
    <s v=""/>
    <n v="4"/>
  </r>
  <r>
    <x v="1"/>
    <s v=""/>
    <s v=""/>
    <s v=""/>
    <s v=""/>
    <x v="42"/>
    <s v="RF-01V-0209]FRONT BRK TOP"/>
    <n v="5"/>
    <s v=""/>
    <x v="34"/>
    <d v="2026-08-25T00:00:00"/>
    <s v=""/>
    <s v=""/>
    <s v=""/>
    <s v=""/>
    <n v="5"/>
  </r>
  <r>
    <x v="1"/>
    <s v=""/>
    <s v="기초"/>
    <s v=""/>
    <s v=""/>
    <x v="51"/>
    <s v="RA-02V-3848]CVR VERT UPPER BACK (MG)"/>
    <n v="5"/>
    <s v=""/>
    <x v="41"/>
    <d v="2026-09-11T00:00:00"/>
    <s v=""/>
    <s v=""/>
    <s v=""/>
    <s v=""/>
    <n v="5"/>
  </r>
  <r>
    <x v="1"/>
    <s v=""/>
    <s v="기초"/>
    <s v=""/>
    <s v=""/>
    <x v="52"/>
    <s v="RA-03V-3861]BRK CLMN FRONT FIX R (MG)"/>
    <n v="5"/>
    <s v=""/>
    <x v="42"/>
    <d v="2026-09-11T00:00:00"/>
    <s v=""/>
    <s v=""/>
    <s v=""/>
    <s v=""/>
    <n v="5"/>
  </r>
  <r>
    <x v="1"/>
    <s v=""/>
    <s v="기초"/>
    <s v=""/>
    <s v=""/>
    <x v="53"/>
    <s v="RA-06S-6059]CAM"/>
    <n v="5"/>
    <s v=""/>
    <x v="43"/>
    <d v="2026-09-11T00:00:00"/>
    <s v=""/>
    <s v=""/>
    <s v=""/>
    <s v=""/>
    <n v="5"/>
  </r>
  <r>
    <x v="1"/>
    <s v=""/>
    <s v=""/>
    <s v=""/>
    <s v=""/>
    <x v="54"/>
    <s v="RE-04T-0439]CAS HEADREST KNOB"/>
    <n v="5"/>
    <s v=""/>
    <x v="19"/>
    <d v="2026-09-23T00:00:00"/>
    <s v=""/>
    <s v=""/>
    <s v=""/>
    <s v=""/>
    <n v="5"/>
  </r>
  <r>
    <x v="1"/>
    <s v=""/>
    <s v=""/>
    <s v=""/>
    <s v=""/>
    <x v="55"/>
    <s v="RA-08M-2706]BLK CEPH AXIS BODY FRONT(VW"/>
    <n v="6"/>
    <s v=""/>
    <x v="22"/>
    <d v="2026-07-29T00:00:00"/>
    <s v=""/>
    <s v=""/>
    <s v=""/>
    <s v=""/>
    <n v="6"/>
  </r>
  <r>
    <x v="1"/>
    <s v=""/>
    <s v=""/>
    <s v=""/>
    <s v=""/>
    <x v="56"/>
    <s v="RA-08M-2708]SHAFT CEPH AXIS BODY (VW)"/>
    <n v="6"/>
    <s v=""/>
    <x v="22"/>
    <d v="2026-07-29T00:00:00"/>
    <s v=""/>
    <s v=""/>
    <s v=""/>
    <s v=""/>
    <n v="6"/>
  </r>
  <r>
    <x v="1"/>
    <s v=""/>
    <s v="기초"/>
    <s v=""/>
    <s v=""/>
    <x v="57"/>
    <s v="RA-09A-2725]ASM CT HEADREST (A+)"/>
    <n v="6"/>
    <s v=""/>
    <x v="44"/>
    <d v="2026-09-11T00:00:00"/>
    <s v=""/>
    <s v=""/>
    <s v=""/>
    <s v=""/>
    <n v="6"/>
  </r>
  <r>
    <x v="1"/>
    <s v=""/>
    <s v=""/>
    <s v=""/>
    <s v=""/>
    <x v="58"/>
    <s v="RF-01S-5087]CAM Cable_Face"/>
    <n v="6"/>
    <s v=""/>
    <x v="45"/>
    <d v="2026-09-22T00:00:00"/>
    <s v=""/>
    <s v=""/>
    <s v=""/>
    <s v=""/>
    <n v="6"/>
  </r>
  <r>
    <x v="1"/>
    <s v=""/>
    <s v=""/>
    <s v=""/>
    <s v=""/>
    <x v="59"/>
    <s v="RF-01B-5040]MAIN Bd"/>
    <n v="6"/>
    <s v=""/>
    <x v="46"/>
    <d v="2026-09-22T00:00:00"/>
    <s v=""/>
    <s v=""/>
    <s v=""/>
    <s v=""/>
    <n v="6"/>
  </r>
  <r>
    <x v="1"/>
    <s v=""/>
    <s v=""/>
    <s v=""/>
    <s v=""/>
    <x v="60"/>
    <s v="RA-15-11]Fcol MOT Cable B"/>
    <n v="6"/>
    <s v=""/>
    <x v="47"/>
    <d v="2026-09-17T00:00:00"/>
    <s v=""/>
    <s v=""/>
    <s v=""/>
    <s v=""/>
    <n v="6"/>
  </r>
  <r>
    <x v="1"/>
    <s v=""/>
    <s v="입고"/>
    <s v="Bach tung"/>
    <s v="유영국"/>
    <x v="33"/>
    <s v="RA-06A-2760]ASM COL MOVING (ST) (VN)"/>
    <n v="6"/>
    <s v=""/>
    <x v="25"/>
    <d v="2026-10-06T00:00:00"/>
    <s v=""/>
    <s v=""/>
    <s v=""/>
    <s v=""/>
    <n v="6"/>
  </r>
  <r>
    <x v="1"/>
    <s v=""/>
    <s v=""/>
    <s v=""/>
    <s v=""/>
    <x v="61"/>
    <s v="RA-08V-2680]TILT ARM HINGE (VW)"/>
    <n v="7"/>
    <s v=""/>
    <x v="48"/>
    <d v="2026-07-29T00:00:00"/>
    <s v=""/>
    <s v=""/>
    <s v=""/>
    <s v=""/>
    <n v="7"/>
  </r>
  <r>
    <x v="1"/>
    <s v=""/>
    <s v=""/>
    <s v=""/>
    <s v=""/>
    <x v="62"/>
    <s v="RA-08M-2670]ARM CEPH BODY (VW)"/>
    <n v="7"/>
    <s v=""/>
    <x v="49"/>
    <d v="2026-07-29T00:00:00"/>
    <s v=""/>
    <s v=""/>
    <s v=""/>
    <s v=""/>
    <n v="7"/>
  </r>
  <r>
    <x v="1"/>
    <s v=""/>
    <s v=""/>
    <s v=""/>
    <s v=""/>
    <x v="63"/>
    <s v="RA-06A-2761]ASM COL MOVING (A+) (VN)"/>
    <n v="7"/>
    <s v=""/>
    <x v="25"/>
    <d v="2026-10-06T00:00:00"/>
    <s v=""/>
    <s v=""/>
    <s v=""/>
    <s v=""/>
    <n v="7"/>
  </r>
  <r>
    <x v="1"/>
    <s v=""/>
    <s v=""/>
    <s v=""/>
    <s v=""/>
    <x v="64"/>
    <s v=""/>
    <n v="8"/>
    <s v=""/>
    <x v="50"/>
    <d v="2026-07-29T00:00:00"/>
    <s v=""/>
    <s v=""/>
    <s v=""/>
    <s v=""/>
    <n v="8"/>
  </r>
  <r>
    <x v="1"/>
    <s v=""/>
    <s v=""/>
    <s v=""/>
    <s v=""/>
    <x v="65"/>
    <s v="RA-08A-0745]ASM OC EARLOD L"/>
    <n v="8"/>
    <s v=""/>
    <x v="38"/>
    <d v="2026-07-29T00:00:00"/>
    <s v=""/>
    <s v=""/>
    <s v=""/>
    <s v=""/>
    <n v="8"/>
  </r>
  <r>
    <x v="1"/>
    <s v=""/>
    <s v="반납"/>
    <s v=""/>
    <s v=""/>
    <x v="66"/>
    <s v="MODULE BASE BOTTOM FRAME"/>
    <n v="8"/>
    <s v=""/>
    <x v="51"/>
    <d v="2026-09-22T00:00:00"/>
    <s v=""/>
    <s v=""/>
    <s v=""/>
    <s v=""/>
    <n v="8"/>
  </r>
  <r>
    <x v="1"/>
    <s v=""/>
    <s v="반납"/>
    <s v=""/>
    <s v=""/>
    <x v="67"/>
    <s v="RF-01B-5073]DMD FPC Cable"/>
    <n v="8"/>
    <s v=""/>
    <x v="52"/>
    <d v="2026-09-22T00:00:00"/>
    <s v=""/>
    <s v=""/>
    <s v=""/>
    <s v=""/>
    <n v="8"/>
  </r>
  <r>
    <x v="1"/>
    <s v=""/>
    <s v=""/>
    <s v=""/>
    <s v=""/>
    <x v="68"/>
    <s v="RE-02T-0243]CAS VERT BOT R"/>
    <n v="8"/>
    <s v=""/>
    <x v="18"/>
    <d v="2026-09-22T00:00:00"/>
    <s v=""/>
    <s v=""/>
    <s v=""/>
    <s v=""/>
    <n v="8"/>
  </r>
  <r>
    <x v="1"/>
    <s v=""/>
    <s v=""/>
    <s v=""/>
    <s v=""/>
    <x v="69"/>
    <s v="RF-01H-5054]DLP Power harness"/>
    <n v="8"/>
    <s v=""/>
    <x v="53"/>
    <d v="2026-10-06T00:00:00"/>
    <s v=""/>
    <s v=""/>
    <s v=""/>
    <s v=""/>
    <n v="8"/>
  </r>
  <r>
    <x v="1"/>
    <s v=""/>
    <s v=""/>
    <s v=""/>
    <s v=""/>
    <x v="70"/>
    <s v="RE-06A-0601]ASM COLLIMATOR MODULE"/>
    <n v="8"/>
    <s v=""/>
    <x v="13"/>
    <d v="2026-10-08T00:00:00"/>
    <s v=""/>
    <s v=""/>
    <s v=""/>
    <s v=""/>
    <n v="8"/>
  </r>
  <r>
    <x v="1"/>
    <s v=""/>
    <s v=""/>
    <s v=""/>
    <s v=""/>
    <x v="71"/>
    <s v=""/>
    <n v="8"/>
    <s v=""/>
    <x v="54"/>
    <d v="2026-10-06T00:00:00"/>
    <s v=""/>
    <s v=""/>
    <s v=""/>
    <s v=""/>
    <n v="8"/>
  </r>
  <r>
    <x v="1"/>
    <s v=""/>
    <s v=""/>
    <s v=""/>
    <s v=""/>
    <x v="72"/>
    <s v="RA-06M-0520]HEATSINK"/>
    <n v="8"/>
    <s v=""/>
    <x v="55"/>
    <d v="2026-10-06T00:00:00"/>
    <s v=""/>
    <s v=""/>
    <s v=""/>
    <s v=""/>
    <n v="8"/>
  </r>
  <r>
    <x v="1"/>
    <s v=""/>
    <s v=""/>
    <s v=""/>
    <s v=""/>
    <x v="73"/>
    <s v="RF-01H-5052]USB TO SBC HARNESS"/>
    <n v="9"/>
    <s v=""/>
    <x v="53"/>
    <d v="2026-08-25T00:00:00"/>
    <s v=""/>
    <s v=""/>
    <s v=""/>
    <s v=""/>
    <n v="9"/>
  </r>
  <r>
    <x v="1"/>
    <s v=""/>
    <s v=""/>
    <s v=""/>
    <s v=""/>
    <x v="74"/>
    <s v="RF-01T-0356]RUBBER CAP ARM"/>
    <n v="9"/>
    <s v=""/>
    <x v="56"/>
    <d v="2026-08-25T00:00:00"/>
    <s v=""/>
    <s v=""/>
    <s v=""/>
    <s v=""/>
    <n v="9"/>
  </r>
  <r>
    <x v="1"/>
    <s v=""/>
    <s v="반납"/>
    <s v=""/>
    <s v=""/>
    <x v="75"/>
    <s v="RF-20A-0280]MODULE DLP MCU BRACKET"/>
    <n v="9"/>
    <s v=""/>
    <x v="54"/>
    <d v="2026-09-22T00:00:00"/>
    <s v=""/>
    <s v=""/>
    <s v=""/>
    <s v=""/>
    <n v="9"/>
  </r>
  <r>
    <x v="1"/>
    <s v=""/>
    <s v=""/>
    <s v=""/>
    <s v=""/>
    <x v="76"/>
    <s v="RF-10A-2086]ASM JETSON NANO"/>
    <n v="9"/>
    <s v=""/>
    <x v="57"/>
    <d v="2026-09-22T00:00:00"/>
    <s v=""/>
    <s v=""/>
    <s v=""/>
    <s v=""/>
    <n v="9"/>
  </r>
  <r>
    <x v="1"/>
    <s v=""/>
    <s v=""/>
    <s v=""/>
    <s v=""/>
    <x v="77"/>
    <s v="RA-06M-3317]BLK COL FIX UPPER (ST)"/>
    <n v="9"/>
    <s v=""/>
    <x v="58"/>
    <d v="2026-09-30T00:00:00"/>
    <s v=""/>
    <s v=""/>
    <s v=""/>
    <s v=""/>
    <n v="9"/>
  </r>
  <r>
    <x v="1"/>
    <s v=""/>
    <s v=""/>
    <s v=""/>
    <s v=""/>
    <x v="78"/>
    <s v="RF-01T-0355]CAMERA CASE R"/>
    <n v="9"/>
    <s v=""/>
    <x v="59"/>
    <d v="2026-10-06T00:00:00"/>
    <s v=""/>
    <s v=""/>
    <s v=""/>
    <s v=""/>
    <n v="9"/>
  </r>
  <r>
    <x v="1"/>
    <s v=""/>
    <s v=""/>
    <s v=""/>
    <s v=""/>
    <x v="79"/>
    <s v="RD-00S-5201]USB A to B Cable"/>
    <n v="9"/>
    <s v=""/>
    <x v="60"/>
    <d v="2026-10-06T00:00:00"/>
    <s v=""/>
    <s v=""/>
    <s v=""/>
    <s v=""/>
    <n v="9"/>
  </r>
  <r>
    <x v="1"/>
    <s v=""/>
    <s v=""/>
    <s v=""/>
    <s v=""/>
    <x v="80"/>
    <s v="RE-06A-0630]ASM TUBE SHAFT BRASS"/>
    <n v="9"/>
    <s v=""/>
    <x v="61"/>
    <d v="2026-10-08T00:00:00"/>
    <s v=""/>
    <s v=""/>
    <s v=""/>
    <s v=""/>
    <n v="9"/>
  </r>
  <r>
    <x v="1"/>
    <s v=""/>
    <s v=""/>
    <s v=""/>
    <s v=""/>
    <x v="81"/>
    <s v="RE-06H-5048]LASER H [LBM01-300]"/>
    <n v="9"/>
    <s v=""/>
    <x v="62"/>
    <d v="2026-10-08T00:00:00"/>
    <s v=""/>
    <s v=""/>
    <s v=""/>
    <s v=""/>
    <n v="9"/>
  </r>
  <r>
    <x v="1"/>
    <s v=""/>
    <s v=""/>
    <s v=""/>
    <s v=""/>
    <x v="82"/>
    <s v="C16-6808ZZ]BALL B-Ring"/>
    <n v="10"/>
    <s v=""/>
    <x v="63"/>
    <d v="2026-07-29T00:00:00"/>
    <s v=""/>
    <s v=""/>
    <s v=""/>
    <s v=""/>
    <n v="10"/>
  </r>
  <r>
    <x v="1"/>
    <s v=""/>
    <s v="입고"/>
    <s v=""/>
    <s v=""/>
    <x v="83"/>
    <s v="RF-01H-5065]Main Power harness"/>
    <n v="10"/>
    <s v=""/>
    <x v="64"/>
    <d v="2026-08-21T00:00:00"/>
    <s v=""/>
    <s v=""/>
    <s v=""/>
    <s v=""/>
    <n v="10"/>
  </r>
  <r>
    <x v="1"/>
    <s v=""/>
    <s v=""/>
    <s v=""/>
    <s v=""/>
    <x v="84"/>
    <s v="RA-03V-2066]BRK CLMN REAR CAS UPPER (A+)"/>
    <n v="10"/>
    <s v=""/>
    <x v="65"/>
    <d v="2026-09-29T00:00:00"/>
    <s v=""/>
    <s v=""/>
    <s v=""/>
    <s v=""/>
    <n v="10"/>
  </r>
  <r>
    <x v="1"/>
    <s v=""/>
    <s v="입고"/>
    <s v="하이크로봇"/>
    <s v="장동은"/>
    <x v="85"/>
    <s v="RF-01S-5086]TEETH CAM"/>
    <n v="10"/>
    <s v=""/>
    <x v="66"/>
    <d v="2026-10-06T00:00:00"/>
    <s v=""/>
    <s v=""/>
    <s v=""/>
    <s v=""/>
    <n v="10"/>
  </r>
  <r>
    <x v="1"/>
    <s v=""/>
    <s v="입고"/>
    <s v="하이크로봇"/>
    <s v="장동은"/>
    <x v="86"/>
    <s v=""/>
    <n v="10"/>
    <s v=""/>
    <x v="45"/>
    <d v="2026-10-06T00:00:00"/>
    <s v=""/>
    <s v=""/>
    <s v=""/>
    <s v=""/>
    <n v="10"/>
  </r>
  <r>
    <x v="1"/>
    <s v=""/>
    <s v=""/>
    <s v=""/>
    <s v=""/>
    <x v="87"/>
    <s v="RF-01T-0210]CVR FRONT MID L"/>
    <n v="10"/>
    <s v=""/>
    <x v="35"/>
    <d v="2026-10-06T00:00:00"/>
    <s v=""/>
    <s v=""/>
    <s v=""/>
    <s v=""/>
    <n v="10"/>
  </r>
  <r>
    <x v="1"/>
    <s v=""/>
    <s v=""/>
    <s v=""/>
    <s v=""/>
    <x v="88"/>
    <s v="RA-07M-2786]PLT DET SNSR (IR)"/>
    <n v="10"/>
    <s v=""/>
    <x v="67"/>
    <d v="2026-10-07T00:00:00"/>
    <s v=""/>
    <s v=""/>
    <s v=""/>
    <s v=""/>
    <n v="10"/>
  </r>
  <r>
    <x v="1"/>
    <s v=""/>
    <s v=""/>
    <s v=""/>
    <s v=""/>
    <x v="89"/>
    <s v="RF-01T-0352]CAMERA CASE B"/>
    <n v="11"/>
    <s v=""/>
    <x v="59"/>
    <d v="2026-08-25T00:00:00"/>
    <s v=""/>
    <s v=""/>
    <s v=""/>
    <s v=""/>
    <n v="11"/>
  </r>
  <r>
    <x v="1"/>
    <s v=""/>
    <s v="기초"/>
    <s v=""/>
    <s v=""/>
    <x v="90"/>
    <s v="RA-06V-3934]BRK TUBE CAS FRONT (MG)"/>
    <n v="11"/>
    <s v=""/>
    <x v="68"/>
    <d v="2026-09-11T00:00:00"/>
    <s v=""/>
    <s v=""/>
    <s v=""/>
    <s v=""/>
    <n v="11"/>
  </r>
  <r>
    <x v="1"/>
    <s v=""/>
    <s v="반납"/>
    <s v=""/>
    <s v=""/>
    <x v="91"/>
    <s v="RF-01V-0293]BRK USB HLDR"/>
    <n v="11"/>
    <s v=""/>
    <x v="34"/>
    <d v="2026-09-22T00:00:00"/>
    <s v=""/>
    <s v=""/>
    <s v=""/>
    <s v=""/>
    <n v="11"/>
  </r>
  <r>
    <x v="1"/>
    <s v=""/>
    <s v=""/>
    <s v=""/>
    <s v=""/>
    <x v="92"/>
    <s v="RF-01M-0268]TEETH CAM BLK_HR"/>
    <n v="11"/>
    <s v=""/>
    <x v="69"/>
    <d v="2026-09-22T00:00:00"/>
    <s v=""/>
    <s v=""/>
    <s v=""/>
    <s v=""/>
    <n v="11"/>
  </r>
  <r>
    <x v="1"/>
    <s v=""/>
    <s v=""/>
    <s v=""/>
    <s v=""/>
    <x v="93"/>
    <s v=""/>
    <n v="11"/>
    <s v=""/>
    <x v="70"/>
    <d v="2026-09-22T00:00:00"/>
    <s v=""/>
    <s v=""/>
    <s v=""/>
    <s v=""/>
    <n v="11"/>
  </r>
  <r>
    <x v="1"/>
    <s v=""/>
    <s v=""/>
    <s v=""/>
    <s v=""/>
    <x v="94"/>
    <s v="RF-01S-5049]Face Lens"/>
    <n v="11"/>
    <s v=""/>
    <x v="56"/>
    <d v="2026-09-22T00:00:00"/>
    <s v=""/>
    <s v=""/>
    <s v=""/>
    <s v=""/>
    <n v="11"/>
  </r>
  <r>
    <x v="1"/>
    <s v=""/>
    <s v=""/>
    <s v=""/>
    <s v=""/>
    <x v="95"/>
    <s v="RE-02T-0242]CAS VERT BOT L"/>
    <n v="11"/>
    <s v=""/>
    <x v="18"/>
    <d v="2026-09-22T00:00:00"/>
    <s v=""/>
    <s v=""/>
    <s v=""/>
    <s v=""/>
    <n v="11"/>
  </r>
  <r>
    <x v="1"/>
    <s v=""/>
    <s v=""/>
    <s v=""/>
    <s v=""/>
    <x v="96"/>
    <s v="RA-7-13]ADET POWER to SUB(NEW)"/>
    <n v="11"/>
    <s v=""/>
    <x v="71"/>
    <d v="2026-09-15T00:00:00"/>
    <s v=""/>
    <s v=""/>
    <s v=""/>
    <s v=""/>
    <n v="11"/>
  </r>
  <r>
    <x v="1"/>
    <s v=""/>
    <s v=""/>
    <s v=""/>
    <s v=""/>
    <x v="97"/>
    <s v="RA-04A-2296]ASM HANDLE (A+)"/>
    <n v="11"/>
    <s v=""/>
    <x v="55"/>
    <d v="2026-10-07T00:00:00"/>
    <s v=""/>
    <s v=""/>
    <s v=""/>
    <s v=""/>
    <n v="11"/>
  </r>
  <r>
    <x v="1"/>
    <s v=""/>
    <s v=""/>
    <s v=""/>
    <s v=""/>
    <x v="98"/>
    <s v="RA-02S-2003]LM SET (MGW9C-2-295)"/>
    <n v="12"/>
    <s v=""/>
    <x v="72"/>
    <d v="2026-09-28T00:00:00"/>
    <s v=""/>
    <s v=""/>
    <s v=""/>
    <s v=""/>
    <n v="12"/>
  </r>
  <r>
    <x v="1"/>
    <s v=""/>
    <s v=""/>
    <s v=""/>
    <s v=""/>
    <x v="99"/>
    <s v="RF-01T-0353]WINDOW LED"/>
    <n v="12"/>
    <s v=""/>
    <x v="59"/>
    <d v="2026-10-06T00:00:00"/>
    <s v=""/>
    <s v=""/>
    <s v=""/>
    <s v=""/>
    <n v="12"/>
  </r>
  <r>
    <x v="1"/>
    <s v=""/>
    <s v=""/>
    <s v=""/>
    <s v=""/>
    <x v="100"/>
    <s v="RA-08V-2671]BRK ROT CAS BRIDGE A (VW)"/>
    <n v="13"/>
    <s v=""/>
    <x v="48"/>
    <d v="2026-07-29T00:00:00"/>
    <s v=""/>
    <s v=""/>
    <s v=""/>
    <s v=""/>
    <n v="13"/>
  </r>
  <r>
    <x v="1"/>
    <s v=""/>
    <s v=""/>
    <s v=""/>
    <s v=""/>
    <x v="101"/>
    <s v="RF-01H-5069]LED_Bottom harness"/>
    <n v="13"/>
    <s v=""/>
    <x v="64"/>
    <d v="2026-08-25T00:00:00"/>
    <s v=""/>
    <s v=""/>
    <s v=""/>
    <s v=""/>
    <n v="13"/>
  </r>
  <r>
    <x v="1"/>
    <s v=""/>
    <s v=""/>
    <s v=""/>
    <s v=""/>
    <x v="102"/>
    <s v="RF-01H-5068]LED_Left harness"/>
    <n v="13"/>
    <s v=""/>
    <x v="64"/>
    <d v="2026-09-22T00:00:00"/>
    <s v=""/>
    <s v=""/>
    <s v=""/>
    <s v=""/>
    <n v="13"/>
  </r>
  <r>
    <x v="1"/>
    <s v=""/>
    <s v=""/>
    <s v=""/>
    <s v=""/>
    <x v="103"/>
    <s v="RA-07V-2789]PLT WEIGHT DET (IR)"/>
    <n v="13"/>
    <s v=""/>
    <x v="73"/>
    <d v="2026-10-06T00:00:00"/>
    <s v=""/>
    <s v=""/>
    <s v=""/>
    <s v=""/>
    <n v="13"/>
  </r>
  <r>
    <x v="1"/>
    <s v=""/>
    <s v="기초"/>
    <s v=""/>
    <s v=""/>
    <x v="104"/>
    <s v="RA-04S-5017]EMERGENCY S/W-K16-811"/>
    <n v="14"/>
    <s v=""/>
    <x v="74"/>
    <d v="2026-09-11T00:00:00"/>
    <s v=""/>
    <s v=""/>
    <s v=""/>
    <s v=""/>
    <n v="14"/>
  </r>
  <r>
    <x v="1"/>
    <s v=""/>
    <s v=""/>
    <s v=""/>
    <s v=""/>
    <x v="45"/>
    <s v="RF-01S-5085]FACE CAM"/>
    <n v="14"/>
    <s v=""/>
    <x v="36"/>
    <d v="2026-09-30T00:00:00"/>
    <s v=""/>
    <s v=""/>
    <s v=""/>
    <s v=""/>
    <n v="14"/>
  </r>
  <r>
    <x v="1"/>
    <s v=""/>
    <s v=""/>
    <s v=""/>
    <s v=""/>
    <x v="105"/>
    <s v="RA-08V-2663]HOOK CAS CEPH SNSR (L)"/>
    <n v="15"/>
    <s v=""/>
    <x v="75"/>
    <d v="2026-07-29T00:00:00"/>
    <s v=""/>
    <s v=""/>
    <s v=""/>
    <s v=""/>
    <n v="15"/>
  </r>
  <r>
    <x v="1"/>
    <s v=""/>
    <s v=""/>
    <s v=""/>
    <s v=""/>
    <x v="106"/>
    <s v="RA-08V-2681]PLT STOPPER GUIDE (VW)"/>
    <n v="15"/>
    <s v=""/>
    <x v="48"/>
    <d v="2026-07-29T00:00:00"/>
    <s v=""/>
    <s v=""/>
    <s v=""/>
    <s v=""/>
    <n v="15"/>
  </r>
  <r>
    <x v="1"/>
    <s v=""/>
    <s v=""/>
    <s v=""/>
    <s v=""/>
    <x v="49"/>
    <s v="MODULE ARM LEFT"/>
    <n v="15"/>
    <s v=""/>
    <x v="40"/>
    <d v="2026-09-22T00:00:00"/>
    <s v=""/>
    <s v=""/>
    <s v=""/>
    <s v=""/>
    <n v="15"/>
  </r>
  <r>
    <x v="1"/>
    <s v=""/>
    <s v="입고"/>
    <s v="A&amp;T"/>
    <s v="장동은"/>
    <x v="50"/>
    <s v="RF-01M-0396]FRAME PIPE ALIGN"/>
    <n v="15"/>
    <s v=""/>
    <x v="28"/>
    <d v="2026-10-06T00:00:00"/>
    <s v=""/>
    <s v=""/>
    <s v=""/>
    <s v=""/>
    <n v="15"/>
  </r>
  <r>
    <x v="1"/>
    <s v=""/>
    <s v=""/>
    <s v=""/>
    <s v=""/>
    <x v="107"/>
    <s v="RE-02A-1020]ASM VERTICAL MODULE"/>
    <n v="15"/>
    <s v=""/>
    <x v="13"/>
    <d v="2026-10-07T00:00:00"/>
    <s v=""/>
    <s v=""/>
    <s v=""/>
    <s v=""/>
    <n v="15"/>
  </r>
  <r>
    <x v="1"/>
    <s v=""/>
    <s v=""/>
    <s v=""/>
    <s v=""/>
    <x v="108"/>
    <s v="RA-08V-2665]BRK PUSH VIEWORKS POWER"/>
    <n v="16"/>
    <s v=""/>
    <x v="75"/>
    <d v="2026-07-29T00:00:00"/>
    <s v=""/>
    <s v=""/>
    <s v=""/>
    <s v=""/>
    <n v="16"/>
  </r>
  <r>
    <x v="1"/>
    <s v=""/>
    <s v=""/>
    <s v=""/>
    <s v=""/>
    <x v="109"/>
    <s v="RA-08V-2672]BRK SCAN CEPH BOT (VW)"/>
    <n v="16"/>
    <s v=""/>
    <x v="48"/>
    <d v="2026-07-29T00:00:00"/>
    <s v=""/>
    <s v=""/>
    <s v=""/>
    <s v=""/>
    <n v="16"/>
  </r>
  <r>
    <x v="1"/>
    <s v=""/>
    <s v=""/>
    <s v=""/>
    <s v=""/>
    <x v="110"/>
    <s v="RA-08V-2678]PLT DRUM MOUNT HEADREST (VW)"/>
    <n v="16"/>
    <s v=""/>
    <x v="48"/>
    <d v="2026-07-29T00:00:00"/>
    <s v=""/>
    <s v=""/>
    <s v=""/>
    <s v=""/>
    <n v="16"/>
  </r>
  <r>
    <x v="1"/>
    <s v=""/>
    <s v=""/>
    <s v=""/>
    <s v=""/>
    <x v="111"/>
    <s v="RA-08V-2691]HLDR CAS CEPH SNSR BOT (VW)"/>
    <n v="16"/>
    <s v=""/>
    <x v="76"/>
    <d v="2026-07-29T00:00:00"/>
    <s v=""/>
    <s v=""/>
    <s v=""/>
    <s v=""/>
    <n v="16"/>
  </r>
  <r>
    <x v="1"/>
    <s v=""/>
    <s v="반납"/>
    <s v=""/>
    <s v=""/>
    <x v="112"/>
    <s v=""/>
    <n v="16"/>
    <s v=""/>
    <x v="77"/>
    <d v="2026-09-22T00:00:00"/>
    <s v=""/>
    <s v=""/>
    <s v=""/>
    <s v=""/>
    <n v="16"/>
  </r>
  <r>
    <x v="1"/>
    <s v=""/>
    <s v="반납"/>
    <s v=""/>
    <s v=""/>
    <x v="113"/>
    <s v="RF-01M-0395]BLOCK BASE BOTTOM"/>
    <n v="16"/>
    <s v=""/>
    <x v="32"/>
    <d v="2026-09-22T00:00:00"/>
    <s v=""/>
    <s v=""/>
    <s v=""/>
    <s v=""/>
    <n v="16"/>
  </r>
  <r>
    <x v="1"/>
    <s v=""/>
    <s v="반납"/>
    <s v=""/>
    <s v=""/>
    <x v="114"/>
    <s v="RF-01T-0172]ARM CVR REAR L"/>
    <n v="16"/>
    <s v=""/>
    <x v="78"/>
    <d v="2026-09-22T00:00:00"/>
    <s v=""/>
    <s v=""/>
    <s v=""/>
    <s v=""/>
    <n v="16"/>
  </r>
  <r>
    <x v="1"/>
    <s v=""/>
    <s v=""/>
    <s v=""/>
    <s v=""/>
    <x v="115"/>
    <s v="RA-03T-0076]CAS MIRROR DECO"/>
    <n v="16"/>
    <s v=""/>
    <x v="27"/>
    <d v="2026-09-30T00:00:00"/>
    <s v=""/>
    <s v=""/>
    <s v=""/>
    <s v=""/>
    <n v="16"/>
  </r>
  <r>
    <x v="1"/>
    <s v=""/>
    <s v="입고"/>
    <s v="A&amp;T"/>
    <s v="장동은"/>
    <x v="70"/>
    <s v="RE-06A-0601]ASM COLLIMATOR MODULE"/>
    <n v="16"/>
    <s v=""/>
    <x v="13"/>
    <d v="2026-10-01T00:00:00"/>
    <s v=""/>
    <s v=""/>
    <s v=""/>
    <s v=""/>
    <n v="16"/>
  </r>
  <r>
    <x v="1"/>
    <s v=""/>
    <s v=""/>
    <s v=""/>
    <s v=""/>
    <x v="116"/>
    <s v="RA-08V-1872]BLK MOUNT OCG SNSR (VW)"/>
    <n v="17"/>
    <s v=""/>
    <x v="75"/>
    <d v="2026-07-29T00:00:00"/>
    <s v=""/>
    <s v=""/>
    <s v=""/>
    <s v=""/>
    <n v="17"/>
  </r>
  <r>
    <x v="1"/>
    <s v=""/>
    <s v="입고"/>
    <s v=""/>
    <s v=""/>
    <x v="117"/>
    <s v="RF-01H-5070]Power Switch harness"/>
    <n v="17"/>
    <s v=""/>
    <x v="79"/>
    <d v="2026-08-19T00:00:00"/>
    <s v=""/>
    <s v=""/>
    <s v=""/>
    <s v=""/>
    <n v="17"/>
  </r>
  <r>
    <x v="1"/>
    <s v=""/>
    <s v="기초"/>
    <s v=""/>
    <s v=""/>
    <x v="118"/>
    <s v="RA-02A-6082]INDICATOR_L Bd"/>
    <n v="17"/>
    <s v=""/>
    <x v="26"/>
    <d v="2026-09-11T00:00:00"/>
    <s v=""/>
    <s v=""/>
    <s v=""/>
    <s v=""/>
    <n v="17"/>
  </r>
  <r>
    <x v="1"/>
    <s v=""/>
    <s v="반납"/>
    <s v=""/>
    <s v=""/>
    <x v="119"/>
    <s v="RF-01V-0197]JETSON BRK"/>
    <n v="17"/>
    <s v=""/>
    <x v="51"/>
    <d v="2026-09-22T00:00:00"/>
    <s v=""/>
    <s v=""/>
    <s v=""/>
    <s v=""/>
    <n v="17"/>
  </r>
  <r>
    <x v="1"/>
    <s v=""/>
    <s v="반납"/>
    <s v=""/>
    <s v=""/>
    <x v="40"/>
    <s v="RF-01M-0398]COVER TOP"/>
    <n v="17"/>
    <s v=""/>
    <x v="32"/>
    <d v="2026-09-22T00:00:00"/>
    <s v=""/>
    <s v=""/>
    <s v=""/>
    <s v=""/>
    <n v="17"/>
  </r>
  <r>
    <x v="1"/>
    <s v=""/>
    <s v=""/>
    <s v=""/>
    <s v=""/>
    <x v="120"/>
    <s v="RF-01T-0241]CAL Bas UPPER"/>
    <n v="17"/>
    <s v=""/>
    <x v="32"/>
    <d v="2026-10-06T00:00:00"/>
    <s v=""/>
    <s v=""/>
    <s v=""/>
    <s v=""/>
    <n v="17"/>
  </r>
  <r>
    <x v="1"/>
    <s v=""/>
    <s v=""/>
    <s v=""/>
    <s v=""/>
    <x v="121"/>
    <s v="RE-05A-1050]ASM ROTATOR MODULE"/>
    <n v="17"/>
    <s v=""/>
    <x v="13"/>
    <d v="2026-10-07T00:00:00"/>
    <s v=""/>
    <s v=""/>
    <s v=""/>
    <s v=""/>
    <n v="17"/>
  </r>
  <r>
    <x v="1"/>
    <s v=""/>
    <s v=""/>
    <s v=""/>
    <s v=""/>
    <x v="122"/>
    <s v="RA-08V-2688]SPACER WASHER HEADREST (VW)"/>
    <n v="18"/>
    <s v=""/>
    <x v="76"/>
    <d v="2026-07-29T00:00:00"/>
    <s v=""/>
    <s v=""/>
    <s v=""/>
    <s v=""/>
    <n v="18"/>
  </r>
  <r>
    <x v="1"/>
    <s v=""/>
    <s v="반납"/>
    <s v=""/>
    <s v=""/>
    <x v="59"/>
    <s v="RF-01B-5040]MAIN Bd"/>
    <n v="18"/>
    <s v=""/>
    <x v="46"/>
    <d v="2026-09-22T00:00:00"/>
    <s v=""/>
    <s v=""/>
    <s v=""/>
    <s v=""/>
    <n v="18"/>
  </r>
  <r>
    <x v="1"/>
    <s v=""/>
    <s v="반납"/>
    <s v=""/>
    <s v=""/>
    <x v="123"/>
    <s v="RF-01M-0397]COVER BOTTOM"/>
    <n v="18"/>
    <s v=""/>
    <x v="32"/>
    <d v="2026-09-22T00:00:00"/>
    <s v=""/>
    <s v=""/>
    <s v=""/>
    <s v=""/>
    <n v="18"/>
  </r>
  <r>
    <x v="1"/>
    <s v=""/>
    <s v="반납"/>
    <s v=""/>
    <s v=""/>
    <x v="124"/>
    <s v=""/>
    <n v="18"/>
    <s v=""/>
    <x v="66"/>
    <d v="2026-09-22T00:00:00"/>
    <s v=""/>
    <s v=""/>
    <s v=""/>
    <s v=""/>
    <n v="18"/>
  </r>
  <r>
    <x v="1"/>
    <s v=""/>
    <s v="반납"/>
    <s v=""/>
    <s v=""/>
    <x v="125"/>
    <s v="RF-01T-0196]CVR REAR"/>
    <n v="18"/>
    <s v=""/>
    <x v="80"/>
    <d v="2026-09-22T00:00:00"/>
    <s v=""/>
    <s v=""/>
    <s v=""/>
    <s v=""/>
    <n v="18"/>
  </r>
  <r>
    <x v="1"/>
    <s v=""/>
    <s v="반납"/>
    <s v=""/>
    <s v=""/>
    <x v="126"/>
    <s v="USB HOLDER FRONT"/>
    <n v="18"/>
    <s v=""/>
    <x v="81"/>
    <d v="2026-09-22T00:00:00"/>
    <s v=""/>
    <s v=""/>
    <s v=""/>
    <s v=""/>
    <n v="18"/>
  </r>
  <r>
    <x v="1"/>
    <s v=""/>
    <s v=""/>
    <s v=""/>
    <s v=""/>
    <x v="127"/>
    <s v="RF-01M-0200]MIRROR PLT"/>
    <n v="18"/>
    <s v=""/>
    <x v="82"/>
    <d v="2026-10-06T00:00:00"/>
    <s v=""/>
    <s v=""/>
    <s v=""/>
    <s v=""/>
    <n v="18"/>
  </r>
  <r>
    <x v="1"/>
    <s v=""/>
    <s v=""/>
    <s v=""/>
    <s v=""/>
    <x v="128"/>
    <s v="RA-03V-1639]PLT ELECT COMPONENT (VA)"/>
    <n v="18"/>
    <s v=""/>
    <x v="83"/>
    <d v="2026-10-13T00:00:00"/>
    <s v=""/>
    <s v=""/>
    <s v=""/>
    <s v=""/>
    <n v="18"/>
  </r>
  <r>
    <x v="1"/>
    <s v=""/>
    <s v=""/>
    <s v=""/>
    <s v=""/>
    <x v="129"/>
    <s v="RA-08V-0737]CVR OC HEADREST BOT"/>
    <n v="19"/>
    <s v=""/>
    <x v="84"/>
    <d v="2026-07-29T00:00:00"/>
    <s v=""/>
    <s v=""/>
    <s v=""/>
    <s v=""/>
    <n v="19"/>
  </r>
  <r>
    <x v="1"/>
    <s v=""/>
    <s v=""/>
    <s v=""/>
    <s v=""/>
    <x v="130"/>
    <s v="RA-08V-2662]HOOK CAS CEPH SNSR (R)"/>
    <n v="19"/>
    <s v=""/>
    <x v="75"/>
    <d v="2026-07-29T00:00:00"/>
    <s v=""/>
    <s v=""/>
    <s v=""/>
    <s v=""/>
    <n v="19"/>
  </r>
  <r>
    <x v="1"/>
    <s v=""/>
    <s v=""/>
    <s v=""/>
    <s v=""/>
    <x v="131"/>
    <s v="RA-08V-2667]BRK EARLOD FIX B (VW)"/>
    <n v="19"/>
    <s v=""/>
    <x v="48"/>
    <d v="2026-07-29T00:00:00"/>
    <s v=""/>
    <s v=""/>
    <s v=""/>
    <s v=""/>
    <n v="19"/>
  </r>
  <r>
    <x v="1"/>
    <s v=""/>
    <s v=""/>
    <s v=""/>
    <s v=""/>
    <x v="132"/>
    <s v="RA-08V-2683]PLT CEPH ARM FIX (VW)"/>
    <n v="19"/>
    <s v=""/>
    <x v="76"/>
    <d v="2026-07-29T00:00:00"/>
    <s v=""/>
    <s v=""/>
    <s v=""/>
    <s v=""/>
    <n v="19"/>
  </r>
  <r>
    <x v="1"/>
    <s v=""/>
    <s v=""/>
    <s v=""/>
    <s v=""/>
    <x v="133"/>
    <s v=""/>
    <n v="19"/>
    <s v=""/>
    <x v="66"/>
    <d v="2026-09-22T00:00:00"/>
    <s v=""/>
    <s v=""/>
    <s v=""/>
    <s v=""/>
    <n v="19"/>
  </r>
  <r>
    <x v="1"/>
    <s v=""/>
    <s v=""/>
    <s v=""/>
    <s v=""/>
    <x v="134"/>
    <s v="RA-08V-0974]BRK WIRE MOUNT"/>
    <n v="20"/>
    <s v=""/>
    <x v="85"/>
    <d v="2026-07-29T00:00:00"/>
    <s v=""/>
    <s v=""/>
    <s v=""/>
    <s v=""/>
    <n v="20"/>
  </r>
  <r>
    <x v="1"/>
    <s v=""/>
    <s v="입고"/>
    <s v=""/>
    <s v=""/>
    <x v="117"/>
    <s v="RF-01H-5070]Power Switch harness"/>
    <n v="20"/>
    <s v=""/>
    <x v="79"/>
    <d v="2026-08-21T00:00:00"/>
    <s v=""/>
    <s v=""/>
    <s v=""/>
    <s v=""/>
    <n v="20"/>
  </r>
  <r>
    <x v="1"/>
    <s v=""/>
    <s v=""/>
    <s v=""/>
    <s v=""/>
    <x v="135"/>
    <s v="RF-01H-5067]LED_Right harness"/>
    <n v="20"/>
    <s v=""/>
    <x v="64"/>
    <d v="2026-08-25T00:00:00"/>
    <s v=""/>
    <s v=""/>
    <s v=""/>
    <s v=""/>
    <n v="20"/>
  </r>
  <r>
    <x v="1"/>
    <s v=""/>
    <s v="기초"/>
    <s v=""/>
    <s v=""/>
    <x v="136"/>
    <s v="RA-01V-3822]BRK Bas CVR B (MG)"/>
    <n v="20"/>
    <s v=""/>
    <x v="41"/>
    <d v="2026-09-11T00:00:00"/>
    <s v=""/>
    <s v=""/>
    <s v=""/>
    <s v=""/>
    <n v="20"/>
  </r>
  <r>
    <x v="1"/>
    <s v=""/>
    <s v="기초"/>
    <s v=""/>
    <s v=""/>
    <x v="137"/>
    <s v="RA-01V-3823]BRK Bas CVR A (MG)"/>
    <n v="20"/>
    <s v=""/>
    <x v="41"/>
    <d v="2026-09-11T00:00:00"/>
    <s v=""/>
    <s v=""/>
    <s v=""/>
    <s v=""/>
    <n v="20"/>
  </r>
  <r>
    <x v="1"/>
    <s v=""/>
    <s v="기초"/>
    <s v=""/>
    <s v=""/>
    <x v="138"/>
    <s v="RA-05V-3922]BRK ROT BOT DECO (MG)"/>
    <n v="20"/>
    <s v=""/>
    <x v="42"/>
    <d v="2026-09-11T00:00:00"/>
    <s v=""/>
    <s v=""/>
    <s v=""/>
    <s v=""/>
    <n v="20"/>
  </r>
  <r>
    <x v="1"/>
    <s v=""/>
    <s v=""/>
    <s v=""/>
    <s v=""/>
    <x v="79"/>
    <s v="RD-00S-5201]USB A to B Cable"/>
    <n v="20"/>
    <s v=""/>
    <x v="60"/>
    <d v="2026-09-22T00:00:00"/>
    <s v=""/>
    <s v=""/>
    <s v=""/>
    <s v=""/>
    <n v="20"/>
  </r>
  <r>
    <x v="1"/>
    <s v=""/>
    <s v="입고"/>
    <s v="A&amp;T"/>
    <s v="장동은"/>
    <x v="139"/>
    <s v="MODULE ARM RIGHT"/>
    <n v="20"/>
    <s v=""/>
    <x v="77"/>
    <d v="2026-10-01T00:00:00"/>
    <s v=""/>
    <s v=""/>
    <s v=""/>
    <s v=""/>
    <n v="20"/>
  </r>
  <r>
    <x v="1"/>
    <s v=""/>
    <s v=""/>
    <s v=""/>
    <s v=""/>
    <x v="140"/>
    <s v="RA-09M-1133]PIN GUIDE BITE"/>
    <n v="20"/>
    <s v=""/>
    <x v="17"/>
    <d v="2026-10-07T00:00:00"/>
    <s v=""/>
    <s v=""/>
    <s v=""/>
    <s v=""/>
    <n v="20"/>
  </r>
  <r>
    <x v="1"/>
    <s v=""/>
    <s v="입고"/>
    <s v="다유"/>
    <s v="유영국"/>
    <x v="141"/>
    <s v="ASM COLUMN BODY"/>
    <n v="20"/>
    <s v=""/>
    <x v="6"/>
    <d v="2026-10-12T00:00:00"/>
    <s v=""/>
    <s v=""/>
    <s v=""/>
    <s v=""/>
    <n v="20"/>
  </r>
  <r>
    <x v="1"/>
    <s v=""/>
    <s v=""/>
    <s v=""/>
    <s v=""/>
    <x v="142"/>
    <s v="RA-5-1]EARTH NF"/>
    <n v="20"/>
    <s v=""/>
    <x v="30"/>
    <d v="2026-10-06T00:00:00"/>
    <s v=""/>
    <s v=""/>
    <s v=""/>
    <s v=""/>
    <n v="20"/>
  </r>
  <r>
    <x v="1"/>
    <s v=""/>
    <s v=""/>
    <s v=""/>
    <s v=""/>
    <x v="143"/>
    <s v="RA-08V-2676]BRK MOUNT CEPH ARM (VW)"/>
    <n v="21"/>
    <s v=""/>
    <x v="48"/>
    <d v="2026-07-29T00:00:00"/>
    <s v=""/>
    <s v=""/>
    <s v=""/>
    <s v=""/>
    <n v="21"/>
  </r>
  <r>
    <x v="1"/>
    <s v=""/>
    <s v=""/>
    <s v=""/>
    <s v=""/>
    <x v="144"/>
    <s v="RF-01H-5055]LED Power harness"/>
    <n v="21"/>
    <s v=""/>
    <x v="53"/>
    <d v="2026-08-25T00:00:00"/>
    <s v=""/>
    <s v=""/>
    <s v=""/>
    <s v=""/>
    <n v="21"/>
  </r>
  <r>
    <x v="1"/>
    <s v=""/>
    <s v="기초"/>
    <s v=""/>
    <s v=""/>
    <x v="145"/>
    <s v="RA-03T-3873]CAS CLMN BODY REAR R (MG)"/>
    <n v="21"/>
    <s v=""/>
    <x v="86"/>
    <d v="2026-09-11T00:00:00"/>
    <s v=""/>
    <s v=""/>
    <s v=""/>
    <s v=""/>
    <n v="21"/>
  </r>
  <r>
    <x v="1"/>
    <s v=""/>
    <s v="기초"/>
    <s v=""/>
    <s v=""/>
    <x v="146"/>
    <s v="RA-03V-3859]BRK HORIZONTAL LASERBEAM(MG"/>
    <n v="21"/>
    <s v=""/>
    <x v="42"/>
    <d v="2026-09-11T00:00:00"/>
    <s v=""/>
    <s v=""/>
    <s v=""/>
    <s v=""/>
    <n v="21"/>
  </r>
  <r>
    <x v="1"/>
    <s v=""/>
    <s v="기초"/>
    <s v=""/>
    <s v=""/>
    <x v="147"/>
    <s v="RA-06M-3941]BLK LED SMOG R (MG)"/>
    <n v="21"/>
    <s v=""/>
    <x v="87"/>
    <d v="2026-09-11T00:00:00"/>
    <s v=""/>
    <s v=""/>
    <s v=""/>
    <s v=""/>
    <n v="21"/>
  </r>
  <r>
    <x v="1"/>
    <s v=""/>
    <s v="기초"/>
    <s v=""/>
    <s v=""/>
    <x v="148"/>
    <s v="RA-06M-3942]BLK LED SMOG L (MG)"/>
    <n v="21"/>
    <s v=""/>
    <x v="87"/>
    <d v="2026-09-11T00:00:00"/>
    <s v=""/>
    <s v=""/>
    <s v=""/>
    <s v=""/>
    <n v="21"/>
  </r>
  <r>
    <x v="1"/>
    <s v=""/>
    <s v="반납"/>
    <s v=""/>
    <s v=""/>
    <x v="149"/>
    <s v="RF-01V-0254]REAR CVR TOP BRK"/>
    <n v="21"/>
    <s v=""/>
    <x v="34"/>
    <d v="2026-09-22T00:00:00"/>
    <s v=""/>
    <s v=""/>
    <s v=""/>
    <s v=""/>
    <n v="21"/>
  </r>
  <r>
    <x v="1"/>
    <s v=""/>
    <s v="반납"/>
    <s v=""/>
    <s v=""/>
    <x v="73"/>
    <s v="RF-01H-5052]USB TO SBC HARNESS"/>
    <n v="21"/>
    <s v=""/>
    <x v="53"/>
    <d v="2026-09-22T00:00:00"/>
    <s v=""/>
    <s v=""/>
    <s v=""/>
    <s v=""/>
    <n v="21"/>
  </r>
  <r>
    <x v="1"/>
    <s v=""/>
    <s v="반납"/>
    <s v=""/>
    <s v=""/>
    <x v="78"/>
    <s v="RF-01T-0355]CAMERA CASE R"/>
    <n v="21"/>
    <s v=""/>
    <x v="59"/>
    <d v="2026-09-22T00:00:00"/>
    <s v=""/>
    <s v=""/>
    <s v=""/>
    <s v=""/>
    <n v="21"/>
  </r>
  <r>
    <x v="1"/>
    <s v=""/>
    <s v=""/>
    <s v=""/>
    <s v=""/>
    <x v="86"/>
    <s v=""/>
    <n v="21"/>
    <s v=""/>
    <x v="45"/>
    <d v="2026-09-22T00:00:00"/>
    <s v=""/>
    <s v=""/>
    <s v=""/>
    <s v=""/>
    <n v="21"/>
  </r>
  <r>
    <x v="1"/>
    <s v=""/>
    <s v=""/>
    <s v=""/>
    <s v=""/>
    <x v="150"/>
    <s v=""/>
    <n v="22"/>
    <s v=""/>
    <x v="88"/>
    <d v="2026-07-29T00:00:00"/>
    <s v=""/>
    <s v=""/>
    <s v=""/>
    <s v=""/>
    <n v="22"/>
  </r>
  <r>
    <x v="1"/>
    <s v=""/>
    <s v=""/>
    <s v=""/>
    <s v=""/>
    <x v="151"/>
    <s v="RA-08V-2664]HLDR CAS CEPH SNSR (RL) (VW)"/>
    <n v="22"/>
    <s v=""/>
    <x v="75"/>
    <d v="2026-07-29T00:00:00"/>
    <s v=""/>
    <s v=""/>
    <s v=""/>
    <s v=""/>
    <n v="22"/>
  </r>
  <r>
    <x v="1"/>
    <s v=""/>
    <s v="기초"/>
    <s v=""/>
    <s v=""/>
    <x v="152"/>
    <s v="RA-04V-3815]BRK THU CABLE GUIDE (MG)"/>
    <n v="22"/>
    <s v=""/>
    <x v="42"/>
    <d v="2026-09-11T00:00:00"/>
    <s v=""/>
    <s v=""/>
    <s v=""/>
    <s v=""/>
    <n v="22"/>
  </r>
  <r>
    <x v="1"/>
    <s v=""/>
    <s v="반납"/>
    <s v=""/>
    <s v=""/>
    <x v="36"/>
    <s v="RF-01V-0208]FRONT FRM"/>
    <n v="22"/>
    <s v=""/>
    <x v="28"/>
    <d v="2026-09-22T00:00:00"/>
    <s v=""/>
    <s v=""/>
    <s v=""/>
    <s v=""/>
    <n v="22"/>
  </r>
  <r>
    <x v="1"/>
    <s v=""/>
    <s v="반납"/>
    <s v=""/>
    <s v=""/>
    <x v="153"/>
    <s v="RF-01G-0252]MOLDING FRONT MIRROR"/>
    <n v="22"/>
    <s v=""/>
    <x v="89"/>
    <d v="2026-09-22T00:00:00"/>
    <s v=""/>
    <s v=""/>
    <s v=""/>
    <s v=""/>
    <n v="22"/>
  </r>
  <r>
    <x v="1"/>
    <s v=""/>
    <s v="반납"/>
    <s v=""/>
    <s v=""/>
    <x v="154"/>
    <s v="RF-01B-5035]CONNECTOR Bd"/>
    <n v="22"/>
    <s v=""/>
    <x v="90"/>
    <d v="2026-09-22T00:00:00"/>
    <s v=""/>
    <s v=""/>
    <s v=""/>
    <s v=""/>
    <n v="22"/>
  </r>
  <r>
    <x v="1"/>
    <s v=""/>
    <s v="반납"/>
    <s v=""/>
    <s v=""/>
    <x v="155"/>
    <s v=""/>
    <n v="22"/>
    <s v=""/>
    <x v="80"/>
    <d v="2026-09-22T00:00:00"/>
    <s v=""/>
    <s v=""/>
    <s v=""/>
    <s v=""/>
    <n v="22"/>
  </r>
  <r>
    <x v="1"/>
    <s v=""/>
    <s v="반납"/>
    <s v=""/>
    <s v=""/>
    <x v="117"/>
    <s v="RF-01H-5070]Power Switch harness"/>
    <n v="22"/>
    <s v=""/>
    <x v="79"/>
    <d v="2026-09-22T00:00:00"/>
    <s v=""/>
    <s v=""/>
    <s v=""/>
    <s v=""/>
    <n v="22"/>
  </r>
  <r>
    <x v="1"/>
    <s v=""/>
    <s v="반납"/>
    <s v=""/>
    <s v=""/>
    <x v="89"/>
    <s v="RF-01T-0352]CAMERA CASE B"/>
    <n v="22"/>
    <s v=""/>
    <x v="59"/>
    <d v="2026-09-22T00:00:00"/>
    <s v=""/>
    <s v=""/>
    <s v=""/>
    <s v=""/>
    <n v="22"/>
  </r>
  <r>
    <x v="1"/>
    <s v=""/>
    <s v="반납"/>
    <s v=""/>
    <s v=""/>
    <x v="101"/>
    <s v="RF-01H-5069]LED_Bottom harness"/>
    <n v="22"/>
    <s v=""/>
    <x v="64"/>
    <d v="2026-09-22T00:00:00"/>
    <s v=""/>
    <s v=""/>
    <s v=""/>
    <s v=""/>
    <n v="22"/>
  </r>
  <r>
    <x v="1"/>
    <s v=""/>
    <s v="반납"/>
    <s v=""/>
    <s v=""/>
    <x v="156"/>
    <s v="RF-01B-5039]POWER HUB Bd"/>
    <n v="22"/>
    <s v=""/>
    <x v="91"/>
    <d v="2026-09-22T00:00:00"/>
    <s v=""/>
    <s v=""/>
    <s v=""/>
    <s v=""/>
    <n v="22"/>
  </r>
  <r>
    <x v="1"/>
    <s v=""/>
    <s v="반납"/>
    <s v=""/>
    <s v=""/>
    <x v="135"/>
    <s v="RF-01H-5067]LED_Right harness"/>
    <n v="22"/>
    <s v=""/>
    <x v="64"/>
    <d v="2026-09-22T00:00:00"/>
    <s v=""/>
    <s v=""/>
    <s v=""/>
    <s v=""/>
    <n v="22"/>
  </r>
  <r>
    <x v="1"/>
    <s v=""/>
    <s v=""/>
    <s v=""/>
    <s v=""/>
    <x v="157"/>
    <s v="RA-11-9]DC POWER MOT-A"/>
    <n v="22"/>
    <s v=""/>
    <x v="9"/>
    <d v="2026-10-07T00:00:00"/>
    <s v=""/>
    <s v=""/>
    <s v=""/>
    <s v=""/>
    <n v="22"/>
  </r>
  <r>
    <x v="1"/>
    <s v=""/>
    <s v=""/>
    <s v=""/>
    <s v=""/>
    <x v="158"/>
    <s v="RA-08V-2666]BRK EARLOD FIX A (VW)"/>
    <n v="23"/>
    <s v=""/>
    <x v="75"/>
    <d v="2026-07-29T00:00:00"/>
    <s v=""/>
    <s v=""/>
    <s v=""/>
    <s v=""/>
    <n v="23"/>
  </r>
  <r>
    <x v="1"/>
    <s v=""/>
    <s v="기초"/>
    <s v=""/>
    <s v=""/>
    <x v="159"/>
    <s v="RA-02V-3854]BRK INDICATOR GUIDE (MG)"/>
    <n v="23"/>
    <s v=""/>
    <x v="41"/>
    <d v="2026-09-11T00:00:00"/>
    <s v=""/>
    <s v=""/>
    <s v=""/>
    <s v=""/>
    <n v="23"/>
  </r>
  <r>
    <x v="1"/>
    <s v=""/>
    <s v="기초"/>
    <s v=""/>
    <s v=""/>
    <x v="160"/>
    <s v="RA-03V-3857]BRK CVR HORIZONTAL (MG)"/>
    <n v="23"/>
    <s v=""/>
    <x v="92"/>
    <d v="2026-09-11T00:00:00"/>
    <s v=""/>
    <s v=""/>
    <s v=""/>
    <s v=""/>
    <n v="23"/>
  </r>
  <r>
    <x v="1"/>
    <s v=""/>
    <s v="기초"/>
    <s v=""/>
    <s v=""/>
    <x v="161"/>
    <s v="RA-15-13R]CAM-R"/>
    <n v="23"/>
    <s v=""/>
    <x v="93"/>
    <d v="2026-09-11T00:00:00"/>
    <s v=""/>
    <s v=""/>
    <s v=""/>
    <s v=""/>
    <n v="23"/>
  </r>
  <r>
    <x v="1"/>
    <s v=""/>
    <s v="반납"/>
    <s v=""/>
    <s v=""/>
    <x v="162"/>
    <s v="RF-01B-5036] LED CENTER BOARD"/>
    <n v="23"/>
    <s v=""/>
    <x v="94"/>
    <d v="2026-09-22T00:00:00"/>
    <s v=""/>
    <s v=""/>
    <s v=""/>
    <s v=""/>
    <n v="23"/>
  </r>
  <r>
    <x v="1"/>
    <s v=""/>
    <s v="반납"/>
    <s v=""/>
    <s v=""/>
    <x v="163"/>
    <s v="RF-01B-5034] POWER BUTTON BOARD"/>
    <n v="23"/>
    <s v=""/>
    <x v="95"/>
    <d v="2026-09-22T00:00:00"/>
    <s v=""/>
    <s v=""/>
    <s v=""/>
    <s v=""/>
    <n v="23"/>
  </r>
  <r>
    <x v="1"/>
    <s v=""/>
    <s v="반납"/>
    <s v=""/>
    <s v=""/>
    <x v="58"/>
    <s v="RF-01S-5087]CAM Cable_Face"/>
    <n v="23"/>
    <s v=""/>
    <x v="45"/>
    <d v="2026-09-22T00:00:00"/>
    <s v=""/>
    <s v=""/>
    <s v=""/>
    <s v=""/>
    <n v="23"/>
  </r>
  <r>
    <x v="1"/>
    <s v=""/>
    <s v="반납"/>
    <s v=""/>
    <s v=""/>
    <x v="164"/>
    <s v="RF-01T-0354]CAMERA CASE L"/>
    <n v="23"/>
    <s v=""/>
    <x v="59"/>
    <d v="2026-09-22T00:00:00"/>
    <s v=""/>
    <s v=""/>
    <s v=""/>
    <s v=""/>
    <n v="23"/>
  </r>
  <r>
    <x v="1"/>
    <s v=""/>
    <s v=""/>
    <s v=""/>
    <s v=""/>
    <x v="165"/>
    <s v="RA-11-19]LED Power Cable"/>
    <n v="23"/>
    <s v=""/>
    <x v="96"/>
    <d v="2026-10-06T00:00:00"/>
    <s v=""/>
    <s v=""/>
    <s v=""/>
    <s v=""/>
    <n v="23"/>
  </r>
  <r>
    <x v="1"/>
    <s v=""/>
    <s v="기초"/>
    <s v=""/>
    <s v=""/>
    <x v="166"/>
    <s v="RA-02V-3844]BRK WINDOW INDICATOR (MG)"/>
    <n v="24"/>
    <s v=""/>
    <x v="41"/>
    <d v="2026-09-11T00:00:00"/>
    <s v=""/>
    <s v=""/>
    <s v=""/>
    <s v=""/>
    <n v="24"/>
  </r>
  <r>
    <x v="1"/>
    <s v=""/>
    <s v="기초"/>
    <s v=""/>
    <s v=""/>
    <x v="167"/>
    <s v="RA-04V-2294]FRM ARM BAS (A+)"/>
    <n v="24"/>
    <s v=""/>
    <x v="97"/>
    <d v="2026-09-11T00:00:00"/>
    <s v=""/>
    <s v=""/>
    <s v=""/>
    <s v=""/>
    <n v="24"/>
  </r>
  <r>
    <x v="1"/>
    <s v=""/>
    <s v="입고"/>
    <s v="A&amp;T"/>
    <s v="장동은"/>
    <x v="168"/>
    <s v="RA-02M-2004]BLK MOVING LWR (A+)"/>
    <n v="24"/>
    <s v=""/>
    <x v="11"/>
    <d v="2026-10-01T00:00:00"/>
    <s v=""/>
    <s v=""/>
    <s v=""/>
    <s v=""/>
    <n v="24"/>
  </r>
  <r>
    <x v="1"/>
    <s v=""/>
    <s v="기초"/>
    <s v=""/>
    <s v=""/>
    <x v="169"/>
    <s v="RA-09S-3983]STK FOOT (MG)"/>
    <n v="25"/>
    <s v=""/>
    <x v="98"/>
    <d v="2026-09-11T00:00:00"/>
    <s v=""/>
    <s v=""/>
    <s v=""/>
    <s v=""/>
    <n v="25"/>
  </r>
  <r>
    <x v="1"/>
    <s v=""/>
    <s v="기초"/>
    <s v=""/>
    <s v=""/>
    <x v="170"/>
    <s v="RA-09S-3984]FOOT STK JIG (MG)"/>
    <n v="25"/>
    <s v=""/>
    <x v="98"/>
    <d v="2026-09-11T00:00:00"/>
    <s v=""/>
    <s v=""/>
    <s v=""/>
    <s v=""/>
    <n v="25"/>
  </r>
  <r>
    <x v="1"/>
    <s v=""/>
    <s v="반납"/>
    <s v=""/>
    <s v=""/>
    <x v="171"/>
    <s v=""/>
    <n v="25"/>
    <s v=""/>
    <x v="99"/>
    <d v="2026-09-22T00:00:00"/>
    <s v=""/>
    <s v=""/>
    <s v=""/>
    <s v=""/>
    <n v="25"/>
  </r>
  <r>
    <x v="1"/>
    <s v=""/>
    <s v=""/>
    <s v=""/>
    <s v=""/>
    <x v="85"/>
    <s v="RF-01S-5086]TEETH CAM"/>
    <n v="25"/>
    <s v=""/>
    <x v="66"/>
    <d v="2026-10-06T00:00:00"/>
    <s v=""/>
    <s v=""/>
    <s v=""/>
    <s v=""/>
    <n v="25"/>
  </r>
  <r>
    <x v="1"/>
    <s v=""/>
    <s v=""/>
    <s v=""/>
    <s v=""/>
    <x v="172"/>
    <s v="RA-04A-6035_4]Bd ASSY'-THU Bd"/>
    <n v="25"/>
    <s v=""/>
    <x v="100"/>
    <d v="2026-10-01T00:00:00"/>
    <s v=""/>
    <s v=""/>
    <s v=""/>
    <s v=""/>
    <n v="25"/>
  </r>
  <r>
    <x v="1"/>
    <s v=""/>
    <s v=""/>
    <s v=""/>
    <s v=""/>
    <x v="173"/>
    <s v="RA-08V-0604]STOPPER SCAN CEPH"/>
    <n v="26"/>
    <s v=""/>
    <x v="85"/>
    <d v="2026-07-29T00:00:00"/>
    <s v=""/>
    <s v=""/>
    <s v=""/>
    <s v=""/>
    <n v="26"/>
  </r>
  <r>
    <x v="1"/>
    <s v=""/>
    <s v="기초"/>
    <s v=""/>
    <s v=""/>
    <x v="174"/>
    <s v="RA-03T-3872]CAS CLMN BODY REAR L (MG)"/>
    <n v="26"/>
    <s v=""/>
    <x v="86"/>
    <d v="2026-09-11T00:00:00"/>
    <s v=""/>
    <s v=""/>
    <s v=""/>
    <s v=""/>
    <n v="26"/>
  </r>
  <r>
    <x v="1"/>
    <s v=""/>
    <s v="반납"/>
    <s v=""/>
    <s v=""/>
    <x v="175"/>
    <s v="RF-01T-0164]LED TOUCH INDIGATOR"/>
    <n v="26"/>
    <s v=""/>
    <x v="101"/>
    <d v="2026-09-22T00:00:00"/>
    <s v=""/>
    <s v=""/>
    <s v=""/>
    <s v=""/>
    <n v="26"/>
  </r>
  <r>
    <x v="1"/>
    <s v=""/>
    <s v=""/>
    <s v=""/>
    <s v=""/>
    <x v="176"/>
    <s v=""/>
    <n v="26"/>
    <s v=""/>
    <x v="102"/>
    <d v="2026-09-10T00:00:00"/>
    <s v=""/>
    <s v=""/>
    <s v=""/>
    <s v=""/>
    <n v="26"/>
  </r>
  <r>
    <x v="1"/>
    <s v=""/>
    <s v=""/>
    <s v=""/>
    <s v=""/>
    <x v="177"/>
    <s v="RA-04A-2748]ASM ARM SUB (A+) (VN)"/>
    <n v="27"/>
    <s v=""/>
    <x v="33"/>
    <d v="2026-10-13T00:00:00"/>
    <s v=""/>
    <s v=""/>
    <s v=""/>
    <s v=""/>
    <n v="27"/>
  </r>
  <r>
    <x v="1"/>
    <s v=""/>
    <s v="기초"/>
    <s v=""/>
    <s v=""/>
    <x v="178"/>
    <s v="RA-04V-3882]BRK THU ARM (MG)"/>
    <n v="28"/>
    <s v=""/>
    <x v="42"/>
    <d v="2026-09-11T00:00:00"/>
    <s v=""/>
    <s v=""/>
    <s v=""/>
    <s v=""/>
    <n v="28"/>
  </r>
  <r>
    <x v="1"/>
    <s v=""/>
    <s v="반납"/>
    <s v=""/>
    <s v=""/>
    <x v="76"/>
    <s v="RF-10A-2086]ASM JETSON NANO"/>
    <n v="28"/>
    <s v=""/>
    <x v="57"/>
    <d v="2026-09-22T00:00:00"/>
    <s v=""/>
    <s v=""/>
    <s v=""/>
    <s v=""/>
    <n v="28"/>
  </r>
  <r>
    <x v="1"/>
    <s v=""/>
    <s v="기초"/>
    <s v=""/>
    <s v=""/>
    <x v="179"/>
    <s v="RA-03S-6081]Main Switch"/>
    <n v="29"/>
    <s v=""/>
    <x v="98"/>
    <d v="2026-09-11T00:00:00"/>
    <s v=""/>
    <s v=""/>
    <s v=""/>
    <s v=""/>
    <n v="29"/>
  </r>
  <r>
    <x v="1"/>
    <s v=""/>
    <s v="반납"/>
    <s v=""/>
    <s v=""/>
    <x v="93"/>
    <s v=""/>
    <n v="29"/>
    <s v=""/>
    <x v="70"/>
    <d v="2026-09-22T00:00:00"/>
    <s v=""/>
    <s v=""/>
    <s v=""/>
    <s v=""/>
    <n v="29"/>
  </r>
  <r>
    <x v="1"/>
    <s v=""/>
    <s v=""/>
    <s v=""/>
    <s v=""/>
    <x v="180"/>
    <s v="RF-01T-0190]CVR FRONT"/>
    <n v="29"/>
    <s v=""/>
    <x v="103"/>
    <d v="2026-10-06T00:00:00"/>
    <s v=""/>
    <s v=""/>
    <s v=""/>
    <s v=""/>
    <n v="29"/>
  </r>
  <r>
    <x v="1"/>
    <s v=""/>
    <s v="입고"/>
    <s v="Bach tung"/>
    <s v="유영국"/>
    <x v="181"/>
    <s v="RA-03A-0050_I]ASM HORIZONTAL LASER BEAM"/>
    <n v="30"/>
    <s v=""/>
    <x v="104"/>
    <d v="2026-10-01T00:00:00"/>
    <s v=""/>
    <s v=""/>
    <s v=""/>
    <s v=""/>
    <n v="30"/>
  </r>
  <r>
    <x v="1"/>
    <s v=""/>
    <s v="기초"/>
    <s v=""/>
    <s v=""/>
    <x v="182"/>
    <s v="RA-02A-6083]INDICATOR_R Bd"/>
    <n v="30"/>
    <s v=""/>
    <x v="26"/>
    <d v="2026-09-11T00:00:00"/>
    <s v=""/>
    <s v=""/>
    <s v=""/>
    <s v=""/>
    <n v="30"/>
  </r>
  <r>
    <x v="1"/>
    <s v=""/>
    <s v="기초"/>
    <s v=""/>
    <s v=""/>
    <x v="183"/>
    <s v="RA-02V-3841]CVR VERT BOT (MG)"/>
    <n v="30"/>
    <s v=""/>
    <x v="105"/>
    <d v="2026-09-11T00:00:00"/>
    <s v=""/>
    <s v=""/>
    <s v=""/>
    <s v=""/>
    <n v="30"/>
  </r>
  <r>
    <x v="1"/>
    <s v=""/>
    <s v="기초"/>
    <s v=""/>
    <s v=""/>
    <x v="184"/>
    <s v="RA-02V-3847]CVR VERT UPPER (MG)"/>
    <n v="30"/>
    <s v=""/>
    <x v="106"/>
    <d v="2026-09-11T00:00:00"/>
    <s v=""/>
    <s v=""/>
    <s v=""/>
    <s v=""/>
    <n v="30"/>
  </r>
  <r>
    <x v="1"/>
    <s v=""/>
    <s v="기초"/>
    <s v=""/>
    <s v=""/>
    <x v="185"/>
    <s v="RA-03V-3863]CVR PROTOR SWITCH (MG)"/>
    <n v="30"/>
    <s v=""/>
    <x v="42"/>
    <d v="2026-09-11T00:00:00"/>
    <s v=""/>
    <s v=""/>
    <s v=""/>
    <s v=""/>
    <n v="30"/>
  </r>
  <r>
    <x v="1"/>
    <s v=""/>
    <s v="기초"/>
    <s v=""/>
    <s v=""/>
    <x v="186"/>
    <s v=""/>
    <n v="30"/>
    <s v=""/>
    <x v="105"/>
    <d v="2026-09-11T00:00:00"/>
    <s v=""/>
    <s v=""/>
    <s v=""/>
    <s v=""/>
    <n v="30"/>
  </r>
  <r>
    <x v="1"/>
    <s v=""/>
    <s v="기초"/>
    <s v=""/>
    <s v=""/>
    <x v="187"/>
    <s v="RA-06S-6058]CAM I/F Bd"/>
    <n v="30"/>
    <s v=""/>
    <x v="107"/>
    <d v="2026-09-11T00:00:00"/>
    <s v=""/>
    <s v=""/>
    <s v=""/>
    <s v=""/>
    <n v="30"/>
  </r>
  <r>
    <x v="1"/>
    <s v=""/>
    <s v=""/>
    <s v=""/>
    <s v=""/>
    <x v="188"/>
    <s v="RF-01H-5071]SBC LAN Cable"/>
    <n v="30"/>
    <s v=""/>
    <x v="79"/>
    <d v="2026-09-22T00:00:00"/>
    <s v=""/>
    <s v=""/>
    <s v=""/>
    <s v=""/>
    <n v="30"/>
  </r>
  <r>
    <x v="1"/>
    <s v=""/>
    <s v=""/>
    <s v=""/>
    <s v=""/>
    <x v="139"/>
    <s v="MODULE ARM RIGHT"/>
    <n v="30"/>
    <s v=""/>
    <x v="77"/>
    <d v="2026-09-22T00:00:00"/>
    <s v=""/>
    <s v=""/>
    <s v=""/>
    <s v=""/>
    <n v="30"/>
  </r>
  <r>
    <x v="1"/>
    <s v=""/>
    <s v="기초"/>
    <s v=""/>
    <s v=""/>
    <x v="189"/>
    <s v="RA-02T-3850]CAS VERT UPPER L (MG)"/>
    <n v="31"/>
    <s v=""/>
    <x v="86"/>
    <d v="2026-09-11T00:00:00"/>
    <s v=""/>
    <s v=""/>
    <s v=""/>
    <s v=""/>
    <n v="31"/>
  </r>
  <r>
    <x v="1"/>
    <s v=""/>
    <s v="기초"/>
    <s v=""/>
    <s v=""/>
    <x v="190"/>
    <s v="RA-06S-6070]16GB eMMC Mdl"/>
    <n v="31"/>
    <s v=""/>
    <x v="107"/>
    <d v="2026-09-11T00:00:00"/>
    <s v=""/>
    <s v=""/>
    <s v=""/>
    <s v=""/>
    <n v="31"/>
  </r>
  <r>
    <x v="1"/>
    <s v=""/>
    <s v="기초"/>
    <s v=""/>
    <s v=""/>
    <x v="191"/>
    <s v="RA-03T-3870]CAS CLMN BODY LWR L (MG)"/>
    <n v="32"/>
    <s v=""/>
    <x v="86"/>
    <d v="2026-09-11T00:00:00"/>
    <s v=""/>
    <s v=""/>
    <s v=""/>
    <s v=""/>
    <n v="32"/>
  </r>
  <r>
    <x v="1"/>
    <s v=""/>
    <s v="기초"/>
    <s v=""/>
    <s v=""/>
    <x v="192"/>
    <s v="RA-06V-3932]BRK CAM FIX (MG)"/>
    <n v="32"/>
    <s v=""/>
    <x v="68"/>
    <d v="2026-09-11T00:00:00"/>
    <s v=""/>
    <s v=""/>
    <s v=""/>
    <s v=""/>
    <n v="32"/>
  </r>
  <r>
    <x v="1"/>
    <s v=""/>
    <s v="입고"/>
    <s v="A&amp;T"/>
    <s v="조영우"/>
    <x v="119"/>
    <s v="RF-01V-0197]JETSON BRK"/>
    <n v="32"/>
    <s v=""/>
    <x v="51"/>
    <d v="2026-09-08T00:00:00"/>
    <s v=""/>
    <s v=""/>
    <s v=""/>
    <s v=""/>
    <n v="32"/>
  </r>
  <r>
    <x v="1"/>
    <s v=""/>
    <s v=""/>
    <s v=""/>
    <s v=""/>
    <x v="193"/>
    <s v="RA-04V-0117] ARM MONITOR"/>
    <n v="32"/>
    <s v=""/>
    <x v="108"/>
    <d v="2026-10-13T00:00:00"/>
    <s v=""/>
    <s v=""/>
    <s v=""/>
    <s v=""/>
    <n v="32"/>
  </r>
  <r>
    <x v="1"/>
    <s v=""/>
    <s v="기초"/>
    <s v=""/>
    <s v=""/>
    <x v="194"/>
    <s v="RA-06T-3940]CAS TUBE TNK FRONT (MG)"/>
    <n v="33"/>
    <s v=""/>
    <x v="86"/>
    <d v="2026-09-11T00:00:00"/>
    <s v=""/>
    <s v=""/>
    <s v=""/>
    <s v=""/>
    <n v="33"/>
  </r>
  <r>
    <x v="1"/>
    <s v=""/>
    <s v=""/>
    <s v=""/>
    <s v=""/>
    <x v="195"/>
    <s v="RA-11-23]Fcol MOT Cable D"/>
    <n v="33"/>
    <s v=""/>
    <x v="109"/>
    <d v="2026-10-06T00:00:00"/>
    <s v=""/>
    <s v=""/>
    <s v=""/>
    <s v=""/>
    <n v="33"/>
  </r>
  <r>
    <x v="1"/>
    <s v=""/>
    <s v="기초"/>
    <s v=""/>
    <s v=""/>
    <x v="196"/>
    <s v="RA-05T-3926]CAS ROT BOT (MG)"/>
    <n v="35"/>
    <s v=""/>
    <x v="86"/>
    <d v="2026-09-11T00:00:00"/>
    <s v=""/>
    <s v=""/>
    <s v=""/>
    <s v=""/>
    <n v="35"/>
  </r>
  <r>
    <x v="1"/>
    <s v=""/>
    <s v=""/>
    <s v=""/>
    <s v=""/>
    <x v="197"/>
    <s v="RA-07V-2781]PLT Bas DET (IR)"/>
    <n v="35"/>
    <s v=""/>
    <x v="11"/>
    <d v="2026-10-06T00:00:00"/>
    <s v=""/>
    <s v=""/>
    <s v=""/>
    <s v=""/>
    <n v="35"/>
  </r>
  <r>
    <x v="1"/>
    <s v=""/>
    <s v=""/>
    <s v=""/>
    <s v=""/>
    <x v="198"/>
    <s v="RA-03S-6045]SMPS-RPS-200-24V"/>
    <n v="35"/>
    <s v=""/>
    <x v="110"/>
    <d v="2026-10-13T00:00:00"/>
    <s v=""/>
    <s v=""/>
    <s v=""/>
    <s v=""/>
    <n v="35"/>
  </r>
  <r>
    <x v="1"/>
    <s v=""/>
    <s v="반납"/>
    <s v=""/>
    <s v=""/>
    <x v="199"/>
    <s v="RF-01M-0269]FACE CAM BLK_HR"/>
    <n v="36"/>
    <s v=""/>
    <x v="81"/>
    <d v="2026-09-22T00:00:00"/>
    <s v=""/>
    <s v=""/>
    <s v=""/>
    <s v=""/>
    <n v="36"/>
  </r>
  <r>
    <x v="1"/>
    <s v=""/>
    <s v=""/>
    <s v=""/>
    <s v=""/>
    <x v="200"/>
    <s v="RA-07A-6048]Bd ASSY'-ADET POWER-3D NEW"/>
    <n v="36"/>
    <s v=""/>
    <x v="111"/>
    <d v="2026-09-29T00:00:00"/>
    <s v=""/>
    <s v=""/>
    <s v=""/>
    <s v=""/>
    <n v="36"/>
  </r>
  <r>
    <x v="1"/>
    <s v=""/>
    <s v="입고"/>
    <s v=""/>
    <s v=""/>
    <x v="93"/>
    <s v=""/>
    <n v="37"/>
    <s v=""/>
    <x v="70"/>
    <d v="2026-08-18T00:00:00"/>
    <s v=""/>
    <s v=""/>
    <s v=""/>
    <s v=""/>
    <n v="37"/>
  </r>
  <r>
    <x v="1"/>
    <s v=""/>
    <s v="기초"/>
    <s v=""/>
    <s v=""/>
    <x v="201"/>
    <s v="RA-07T-3957]CAS DET LWR (MG)"/>
    <n v="37"/>
    <s v=""/>
    <x v="86"/>
    <d v="2026-09-11T00:00:00"/>
    <s v=""/>
    <s v=""/>
    <s v=""/>
    <s v=""/>
    <n v="37"/>
  </r>
  <r>
    <x v="1"/>
    <s v=""/>
    <s v=""/>
    <s v=""/>
    <s v=""/>
    <x v="202"/>
    <s v="RF-01H-5075] USB to Cal kit harness"/>
    <n v="37"/>
    <s v=""/>
    <x v="79"/>
    <d v="2026-09-22T00:00:00"/>
    <s v=""/>
    <s v=""/>
    <s v=""/>
    <s v=""/>
    <n v="37"/>
  </r>
  <r>
    <x v="1"/>
    <s v=""/>
    <s v=""/>
    <s v=""/>
    <s v=""/>
    <x v="203"/>
    <s v="RF-01H-5053]USB to PC harness"/>
    <n v="37"/>
    <s v=""/>
    <x v="53"/>
    <d v="2026-09-22T00:00:00"/>
    <s v=""/>
    <s v=""/>
    <s v=""/>
    <s v=""/>
    <n v="37"/>
  </r>
  <r>
    <x v="1"/>
    <s v=""/>
    <s v=""/>
    <s v=""/>
    <s v=""/>
    <x v="204"/>
    <s v="RF-01S-5084]CAM Trigger_C harness"/>
    <n v="37"/>
    <s v=""/>
    <x v="112"/>
    <d v="2026-09-30T00:00:00"/>
    <s v=""/>
    <s v=""/>
    <s v=""/>
    <s v=""/>
    <n v="37"/>
  </r>
  <r>
    <x v="1"/>
    <s v=""/>
    <s v="기초"/>
    <s v=""/>
    <s v=""/>
    <x v="205"/>
    <s v="RA-03V-3868]BRK LASER BEAM KNOB (MG)"/>
    <n v="38"/>
    <s v=""/>
    <x v="42"/>
    <d v="2026-09-11T00:00:00"/>
    <s v=""/>
    <s v=""/>
    <s v=""/>
    <s v=""/>
    <n v="38"/>
  </r>
  <r>
    <x v="1"/>
    <s v=""/>
    <s v=""/>
    <s v=""/>
    <s v=""/>
    <x v="206"/>
    <s v="RA-06V-3389]BRK COL Bd (ST)"/>
    <n v="38"/>
    <s v=""/>
    <x v="113"/>
    <d v="2026-09-30T00:00:00"/>
    <s v=""/>
    <s v=""/>
    <s v=""/>
    <s v=""/>
    <n v="38"/>
  </r>
  <r>
    <x v="1"/>
    <s v=""/>
    <s v=""/>
    <s v=""/>
    <s v=""/>
    <x v="207"/>
    <s v="RF-01S-5093]CAM Cable_TEETH_R"/>
    <n v="38"/>
    <s v=""/>
    <x v="66"/>
    <d v="2026-09-30T00:00:00"/>
    <s v=""/>
    <s v=""/>
    <s v=""/>
    <s v=""/>
    <n v="38"/>
  </r>
  <r>
    <x v="1"/>
    <s v=""/>
    <s v="기초"/>
    <s v=""/>
    <s v=""/>
    <x v="208"/>
    <s v="RA-06V-3462]BRK HARNESS GUIDE L (ST)"/>
    <n v="39"/>
    <s v=""/>
    <x v="114"/>
    <d v="2026-09-11T00:00:00"/>
    <s v=""/>
    <s v=""/>
    <s v=""/>
    <s v=""/>
    <n v="39"/>
  </r>
  <r>
    <x v="1"/>
    <s v=""/>
    <s v="기초"/>
    <s v=""/>
    <s v=""/>
    <x v="209"/>
    <s v="RA-07T-3956]CAS DET REAR (MG)"/>
    <n v="39"/>
    <s v=""/>
    <x v="86"/>
    <d v="2026-09-11T00:00:00"/>
    <s v=""/>
    <s v=""/>
    <s v=""/>
    <s v=""/>
    <n v="39"/>
  </r>
  <r>
    <x v="1"/>
    <s v=""/>
    <s v="기초"/>
    <s v=""/>
    <s v=""/>
    <x v="210"/>
    <s v="RA-02T-3851]CAS VERT UPPER S (MG)"/>
    <n v="40"/>
    <s v=""/>
    <x v="86"/>
    <d v="2026-09-11T00:00:00"/>
    <s v=""/>
    <s v=""/>
    <s v=""/>
    <s v=""/>
    <n v="40"/>
  </r>
  <r>
    <x v="1"/>
    <s v=""/>
    <s v=""/>
    <s v=""/>
    <s v=""/>
    <x v="211"/>
    <s v="RA-03V-1909]BRK PUSH HUB"/>
    <n v="40"/>
    <s v=""/>
    <x v="65"/>
    <d v="2026-09-29T00:00:00"/>
    <s v=""/>
    <s v=""/>
    <s v=""/>
    <s v=""/>
    <n v="40"/>
  </r>
  <r>
    <x v="1"/>
    <s v=""/>
    <s v=""/>
    <s v=""/>
    <s v=""/>
    <x v="212"/>
    <s v="RF-01S-5046]DLP ENGINE"/>
    <n v="40"/>
    <s v=""/>
    <x v="115"/>
    <d v="2026-10-06T00:00:00"/>
    <s v=""/>
    <s v=""/>
    <s v=""/>
    <s v=""/>
    <n v="40"/>
  </r>
  <r>
    <x v="1"/>
    <s v=""/>
    <s v=""/>
    <s v=""/>
    <s v=""/>
    <x v="213"/>
    <s v="RA-11-2]AUX MCU to FCOL"/>
    <n v="40"/>
    <s v=""/>
    <x v="116"/>
    <d v="2026-10-06T00:00:00"/>
    <s v=""/>
    <s v=""/>
    <s v=""/>
    <s v=""/>
    <n v="40"/>
  </r>
  <r>
    <x v="1"/>
    <s v=""/>
    <s v=""/>
    <s v=""/>
    <s v=""/>
    <x v="214"/>
    <s v="RA-04S-5174]THU Cable Ass'y"/>
    <n v="40"/>
    <s v=""/>
    <x v="117"/>
    <d v="2026-10-13T00:00:00"/>
    <s v=""/>
    <s v=""/>
    <s v=""/>
    <s v=""/>
    <n v="40"/>
  </r>
  <r>
    <x v="1"/>
    <s v=""/>
    <s v="기초"/>
    <s v=""/>
    <s v=""/>
    <x v="215"/>
    <s v="RA-04T-3896]CAS ARM UPPER (MG)"/>
    <n v="41"/>
    <s v=""/>
    <x v="86"/>
    <d v="2026-09-11T00:00:00"/>
    <s v=""/>
    <s v=""/>
    <s v=""/>
    <s v=""/>
    <n v="41"/>
  </r>
  <r>
    <x v="1"/>
    <s v=""/>
    <s v="기초"/>
    <s v=""/>
    <s v=""/>
    <x v="216"/>
    <s v="RA-09T-3988]CAS Bas CT HEADREST (MG)"/>
    <n v="41"/>
    <s v=""/>
    <x v="86"/>
    <d v="2026-09-11T00:00:00"/>
    <s v=""/>
    <s v=""/>
    <s v=""/>
    <s v=""/>
    <n v="41"/>
  </r>
  <r>
    <x v="1"/>
    <s v=""/>
    <s v=""/>
    <s v=""/>
    <s v=""/>
    <x v="217"/>
    <s v="RA-09V-2419]PLT PHNT (VA+)"/>
    <n v="41"/>
    <s v=""/>
    <x v="43"/>
    <d v="2026-10-07T00:00:00"/>
    <s v=""/>
    <s v=""/>
    <s v=""/>
    <s v=""/>
    <n v="41"/>
  </r>
  <r>
    <x v="1"/>
    <s v=""/>
    <s v=""/>
    <s v=""/>
    <s v=""/>
    <x v="218"/>
    <s v="RF-01B-5037] LED SIDE BOARD_REV2"/>
    <n v="42"/>
    <s v=""/>
    <x v="46"/>
    <d v="2026-09-22T00:00:00"/>
    <s v=""/>
    <s v=""/>
    <s v=""/>
    <s v=""/>
    <n v="42"/>
  </r>
  <r>
    <x v="1"/>
    <s v=""/>
    <s v="기초"/>
    <s v=""/>
    <s v=""/>
    <x v="219"/>
    <s v="RA-02T-3842]CAS VERT LWR (MG)"/>
    <n v="43"/>
    <s v=""/>
    <x v="86"/>
    <d v="2026-09-11T00:00:00"/>
    <s v=""/>
    <s v=""/>
    <s v=""/>
    <s v=""/>
    <n v="43"/>
  </r>
  <r>
    <x v="1"/>
    <s v=""/>
    <s v="반납"/>
    <s v=""/>
    <s v=""/>
    <x v="220"/>
    <s v="RF-09P-0271]MIRROR PROTIVE FILM"/>
    <n v="43"/>
    <s v=""/>
    <x v="89"/>
    <d v="2026-09-22T00:00:00"/>
    <s v=""/>
    <s v=""/>
    <s v=""/>
    <s v=""/>
    <n v="43"/>
  </r>
  <r>
    <x v="1"/>
    <s v=""/>
    <s v=""/>
    <s v=""/>
    <s v=""/>
    <x v="221"/>
    <s v="RA-04V-1709]BRK THU Bd"/>
    <n v="43"/>
    <s v=""/>
    <x v="118"/>
    <d v="2026-10-13T00:00:00"/>
    <s v=""/>
    <s v=""/>
    <s v=""/>
    <s v=""/>
    <n v="43"/>
  </r>
  <r>
    <x v="1"/>
    <s v=""/>
    <s v="반납"/>
    <s v=""/>
    <s v=""/>
    <x v="222"/>
    <s v="RF-01T-0173]ARM CVR REAR DECO"/>
    <n v="44"/>
    <s v=""/>
    <x v="119"/>
    <d v="2026-09-22T00:00:00"/>
    <s v=""/>
    <s v=""/>
    <s v=""/>
    <s v=""/>
    <n v="44"/>
  </r>
  <r>
    <x v="1"/>
    <s v=""/>
    <s v="입고"/>
    <s v="Bach tung"/>
    <s v="유영국"/>
    <x v="33"/>
    <s v="RA-06A-2760]ASM COL MOVING (ST) (VN)"/>
    <n v="44"/>
    <s v=""/>
    <x v="25"/>
    <d v="2026-10-06T00:00:00"/>
    <s v=""/>
    <s v=""/>
    <s v=""/>
    <s v=""/>
    <n v="44"/>
  </r>
  <r>
    <x v="1"/>
    <s v=""/>
    <s v=""/>
    <s v=""/>
    <s v=""/>
    <x v="223"/>
    <s v="C16-MF128ZZS]BALL B-Ring"/>
    <n v="45"/>
    <s v=""/>
    <x v="120"/>
    <d v="2026-07-29T00:00:00"/>
    <s v=""/>
    <s v=""/>
    <s v=""/>
    <s v=""/>
    <n v="45"/>
  </r>
  <r>
    <x v="1"/>
    <s v=""/>
    <s v="기초"/>
    <s v=""/>
    <s v=""/>
    <x v="224"/>
    <s v="RA-03S-3858]IGUS RAIL(NA-01-27_150mm)(MG"/>
    <n v="45"/>
    <s v=""/>
    <x v="98"/>
    <d v="2026-09-11T00:00:00"/>
    <s v=""/>
    <s v=""/>
    <s v=""/>
    <s v=""/>
    <n v="45"/>
  </r>
  <r>
    <x v="1"/>
    <s v=""/>
    <s v="기초"/>
    <s v=""/>
    <s v=""/>
    <x v="225"/>
    <s v="RA-04T-3885]CAS HANDLE FRONT (MG)"/>
    <n v="45"/>
    <s v=""/>
    <x v="86"/>
    <d v="2026-09-11T00:00:00"/>
    <s v=""/>
    <s v=""/>
    <s v=""/>
    <s v=""/>
    <n v="45"/>
  </r>
  <r>
    <x v="1"/>
    <s v=""/>
    <s v="기초"/>
    <s v=""/>
    <s v=""/>
    <x v="226"/>
    <s v="RA-05T-3927]CAS ROT TOP (MG)"/>
    <n v="45"/>
    <s v=""/>
    <x v="86"/>
    <d v="2026-09-11T00:00:00"/>
    <s v=""/>
    <s v=""/>
    <s v=""/>
    <s v=""/>
    <n v="45"/>
  </r>
  <r>
    <x v="1"/>
    <s v=""/>
    <s v="기초"/>
    <s v=""/>
    <s v=""/>
    <x v="227"/>
    <s v="RA-05T-3928]CAS ROT TOP ACCESS (MG)"/>
    <n v="45"/>
    <s v=""/>
    <x v="86"/>
    <d v="2026-09-11T00:00:00"/>
    <s v=""/>
    <s v=""/>
    <s v=""/>
    <s v=""/>
    <n v="45"/>
  </r>
  <r>
    <x v="1"/>
    <s v=""/>
    <s v="기초"/>
    <s v=""/>
    <s v=""/>
    <x v="228"/>
    <s v="RA-07A-2757]ASM DET BAS (PRE) (VN)"/>
    <n v="45"/>
    <s v=""/>
    <x v="33"/>
    <d v="2026-09-11T00:00:00"/>
    <s v=""/>
    <s v=""/>
    <s v=""/>
    <s v=""/>
    <n v="45"/>
  </r>
  <r>
    <x v="1"/>
    <s v=""/>
    <s v="기초"/>
    <s v=""/>
    <s v=""/>
    <x v="229"/>
    <s v="RA-09T-3987]CAS LINK CT HEADREST (MG)"/>
    <n v="45"/>
    <s v=""/>
    <x v="86"/>
    <d v="2026-09-11T00:00:00"/>
    <s v=""/>
    <s v=""/>
    <s v=""/>
    <s v=""/>
    <n v="45"/>
  </r>
  <r>
    <x v="1"/>
    <s v=""/>
    <s v=""/>
    <s v=""/>
    <s v=""/>
    <x v="230"/>
    <s v="RA-8-17]AC POWER OC(V)"/>
    <n v="45"/>
    <s v=""/>
    <x v="121"/>
    <d v="2026-09-14T00:00:00"/>
    <s v=""/>
    <s v=""/>
    <s v=""/>
    <s v=""/>
    <n v="45"/>
  </r>
  <r>
    <x v="1"/>
    <s v=""/>
    <s v=""/>
    <s v=""/>
    <s v=""/>
    <x v="231"/>
    <s v="RA-11-20]Fcol MOT Cable A"/>
    <n v="45"/>
    <s v=""/>
    <x v="96"/>
    <d v="2026-10-06T00:00:00"/>
    <s v=""/>
    <s v=""/>
    <s v=""/>
    <s v=""/>
    <n v="45"/>
  </r>
  <r>
    <x v="1"/>
    <s v=""/>
    <s v=""/>
    <s v=""/>
    <s v=""/>
    <x v="232"/>
    <s v="RA-03S-5176]NOISE FILTER RSHN2016"/>
    <n v="45"/>
    <s v=""/>
    <x v="110"/>
    <d v="2026-10-13T00:00:00"/>
    <s v=""/>
    <s v=""/>
    <s v=""/>
    <s v=""/>
    <n v="45"/>
  </r>
  <r>
    <x v="1"/>
    <s v=""/>
    <s v="반납"/>
    <s v=""/>
    <s v=""/>
    <x v="233"/>
    <s v="RF-20A-0279]Mdl DLP PLT"/>
    <n v="46"/>
    <s v=""/>
    <x v="54"/>
    <d v="2026-09-22T00:00:00"/>
    <s v=""/>
    <s v=""/>
    <s v=""/>
    <s v=""/>
    <n v="46"/>
  </r>
  <r>
    <x v="1"/>
    <s v=""/>
    <s v="반납"/>
    <s v=""/>
    <s v=""/>
    <x v="74"/>
    <s v="RF-01T-0356]RUBBER CAP ARM"/>
    <n v="46"/>
    <s v=""/>
    <x v="56"/>
    <d v="2026-09-22T00:00:00"/>
    <s v=""/>
    <s v=""/>
    <s v=""/>
    <s v=""/>
    <n v="46"/>
  </r>
  <r>
    <x v="1"/>
    <s v=""/>
    <s v=""/>
    <s v=""/>
    <s v=""/>
    <x v="234"/>
    <s v=""/>
    <n v="46"/>
    <s v=""/>
    <x v="122"/>
    <d v="2026-09-17T00:00:00"/>
    <s v=""/>
    <s v=""/>
    <s v=""/>
    <s v=""/>
    <n v="46"/>
  </r>
  <r>
    <x v="1"/>
    <s v=""/>
    <s v=""/>
    <s v=""/>
    <s v=""/>
    <x v="235"/>
    <s v="RA-7-5]LAN THU"/>
    <n v="46"/>
    <s v=""/>
    <x v="123"/>
    <d v="2026-10-07T00:00:00"/>
    <s v=""/>
    <s v=""/>
    <s v=""/>
    <s v=""/>
    <n v="46"/>
  </r>
  <r>
    <x v="1"/>
    <s v=""/>
    <s v=""/>
    <s v=""/>
    <s v=""/>
    <x v="236"/>
    <s v=""/>
    <n v="47"/>
    <s v=""/>
    <x v="88"/>
    <d v="2026-07-29T00:00:00"/>
    <s v=""/>
    <s v=""/>
    <s v=""/>
    <s v=""/>
    <n v="47"/>
  </r>
  <r>
    <x v="1"/>
    <s v=""/>
    <s v="기초"/>
    <s v=""/>
    <s v=""/>
    <x v="237"/>
    <s v="RA-03T-3865]CAS MIRROR (MG)"/>
    <n v="47"/>
    <s v=""/>
    <x v="86"/>
    <d v="2026-09-11T00:00:00"/>
    <s v=""/>
    <s v=""/>
    <s v=""/>
    <s v=""/>
    <n v="47"/>
  </r>
  <r>
    <x v="1"/>
    <s v=""/>
    <s v=""/>
    <s v=""/>
    <s v=""/>
    <x v="238"/>
    <s v="RA-07M-3424]BLK STOPPER MICROMTR HEAD(ST"/>
    <n v="47"/>
    <s v=""/>
    <x v="124"/>
    <d v="2026-09-30T00:00:00"/>
    <s v=""/>
    <s v=""/>
    <s v=""/>
    <s v=""/>
    <n v="47"/>
  </r>
  <r>
    <x v="1"/>
    <s v=""/>
    <s v=""/>
    <s v=""/>
    <s v=""/>
    <x v="39"/>
    <s v="RA-06A-2139]ASM BRK FAN SUP (A+)"/>
    <n v="47"/>
    <s v=""/>
    <x v="31"/>
    <d v="2026-10-06T00:00:00"/>
    <s v=""/>
    <s v=""/>
    <s v=""/>
    <s v=""/>
    <n v="47"/>
  </r>
  <r>
    <x v="1"/>
    <s v=""/>
    <s v=""/>
    <s v=""/>
    <s v=""/>
    <x v="239"/>
    <s v="RA-03S-5013]Mgnet CONTECTOR-LP1K0910BD"/>
    <n v="47"/>
    <s v=""/>
    <x v="125"/>
    <d v="2026-10-13T00:00:00"/>
    <s v=""/>
    <s v=""/>
    <s v=""/>
    <s v=""/>
    <n v="47"/>
  </r>
  <r>
    <x v="1"/>
    <s v=""/>
    <s v="기초"/>
    <s v=""/>
    <s v=""/>
    <x v="240"/>
    <s v="RA-02T-3852]CAS WINDOW VERT (MG)"/>
    <n v="48"/>
    <s v=""/>
    <x v="86"/>
    <d v="2026-09-11T00:00:00"/>
    <s v=""/>
    <s v=""/>
    <s v=""/>
    <s v=""/>
    <n v="48"/>
  </r>
  <r>
    <x v="1"/>
    <s v=""/>
    <s v="기초"/>
    <s v=""/>
    <s v=""/>
    <x v="241"/>
    <s v="RA-03V-3860]BRK CLMN FRONT FIX L (MG)"/>
    <n v="48"/>
    <s v=""/>
    <x v="42"/>
    <d v="2026-09-11T00:00:00"/>
    <s v=""/>
    <s v=""/>
    <s v=""/>
    <s v=""/>
    <n v="48"/>
  </r>
  <r>
    <x v="1"/>
    <s v=""/>
    <s v="기초"/>
    <s v=""/>
    <s v=""/>
    <x v="242"/>
    <s v="RA-04T-3814]CAS MONITOR REAR (MG)"/>
    <n v="49"/>
    <s v=""/>
    <x v="86"/>
    <d v="2026-09-11T00:00:00"/>
    <s v=""/>
    <s v=""/>
    <s v=""/>
    <s v=""/>
    <n v="49"/>
  </r>
  <r>
    <x v="1"/>
    <s v=""/>
    <s v="기초"/>
    <s v=""/>
    <s v=""/>
    <x v="243"/>
    <s v="RA-04T-3816]CAS MONITOR DECO (MG)"/>
    <n v="49"/>
    <s v=""/>
    <x v="86"/>
    <d v="2026-09-11T00:00:00"/>
    <s v=""/>
    <s v=""/>
    <s v=""/>
    <s v=""/>
    <n v="49"/>
  </r>
  <r>
    <x v="1"/>
    <s v=""/>
    <s v="기초"/>
    <s v=""/>
    <s v=""/>
    <x v="244"/>
    <s v="RA-06V-3946]BRK HARNESS GUIDE LEFT (MG)"/>
    <n v="49"/>
    <s v=""/>
    <x v="68"/>
    <d v="2026-09-11T00:00:00"/>
    <s v=""/>
    <s v=""/>
    <s v=""/>
    <s v=""/>
    <n v="49"/>
  </r>
  <r>
    <x v="1"/>
    <s v=""/>
    <s v=""/>
    <s v=""/>
    <s v=""/>
    <x v="207"/>
    <s v="RF-01S-5093]CAM Cable_TEETH_R"/>
    <n v="49"/>
    <s v=""/>
    <x v="66"/>
    <d v="2026-10-06T00:00:00"/>
    <s v=""/>
    <s v=""/>
    <s v=""/>
    <s v=""/>
    <n v="49"/>
  </r>
  <r>
    <x v="1"/>
    <s v=""/>
    <s v="입고"/>
    <s v="BACHTUNG"/>
    <s v="유영국"/>
    <x v="245"/>
    <s v="RA-04A-1926]ASM CHINREST SUB"/>
    <n v="50"/>
    <s v=""/>
    <x v="104"/>
    <d v="2026-09-29T00:00:00"/>
    <s v=""/>
    <s v=""/>
    <s v=""/>
    <s v=""/>
    <n v="50"/>
  </r>
  <r>
    <x v="1"/>
    <s v=""/>
    <s v="입고"/>
    <s v="우진써보씨스템"/>
    <s v="유영국"/>
    <x v="246"/>
    <s v="RA-07S-5019]STEP MOT-KH42KM2-901"/>
    <n v="50"/>
    <s v=""/>
    <x v="6"/>
    <d v="2026-10-06T00:00:00"/>
    <s v=""/>
    <s v=""/>
    <s v=""/>
    <s v=""/>
    <n v="50"/>
  </r>
  <r>
    <x v="1"/>
    <s v=""/>
    <s v=""/>
    <s v=""/>
    <s v=""/>
    <x v="113"/>
    <s v="RF-01M-0395]BLOCK BASE BOTTOM"/>
    <n v="50"/>
    <s v=""/>
    <x v="32"/>
    <d v="2026-08-25T00:00:00"/>
    <s v=""/>
    <s v=""/>
    <s v=""/>
    <s v=""/>
    <n v="50"/>
  </r>
  <r>
    <x v="1"/>
    <s v=""/>
    <s v="기초"/>
    <s v=""/>
    <s v=""/>
    <x v="247"/>
    <s v="RA-02T-3846]CAS VERT INDICATOR WINDOW(MG"/>
    <n v="50"/>
    <s v=""/>
    <x v="86"/>
    <d v="2026-09-11T00:00:00"/>
    <s v=""/>
    <s v=""/>
    <s v=""/>
    <s v=""/>
    <n v="50"/>
  </r>
  <r>
    <x v="1"/>
    <s v=""/>
    <s v="기초"/>
    <s v=""/>
    <s v=""/>
    <x v="248"/>
    <s v="RA-04T-3812]CAS MONITOR FRONT (MG)"/>
    <n v="50"/>
    <s v=""/>
    <x v="86"/>
    <d v="2026-09-11T00:00:00"/>
    <s v=""/>
    <s v=""/>
    <s v=""/>
    <s v=""/>
    <n v="50"/>
  </r>
  <r>
    <x v="1"/>
    <s v=""/>
    <s v="기초"/>
    <s v=""/>
    <s v=""/>
    <x v="249"/>
    <s v="RA-04T-3893]CAS CHINREST UPPER (MG)"/>
    <n v="50"/>
    <s v=""/>
    <x v="86"/>
    <d v="2026-09-11T00:00:00"/>
    <s v=""/>
    <s v=""/>
    <s v=""/>
    <s v=""/>
    <n v="50"/>
  </r>
  <r>
    <x v="1"/>
    <s v=""/>
    <s v="입고"/>
    <s v="A&amp;T"/>
    <s v="조영우"/>
    <x v="42"/>
    <s v="RF-01V-0209]FRONT BRK TOP"/>
    <n v="50"/>
    <s v=""/>
    <x v="34"/>
    <d v="2026-08-27T00:00:00"/>
    <s v=""/>
    <s v=""/>
    <s v=""/>
    <s v=""/>
    <n v="50"/>
  </r>
  <r>
    <x v="1"/>
    <s v=""/>
    <s v=""/>
    <s v=""/>
    <s v=""/>
    <x v="154"/>
    <s v="RF-01B-5035]CONNECTOR Bd"/>
    <n v="50"/>
    <s v=""/>
    <x v="90"/>
    <d v="2026-09-22T00:00:00"/>
    <s v=""/>
    <s v=""/>
    <s v=""/>
    <s v=""/>
    <n v="50"/>
  </r>
  <r>
    <x v="1"/>
    <s v=""/>
    <s v=""/>
    <s v=""/>
    <s v=""/>
    <x v="155"/>
    <s v=""/>
    <n v="50"/>
    <s v=""/>
    <x v="80"/>
    <d v="2026-09-22T00:00:00"/>
    <s v=""/>
    <s v=""/>
    <s v=""/>
    <s v=""/>
    <n v="50"/>
  </r>
  <r>
    <x v="1"/>
    <s v=""/>
    <s v=""/>
    <s v=""/>
    <s v=""/>
    <x v="119"/>
    <s v="RF-01V-0197]JETSON BRK"/>
    <n v="50"/>
    <s v=""/>
    <x v="51"/>
    <d v="2026-09-22T00:00:00"/>
    <s v=""/>
    <s v=""/>
    <s v=""/>
    <s v=""/>
    <n v="50"/>
  </r>
  <r>
    <x v="1"/>
    <s v=""/>
    <s v="입고"/>
    <s v="A&amp;T"/>
    <s v="조영우"/>
    <x v="92"/>
    <s v="RF-01M-0268]TEETH CAM BLK_HR"/>
    <n v="50"/>
    <s v=""/>
    <x v="69"/>
    <d v="2026-08-27T00:00:00"/>
    <s v=""/>
    <s v=""/>
    <s v=""/>
    <s v=""/>
    <n v="50"/>
  </r>
  <r>
    <x v="1"/>
    <s v=""/>
    <s v="입고"/>
    <s v="A&amp;T"/>
    <s v="장동은"/>
    <x v="228"/>
    <s v="RA-07A-2757]ASM DET BAS (PRE) (VN)"/>
    <n v="50"/>
    <s v=""/>
    <x v="33"/>
    <d v="2026-10-06T00:00:00"/>
    <s v=""/>
    <s v=""/>
    <s v=""/>
    <s v=""/>
    <n v="50"/>
  </r>
  <r>
    <x v="1"/>
    <s v=""/>
    <s v="입고"/>
    <s v="Bach tung"/>
    <s v="유영국"/>
    <x v="250"/>
    <s v="RA-06A-3314]ASM TUBE TNK SUP (ST)"/>
    <n v="50"/>
    <s v=""/>
    <x v="126"/>
    <d v="2026-10-01T00:00:00"/>
    <s v=""/>
    <s v=""/>
    <s v=""/>
    <s v=""/>
    <n v="50"/>
  </r>
  <r>
    <x v="1"/>
    <s v=""/>
    <s v="입고"/>
    <s v="대영하네스"/>
    <s v="유영국"/>
    <x v="251"/>
    <s v="RA-11-12_3]PRIME MOT LINEAR Front-Rear"/>
    <n v="50"/>
    <s v=""/>
    <x v="127"/>
    <d v="2026-10-01T00:00:00"/>
    <s v=""/>
    <s v=""/>
    <s v=""/>
    <s v=""/>
    <n v="50"/>
  </r>
  <r>
    <x v="1"/>
    <s v=""/>
    <s v=""/>
    <s v=""/>
    <s v=""/>
    <x v="252"/>
    <s v="RA-04V-1109]BRK ARM RIGID L"/>
    <n v="50"/>
    <s v=""/>
    <x v="128"/>
    <d v="2026-10-07T00:00:00"/>
    <s v=""/>
    <s v=""/>
    <s v=""/>
    <s v=""/>
    <n v="50"/>
  </r>
  <r>
    <x v="1"/>
    <s v=""/>
    <s v=""/>
    <s v=""/>
    <s v=""/>
    <x v="253"/>
    <s v="RA-04V-1108]BRK ARM RIGID R"/>
    <n v="50"/>
    <s v=""/>
    <x v="128"/>
    <d v="2026-10-07T00:00:00"/>
    <s v=""/>
    <s v=""/>
    <s v=""/>
    <s v=""/>
    <n v="50"/>
  </r>
  <r>
    <x v="1"/>
    <s v=""/>
    <s v="입고"/>
    <s v="하이크로봇"/>
    <s v="장동은"/>
    <x v="45"/>
    <s v="RF-01S-5085]FACE CAM"/>
    <n v="50"/>
    <s v=""/>
    <x v="36"/>
    <d v="2026-09-28T00:00:00"/>
    <s v=""/>
    <s v=""/>
    <s v=""/>
    <s v=""/>
    <n v="50"/>
  </r>
  <r>
    <x v="1"/>
    <s v=""/>
    <s v=""/>
    <s v=""/>
    <s v=""/>
    <x v="254"/>
    <s v="RA-07S-1653]LM SET(MGN9C-2-240) (VA)"/>
    <n v="50"/>
    <s v=""/>
    <x v="129"/>
    <d v="2026-10-06T00:00:00"/>
    <s v=""/>
    <s v=""/>
    <s v=""/>
    <s v=""/>
    <n v="50"/>
  </r>
  <r>
    <x v="1"/>
    <s v=""/>
    <s v="기초"/>
    <s v=""/>
    <s v=""/>
    <x v="255"/>
    <s v="RA-04T-3894]CAS CHINREST BOT (MG)"/>
    <n v="51"/>
    <s v=""/>
    <x v="86"/>
    <d v="2026-09-11T00:00:00"/>
    <s v=""/>
    <s v=""/>
    <s v=""/>
    <s v=""/>
    <n v="51"/>
  </r>
  <r>
    <x v="1"/>
    <s v=""/>
    <s v="기초"/>
    <s v=""/>
    <s v=""/>
    <x v="256"/>
    <s v="RA-07T-3959]CAS DET UPPER (MG)"/>
    <n v="51"/>
    <s v=""/>
    <x v="86"/>
    <d v="2026-09-11T00:00:00"/>
    <s v=""/>
    <s v=""/>
    <s v=""/>
    <s v=""/>
    <n v="51"/>
  </r>
  <r>
    <x v="1"/>
    <s v=""/>
    <s v="기초"/>
    <s v=""/>
    <s v=""/>
    <x v="257"/>
    <s v="RA-09T-3986]CAS TOP CT HEADREST (MG)"/>
    <n v="51"/>
    <s v=""/>
    <x v="86"/>
    <d v="2026-09-11T00:00:00"/>
    <s v=""/>
    <s v=""/>
    <s v=""/>
    <s v=""/>
    <n v="51"/>
  </r>
  <r>
    <x v="1"/>
    <s v=""/>
    <s v="기초"/>
    <s v=""/>
    <s v=""/>
    <x v="258"/>
    <s v="RA-06T-3948]CAS TUBE TNK REAR (MG)"/>
    <n v="52"/>
    <s v=""/>
    <x v="86"/>
    <d v="2026-09-11T00:00:00"/>
    <s v=""/>
    <s v=""/>
    <s v=""/>
    <s v=""/>
    <n v="52"/>
  </r>
  <r>
    <x v="1"/>
    <s v=""/>
    <s v="기초"/>
    <s v=""/>
    <s v=""/>
    <x v="259"/>
    <s v="RA-03T-3871]CAS CLMN BODY LWR R (MG)"/>
    <n v="53"/>
    <s v=""/>
    <x v="86"/>
    <d v="2026-09-11T00:00:00"/>
    <s v=""/>
    <s v=""/>
    <s v=""/>
    <s v=""/>
    <n v="53"/>
  </r>
  <r>
    <x v="1"/>
    <s v=""/>
    <s v="기초"/>
    <s v=""/>
    <s v=""/>
    <x v="260"/>
    <s v="RA-04M-3897]PLT DECO KNOB CHINREST (MG)"/>
    <n v="54"/>
    <s v=""/>
    <x v="87"/>
    <d v="2026-09-11T00:00:00"/>
    <s v=""/>
    <s v=""/>
    <s v=""/>
    <s v=""/>
    <n v="54"/>
  </r>
  <r>
    <x v="1"/>
    <s v=""/>
    <s v="기초"/>
    <s v=""/>
    <s v=""/>
    <x v="261"/>
    <s v="RA-04T-3888]CAS HANDLE REAR (MG)"/>
    <n v="54"/>
    <s v=""/>
    <x v="86"/>
    <d v="2026-09-11T00:00:00"/>
    <s v=""/>
    <s v=""/>
    <s v=""/>
    <s v=""/>
    <n v="54"/>
  </r>
  <r>
    <x v="1"/>
    <s v=""/>
    <s v=""/>
    <s v=""/>
    <s v=""/>
    <x v="250"/>
    <s v="RA-06A-3314]ASM TUBE TNK SUP (ST)"/>
    <n v="54"/>
    <s v=""/>
    <x v="126"/>
    <d v="2026-09-30T00:00:00"/>
    <s v=""/>
    <s v=""/>
    <s v=""/>
    <s v=""/>
    <n v="54"/>
  </r>
  <r>
    <x v="1"/>
    <s v=""/>
    <s v=""/>
    <s v=""/>
    <s v=""/>
    <x v="262"/>
    <s v="RA-3-5]INDICATOR"/>
    <n v="55"/>
    <s v=""/>
    <x v="130"/>
    <d v="2026-10-07T00:00:00"/>
    <s v=""/>
    <s v=""/>
    <s v=""/>
    <s v=""/>
    <n v="55"/>
  </r>
  <r>
    <x v="1"/>
    <s v=""/>
    <s v="기초"/>
    <s v=""/>
    <s v=""/>
    <x v="263"/>
    <s v="RA-07T-3960]CAS DET FRONT (MG)"/>
    <n v="56"/>
    <s v=""/>
    <x v="86"/>
    <d v="2026-09-11T00:00:00"/>
    <s v=""/>
    <s v=""/>
    <s v=""/>
    <s v=""/>
    <n v="56"/>
  </r>
  <r>
    <x v="1"/>
    <s v=""/>
    <s v=""/>
    <s v=""/>
    <s v=""/>
    <x v="264"/>
    <s v="RA-06A-5004]Bd ASSY'-Indicator Bd"/>
    <n v="56"/>
    <s v=""/>
    <x v="131"/>
    <d v="2026-10-07T00:00:00"/>
    <s v=""/>
    <s v=""/>
    <s v=""/>
    <s v=""/>
    <n v="56"/>
  </r>
  <r>
    <x v="1"/>
    <s v=""/>
    <s v=""/>
    <s v=""/>
    <s v=""/>
    <x v="245"/>
    <s v="RA-04A-1926]ASM CHINREST SUB"/>
    <n v="56"/>
    <s v=""/>
    <x v="104"/>
    <d v="2026-10-13T00:00:00"/>
    <s v=""/>
    <s v=""/>
    <s v=""/>
    <s v=""/>
    <n v="56"/>
  </r>
  <r>
    <x v="1"/>
    <s v=""/>
    <s v=""/>
    <s v=""/>
    <s v=""/>
    <x v="265"/>
    <s v="RA-06V-0230]BRK FAN SUP"/>
    <n v="58"/>
    <s v=""/>
    <x v="7"/>
    <d v="2026-09-30T00:00:00"/>
    <s v=""/>
    <s v=""/>
    <s v=""/>
    <s v=""/>
    <n v="58"/>
  </r>
  <r>
    <x v="1"/>
    <s v=""/>
    <s v="기초"/>
    <s v=""/>
    <s v=""/>
    <x v="266"/>
    <s v="RA-02T-3843]CAS VERT SUB BOT (MG)"/>
    <n v="59"/>
    <s v=""/>
    <x v="86"/>
    <d v="2026-09-11T00:00:00"/>
    <s v=""/>
    <s v=""/>
    <s v=""/>
    <s v=""/>
    <n v="59"/>
  </r>
  <r>
    <x v="1"/>
    <s v=""/>
    <s v="기초"/>
    <s v=""/>
    <s v=""/>
    <x v="267"/>
    <s v=""/>
    <n v="60"/>
    <s v=""/>
    <x v="105"/>
    <d v="2026-09-11T00:00:00"/>
    <s v=""/>
    <s v=""/>
    <s v=""/>
    <s v=""/>
    <n v="60"/>
  </r>
  <r>
    <x v="1"/>
    <s v=""/>
    <s v="기초"/>
    <s v=""/>
    <s v=""/>
    <x v="268"/>
    <s v="RA-15-4]Lamp DRV CON Power"/>
    <n v="60"/>
    <s v=""/>
    <x v="132"/>
    <d v="2026-09-11T00:00:00"/>
    <s v=""/>
    <s v=""/>
    <s v=""/>
    <s v=""/>
    <n v="60"/>
  </r>
  <r>
    <x v="1"/>
    <s v=""/>
    <s v="입고"/>
    <s v="A&amp;T"/>
    <s v="장동은"/>
    <x v="269"/>
    <s v="RA-06M-3312]BLK TUBE TNK ANGLE (ST)"/>
    <n v="60"/>
    <s v=""/>
    <x v="58"/>
    <d v="2026-10-06T00:00:00"/>
    <s v=""/>
    <s v=""/>
    <s v=""/>
    <s v=""/>
    <n v="60"/>
  </r>
  <r>
    <x v="1"/>
    <s v=""/>
    <s v=""/>
    <s v=""/>
    <s v=""/>
    <x v="270"/>
    <s v="RA-09A-1940]ASM REMOTE(α)"/>
    <n v="60"/>
    <s v=""/>
    <x v="133"/>
    <d v="2026-10-08T00:00:00"/>
    <s v=""/>
    <s v=""/>
    <s v=""/>
    <s v=""/>
    <n v="60"/>
  </r>
  <r>
    <x v="1"/>
    <s v=""/>
    <s v="입고"/>
    <s v="하이크로봇"/>
    <s v="장동은"/>
    <x v="204"/>
    <s v="RF-01S-5084]CAM Trigger_C harness"/>
    <n v="60"/>
    <s v=""/>
    <x v="112"/>
    <d v="2026-09-28T00:00:00"/>
    <s v=""/>
    <s v=""/>
    <s v=""/>
    <s v=""/>
    <n v="60"/>
  </r>
  <r>
    <x v="1"/>
    <s v=""/>
    <s v="기초"/>
    <s v=""/>
    <s v=""/>
    <x v="271"/>
    <s v="RA-03T-3869]CAS LASER BEAM LEVER (MG)"/>
    <n v="61"/>
    <s v=""/>
    <x v="86"/>
    <d v="2026-09-11T00:00:00"/>
    <s v=""/>
    <s v=""/>
    <s v=""/>
    <s v=""/>
    <n v="61"/>
  </r>
  <r>
    <x v="1"/>
    <s v=""/>
    <s v="기초"/>
    <s v=""/>
    <s v=""/>
    <x v="272"/>
    <s v="RA-06T-3938]CAS TUBE TNK FAN (MG)"/>
    <n v="61"/>
    <s v=""/>
    <x v="86"/>
    <d v="2026-09-11T00:00:00"/>
    <s v=""/>
    <s v=""/>
    <s v=""/>
    <s v=""/>
    <n v="61"/>
  </r>
  <r>
    <x v="1"/>
    <s v=""/>
    <s v=""/>
    <s v=""/>
    <s v=""/>
    <x v="273"/>
    <s v="RA-04M-1339]BLK HEADREST FIX BAR-R"/>
    <n v="61"/>
    <s v=""/>
    <x v="134"/>
    <d v="2026-10-13T00:00:00"/>
    <s v=""/>
    <s v=""/>
    <s v=""/>
    <s v=""/>
    <n v="61"/>
  </r>
  <r>
    <x v="1"/>
    <s v=""/>
    <s v=""/>
    <s v=""/>
    <s v=""/>
    <x v="274"/>
    <s v="RF-01H-5056]LED PWM harness"/>
    <n v="62"/>
    <s v=""/>
    <x v="53"/>
    <d v="2026-08-25T00:00:00"/>
    <s v=""/>
    <s v=""/>
    <s v=""/>
    <s v=""/>
    <n v="62"/>
  </r>
  <r>
    <x v="1"/>
    <s v=""/>
    <s v="기초"/>
    <s v=""/>
    <s v=""/>
    <x v="275"/>
    <s v="RA-05V-3802]PLT ROT BOT CAS (MG)"/>
    <n v="62"/>
    <s v=""/>
    <x v="135"/>
    <d v="2026-09-11T00:00:00"/>
    <s v=""/>
    <s v=""/>
    <s v=""/>
    <s v=""/>
    <n v="62"/>
  </r>
  <r>
    <x v="1"/>
    <s v=""/>
    <s v=""/>
    <s v=""/>
    <s v=""/>
    <x v="276"/>
    <s v="RA-05V-2651]BRK HARNESS CLAMP"/>
    <n v="62"/>
    <s v=""/>
    <x v="136"/>
    <d v="2026-09-14T00:00:00"/>
    <s v=""/>
    <s v=""/>
    <s v=""/>
    <s v=""/>
    <n v="62"/>
  </r>
  <r>
    <x v="1"/>
    <s v=""/>
    <s v="기초"/>
    <s v=""/>
    <s v=""/>
    <x v="277"/>
    <s v="RA-15-3]Lamp DRV MOT Power"/>
    <n v="63"/>
    <s v=""/>
    <x v="132"/>
    <d v="2026-09-11T00:00:00"/>
    <s v=""/>
    <s v=""/>
    <s v=""/>
    <s v=""/>
    <n v="63"/>
  </r>
  <r>
    <x v="1"/>
    <s v=""/>
    <s v=""/>
    <s v=""/>
    <s v=""/>
    <x v="278"/>
    <s v="RA-9-8]SERIAL POWER LS 1"/>
    <n v="64"/>
    <s v=""/>
    <x v="137"/>
    <d v="2026-10-07T00:00:00"/>
    <s v=""/>
    <s v=""/>
    <s v=""/>
    <s v=""/>
    <n v="64"/>
  </r>
  <r>
    <x v="1"/>
    <s v=""/>
    <s v=""/>
    <s v=""/>
    <s v=""/>
    <x v="233"/>
    <s v="RF-20A-0279]Mdl DLP PLT"/>
    <n v="65"/>
    <s v=""/>
    <x v="54"/>
    <d v="2026-09-22T00:00:00"/>
    <s v=""/>
    <s v=""/>
    <s v=""/>
    <s v=""/>
    <n v="65"/>
  </r>
  <r>
    <x v="1"/>
    <s v=""/>
    <s v=""/>
    <s v=""/>
    <s v=""/>
    <x v="279"/>
    <s v="RA-08M-1225]STRIPPER BOLT ROLLER"/>
    <n v="66"/>
    <s v=""/>
    <x v="138"/>
    <d v="2026-07-29T00:00:00"/>
    <s v=""/>
    <s v=""/>
    <s v=""/>
    <s v=""/>
    <n v="66"/>
  </r>
  <r>
    <x v="1"/>
    <s v=""/>
    <s v="기초"/>
    <s v=""/>
    <s v=""/>
    <x v="280"/>
    <s v="RA-04T-3883]CAS ARM BOT (MG)"/>
    <n v="66"/>
    <s v=""/>
    <x v="86"/>
    <d v="2026-09-11T00:00:00"/>
    <s v=""/>
    <s v=""/>
    <s v=""/>
    <s v=""/>
    <n v="66"/>
  </r>
  <r>
    <x v="1"/>
    <s v=""/>
    <s v=""/>
    <s v=""/>
    <s v=""/>
    <x v="66"/>
    <s v="MODULE BASE BOTTOM FRAME"/>
    <n v="66"/>
    <s v=""/>
    <x v="51"/>
    <d v="2026-09-22T00:00:00"/>
    <s v=""/>
    <s v=""/>
    <s v=""/>
    <s v=""/>
    <n v="66"/>
  </r>
  <r>
    <x v="1"/>
    <s v=""/>
    <s v=""/>
    <s v=""/>
    <s v=""/>
    <x v="281"/>
    <s v="RA-07V-1661]BRK PHOtSNSR (VA)"/>
    <n v="66"/>
    <s v=""/>
    <x v="139"/>
    <d v="2026-10-06T00:00:00"/>
    <s v=""/>
    <s v=""/>
    <s v=""/>
    <s v=""/>
    <n v="66"/>
  </r>
  <r>
    <x v="1"/>
    <s v=""/>
    <s v=""/>
    <s v=""/>
    <s v=""/>
    <x v="282"/>
    <s v="RP-01H-5009]Lan cable"/>
    <n v="66"/>
    <s v=""/>
    <x v="60"/>
    <d v="2026-10-06T00:00:00"/>
    <s v=""/>
    <s v=""/>
    <s v=""/>
    <s v=""/>
    <n v="66"/>
  </r>
  <r>
    <x v="1"/>
    <s v=""/>
    <s v="입고"/>
    <s v="A&amp;T"/>
    <s v="장동은"/>
    <x v="49"/>
    <s v="MODULE ARM LEFT"/>
    <n v="67"/>
    <s v=""/>
    <x v="40"/>
    <d v="2026-10-01T00:00:00"/>
    <s v=""/>
    <s v=""/>
    <s v=""/>
    <s v=""/>
    <n v="67"/>
  </r>
  <r>
    <x v="1"/>
    <s v=""/>
    <s v=""/>
    <s v=""/>
    <s v=""/>
    <x v="283"/>
    <s v="RA-06M-3187]BLK COL FIX LWR A (ST)"/>
    <n v="67"/>
    <s v=""/>
    <x v="87"/>
    <d v="2026-09-18T00:00:00"/>
    <s v=""/>
    <s v=""/>
    <s v=""/>
    <s v=""/>
    <n v="67"/>
  </r>
  <r>
    <x v="1"/>
    <s v=""/>
    <s v="기초"/>
    <s v=""/>
    <s v=""/>
    <x v="284"/>
    <s v="RA-03S-0070]IGUS RAIL BLK(NW-01-27)"/>
    <n v="68"/>
    <s v=""/>
    <x v="98"/>
    <d v="2026-09-11T00:00:00"/>
    <s v=""/>
    <s v=""/>
    <s v=""/>
    <s v=""/>
    <n v="68"/>
  </r>
  <r>
    <x v="1"/>
    <s v=""/>
    <s v="기초"/>
    <s v=""/>
    <s v=""/>
    <x v="285"/>
    <s v="RA-03T-1993]HLDR LASER BEAM H"/>
    <n v="68"/>
    <s v=""/>
    <x v="74"/>
    <d v="2026-09-11T00:00:00"/>
    <s v=""/>
    <s v=""/>
    <s v=""/>
    <s v=""/>
    <n v="68"/>
  </r>
  <r>
    <x v="1"/>
    <s v=""/>
    <s v="기초"/>
    <s v=""/>
    <s v=""/>
    <x v="286"/>
    <s v="RA-03V-3862]PLT SWITCH (MG)"/>
    <n v="68"/>
    <s v=""/>
    <x v="42"/>
    <d v="2026-09-11T00:00:00"/>
    <s v=""/>
    <s v=""/>
    <s v=""/>
    <s v=""/>
    <n v="68"/>
  </r>
  <r>
    <x v="1"/>
    <s v=""/>
    <s v="기초"/>
    <s v=""/>
    <s v=""/>
    <x v="287"/>
    <s v="RA-06V-3390]BRK CAM MCU Bd (ST)"/>
    <n v="68"/>
    <s v=""/>
    <x v="140"/>
    <d v="2026-09-11T00:00:00"/>
    <s v=""/>
    <s v=""/>
    <s v=""/>
    <s v=""/>
    <n v="68"/>
  </r>
  <r>
    <x v="1"/>
    <s v=""/>
    <s v=""/>
    <s v=""/>
    <s v=""/>
    <x v="288"/>
    <s v="RA-02A-2741]ASM VERT TOTAL (3D) (VN)"/>
    <n v="68"/>
    <s v=""/>
    <x v="33"/>
    <d v="2026-09-14T00:00:00"/>
    <s v=""/>
    <s v=""/>
    <s v=""/>
    <s v=""/>
    <n v="68"/>
  </r>
  <r>
    <x v="1"/>
    <s v=""/>
    <s v=""/>
    <s v=""/>
    <s v=""/>
    <x v="289"/>
    <s v="RA-06V-1311]BRK TUBE CAS FIX B"/>
    <n v="70"/>
    <s v=""/>
    <x v="113"/>
    <d v="2026-09-15T00:00:00"/>
    <s v=""/>
    <s v=""/>
    <s v=""/>
    <s v=""/>
    <n v="70"/>
  </r>
  <r>
    <x v="1"/>
    <s v=""/>
    <s v="반납"/>
    <s v=""/>
    <s v=""/>
    <x v="274"/>
    <s v="RF-01H-5056]LED PWM harness"/>
    <n v="71"/>
    <s v=""/>
    <x v="53"/>
    <d v="2026-09-22T00:00:00"/>
    <s v=""/>
    <s v=""/>
    <s v=""/>
    <s v=""/>
    <n v="71"/>
  </r>
  <r>
    <x v="1"/>
    <s v=""/>
    <s v="기초"/>
    <s v=""/>
    <s v=""/>
    <x v="290"/>
    <s v="RA-15-1]LAMP DRV CONTROL"/>
    <n v="72"/>
    <s v=""/>
    <x v="132"/>
    <d v="2026-09-11T00:00:00"/>
    <s v=""/>
    <s v=""/>
    <s v=""/>
    <s v=""/>
    <n v="72"/>
  </r>
  <r>
    <x v="1"/>
    <s v=""/>
    <s v="반납"/>
    <s v=""/>
    <s v=""/>
    <x v="83"/>
    <s v="RF-01H-5065]Main Power harness"/>
    <n v="72"/>
    <s v=""/>
    <x v="64"/>
    <d v="2026-09-22T00:00:00"/>
    <s v=""/>
    <s v=""/>
    <s v=""/>
    <s v=""/>
    <n v="72"/>
  </r>
  <r>
    <x v="1"/>
    <s v=""/>
    <s v="기초"/>
    <s v=""/>
    <s v=""/>
    <x v="291"/>
    <s v="RA-05V-3925]BRK ROT CAS B (MG)"/>
    <n v="73"/>
    <s v=""/>
    <x v="68"/>
    <d v="2026-09-11T00:00:00"/>
    <s v=""/>
    <s v=""/>
    <s v=""/>
    <s v=""/>
    <n v="73"/>
  </r>
  <r>
    <x v="1"/>
    <s v=""/>
    <s v="반납"/>
    <s v=""/>
    <s v=""/>
    <x v="292"/>
    <s v="RF-01B-5038] BOTTOM LED BOARD"/>
    <n v="73"/>
    <s v=""/>
    <x v="141"/>
    <d v="2026-09-22T00:00:00"/>
    <s v=""/>
    <s v=""/>
    <s v=""/>
    <s v=""/>
    <n v="73"/>
  </r>
  <r>
    <x v="1"/>
    <s v=""/>
    <s v=""/>
    <s v=""/>
    <s v=""/>
    <x v="293"/>
    <s v="RA-07M-2497]CVR CT DET FRONT (A+ ODD)"/>
    <n v="74"/>
    <s v=""/>
    <x v="142"/>
    <d v="2026-10-07T00:00:00"/>
    <s v=""/>
    <s v=""/>
    <s v=""/>
    <s v=""/>
    <n v="74"/>
  </r>
  <r>
    <x v="1"/>
    <s v=""/>
    <s v=""/>
    <s v=""/>
    <s v=""/>
    <x v="294"/>
    <s v="RA-03S-5180A]A2K_LBM01-570"/>
    <n v="76"/>
    <s v=""/>
    <x v="74"/>
    <d v="2026-10-13T00:00:00"/>
    <s v=""/>
    <s v=""/>
    <s v=""/>
    <s v=""/>
    <n v="76"/>
  </r>
  <r>
    <x v="1"/>
    <s v=""/>
    <s v=""/>
    <s v=""/>
    <s v=""/>
    <x v="295"/>
    <s v="RA-03S-6025]LBM-RAY01"/>
    <n v="76"/>
    <s v=""/>
    <x v="74"/>
    <d v="2026-10-13T00:00:00"/>
    <s v=""/>
    <s v=""/>
    <s v=""/>
    <s v=""/>
    <n v="76"/>
  </r>
  <r>
    <x v="1"/>
    <s v=""/>
    <s v="입고"/>
    <s v="A&amp;T"/>
    <s v="장동은"/>
    <x v="139"/>
    <s v="MODULE ARM RIGHT"/>
    <n v="80"/>
    <s v=""/>
    <x v="77"/>
    <d v="2026-10-01T00:00:00"/>
    <s v=""/>
    <s v=""/>
    <s v=""/>
    <s v=""/>
    <n v="80"/>
  </r>
  <r>
    <x v="1"/>
    <s v=""/>
    <s v=""/>
    <s v=""/>
    <s v=""/>
    <x v="296"/>
    <s v="RA-02T-0045]CAS VERT SUB BOT"/>
    <n v="80"/>
    <s v=""/>
    <x v="27"/>
    <d v="2026-10-07T00:00:00"/>
    <s v=""/>
    <s v=""/>
    <s v=""/>
    <s v=""/>
    <n v="80"/>
  </r>
  <r>
    <x v="1"/>
    <s v=""/>
    <s v="기초"/>
    <s v=""/>
    <s v=""/>
    <x v="297"/>
    <s v="RA-04T-3892]DECO CHINREST SIDE KNOB(RLMG"/>
    <n v="81"/>
    <s v=""/>
    <x v="86"/>
    <d v="2026-09-11T00:00:00"/>
    <s v=""/>
    <s v=""/>
    <s v=""/>
    <s v=""/>
    <n v="81"/>
  </r>
  <r>
    <x v="1"/>
    <s v=""/>
    <s v="기초"/>
    <s v=""/>
    <s v=""/>
    <x v="298"/>
    <s v="RA-06M-3947]DECO WINDOW COL (MG)"/>
    <n v="81"/>
    <s v=""/>
    <x v="143"/>
    <d v="2026-09-11T00:00:00"/>
    <s v=""/>
    <s v=""/>
    <s v=""/>
    <s v=""/>
    <n v="81"/>
  </r>
  <r>
    <x v="1"/>
    <s v=""/>
    <s v=""/>
    <s v=""/>
    <s v=""/>
    <x v="299"/>
    <s v="RA-05T-0210]CAS ROT TOP SUB"/>
    <n v="83"/>
    <s v=""/>
    <x v="27"/>
    <d v="2026-10-07T00:00:00"/>
    <s v=""/>
    <s v=""/>
    <s v=""/>
    <s v=""/>
    <n v="83"/>
  </r>
  <r>
    <x v="1"/>
    <s v=""/>
    <s v="기초"/>
    <s v=""/>
    <s v=""/>
    <x v="300"/>
    <s v="RA-02V-3853]BRK VERT BOT (MG)"/>
    <n v="84"/>
    <s v=""/>
    <x v="41"/>
    <d v="2026-09-11T00:00:00"/>
    <s v=""/>
    <s v=""/>
    <s v=""/>
    <s v=""/>
    <n v="84"/>
  </r>
  <r>
    <x v="1"/>
    <s v=""/>
    <s v="기초"/>
    <s v=""/>
    <s v=""/>
    <x v="301"/>
    <s v=""/>
    <n v="84"/>
    <s v=""/>
    <x v="144"/>
    <d v="2026-09-11T00:00:00"/>
    <s v=""/>
    <s v=""/>
    <s v=""/>
    <s v=""/>
    <n v="84"/>
  </r>
  <r>
    <x v="1"/>
    <s v=""/>
    <s v="기초"/>
    <s v=""/>
    <s v=""/>
    <x v="302"/>
    <s v=""/>
    <n v="85"/>
    <s v=""/>
    <x v="132"/>
    <d v="2026-09-11T00:00:00"/>
    <s v=""/>
    <s v=""/>
    <s v=""/>
    <s v=""/>
    <n v="85"/>
  </r>
  <r>
    <x v="1"/>
    <s v=""/>
    <s v=""/>
    <s v=""/>
    <s v=""/>
    <x v="303"/>
    <s v="RA-02A-6002]Bd ASSY'-Main MCU"/>
    <n v="85"/>
    <s v=""/>
    <x v="145"/>
    <d v="2026-09-28T00:00:00"/>
    <s v=""/>
    <s v=""/>
    <s v=""/>
    <s v=""/>
    <n v="85"/>
  </r>
  <r>
    <x v="1"/>
    <s v=""/>
    <s v=""/>
    <s v=""/>
    <s v=""/>
    <x v="304"/>
    <s v="RA-08T-0178]CAS CEPH SNSR BOT"/>
    <n v="87"/>
    <s v=""/>
    <x v="10"/>
    <d v="2026-07-29T00:00:00"/>
    <s v=""/>
    <s v=""/>
    <s v=""/>
    <s v=""/>
    <n v="87"/>
  </r>
  <r>
    <x v="1"/>
    <s v=""/>
    <s v=""/>
    <s v=""/>
    <s v=""/>
    <x v="305"/>
    <s v="RA-06A-1063]ASM TUBE TNK SUP"/>
    <n v="87"/>
    <s v=""/>
    <x v="126"/>
    <d v="2026-09-30T00:00:00"/>
    <s v=""/>
    <s v=""/>
    <s v=""/>
    <s v=""/>
    <n v="87"/>
  </r>
  <r>
    <x v="1"/>
    <s v=""/>
    <s v="기초"/>
    <s v=""/>
    <s v=""/>
    <x v="306"/>
    <s v="RA-07M-3961]CVR DET FRONT (MG)"/>
    <n v="88"/>
    <s v=""/>
    <x v="143"/>
    <d v="2026-09-11T00:00:00"/>
    <s v=""/>
    <s v=""/>
    <s v=""/>
    <s v=""/>
    <n v="88"/>
  </r>
  <r>
    <x v="1"/>
    <s v=""/>
    <s v="기초"/>
    <s v=""/>
    <s v=""/>
    <x v="307"/>
    <s v="RA-04T-3891]KNOB CHINREST SIDE(R-L) (MG)"/>
    <n v="89"/>
    <s v=""/>
    <x v="86"/>
    <d v="2026-09-11T00:00:00"/>
    <s v=""/>
    <s v=""/>
    <s v=""/>
    <s v=""/>
    <n v="89"/>
  </r>
  <r>
    <x v="1"/>
    <s v=""/>
    <s v=""/>
    <s v=""/>
    <s v=""/>
    <x v="308"/>
    <s v="RF-01S-5072]USB 3.0 A to B Cable"/>
    <n v="89"/>
    <s v=""/>
    <x v="60"/>
    <d v="2026-09-22T00:00:00"/>
    <s v=""/>
    <s v=""/>
    <s v=""/>
    <s v=""/>
    <n v="89"/>
  </r>
  <r>
    <x v="1"/>
    <s v=""/>
    <s v=""/>
    <s v=""/>
    <s v=""/>
    <x v="309"/>
    <s v="RA-08V-0173]DECO CEPH ARM"/>
    <n v="90"/>
    <s v=""/>
    <x v="146"/>
    <d v="2026-07-29T00:00:00"/>
    <s v=""/>
    <s v=""/>
    <s v=""/>
    <s v=""/>
    <n v="90"/>
  </r>
  <r>
    <x v="1"/>
    <s v=""/>
    <s v=""/>
    <s v=""/>
    <s v=""/>
    <x v="310"/>
    <s v="RA-07V-1679]CVR DET PCB (VA)"/>
    <n v="90"/>
    <s v=""/>
    <x v="92"/>
    <d v="2026-09-15T00:00:00"/>
    <s v=""/>
    <s v=""/>
    <s v=""/>
    <s v=""/>
    <n v="90"/>
  </r>
  <r>
    <x v="1"/>
    <s v=""/>
    <s v=""/>
    <s v=""/>
    <s v=""/>
    <x v="79"/>
    <s v="RD-00S-5201]USB A to B Cable"/>
    <n v="90"/>
    <s v=""/>
    <x v="60"/>
    <d v="2026-09-22T00:00:00"/>
    <s v=""/>
    <s v=""/>
    <s v=""/>
    <s v=""/>
    <n v="90"/>
  </r>
  <r>
    <x v="1"/>
    <s v=""/>
    <s v=""/>
    <s v=""/>
    <s v=""/>
    <x v="311"/>
    <s v="RE-06V-0608]BRK COL LWR"/>
    <n v="90"/>
    <s v=""/>
    <x v="147"/>
    <d v="2026-10-08T00:00:00"/>
    <s v=""/>
    <s v=""/>
    <s v=""/>
    <s v=""/>
    <n v="90"/>
  </r>
  <r>
    <x v="1"/>
    <s v=""/>
    <s v=""/>
    <s v=""/>
    <s v=""/>
    <x v="312"/>
    <s v="RA-15-10]SUB MOT DET(VL)"/>
    <n v="92"/>
    <s v=""/>
    <x v="47"/>
    <d v="2026-09-30T00:00:00"/>
    <s v=""/>
    <s v=""/>
    <s v=""/>
    <s v=""/>
    <n v="92"/>
  </r>
  <r>
    <x v="1"/>
    <s v=""/>
    <s v=""/>
    <s v=""/>
    <s v=""/>
    <x v="313"/>
    <s v="RA-06A-2143]ASM TUBE TNK SUP (A+)"/>
    <n v="92"/>
    <s v=""/>
    <x v="126"/>
    <d v="2026-10-06T00:00:00"/>
    <s v=""/>
    <s v=""/>
    <s v=""/>
    <s v=""/>
    <n v="92"/>
  </r>
  <r>
    <x v="1"/>
    <s v=""/>
    <s v="기초"/>
    <s v=""/>
    <s v=""/>
    <x v="314"/>
    <s v="RA-10-7]AC CABLE ASS’Y2"/>
    <n v="93"/>
    <s v=""/>
    <x v="148"/>
    <d v="2026-09-11T00:00:00"/>
    <s v=""/>
    <s v=""/>
    <s v=""/>
    <s v=""/>
    <n v="93"/>
  </r>
  <r>
    <x v="1"/>
    <s v=""/>
    <s v=""/>
    <s v=""/>
    <s v=""/>
    <x v="315"/>
    <s v="RA-12-1]SUB CABLE ASS’Y"/>
    <n v="93"/>
    <s v=""/>
    <x v="9"/>
    <d v="2026-09-28T00:00:00"/>
    <s v=""/>
    <s v=""/>
    <s v=""/>
    <s v=""/>
    <n v="93"/>
  </r>
  <r>
    <x v="1"/>
    <s v=""/>
    <s v=""/>
    <s v=""/>
    <s v=""/>
    <x v="316"/>
    <s v="RA-03S-5181A]A2K_LBM01-970"/>
    <n v="94"/>
    <s v=""/>
    <x v="43"/>
    <d v="2026-09-30T00:00:00"/>
    <s v=""/>
    <s v=""/>
    <s v=""/>
    <s v=""/>
    <n v="94"/>
  </r>
  <r>
    <x v="1"/>
    <s v=""/>
    <s v=""/>
    <s v=""/>
    <s v=""/>
    <x v="269"/>
    <s v="RA-06M-3312]BLK TUBE TNK ANGLE (ST)"/>
    <n v="94"/>
    <s v=""/>
    <x v="58"/>
    <d v="2026-09-30T00:00:00"/>
    <s v=""/>
    <s v=""/>
    <s v=""/>
    <s v=""/>
    <n v="94"/>
  </r>
  <r>
    <x v="1"/>
    <s v=""/>
    <s v=""/>
    <s v=""/>
    <s v=""/>
    <x v="317"/>
    <s v="RA-08V-0361]HLDR CAS CEPH SNSR BACK"/>
    <n v="95"/>
    <s v=""/>
    <x v="142"/>
    <d v="2026-07-29T00:00:00"/>
    <s v=""/>
    <s v=""/>
    <s v=""/>
    <s v=""/>
    <n v="95"/>
  </r>
  <r>
    <x v="1"/>
    <s v=""/>
    <s v="기초"/>
    <s v=""/>
    <s v=""/>
    <x v="318"/>
    <s v="RA-10-6]AC CABLE ASS’Y1"/>
    <n v="95"/>
    <s v=""/>
    <x v="148"/>
    <d v="2026-09-11T00:00:00"/>
    <s v=""/>
    <s v=""/>
    <s v=""/>
    <s v=""/>
    <n v="95"/>
  </r>
  <r>
    <x v="1"/>
    <s v=""/>
    <s v=""/>
    <s v=""/>
    <s v=""/>
    <x v="319"/>
    <s v="RA-06V-1687]BRK XTRUSION PB COL Bas C(VA"/>
    <n v="95"/>
    <s v=""/>
    <x v="149"/>
    <d v="2026-09-15T00:00:00"/>
    <s v=""/>
    <s v=""/>
    <s v=""/>
    <s v=""/>
    <n v="95"/>
  </r>
  <r>
    <x v="1"/>
    <s v=""/>
    <s v="입고"/>
    <s v="Bach tung"/>
    <s v="유영국"/>
    <x v="32"/>
    <s v="RA-05M-3359]FRM ROT WEIGHT (ST)"/>
    <n v="95"/>
    <s v=""/>
    <x v="20"/>
    <d v="2026-09-29T00:00:00"/>
    <s v=""/>
    <s v=""/>
    <s v=""/>
    <s v=""/>
    <n v="95"/>
  </r>
  <r>
    <x v="1"/>
    <s v=""/>
    <s v=""/>
    <s v=""/>
    <s v=""/>
    <x v="320"/>
    <s v="RA-11-11]DC POWER MOT-C"/>
    <n v="95"/>
    <s v=""/>
    <x v="127"/>
    <d v="2026-10-06T00:00:00"/>
    <s v=""/>
    <s v=""/>
    <s v=""/>
    <s v=""/>
    <n v="95"/>
  </r>
  <r>
    <x v="1"/>
    <s v=""/>
    <s v=""/>
    <s v=""/>
    <s v=""/>
    <x v="321"/>
    <s v="RA-04S-0121]HINGE SET"/>
    <n v="95"/>
    <s v=""/>
    <x v="150"/>
    <d v="2026-10-13T00:00:00"/>
    <s v=""/>
    <s v=""/>
    <s v=""/>
    <s v=""/>
    <n v="95"/>
  </r>
  <r>
    <x v="1"/>
    <s v=""/>
    <s v="기초"/>
    <s v=""/>
    <s v=""/>
    <x v="322"/>
    <s v="RA-15-14]LAMP POWER-R"/>
    <n v="96"/>
    <s v=""/>
    <x v="148"/>
    <d v="2026-09-11T00:00:00"/>
    <s v=""/>
    <s v=""/>
    <s v=""/>
    <s v=""/>
    <n v="96"/>
  </r>
  <r>
    <x v="1"/>
    <s v=""/>
    <s v=""/>
    <s v=""/>
    <s v=""/>
    <x v="323"/>
    <s v="RA-04A-0899]ASM LCD M101NWT2 R1"/>
    <n v="96"/>
    <s v=""/>
    <x v="94"/>
    <d v="2026-10-13T00:00:00"/>
    <s v=""/>
    <s v=""/>
    <s v=""/>
    <s v=""/>
    <n v="96"/>
  </r>
  <r>
    <x v="1"/>
    <s v=""/>
    <s v=""/>
    <s v=""/>
    <s v=""/>
    <x v="324"/>
    <s v="RA-08V-0170]CVR MOUNT CEPH ARM"/>
    <n v="97"/>
    <s v=""/>
    <x v="146"/>
    <d v="2026-07-29T00:00:00"/>
    <s v=""/>
    <s v=""/>
    <s v=""/>
    <s v=""/>
    <n v="97"/>
  </r>
  <r>
    <x v="1"/>
    <s v=""/>
    <s v=""/>
    <s v=""/>
    <s v=""/>
    <x v="325"/>
    <s v="RA-06V-1509]BRK XTRUSION PB COL OCL"/>
    <n v="97"/>
    <s v=""/>
    <x v="151"/>
    <d v="2026-07-29T00:00:00"/>
    <s v=""/>
    <s v=""/>
    <s v=""/>
    <s v=""/>
    <n v="97"/>
  </r>
  <r>
    <x v="1"/>
    <s v=""/>
    <s v="기초"/>
    <s v=""/>
    <s v=""/>
    <x v="326"/>
    <s v="RA-15-15]LAMP POWER-LR"/>
    <n v="97"/>
    <s v=""/>
    <x v="148"/>
    <d v="2026-09-11T00:00:00"/>
    <s v=""/>
    <s v=""/>
    <s v=""/>
    <s v=""/>
    <n v="97"/>
  </r>
  <r>
    <x v="1"/>
    <s v=""/>
    <s v=""/>
    <s v=""/>
    <s v=""/>
    <x v="327"/>
    <s v="RF-01S-5050]TEETH LENS"/>
    <n v="97"/>
    <s v=""/>
    <x v="56"/>
    <d v="2026-09-22T00:00:00"/>
    <s v=""/>
    <s v=""/>
    <s v=""/>
    <s v=""/>
    <n v="97"/>
  </r>
  <r>
    <x v="1"/>
    <s v=""/>
    <s v=""/>
    <s v=""/>
    <s v=""/>
    <x v="328"/>
    <s v="RA-06V-2142]BRK TUBE CAS (A+)"/>
    <n v="98"/>
    <s v=""/>
    <x v="7"/>
    <d v="2026-10-06T00:00:00"/>
    <s v=""/>
    <s v=""/>
    <s v=""/>
    <s v=""/>
    <n v="98"/>
  </r>
  <r>
    <x v="1"/>
    <s v=""/>
    <s v=""/>
    <s v=""/>
    <s v=""/>
    <x v="329"/>
    <s v="RA-08V-1308]HLDR CAS CEPH SNSR BOT (SG)"/>
    <n v="99"/>
    <s v=""/>
    <x v="152"/>
    <d v="2026-07-29T00:00:00"/>
    <s v=""/>
    <s v=""/>
    <s v=""/>
    <s v=""/>
    <n v="99"/>
  </r>
  <r>
    <x v="1"/>
    <s v=""/>
    <s v="기초"/>
    <s v=""/>
    <s v=""/>
    <x v="330"/>
    <s v="RA-3-8]INDICATOR CONTROL"/>
    <n v="99"/>
    <s v=""/>
    <x v="148"/>
    <d v="2026-09-11T00:00:00"/>
    <s v=""/>
    <s v=""/>
    <s v=""/>
    <s v=""/>
    <n v="99"/>
  </r>
  <r>
    <x v="1"/>
    <s v=""/>
    <s v=""/>
    <s v=""/>
    <s v=""/>
    <x v="156"/>
    <s v="RF-01B-5039]POWER HUB Bd"/>
    <n v="99"/>
    <s v=""/>
    <x v="91"/>
    <d v="2026-09-22T00:00:00"/>
    <s v=""/>
    <s v=""/>
    <s v=""/>
    <s v=""/>
    <n v="99"/>
  </r>
  <r>
    <x v="1"/>
    <s v=""/>
    <s v=""/>
    <s v=""/>
    <s v=""/>
    <x v="164"/>
    <s v="RF-01T-0354]CAMERA CASE L"/>
    <n v="99"/>
    <s v=""/>
    <x v="59"/>
    <d v="2026-09-22T00:00:00"/>
    <s v=""/>
    <s v=""/>
    <s v=""/>
    <s v=""/>
    <n v="99"/>
  </r>
  <r>
    <x v="1"/>
    <s v=""/>
    <s v="입고"/>
    <s v="대영하네스"/>
    <s v="유영국"/>
    <x v="331"/>
    <s v="RA-11-34_2]SUB MOT DET(V)"/>
    <n v="100"/>
    <s v=""/>
    <x v="153"/>
    <d v="2026-10-01T00:00:00"/>
    <s v=""/>
    <s v=""/>
    <s v=""/>
    <s v=""/>
    <n v="100"/>
  </r>
  <r>
    <x v="1"/>
    <s v=""/>
    <s v="입고"/>
    <s v="A&amp;T"/>
    <s v="조영우"/>
    <x v="171"/>
    <s v=""/>
    <n v="100"/>
    <s v=""/>
    <x v="99"/>
    <d v="2026-09-16T00:00:00"/>
    <s v=""/>
    <s v=""/>
    <s v=""/>
    <s v=""/>
    <n v="100"/>
  </r>
  <r>
    <x v="1"/>
    <s v=""/>
    <s v=""/>
    <s v=""/>
    <s v=""/>
    <x v="332"/>
    <s v="RE-06V-0615]BRK PB COL SC"/>
    <n v="100"/>
    <s v=""/>
    <x v="154"/>
    <d v="2026-09-11T00:00:00"/>
    <s v=""/>
    <s v=""/>
    <s v=""/>
    <s v=""/>
    <n v="100"/>
  </r>
  <r>
    <x v="1"/>
    <s v=""/>
    <s v="입고"/>
    <s v="디엔꽝"/>
    <s v="장동은"/>
    <x v="218"/>
    <s v="RF-01B-5037] LED SIDE BOARD_REV2"/>
    <n v="100"/>
    <s v=""/>
    <x v="46"/>
    <d v="2026-09-10T00:00:00"/>
    <s v=""/>
    <s v=""/>
    <s v=""/>
    <s v=""/>
    <n v="100"/>
  </r>
  <r>
    <x v="1"/>
    <s v=""/>
    <s v=""/>
    <s v=""/>
    <s v=""/>
    <x v="149"/>
    <s v="RF-01V-0254]REAR CVR TOP BRK"/>
    <n v="100"/>
    <s v=""/>
    <x v="34"/>
    <d v="2026-09-22T00:00:00"/>
    <s v=""/>
    <s v=""/>
    <s v=""/>
    <s v=""/>
    <n v="100"/>
  </r>
  <r>
    <x v="1"/>
    <s v=""/>
    <s v=""/>
    <s v=""/>
    <s v=""/>
    <x v="78"/>
    <s v="RF-01T-0355]CAMERA CASE R"/>
    <n v="100"/>
    <s v=""/>
    <x v="59"/>
    <d v="2026-09-22T00:00:00"/>
    <s v=""/>
    <s v=""/>
    <s v=""/>
    <s v=""/>
    <n v="100"/>
  </r>
  <r>
    <x v="1"/>
    <s v=""/>
    <s v=""/>
    <s v=""/>
    <s v=""/>
    <x v="74"/>
    <s v="RF-01T-0356]RUBBER CAP ARM"/>
    <n v="100"/>
    <s v=""/>
    <x v="56"/>
    <d v="2026-09-22T00:00:00"/>
    <s v=""/>
    <s v=""/>
    <s v=""/>
    <s v=""/>
    <n v="100"/>
  </r>
  <r>
    <x v="1"/>
    <s v=""/>
    <s v=""/>
    <s v=""/>
    <s v=""/>
    <x v="333"/>
    <s v="RA-06M-3319]BLK COL FIX LWR B (ST)"/>
    <n v="100"/>
    <s v=""/>
    <x v="155"/>
    <d v="2026-09-30T00:00:00"/>
    <s v=""/>
    <s v=""/>
    <s v=""/>
    <s v=""/>
    <n v="100"/>
  </r>
  <r>
    <x v="1"/>
    <s v=""/>
    <s v="입고"/>
    <s v="A&amp;T"/>
    <s v="장동은"/>
    <x v="42"/>
    <s v="RF-01V-0209]FRONT BRK TOP"/>
    <n v="100"/>
    <s v=""/>
    <x v="34"/>
    <d v="2026-10-06T00:00:00"/>
    <s v=""/>
    <s v=""/>
    <s v=""/>
    <s v=""/>
    <n v="100"/>
  </r>
  <r>
    <x v="1"/>
    <s v=""/>
    <s v="입고"/>
    <s v="A&amp;T"/>
    <s v="장동은"/>
    <x v="75"/>
    <s v="RF-20A-0280]MODULE DLP MCU BRACKET"/>
    <n v="100"/>
    <s v=""/>
    <x v="54"/>
    <d v="2026-10-06T00:00:00"/>
    <s v=""/>
    <s v=""/>
    <s v=""/>
    <s v=""/>
    <n v="100"/>
  </r>
  <r>
    <x v="1"/>
    <s v=""/>
    <s v="입고"/>
    <s v="대영하네스"/>
    <s v="유영국"/>
    <x v="157"/>
    <s v="RA-11-9]DC POWER MOT-A"/>
    <n v="100"/>
    <s v=""/>
    <x v="9"/>
    <d v="2026-10-01T00:00:00"/>
    <s v=""/>
    <s v=""/>
    <s v=""/>
    <s v=""/>
    <n v="100"/>
  </r>
  <r>
    <x v="1"/>
    <s v=""/>
    <s v="입고"/>
    <s v="대영하네스"/>
    <s v="유영국"/>
    <x v="334"/>
    <s v="RA-1-9A]DC POWER MOT-A"/>
    <n v="100"/>
    <s v=""/>
    <x v="9"/>
    <d v="2026-10-01T00:00:00"/>
    <s v=""/>
    <s v=""/>
    <s v=""/>
    <s v=""/>
    <n v="100"/>
  </r>
  <r>
    <x v="1"/>
    <s v=""/>
    <s v="입고"/>
    <s v="플랜피뎀"/>
    <s v="유영국"/>
    <x v="335"/>
    <s v="C16-635ZZ]BALL B-Ring"/>
    <n v="100"/>
    <s v=""/>
    <x v="120"/>
    <d v="2026-10-02T00:00:00"/>
    <s v=""/>
    <s v=""/>
    <s v=""/>
    <s v=""/>
    <n v="100"/>
  </r>
  <r>
    <x v="1"/>
    <s v=""/>
    <s v="입고"/>
    <s v="다유"/>
    <s v="유영국"/>
    <x v="336"/>
    <s v="RA-02M-2522]PULLEY ROT MAIN (A+)"/>
    <n v="100"/>
    <s v=""/>
    <x v="156"/>
    <d v="2026-10-06T00:00:00"/>
    <s v=""/>
    <s v=""/>
    <s v=""/>
    <s v=""/>
    <n v="100"/>
  </r>
  <r>
    <x v="1"/>
    <s v=""/>
    <s v="입고"/>
    <s v="다유"/>
    <s v="유영국"/>
    <x v="337"/>
    <s v="RA-02A-2622]ASM SCREW MOVING Y-AXIS (A+)"/>
    <n v="100"/>
    <s v=""/>
    <x v="156"/>
    <d v="2026-10-06T00:00:00"/>
    <s v=""/>
    <s v=""/>
    <s v=""/>
    <s v=""/>
    <n v="100"/>
  </r>
  <r>
    <x v="1"/>
    <s v=""/>
    <s v="입고"/>
    <s v="하이크로봇"/>
    <s v="장동은"/>
    <x v="46"/>
    <s v="RF-01S-5083]CAM Trigger_L-R harness"/>
    <n v="100"/>
    <s v=""/>
    <x v="37"/>
    <d v="2026-09-28T00:00:00"/>
    <s v=""/>
    <s v=""/>
    <s v=""/>
    <s v=""/>
    <n v="100"/>
  </r>
  <r>
    <x v="1"/>
    <s v=""/>
    <s v=""/>
    <s v=""/>
    <s v=""/>
    <x v="338"/>
    <s v="RA-07S-1668]MICROMTR HEAD (VA)"/>
    <n v="100"/>
    <s v=""/>
    <x v="129"/>
    <d v="2026-10-06T00:00:00"/>
    <s v=""/>
    <s v=""/>
    <s v=""/>
    <s v=""/>
    <n v="100"/>
  </r>
  <r>
    <x v="1"/>
    <s v=""/>
    <s v=""/>
    <s v=""/>
    <s v=""/>
    <x v="339"/>
    <s v="RA-07V-2791]CVR DET PCB (IR)"/>
    <n v="100"/>
    <s v=""/>
    <x v="157"/>
    <d v="2026-10-06T00:00:00"/>
    <s v=""/>
    <s v=""/>
    <s v=""/>
    <s v=""/>
    <n v="100"/>
  </r>
  <r>
    <x v="1"/>
    <s v=""/>
    <s v=""/>
    <s v=""/>
    <s v=""/>
    <x v="340"/>
    <s v="RA-07V-2790]PLT SPACER DET (IR)"/>
    <n v="100"/>
    <s v=""/>
    <x v="157"/>
    <d v="2026-10-06T00:00:00"/>
    <s v=""/>
    <s v=""/>
    <s v=""/>
    <s v=""/>
    <n v="100"/>
  </r>
  <r>
    <x v="1"/>
    <s v=""/>
    <s v=""/>
    <s v=""/>
    <s v=""/>
    <x v="341"/>
    <s v="RA-07M-1655]COL B-Ring GUIDE (VA)"/>
    <n v="100"/>
    <s v=""/>
    <x v="158"/>
    <d v="2026-10-06T00:00:00"/>
    <s v=""/>
    <s v=""/>
    <s v=""/>
    <s v=""/>
    <n v="100"/>
  </r>
  <r>
    <x v="1"/>
    <s v=""/>
    <s v=""/>
    <s v=""/>
    <s v=""/>
    <x v="342"/>
    <s v="RA-10-2]PRIME CABLE ASS’Y"/>
    <n v="100"/>
    <s v=""/>
    <x v="9"/>
    <d v="2026-10-08T00:00:00"/>
    <s v=""/>
    <s v=""/>
    <s v=""/>
    <s v=""/>
    <n v="100"/>
  </r>
  <r>
    <x v="1"/>
    <s v=""/>
    <s v=""/>
    <s v=""/>
    <s v=""/>
    <x v="343"/>
    <s v="RA-08V-0181]BLK CEPH ARM FIX"/>
    <n v="101"/>
    <s v=""/>
    <x v="146"/>
    <d v="2026-07-29T00:00:00"/>
    <s v=""/>
    <s v=""/>
    <s v=""/>
    <s v=""/>
    <n v="101"/>
  </r>
  <r>
    <x v="1"/>
    <s v=""/>
    <s v=""/>
    <s v=""/>
    <s v=""/>
    <x v="120"/>
    <s v="RF-01T-0241]CAL Bas UPPER"/>
    <n v="101"/>
    <s v=""/>
    <x v="32"/>
    <d v="2026-09-22T00:00:00"/>
    <s v=""/>
    <s v=""/>
    <s v=""/>
    <s v=""/>
    <n v="101"/>
  </r>
  <r>
    <x v="1"/>
    <s v=""/>
    <s v="입고"/>
    <s v="대영하네스"/>
    <s v="유영국"/>
    <x v="344"/>
    <s v="RA-11-4]MainMCU to STEP DRV"/>
    <n v="101"/>
    <s v=""/>
    <x v="159"/>
    <d v="2026-10-01T00:00:00"/>
    <s v=""/>
    <s v=""/>
    <s v=""/>
    <s v=""/>
    <n v="101"/>
  </r>
  <r>
    <x v="1"/>
    <s v=""/>
    <s v="기초"/>
    <s v=""/>
    <s v=""/>
    <x v="345"/>
    <s v="RA-06S-6056]CAM LAMP DRV Bd"/>
    <n v="102"/>
    <s v=""/>
    <x v="107"/>
    <d v="2026-09-11T00:00:00"/>
    <s v=""/>
    <s v=""/>
    <s v=""/>
    <s v=""/>
    <n v="102"/>
  </r>
  <r>
    <x v="1"/>
    <s v=""/>
    <s v=""/>
    <s v=""/>
    <s v=""/>
    <x v="346"/>
    <s v="RA-05V-1684]CVR PRIME MCU"/>
    <n v="103"/>
    <s v=""/>
    <x v="104"/>
    <d v="2026-09-15T00:00:00"/>
    <s v=""/>
    <s v=""/>
    <s v=""/>
    <s v=""/>
    <n v="103"/>
  </r>
  <r>
    <x v="1"/>
    <s v=""/>
    <s v=""/>
    <s v=""/>
    <s v=""/>
    <x v="347"/>
    <s v="RA-07T-1766]BLK DET SNSR"/>
    <n v="104"/>
    <s v=""/>
    <x v="98"/>
    <d v="2026-09-30T00:00:00"/>
    <s v=""/>
    <s v=""/>
    <s v=""/>
    <s v=""/>
    <n v="104"/>
  </r>
  <r>
    <x v="1"/>
    <s v=""/>
    <s v=""/>
    <s v=""/>
    <s v=""/>
    <x v="43"/>
    <s v="RF-01T-0255]CVR FRONT MID R"/>
    <n v="105"/>
    <s v=""/>
    <x v="35"/>
    <d v="2026-08-25T00:00:00"/>
    <s v=""/>
    <s v=""/>
    <s v=""/>
    <s v=""/>
    <n v="105"/>
  </r>
  <r>
    <x v="1"/>
    <s v=""/>
    <s v=""/>
    <s v=""/>
    <s v=""/>
    <x v="348"/>
    <s v="RA-02A-6003]Bd ASSY'-Step Driver"/>
    <n v="105"/>
    <s v=""/>
    <x v="111"/>
    <d v="2026-09-28T00:00:00"/>
    <s v=""/>
    <s v=""/>
    <s v=""/>
    <s v=""/>
    <n v="105"/>
  </r>
  <r>
    <x v="1"/>
    <s v=""/>
    <s v=""/>
    <s v=""/>
    <s v=""/>
    <x v="349"/>
    <s v="RA-07A-1777]ASM SCREW MOVING DET (VA)"/>
    <n v="105"/>
    <s v=""/>
    <x v="67"/>
    <d v="2026-10-06T00:00:00"/>
    <s v=""/>
    <s v=""/>
    <s v=""/>
    <s v=""/>
    <n v="105"/>
  </r>
  <r>
    <x v="1"/>
    <s v=""/>
    <s v=""/>
    <s v=""/>
    <s v=""/>
    <x v="350"/>
    <s v="RA-06V-1678]BRK CANINE TOOTH LASER BEAM"/>
    <n v="106"/>
    <s v=""/>
    <x v="149"/>
    <d v="2026-09-30T00:00:00"/>
    <s v=""/>
    <s v=""/>
    <s v=""/>
    <s v=""/>
    <n v="106"/>
  </r>
  <r>
    <x v="1"/>
    <s v=""/>
    <s v=""/>
    <s v=""/>
    <s v=""/>
    <x v="351"/>
    <s v="RA-03M-2193]CVR PROT (A+)"/>
    <n v="106"/>
    <s v=""/>
    <x v="74"/>
    <d v="2026-10-13T00:00:00"/>
    <s v=""/>
    <s v=""/>
    <s v=""/>
    <s v=""/>
    <n v="106"/>
  </r>
  <r>
    <x v="1"/>
    <s v=""/>
    <s v=""/>
    <s v=""/>
    <s v=""/>
    <x v="352"/>
    <s v="RA-04V-0118]BRK MONITOR HINGE"/>
    <n v="106"/>
    <s v=""/>
    <x v="160"/>
    <d v="2026-10-13T00:00:00"/>
    <s v=""/>
    <s v=""/>
    <s v=""/>
    <s v=""/>
    <n v="106"/>
  </r>
  <r>
    <x v="1"/>
    <s v=""/>
    <s v=""/>
    <s v=""/>
    <s v=""/>
    <x v="353"/>
    <s v="RA-02A-2020]ASM SCREW X-AXIS (A+)"/>
    <n v="107"/>
    <s v=""/>
    <x v="161"/>
    <d v="2026-09-28T00:00:00"/>
    <s v=""/>
    <s v=""/>
    <s v=""/>
    <s v=""/>
    <n v="107"/>
  </r>
  <r>
    <x v="1"/>
    <s v=""/>
    <s v=""/>
    <s v=""/>
    <s v=""/>
    <x v="354"/>
    <s v="RA-02A-2711]ASM GUIDE Y-AXIS SCREW B"/>
    <n v="108"/>
    <s v=""/>
    <x v="162"/>
    <d v="2026-09-28T00:00:00"/>
    <s v=""/>
    <s v=""/>
    <s v=""/>
    <s v=""/>
    <n v="108"/>
  </r>
  <r>
    <x v="1"/>
    <s v=""/>
    <s v=""/>
    <s v=""/>
    <s v=""/>
    <x v="355"/>
    <s v="RA-04M-1338]BLK HEADREST FIX BAR-L"/>
    <n v="111"/>
    <s v=""/>
    <x v="134"/>
    <d v="2026-10-13T00:00:00"/>
    <s v=""/>
    <s v=""/>
    <s v=""/>
    <s v=""/>
    <n v="111"/>
  </r>
  <r>
    <x v="1"/>
    <s v=""/>
    <s v=""/>
    <s v=""/>
    <s v=""/>
    <x v="356"/>
    <s v="RA-02M-2001] FRAME VERTICAL BASE (A+)"/>
    <n v="112"/>
    <s v=""/>
    <x v="33"/>
    <d v="2026-09-28T00:00:00"/>
    <s v=""/>
    <s v=""/>
    <s v=""/>
    <s v=""/>
    <n v="112"/>
  </r>
  <r>
    <x v="1"/>
    <s v=""/>
    <s v="입고"/>
    <s v="A&amp;T"/>
    <s v="장동은"/>
    <x v="177"/>
    <s v="RA-04A-2748]ASM ARM SUB (A+) (VN)"/>
    <n v="114"/>
    <s v=""/>
    <x v="33"/>
    <d v="2026-10-06T00:00:00"/>
    <s v=""/>
    <s v=""/>
    <s v=""/>
    <s v=""/>
    <n v="114"/>
  </r>
  <r>
    <x v="1"/>
    <s v=""/>
    <s v=""/>
    <s v=""/>
    <s v=""/>
    <x v="357"/>
    <s v="RA-03V-1908]BRK FIX HUB"/>
    <n v="114"/>
    <s v=""/>
    <x v="163"/>
    <d v="2026-09-30T00:00:00"/>
    <s v=""/>
    <s v=""/>
    <s v=""/>
    <s v=""/>
    <n v="114"/>
  </r>
  <r>
    <x v="1"/>
    <s v=""/>
    <s v=""/>
    <s v=""/>
    <s v=""/>
    <x v="358"/>
    <s v="RA-07M-1666]BLK STOPPER MICROMTR HEAD(VA"/>
    <n v="114"/>
    <s v=""/>
    <x v="158"/>
    <d v="2026-10-06T00:00:00"/>
    <s v=""/>
    <s v=""/>
    <s v=""/>
    <s v=""/>
    <n v="114"/>
  </r>
  <r>
    <x v="1"/>
    <s v=""/>
    <s v="기초"/>
    <s v=""/>
    <s v=""/>
    <x v="359"/>
    <s v="BRK USB CABLE HLDR (ST)"/>
    <n v="115"/>
    <s v=""/>
    <x v="164"/>
    <d v="2026-09-11T00:00:00"/>
    <s v=""/>
    <s v=""/>
    <s v=""/>
    <s v=""/>
    <n v="115"/>
  </r>
  <r>
    <x v="1"/>
    <s v=""/>
    <s v=""/>
    <s v=""/>
    <s v=""/>
    <x v="360"/>
    <s v="RA-07V-2782]CVR DET MOT LINKER (IR)"/>
    <n v="115"/>
    <s v=""/>
    <x v="139"/>
    <d v="2026-10-06T00:00:00"/>
    <s v=""/>
    <s v=""/>
    <s v=""/>
    <s v=""/>
    <n v="115"/>
  </r>
  <r>
    <x v="1"/>
    <s v=""/>
    <s v=""/>
    <s v=""/>
    <s v=""/>
    <x v="361"/>
    <s v="RA-03V-1991]BRK CENTER LASERBEAM (A+)"/>
    <n v="115"/>
    <s v=""/>
    <x v="65"/>
    <d v="2026-10-06T00:00:00"/>
    <s v=""/>
    <s v=""/>
    <s v=""/>
    <s v=""/>
    <n v="115"/>
  </r>
  <r>
    <x v="1"/>
    <s v=""/>
    <s v=""/>
    <s v=""/>
    <s v=""/>
    <x v="362"/>
    <s v="RA-08M-0975]SHAFT ROLLER AXIS"/>
    <n v="117"/>
    <s v=""/>
    <x v="22"/>
    <d v="2026-07-29T00:00:00"/>
    <s v=""/>
    <s v=""/>
    <s v=""/>
    <s v=""/>
    <n v="117"/>
  </r>
  <r>
    <x v="1"/>
    <s v=""/>
    <s v=""/>
    <s v=""/>
    <s v=""/>
    <x v="363"/>
    <s v="RA-02A-2031]ASM MAIN PULLEY MOT (A+)"/>
    <n v="117"/>
    <s v=""/>
    <x v="13"/>
    <d v="2026-09-28T00:00:00"/>
    <s v=""/>
    <s v=""/>
    <s v=""/>
    <s v=""/>
    <n v="117"/>
  </r>
  <r>
    <x v="1"/>
    <s v=""/>
    <s v=""/>
    <s v=""/>
    <s v=""/>
    <x v="364"/>
    <s v="RA-06A-2747]ASM EXTRUSION COL (VN)"/>
    <n v="118"/>
    <s v=""/>
    <x v="126"/>
    <d v="2026-09-30T00:00:00"/>
    <s v=""/>
    <s v=""/>
    <s v=""/>
    <s v=""/>
    <n v="118"/>
  </r>
  <r>
    <x v="1"/>
    <s v=""/>
    <s v=""/>
    <s v=""/>
    <s v=""/>
    <x v="365"/>
    <s v="RA-02A-2712]ASM Y-AXIS MOT"/>
    <n v="118"/>
    <s v=""/>
    <x v="162"/>
    <d v="2026-09-28T00:00:00"/>
    <s v=""/>
    <s v=""/>
    <s v=""/>
    <s v=""/>
    <n v="118"/>
  </r>
  <r>
    <x v="1"/>
    <s v=""/>
    <s v=""/>
    <s v=""/>
    <s v=""/>
    <x v="366"/>
    <s v="RA-07A-2718]ASM PLT ADJUST DET (VA)"/>
    <n v="119"/>
    <s v=""/>
    <x v="33"/>
    <d v="2026-09-15T00:00:00"/>
    <s v=""/>
    <s v=""/>
    <s v=""/>
    <s v=""/>
    <n v="119"/>
  </r>
  <r>
    <x v="1"/>
    <s v=""/>
    <s v=""/>
    <s v=""/>
    <s v=""/>
    <x v="367"/>
    <s v="RA-02A-2303]ASM IDLER B-Ring (A+)"/>
    <n v="119"/>
    <s v=""/>
    <x v="120"/>
    <d v="2026-09-28T00:00:00"/>
    <s v=""/>
    <s v=""/>
    <s v=""/>
    <s v=""/>
    <n v="119"/>
  </r>
  <r>
    <x v="1"/>
    <s v=""/>
    <s v=""/>
    <s v=""/>
    <s v=""/>
    <x v="368"/>
    <s v="RA-06M-2085]BLK FIX COL LWR(A+)"/>
    <n v="119"/>
    <s v=""/>
    <x v="4"/>
    <d v="2026-10-06T00:00:00"/>
    <s v=""/>
    <s v=""/>
    <s v=""/>
    <s v=""/>
    <n v="119"/>
  </r>
  <r>
    <x v="1"/>
    <s v=""/>
    <s v=""/>
    <s v=""/>
    <s v=""/>
    <x v="369"/>
    <s v="RA-04V-1708]CVR THU Bd"/>
    <n v="120"/>
    <s v=""/>
    <x v="165"/>
    <d v="2026-10-13T00:00:00"/>
    <s v=""/>
    <s v=""/>
    <s v=""/>
    <s v=""/>
    <n v="120"/>
  </r>
  <r>
    <x v="1"/>
    <s v=""/>
    <s v="입고"/>
    <s v="A&amp;T"/>
    <s v="장동은"/>
    <x v="97"/>
    <s v="RA-04A-2296]ASM HANDLE (A+)"/>
    <n v="123"/>
    <s v=""/>
    <x v="55"/>
    <d v="2026-10-06T00:00:00"/>
    <s v=""/>
    <s v=""/>
    <s v=""/>
    <s v=""/>
    <n v="123"/>
  </r>
  <r>
    <x v="1"/>
    <s v=""/>
    <s v="기초"/>
    <s v=""/>
    <s v=""/>
    <x v="370"/>
    <s v="RA-06V-3937]BRK FAN SUP (MG)"/>
    <n v="124"/>
    <s v=""/>
    <x v="68"/>
    <d v="2026-09-11T00:00:00"/>
    <s v=""/>
    <s v=""/>
    <s v=""/>
    <s v=""/>
    <n v="124"/>
  </r>
  <r>
    <x v="1"/>
    <s v=""/>
    <s v=""/>
    <s v=""/>
    <s v=""/>
    <x v="371"/>
    <s v="RA-06A-1510]ASM MULTI COL MDL"/>
    <n v="124"/>
    <s v=""/>
    <x v="166"/>
    <d v="2026-09-15T00:00:00"/>
    <s v=""/>
    <s v=""/>
    <s v=""/>
    <s v=""/>
    <n v="124"/>
  </r>
  <r>
    <x v="1"/>
    <s v=""/>
    <s v="기초"/>
    <s v=""/>
    <s v=""/>
    <x v="372"/>
    <s v="RA-09M-2529]SHAFT CT HEADREST (A+)"/>
    <n v="125"/>
    <s v=""/>
    <x v="17"/>
    <d v="2026-09-11T00:00:00"/>
    <s v=""/>
    <s v=""/>
    <s v=""/>
    <s v=""/>
    <n v="125"/>
  </r>
  <r>
    <x v="1"/>
    <s v=""/>
    <s v="입고"/>
    <s v="대영하네스"/>
    <s v="유영국"/>
    <x v="231"/>
    <s v="RA-11-20]Fcol MOT Cable A"/>
    <n v="126"/>
    <s v=""/>
    <x v="96"/>
    <d v="2026-10-01T00:00:00"/>
    <s v=""/>
    <s v=""/>
    <s v=""/>
    <s v=""/>
    <n v="126"/>
  </r>
  <r>
    <x v="1"/>
    <s v=""/>
    <s v=""/>
    <s v=""/>
    <s v=""/>
    <x v="373"/>
    <s v="RA-06M-3316]BLK TUBE SHAFT (ST)"/>
    <n v="126"/>
    <s v=""/>
    <x v="58"/>
    <d v="2026-09-30T00:00:00"/>
    <s v=""/>
    <s v=""/>
    <s v=""/>
    <s v=""/>
    <n v="126"/>
  </r>
  <r>
    <x v="1"/>
    <s v=""/>
    <s v=""/>
    <s v=""/>
    <s v=""/>
    <x v="374"/>
    <s v="RA-3-3A]DCM CONTROL-A"/>
    <n v="127"/>
    <s v=""/>
    <x v="9"/>
    <d v="2026-10-07T00:00:00"/>
    <s v=""/>
    <s v=""/>
    <s v=""/>
    <s v=""/>
    <n v="127"/>
  </r>
  <r>
    <x v="1"/>
    <s v=""/>
    <s v=""/>
    <s v=""/>
    <s v=""/>
    <x v="375"/>
    <s v="RA-11-22]Fcol MOT Cable C"/>
    <n v="127"/>
    <s v=""/>
    <x v="109"/>
    <d v="2026-10-06T00:00:00"/>
    <s v=""/>
    <s v=""/>
    <s v=""/>
    <s v=""/>
    <n v="127"/>
  </r>
  <r>
    <x v="1"/>
    <s v=""/>
    <s v=""/>
    <s v=""/>
    <s v=""/>
    <x v="376"/>
    <s v="RA-06T-2144]DECO WINDOW COL"/>
    <n v="128"/>
    <s v=""/>
    <x v="167"/>
    <d v="2026-10-07T00:00:00"/>
    <s v=""/>
    <s v=""/>
    <s v=""/>
    <s v=""/>
    <n v="128"/>
  </r>
  <r>
    <x v="1"/>
    <s v=""/>
    <s v=""/>
    <s v=""/>
    <s v=""/>
    <x v="377"/>
    <s v="RA-06V-0651]BRK TUBE CAS FIX A"/>
    <n v="130"/>
    <s v=""/>
    <x v="168"/>
    <d v="2026-09-15T00:00:00"/>
    <s v=""/>
    <s v=""/>
    <s v=""/>
    <s v=""/>
    <n v="130"/>
  </r>
  <r>
    <x v="1"/>
    <s v=""/>
    <s v="입고"/>
    <s v="A&amp;T"/>
    <s v="장동은"/>
    <x v="378"/>
    <s v="RA-02M-2007]BLK MOVING UPPER (A+)"/>
    <n v="130"/>
    <s v=""/>
    <x v="11"/>
    <d v="2026-10-01T00:00:00"/>
    <s v=""/>
    <s v=""/>
    <s v=""/>
    <s v=""/>
    <n v="130"/>
  </r>
  <r>
    <x v="1"/>
    <s v=""/>
    <s v=""/>
    <s v=""/>
    <s v=""/>
    <x v="379"/>
    <s v="RA-1-12]DC POWER SMPS CONN"/>
    <n v="130"/>
    <s v=""/>
    <x v="0"/>
    <d v="2026-10-07T00:00:00"/>
    <s v=""/>
    <s v=""/>
    <s v=""/>
    <s v=""/>
    <n v="130"/>
  </r>
  <r>
    <x v="1"/>
    <s v=""/>
    <s v="입고"/>
    <s v="대영하네스"/>
    <s v="유영국"/>
    <x v="380"/>
    <s v="RA-11-21]Fcol MOT Cable B"/>
    <n v="131"/>
    <s v=""/>
    <x v="96"/>
    <d v="2026-10-01T00:00:00"/>
    <s v=""/>
    <s v=""/>
    <s v=""/>
    <s v=""/>
    <n v="131"/>
  </r>
  <r>
    <x v="1"/>
    <s v=""/>
    <s v=""/>
    <s v=""/>
    <s v=""/>
    <x v="381"/>
    <s v="RA-8-15]OCL SIGNAL(V)"/>
    <n v="131"/>
    <s v=""/>
    <x v="169"/>
    <d v="2026-07-29T00:00:00"/>
    <s v=""/>
    <s v=""/>
    <s v=""/>
    <s v=""/>
    <n v="131"/>
  </r>
  <r>
    <x v="1"/>
    <s v=""/>
    <s v=""/>
    <s v=""/>
    <s v=""/>
    <x v="382"/>
    <s v="RA-2-9]ACT 2nd LIMIT"/>
    <n v="132"/>
    <s v=""/>
    <x v="0"/>
    <d v="2026-10-07T00:00:00"/>
    <s v=""/>
    <s v=""/>
    <s v=""/>
    <s v=""/>
    <n v="132"/>
  </r>
  <r>
    <x v="1"/>
    <s v=""/>
    <s v="기초"/>
    <s v=""/>
    <s v=""/>
    <x v="383"/>
    <s v="RA-06M-3943]BLK LED RIGHT (MG)"/>
    <n v="133"/>
    <s v=""/>
    <x v="87"/>
    <d v="2026-09-11T00:00:00"/>
    <s v=""/>
    <s v=""/>
    <s v=""/>
    <s v=""/>
    <n v="133"/>
  </r>
  <r>
    <x v="1"/>
    <s v=""/>
    <s v="기초"/>
    <s v=""/>
    <s v=""/>
    <x v="384"/>
    <s v="RA-06M-3945]BLK CAM (MG)"/>
    <n v="133"/>
    <s v=""/>
    <x v="143"/>
    <d v="2026-09-11T00:00:00"/>
    <s v=""/>
    <s v=""/>
    <s v=""/>
    <s v=""/>
    <n v="133"/>
  </r>
  <r>
    <x v="1"/>
    <s v=""/>
    <s v="기초"/>
    <s v=""/>
    <s v=""/>
    <x v="385"/>
    <s v="RA-06M-3944]BLK LED LEFT (MG)"/>
    <n v="134"/>
    <s v=""/>
    <x v="87"/>
    <d v="2026-09-11T00:00:00"/>
    <s v=""/>
    <s v=""/>
    <s v=""/>
    <s v=""/>
    <n v="134"/>
  </r>
  <r>
    <x v="1"/>
    <s v=""/>
    <s v=""/>
    <s v=""/>
    <s v=""/>
    <x v="386"/>
    <s v="RA-06V-0793]BRK TUBE FIX A"/>
    <n v="134"/>
    <s v=""/>
    <x v="3"/>
    <d v="2026-09-30T00:00:00"/>
    <s v=""/>
    <s v=""/>
    <s v=""/>
    <s v=""/>
    <n v="134"/>
  </r>
  <r>
    <x v="1"/>
    <s v=""/>
    <s v=""/>
    <s v=""/>
    <s v=""/>
    <x v="387"/>
    <s v="RA-03M-2064]PLT MIRROR (A+)"/>
    <n v="134"/>
    <s v=""/>
    <x v="170"/>
    <d v="2026-10-07T00:00:00"/>
    <s v=""/>
    <s v=""/>
    <s v=""/>
    <s v=""/>
    <n v="134"/>
  </r>
  <r>
    <x v="1"/>
    <s v=""/>
    <s v=""/>
    <s v=""/>
    <s v=""/>
    <x v="388"/>
    <s v="RA-8-4]AC POWER CEPH"/>
    <n v="135"/>
    <s v=""/>
    <x v="9"/>
    <d v="2026-10-07T00:00:00"/>
    <s v=""/>
    <s v=""/>
    <s v=""/>
    <s v=""/>
    <n v="135"/>
  </r>
  <r>
    <x v="1"/>
    <s v=""/>
    <s v=""/>
    <s v=""/>
    <s v=""/>
    <x v="154"/>
    <s v="RF-01B-5035]CONNECTOR Bd"/>
    <n v="137"/>
    <s v=""/>
    <x v="90"/>
    <d v="2026-08-25T00:00:00"/>
    <s v=""/>
    <s v=""/>
    <s v=""/>
    <s v=""/>
    <n v="137"/>
  </r>
  <r>
    <x v="1"/>
    <s v=""/>
    <s v=""/>
    <s v=""/>
    <s v=""/>
    <x v="389"/>
    <s v="RA-03S-6009A]A2K_LBM01-370"/>
    <n v="139"/>
    <s v=""/>
    <x v="171"/>
    <d v="2026-10-06T00:00:00"/>
    <s v=""/>
    <s v=""/>
    <s v=""/>
    <s v=""/>
    <n v="139"/>
  </r>
  <r>
    <x v="1"/>
    <s v=""/>
    <s v="기초"/>
    <s v=""/>
    <s v=""/>
    <x v="390"/>
    <s v="RA-05V-3804]BRK ROT CAS A (MG)"/>
    <n v="140"/>
    <s v=""/>
    <x v="42"/>
    <d v="2026-09-11T00:00:00"/>
    <s v=""/>
    <s v=""/>
    <s v=""/>
    <s v=""/>
    <n v="140"/>
  </r>
  <r>
    <x v="1"/>
    <s v=""/>
    <s v=""/>
    <s v=""/>
    <s v=""/>
    <x v="391"/>
    <s v="RA-03A-6012]Bd ASSY'-ACT Bd(A/A+)"/>
    <n v="140"/>
    <s v=""/>
    <x v="172"/>
    <d v="2026-10-13T00:00:00"/>
    <s v=""/>
    <s v=""/>
    <s v=""/>
    <s v=""/>
    <n v="140"/>
  </r>
  <r>
    <x v="1"/>
    <s v=""/>
    <s v="기초"/>
    <s v=""/>
    <s v=""/>
    <x v="392"/>
    <s v="RA-04M-3817]ARM MONITOR (MG)"/>
    <n v="142"/>
    <s v=""/>
    <x v="135"/>
    <d v="2026-09-11T00:00:00"/>
    <s v=""/>
    <s v=""/>
    <s v=""/>
    <s v=""/>
    <n v="142"/>
  </r>
  <r>
    <x v="1"/>
    <s v=""/>
    <s v=""/>
    <s v=""/>
    <s v=""/>
    <x v="393"/>
    <s v="RA-06V-1384]BRK XTRUSION PB COL SC"/>
    <n v="143"/>
    <s v=""/>
    <x v="151"/>
    <d v="2026-09-30T00:00:00"/>
    <s v=""/>
    <s v=""/>
    <s v=""/>
    <s v=""/>
    <n v="143"/>
  </r>
  <r>
    <x v="1"/>
    <s v=""/>
    <s v=""/>
    <s v=""/>
    <s v=""/>
    <x v="199"/>
    <s v="RF-01M-0269]FACE CAM BLK_HR"/>
    <n v="144"/>
    <s v=""/>
    <x v="81"/>
    <d v="2026-09-22T00:00:00"/>
    <s v=""/>
    <s v=""/>
    <s v=""/>
    <s v=""/>
    <n v="144"/>
  </r>
  <r>
    <x v="1"/>
    <s v=""/>
    <s v="입고"/>
    <s v="진광"/>
    <s v="장동은"/>
    <x v="115"/>
    <s v="RA-03T-0076]CAS MIRROR DECO"/>
    <n v="144"/>
    <s v=""/>
    <x v="27"/>
    <d v="2026-10-02T00:00:00"/>
    <s v=""/>
    <s v=""/>
    <s v=""/>
    <s v=""/>
    <n v="144"/>
  </r>
  <r>
    <x v="1"/>
    <s v=""/>
    <s v=""/>
    <s v=""/>
    <s v=""/>
    <x v="394"/>
    <s v="RA-06A-2746]SHAFT BRASS COL (ST)"/>
    <n v="146"/>
    <s v=""/>
    <x v="108"/>
    <d v="2026-09-30T00:00:00"/>
    <s v=""/>
    <s v=""/>
    <s v=""/>
    <s v=""/>
    <n v="146"/>
  </r>
  <r>
    <x v="1"/>
    <s v=""/>
    <s v=""/>
    <s v=""/>
    <s v=""/>
    <x v="395"/>
    <s v="RA-5-8]EARTH CTRL SMPS"/>
    <n v="146"/>
    <s v=""/>
    <x v="30"/>
    <d v="2026-10-07T00:00:00"/>
    <s v=""/>
    <s v=""/>
    <s v=""/>
    <s v=""/>
    <n v="146"/>
  </r>
  <r>
    <x v="1"/>
    <s v=""/>
    <s v=""/>
    <s v=""/>
    <s v=""/>
    <x v="89"/>
    <s v="RF-01T-0352]CAMERA CASE B"/>
    <n v="148"/>
    <s v=""/>
    <x v="59"/>
    <d v="2026-09-22T00:00:00"/>
    <s v=""/>
    <s v=""/>
    <s v=""/>
    <s v=""/>
    <n v="148"/>
  </r>
  <r>
    <x v="1"/>
    <s v=""/>
    <s v="입고"/>
    <s v="대영하네스"/>
    <s v="유영국"/>
    <x v="320"/>
    <s v="RA-11-11]DC POWER MOT-C"/>
    <n v="150"/>
    <s v=""/>
    <x v="127"/>
    <d v="2026-10-01T00:00:00"/>
    <s v=""/>
    <s v=""/>
    <s v=""/>
    <s v=""/>
    <n v="150"/>
  </r>
  <r>
    <x v="1"/>
    <s v=""/>
    <s v="입고"/>
    <s v="대영하네스"/>
    <s v="유영국"/>
    <x v="165"/>
    <s v="RA-11-19]LED Power Cable"/>
    <n v="150"/>
    <s v=""/>
    <x v="96"/>
    <d v="2026-10-01T00:00:00"/>
    <s v=""/>
    <s v=""/>
    <s v=""/>
    <s v=""/>
    <n v="150"/>
  </r>
  <r>
    <x v="1"/>
    <s v=""/>
    <s v="입고"/>
    <s v="A&amp;T"/>
    <s v="장동은"/>
    <x v="77"/>
    <s v="RA-06M-3317]BLK COL FIX UPPER (ST)"/>
    <n v="150"/>
    <s v=""/>
    <x v="58"/>
    <d v="2026-10-01T00:00:00"/>
    <s v=""/>
    <s v=""/>
    <s v=""/>
    <s v=""/>
    <n v="150"/>
  </r>
  <r>
    <x v="1"/>
    <s v=""/>
    <s v="입고"/>
    <s v="A&amp;T"/>
    <s v="장동은"/>
    <x v="396"/>
    <s v="RA-02V-2049]PLT PHOt SNSR Y-AXIS (A+)"/>
    <n v="150"/>
    <s v=""/>
    <x v="173"/>
    <d v="2026-10-01T00:00:00"/>
    <s v=""/>
    <s v=""/>
    <s v=""/>
    <s v=""/>
    <n v="150"/>
  </r>
  <r>
    <x v="1"/>
    <s v=""/>
    <s v="입고"/>
    <s v="대영하네스"/>
    <s v="유영국"/>
    <x v="60"/>
    <s v="RA-15-11]Fcol MOT Cable B"/>
    <n v="150"/>
    <s v=""/>
    <x v="47"/>
    <d v="2026-10-01T00:00:00"/>
    <s v=""/>
    <s v=""/>
    <s v=""/>
    <s v=""/>
    <n v="150"/>
  </r>
  <r>
    <x v="1"/>
    <s v=""/>
    <s v="입고"/>
    <s v="대영하네스"/>
    <s v="유영국"/>
    <x v="397"/>
    <s v="RA-15-8]LED Power Cable"/>
    <n v="150"/>
    <s v=""/>
    <x v="174"/>
    <d v="2026-10-01T00:00:00"/>
    <s v=""/>
    <s v=""/>
    <s v=""/>
    <s v=""/>
    <n v="150"/>
  </r>
  <r>
    <x v="1"/>
    <s v=""/>
    <s v="입고"/>
    <s v="대영하네스"/>
    <s v="유영국"/>
    <x v="315"/>
    <s v="RA-12-1]SUB CABLE ASS’Y"/>
    <n v="150"/>
    <s v=""/>
    <x v="9"/>
    <d v="2026-10-01T00:00:00"/>
    <s v=""/>
    <s v=""/>
    <s v=""/>
    <s v=""/>
    <n v="150"/>
  </r>
  <r>
    <x v="1"/>
    <s v=""/>
    <s v="입고"/>
    <s v="대영하네스"/>
    <s v="유영국"/>
    <x v="312"/>
    <s v="RA-15-10]SUB MOT DET(VL)"/>
    <n v="150"/>
    <s v=""/>
    <x v="47"/>
    <d v="2026-10-01T00:00:00"/>
    <s v=""/>
    <s v=""/>
    <s v=""/>
    <s v=""/>
    <n v="150"/>
  </r>
  <r>
    <x v="1"/>
    <s v=""/>
    <s v="입고"/>
    <s v="대영하네스"/>
    <s v="유영국"/>
    <x v="398"/>
    <s v="RA-11-13_3]PRIME MOT LINEAR Left-Right"/>
    <n v="150"/>
    <s v=""/>
    <x v="127"/>
    <d v="2026-10-01T00:00:00"/>
    <s v=""/>
    <s v=""/>
    <s v=""/>
    <s v=""/>
    <n v="150"/>
  </r>
  <r>
    <x v="1"/>
    <s v=""/>
    <s v="입고"/>
    <s v="대영하네스"/>
    <s v="유영국"/>
    <x v="399"/>
    <s v="RA-6-2_3]PRIME MOT ROT"/>
    <n v="150"/>
    <s v=""/>
    <x v="9"/>
    <d v="2026-10-01T00:00:00"/>
    <s v=""/>
    <s v=""/>
    <s v=""/>
    <s v=""/>
    <n v="150"/>
  </r>
  <r>
    <x v="1"/>
    <s v=""/>
    <s v=""/>
    <s v=""/>
    <s v=""/>
    <x v="400"/>
    <s v="RA-07V-2787]BRK DET PCB (IR)"/>
    <n v="150"/>
    <s v=""/>
    <x v="139"/>
    <d v="2026-10-06T00:00:00"/>
    <s v=""/>
    <s v=""/>
    <s v=""/>
    <s v=""/>
    <n v="150"/>
  </r>
  <r>
    <x v="1"/>
    <s v=""/>
    <s v=""/>
    <s v=""/>
    <s v=""/>
    <x v="401"/>
    <s v="RS-02S-5135]PHOtSNSR-EE-SX671A"/>
    <n v="150"/>
    <s v=""/>
    <x v="8"/>
    <d v="2026-10-06T00:00:00"/>
    <s v=""/>
    <s v=""/>
    <s v=""/>
    <s v=""/>
    <n v="150"/>
  </r>
  <r>
    <x v="1"/>
    <s v=""/>
    <s v=""/>
    <s v=""/>
    <s v=""/>
    <x v="402"/>
    <s v="RA-06S-5167]STEP MOT-KH4238-90102"/>
    <n v="154"/>
    <s v=""/>
    <x v="6"/>
    <d v="2026-09-28T00:00:00"/>
    <s v=""/>
    <s v=""/>
    <s v=""/>
    <s v=""/>
    <n v="154"/>
  </r>
  <r>
    <x v="1"/>
    <s v=""/>
    <s v=""/>
    <s v=""/>
    <s v=""/>
    <x v="403"/>
    <s v="RA-2-4]SERIAL POWER THU"/>
    <n v="154"/>
    <s v=""/>
    <x v="0"/>
    <d v="2026-10-07T00:00:00"/>
    <s v=""/>
    <s v=""/>
    <s v=""/>
    <s v=""/>
    <n v="154"/>
  </r>
  <r>
    <x v="1"/>
    <s v=""/>
    <s v=""/>
    <s v=""/>
    <s v=""/>
    <x v="336"/>
    <s v="RA-02M-2522]PULLEY ROT MAIN (A+)"/>
    <n v="156"/>
    <s v=""/>
    <x v="156"/>
    <d v="2026-09-28T00:00:00"/>
    <s v=""/>
    <s v=""/>
    <s v=""/>
    <s v=""/>
    <n v="156"/>
  </r>
  <r>
    <x v="1"/>
    <s v=""/>
    <s v="입고"/>
    <s v="다유"/>
    <s v="유영국"/>
    <x v="349"/>
    <s v="RA-07A-1777]ASM SCREW MOVING DET (VA)"/>
    <n v="159"/>
    <s v=""/>
    <x v="67"/>
    <d v="2026-10-06T00:00:00"/>
    <s v=""/>
    <s v=""/>
    <s v=""/>
    <s v=""/>
    <n v="159"/>
  </r>
  <r>
    <x v="1"/>
    <s v=""/>
    <s v="입고"/>
    <s v="플랜피뎀"/>
    <s v="유영국"/>
    <x v="404"/>
    <s v="RD-01G-0502]SPONGE)UV SNSR"/>
    <n v="160"/>
    <s v=""/>
    <x v="89"/>
    <d v="2026-10-02T00:00:00"/>
    <s v=""/>
    <s v=""/>
    <s v=""/>
    <s v=""/>
    <n v="160"/>
  </r>
  <r>
    <x v="1"/>
    <s v=""/>
    <s v=""/>
    <s v=""/>
    <s v=""/>
    <x v="405"/>
    <s v="RA-07S-1654]LM RAIL SET (MGN9C-125L (VA)"/>
    <n v="161"/>
    <s v=""/>
    <x v="67"/>
    <d v="2026-10-06T00:00:00"/>
    <s v=""/>
    <s v=""/>
    <s v=""/>
    <s v=""/>
    <n v="161"/>
  </r>
  <r>
    <x v="1"/>
    <s v=""/>
    <s v=""/>
    <s v=""/>
    <s v=""/>
    <x v="406"/>
    <s v="RA-7-2]LAN GIGA"/>
    <n v="162"/>
    <s v=""/>
    <x v="123"/>
    <d v="2026-09-28T00:00:00"/>
    <s v=""/>
    <s v=""/>
    <s v=""/>
    <s v=""/>
    <n v="162"/>
  </r>
  <r>
    <x v="1"/>
    <s v=""/>
    <s v=""/>
    <s v=""/>
    <s v=""/>
    <x v="407"/>
    <s v="RA-06V-2138]BRK COL Bd (A+)"/>
    <n v="162"/>
    <s v=""/>
    <x v="168"/>
    <d v="2026-10-06T00:00:00"/>
    <s v=""/>
    <s v=""/>
    <s v=""/>
    <s v=""/>
    <n v="162"/>
  </r>
  <r>
    <x v="1"/>
    <s v=""/>
    <s v="입고"/>
    <s v="다유"/>
    <s v="유영국"/>
    <x v="72"/>
    <s v="RA-06M-0520]HEATSINK"/>
    <n v="163"/>
    <s v=""/>
    <x v="55"/>
    <d v="2026-10-06T00:00:00"/>
    <s v=""/>
    <s v=""/>
    <s v=""/>
    <s v=""/>
    <n v="163"/>
  </r>
  <r>
    <x v="1"/>
    <s v=""/>
    <s v=""/>
    <s v=""/>
    <s v=""/>
    <x v="408"/>
    <s v="RF-01T-0351]WINDOW LED B"/>
    <n v="163"/>
    <s v=""/>
    <x v="59"/>
    <d v="2026-09-30T00:00:00"/>
    <s v=""/>
    <s v=""/>
    <s v=""/>
    <s v=""/>
    <n v="163"/>
  </r>
  <r>
    <x v="1"/>
    <s v=""/>
    <s v=""/>
    <s v=""/>
    <s v=""/>
    <x v="409"/>
    <s v="RA-06M-2084]BLK FIX COL UPPER(A+)"/>
    <n v="164"/>
    <s v=""/>
    <x v="4"/>
    <d v="2026-10-06T00:00:00"/>
    <s v=""/>
    <s v=""/>
    <s v=""/>
    <s v=""/>
    <n v="164"/>
  </r>
  <r>
    <x v="1"/>
    <s v=""/>
    <s v=""/>
    <s v=""/>
    <s v=""/>
    <x v="410"/>
    <s v="RA-05V-0513]BRK LED PCB"/>
    <n v="165"/>
    <s v=""/>
    <x v="175"/>
    <d v="2026-10-08T00:00:00"/>
    <s v=""/>
    <s v=""/>
    <s v=""/>
    <s v=""/>
    <n v="165"/>
  </r>
  <r>
    <x v="1"/>
    <s v=""/>
    <s v=""/>
    <s v=""/>
    <s v=""/>
    <x v="334"/>
    <s v="RA-1-9A]DC POWER MOT-A"/>
    <n v="167"/>
    <s v=""/>
    <x v="9"/>
    <d v="2026-09-15T00:00:00"/>
    <s v=""/>
    <s v=""/>
    <s v=""/>
    <s v=""/>
    <n v="167"/>
  </r>
  <r>
    <x v="1"/>
    <s v=""/>
    <s v=""/>
    <s v=""/>
    <s v=""/>
    <x v="411"/>
    <s v="RA-07V-3962]CVR DET PCB (MG)"/>
    <n v="169"/>
    <s v=""/>
    <x v="68"/>
    <d v="2026-09-30T00:00:00"/>
    <s v=""/>
    <s v=""/>
    <s v=""/>
    <s v=""/>
    <n v="169"/>
  </r>
  <r>
    <x v="1"/>
    <s v=""/>
    <s v="기초"/>
    <s v=""/>
    <s v=""/>
    <x v="412"/>
    <s v="RA-06M-3933]BLK CONNECTOR FIX (MG)"/>
    <n v="170"/>
    <s v=""/>
    <x v="87"/>
    <d v="2026-09-11T00:00:00"/>
    <s v=""/>
    <s v=""/>
    <s v=""/>
    <s v=""/>
    <n v="170"/>
  </r>
  <r>
    <x v="1"/>
    <s v=""/>
    <s v="기초"/>
    <s v=""/>
    <s v=""/>
    <x v="413"/>
    <s v="RA-04S-5179]SMPS-RPS-75-24"/>
    <n v="171"/>
    <s v=""/>
    <x v="176"/>
    <d v="2026-09-11T00:00:00"/>
    <s v=""/>
    <s v=""/>
    <s v=""/>
    <s v=""/>
    <n v="171"/>
  </r>
  <r>
    <x v="1"/>
    <s v=""/>
    <s v=""/>
    <s v=""/>
    <s v=""/>
    <x v="414"/>
    <s v="RF-01T-0161]Bas BOT UPPER"/>
    <n v="171"/>
    <s v=""/>
    <x v="177"/>
    <d v="2026-09-22T00:00:00"/>
    <s v=""/>
    <s v=""/>
    <s v=""/>
    <s v=""/>
    <n v="171"/>
  </r>
  <r>
    <x v="1"/>
    <s v=""/>
    <s v="입고"/>
    <s v="대영하네스"/>
    <s v="유영국"/>
    <x v="195"/>
    <s v="RA-11-23]Fcol MOT Cable D"/>
    <n v="176"/>
    <s v=""/>
    <x v="109"/>
    <d v="2026-10-01T00:00:00"/>
    <s v=""/>
    <s v=""/>
    <s v=""/>
    <s v=""/>
    <n v="176"/>
  </r>
  <r>
    <x v="1"/>
    <s v=""/>
    <s v=""/>
    <s v=""/>
    <s v=""/>
    <x v="415"/>
    <s v="RA-08T-2185]CAS CEPH _4HEAD"/>
    <n v="177"/>
    <s v=""/>
    <x v="178"/>
    <d v="2026-07-29T00:00:00"/>
    <s v=""/>
    <s v=""/>
    <s v=""/>
    <s v=""/>
    <n v="177"/>
  </r>
  <r>
    <x v="1"/>
    <s v=""/>
    <s v=""/>
    <s v=""/>
    <s v=""/>
    <x v="125"/>
    <s v="RF-01T-0196]CVR REAR"/>
    <n v="177"/>
    <s v=""/>
    <x v="80"/>
    <d v="2026-09-22T00:00:00"/>
    <s v=""/>
    <s v=""/>
    <s v=""/>
    <s v=""/>
    <n v="177"/>
  </r>
  <r>
    <x v="1"/>
    <s v=""/>
    <s v=""/>
    <s v=""/>
    <s v=""/>
    <x v="416"/>
    <s v="RA-02V-3286]BRK FIX Y-AXIS (ST)"/>
    <n v="177"/>
    <s v=""/>
    <x v="41"/>
    <d v="2026-09-30T00:00:00"/>
    <s v=""/>
    <s v=""/>
    <s v=""/>
    <s v=""/>
    <n v="177"/>
  </r>
  <r>
    <x v="1"/>
    <s v=""/>
    <s v=""/>
    <s v=""/>
    <s v=""/>
    <x v="417"/>
    <s v="RA-06V-2140]BRK TUBE CAS FRONT (A+)"/>
    <n v="177"/>
    <s v=""/>
    <x v="149"/>
    <d v="2026-10-06T00:00:00"/>
    <s v=""/>
    <s v=""/>
    <s v=""/>
    <s v=""/>
    <n v="177"/>
  </r>
  <r>
    <x v="1"/>
    <s v=""/>
    <s v=""/>
    <s v=""/>
    <s v=""/>
    <x v="418"/>
    <s v="RA-10-1]AC CABLE ASS’Y"/>
    <n v="180"/>
    <s v=""/>
    <x v="9"/>
    <d v="2026-10-02T00:00:00"/>
    <s v=""/>
    <s v=""/>
    <s v=""/>
    <s v=""/>
    <n v="180"/>
  </r>
  <r>
    <x v="1"/>
    <s v=""/>
    <s v=""/>
    <s v=""/>
    <s v=""/>
    <x v="419"/>
    <s v="RF-01T-0171]ARM CVR REAR R"/>
    <n v="182"/>
    <s v=""/>
    <x v="179"/>
    <d v="2026-09-22T00:00:00"/>
    <s v=""/>
    <s v=""/>
    <s v=""/>
    <s v=""/>
    <n v="182"/>
  </r>
  <r>
    <x v="1"/>
    <s v=""/>
    <s v=""/>
    <s v=""/>
    <s v=""/>
    <x v="420"/>
    <s v="RA-06V-0795]BRK TUBE FIX C"/>
    <n v="182"/>
    <s v=""/>
    <x v="3"/>
    <d v="2026-09-30T00:00:00"/>
    <s v=""/>
    <s v=""/>
    <s v=""/>
    <s v=""/>
    <n v="182"/>
  </r>
  <r>
    <x v="1"/>
    <s v=""/>
    <s v="입고"/>
    <s v="대영하네스"/>
    <s v="유영국"/>
    <x v="421"/>
    <s v="RA-5-5]EARTH ROT TO PFC"/>
    <n v="183"/>
    <s v=""/>
    <x v="30"/>
    <d v="2026-10-01T00:00:00"/>
    <s v=""/>
    <s v=""/>
    <s v=""/>
    <s v=""/>
    <n v="183"/>
  </r>
  <r>
    <x v="1"/>
    <s v=""/>
    <s v="기초"/>
    <s v=""/>
    <s v=""/>
    <x v="422"/>
    <s v="RA-03M-3866]MIRROR FRONT (MG)"/>
    <n v="183"/>
    <s v=""/>
    <x v="87"/>
    <d v="2026-09-11T00:00:00"/>
    <s v=""/>
    <s v=""/>
    <s v=""/>
    <s v=""/>
    <n v="183"/>
  </r>
  <r>
    <x v="1"/>
    <s v=""/>
    <s v=""/>
    <s v=""/>
    <s v=""/>
    <x v="423"/>
    <s v="RF-01T-0160_C]Bas BOT LWR"/>
    <n v="185"/>
    <s v=""/>
    <x v="180"/>
    <d v="2026-09-22T00:00:00"/>
    <s v=""/>
    <s v=""/>
    <s v=""/>
    <s v=""/>
    <n v="185"/>
  </r>
  <r>
    <x v="1"/>
    <s v=""/>
    <s v=""/>
    <s v=""/>
    <s v=""/>
    <x v="424"/>
    <s v="RA-03T-1992]HLDR LASER BEAM V"/>
    <n v="185"/>
    <s v=""/>
    <x v="74"/>
    <d v="2026-10-13T00:00:00"/>
    <s v=""/>
    <s v=""/>
    <s v=""/>
    <s v=""/>
    <n v="185"/>
  </r>
  <r>
    <x v="1"/>
    <s v=""/>
    <s v=""/>
    <s v=""/>
    <s v=""/>
    <x v="425"/>
    <s v="RA-03A-6016A]BD ASSY'-AC FUSE BLK"/>
    <n v="186"/>
    <s v=""/>
    <x v="181"/>
    <d v="2026-10-13T00:00:00"/>
    <s v=""/>
    <s v=""/>
    <s v=""/>
    <s v=""/>
    <n v="186"/>
  </r>
  <r>
    <x v="1"/>
    <s v=""/>
    <s v=""/>
    <s v=""/>
    <s v=""/>
    <x v="426"/>
    <s v="RF-01S-0251]CAL Mgnet"/>
    <n v="189"/>
    <s v=""/>
    <x v="82"/>
    <d v="2026-09-22T00:00:00"/>
    <s v=""/>
    <s v=""/>
    <s v=""/>
    <s v=""/>
    <n v="189"/>
  </r>
  <r>
    <x v="1"/>
    <s v=""/>
    <s v=""/>
    <s v=""/>
    <s v=""/>
    <x v="427"/>
    <s v="RA-09M-1134]BLK GUIDE BITE"/>
    <n v="189"/>
    <s v=""/>
    <x v="17"/>
    <d v="2026-10-07T00:00:00"/>
    <s v=""/>
    <s v=""/>
    <s v=""/>
    <s v=""/>
    <n v="189"/>
  </r>
  <r>
    <x v="1"/>
    <s v=""/>
    <s v=""/>
    <s v=""/>
    <s v=""/>
    <x v="114"/>
    <s v="RF-01T-0172]ARM CVR REAR L"/>
    <n v="190"/>
    <s v=""/>
    <x v="78"/>
    <d v="2026-09-22T00:00:00"/>
    <s v=""/>
    <s v=""/>
    <s v=""/>
    <s v=""/>
    <n v="190"/>
  </r>
  <r>
    <x v="1"/>
    <s v=""/>
    <s v=""/>
    <s v=""/>
    <s v=""/>
    <x v="175"/>
    <s v="RF-01T-0164]LED TOUCH INDIGATOR"/>
    <n v="192"/>
    <s v=""/>
    <x v="101"/>
    <d v="2026-09-22T00:00:00"/>
    <s v=""/>
    <s v=""/>
    <s v=""/>
    <s v=""/>
    <n v="192"/>
  </r>
  <r>
    <x v="1"/>
    <s v=""/>
    <s v=""/>
    <s v=""/>
    <s v=""/>
    <x v="428"/>
    <s v="RA-05A-6004]Bd ASSY'-Aux MCU"/>
    <n v="192"/>
    <s v=""/>
    <x v="182"/>
    <d v="2026-10-08T00:00:00"/>
    <s v=""/>
    <s v=""/>
    <s v=""/>
    <s v=""/>
    <n v="192"/>
  </r>
  <r>
    <x v="1"/>
    <s v=""/>
    <s v=""/>
    <s v=""/>
    <s v=""/>
    <x v="429"/>
    <s v="RA-07V-2784]PLT FIX DET (IR)"/>
    <n v="193"/>
    <s v=""/>
    <x v="73"/>
    <d v="2026-10-06T00:00:00"/>
    <s v=""/>
    <s v=""/>
    <s v=""/>
    <s v=""/>
    <n v="193"/>
  </r>
  <r>
    <x v="1"/>
    <s v=""/>
    <s v=""/>
    <s v=""/>
    <s v=""/>
    <x v="176"/>
    <s v=""/>
    <n v="195"/>
    <s v=""/>
    <x v="102"/>
    <d v="2026-09-22T00:00:00"/>
    <s v=""/>
    <s v=""/>
    <s v=""/>
    <s v=""/>
    <n v="195"/>
  </r>
  <r>
    <x v="1"/>
    <s v=""/>
    <s v=""/>
    <s v=""/>
    <s v=""/>
    <x v="430"/>
    <s v="RE-04T-0452]CAP HANDLE A"/>
    <n v="197"/>
    <s v=""/>
    <x v="19"/>
    <d v="2026-10-12T00:00:00"/>
    <s v=""/>
    <s v=""/>
    <s v=""/>
    <s v=""/>
    <n v="197"/>
  </r>
  <r>
    <x v="1"/>
    <s v=""/>
    <s v="입고"/>
    <s v="플랜피뎀"/>
    <s v="유영국"/>
    <x v="232"/>
    <s v="RA-03S-5176]NOISE FILTER RSHN2016"/>
    <n v="200"/>
    <s v=""/>
    <x v="110"/>
    <d v="2026-10-02T00:00:00"/>
    <s v=""/>
    <s v=""/>
    <s v=""/>
    <s v=""/>
    <n v="200"/>
  </r>
  <r>
    <x v="1"/>
    <s v=""/>
    <s v="입고"/>
    <s v=""/>
    <s v=""/>
    <x v="292"/>
    <s v="RF-01B-5038] BOTTOM LED BOARD"/>
    <n v="200"/>
    <s v=""/>
    <x v="141"/>
    <d v="2026-08-20T00:00:00"/>
    <s v=""/>
    <s v=""/>
    <s v=""/>
    <s v=""/>
    <n v="200"/>
  </r>
  <r>
    <x v="1"/>
    <s v=""/>
    <s v="입고"/>
    <s v="진광"/>
    <s v="장동은"/>
    <x v="115"/>
    <s v="RA-03T-0076]CAS MIRROR DECO"/>
    <n v="200"/>
    <s v=""/>
    <x v="27"/>
    <d v="2026-09-28T00:00:00"/>
    <s v=""/>
    <s v=""/>
    <s v=""/>
    <s v=""/>
    <n v="200"/>
  </r>
  <r>
    <x v="1"/>
    <s v=""/>
    <s v=""/>
    <s v=""/>
    <s v=""/>
    <x v="431"/>
    <s v="RA-09M-2269]SCREW FIX PHNT (A+)"/>
    <n v="200"/>
    <s v=""/>
    <x v="15"/>
    <d v="2026-10-07T00:00:00"/>
    <s v=""/>
    <s v=""/>
    <s v=""/>
    <s v=""/>
    <n v="200"/>
  </r>
  <r>
    <x v="1"/>
    <s v=""/>
    <s v=""/>
    <s v=""/>
    <s v=""/>
    <x v="432"/>
    <s v="RA-06S-0214]COUPLING DISK"/>
    <n v="201"/>
    <s v=""/>
    <x v="114"/>
    <d v="2026-10-06T00:00:00"/>
    <s v=""/>
    <s v=""/>
    <s v=""/>
    <s v=""/>
    <n v="201"/>
  </r>
  <r>
    <x v="1"/>
    <s v=""/>
    <s v=""/>
    <s v=""/>
    <s v=""/>
    <x v="123"/>
    <s v="RF-01M-0397]COVER BOTTOM"/>
    <n v="205"/>
    <s v=""/>
    <x v="32"/>
    <d v="2026-08-25T00:00:00"/>
    <s v=""/>
    <s v=""/>
    <s v=""/>
    <s v=""/>
    <n v="205"/>
  </r>
  <r>
    <x v="1"/>
    <s v=""/>
    <s v=""/>
    <s v=""/>
    <s v=""/>
    <x v="433"/>
    <s v="RA-06M-1688]FILTER CU 0.2 (VA)"/>
    <n v="207"/>
    <s v=""/>
    <x v="1"/>
    <d v="2026-09-15T00:00:00"/>
    <s v=""/>
    <s v=""/>
    <s v=""/>
    <s v=""/>
    <n v="207"/>
  </r>
  <r>
    <x v="1"/>
    <s v=""/>
    <s v="기초"/>
    <s v=""/>
    <s v=""/>
    <x v="434"/>
    <s v="BRK CAM Bd (ST)"/>
    <n v="211"/>
    <s v=""/>
    <x v="183"/>
    <d v="2026-09-11T00:00:00"/>
    <s v=""/>
    <s v=""/>
    <s v=""/>
    <s v=""/>
    <n v="211"/>
  </r>
  <r>
    <x v="1"/>
    <s v=""/>
    <s v=""/>
    <s v=""/>
    <s v=""/>
    <x v="181"/>
    <s v="RA-03A-0050_I]ASM HORIZONTAL LASER BEAM"/>
    <n v="214"/>
    <s v=""/>
    <x v="104"/>
    <d v="2026-10-13T00:00:00"/>
    <s v=""/>
    <s v=""/>
    <s v=""/>
    <s v=""/>
    <n v="214"/>
  </r>
  <r>
    <x v="1"/>
    <s v=""/>
    <s v="입고"/>
    <s v="대영하네스"/>
    <s v="유영국"/>
    <x v="435"/>
    <s v="RA-1-8B]AC POWER PFC CONNECT"/>
    <n v="216"/>
    <s v=""/>
    <x v="184"/>
    <d v="2026-10-01T00:00:00"/>
    <s v=""/>
    <s v=""/>
    <s v=""/>
    <s v=""/>
    <n v="216"/>
  </r>
  <r>
    <x v="1"/>
    <s v=""/>
    <s v=""/>
    <s v=""/>
    <s v=""/>
    <x v="436"/>
    <s v="RA-02A-2280]ASM SHAFT IDLER A (A+)"/>
    <n v="217"/>
    <s v=""/>
    <x v="161"/>
    <d v="2026-09-28T00:00:00"/>
    <s v=""/>
    <s v=""/>
    <s v=""/>
    <s v=""/>
    <n v="217"/>
  </r>
  <r>
    <x v="1"/>
    <s v=""/>
    <s v="반납"/>
    <s v=""/>
    <s v=""/>
    <x v="437"/>
    <s v="RF-01G-0168]BOT RUBBER"/>
    <n v="218"/>
    <s v=""/>
    <x v="89"/>
    <d v="2026-09-22T00:00:00"/>
    <s v=""/>
    <s v=""/>
    <s v=""/>
    <s v=""/>
    <n v="218"/>
  </r>
  <r>
    <x v="1"/>
    <s v=""/>
    <s v=""/>
    <s v=""/>
    <s v=""/>
    <x v="438"/>
    <s v="RA-06V-2141]BRK TUBE CAS REAR (A+)"/>
    <n v="220"/>
    <s v=""/>
    <x v="149"/>
    <d v="2026-10-06T00:00:00"/>
    <s v=""/>
    <s v=""/>
    <s v=""/>
    <s v=""/>
    <n v="220"/>
  </r>
  <r>
    <x v="1"/>
    <s v=""/>
    <s v=""/>
    <s v=""/>
    <s v=""/>
    <x v="439"/>
    <s v="RA-07M-3434]BLK MICROMTR HEAD (ST)"/>
    <n v="221"/>
    <s v=""/>
    <x v="124"/>
    <d v="2026-10-06T00:00:00"/>
    <s v=""/>
    <s v=""/>
    <s v=""/>
    <s v=""/>
    <n v="221"/>
  </r>
  <r>
    <x v="1"/>
    <s v=""/>
    <s v=""/>
    <s v=""/>
    <s v=""/>
    <x v="125"/>
    <s v="RF-01T-0196]CVR REAR"/>
    <n v="223"/>
    <s v=""/>
    <x v="80"/>
    <d v="2026-09-03T00:00:00"/>
    <s v=""/>
    <s v=""/>
    <s v=""/>
    <s v=""/>
    <n v="223"/>
  </r>
  <r>
    <x v="1"/>
    <s v=""/>
    <s v=""/>
    <s v=""/>
    <s v=""/>
    <x v="440"/>
    <s v="RA-07V-2785]PLT ADJUST DET (IR)"/>
    <n v="223"/>
    <s v=""/>
    <x v="73"/>
    <d v="2026-10-06T00:00:00"/>
    <s v=""/>
    <s v=""/>
    <s v=""/>
    <s v=""/>
    <n v="223"/>
  </r>
  <r>
    <x v="1"/>
    <s v=""/>
    <s v=""/>
    <s v=""/>
    <s v=""/>
    <x v="441"/>
    <s v="RA-02S-2278]TIMMING BELT"/>
    <n v="224"/>
    <s v=""/>
    <x v="185"/>
    <d v="2026-10-06T00:00:00"/>
    <s v=""/>
    <s v=""/>
    <s v=""/>
    <s v=""/>
    <n v="224"/>
  </r>
  <r>
    <x v="1"/>
    <s v=""/>
    <s v=""/>
    <s v=""/>
    <s v=""/>
    <x v="442"/>
    <s v="RA-06A-2745]SHAFT BRASS COL (A+) (VN)"/>
    <n v="224"/>
    <s v=""/>
    <x v="108"/>
    <d v="2026-10-06T00:00:00"/>
    <s v=""/>
    <s v=""/>
    <s v=""/>
    <s v=""/>
    <n v="224"/>
  </r>
  <r>
    <x v="1"/>
    <s v=""/>
    <s v=""/>
    <s v=""/>
    <s v=""/>
    <x v="443"/>
    <s v="RA-02S-0042]COUPLING DISK"/>
    <n v="225"/>
    <s v=""/>
    <x v="185"/>
    <d v="2026-09-28T00:00:00"/>
    <s v=""/>
    <s v=""/>
    <s v=""/>
    <s v=""/>
    <n v="225"/>
  </r>
  <r>
    <x v="1"/>
    <s v=""/>
    <s v=""/>
    <s v=""/>
    <s v=""/>
    <x v="444"/>
    <s v="RA-04M-2399]GUIDE BITE BLK A (A+)"/>
    <n v="228"/>
    <s v=""/>
    <x v="128"/>
    <d v="2026-10-13T00:00:00"/>
    <s v=""/>
    <s v=""/>
    <s v=""/>
    <s v=""/>
    <n v="228"/>
  </r>
  <r>
    <x v="1"/>
    <s v=""/>
    <s v=""/>
    <s v=""/>
    <s v=""/>
    <x v="445"/>
    <s v="RA-05V-0199]BRK PXD-200CT DRV PCB R"/>
    <n v="229"/>
    <s v=""/>
    <x v="186"/>
    <d v="2026-10-07T00:00:00"/>
    <s v=""/>
    <s v=""/>
    <s v=""/>
    <s v=""/>
    <n v="229"/>
  </r>
  <r>
    <x v="1"/>
    <s v=""/>
    <s v=""/>
    <s v=""/>
    <s v=""/>
    <x v="446"/>
    <s v="RA-1-1_2]AC POWER FUSE TO NF2"/>
    <n v="229"/>
    <s v=""/>
    <x v="184"/>
    <d v="2026-10-13T00:00:00"/>
    <s v=""/>
    <s v=""/>
    <s v=""/>
    <s v=""/>
    <n v="229"/>
  </r>
  <r>
    <x v="1"/>
    <s v=""/>
    <s v=""/>
    <s v=""/>
    <s v=""/>
    <x v="447"/>
    <s v="RA-02V-2283]PLT VERT MAIN MCU (A+)"/>
    <n v="230"/>
    <s v=""/>
    <x v="187"/>
    <d v="2026-09-28T00:00:00"/>
    <s v=""/>
    <s v=""/>
    <s v=""/>
    <s v=""/>
    <n v="230"/>
  </r>
  <r>
    <x v="1"/>
    <s v=""/>
    <s v=""/>
    <s v=""/>
    <s v=""/>
    <x v="448"/>
    <s v="RA-8-16]OCL INTERFACE(V)"/>
    <n v="232"/>
    <s v=""/>
    <x v="121"/>
    <d v="2026-07-29T00:00:00"/>
    <s v=""/>
    <s v=""/>
    <s v=""/>
    <s v=""/>
    <n v="232"/>
  </r>
  <r>
    <x v="1"/>
    <s v=""/>
    <s v=""/>
    <s v=""/>
    <s v=""/>
    <x v="449"/>
    <s v="RA-06A-2744]SHAFT BRASS COL (3D) (VN)"/>
    <n v="232"/>
    <s v=""/>
    <x v="108"/>
    <d v="2026-09-15T00:00:00"/>
    <s v=""/>
    <s v=""/>
    <s v=""/>
    <s v=""/>
    <n v="232"/>
  </r>
  <r>
    <x v="1"/>
    <s v=""/>
    <s v="기초"/>
    <s v=""/>
    <s v=""/>
    <x v="450"/>
    <s v="RA-05V-3803]BRK CAS ROT L-R (MG)"/>
    <n v="233"/>
    <s v=""/>
    <x v="135"/>
    <d v="2026-09-11T00:00:00"/>
    <s v=""/>
    <s v=""/>
    <s v=""/>
    <s v=""/>
    <n v="233"/>
  </r>
  <r>
    <x v="1"/>
    <s v=""/>
    <s v=""/>
    <s v=""/>
    <s v=""/>
    <x v="451"/>
    <s v="RA-05V-0297]BRK PXD-200CT DRV PCB L"/>
    <n v="234"/>
    <s v=""/>
    <x v="186"/>
    <d v="2026-10-07T00:00:00"/>
    <s v=""/>
    <s v=""/>
    <s v=""/>
    <s v=""/>
    <n v="234"/>
  </r>
  <r>
    <x v="1"/>
    <s v=""/>
    <s v=""/>
    <s v=""/>
    <s v=""/>
    <x v="437"/>
    <s v="RF-01G-0168]BOT RUBBER"/>
    <n v="235"/>
    <s v=""/>
    <x v="89"/>
    <d v="2026-09-22T00:00:00"/>
    <s v=""/>
    <s v=""/>
    <s v=""/>
    <s v=""/>
    <n v="235"/>
  </r>
  <r>
    <x v="1"/>
    <s v=""/>
    <s v="입고"/>
    <s v="대영하네스"/>
    <s v="유영국"/>
    <x v="452"/>
    <s v="RA-1-2_2]AC POWER FUSE TO NF1"/>
    <n v="237"/>
    <s v=""/>
    <x v="184"/>
    <d v="2026-10-01T00:00:00"/>
    <s v=""/>
    <s v=""/>
    <s v=""/>
    <s v=""/>
    <n v="237"/>
  </r>
  <r>
    <x v="1"/>
    <s v=""/>
    <s v=""/>
    <s v=""/>
    <s v=""/>
    <x v="453"/>
    <s v="RA-02S-2026]COUPLING"/>
    <n v="240"/>
    <s v=""/>
    <x v="185"/>
    <d v="2026-09-28T00:00:00"/>
    <s v=""/>
    <s v=""/>
    <s v=""/>
    <s v=""/>
    <n v="240"/>
  </r>
  <r>
    <x v="1"/>
    <s v=""/>
    <s v=""/>
    <s v=""/>
    <s v=""/>
    <x v="396"/>
    <s v="RA-02V-2049]PLT PHOt SNSR Y-AXIS (A+)"/>
    <n v="244"/>
    <s v=""/>
    <x v="173"/>
    <d v="2026-09-28T00:00:00"/>
    <s v=""/>
    <s v=""/>
    <s v=""/>
    <s v=""/>
    <n v="244"/>
  </r>
  <r>
    <x v="1"/>
    <s v=""/>
    <s v=""/>
    <s v=""/>
    <s v=""/>
    <x v="454"/>
    <s v="RA-07M-2783]BLK MOT HOUSING (IR)"/>
    <n v="247"/>
    <s v=""/>
    <x v="158"/>
    <d v="2026-10-06T00:00:00"/>
    <s v=""/>
    <s v=""/>
    <s v=""/>
    <s v=""/>
    <n v="247"/>
  </r>
  <r>
    <x v="1"/>
    <s v=""/>
    <s v="입고"/>
    <s v="대영하네스"/>
    <s v="유영국"/>
    <x v="213"/>
    <s v="RA-11-2]AUX MCU to FCOL"/>
    <n v="250"/>
    <s v=""/>
    <x v="116"/>
    <d v="2026-10-01T00:00:00"/>
    <s v=""/>
    <s v=""/>
    <s v=""/>
    <s v=""/>
    <n v="250"/>
  </r>
  <r>
    <x v="1"/>
    <s v=""/>
    <s v=""/>
    <s v=""/>
    <s v=""/>
    <x v="123"/>
    <s v="RF-01M-0397]COVER BOTTOM"/>
    <n v="250"/>
    <s v=""/>
    <x v="32"/>
    <d v="2026-09-22T00:00:00"/>
    <s v=""/>
    <s v=""/>
    <s v=""/>
    <s v=""/>
    <n v="250"/>
  </r>
  <r>
    <x v="1"/>
    <s v=""/>
    <s v="입고"/>
    <s v="대영하네스"/>
    <s v="유영국"/>
    <x v="374"/>
    <s v="RA-3-3A]DCM CONTROL-A"/>
    <n v="250"/>
    <s v=""/>
    <x v="9"/>
    <d v="2026-10-01T00:00:00"/>
    <s v=""/>
    <s v=""/>
    <s v=""/>
    <s v=""/>
    <n v="250"/>
  </r>
  <r>
    <x v="1"/>
    <s v=""/>
    <s v="입고"/>
    <s v="대영하네스"/>
    <s v="유영국"/>
    <x v="382"/>
    <s v="RA-2-9]ACT 2nd LIMIT"/>
    <n v="250"/>
    <s v=""/>
    <x v="0"/>
    <d v="2026-10-01T00:00:00"/>
    <s v=""/>
    <s v=""/>
    <s v=""/>
    <s v=""/>
    <n v="250"/>
  </r>
  <r>
    <x v="1"/>
    <s v=""/>
    <s v=""/>
    <s v=""/>
    <s v=""/>
    <x v="435"/>
    <s v="RA-1-8B]AC POWER PFC CONNECT"/>
    <n v="252"/>
    <s v=""/>
    <x v="184"/>
    <d v="2026-10-06T00:00:00"/>
    <s v=""/>
    <s v=""/>
    <s v=""/>
    <s v=""/>
    <n v="252"/>
  </r>
  <r>
    <x v="1"/>
    <s v=""/>
    <s v=""/>
    <s v=""/>
    <s v=""/>
    <x v="455"/>
    <s v="RA-5-10]EARTH MOT SMPS(RPS)"/>
    <n v="255"/>
    <s v=""/>
    <x v="30"/>
    <d v="2026-10-07T00:00:00"/>
    <s v=""/>
    <s v=""/>
    <s v=""/>
    <s v=""/>
    <n v="255"/>
  </r>
  <r>
    <x v="1"/>
    <s v=""/>
    <s v=""/>
    <s v=""/>
    <s v=""/>
    <x v="456"/>
    <s v="RA-02V-2019]HLDR STOPPER ROT PLT (A+)"/>
    <n v="261"/>
    <s v=""/>
    <x v="188"/>
    <d v="2026-09-28T00:00:00"/>
    <s v=""/>
    <s v=""/>
    <s v=""/>
    <s v=""/>
    <n v="261"/>
  </r>
  <r>
    <x v="1"/>
    <s v=""/>
    <s v=""/>
    <s v=""/>
    <s v=""/>
    <x v="457"/>
    <s v="RA-07V-1669]PLT PHOTSNSR (VA)"/>
    <n v="263"/>
    <s v=""/>
    <x v="139"/>
    <d v="2026-10-06T00:00:00"/>
    <s v=""/>
    <s v=""/>
    <s v=""/>
    <s v=""/>
    <n v="263"/>
  </r>
  <r>
    <x v="1"/>
    <s v=""/>
    <s v=""/>
    <s v=""/>
    <s v=""/>
    <x v="168"/>
    <s v="RA-02M-2004]BLK MOVING LWR (A+)"/>
    <n v="265"/>
    <s v=""/>
    <x v="11"/>
    <d v="2026-09-28T00:00:00"/>
    <s v=""/>
    <s v=""/>
    <s v=""/>
    <s v=""/>
    <n v="265"/>
  </r>
  <r>
    <x v="1"/>
    <s v=""/>
    <s v=""/>
    <s v=""/>
    <s v=""/>
    <x v="458"/>
    <s v="RA-15-12]Fcol MOT Cable C"/>
    <n v="271"/>
    <s v=""/>
    <x v="47"/>
    <d v="2026-09-30T00:00:00"/>
    <s v=""/>
    <s v=""/>
    <s v=""/>
    <s v=""/>
    <n v="271"/>
  </r>
  <r>
    <x v="1"/>
    <s v=""/>
    <s v=""/>
    <s v=""/>
    <s v=""/>
    <x v="459"/>
    <s v="RA-06M-2299]PLT MIRROR TUBE CAS R (A+)"/>
    <n v="274"/>
    <s v=""/>
    <x v="167"/>
    <d v="2026-10-07T00:00:00"/>
    <s v=""/>
    <s v=""/>
    <s v=""/>
    <s v=""/>
    <n v="274"/>
  </r>
  <r>
    <x v="1"/>
    <s v=""/>
    <s v=""/>
    <s v=""/>
    <s v=""/>
    <x v="460"/>
    <s v="RA-06A-6006]Bd ASSY'-Fcol MCU"/>
    <n v="276"/>
    <s v=""/>
    <x v="189"/>
    <d v="2026-10-06T00:00:00"/>
    <s v=""/>
    <s v=""/>
    <s v=""/>
    <s v=""/>
    <n v="276"/>
  </r>
  <r>
    <x v="1"/>
    <s v=""/>
    <s v=""/>
    <s v=""/>
    <s v=""/>
    <x v="461"/>
    <s v="RA-06V-0794]BRK TUBE FIX B"/>
    <n v="277"/>
    <s v=""/>
    <x v="3"/>
    <d v="2026-09-30T00:00:00"/>
    <s v=""/>
    <s v=""/>
    <s v=""/>
    <s v=""/>
    <n v="277"/>
  </r>
  <r>
    <x v="1"/>
    <s v=""/>
    <s v=""/>
    <s v=""/>
    <s v=""/>
    <x v="462"/>
    <s v="RA-04S-0977]SPRING CEPH AND ARM"/>
    <n v="279"/>
    <s v=""/>
    <x v="117"/>
    <d v="2026-10-06T00:00:00"/>
    <s v=""/>
    <s v=""/>
    <s v=""/>
    <s v=""/>
    <n v="279"/>
  </r>
  <r>
    <x v="1"/>
    <s v=""/>
    <s v=""/>
    <s v=""/>
    <s v=""/>
    <x v="331"/>
    <s v="RA-11-34_2]SUB MOT DET(V)"/>
    <n v="282"/>
    <s v=""/>
    <x v="153"/>
    <d v="2026-10-08T00:00:00"/>
    <s v=""/>
    <s v=""/>
    <s v=""/>
    <s v=""/>
    <n v="282"/>
  </r>
  <r>
    <x v="1"/>
    <s v=""/>
    <s v="기초"/>
    <s v=""/>
    <s v=""/>
    <x v="463"/>
    <s v="RA-04V-2295]BRK FIX CHINREST (A+)"/>
    <n v="288"/>
    <s v=""/>
    <x v="190"/>
    <d v="2026-09-11T00:00:00"/>
    <s v=""/>
    <s v=""/>
    <s v=""/>
    <s v=""/>
    <n v="288"/>
  </r>
  <r>
    <x v="1"/>
    <s v=""/>
    <s v=""/>
    <s v=""/>
    <s v=""/>
    <x v="395"/>
    <s v="RA-5-8]EARTH CTRL SMPS"/>
    <n v="295"/>
    <s v=""/>
    <x v="30"/>
    <d v="2026-10-06T00:00:00"/>
    <s v=""/>
    <s v=""/>
    <s v=""/>
    <s v=""/>
    <n v="295"/>
  </r>
  <r>
    <x v="1"/>
    <s v=""/>
    <s v="입고"/>
    <s v="A&amp;T"/>
    <s v="장동은"/>
    <x v="464"/>
    <s v="RA-09A-2753]ASM CT HEADREST FIX BAS(A+)"/>
    <n v="300"/>
    <s v=""/>
    <x v="128"/>
    <d v="2026-10-06T00:00:00"/>
    <s v=""/>
    <s v=""/>
    <s v=""/>
    <s v=""/>
    <n v="300"/>
  </r>
  <r>
    <x v="1"/>
    <s v=""/>
    <s v="입고"/>
    <s v="대영하네스"/>
    <s v="유영국"/>
    <x v="38"/>
    <s v="RA-5-4]EARTH ROT TO TUBE"/>
    <n v="300"/>
    <s v=""/>
    <x v="30"/>
    <d v="2026-10-01T00:00:00"/>
    <s v=""/>
    <s v=""/>
    <s v=""/>
    <s v=""/>
    <n v="300"/>
  </r>
  <r>
    <x v="1"/>
    <s v=""/>
    <s v="입고"/>
    <s v="플랜피뎀"/>
    <s v="유영국"/>
    <x v="401"/>
    <s v="RS-02S-5135]PHOtSNSR-EE-SX671A"/>
    <n v="300"/>
    <s v=""/>
    <x v="8"/>
    <d v="2026-10-02T00:00:00"/>
    <s v=""/>
    <s v=""/>
    <s v=""/>
    <s v=""/>
    <n v="300"/>
  </r>
  <r>
    <x v="1"/>
    <s v=""/>
    <s v=""/>
    <s v=""/>
    <s v=""/>
    <x v="99"/>
    <s v="RF-01T-0353]WINDOW LED"/>
    <n v="300"/>
    <s v=""/>
    <x v="59"/>
    <d v="2026-09-22T00:00:00"/>
    <s v=""/>
    <s v=""/>
    <s v=""/>
    <s v=""/>
    <n v="300"/>
  </r>
  <r>
    <x v="1"/>
    <s v=""/>
    <s v="입고"/>
    <s v="대영하네스"/>
    <s v="유영국"/>
    <x v="278"/>
    <s v="RA-9-8]SERIAL POWER LS 1"/>
    <n v="300"/>
    <s v=""/>
    <x v="137"/>
    <d v="2026-10-01T00:00:00"/>
    <s v=""/>
    <s v=""/>
    <s v=""/>
    <s v=""/>
    <n v="300"/>
  </r>
  <r>
    <x v="1"/>
    <s v=""/>
    <s v="입고"/>
    <s v="대영하네스"/>
    <s v="유영국"/>
    <x v="379"/>
    <s v="RA-1-12]DC POWER SMPS CONN"/>
    <n v="300"/>
    <s v=""/>
    <x v="0"/>
    <d v="2026-10-01T00:00:00"/>
    <s v=""/>
    <s v=""/>
    <s v=""/>
    <s v=""/>
    <n v="300"/>
  </r>
  <r>
    <x v="1"/>
    <s v=""/>
    <s v="입고"/>
    <s v="대영하네스"/>
    <s v="유영국"/>
    <x v="455"/>
    <s v="RA-5-10]EARTH MOT SMPS(RPS)"/>
    <n v="300"/>
    <s v=""/>
    <x v="30"/>
    <d v="2026-10-01T00:00:00"/>
    <s v=""/>
    <s v=""/>
    <s v=""/>
    <s v=""/>
    <n v="300"/>
  </r>
  <r>
    <x v="1"/>
    <s v=""/>
    <s v=""/>
    <s v=""/>
    <s v=""/>
    <x v="465"/>
    <s v="RA-03A-6046]SMPS CONN B/D"/>
    <n v="304"/>
    <s v=""/>
    <x v="111"/>
    <d v="2026-10-13T00:00:00"/>
    <s v=""/>
    <s v=""/>
    <s v=""/>
    <s v=""/>
    <n v="304"/>
  </r>
  <r>
    <x v="1"/>
    <s v=""/>
    <s v=""/>
    <s v=""/>
    <s v=""/>
    <x v="464"/>
    <s v="RA-09A-2753]ASM CT HEADREST FIX BAS(A+)"/>
    <n v="309"/>
    <s v=""/>
    <x v="128"/>
    <d v="2026-10-06T00:00:00"/>
    <s v=""/>
    <s v=""/>
    <s v=""/>
    <s v=""/>
    <n v="309"/>
  </r>
  <r>
    <x v="1"/>
    <s v=""/>
    <s v=""/>
    <s v=""/>
    <s v=""/>
    <x v="162"/>
    <s v="RF-01B-5036] LED CENTER BOARD"/>
    <n v="312"/>
    <s v=""/>
    <x v="94"/>
    <d v="2026-09-22T00:00:00"/>
    <s v=""/>
    <s v=""/>
    <s v=""/>
    <s v=""/>
    <n v="312"/>
  </r>
  <r>
    <x v="1"/>
    <s v=""/>
    <s v=""/>
    <s v=""/>
    <s v=""/>
    <x v="337"/>
    <s v="RA-02A-2622]ASM SCREW MOVING Y-AXIS (A+)"/>
    <n v="323"/>
    <s v=""/>
    <x v="156"/>
    <d v="2026-09-28T00:00:00"/>
    <s v=""/>
    <s v=""/>
    <s v=""/>
    <s v=""/>
    <n v="323"/>
  </r>
  <r>
    <x v="1"/>
    <s v=""/>
    <s v=""/>
    <s v=""/>
    <s v=""/>
    <x v="398"/>
    <s v="RA-11-13_3]PRIME MOT LINEAR Left-Right"/>
    <n v="331"/>
    <s v=""/>
    <x v="127"/>
    <d v="2026-09-28T00:00:00"/>
    <s v=""/>
    <s v=""/>
    <s v=""/>
    <s v=""/>
    <n v="331"/>
  </r>
  <r>
    <x v="1"/>
    <s v=""/>
    <s v=""/>
    <s v=""/>
    <s v=""/>
    <x v="344"/>
    <s v="RA-11-4]MainMCU to STEP DRV"/>
    <n v="340"/>
    <s v=""/>
    <x v="159"/>
    <d v="2026-09-28T00:00:00"/>
    <s v=""/>
    <s v=""/>
    <s v=""/>
    <s v=""/>
    <n v="340"/>
  </r>
  <r>
    <x v="1"/>
    <s v=""/>
    <s v=""/>
    <s v=""/>
    <s v=""/>
    <x v="466"/>
    <s v="RA-1-5]AC POWER SMPS-1"/>
    <n v="340"/>
    <s v=""/>
    <x v="184"/>
    <d v="2026-10-07T00:00:00"/>
    <s v=""/>
    <s v=""/>
    <s v=""/>
    <s v=""/>
    <n v="340"/>
  </r>
  <r>
    <x v="1"/>
    <s v=""/>
    <s v=""/>
    <s v=""/>
    <s v=""/>
    <x v="467"/>
    <s v="RA-06M-0220]BLOCK CANINE TOOTH LASER B"/>
    <n v="344"/>
    <s v=""/>
    <x v="1"/>
    <d v="2026-09-30T00:00:00"/>
    <s v=""/>
    <s v=""/>
    <s v=""/>
    <s v=""/>
    <n v="344"/>
  </r>
  <r>
    <x v="1"/>
    <s v=""/>
    <s v="입고"/>
    <s v="대영하네스"/>
    <s v="유영국"/>
    <x v="262"/>
    <s v="RA-3-5]INDICATOR"/>
    <n v="350"/>
    <s v=""/>
    <x v="130"/>
    <d v="2026-10-01T00:00:00"/>
    <s v=""/>
    <s v=""/>
    <s v=""/>
    <s v=""/>
    <n v="350"/>
  </r>
  <r>
    <x v="1"/>
    <s v=""/>
    <s v="기초"/>
    <s v=""/>
    <s v=""/>
    <x v="468"/>
    <s v="RA-06V-3303]BRK HARNESS GUIDE (ST)"/>
    <n v="355"/>
    <s v=""/>
    <x v="191"/>
    <d v="2026-09-11T00:00:00"/>
    <s v=""/>
    <s v=""/>
    <s v=""/>
    <s v=""/>
    <n v="355"/>
  </r>
  <r>
    <x v="1"/>
    <s v=""/>
    <s v=""/>
    <s v=""/>
    <s v=""/>
    <x v="469"/>
    <s v="RA-06M-2298]PLT MIRROR TUBE CAS L (A+)"/>
    <n v="358"/>
    <s v=""/>
    <x v="167"/>
    <d v="2026-10-07T00:00:00"/>
    <s v=""/>
    <s v=""/>
    <s v=""/>
    <s v=""/>
    <n v="358"/>
  </r>
  <r>
    <x v="1"/>
    <s v=""/>
    <s v="기초"/>
    <s v=""/>
    <s v=""/>
    <x v="470"/>
    <s v="RA-01T-3832]MAIN Bas CAP (MG)"/>
    <n v="360"/>
    <s v=""/>
    <x v="98"/>
    <d v="2026-09-11T00:00:00"/>
    <s v=""/>
    <s v=""/>
    <s v=""/>
    <s v=""/>
    <n v="360"/>
  </r>
  <r>
    <x v="1"/>
    <s v=""/>
    <s v="기초"/>
    <s v=""/>
    <s v=""/>
    <x v="471"/>
    <s v="RA-08T-3978]CAS CEPH _4HEAD (MG)"/>
    <n v="360"/>
    <s v=""/>
    <x v="86"/>
    <d v="2026-09-11T00:00:00"/>
    <s v=""/>
    <s v=""/>
    <s v=""/>
    <s v=""/>
    <n v="360"/>
  </r>
  <r>
    <x v="1"/>
    <s v=""/>
    <s v=""/>
    <s v=""/>
    <s v=""/>
    <x v="163"/>
    <s v="RF-01B-5034] POWER BUTTON BOARD"/>
    <n v="363"/>
    <s v=""/>
    <x v="95"/>
    <d v="2026-09-22T00:00:00"/>
    <s v=""/>
    <s v=""/>
    <s v=""/>
    <s v=""/>
    <n v="363"/>
  </r>
  <r>
    <x v="1"/>
    <s v=""/>
    <s v=""/>
    <s v=""/>
    <s v=""/>
    <x v="472"/>
    <s v="RA-03V-1341]BRK CLMN REAR CAS LWR"/>
    <n v="369"/>
    <s v=""/>
    <x v="163"/>
    <d v="2026-09-10T00:00:00"/>
    <s v=""/>
    <s v=""/>
    <s v=""/>
    <s v=""/>
    <n v="369"/>
  </r>
  <r>
    <x v="1"/>
    <s v=""/>
    <s v=""/>
    <s v=""/>
    <s v=""/>
    <x v="473"/>
    <s v="RA-3-6]INDICATOR CONTROL"/>
    <n v="380"/>
    <s v=""/>
    <x v="130"/>
    <d v="2026-10-07T00:00:00"/>
    <s v=""/>
    <s v=""/>
    <s v=""/>
    <s v=""/>
    <n v="380"/>
  </r>
  <r>
    <x v="1"/>
    <s v=""/>
    <s v=""/>
    <s v=""/>
    <s v=""/>
    <x v="474"/>
    <s v="RA-8-9]AC POWER CABLE(IEC)"/>
    <n v="380"/>
    <s v=""/>
    <x v="9"/>
    <d v="2026-10-01T00:00:00"/>
    <s v=""/>
    <s v=""/>
    <s v=""/>
    <s v=""/>
    <n v="380"/>
  </r>
  <r>
    <x v="1"/>
    <s v=""/>
    <s v=""/>
    <s v=""/>
    <s v=""/>
    <x v="421"/>
    <s v="RA-5-5]EARTH ROT TO PFC"/>
    <n v="386"/>
    <s v=""/>
    <x v="30"/>
    <d v="2026-10-06T00:00:00"/>
    <s v=""/>
    <s v=""/>
    <s v=""/>
    <s v=""/>
    <n v="386"/>
  </r>
  <r>
    <x v="1"/>
    <s v=""/>
    <s v=""/>
    <s v=""/>
    <s v=""/>
    <x v="475"/>
    <s v="RA-11-33]DET SIGNAL(V)"/>
    <n v="387"/>
    <s v=""/>
    <x v="153"/>
    <d v="2026-09-15T00:00:00"/>
    <s v=""/>
    <s v=""/>
    <s v=""/>
    <s v=""/>
    <n v="387"/>
  </r>
  <r>
    <x v="1"/>
    <s v=""/>
    <s v=""/>
    <s v=""/>
    <s v=""/>
    <x v="378"/>
    <s v="RA-02M-2007]BLK MOVING UPPER (A+)"/>
    <n v="390"/>
    <s v=""/>
    <x v="11"/>
    <d v="2026-09-28T00:00:00"/>
    <s v=""/>
    <s v=""/>
    <s v=""/>
    <s v=""/>
    <n v="390"/>
  </r>
  <r>
    <x v="1"/>
    <s v=""/>
    <s v=""/>
    <s v=""/>
    <s v=""/>
    <x v="476"/>
    <s v="RA-02V-2016]SLIDER ROT WASHER (A+)"/>
    <n v="392"/>
    <s v=""/>
    <x v="188"/>
    <d v="2026-09-28T00:00:00"/>
    <s v=""/>
    <s v=""/>
    <s v=""/>
    <s v=""/>
    <n v="392"/>
  </r>
  <r>
    <x v="1"/>
    <s v=""/>
    <s v=""/>
    <s v=""/>
    <s v=""/>
    <x v="477"/>
    <s v="RA-02V-2028]SUP ROT PHOt SNSR (A+)"/>
    <n v="393"/>
    <s v=""/>
    <x v="188"/>
    <d v="2026-09-28T00:00:00"/>
    <s v=""/>
    <s v=""/>
    <s v=""/>
    <s v=""/>
    <n v="393"/>
  </r>
  <r>
    <x v="1"/>
    <s v=""/>
    <s v=""/>
    <s v=""/>
    <s v=""/>
    <x v="478"/>
    <s v="RA-02A-2008]ASM B-Ring ROT Mdl (A+)"/>
    <n v="396"/>
    <s v=""/>
    <x v="11"/>
    <d v="2026-10-08T00:00:00"/>
    <s v=""/>
    <s v=""/>
    <s v=""/>
    <s v=""/>
    <n v="396"/>
  </r>
  <r>
    <x v="1"/>
    <s v=""/>
    <s v=""/>
    <s v=""/>
    <s v=""/>
    <x v="251"/>
    <s v="RA-11-12_3]PRIME MOT LINEAR Front-Rear"/>
    <n v="399"/>
    <s v=""/>
    <x v="127"/>
    <d v="2026-09-28T00:00:00"/>
    <s v=""/>
    <s v=""/>
    <s v=""/>
    <s v=""/>
    <n v="399"/>
  </r>
  <r>
    <x v="1"/>
    <s v=""/>
    <s v=""/>
    <s v=""/>
    <s v=""/>
    <x v="479"/>
    <s v="RA-02V-2043]PLT PHOt SNSR X-AXIS (A+)"/>
    <n v="403"/>
    <s v=""/>
    <x v="173"/>
    <d v="2026-09-28T00:00:00"/>
    <s v=""/>
    <s v=""/>
    <s v=""/>
    <s v=""/>
    <n v="403"/>
  </r>
  <r>
    <x v="1"/>
    <s v=""/>
    <s v="입고"/>
    <s v="대영하네스"/>
    <s v="유영국"/>
    <x v="446"/>
    <s v="RA-1-1_2]AC POWER FUSE TO NF2"/>
    <n v="407"/>
    <s v=""/>
    <x v="184"/>
    <d v="2026-10-01T00:00:00"/>
    <s v=""/>
    <s v=""/>
    <s v=""/>
    <s v=""/>
    <n v="407"/>
  </r>
  <r>
    <x v="1"/>
    <s v=""/>
    <s v=""/>
    <s v=""/>
    <s v=""/>
    <x v="480"/>
    <s v="RA-09T-1184]CAS CHINREST"/>
    <n v="409"/>
    <s v=""/>
    <x v="27"/>
    <d v="2026-10-07T00:00:00"/>
    <s v=""/>
    <s v=""/>
    <s v=""/>
    <s v=""/>
    <n v="409"/>
  </r>
  <r>
    <x v="1"/>
    <s v=""/>
    <s v=""/>
    <s v=""/>
    <s v=""/>
    <x v="481"/>
    <s v="RA-02V-2281]BRK PHOt SNSR Y (A+)"/>
    <n v="410"/>
    <s v=""/>
    <x v="173"/>
    <d v="2026-09-28T00:00:00"/>
    <s v=""/>
    <s v=""/>
    <s v=""/>
    <s v=""/>
    <n v="410"/>
  </r>
  <r>
    <x v="1"/>
    <s v=""/>
    <s v=""/>
    <s v=""/>
    <s v=""/>
    <x v="482"/>
    <s v="RA-06V-0249]HLDR CAS TUBE TNK REAR"/>
    <n v="410"/>
    <s v=""/>
    <x v="15"/>
    <d v="2026-10-07T00:00:00"/>
    <s v=""/>
    <s v=""/>
    <s v=""/>
    <s v=""/>
    <n v="410"/>
  </r>
  <r>
    <x v="1"/>
    <s v=""/>
    <s v=""/>
    <s v=""/>
    <s v=""/>
    <x v="483"/>
    <s v="RA-02M-2029]STOPPER ROT LIMIT (A+)"/>
    <n v="412"/>
    <s v=""/>
    <x v="192"/>
    <d v="2026-09-28T00:00:00"/>
    <s v=""/>
    <s v=""/>
    <s v=""/>
    <s v=""/>
    <n v="412"/>
  </r>
  <r>
    <x v="1"/>
    <s v=""/>
    <s v=""/>
    <s v=""/>
    <s v=""/>
    <x v="484"/>
    <s v="RA-02V-2056]BRK CABLE PROTOR (A+)"/>
    <n v="413"/>
    <s v=""/>
    <x v="193"/>
    <d v="2026-09-28T00:00:00"/>
    <s v=""/>
    <s v=""/>
    <s v=""/>
    <s v=""/>
    <n v="413"/>
  </r>
  <r>
    <x v="1"/>
    <s v=""/>
    <s v="기초"/>
    <s v=""/>
    <s v=""/>
    <x v="485"/>
    <s v="RA-07V-3953]PLT DET SNSR (MG)"/>
    <n v="415"/>
    <s v=""/>
    <x v="41"/>
    <d v="2026-09-11T00:00:00"/>
    <s v=""/>
    <s v=""/>
    <s v=""/>
    <s v=""/>
    <n v="415"/>
  </r>
  <r>
    <x v="1"/>
    <s v=""/>
    <s v=""/>
    <s v=""/>
    <s v=""/>
    <x v="246"/>
    <s v="RA-07S-5019]STEP MOT-KH42KM2-901"/>
    <n v="419"/>
    <s v=""/>
    <x v="6"/>
    <d v="2026-10-06T00:00:00"/>
    <s v=""/>
    <s v=""/>
    <s v=""/>
    <s v=""/>
    <n v="419"/>
  </r>
  <r>
    <x v="1"/>
    <s v=""/>
    <s v=""/>
    <s v=""/>
    <s v=""/>
    <x v="486"/>
    <s v="RA-02V-2286]BRK ROTATION FIX AXIS (A+)"/>
    <n v="434"/>
    <s v=""/>
    <x v="194"/>
    <d v="2026-09-28T00:00:00"/>
    <s v=""/>
    <s v=""/>
    <s v=""/>
    <s v=""/>
    <n v="434"/>
  </r>
  <r>
    <x v="1"/>
    <s v=""/>
    <s v="입고"/>
    <s v="플랜피뎀"/>
    <s v="유영국"/>
    <x v="239"/>
    <s v="RA-03S-5013]Mgnet CONTECTOR-LP1K0910BD"/>
    <n v="450"/>
    <s v=""/>
    <x v="125"/>
    <d v="2026-10-02T00:00:00"/>
    <s v=""/>
    <s v=""/>
    <s v=""/>
    <s v=""/>
    <n v="450"/>
  </r>
  <r>
    <x v="1"/>
    <s v=""/>
    <s v=""/>
    <s v=""/>
    <s v=""/>
    <x v="487"/>
    <s v="RA-04T-2524]CAS CHINREST UPPER (A+)"/>
    <n v="454"/>
    <s v=""/>
    <x v="27"/>
    <d v="2026-10-07T00:00:00"/>
    <s v=""/>
    <s v=""/>
    <s v=""/>
    <s v=""/>
    <n v="454"/>
  </r>
  <r>
    <x v="1"/>
    <s v=""/>
    <s v=""/>
    <s v=""/>
    <s v=""/>
    <x v="488"/>
    <s v="RA-02V-2018]PLT ROT POSITION LWR (A+)"/>
    <n v="456"/>
    <s v=""/>
    <x v="188"/>
    <d v="2026-09-28T00:00:00"/>
    <s v=""/>
    <s v=""/>
    <s v=""/>
    <s v=""/>
    <n v="456"/>
  </r>
  <r>
    <x v="1"/>
    <s v=""/>
    <s v=""/>
    <s v=""/>
    <s v=""/>
    <x v="489"/>
    <s v="RA-02V-2284]BRK CABLE GUIDE VERT (A+)"/>
    <n v="457"/>
    <s v=""/>
    <x v="195"/>
    <d v="2026-09-28T00:00:00"/>
    <s v=""/>
    <s v=""/>
    <s v=""/>
    <s v=""/>
    <n v="457"/>
  </r>
  <r>
    <x v="1"/>
    <s v=""/>
    <s v=""/>
    <s v=""/>
    <s v=""/>
    <x v="490"/>
    <s v="RA-02M-2015]PIN PULLEY STOPPER (A+)"/>
    <n v="459"/>
    <s v=""/>
    <x v="185"/>
    <d v="2026-09-28T00:00:00"/>
    <s v=""/>
    <s v=""/>
    <s v=""/>
    <s v=""/>
    <n v="459"/>
  </r>
  <r>
    <x v="1"/>
    <s v=""/>
    <s v=""/>
    <s v=""/>
    <s v=""/>
    <x v="491"/>
    <s v="RA-02V-2017]PLT ROT STOPPER (A+)"/>
    <n v="474"/>
    <s v=""/>
    <x v="195"/>
    <d v="2026-09-28T00:00:00"/>
    <s v=""/>
    <s v=""/>
    <s v=""/>
    <s v=""/>
    <n v="474"/>
  </r>
  <r>
    <x v="1"/>
    <s v=""/>
    <s v="기초"/>
    <s v=""/>
    <s v=""/>
    <x v="492"/>
    <s v="RA-04V-1934]BRK BITE BLK GUIDE (A+)"/>
    <n v="475"/>
    <s v=""/>
    <x v="196"/>
    <d v="2026-09-11T00:00:00"/>
    <s v=""/>
    <s v=""/>
    <s v=""/>
    <s v=""/>
    <n v="475"/>
  </r>
  <r>
    <x v="1"/>
    <s v=""/>
    <s v="기초"/>
    <s v=""/>
    <s v=""/>
    <x v="493"/>
    <s v="RA-07V-3952]PLT ADJUST DET (MG)"/>
    <n v="486"/>
    <s v=""/>
    <x v="92"/>
    <d v="2026-09-11T00:00:00"/>
    <s v=""/>
    <s v=""/>
    <s v=""/>
    <s v=""/>
    <n v="486"/>
  </r>
  <r>
    <x v="1"/>
    <s v=""/>
    <s v=""/>
    <s v=""/>
    <s v=""/>
    <x v="452"/>
    <s v="RA-1-2_2]AC POWER FUSE TO NF1"/>
    <n v="490"/>
    <s v=""/>
    <x v="184"/>
    <d v="2026-10-13T00:00:00"/>
    <s v=""/>
    <s v=""/>
    <s v=""/>
    <s v=""/>
    <n v="490"/>
  </r>
  <r>
    <x v="1"/>
    <s v=""/>
    <s v="입고"/>
    <s v="진광"/>
    <s v="장동은"/>
    <x v="430"/>
    <s v="RE-04T-0452]CAP HANDLE A"/>
    <n v="500"/>
    <s v=""/>
    <x v="19"/>
    <d v="2026-09-21T00:00:00"/>
    <s v=""/>
    <s v=""/>
    <s v=""/>
    <s v=""/>
    <n v="500"/>
  </r>
  <r>
    <x v="1"/>
    <s v=""/>
    <s v=""/>
    <s v=""/>
    <s v=""/>
    <x v="494"/>
    <s v="RA-02V-2042]SUP X-AXIS PHOt SNSR (A+)"/>
    <n v="500"/>
    <s v=""/>
    <x v="173"/>
    <d v="2026-09-28T00:00:00"/>
    <s v=""/>
    <s v=""/>
    <s v=""/>
    <s v=""/>
    <n v="500"/>
  </r>
  <r>
    <x v="1"/>
    <s v=""/>
    <s v="기초"/>
    <s v=""/>
    <s v=""/>
    <x v="495"/>
    <s v="RA-09V-2536]BRK TOP CT HEADREST (A+)"/>
    <n v="510"/>
    <s v=""/>
    <x v="17"/>
    <d v="2026-09-11T00:00:00"/>
    <s v=""/>
    <s v=""/>
    <s v=""/>
    <s v=""/>
    <n v="510"/>
  </r>
  <r>
    <x v="1"/>
    <s v=""/>
    <s v=""/>
    <s v=""/>
    <s v=""/>
    <x v="496"/>
    <s v="RA-02M-2307]GUIDE Y-AXIS SCREW A (A+)"/>
    <n v="513"/>
    <s v=""/>
    <x v="197"/>
    <d v="2026-09-28T00:00:00"/>
    <s v=""/>
    <s v=""/>
    <s v=""/>
    <s v=""/>
    <n v="513"/>
  </r>
  <r>
    <x v="1"/>
    <s v=""/>
    <s v=""/>
    <s v=""/>
    <s v=""/>
    <x v="497"/>
    <s v="RA-03V-2285]BRK CABLE GUIDE CLMN (A+)"/>
    <n v="526"/>
    <s v=""/>
    <x v="198"/>
    <d v="2026-10-06T00:00:00"/>
    <s v=""/>
    <s v=""/>
    <s v=""/>
    <s v=""/>
    <n v="526"/>
  </r>
  <r>
    <x v="1"/>
    <s v=""/>
    <s v=""/>
    <s v=""/>
    <s v=""/>
    <x v="498"/>
    <s v="RA-07M-1658]BLK DET MOT LINKER (VA)"/>
    <n v="530"/>
    <s v=""/>
    <x v="158"/>
    <d v="2026-10-06T00:00:00"/>
    <s v=""/>
    <s v=""/>
    <s v=""/>
    <s v=""/>
    <n v="530"/>
  </r>
  <r>
    <x v="1"/>
    <s v=""/>
    <s v=""/>
    <s v=""/>
    <s v=""/>
    <x v="499"/>
    <s v="RA-10-4]FAN ASS'Y"/>
    <n v="540"/>
    <s v=""/>
    <x v="9"/>
    <d v="2026-09-18T00:00:00"/>
    <s v=""/>
    <s v=""/>
    <s v=""/>
    <s v=""/>
    <n v="540"/>
  </r>
  <r>
    <x v="1"/>
    <s v=""/>
    <s v="기초"/>
    <s v=""/>
    <s v=""/>
    <x v="500"/>
    <s v="RA-3-4]FAN CABLE"/>
    <n v="579"/>
    <s v=""/>
    <x v="123"/>
    <d v="2026-09-11T00:00:00"/>
    <s v=""/>
    <s v=""/>
    <s v=""/>
    <s v=""/>
    <n v="579"/>
  </r>
  <r>
    <x v="1"/>
    <s v=""/>
    <s v=""/>
    <s v=""/>
    <s v=""/>
    <x v="501"/>
    <s v="RA-02V-2014]PLT ROT POSITION UPPER (A+)"/>
    <n v="579"/>
    <s v=""/>
    <x v="188"/>
    <d v="2026-09-28T00:00:00"/>
    <s v=""/>
    <s v=""/>
    <s v=""/>
    <s v=""/>
    <n v="579"/>
  </r>
  <r>
    <x v="1"/>
    <s v=""/>
    <s v="기초"/>
    <s v=""/>
    <s v=""/>
    <x v="502"/>
    <s v="RA-04A-5007]Bd ASSY'-CONNECTOR Bd"/>
    <n v="619"/>
    <s v=""/>
    <x v="199"/>
    <d v="2026-09-11T00:00:00"/>
    <s v=""/>
    <s v=""/>
    <s v=""/>
    <s v=""/>
    <n v="619"/>
  </r>
  <r>
    <x v="1"/>
    <s v=""/>
    <s v=""/>
    <s v=""/>
    <s v=""/>
    <x v="222"/>
    <s v="RF-01T-0173]ARM CVR REAR DECO"/>
    <n v="619"/>
    <s v=""/>
    <x v="119"/>
    <d v="2026-09-22T00:00:00"/>
    <s v=""/>
    <s v=""/>
    <s v=""/>
    <s v=""/>
    <n v="619"/>
  </r>
  <r>
    <x v="1"/>
    <s v=""/>
    <s v=""/>
    <s v=""/>
    <s v=""/>
    <x v="503"/>
    <s v="RA-03M-0063]GUIDE PIN 2"/>
    <n v="622"/>
    <s v=""/>
    <x v="163"/>
    <d v="2026-10-13T00:00:00"/>
    <s v=""/>
    <s v=""/>
    <s v=""/>
    <s v=""/>
    <n v="622"/>
  </r>
  <r>
    <x v="1"/>
    <s v=""/>
    <s v=""/>
    <s v=""/>
    <s v=""/>
    <x v="504"/>
    <s v="RA-03M-2068]BRK CLMN REAR CAS LWR (A+)"/>
    <n v="646"/>
    <s v=""/>
    <x v="200"/>
    <d v="2026-10-06T00:00:00"/>
    <s v=""/>
    <s v=""/>
    <s v=""/>
    <s v=""/>
    <n v="646"/>
  </r>
  <r>
    <x v="1"/>
    <s v=""/>
    <s v=""/>
    <s v=""/>
    <s v=""/>
    <x v="505"/>
    <s v="RA-06V-1517]BRACKER COL PHOt SNSR"/>
    <n v="665"/>
    <s v=""/>
    <x v="149"/>
    <d v="2026-09-15T00:00:00"/>
    <s v=""/>
    <s v=""/>
    <s v=""/>
    <s v=""/>
    <n v="665"/>
  </r>
  <r>
    <x v="1"/>
    <s v=""/>
    <s v=""/>
    <s v=""/>
    <s v=""/>
    <x v="506"/>
    <s v="RA-07A-2716]ASM BLOCK DETECTOR SENSOR R"/>
    <n v="675"/>
    <s v=""/>
    <x v="201"/>
    <d v="2026-09-15T00:00:00"/>
    <s v=""/>
    <s v=""/>
    <s v=""/>
    <s v=""/>
    <n v="675"/>
  </r>
  <r>
    <x v="1"/>
    <s v=""/>
    <s v=""/>
    <s v=""/>
    <s v=""/>
    <x v="507"/>
    <s v="RA-07A-2715]ASM BLOCK DETECTOR SENSOR L"/>
    <n v="678"/>
    <s v=""/>
    <x v="201"/>
    <d v="2026-09-15T00:00:00"/>
    <s v=""/>
    <s v=""/>
    <s v=""/>
    <s v=""/>
    <n v="678"/>
  </r>
  <r>
    <x v="1"/>
    <s v=""/>
    <s v=""/>
    <s v=""/>
    <s v=""/>
    <x v="508"/>
    <s v="RA-02M-2048]PLT LINK Y-AXIS (A+)"/>
    <n v="680"/>
    <s v=""/>
    <x v="192"/>
    <d v="2026-09-28T00:00:00"/>
    <s v=""/>
    <s v=""/>
    <s v=""/>
    <s v=""/>
    <n v="680"/>
  </r>
  <r>
    <x v="1"/>
    <s v=""/>
    <s v=""/>
    <s v=""/>
    <s v=""/>
    <x v="509"/>
    <s v="RA-02M-2027]BLK X-AXIS MOT (A+)"/>
    <n v="736"/>
    <s v=""/>
    <x v="202"/>
    <d v="2026-09-28T00:00:00"/>
    <s v=""/>
    <s v=""/>
    <s v=""/>
    <s v=""/>
    <n v="736"/>
  </r>
  <r>
    <x v="1"/>
    <s v=""/>
    <s v=""/>
    <s v=""/>
    <s v=""/>
    <x v="399"/>
    <s v="RA-6-2_3]PRIME MOT ROT"/>
    <n v="741"/>
    <s v=""/>
    <x v="9"/>
    <d v="2026-09-28T00:00:00"/>
    <s v=""/>
    <s v=""/>
    <s v=""/>
    <s v=""/>
    <n v="741"/>
  </r>
  <r>
    <x v="1"/>
    <s v=""/>
    <s v=""/>
    <s v=""/>
    <s v=""/>
    <x v="510"/>
    <s v="RA-04T-0143]CAS CHINREST UPPER"/>
    <n v="778"/>
    <s v=""/>
    <x v="27"/>
    <d v="2026-09-15T00:00:00"/>
    <s v=""/>
    <s v=""/>
    <s v=""/>
    <s v=""/>
    <n v="778"/>
  </r>
  <r>
    <x v="1"/>
    <s v=""/>
    <s v=""/>
    <s v=""/>
    <s v=""/>
    <x v="511"/>
    <s v="RA-02S-5021]PHOtSNSR-EE-SX672A"/>
    <n v="797"/>
    <s v=""/>
    <x v="8"/>
    <d v="2026-09-28T00:00:00"/>
    <s v=""/>
    <s v=""/>
    <s v=""/>
    <s v=""/>
    <n v="797"/>
  </r>
  <r>
    <x v="1"/>
    <s v=""/>
    <s v="입고"/>
    <s v=""/>
    <s v=""/>
    <x v="153"/>
    <s v="RF-01G-0252]MOLDING FRONT MIRROR"/>
    <n v="800"/>
    <s v=""/>
    <x v="89"/>
    <d v="2026-08-02T00:00:00"/>
    <s v=""/>
    <s v=""/>
    <s v=""/>
    <s v=""/>
    <n v="800"/>
  </r>
  <r>
    <x v="1"/>
    <s v=""/>
    <s v=""/>
    <s v=""/>
    <s v=""/>
    <x v="512"/>
    <s v="RA-6-3]SUB MOT TUBE"/>
    <n v="880"/>
    <s v=""/>
    <x v="9"/>
    <d v="2026-09-30T00:00:00"/>
    <s v=""/>
    <s v=""/>
    <s v=""/>
    <s v=""/>
    <n v="880"/>
  </r>
  <r>
    <x v="1"/>
    <s v=""/>
    <s v=""/>
    <s v=""/>
    <s v=""/>
    <x v="513"/>
    <s v="RA-06T-0296]CAS TUBE TNK FAN"/>
    <n v="897"/>
    <s v=""/>
    <x v="27"/>
    <d v="2026-09-18T00:00:00"/>
    <s v=""/>
    <s v=""/>
    <s v=""/>
    <s v=""/>
    <n v="897"/>
  </r>
  <r>
    <x v="1"/>
    <s v=""/>
    <s v=""/>
    <s v=""/>
    <s v=""/>
    <x v="153"/>
    <s v="RF-01G-0252]MOLDING FRONT MIRROR"/>
    <n v="921"/>
    <s v=""/>
    <x v="89"/>
    <d v="2026-09-22T00:00:00"/>
    <s v=""/>
    <s v=""/>
    <s v=""/>
    <s v=""/>
    <n v="921"/>
  </r>
  <r>
    <x v="1"/>
    <s v=""/>
    <s v=""/>
    <s v=""/>
    <s v=""/>
    <x v="514"/>
    <s v="C16-626ZZ]BALL B-Ring"/>
    <n v="981"/>
    <s v=""/>
    <x v="120"/>
    <d v="2026-07-29T00:00:00"/>
    <s v=""/>
    <s v=""/>
    <s v=""/>
    <s v=""/>
    <n v="981"/>
  </r>
  <r>
    <x v="1"/>
    <s v=""/>
    <s v=""/>
    <s v=""/>
    <s v=""/>
    <x v="515"/>
    <s v="RA-04V-0110]BRK CAS ARM BOT (REAR)"/>
    <n v="1071"/>
    <s v=""/>
    <x v="15"/>
    <d v="2026-09-23T00:00:00"/>
    <s v=""/>
    <s v=""/>
    <s v=""/>
    <s v=""/>
    <n v="1071"/>
  </r>
  <r>
    <x v="1"/>
    <s v=""/>
    <s v="입고"/>
    <s v="플랜피뎀"/>
    <s v="유영국"/>
    <x v="511"/>
    <s v="RA-02S-5021]PHOtSNSR-EE-SX672A"/>
    <n v="1200"/>
    <s v=""/>
    <x v="8"/>
    <d v="2026-10-02T00:00:00"/>
    <s v=""/>
    <s v=""/>
    <s v=""/>
    <s v=""/>
    <n v="1200"/>
  </r>
  <r>
    <x v="1"/>
    <s v=""/>
    <s v=""/>
    <s v=""/>
    <s v=""/>
    <x v="516"/>
    <s v="RA-02M-2047]BLK LINK Y-AXIS (A+)"/>
    <n v="1423"/>
    <s v=""/>
    <x v="197"/>
    <d v="2026-09-28T00:00:00"/>
    <s v=""/>
    <s v=""/>
    <s v=""/>
    <s v=""/>
    <n v="1423"/>
  </r>
  <r>
    <x v="1"/>
    <s v=""/>
    <s v=""/>
    <s v=""/>
    <s v=""/>
    <x v="220"/>
    <s v="RF-09P-0271]MIRROR PROTIVE FILM"/>
    <n v="1453"/>
    <s v=""/>
    <x v="89"/>
    <d v="2026-09-22T00:00:00"/>
    <s v=""/>
    <s v=""/>
    <s v=""/>
    <s v=""/>
    <n v="1453"/>
  </r>
  <r>
    <x v="1"/>
    <s v=""/>
    <s v=""/>
    <s v=""/>
    <s v=""/>
    <x v="517"/>
    <s v="RE-04T-0440]CAP HEADREST KNOB"/>
    <n v="242"/>
    <s v=""/>
    <x v="19"/>
    <d v="2026-10-12T00:00:00"/>
    <s v=""/>
    <s v=""/>
    <s v=""/>
    <s v=""/>
    <n v="242"/>
  </r>
  <r>
    <x v="1"/>
    <s v=""/>
    <s v=""/>
    <s v=""/>
    <s v=""/>
    <x v="20"/>
    <s v="RE-09T-0902]CAS CHINREST LOW"/>
    <n v="44"/>
    <s v=""/>
    <x v="16"/>
    <d v="2026-10-12T00:00:00"/>
    <s v=""/>
    <s v=""/>
    <s v=""/>
    <s v=""/>
    <n v="44"/>
  </r>
  <r>
    <x v="1"/>
    <s v=""/>
    <s v=""/>
    <s v=""/>
    <s v=""/>
    <x v="518"/>
    <s v="RE-09T-0904]CAS TMJREST"/>
    <n v="9"/>
    <s v=""/>
    <x v="16"/>
    <d v="2026-10-12T00:00:00"/>
    <s v=""/>
    <s v=""/>
    <s v=""/>
    <s v=""/>
    <n v="9"/>
  </r>
  <r>
    <x v="1"/>
    <s v=""/>
    <s v=""/>
    <s v=""/>
    <s v=""/>
    <x v="519"/>
    <s v="RE-04T-0419]CAS HANDLE REAR"/>
    <n v="28"/>
    <s v=""/>
    <x v="203"/>
    <d v="2026-10-12T00:00:00"/>
    <s v=""/>
    <s v=""/>
    <s v=""/>
    <s v=""/>
    <n v="28"/>
  </r>
  <r>
    <x v="1"/>
    <s v=""/>
    <s v=""/>
    <s v=""/>
    <s v=""/>
    <x v="520"/>
    <s v="RE-04T-0416]CAS HANDLE FRONT"/>
    <n v="28"/>
    <s v=""/>
    <x v="203"/>
    <d v="2026-10-12T00:00:00"/>
    <s v=""/>
    <s v=""/>
    <s v=""/>
    <s v=""/>
    <n v="28"/>
  </r>
  <r>
    <x v="1"/>
    <s v=""/>
    <s v=""/>
    <s v=""/>
    <s v=""/>
    <x v="521"/>
    <s v="RE-04V-0418]PLT HANDLE REAR"/>
    <n v="192"/>
    <s v=""/>
    <x v="14"/>
    <d v="2026-10-12T00:00:00"/>
    <s v=""/>
    <s v=""/>
    <s v=""/>
    <s v=""/>
    <n v="192"/>
  </r>
  <r>
    <x v="1"/>
    <s v=""/>
    <s v=""/>
    <s v=""/>
    <s v=""/>
    <x v="522"/>
    <s v="RE-04V-0417]PLT HANDLE FRONT"/>
    <n v="192"/>
    <s v=""/>
    <x v="14"/>
    <d v="2026-10-12T00:00:00"/>
    <s v=""/>
    <s v=""/>
    <s v=""/>
    <s v=""/>
    <n v="192"/>
  </r>
  <r>
    <x v="1"/>
    <s v=""/>
    <s v=""/>
    <s v=""/>
    <s v=""/>
    <x v="523"/>
    <s v="RE-09T-0901]CAS CHINREST"/>
    <n v="35"/>
    <s v=""/>
    <x v="16"/>
    <d v="2026-10-12T00:00:00"/>
    <s v=""/>
    <s v=""/>
    <s v=""/>
    <s v=""/>
    <n v="35"/>
  </r>
  <r>
    <x v="1"/>
    <s v=""/>
    <s v=""/>
    <s v=""/>
    <s v=""/>
    <x v="21"/>
    <s v="RA-09S-0389]CVR BITE BLK VINYL CVR"/>
    <n v="44"/>
    <s v=""/>
    <x v="17"/>
    <d v="2026-10-12T00:00:00"/>
    <s v=""/>
    <s v=""/>
    <s v=""/>
    <s v=""/>
    <n v="44"/>
  </r>
  <r>
    <x v="1"/>
    <s v=""/>
    <s v=""/>
    <s v=""/>
    <s v=""/>
    <x v="524"/>
    <s v="RE-09S-0921]STK MAGNET RED"/>
    <n v="147"/>
    <s v=""/>
    <x v="204"/>
    <d v="2026-10-12T00:00:00"/>
    <s v=""/>
    <s v=""/>
    <s v=""/>
    <s v=""/>
    <n v="147"/>
  </r>
  <r>
    <x v="1"/>
    <s v=""/>
    <s v=""/>
    <s v=""/>
    <s v=""/>
    <x v="525"/>
    <s v="RE-09T-0905]CAS TEMPLE SUP L"/>
    <n v="38"/>
    <s v=""/>
    <x v="16"/>
    <d v="2026-10-12T00:00:00"/>
    <s v=""/>
    <s v=""/>
    <s v=""/>
    <s v=""/>
    <n v="38"/>
  </r>
  <r>
    <x v="1"/>
    <s v=""/>
    <s v=""/>
    <s v=""/>
    <s v=""/>
    <x v="526"/>
    <s v="RE-09S-0922]STK MAGNET BLUE"/>
    <n v="142"/>
    <s v=""/>
    <x v="204"/>
    <d v="2026-10-12T00:00:00"/>
    <s v=""/>
    <s v=""/>
    <s v=""/>
    <s v=""/>
    <n v="142"/>
  </r>
  <r>
    <x v="1"/>
    <s v=""/>
    <s v=""/>
    <s v=""/>
    <s v=""/>
    <x v="527"/>
    <s v="RE-09T-0906]CAS TEMPLE SUP R"/>
    <n v="37"/>
    <s v=""/>
    <x v="16"/>
    <d v="2026-10-12T00:00:00"/>
    <s v=""/>
    <s v=""/>
    <s v=""/>
    <s v=""/>
    <n v="37"/>
  </r>
  <r>
    <x v="1"/>
    <s v=""/>
    <s v=""/>
    <s v=""/>
    <s v=""/>
    <x v="528"/>
    <s v=""/>
    <n v="65"/>
    <s v=""/>
    <x v="18"/>
    <d v="2026-10-12T00:00:00"/>
    <s v=""/>
    <s v=""/>
    <s v=""/>
    <s v=""/>
    <n v="65"/>
  </r>
  <r>
    <x v="1"/>
    <s v=""/>
    <s v=""/>
    <s v=""/>
    <s v=""/>
    <x v="529"/>
    <s v="RA-09T-1132]CAS EDENTULOUS GUIDE"/>
    <n v="198"/>
    <s v=""/>
    <x v="205"/>
    <d v="2026-10-12T00:00:00"/>
    <s v=""/>
    <s v=""/>
    <s v=""/>
    <s v=""/>
    <n v="198"/>
  </r>
  <r>
    <x v="1"/>
    <s v=""/>
    <s v=""/>
    <s v=""/>
    <s v=""/>
    <x v="22"/>
    <s v="RE-02T-0247]CAS VERT TOP"/>
    <n v="38"/>
    <s v=""/>
    <x v="18"/>
    <d v="2026-10-12T00:00:00"/>
    <s v=""/>
    <s v=""/>
    <s v=""/>
    <s v=""/>
    <n v="38"/>
  </r>
  <r>
    <x v="1"/>
    <s v=""/>
    <s v=""/>
    <s v=""/>
    <s v=""/>
    <x v="530"/>
    <s v="RE-09S-0907]MAGNET TEMPLE SUP 15_8"/>
    <n v="94"/>
    <s v=""/>
    <x v="206"/>
    <d v="2026-10-12T00:00:00"/>
    <s v=""/>
    <s v=""/>
    <s v=""/>
    <s v=""/>
    <n v="94"/>
  </r>
  <r>
    <x v="1"/>
    <s v=""/>
    <s v=""/>
    <s v=""/>
    <s v=""/>
    <x v="23"/>
    <s v="RE-04T-0453]CAP HANDLE B"/>
    <n v="507"/>
    <s v=""/>
    <x v="19"/>
    <d v="2026-10-12T00:00:00"/>
    <s v=""/>
    <s v=""/>
    <s v=""/>
    <s v=""/>
    <n v="507"/>
  </r>
  <r>
    <x v="1"/>
    <s v=""/>
    <s v=""/>
    <s v=""/>
    <s v=""/>
    <x v="531"/>
    <s v="RA-09T-1183]BLK BITE"/>
    <n v="99"/>
    <s v=""/>
    <x v="205"/>
    <d v="2026-10-12T00:00:00"/>
    <s v=""/>
    <s v=""/>
    <s v=""/>
    <s v=""/>
    <n v="99"/>
  </r>
  <r>
    <x v="1"/>
    <s v=""/>
    <s v=""/>
    <s v=""/>
    <s v=""/>
    <x v="19"/>
    <s v="RE-01T-0104]RUBBER CAP DECO"/>
    <n v="720"/>
    <s v=""/>
    <x v="15"/>
    <d v="2026-10-12T00:00:00"/>
    <s v=""/>
    <s v=""/>
    <s v=""/>
    <s v=""/>
    <n v="720"/>
  </r>
  <r>
    <x v="1"/>
    <s v=""/>
    <s v=""/>
    <s v=""/>
    <s v=""/>
    <x v="532"/>
    <s v="RE-04M-0438]DECO CANINE WINDOW"/>
    <n v="53"/>
    <s v=""/>
    <x v="207"/>
    <d v="2026-10-12T00:00:00"/>
    <s v=""/>
    <s v=""/>
    <s v=""/>
    <s v=""/>
    <n v="53"/>
  </r>
  <r>
    <x v="1"/>
    <s v=""/>
    <s v=""/>
    <s v=""/>
    <s v=""/>
    <x v="533"/>
    <s v="RE-05H-5065_1]Earth ROT to TNK"/>
    <n v="57"/>
    <s v=""/>
    <x v="208"/>
    <d v="2026-10-12T00:00:00"/>
    <s v=""/>
    <s v=""/>
    <s v=""/>
    <s v=""/>
    <n v="57"/>
  </r>
  <r>
    <x v="1"/>
    <s v=""/>
    <s v=""/>
    <s v=""/>
    <s v=""/>
    <x v="534"/>
    <s v="RE-02T-0246]CAS LED"/>
    <n v="184"/>
    <s v=""/>
    <x v="209"/>
    <d v="2026-10-12T00:00:00"/>
    <s v=""/>
    <s v=""/>
    <s v=""/>
    <s v=""/>
    <n v="184"/>
  </r>
  <r>
    <x v="1"/>
    <s v=""/>
    <s v=""/>
    <s v=""/>
    <s v=""/>
    <x v="535"/>
    <s v="RA-02M-0395]PIN VERT POSITION"/>
    <n v="110"/>
    <s v=""/>
    <x v="185"/>
    <d v="2026-10-12T00:00:00"/>
    <s v=""/>
    <s v=""/>
    <s v=""/>
    <s v=""/>
    <n v="110"/>
  </r>
  <r>
    <x v="1"/>
    <s v=""/>
    <s v=""/>
    <s v=""/>
    <s v=""/>
    <x v="536"/>
    <s v="RE-04T-0436]CAS CHINREST BOT"/>
    <n v="7"/>
    <s v=""/>
    <x v="16"/>
    <d v="2026-10-12T00:00:00"/>
    <s v=""/>
    <s v=""/>
    <s v=""/>
    <s v=""/>
    <n v="7"/>
  </r>
  <r>
    <x v="1"/>
    <s v=""/>
    <s v=""/>
    <s v=""/>
    <s v=""/>
    <x v="18"/>
    <s v="RE-05A-0512]ASM ROTATOR WEIGH"/>
    <n v="20"/>
    <s v=""/>
    <x v="14"/>
    <d v="2026-10-12T00:00:00"/>
    <s v=""/>
    <s v=""/>
    <s v=""/>
    <s v=""/>
    <n v="20"/>
  </r>
  <r>
    <x v="1"/>
    <s v=""/>
    <s v=""/>
    <s v=""/>
    <s v=""/>
    <x v="537"/>
    <s v="RE-05H-5049_1]LASER_H Extend"/>
    <n v="66"/>
    <s v=""/>
    <x v="210"/>
    <d v="2026-10-12T00:00:00"/>
    <s v=""/>
    <s v=""/>
    <s v=""/>
    <s v=""/>
    <n v="66"/>
  </r>
  <r>
    <x v="1"/>
    <s v=""/>
    <s v=""/>
    <s v=""/>
    <s v=""/>
    <x v="538"/>
    <s v="RE-05H-5030_1]TILT SIGNAL"/>
    <n v="110"/>
    <s v=""/>
    <x v="211"/>
    <d v="2026-10-12T00:00:00"/>
    <s v=""/>
    <s v=""/>
    <s v=""/>
    <s v=""/>
    <n v="110"/>
  </r>
  <r>
    <x v="1"/>
    <s v=""/>
    <s v=""/>
    <s v=""/>
    <s v=""/>
    <x v="539"/>
    <s v="RE-04T-0434]CAS ARM BOT"/>
    <n v="170"/>
    <s v=""/>
    <x v="212"/>
    <d v="2026-10-12T00:00:00"/>
    <s v=""/>
    <s v=""/>
    <s v=""/>
    <s v=""/>
    <n v="170"/>
  </r>
  <r>
    <x v="1"/>
    <s v=""/>
    <s v=""/>
    <s v=""/>
    <s v=""/>
    <x v="540"/>
    <s v="RE-02B-5105]eINDICATOR Bd"/>
    <n v="20"/>
    <s v=""/>
    <x v="213"/>
    <d v="2026-10-12T00:00:00"/>
    <s v=""/>
    <s v=""/>
    <s v=""/>
    <s v=""/>
    <n v="20"/>
  </r>
  <r>
    <x v="1"/>
    <s v=""/>
    <s v="입고"/>
    <s v="A&amp;T"/>
    <s v="장동은"/>
    <x v="17"/>
    <s v="RE-03A-1030]ASM COLUMN MODULE"/>
    <n v="16"/>
    <s v=""/>
    <x v="13"/>
    <d v="2026-09-29T00:00:00"/>
    <s v=""/>
    <s v=""/>
    <s v=""/>
    <s v=""/>
    <n v="16"/>
  </r>
  <r>
    <x v="1"/>
    <s v=""/>
    <s v=""/>
    <s v=""/>
    <s v=""/>
    <x v="17"/>
    <s v="RE-03A-1030]ASM COLUMN MODULE"/>
    <n v="3"/>
    <s v=""/>
    <x v="13"/>
    <d v="2026-10-06T00:00:00"/>
    <s v=""/>
    <s v=""/>
    <s v=""/>
    <s v=""/>
    <n v="3"/>
  </r>
  <r>
    <x v="1"/>
    <s v=""/>
    <s v=""/>
    <s v=""/>
    <s v=""/>
    <x v="16"/>
    <s v="RA-08M-0623]PIN STOPPER"/>
    <n v="0"/>
    <s v=""/>
    <x v="12"/>
    <d v="2026-10-01T00:00:00"/>
    <s v=""/>
    <s v=""/>
    <s v=""/>
    <s v=""/>
    <n v="0"/>
  </r>
  <r>
    <x v="1"/>
    <s v=""/>
    <s v=""/>
    <s v=""/>
    <s v=""/>
    <x v="541"/>
    <s v="RA-08M-0738]BLK OC _4HEAD FIX"/>
    <n v="171"/>
    <s v=""/>
    <x v="22"/>
    <d v="2026-10-01T00:00:00"/>
    <s v=""/>
    <s v=""/>
    <s v=""/>
    <s v=""/>
    <n v="171"/>
  </r>
  <r>
    <x v="1"/>
    <s v=""/>
    <s v=""/>
    <s v=""/>
    <s v=""/>
    <x v="542"/>
    <s v="RA-08M-0619]SHAFT _4HEAD FIX"/>
    <n v="215"/>
    <s v=""/>
    <x v="12"/>
    <d v="2026-10-01T00:00:00"/>
    <s v=""/>
    <s v=""/>
    <s v=""/>
    <s v=""/>
    <n v="215"/>
  </r>
  <r>
    <x v="1"/>
    <s v=""/>
    <s v=""/>
    <s v=""/>
    <s v=""/>
    <x v="543"/>
    <s v="RA-08M-0620]PLT CEPH _4HEAD"/>
    <n v="93"/>
    <s v=""/>
    <x v="12"/>
    <d v="2026-10-01T00:00:00"/>
    <s v=""/>
    <s v=""/>
    <s v=""/>
    <s v=""/>
    <n v="93"/>
  </r>
  <r>
    <x v="1"/>
    <s v=""/>
    <s v=""/>
    <s v=""/>
    <s v=""/>
    <x v="544"/>
    <s v="RA-08V-0621]PLT WASHER FIX"/>
    <n v="21"/>
    <s v=""/>
    <x v="85"/>
    <d v="2026-10-01T00:00:00"/>
    <s v=""/>
    <s v=""/>
    <s v=""/>
    <s v=""/>
    <n v="21"/>
  </r>
  <r>
    <x v="1"/>
    <s v=""/>
    <s v=""/>
    <s v=""/>
    <s v=""/>
    <x v="545"/>
    <s v="RA-08T-0632]CAS CEPH _4HEAD BAR"/>
    <n v="302"/>
    <s v=""/>
    <x v="27"/>
    <d v="2026-10-01T00:00:00"/>
    <s v=""/>
    <s v=""/>
    <s v=""/>
    <s v=""/>
    <n v="302"/>
  </r>
  <r>
    <x v="1"/>
    <s v=""/>
    <s v=""/>
    <s v=""/>
    <s v=""/>
    <x v="546"/>
    <s v="RA-08M-0976]CEPH SCALE BAR"/>
    <n v="242"/>
    <s v=""/>
    <x v="138"/>
    <d v="2026-10-01T00:00:00"/>
    <s v=""/>
    <s v=""/>
    <s v=""/>
    <s v=""/>
    <n v="242"/>
  </r>
  <r>
    <x v="1"/>
    <s v=""/>
    <s v=""/>
    <s v=""/>
    <s v=""/>
    <x v="547"/>
    <s v="RA-08M-0624]BLK CEPH _4HEAD"/>
    <n v="294"/>
    <s v=""/>
    <x v="12"/>
    <d v="2026-10-01T00:00:00"/>
    <s v=""/>
    <s v=""/>
    <s v=""/>
    <s v=""/>
    <n v="294"/>
  </r>
  <r>
    <x v="1"/>
    <s v=""/>
    <s v=""/>
    <s v=""/>
    <s v=""/>
    <x v="548"/>
    <s v="RA-08M-0625]_4M CEPH _4HEAD"/>
    <n v="1012"/>
    <s v=""/>
    <x v="12"/>
    <d v="2026-10-01T00:00:00"/>
    <s v=""/>
    <s v=""/>
    <s v=""/>
    <s v=""/>
    <n v="1012"/>
  </r>
  <r>
    <x v="1"/>
    <s v=""/>
    <s v=""/>
    <s v=""/>
    <s v=""/>
    <x v="549"/>
    <s v="RA-08M-0622]WASHER SCAN CEPH"/>
    <n v="220"/>
    <s v=""/>
    <x v="12"/>
    <d v="2026-10-01T00:00:00"/>
    <s v=""/>
    <s v=""/>
    <s v=""/>
    <s v=""/>
    <n v="220"/>
  </r>
  <r>
    <x v="1"/>
    <s v=""/>
    <s v=""/>
    <s v=""/>
    <s v=""/>
    <x v="550"/>
    <s v="RA-05V-2559]CVR SUB MCU"/>
    <n v="50"/>
    <s v=""/>
    <x v="214"/>
    <d v="2026-10-01T00:00:00"/>
    <s v=""/>
    <s v=""/>
    <s v=""/>
    <s v=""/>
    <n v="50"/>
  </r>
  <r>
    <x v="1"/>
    <s v=""/>
    <s v=""/>
    <s v=""/>
    <s v=""/>
    <x v="551"/>
    <s v="RA-09V-3433]PLT LIGHT PHNT (ST)"/>
    <n v="24"/>
    <s v=""/>
    <x v="215"/>
    <d v="2026-10-01T00:00:00"/>
    <s v=""/>
    <s v=""/>
    <s v=""/>
    <s v=""/>
    <n v="24"/>
  </r>
  <r>
    <x v="1"/>
    <s v=""/>
    <s v=""/>
    <s v=""/>
    <s v=""/>
    <x v="552"/>
    <s v="RA-03A-0287]ASM LEVER HORIZONTAL LASER"/>
    <n v="28"/>
    <s v=""/>
    <x v="150"/>
    <d v="2026-10-01T00:00:00"/>
    <s v=""/>
    <s v=""/>
    <s v=""/>
    <s v=""/>
    <n v="28"/>
  </r>
  <r>
    <x v="1"/>
    <s v=""/>
    <s v=""/>
    <s v=""/>
    <s v=""/>
    <x v="553"/>
    <s v="RA-7-3]LAN PC"/>
    <n v="71"/>
    <s v=""/>
    <x v="9"/>
    <d v="2026-10-01T00:00:00"/>
    <s v=""/>
    <s v=""/>
    <s v=""/>
    <s v=""/>
    <n v="71"/>
  </r>
  <r>
    <x v="1"/>
    <s v=""/>
    <s v=""/>
    <s v=""/>
    <s v=""/>
    <x v="554"/>
    <s v="RA-04T-0144]CAS CHINREST BOT"/>
    <n v="206"/>
    <s v=""/>
    <x v="27"/>
    <d v="2026-10-01T00:00:00"/>
    <s v=""/>
    <s v=""/>
    <s v=""/>
    <s v=""/>
    <n v="206"/>
  </r>
  <r>
    <x v="1"/>
    <s v=""/>
    <s v=""/>
    <s v=""/>
    <s v=""/>
    <x v="555"/>
    <s v="RA-05T-0207]CAS ROT BOT DECO"/>
    <n v="358"/>
    <s v=""/>
    <x v="178"/>
    <d v="2026-10-01T00:00:00"/>
    <s v=""/>
    <s v=""/>
    <s v=""/>
    <s v=""/>
    <n v="358"/>
  </r>
  <r>
    <x v="1"/>
    <s v=""/>
    <s v=""/>
    <s v=""/>
    <s v=""/>
    <x v="556"/>
    <s v="ASM ROTATOR"/>
    <n v="90"/>
    <s v=""/>
    <x v="33"/>
    <d v="2026-10-01T00:00:00"/>
    <s v=""/>
    <s v=""/>
    <s v=""/>
    <s v=""/>
    <n v="90"/>
  </r>
  <r>
    <x v="1"/>
    <s v=""/>
    <s v=""/>
    <s v=""/>
    <s v=""/>
    <x v="14"/>
    <s v="RA-09A-2754]ASM CT HEADREST (A+) (VN)"/>
    <n v="84"/>
    <s v=""/>
    <x v="11"/>
    <d v="2026-10-01T00:00:00"/>
    <s v=""/>
    <s v=""/>
    <s v=""/>
    <s v=""/>
    <n v="84"/>
  </r>
  <r>
    <x v="1"/>
    <s v=""/>
    <s v=""/>
    <s v=""/>
    <s v=""/>
    <x v="557"/>
    <s v="RA-09M-3440]BLK GUIDE BITE (ST)_REV.C"/>
    <n v="195"/>
    <s v=""/>
    <x v="44"/>
    <d v="2026-10-01T00:00:00"/>
    <s v=""/>
    <s v=""/>
    <s v=""/>
    <s v=""/>
    <n v="195"/>
  </r>
  <r>
    <x v="1"/>
    <s v=""/>
    <s v=""/>
    <s v=""/>
    <s v=""/>
    <x v="558"/>
    <s v="RA-09T-3991]CAS CHINREST (MG)"/>
    <n v="10"/>
    <s v=""/>
    <x v="44"/>
    <d v="2026-10-01T00:00:00"/>
    <s v=""/>
    <s v=""/>
    <s v=""/>
    <s v=""/>
    <n v="10"/>
  </r>
  <r>
    <x v="1"/>
    <s v=""/>
    <s v=""/>
    <s v=""/>
    <s v=""/>
    <x v="559"/>
    <s v="RA-09A-2729]ASM COMPONENT SUB-1"/>
    <n v="45"/>
    <s v=""/>
    <x v="33"/>
    <d v="2026-10-01T00:00:00"/>
    <s v=""/>
    <s v=""/>
    <s v=""/>
    <s v=""/>
    <n v="45"/>
  </r>
  <r>
    <x v="1"/>
    <s v=""/>
    <s v=""/>
    <s v=""/>
    <s v=""/>
    <x v="560"/>
    <s v="RA-09A-2730]ASM COMPONENT SUB-2"/>
    <n v="123"/>
    <s v=""/>
    <x v="33"/>
    <d v="2026-10-01T00:00:00"/>
    <s v=""/>
    <s v=""/>
    <s v=""/>
    <s v=""/>
    <n v="123"/>
  </r>
  <r>
    <x v="1"/>
    <s v=""/>
    <s v=""/>
    <s v=""/>
    <s v=""/>
    <x v="561"/>
    <s v="RA-09A-0967]ASM EXPOSURE SW"/>
    <n v="200"/>
    <s v=""/>
    <x v="183"/>
    <d v="2026-10-01T00:00:00"/>
    <s v=""/>
    <s v=""/>
    <s v=""/>
    <s v=""/>
    <n v="200"/>
  </r>
  <r>
    <x v="1"/>
    <s v=""/>
    <s v=""/>
    <s v=""/>
    <s v=""/>
    <x v="562"/>
    <s v="RA-09T-0733]CAS S.W HLDR"/>
    <n v="557"/>
    <s v=""/>
    <x v="178"/>
    <d v="2026-10-01T00:00:00"/>
    <s v=""/>
    <s v=""/>
    <s v=""/>
    <s v=""/>
    <n v="557"/>
  </r>
  <r>
    <x v="1"/>
    <s v=""/>
    <s v=""/>
    <s v=""/>
    <s v=""/>
    <x v="563"/>
    <s v="RA-09A-0345]ASM REMOTE CONTROL"/>
    <n v="103"/>
    <s v=""/>
    <x v="17"/>
    <d v="2026-10-01T00:00:00"/>
    <s v=""/>
    <s v=""/>
    <s v=""/>
    <s v=""/>
    <n v="103"/>
  </r>
  <r>
    <x v="1"/>
    <s v=""/>
    <s v=""/>
    <s v=""/>
    <s v=""/>
    <x v="564"/>
    <s v="RA-01T-1791]CAS MAIN Bas REAR"/>
    <n v="348"/>
    <s v=""/>
    <x v="10"/>
    <d v="2026-10-01T00:00:00"/>
    <s v=""/>
    <s v=""/>
    <s v=""/>
    <s v=""/>
    <n v="348"/>
  </r>
  <r>
    <x v="1"/>
    <s v=""/>
    <s v=""/>
    <s v=""/>
    <s v=""/>
    <x v="565"/>
    <s v="RA-01T-1790]CAS MAIN Bas FRONT"/>
    <n v="220"/>
    <s v=""/>
    <x v="10"/>
    <d v="2026-10-01T00:00:00"/>
    <s v=""/>
    <s v=""/>
    <s v=""/>
    <s v=""/>
    <n v="220"/>
  </r>
  <r>
    <x v="1"/>
    <s v=""/>
    <s v=""/>
    <s v=""/>
    <s v=""/>
    <x v="566"/>
    <s v="RA-03T-0072]CAS CLMN BODY REAR"/>
    <n v="496"/>
    <s v=""/>
    <x v="10"/>
    <d v="2026-10-01T00:00:00"/>
    <s v=""/>
    <s v=""/>
    <s v=""/>
    <s v=""/>
    <n v="496"/>
  </r>
  <r>
    <x v="1"/>
    <s v=""/>
    <s v=""/>
    <s v=""/>
    <s v=""/>
    <x v="12"/>
    <s v="RA-03A-0315]ASM CAS CLMN LWR (L)"/>
    <n v="149"/>
    <s v=""/>
    <x v="10"/>
    <d v="2026-10-01T00:00:00"/>
    <s v=""/>
    <s v=""/>
    <s v=""/>
    <s v=""/>
    <n v="149"/>
  </r>
  <r>
    <x v="1"/>
    <s v=""/>
    <s v=""/>
    <s v=""/>
    <s v=""/>
    <x v="13"/>
    <s v="RA-03A-0314]ASM CAS CLMN LWR (R)"/>
    <n v="37"/>
    <s v=""/>
    <x v="10"/>
    <d v="2026-10-01T00:00:00"/>
    <s v=""/>
    <s v=""/>
    <s v=""/>
    <s v=""/>
    <n v="37"/>
  </r>
  <r>
    <x v="1"/>
    <s v=""/>
    <s v=""/>
    <s v=""/>
    <s v=""/>
    <x v="567"/>
    <s v="RA-03V-0055]HLDR CAS CLMN BODY LWR 2"/>
    <n v="28"/>
    <s v=""/>
    <x v="171"/>
    <d v="2026-10-01T00:00:00"/>
    <s v=""/>
    <s v=""/>
    <s v=""/>
    <s v=""/>
    <n v="28"/>
  </r>
  <r>
    <x v="1"/>
    <s v=""/>
    <s v=""/>
    <s v=""/>
    <s v=""/>
    <x v="568"/>
    <s v="RA-03V-0054]HLDR CAS CLMN BODY LWR 1"/>
    <n v="75"/>
    <s v=""/>
    <x v="171"/>
    <d v="2026-10-01T00:00:00"/>
    <s v=""/>
    <s v=""/>
    <s v=""/>
    <s v=""/>
    <n v="75"/>
  </r>
  <r>
    <x v="1"/>
    <s v=""/>
    <s v=""/>
    <s v=""/>
    <s v=""/>
    <x v="569"/>
    <s v="RA-04T-1707]CAS MONITOR DECO"/>
    <n v="186"/>
    <s v=""/>
    <x v="178"/>
    <d v="2026-10-01T00:00:00"/>
    <s v=""/>
    <s v=""/>
    <s v=""/>
    <s v=""/>
    <n v="186"/>
  </r>
  <r>
    <x v="1"/>
    <s v=""/>
    <s v=""/>
    <s v=""/>
    <s v=""/>
    <x v="570"/>
    <s v="RA-02T-2182]CAS VERT UPPER (A+)"/>
    <n v="78"/>
    <s v=""/>
    <x v="10"/>
    <d v="2026-10-01T00:00:00"/>
    <s v=""/>
    <s v=""/>
    <s v=""/>
    <s v=""/>
    <n v="78"/>
  </r>
  <r>
    <x v="1"/>
    <s v=""/>
    <s v=""/>
    <s v=""/>
    <s v=""/>
    <x v="571"/>
    <s v="RA-5-7]EARTH SHAFT TO WALL"/>
    <n v="150"/>
    <s v=""/>
    <x v="9"/>
    <d v="2026-10-01T00:00:00"/>
    <s v=""/>
    <s v=""/>
    <s v=""/>
    <s v=""/>
    <n v="150"/>
  </r>
  <r>
    <x v="1"/>
    <s v=""/>
    <s v=""/>
    <s v=""/>
    <s v=""/>
    <x v="15"/>
    <s v="RA-5-6]EARTH SHAFT TO PC"/>
    <n v="159"/>
    <s v=""/>
    <x v="9"/>
    <d v="2026-10-01T00:00:00"/>
    <s v=""/>
    <s v=""/>
    <s v=""/>
    <s v=""/>
    <n v="159"/>
  </r>
  <r>
    <x v="1"/>
    <s v=""/>
    <s v=""/>
    <s v=""/>
    <s v=""/>
    <x v="572"/>
    <s v="RA-09T-2534]CAS CT HEADREST (A+)"/>
    <n v="15"/>
    <s v=""/>
    <x v="27"/>
    <d v="2026-10-01T00:00:00"/>
    <s v=""/>
    <s v=""/>
    <s v=""/>
    <s v=""/>
    <n v="15"/>
  </r>
  <r>
    <x v="1"/>
    <s v=""/>
    <s v=""/>
    <s v=""/>
    <s v=""/>
    <x v="573"/>
    <s v="RA-09T-0344]KNOB CEPH ADJUST"/>
    <n v="132"/>
    <s v=""/>
    <x v="178"/>
    <d v="2026-10-01T00:00:00"/>
    <s v=""/>
    <s v=""/>
    <s v=""/>
    <s v=""/>
    <n v="132"/>
  </r>
  <r>
    <x v="1"/>
    <s v=""/>
    <s v=""/>
    <s v=""/>
    <s v=""/>
    <x v="574"/>
    <s v="RA-09M-3441]PIN GUIDE BITE (ST)"/>
    <n v="298"/>
    <s v=""/>
    <x v="44"/>
    <d v="2026-10-01T00:00:00"/>
    <s v=""/>
    <s v=""/>
    <s v=""/>
    <s v=""/>
    <n v="298"/>
  </r>
  <r>
    <x v="1"/>
    <s v=""/>
    <s v=""/>
    <s v=""/>
    <s v=""/>
    <x v="575"/>
    <s v="RE-03T-0307]CAS CLMN REAR L"/>
    <n v="106"/>
    <s v=""/>
    <x v="216"/>
    <d v="2026-10-02T00:00:00"/>
    <s v=""/>
    <s v=""/>
    <s v=""/>
    <s v=""/>
    <n v="106"/>
  </r>
  <r>
    <x v="1"/>
    <s v=""/>
    <s v=""/>
    <s v=""/>
    <s v=""/>
    <x v="576"/>
    <s v="RE-03T-0308]CAS CLMN REAR R"/>
    <n v="20"/>
    <s v=""/>
    <x v="216"/>
    <d v="2026-10-02T00:00:00"/>
    <s v=""/>
    <s v=""/>
    <s v=""/>
    <s v=""/>
    <n v="20"/>
  </r>
  <r>
    <x v="1"/>
    <s v=""/>
    <s v=""/>
    <s v=""/>
    <s v=""/>
    <x v="577"/>
    <s v="RA-9-12]SCEPH LAN"/>
    <n v="46"/>
    <s v=""/>
    <x v="217"/>
    <d v="2026-10-06T00:00:00"/>
    <s v=""/>
    <s v=""/>
    <s v=""/>
    <s v=""/>
    <n v="46"/>
  </r>
  <r>
    <x v="1"/>
    <s v=""/>
    <s v=""/>
    <s v=""/>
    <s v=""/>
    <x v="11"/>
    <s v="RA-5-2_2]EARTH CEPH"/>
    <n v="91"/>
    <s v=""/>
    <x v="9"/>
    <d v="2026-10-06T00:00:00"/>
    <s v=""/>
    <s v=""/>
    <s v=""/>
    <s v=""/>
    <n v="91"/>
  </r>
  <r>
    <x v="1"/>
    <s v=""/>
    <s v=""/>
    <s v=""/>
    <s v=""/>
    <x v="578"/>
    <s v="RA-08M-0708]RING EARLOD"/>
    <n v="562"/>
    <s v=""/>
    <x v="138"/>
    <d v="2026-10-06T00:00:00"/>
    <s v=""/>
    <s v=""/>
    <s v=""/>
    <s v=""/>
    <n v="562"/>
  </r>
  <r>
    <x v="1"/>
    <s v=""/>
    <s v=""/>
    <s v=""/>
    <s v=""/>
    <x v="579"/>
    <s v="RA-08M-0707]CAP EARLOD"/>
    <n v="678"/>
    <s v=""/>
    <x v="138"/>
    <d v="2026-10-06T00:00:00"/>
    <s v=""/>
    <s v=""/>
    <s v=""/>
    <s v=""/>
    <n v="678"/>
  </r>
  <r>
    <x v="1"/>
    <s v=""/>
    <s v=""/>
    <s v=""/>
    <s v=""/>
    <x v="580"/>
    <s v="RA-08T-1466]CAS CEPH EAR-ROD"/>
    <n v="265"/>
    <s v=""/>
    <x v="27"/>
    <d v="2026-10-06T00:00:00"/>
    <s v=""/>
    <s v=""/>
    <s v=""/>
    <s v=""/>
    <n v="265"/>
  </r>
  <r>
    <x v="1"/>
    <s v=""/>
    <s v=""/>
    <s v=""/>
    <s v=""/>
    <x v="581"/>
    <s v="RE-04T-0413]CAS CHINREST Bas"/>
    <n v="14"/>
    <s v=""/>
    <x v="218"/>
    <d v="2026-10-07T00:00:00"/>
    <s v=""/>
    <s v=""/>
    <s v=""/>
    <s v=""/>
    <n v="14"/>
  </r>
  <r>
    <x v="0"/>
    <s v=""/>
    <s v="입고"/>
    <s v="A&amp;T"/>
    <s v="장동은"/>
    <x v="44"/>
    <s v="RE-04A-1040]ASM ARM MODULE"/>
    <n v="1"/>
    <s v=""/>
    <x v="13"/>
    <d v="2026-10-06T00:00:00"/>
    <s v=""/>
    <n v="103216"/>
    <n v="1"/>
    <d v="2026-10-07T00:00:00"/>
    <n v="0"/>
  </r>
  <r>
    <x v="0"/>
    <s v=""/>
    <s v="입고"/>
    <s v="A&amp;T"/>
    <s v="장동은"/>
    <x v="44"/>
    <s v="RE-04A-1040]ASM ARM MODULE"/>
    <n v="3"/>
    <s v=""/>
    <x v="13"/>
    <d v="2026-09-30T00:00:00"/>
    <s v=""/>
    <n v="103216"/>
    <n v="3"/>
    <d v="2026-10-07T00:00:00"/>
    <n v="0"/>
  </r>
  <r>
    <x v="0"/>
    <s v=""/>
    <s v="입고"/>
    <s v="A&amp;T"/>
    <s v="장동은"/>
    <x v="44"/>
    <s v="RE-04A-1040]ASM ARM MODULE"/>
    <n v="21"/>
    <s v=""/>
    <x v="13"/>
    <d v="2026-10-07T00:00:00"/>
    <s v=""/>
    <n v="103216"/>
    <n v="21"/>
    <d v="2026-10-07T00:00:00"/>
    <n v="0"/>
  </r>
  <r>
    <x v="0"/>
    <s v=""/>
    <s v="입고"/>
    <s v="A&amp;T"/>
    <s v="장동은"/>
    <x v="17"/>
    <s v="RE-03A-1030]ASM COLUMN MODULE"/>
    <n v="18"/>
    <s v=""/>
    <x v="13"/>
    <d v="2026-09-30T00:00:00"/>
    <s v=""/>
    <n v="103216"/>
    <n v="18"/>
    <d v="2026-10-07T00:00:00"/>
    <n v="0"/>
  </r>
  <r>
    <x v="0"/>
    <s v=""/>
    <s v=""/>
    <s v=""/>
    <s v=""/>
    <x v="581"/>
    <s v="RE-04T-0413]CAS CHINREST Bas"/>
    <n v="54"/>
    <s v=""/>
    <x v="218"/>
    <d v="2026-09-23T00:00:00"/>
    <s v=""/>
    <n v="103216"/>
    <n v="40"/>
    <d v="2026-10-07T00:00:00"/>
    <n v="14"/>
  </r>
  <r>
    <x v="0"/>
    <s v=""/>
    <s v=""/>
    <s v=""/>
    <s v=""/>
    <x v="114"/>
    <s v="RF-01T-0172]ARM CVR REAR L"/>
    <n v="49"/>
    <s v=""/>
    <x v="78"/>
    <d v="2026-07-21T00:00:00"/>
    <s v=""/>
    <n v="69253"/>
    <n v="2"/>
    <d v="2026-07-24T00:00:00"/>
    <n v="47"/>
  </r>
  <r>
    <x v="0"/>
    <s v=""/>
    <s v=""/>
    <s v=""/>
    <s v=""/>
    <x v="582"/>
    <s v="RF-01T-0199]CVR REAR TOP"/>
    <n v="73"/>
    <s v=""/>
    <x v="219"/>
    <d v="2026-07-21T00:00:00"/>
    <s v=""/>
    <n v="69253"/>
    <n v="2"/>
    <d v="2026-07-24T00:00:00"/>
    <n v="71"/>
  </r>
  <r>
    <x v="0"/>
    <s v=""/>
    <s v=""/>
    <s v=""/>
    <s v=""/>
    <x v="180"/>
    <s v="RF-01T-0190]CVR FRONT"/>
    <n v="91"/>
    <s v=""/>
    <x v="103"/>
    <d v="2026-07-21T00:00:00"/>
    <s v=""/>
    <n v="69253"/>
    <n v="2"/>
    <d v="2026-07-24T00:00:00"/>
    <n v="89"/>
  </r>
  <r>
    <x v="0"/>
    <s v=""/>
    <s v=""/>
    <s v=""/>
    <s v=""/>
    <x v="87"/>
    <s v="RF-01T-0210]CVR FRONT MID L"/>
    <n v="109"/>
    <s v=""/>
    <x v="35"/>
    <d v="2026-07-22T00:00:00"/>
    <s v=""/>
    <n v="69253"/>
    <n v="2"/>
    <d v="2026-07-24T00:00:00"/>
    <n v="107"/>
  </r>
  <r>
    <x v="0"/>
    <s v=""/>
    <s v=""/>
    <s v=""/>
    <s v=""/>
    <x v="43"/>
    <s v="RF-01T-0255]CVR FRONT MID R"/>
    <n v="159"/>
    <s v=""/>
    <x v="35"/>
    <d v="2026-07-21T00:00:00"/>
    <s v=""/>
    <n v="69253"/>
    <n v="2"/>
    <d v="2026-07-24T00:00:00"/>
    <n v="157"/>
  </r>
  <r>
    <x v="0"/>
    <s v=""/>
    <s v=""/>
    <s v=""/>
    <s v=""/>
    <x v="125"/>
    <s v="RF-01T-0196]CVR REAR"/>
    <n v="231"/>
    <s v=""/>
    <x v="80"/>
    <d v="2026-07-30T00:00:00"/>
    <s v=""/>
    <n v="69253"/>
    <n v="2"/>
    <d v="2026-07-24T00:00:00"/>
    <n v="229"/>
  </r>
  <r>
    <x v="0"/>
    <s v=""/>
    <s v=""/>
    <s v=""/>
    <s v=""/>
    <x v="87"/>
    <s v="RF-01T-0210]CVR FRONT MID L"/>
    <n v="107"/>
    <s v=""/>
    <x v="35"/>
    <d v="2026-07-24T00:00:00"/>
    <s v=""/>
    <n v="71394"/>
    <n v="41"/>
    <d v="2026-07-24T00:00:00"/>
    <n v="66"/>
  </r>
  <r>
    <x v="0"/>
    <s v=""/>
    <s v="입고"/>
    <s v=""/>
    <s v=""/>
    <x v="274"/>
    <s v="RF-01H-5056]LED PWM harness"/>
    <n v="16"/>
    <s v=""/>
    <x v="53"/>
    <d v="2026-07-24T00:00:00"/>
    <s v=""/>
    <n v="73781"/>
    <n v="10"/>
    <d v="2026-07-27T00:00:00"/>
    <n v="6"/>
  </r>
  <r>
    <x v="0"/>
    <s v=""/>
    <s v="입고"/>
    <s v=""/>
    <s v=""/>
    <x v="274"/>
    <s v="RF-01H-5056]LED PWM harness"/>
    <n v="16"/>
    <s v=""/>
    <x v="53"/>
    <d v="2026-07-24T00:00:00"/>
    <s v=""/>
    <n v="73781"/>
    <n v="10"/>
    <d v="2026-07-27T00:00:00"/>
    <n v="6"/>
  </r>
  <r>
    <x v="0"/>
    <s v=""/>
    <s v="입고"/>
    <s v=""/>
    <s v=""/>
    <x v="308"/>
    <s v="RF-01S-5072]USB 3.0 A to B Cable"/>
    <n v="100"/>
    <s v=""/>
    <x v="60"/>
    <d v="2026-07-29T00:00:00"/>
    <s v=""/>
    <n v="73781"/>
    <n v="33"/>
    <d v="2026-07-29T00:00:00"/>
    <n v="67"/>
  </r>
  <r>
    <x v="0"/>
    <s v=""/>
    <s v=""/>
    <s v=""/>
    <s v=""/>
    <x v="222"/>
    <s v="RF-01T-0173]ARM CVR REAR DECO"/>
    <n v="140"/>
    <s v=""/>
    <x v="119"/>
    <d v="2026-07-23T00:00:00"/>
    <s v=""/>
    <n v="73781"/>
    <n v="89"/>
    <d v="2026-07-22T00:00:00"/>
    <n v="51"/>
  </r>
  <r>
    <x v="0"/>
    <s v=""/>
    <s v=""/>
    <s v=""/>
    <s v=""/>
    <x v="87"/>
    <s v="RF-01T-0210]CVR FRONT MID L"/>
    <n v="159"/>
    <s v=""/>
    <x v="35"/>
    <d v="2026-07-21T00:00:00"/>
    <s v=""/>
    <n v="73781"/>
    <n v="50"/>
    <d v="2026-07-22T00:00:00"/>
    <n v="109"/>
  </r>
  <r>
    <x v="0"/>
    <s v=""/>
    <s v=""/>
    <s v=""/>
    <s v=""/>
    <x v="120"/>
    <s v="RF-01T-0241]CAL Bas UPPER"/>
    <n v="244"/>
    <s v=""/>
    <x v="32"/>
    <d v="2026-07-21T00:00:00"/>
    <s v=""/>
    <n v="73781"/>
    <n v="43"/>
    <d v="2026-07-22T00:00:00"/>
    <n v="201"/>
  </r>
  <r>
    <x v="0"/>
    <s v=""/>
    <s v="입고"/>
    <s v=""/>
    <s v=""/>
    <x v="125"/>
    <s v="RF-01T-0196]CVR REAR"/>
    <n v="288"/>
    <s v=""/>
    <x v="80"/>
    <d v="2026-07-30T00:00:00"/>
    <s v=""/>
    <n v="73781"/>
    <n v="7"/>
    <d v="2026-07-30T00:00:00"/>
    <n v="281"/>
  </r>
  <r>
    <x v="0"/>
    <s v=""/>
    <s v="입고"/>
    <s v=""/>
    <s v=""/>
    <x v="125"/>
    <s v="RF-01T-0196]CVR REAR"/>
    <n v="288"/>
    <s v=""/>
    <x v="80"/>
    <d v="2026-07-30T00:00:00"/>
    <s v=""/>
    <n v="73781"/>
    <n v="7"/>
    <d v="2026-07-30T00:00:00"/>
    <n v="281"/>
  </r>
  <r>
    <x v="0"/>
    <s v=""/>
    <s v="입고"/>
    <s v=""/>
    <s v=""/>
    <x v="175"/>
    <s v="RF-01T-0164]LED TOUCH INDIGATOR"/>
    <n v="300"/>
    <s v=""/>
    <x v="101"/>
    <d v="2026-07-23T00:00:00"/>
    <s v=""/>
    <n v="73781"/>
    <n v="8"/>
    <d v="2026-07-24T00:00:00"/>
    <n v="292"/>
  </r>
  <r>
    <x v="0"/>
    <s v=""/>
    <s v=""/>
    <s v=""/>
    <s v=""/>
    <x v="204"/>
    <s v="RF-01S-5084]CAM Trigger_C harness"/>
    <n v="48"/>
    <s v=""/>
    <x v="112"/>
    <d v="2026-07-21T00:00:00"/>
    <s v=""/>
    <n v="74131"/>
    <n v="2"/>
    <d v="2026-07-27T00:00:00"/>
    <n v="46"/>
  </r>
  <r>
    <x v="0"/>
    <s v=""/>
    <s v=""/>
    <s v=""/>
    <s v=""/>
    <x v="58"/>
    <s v="RF-01S-5087]CAM Cable_Face"/>
    <n v="108"/>
    <s v=""/>
    <x v="45"/>
    <d v="2026-07-21T00:00:00"/>
    <s v=""/>
    <n v="74131"/>
    <n v="2"/>
    <d v="2026-07-27T00:00:00"/>
    <n v="106"/>
  </r>
  <r>
    <x v="0"/>
    <s v=""/>
    <s v="입고"/>
    <s v="하이크로봇"/>
    <s v="장동은"/>
    <x v="133"/>
    <s v=""/>
    <n v="50"/>
    <s v=""/>
    <x v="66"/>
    <d v="2026-08-31T00:00:00"/>
    <s v=""/>
    <n v="76974"/>
    <n v="3"/>
    <d v="2026-09-03T00:00:00"/>
    <n v="47"/>
  </r>
  <r>
    <x v="0"/>
    <s v=""/>
    <s v=""/>
    <s v=""/>
    <s v=""/>
    <x v="125"/>
    <s v="RF-01T-0196]CVR REAR"/>
    <n v="225"/>
    <s v=""/>
    <x v="80"/>
    <d v="2026-09-03T00:00:00"/>
    <s v=""/>
    <n v="76974"/>
    <n v="1"/>
    <d v="2026-09-03T00:00:00"/>
    <n v="224"/>
  </r>
  <r>
    <x v="0"/>
    <s v=""/>
    <s v=""/>
    <s v=""/>
    <s v=""/>
    <x v="577"/>
    <s v="RA-9-12]SCEPH LAN"/>
    <n v="80"/>
    <s v=""/>
    <x v="217"/>
    <d v="2026-08-27T00:00:00"/>
    <s v=""/>
    <n v="80923"/>
    <n v="2"/>
    <d v="2026-08-27T00:00:00"/>
    <n v="78"/>
  </r>
  <r>
    <x v="0"/>
    <s v=""/>
    <s v=""/>
    <s v=""/>
    <s v=""/>
    <x v="428"/>
    <s v="RA-05A-6004]Bd ASSY'-Aux MCU"/>
    <n v="279"/>
    <s v=""/>
    <x v="182"/>
    <d v="2026-08-20T00:00:00"/>
    <s v=""/>
    <n v="80923"/>
    <n v="1"/>
    <d v="2026-08-27T00:00:00"/>
    <n v="278"/>
  </r>
  <r>
    <x v="0"/>
    <s v=""/>
    <s v="기초"/>
    <s v=""/>
    <s v=""/>
    <x v="175"/>
    <s v="RF-01T-0164]LED TOUCH INDIGATOR"/>
    <n v="0"/>
    <s v=""/>
    <x v="101"/>
    <d v="2026-07-21T00:00:00"/>
    <s v=""/>
    <n v="84393"/>
    <n v="0"/>
    <d v="2026-07-21T00:00:00"/>
    <n v="0"/>
  </r>
  <r>
    <x v="0"/>
    <s v=""/>
    <s v="기초"/>
    <s v=""/>
    <s v=""/>
    <x v="308"/>
    <s v="RF-01S-5072]USB 3.0 A to B Cable"/>
    <n v="0"/>
    <s v=""/>
    <x v="60"/>
    <d v="2026-07-21T00:00:00"/>
    <s v=""/>
    <n v="84393"/>
    <n v="0"/>
    <d v="2026-07-21T00:00:00"/>
    <n v="0"/>
  </r>
  <r>
    <x v="0"/>
    <s v=""/>
    <s v="기초"/>
    <s v=""/>
    <s v=""/>
    <x v="67"/>
    <s v="RF-01B-5073]DMD FPC Cable"/>
    <n v="0"/>
    <s v=""/>
    <x v="52"/>
    <d v="2026-07-21T00:00:00"/>
    <s v=""/>
    <n v="84393"/>
    <n v="0"/>
    <d v="2026-07-21T00:00:00"/>
    <n v="0"/>
  </r>
  <r>
    <x v="0"/>
    <s v=""/>
    <s v="기초"/>
    <s v=""/>
    <s v=""/>
    <x v="274"/>
    <s v="RF-01H-5056]LED PWM harness"/>
    <n v="0"/>
    <s v=""/>
    <x v="53"/>
    <d v="2026-07-21T00:00:00"/>
    <s v=""/>
    <n v="84393"/>
    <n v="0"/>
    <d v="2026-07-21T00:00:00"/>
    <n v="0"/>
  </r>
  <r>
    <x v="0"/>
    <s v=""/>
    <s v="기초"/>
    <s v=""/>
    <s v=""/>
    <x v="125"/>
    <s v="RF-01T-0196]CVR REAR"/>
    <n v="0"/>
    <s v=""/>
    <x v="80"/>
    <d v="2026-07-21T00:00:00"/>
    <s v=""/>
    <n v="84393"/>
    <n v="0"/>
    <d v="2026-07-21T00:00:00"/>
    <n v="0"/>
  </r>
  <r>
    <x v="0"/>
    <s v=""/>
    <s v="기초"/>
    <s v=""/>
    <s v=""/>
    <x v="171"/>
    <s v=""/>
    <n v="1"/>
    <s v=""/>
    <x v="99"/>
    <d v="2026-07-21T00:00:00"/>
    <s v=""/>
    <n v="84393"/>
    <n v="1"/>
    <d v="2026-07-21T00:00:00"/>
    <n v="0"/>
  </r>
  <r>
    <x v="0"/>
    <s v=""/>
    <s v="기초"/>
    <s v=""/>
    <s v=""/>
    <x v="75"/>
    <s v="RF-20A-0280]MODULE DLP MCU BRACKET"/>
    <n v="1"/>
    <s v=""/>
    <x v="54"/>
    <d v="2026-07-21T00:00:00"/>
    <s v=""/>
    <n v="84393"/>
    <n v="1"/>
    <d v="2026-07-21T00:00:00"/>
    <n v="0"/>
  </r>
  <r>
    <x v="0"/>
    <s v=""/>
    <s v=""/>
    <s v=""/>
    <s v=""/>
    <x v="71"/>
    <s v=""/>
    <n v="3"/>
    <s v=""/>
    <x v="54"/>
    <d v="2026-09-03T00:00:00"/>
    <s v=""/>
    <n v="84393"/>
    <n v="1"/>
    <d v="2026-09-03T00:00:00"/>
    <n v="2"/>
  </r>
  <r>
    <x v="0"/>
    <s v=""/>
    <s v="입고"/>
    <s v=""/>
    <s v=""/>
    <x v="73"/>
    <s v="RF-01H-5052]USB TO SBC HARNESS"/>
    <n v="7"/>
    <s v=""/>
    <x v="53"/>
    <d v="2026-07-24T00:00:00"/>
    <s v=""/>
    <n v="84393"/>
    <n v="5"/>
    <d v="2026-07-27T00:00:00"/>
    <n v="2"/>
  </r>
  <r>
    <x v="0"/>
    <s v=""/>
    <s v="입고"/>
    <s v=""/>
    <s v=""/>
    <x v="119"/>
    <s v="RF-01V-0197]JETSON BRK"/>
    <n v="8"/>
    <s v=""/>
    <x v="51"/>
    <d v="2026-07-30T00:00:00"/>
    <s v=""/>
    <n v="84393"/>
    <n v="8"/>
    <d v="2026-08-19T00:00:00"/>
    <n v="0"/>
  </r>
  <r>
    <x v="0"/>
    <s v=""/>
    <s v="입고"/>
    <s v=""/>
    <s v=""/>
    <x v="119"/>
    <s v="RF-01V-0197]JETSON BRK"/>
    <n v="10"/>
    <s v=""/>
    <x v="51"/>
    <d v="2026-07-30T00:00:00"/>
    <s v=""/>
    <n v="84393"/>
    <n v="10"/>
    <d v="2026-08-19T00:00:00"/>
    <n v="0"/>
  </r>
  <r>
    <x v="0"/>
    <s v=""/>
    <s v="입고"/>
    <s v=""/>
    <s v=""/>
    <x v="203"/>
    <s v="RF-01H-5053]USB to PC harness"/>
    <n v="11"/>
    <s v=""/>
    <x v="53"/>
    <d v="2026-07-24T00:00:00"/>
    <s v=""/>
    <n v="84393"/>
    <n v="6"/>
    <d v="2026-07-27T00:00:00"/>
    <n v="5"/>
  </r>
  <r>
    <x v="0"/>
    <s v=""/>
    <s v="입고"/>
    <s v=""/>
    <s v=""/>
    <x v="202"/>
    <s v="RF-01H-5075] USB to Cal kit harness"/>
    <n v="12"/>
    <s v=""/>
    <x v="79"/>
    <d v="2026-07-24T00:00:00"/>
    <s v=""/>
    <n v="84393"/>
    <n v="7"/>
    <d v="2026-07-27T00:00:00"/>
    <n v="5"/>
  </r>
  <r>
    <x v="0"/>
    <s v=""/>
    <s v="입고"/>
    <s v=""/>
    <s v=""/>
    <x v="69"/>
    <s v="RF-01H-5054]DLP Power harness"/>
    <n v="14"/>
    <s v=""/>
    <x v="53"/>
    <d v="2026-07-24T00:00:00"/>
    <s v=""/>
    <n v="84393"/>
    <n v="12"/>
    <d v="2026-07-27T00:00:00"/>
    <n v="2"/>
  </r>
  <r>
    <x v="0"/>
    <s v=""/>
    <s v=""/>
    <s v=""/>
    <s v=""/>
    <x v="112"/>
    <s v=""/>
    <n v="14"/>
    <s v=""/>
    <x v="77"/>
    <d v="2026-09-03T00:00:00"/>
    <s v=""/>
    <n v="84393"/>
    <n v="14"/>
    <d v="2026-09-03T00:00:00"/>
    <n v="0"/>
  </r>
  <r>
    <x v="0"/>
    <s v=""/>
    <s v="입고"/>
    <s v=""/>
    <s v=""/>
    <x v="135"/>
    <s v="RF-01H-5067]LED_Right harness"/>
    <n v="15"/>
    <s v=""/>
    <x v="64"/>
    <d v="2026-07-24T00:00:00"/>
    <s v=""/>
    <n v="84393"/>
    <n v="10"/>
    <d v="2026-07-27T00:00:00"/>
    <n v="5"/>
  </r>
  <r>
    <x v="0"/>
    <s v=""/>
    <s v="기초"/>
    <s v=""/>
    <s v=""/>
    <x v="112"/>
    <s v=""/>
    <n v="16"/>
    <s v=""/>
    <x v="77"/>
    <d v="2026-07-21T00:00:00"/>
    <s v=""/>
    <n v="84393"/>
    <n v="16"/>
    <d v="2026-07-21T00:00:00"/>
    <n v="0"/>
  </r>
  <r>
    <x v="0"/>
    <s v=""/>
    <s v="입고"/>
    <s v=""/>
    <s v=""/>
    <x v="144"/>
    <s v="RF-01H-5055]LED Power harness"/>
    <n v="18"/>
    <s v=""/>
    <x v="53"/>
    <d v="2026-07-24T00:00:00"/>
    <s v=""/>
    <n v="84393"/>
    <n v="15"/>
    <d v="2026-07-27T00:00:00"/>
    <n v="3"/>
  </r>
  <r>
    <x v="0"/>
    <s v=""/>
    <s v="기초추가"/>
    <s v=""/>
    <s v=""/>
    <x v="112"/>
    <s v=""/>
    <n v="21"/>
    <s v=""/>
    <x v="77"/>
    <d v="2026-09-03T00:00:00"/>
    <s v=""/>
    <n v="84393"/>
    <n v="21"/>
    <d v="2026-09-03T00:00:00"/>
    <n v="0"/>
  </r>
  <r>
    <x v="0"/>
    <s v=""/>
    <s v="기초"/>
    <s v=""/>
    <s v=""/>
    <x v="119"/>
    <s v="RF-01V-0197]JETSON BRK"/>
    <n v="31"/>
    <s v=""/>
    <x v="51"/>
    <d v="2026-07-21T00:00:00"/>
    <s v=""/>
    <n v="84393"/>
    <n v="31"/>
    <d v="2026-07-21T00:00:00"/>
    <n v="0"/>
  </r>
  <r>
    <x v="0"/>
    <s v=""/>
    <s v="기초"/>
    <s v=""/>
    <s v=""/>
    <x v="117"/>
    <s v="RF-01H-5070]Power Switch harness"/>
    <n v="33"/>
    <s v=""/>
    <x v="79"/>
    <d v="2026-07-21T00:00:00"/>
    <s v=""/>
    <n v="84393"/>
    <n v="33"/>
    <d v="2026-07-21T00:00:00"/>
    <n v="0"/>
  </r>
  <r>
    <x v="0"/>
    <s v=""/>
    <s v="기초"/>
    <s v=""/>
    <s v=""/>
    <x v="144"/>
    <s v="RF-01H-5055]LED Power harness"/>
    <n v="35"/>
    <s v=""/>
    <x v="53"/>
    <d v="2026-07-21T00:00:00"/>
    <s v=""/>
    <n v="84393"/>
    <n v="35"/>
    <d v="2026-07-21T00:00:00"/>
    <n v="0"/>
  </r>
  <r>
    <x v="0"/>
    <s v=""/>
    <s v="입고"/>
    <s v=""/>
    <s v=""/>
    <x v="171"/>
    <s v=""/>
    <n v="36"/>
    <s v=""/>
    <x v="99"/>
    <d v="2026-08-03T00:00:00"/>
    <s v=""/>
    <n v="84393"/>
    <n v="33"/>
    <d v="2026-08-19T00:00:00"/>
    <n v="3"/>
  </r>
  <r>
    <x v="0"/>
    <s v=""/>
    <s v="기초"/>
    <s v=""/>
    <s v=""/>
    <x v="69"/>
    <s v="RF-01H-5054]DLP Power harness"/>
    <n v="38"/>
    <s v=""/>
    <x v="53"/>
    <d v="2026-07-21T00:00:00"/>
    <s v=""/>
    <n v="84393"/>
    <n v="38"/>
    <d v="2026-07-21T00:00:00"/>
    <n v="0"/>
  </r>
  <r>
    <x v="0"/>
    <s v=""/>
    <s v="기초"/>
    <s v=""/>
    <s v=""/>
    <x v="135"/>
    <s v="RF-01H-5067]LED_Right harness"/>
    <n v="40"/>
    <s v=""/>
    <x v="64"/>
    <d v="2026-07-21T00:00:00"/>
    <s v=""/>
    <n v="84393"/>
    <n v="40"/>
    <d v="2026-07-21T00:00:00"/>
    <n v="0"/>
  </r>
  <r>
    <x v="0"/>
    <s v=""/>
    <s v="기초"/>
    <s v=""/>
    <s v=""/>
    <x v="83"/>
    <s v="RF-01H-5065]Main Power harness"/>
    <n v="42"/>
    <s v=""/>
    <x v="64"/>
    <d v="2026-07-21T00:00:00"/>
    <s v=""/>
    <n v="84393"/>
    <n v="42"/>
    <d v="2026-07-21T00:00:00"/>
    <n v="0"/>
  </r>
  <r>
    <x v="0"/>
    <s v=""/>
    <s v="기초"/>
    <s v=""/>
    <s v=""/>
    <x v="426"/>
    <s v="RF-01S-0251]CAL Mgnet"/>
    <n v="43"/>
    <s v=""/>
    <x v="82"/>
    <d v="2026-07-21T00:00:00"/>
    <s v=""/>
    <n v="84393"/>
    <n v="43"/>
    <d v="2026-07-21T00:00:00"/>
    <n v="0"/>
  </r>
  <r>
    <x v="0"/>
    <s v=""/>
    <s v="기초"/>
    <s v=""/>
    <s v=""/>
    <x v="202"/>
    <s v="RF-01H-5075] USB to Cal kit harness"/>
    <n v="43"/>
    <s v=""/>
    <x v="79"/>
    <d v="2026-07-21T00:00:00"/>
    <s v=""/>
    <n v="84393"/>
    <n v="43"/>
    <d v="2026-07-21T00:00:00"/>
    <n v="0"/>
  </r>
  <r>
    <x v="0"/>
    <s v=""/>
    <s v="기초"/>
    <s v=""/>
    <s v=""/>
    <x v="203"/>
    <s v="RF-01H-5053]USB to PC harness"/>
    <n v="44"/>
    <s v=""/>
    <x v="53"/>
    <d v="2026-07-21T00:00:00"/>
    <s v=""/>
    <n v="84393"/>
    <n v="44"/>
    <d v="2026-07-21T00:00:00"/>
    <n v="0"/>
  </r>
  <r>
    <x v="0"/>
    <s v=""/>
    <s v="기초"/>
    <s v=""/>
    <s v=""/>
    <x v="73"/>
    <s v="RF-01H-5052]USB TO SBC HARNESS"/>
    <n v="45"/>
    <s v=""/>
    <x v="53"/>
    <d v="2026-07-21T00:00:00"/>
    <s v=""/>
    <n v="84393"/>
    <n v="45"/>
    <d v="2026-07-21T00:00:00"/>
    <n v="0"/>
  </r>
  <r>
    <x v="0"/>
    <s v=""/>
    <s v="기초"/>
    <s v=""/>
    <s v=""/>
    <x v="86"/>
    <s v=""/>
    <n v="49"/>
    <s v=""/>
    <x v="45"/>
    <d v="2026-07-21T00:00:00"/>
    <s v=""/>
    <n v="84393"/>
    <n v="49"/>
    <d v="2026-07-21T00:00:00"/>
    <n v="0"/>
  </r>
  <r>
    <x v="0"/>
    <s v=""/>
    <s v=""/>
    <s v=""/>
    <s v=""/>
    <x v="92"/>
    <s v="RF-01M-0268]TEETH CAM BLK_HR"/>
    <n v="50"/>
    <s v=""/>
    <x v="69"/>
    <d v="2026-07-21T00:00:00"/>
    <s v=""/>
    <n v="84393"/>
    <n v="50"/>
    <d v="2026-07-23T00:00:00"/>
    <n v="0"/>
  </r>
  <r>
    <x v="0"/>
    <s v=""/>
    <s v="기초"/>
    <s v=""/>
    <s v=""/>
    <x v="133"/>
    <s v=""/>
    <n v="50"/>
    <s v=""/>
    <x v="66"/>
    <d v="2026-07-23T00:00:00"/>
    <s v=""/>
    <n v="84393"/>
    <n v="50"/>
    <d v="2026-07-23T00:00:00"/>
    <n v="0"/>
  </r>
  <r>
    <x v="0"/>
    <s v=""/>
    <s v="입고"/>
    <s v="하이크로봇"/>
    <s v="장동은"/>
    <x v="86"/>
    <s v=""/>
    <n v="50"/>
    <s v=""/>
    <x v="45"/>
    <d v="2026-08-31T00:00:00"/>
    <s v=""/>
    <n v="84393"/>
    <n v="1"/>
    <d v="2026-09-03T00:00:00"/>
    <n v="49"/>
  </r>
  <r>
    <x v="0"/>
    <s v=""/>
    <s v="기초추가"/>
    <s v=""/>
    <s v=""/>
    <x v="67"/>
    <s v="RF-01B-5073]DMD FPC Cable"/>
    <n v="51"/>
    <s v=""/>
    <x v="52"/>
    <d v="2026-07-23T00:00:00"/>
    <s v=""/>
    <n v="84393"/>
    <n v="50"/>
    <d v="2026-07-23T00:00:00"/>
    <n v="1"/>
  </r>
  <r>
    <x v="0"/>
    <s v=""/>
    <s v="기초"/>
    <s v=""/>
    <s v=""/>
    <x v="101"/>
    <s v="RF-01H-5069]LED_Bottom harness"/>
    <n v="53"/>
    <s v=""/>
    <x v="64"/>
    <d v="2026-07-21T00:00:00"/>
    <s v=""/>
    <n v="84393"/>
    <n v="50"/>
    <d v="2026-07-21T00:00:00"/>
    <n v="3"/>
  </r>
  <r>
    <x v="0"/>
    <s v=""/>
    <s v="기초"/>
    <s v=""/>
    <s v=""/>
    <x v="164"/>
    <s v="RF-01T-0354]CAMERA CASE L"/>
    <n v="54"/>
    <s v=""/>
    <x v="59"/>
    <d v="2026-07-21T00:00:00"/>
    <s v=""/>
    <n v="84393"/>
    <n v="50"/>
    <d v="2026-07-21T00:00:00"/>
    <n v="4"/>
  </r>
  <r>
    <x v="0"/>
    <s v=""/>
    <s v="기초"/>
    <s v=""/>
    <s v=""/>
    <x v="59"/>
    <s v="RF-01B-5040]MAIN Bd"/>
    <n v="56"/>
    <s v=""/>
    <x v="46"/>
    <d v="2026-07-21T00:00:00"/>
    <s v=""/>
    <n v="84393"/>
    <n v="50"/>
    <d v="2026-07-21T00:00:00"/>
    <n v="6"/>
  </r>
  <r>
    <x v="0"/>
    <s v=""/>
    <s v="기초"/>
    <s v=""/>
    <s v=""/>
    <x v="188"/>
    <s v="RF-01H-5071]SBC LAN Cable"/>
    <n v="58"/>
    <s v=""/>
    <x v="79"/>
    <d v="2026-07-21T00:00:00"/>
    <s v=""/>
    <n v="84393"/>
    <n v="50"/>
    <d v="2026-07-21T00:00:00"/>
    <n v="8"/>
  </r>
  <r>
    <x v="0"/>
    <s v=""/>
    <s v=""/>
    <s v=""/>
    <s v=""/>
    <x v="171"/>
    <s v=""/>
    <n v="58"/>
    <s v=""/>
    <x v="99"/>
    <d v="2026-09-03T00:00:00"/>
    <s v=""/>
    <n v="84393"/>
    <n v="16"/>
    <d v="2026-09-03T00:00:00"/>
    <n v="42"/>
  </r>
  <r>
    <x v="0"/>
    <s v=""/>
    <s v="기초"/>
    <s v=""/>
    <s v=""/>
    <x v="76"/>
    <s v="RF-10A-2086]ASM JETSON NANO"/>
    <n v="59"/>
    <s v=""/>
    <x v="57"/>
    <d v="2026-07-21T00:00:00"/>
    <s v=""/>
    <n v="84393"/>
    <n v="50"/>
    <d v="2026-07-21T00:00:00"/>
    <n v="9"/>
  </r>
  <r>
    <x v="0"/>
    <s v=""/>
    <s v="기초"/>
    <s v=""/>
    <s v=""/>
    <x v="282"/>
    <s v="RP-01H-5009]Lan cable"/>
    <n v="59"/>
    <s v=""/>
    <x v="60"/>
    <d v="2026-07-21T00:00:00"/>
    <s v=""/>
    <n v="84393"/>
    <n v="59"/>
    <d v="2026-07-21T00:00:00"/>
    <n v="0"/>
  </r>
  <r>
    <x v="0"/>
    <s v=""/>
    <s v=""/>
    <s v=""/>
    <s v=""/>
    <x v="71"/>
    <s v=""/>
    <n v="59"/>
    <s v=""/>
    <x v="54"/>
    <d v="2026-07-21T00:00:00"/>
    <s v=""/>
    <n v="84393"/>
    <n v="59"/>
    <d v="2026-07-23T00:00:00"/>
    <n v="0"/>
  </r>
  <r>
    <x v="0"/>
    <s v=""/>
    <s v="기초"/>
    <s v=""/>
    <s v=""/>
    <x v="124"/>
    <s v=""/>
    <n v="60"/>
    <s v=""/>
    <x v="66"/>
    <d v="2026-07-21T00:00:00"/>
    <s v=""/>
    <n v="84393"/>
    <n v="50"/>
    <d v="2026-07-21T00:00:00"/>
    <n v="10"/>
  </r>
  <r>
    <x v="0"/>
    <s v=""/>
    <s v="기초"/>
    <s v=""/>
    <s v=""/>
    <x v="78"/>
    <s v="RF-01T-0355]CAMERA CASE R"/>
    <n v="63"/>
    <s v=""/>
    <x v="59"/>
    <d v="2026-07-21T00:00:00"/>
    <s v=""/>
    <n v="84393"/>
    <n v="50"/>
    <d v="2026-07-21T00:00:00"/>
    <n v="13"/>
  </r>
  <r>
    <x v="0"/>
    <s v=""/>
    <s v=""/>
    <s v=""/>
    <s v=""/>
    <x v="99"/>
    <s v="RF-01T-0353]WINDOW LED"/>
    <n v="75"/>
    <s v=""/>
    <x v="59"/>
    <d v="2026-07-21T00:00:00"/>
    <s v=""/>
    <n v="84393"/>
    <n v="50"/>
    <d v="2026-07-23T00:00:00"/>
    <n v="25"/>
  </r>
  <r>
    <x v="0"/>
    <s v=""/>
    <s v="기초"/>
    <s v=""/>
    <s v=""/>
    <x v="212"/>
    <s v="RF-01S-5046]DLP ENGINE"/>
    <n v="76"/>
    <s v=""/>
    <x v="115"/>
    <d v="2026-07-21T00:00:00"/>
    <s v=""/>
    <n v="84393"/>
    <n v="50"/>
    <d v="2026-07-21T00:00:00"/>
    <n v="26"/>
  </r>
  <r>
    <x v="0"/>
    <s v=""/>
    <s v="기초"/>
    <s v=""/>
    <s v=""/>
    <x v="419"/>
    <s v="RF-01T-0171]ARM CVR REAR R"/>
    <n v="83"/>
    <s v=""/>
    <x v="179"/>
    <d v="2026-07-21T00:00:00"/>
    <s v=""/>
    <n v="84393"/>
    <n v="50"/>
    <d v="2026-07-21T00:00:00"/>
    <n v="33"/>
  </r>
  <r>
    <x v="0"/>
    <s v=""/>
    <s v="기초"/>
    <s v=""/>
    <s v=""/>
    <x v="94"/>
    <s v="RF-01S-5049]Face Lens"/>
    <n v="90"/>
    <s v=""/>
    <x v="56"/>
    <d v="2026-07-21T00:00:00"/>
    <s v=""/>
    <n v="84393"/>
    <n v="50"/>
    <d v="2026-07-21T00:00:00"/>
    <n v="40"/>
  </r>
  <r>
    <x v="0"/>
    <s v=""/>
    <s v="기초"/>
    <s v=""/>
    <s v=""/>
    <x v="423"/>
    <s v="RF-01T-0160_C]Bas BOT LWR"/>
    <n v="95"/>
    <s v=""/>
    <x v="180"/>
    <d v="2026-07-21T00:00:00"/>
    <s v=""/>
    <n v="84393"/>
    <n v="50"/>
    <d v="2026-07-21T00:00:00"/>
    <n v="45"/>
  </r>
  <r>
    <x v="0"/>
    <s v=""/>
    <s v="기초"/>
    <s v=""/>
    <s v=""/>
    <x v="139"/>
    <s v="MODULE ARM RIGHT"/>
    <n v="95"/>
    <s v=""/>
    <x v="77"/>
    <d v="2026-07-21T00:00:00"/>
    <s v=""/>
    <n v="84393"/>
    <n v="50"/>
    <d v="2026-07-21T00:00:00"/>
    <n v="45"/>
  </r>
  <r>
    <x v="0"/>
    <s v=""/>
    <s v="기초"/>
    <s v=""/>
    <s v=""/>
    <x v="102"/>
    <s v="RF-01H-5068]LED_Left harness"/>
    <n v="95"/>
    <s v=""/>
    <x v="64"/>
    <d v="2026-07-21T00:00:00"/>
    <s v=""/>
    <n v="84393"/>
    <n v="50"/>
    <d v="2026-07-21T00:00:00"/>
    <n v="45"/>
  </r>
  <r>
    <x v="0"/>
    <s v=""/>
    <s v="기초"/>
    <s v=""/>
    <s v=""/>
    <x v="207"/>
    <s v="RF-01S-5093]CAM Cable_TEETH_R"/>
    <n v="95"/>
    <s v=""/>
    <x v="66"/>
    <d v="2026-07-21T00:00:00"/>
    <s v=""/>
    <n v="84393"/>
    <n v="50"/>
    <d v="2026-07-21T00:00:00"/>
    <n v="45"/>
  </r>
  <r>
    <x v="0"/>
    <s v=""/>
    <s v="기초"/>
    <s v=""/>
    <s v=""/>
    <x v="204"/>
    <s v="RF-01S-5084]CAM Trigger_C harness"/>
    <n v="98"/>
    <s v=""/>
    <x v="112"/>
    <d v="2026-07-21T00:00:00"/>
    <s v=""/>
    <n v="84393"/>
    <n v="50"/>
    <d v="2026-07-21T00:00:00"/>
    <n v="48"/>
  </r>
  <r>
    <x v="0"/>
    <s v=""/>
    <s v="기초"/>
    <s v=""/>
    <s v=""/>
    <x v="50"/>
    <s v="RF-01M-0396]FRAME PIPE ALIGN"/>
    <n v="99"/>
    <s v=""/>
    <x v="28"/>
    <d v="2026-07-21T00:00:00"/>
    <s v=""/>
    <n v="84393"/>
    <n v="50"/>
    <d v="2026-07-21T00:00:00"/>
    <n v="49"/>
  </r>
  <r>
    <x v="0"/>
    <s v=""/>
    <s v="기초"/>
    <s v=""/>
    <s v=""/>
    <x v="114"/>
    <s v="RF-01T-0172]ARM CVR REAR L"/>
    <n v="99"/>
    <s v=""/>
    <x v="78"/>
    <d v="2026-07-21T00:00:00"/>
    <s v=""/>
    <n v="84393"/>
    <n v="50"/>
    <d v="2026-07-21T00:00:00"/>
    <n v="49"/>
  </r>
  <r>
    <x v="0"/>
    <s v=""/>
    <s v="기초"/>
    <s v=""/>
    <s v=""/>
    <x v="91"/>
    <s v="RF-01V-0293]BRK USB HLDR"/>
    <n v="100"/>
    <s v=""/>
    <x v="34"/>
    <d v="2026-07-21T00:00:00"/>
    <s v=""/>
    <n v="84393"/>
    <n v="100"/>
    <d v="2026-07-21T00:00:00"/>
    <n v="0"/>
  </r>
  <r>
    <x v="0"/>
    <s v=""/>
    <s v="기초"/>
    <s v=""/>
    <s v=""/>
    <x v="155"/>
    <s v=""/>
    <n v="100"/>
    <s v=""/>
    <x v="80"/>
    <d v="2026-07-21T00:00:00"/>
    <s v=""/>
    <n v="84393"/>
    <n v="50"/>
    <d v="2026-07-21T00:00:00"/>
    <n v="50"/>
  </r>
  <r>
    <x v="0"/>
    <s v=""/>
    <s v="기초"/>
    <s v=""/>
    <s v=""/>
    <x v="92"/>
    <s v="RF-01M-0268]TEETH CAM BLK_HR"/>
    <n v="100"/>
    <s v=""/>
    <x v="69"/>
    <d v="2026-07-21T00:00:00"/>
    <s v=""/>
    <n v="84393"/>
    <n v="50"/>
    <d v="2026-07-21T00:00:00"/>
    <n v="50"/>
  </r>
  <r>
    <x v="0"/>
    <s v=""/>
    <s v="기초추가"/>
    <s v=""/>
    <s v=""/>
    <x v="75"/>
    <s v="RF-20A-0280]MODULE DLP MCU BRACKET"/>
    <n v="100"/>
    <s v=""/>
    <x v="54"/>
    <d v="2026-07-24T00:00:00"/>
    <s v=""/>
    <n v="84393"/>
    <n v="50"/>
    <d v="2026-07-24T00:00:00"/>
    <n v="50"/>
  </r>
  <r>
    <x v="0"/>
    <s v=""/>
    <s v="입고"/>
    <s v="하이크로봇"/>
    <s v="장동은"/>
    <x v="85"/>
    <s v="RF-01S-5086]TEETH CAM"/>
    <n v="100"/>
    <s v=""/>
    <x v="66"/>
    <d v="2026-08-31T00:00:00"/>
    <s v=""/>
    <n v="84393"/>
    <n v="12"/>
    <d v="2026-09-03T00:00:00"/>
    <n v="88"/>
  </r>
  <r>
    <x v="0"/>
    <s v=""/>
    <s v="기초"/>
    <s v=""/>
    <s v=""/>
    <x v="40"/>
    <s v="RF-01M-0398]COVER TOP"/>
    <n v="102"/>
    <s v=""/>
    <x v="32"/>
    <d v="2026-07-21T00:00:00"/>
    <s v=""/>
    <n v="84393"/>
    <n v="50"/>
    <d v="2026-07-21T00:00:00"/>
    <n v="52"/>
  </r>
  <r>
    <x v="0"/>
    <s v=""/>
    <s v="기초"/>
    <s v=""/>
    <s v=""/>
    <x v="42"/>
    <s v="RF-01V-0209]FRONT BRK TOP"/>
    <n v="105"/>
    <s v=""/>
    <x v="34"/>
    <d v="2026-07-21T00:00:00"/>
    <s v=""/>
    <n v="84393"/>
    <n v="50"/>
    <d v="2026-07-21T00:00:00"/>
    <n v="55"/>
  </r>
  <r>
    <x v="0"/>
    <s v=""/>
    <s v="기초"/>
    <s v=""/>
    <s v=""/>
    <x v="583"/>
    <s v="RF-01S-5090]CAM Cable_TEETH_L"/>
    <n v="106"/>
    <s v=""/>
    <x v="66"/>
    <d v="2026-07-21T00:00:00"/>
    <s v=""/>
    <n v="84393"/>
    <n v="50"/>
    <d v="2026-07-21T00:00:00"/>
    <n v="56"/>
  </r>
  <r>
    <x v="0"/>
    <s v=""/>
    <s v="기초"/>
    <s v=""/>
    <s v=""/>
    <x v="45"/>
    <s v="RF-01S-5085]FACE CAM"/>
    <n v="107"/>
    <s v=""/>
    <x v="36"/>
    <d v="2026-07-21T00:00:00"/>
    <s v=""/>
    <n v="84393"/>
    <n v="50"/>
    <d v="2026-07-21T00:00:00"/>
    <n v="57"/>
  </r>
  <r>
    <x v="0"/>
    <s v=""/>
    <s v="기초"/>
    <s v=""/>
    <s v=""/>
    <x v="71"/>
    <s v=""/>
    <n v="109"/>
    <s v=""/>
    <x v="54"/>
    <d v="2026-07-21T00:00:00"/>
    <s v=""/>
    <n v="84393"/>
    <n v="50"/>
    <d v="2026-07-21T00:00:00"/>
    <n v="59"/>
  </r>
  <r>
    <x v="0"/>
    <s v=""/>
    <s v="기초"/>
    <s v=""/>
    <s v=""/>
    <x v="127"/>
    <s v="RF-01M-0200]MIRROR PLT"/>
    <n v="110"/>
    <s v=""/>
    <x v="82"/>
    <d v="2026-07-21T00:00:00"/>
    <s v=""/>
    <n v="84393"/>
    <n v="50"/>
    <d v="2026-07-21T00:00:00"/>
    <n v="60"/>
  </r>
  <r>
    <x v="0"/>
    <s v=""/>
    <s v="기초"/>
    <s v=""/>
    <s v=""/>
    <x v="408"/>
    <s v="RF-01T-0351]WINDOW LED B"/>
    <n v="112"/>
    <s v=""/>
    <x v="59"/>
    <d v="2026-07-21T00:00:00"/>
    <s v=""/>
    <n v="84393"/>
    <n v="50"/>
    <d v="2026-07-21T00:00:00"/>
    <n v="62"/>
  </r>
  <r>
    <x v="0"/>
    <s v=""/>
    <s v="기초"/>
    <s v=""/>
    <s v=""/>
    <x v="89"/>
    <s v="RF-01T-0352]CAMERA CASE B"/>
    <n v="115"/>
    <s v=""/>
    <x v="59"/>
    <d v="2026-07-21T00:00:00"/>
    <s v=""/>
    <n v="84393"/>
    <n v="50"/>
    <d v="2026-07-21T00:00:00"/>
    <n v="65"/>
  </r>
  <r>
    <x v="0"/>
    <s v=""/>
    <s v="기초"/>
    <s v=""/>
    <s v=""/>
    <x v="582"/>
    <s v="RF-01T-0199]CVR REAR TOP"/>
    <n v="123"/>
    <s v=""/>
    <x v="219"/>
    <d v="2026-07-21T00:00:00"/>
    <s v=""/>
    <n v="84393"/>
    <n v="50"/>
    <d v="2026-07-21T00:00:00"/>
    <n v="73"/>
  </r>
  <r>
    <x v="0"/>
    <s v=""/>
    <s v=""/>
    <s v=""/>
    <s v=""/>
    <x v="327"/>
    <s v="RF-01S-5050]TEETH LENS"/>
    <n v="123"/>
    <s v=""/>
    <x v="56"/>
    <d v="2026-07-21T00:00:00"/>
    <s v=""/>
    <n v="84393"/>
    <n v="50"/>
    <d v="2026-07-23T00:00:00"/>
    <n v="73"/>
  </r>
  <r>
    <x v="0"/>
    <s v=""/>
    <s v="기초"/>
    <s v=""/>
    <s v=""/>
    <x v="99"/>
    <s v="RF-01T-0353]WINDOW LED"/>
    <n v="125"/>
    <s v=""/>
    <x v="59"/>
    <d v="2026-07-21T00:00:00"/>
    <s v=""/>
    <n v="84393"/>
    <n v="50"/>
    <d v="2026-07-21T00:00:00"/>
    <n v="75"/>
  </r>
  <r>
    <x v="0"/>
    <s v=""/>
    <s v="기초"/>
    <s v=""/>
    <s v=""/>
    <x v="180"/>
    <s v="RF-01T-0190]CVR FRONT"/>
    <n v="141"/>
    <s v=""/>
    <x v="103"/>
    <d v="2026-07-21T00:00:00"/>
    <s v=""/>
    <n v="84393"/>
    <n v="50"/>
    <d v="2026-07-21T00:00:00"/>
    <n v="91"/>
  </r>
  <r>
    <x v="0"/>
    <s v=""/>
    <s v="기초"/>
    <s v=""/>
    <s v=""/>
    <x v="49"/>
    <s v="MODULE ARM LEFT"/>
    <n v="143"/>
    <s v=""/>
    <x v="40"/>
    <d v="2026-07-21T00:00:00"/>
    <s v=""/>
    <n v="84393"/>
    <n v="50"/>
    <d v="2026-07-21T00:00:00"/>
    <n v="93"/>
  </r>
  <r>
    <x v="0"/>
    <s v=""/>
    <s v="기초"/>
    <s v=""/>
    <s v=""/>
    <x v="113"/>
    <s v="RF-01M-0395]BLOCK BASE BOTTOM"/>
    <n v="150"/>
    <s v=""/>
    <x v="32"/>
    <d v="2026-07-21T00:00:00"/>
    <s v=""/>
    <n v="84393"/>
    <n v="50"/>
    <d v="2026-07-21T00:00:00"/>
    <n v="100"/>
  </r>
  <r>
    <x v="0"/>
    <s v=""/>
    <s v="기초"/>
    <s v=""/>
    <s v=""/>
    <x v="292"/>
    <s v="RF-01B-5038] BOTTOM LED BOARD"/>
    <n v="150"/>
    <s v=""/>
    <x v="141"/>
    <d v="2026-07-21T00:00:00"/>
    <s v=""/>
    <n v="84393"/>
    <n v="50"/>
    <d v="2026-07-21T00:00:00"/>
    <n v="100"/>
  </r>
  <r>
    <x v="0"/>
    <s v=""/>
    <s v="기초"/>
    <s v=""/>
    <s v=""/>
    <x v="36"/>
    <s v="RF-01V-0208]FRONT FRM"/>
    <n v="151"/>
    <s v=""/>
    <x v="28"/>
    <d v="2026-07-21T00:00:00"/>
    <s v=""/>
    <n v="84393"/>
    <n v="50"/>
    <d v="2026-07-21T00:00:00"/>
    <n v="101"/>
  </r>
  <r>
    <x v="0"/>
    <s v=""/>
    <s v="기초"/>
    <s v=""/>
    <s v=""/>
    <x v="58"/>
    <s v="RF-01S-5087]CAM Cable_Face"/>
    <n v="158"/>
    <s v=""/>
    <x v="45"/>
    <d v="2026-07-21T00:00:00"/>
    <s v=""/>
    <n v="84393"/>
    <n v="50"/>
    <d v="2026-07-21T00:00:00"/>
    <n v="108"/>
  </r>
  <r>
    <x v="0"/>
    <s v=""/>
    <s v=""/>
    <s v=""/>
    <s v=""/>
    <x v="46"/>
    <s v="RF-01S-5083]CAM Trigger_L-R harness"/>
    <n v="158"/>
    <s v=""/>
    <x v="37"/>
    <d v="2026-07-21T00:00:00"/>
    <s v=""/>
    <n v="84393"/>
    <n v="50"/>
    <d v="2026-07-23T00:00:00"/>
    <n v="108"/>
  </r>
  <r>
    <x v="0"/>
    <s v=""/>
    <s v=""/>
    <s v=""/>
    <s v=""/>
    <x v="74"/>
    <s v="RF-01T-0356]RUBBER CAP ARM"/>
    <n v="159"/>
    <s v=""/>
    <x v="56"/>
    <d v="2026-07-21T00:00:00"/>
    <s v=""/>
    <n v="84393"/>
    <n v="50"/>
    <d v="2026-07-23T00:00:00"/>
    <n v="109"/>
  </r>
  <r>
    <x v="0"/>
    <s v=""/>
    <s v="기초"/>
    <s v=""/>
    <s v=""/>
    <x v="93"/>
    <s v=""/>
    <n v="161"/>
    <s v=""/>
    <x v="70"/>
    <d v="2026-07-21T00:00:00"/>
    <s v=""/>
    <n v="84393"/>
    <n v="50"/>
    <d v="2026-07-21T00:00:00"/>
    <n v="111"/>
  </r>
  <r>
    <x v="0"/>
    <s v=""/>
    <s v="기초"/>
    <s v=""/>
    <s v=""/>
    <x v="79"/>
    <s v="RD-00S-5201]USB A to B Cable"/>
    <n v="170"/>
    <s v=""/>
    <x v="60"/>
    <d v="2026-07-21T00:00:00"/>
    <s v=""/>
    <n v="84393"/>
    <n v="50"/>
    <d v="2026-07-21T00:00:00"/>
    <n v="120"/>
  </r>
  <r>
    <x v="0"/>
    <s v=""/>
    <s v="기초"/>
    <s v=""/>
    <s v=""/>
    <x v="126"/>
    <s v="USB HOLDER FRONT"/>
    <n v="172"/>
    <s v=""/>
    <x v="81"/>
    <d v="2026-07-21T00:00:00"/>
    <s v=""/>
    <n v="84393"/>
    <n v="100"/>
    <d v="2026-07-21T00:00:00"/>
    <n v="72"/>
  </r>
  <r>
    <x v="0"/>
    <s v=""/>
    <s v="기초"/>
    <s v=""/>
    <s v=""/>
    <x v="327"/>
    <s v="RF-01S-5050]TEETH LENS"/>
    <n v="173"/>
    <s v=""/>
    <x v="56"/>
    <d v="2026-07-21T00:00:00"/>
    <s v=""/>
    <n v="84393"/>
    <n v="50"/>
    <d v="2026-07-21T00:00:00"/>
    <n v="123"/>
  </r>
  <r>
    <x v="0"/>
    <s v=""/>
    <s v="기초"/>
    <s v=""/>
    <s v=""/>
    <x v="85"/>
    <s v="RF-01S-5086]TEETH CAM"/>
    <n v="188"/>
    <s v=""/>
    <x v="66"/>
    <d v="2026-07-21T00:00:00"/>
    <s v=""/>
    <n v="84393"/>
    <n v="188"/>
    <d v="2026-07-21T00:00:00"/>
    <n v="0"/>
  </r>
  <r>
    <x v="0"/>
    <s v=""/>
    <s v=""/>
    <s v=""/>
    <s v=""/>
    <x v="222"/>
    <s v="RF-01T-0173]ARM CVR REAR DECO"/>
    <n v="190"/>
    <s v=""/>
    <x v="119"/>
    <d v="2026-07-21T00:00:00"/>
    <s v=""/>
    <n v="84393"/>
    <n v="50"/>
    <d v="2026-07-23T00:00:00"/>
    <n v="140"/>
  </r>
  <r>
    <x v="0"/>
    <s v=""/>
    <s v="기초"/>
    <s v=""/>
    <s v=""/>
    <x v="46"/>
    <s v="RF-01S-5083]CAM Trigger_L-R harness"/>
    <n v="208"/>
    <s v=""/>
    <x v="37"/>
    <d v="2026-07-21T00:00:00"/>
    <s v=""/>
    <n v="84393"/>
    <n v="50"/>
    <d v="2026-07-21T00:00:00"/>
    <n v="158"/>
  </r>
  <r>
    <x v="0"/>
    <s v=""/>
    <s v=""/>
    <s v=""/>
    <s v=""/>
    <x v="218"/>
    <s v="RF-01B-5037] LED SIDE BOARD_REV2"/>
    <n v="208"/>
    <s v=""/>
    <x v="46"/>
    <d v="2026-07-21T00:00:00"/>
    <s v=""/>
    <n v="84393"/>
    <n v="50"/>
    <d v="2026-07-23T00:00:00"/>
    <n v="158"/>
  </r>
  <r>
    <x v="0"/>
    <s v=""/>
    <s v="기초"/>
    <s v=""/>
    <s v=""/>
    <x v="43"/>
    <s v="RF-01T-0255]CVR FRONT MID R"/>
    <n v="209"/>
    <s v=""/>
    <x v="35"/>
    <d v="2026-07-21T00:00:00"/>
    <s v=""/>
    <n v="84393"/>
    <n v="50"/>
    <d v="2026-07-21T00:00:00"/>
    <n v="159"/>
  </r>
  <r>
    <x v="0"/>
    <s v=""/>
    <s v="기초"/>
    <s v=""/>
    <s v=""/>
    <x v="87"/>
    <s v="RF-01T-0210]CVR FRONT MID L"/>
    <n v="209"/>
    <s v=""/>
    <x v="35"/>
    <d v="2026-07-21T00:00:00"/>
    <s v=""/>
    <n v="84393"/>
    <n v="50"/>
    <d v="2026-07-21T00:00:00"/>
    <n v="159"/>
  </r>
  <r>
    <x v="0"/>
    <s v=""/>
    <s v="기초"/>
    <s v=""/>
    <s v=""/>
    <x v="74"/>
    <s v="RF-01T-0356]RUBBER CAP ARM"/>
    <n v="209"/>
    <s v=""/>
    <x v="56"/>
    <d v="2026-07-21T00:00:00"/>
    <s v=""/>
    <n v="84393"/>
    <n v="50"/>
    <d v="2026-07-21T00:00:00"/>
    <n v="159"/>
  </r>
  <r>
    <x v="0"/>
    <s v=""/>
    <s v="기초"/>
    <s v=""/>
    <s v=""/>
    <x v="233"/>
    <s v="RF-20A-0279]Mdl DLP PLT"/>
    <n v="215"/>
    <s v=""/>
    <x v="54"/>
    <d v="2026-07-21T00:00:00"/>
    <s v=""/>
    <n v="84393"/>
    <n v="50"/>
    <d v="2026-07-21T00:00:00"/>
    <n v="165"/>
  </r>
  <r>
    <x v="0"/>
    <s v=""/>
    <s v="기초"/>
    <s v=""/>
    <s v=""/>
    <x v="66"/>
    <s v="MODULE BASE BOTTOM FRAME"/>
    <n v="216"/>
    <s v=""/>
    <x v="51"/>
    <d v="2026-07-21T00:00:00"/>
    <s v=""/>
    <n v="84393"/>
    <n v="50"/>
    <d v="2026-07-21T00:00:00"/>
    <n v="166"/>
  </r>
  <r>
    <x v="0"/>
    <s v=""/>
    <s v="기초"/>
    <s v=""/>
    <s v=""/>
    <x v="154"/>
    <s v="RF-01B-5035]CONNECTOR Bd"/>
    <n v="237"/>
    <s v=""/>
    <x v="90"/>
    <d v="2026-07-21T00:00:00"/>
    <s v=""/>
    <n v="84393"/>
    <n v="50"/>
    <d v="2026-07-21T00:00:00"/>
    <n v="187"/>
  </r>
  <r>
    <x v="0"/>
    <s v=""/>
    <s v="기초"/>
    <s v=""/>
    <s v=""/>
    <x v="222"/>
    <s v="RF-01T-0173]ARM CVR REAR DECO"/>
    <n v="240"/>
    <s v=""/>
    <x v="119"/>
    <d v="2026-07-21T00:00:00"/>
    <s v=""/>
    <n v="84393"/>
    <n v="50"/>
    <d v="2026-07-21T00:00:00"/>
    <n v="190"/>
  </r>
  <r>
    <x v="0"/>
    <s v=""/>
    <s v="기초"/>
    <s v=""/>
    <s v=""/>
    <x v="149"/>
    <s v="RF-01V-0254]REAR CVR TOP BRK"/>
    <n v="250"/>
    <s v=""/>
    <x v="34"/>
    <d v="2026-07-21T00:00:00"/>
    <s v=""/>
    <n v="84393"/>
    <n v="50"/>
    <d v="2026-07-21T00:00:00"/>
    <n v="200"/>
  </r>
  <r>
    <x v="0"/>
    <s v=""/>
    <s v="기초"/>
    <s v=""/>
    <s v=""/>
    <x v="156"/>
    <s v="RF-01B-5039]POWER HUB Bd"/>
    <n v="250"/>
    <s v=""/>
    <x v="91"/>
    <d v="2026-07-21T00:00:00"/>
    <s v=""/>
    <n v="84393"/>
    <n v="50"/>
    <d v="2026-07-21T00:00:00"/>
    <n v="200"/>
  </r>
  <r>
    <x v="0"/>
    <s v=""/>
    <s v="기초"/>
    <s v=""/>
    <s v=""/>
    <x v="218"/>
    <s v="RF-01B-5037] LED SIDE BOARD_REV2"/>
    <n v="258"/>
    <s v=""/>
    <x v="46"/>
    <d v="2026-07-21T00:00:00"/>
    <s v=""/>
    <n v="84393"/>
    <n v="50"/>
    <d v="2026-07-21T00:00:00"/>
    <n v="208"/>
  </r>
  <r>
    <x v="0"/>
    <s v=""/>
    <s v="기초"/>
    <s v=""/>
    <s v=""/>
    <x v="404"/>
    <s v="RD-01G-0502]SPONGE)UV SNSR"/>
    <n v="277"/>
    <s v=""/>
    <x v="89"/>
    <d v="2026-07-21T00:00:00"/>
    <s v=""/>
    <n v="84393"/>
    <n v="100"/>
    <d v="2026-07-21T00:00:00"/>
    <n v="177"/>
  </r>
  <r>
    <x v="0"/>
    <s v=""/>
    <s v=""/>
    <s v=""/>
    <s v=""/>
    <x v="125"/>
    <s v="RF-01T-0196]CVR REAR"/>
    <n v="281"/>
    <s v=""/>
    <x v="80"/>
    <d v="2026-07-30T00:00:00"/>
    <s v=""/>
    <n v="84393"/>
    <n v="50"/>
    <d v="2026-07-30T00:00:00"/>
    <n v="231"/>
  </r>
  <r>
    <x v="0"/>
    <s v=""/>
    <s v="기초"/>
    <s v=""/>
    <s v=""/>
    <x v="199"/>
    <s v="RF-01M-0269]FACE CAM BLK_HR"/>
    <n v="294"/>
    <s v=""/>
    <x v="81"/>
    <d v="2026-07-21T00:00:00"/>
    <s v=""/>
    <n v="84393"/>
    <n v="50"/>
    <d v="2026-07-21T00:00:00"/>
    <n v="244"/>
  </r>
  <r>
    <x v="0"/>
    <s v=""/>
    <s v="기초"/>
    <s v=""/>
    <s v=""/>
    <x v="120"/>
    <s v="RF-01T-0241]CAL Bas UPPER"/>
    <n v="294"/>
    <s v=""/>
    <x v="32"/>
    <d v="2026-07-21T00:00:00"/>
    <s v=""/>
    <n v="84393"/>
    <n v="50"/>
    <d v="2026-07-21T00:00:00"/>
    <n v="244"/>
  </r>
  <r>
    <x v="0"/>
    <s v=""/>
    <s v="기초"/>
    <s v=""/>
    <s v=""/>
    <x v="414"/>
    <s v="RF-01T-0161]Bas BOT UPPER"/>
    <n v="300"/>
    <s v=""/>
    <x v="177"/>
    <d v="2026-07-21T00:00:00"/>
    <s v=""/>
    <n v="84393"/>
    <n v="50"/>
    <d v="2026-07-21T00:00:00"/>
    <n v="250"/>
  </r>
  <r>
    <x v="0"/>
    <s v=""/>
    <s v="기초"/>
    <s v=""/>
    <s v=""/>
    <x v="123"/>
    <s v="RF-01M-0397]COVER BOTTOM"/>
    <n v="305"/>
    <s v=""/>
    <x v="32"/>
    <d v="2026-07-21T00:00:00"/>
    <s v=""/>
    <n v="84393"/>
    <n v="50"/>
    <d v="2026-07-21T00:00:00"/>
    <n v="255"/>
  </r>
  <r>
    <x v="0"/>
    <s v=""/>
    <s v="기초"/>
    <s v=""/>
    <s v=""/>
    <x v="176"/>
    <s v=""/>
    <n v="355"/>
    <s v=""/>
    <x v="102"/>
    <d v="2026-07-21T00:00:00"/>
    <s v=""/>
    <n v="84393"/>
    <n v="50"/>
    <d v="2026-07-21T00:00:00"/>
    <n v="305"/>
  </r>
  <r>
    <x v="0"/>
    <s v=""/>
    <s v="기초"/>
    <s v=""/>
    <s v=""/>
    <x v="162"/>
    <s v="RF-01B-5036] LED CENTER BOARD"/>
    <n v="467"/>
    <s v=""/>
    <x v="94"/>
    <d v="2026-07-21T00:00:00"/>
    <s v=""/>
    <n v="84393"/>
    <n v="50"/>
    <d v="2026-07-21T00:00:00"/>
    <n v="417"/>
  </r>
  <r>
    <x v="0"/>
    <s v=""/>
    <s v="기초"/>
    <s v=""/>
    <s v=""/>
    <x v="163"/>
    <s v="RF-01B-5034] POWER BUTTON BOARD"/>
    <n v="513"/>
    <s v=""/>
    <x v="95"/>
    <d v="2026-07-21T00:00:00"/>
    <s v=""/>
    <n v="84393"/>
    <n v="50"/>
    <d v="2026-07-21T00:00:00"/>
    <n v="463"/>
  </r>
  <r>
    <x v="0"/>
    <s v=""/>
    <s v="기초"/>
    <s v=""/>
    <s v=""/>
    <x v="437"/>
    <s v="RF-01G-0168]BOT RUBBER"/>
    <n v="535"/>
    <s v=""/>
    <x v="89"/>
    <d v="2026-07-21T00:00:00"/>
    <s v=""/>
    <n v="84393"/>
    <n v="300"/>
    <d v="2026-07-21T00:00:00"/>
    <n v="235"/>
  </r>
  <r>
    <x v="0"/>
    <s v=""/>
    <s v="기초"/>
    <s v=""/>
    <s v=""/>
    <x v="153"/>
    <s v="RF-01G-0252]MOLDING FRONT MIRROR"/>
    <n v="1071"/>
    <s v=""/>
    <x v="89"/>
    <d v="2026-07-21T00:00:00"/>
    <s v=""/>
    <n v="84393"/>
    <n v="50"/>
    <d v="2026-07-21T00:00:00"/>
    <n v="1021"/>
  </r>
  <r>
    <x v="0"/>
    <s v=""/>
    <s v="기초"/>
    <s v=""/>
    <s v=""/>
    <x v="220"/>
    <s v="RF-09P-0271]MIRROR PROTIVE FILM"/>
    <n v="1603"/>
    <s v=""/>
    <x v="89"/>
    <d v="2026-07-21T00:00:00"/>
    <s v=""/>
    <n v="84393"/>
    <n v="50"/>
    <d v="2026-07-21T00:00:00"/>
    <n v="1553"/>
  </r>
  <r>
    <x v="0"/>
    <s v=""/>
    <s v=""/>
    <s v=""/>
    <s v=""/>
    <x v="282"/>
    <s v="RP-01H-5009]Lan cable"/>
    <n v="10"/>
    <s v=""/>
    <x v="60"/>
    <d v="2026-09-22T00:00:00"/>
    <s v=""/>
    <n v="84394"/>
    <n v="10"/>
    <d v="2026-10-06T00:00:00"/>
    <n v="0"/>
  </r>
  <r>
    <x v="0"/>
    <s v=""/>
    <s v="반납"/>
    <s v=""/>
    <s v=""/>
    <x v="282"/>
    <s v="RP-01H-5009]Lan cable"/>
    <n v="106"/>
    <s v=""/>
    <x v="60"/>
    <d v="2026-09-22T00:00:00"/>
    <s v=""/>
    <n v="84394"/>
    <n v="40"/>
    <d v="2026-10-06T00:00:00"/>
    <n v="66"/>
  </r>
  <r>
    <x v="0"/>
    <s v=""/>
    <s v=""/>
    <s v=""/>
    <s v=""/>
    <x v="176"/>
    <s v=""/>
    <n v="305"/>
    <s v=""/>
    <x v="102"/>
    <d v="2026-07-21T00:00:00"/>
    <s v=""/>
    <n v="84394"/>
    <n v="50"/>
    <d v="2026-08-19T00:00:00"/>
    <n v="255"/>
  </r>
  <r>
    <x v="0"/>
    <s v=""/>
    <s v=""/>
    <s v=""/>
    <s v=""/>
    <x v="577"/>
    <s v="RA-9-12]SCEPH LAN"/>
    <n v="9"/>
    <s v=""/>
    <x v="217"/>
    <d v="2026-08-04T00:00:00"/>
    <s v=""/>
    <n v="85052"/>
    <n v="9"/>
    <d v="2026-08-06T00:00:00"/>
    <n v="0"/>
  </r>
  <r>
    <x v="0"/>
    <s v=""/>
    <s v="기초"/>
    <s v=""/>
    <s v=""/>
    <x v="584"/>
    <s v="RA-08S-6076]VIEWORKS, FXRD-1717VA DET"/>
    <n v="1"/>
    <s v=""/>
    <x v="220"/>
    <d v="2026-07-29T00:00:00"/>
    <s v=""/>
    <n v="87119"/>
    <n v="1"/>
    <d v="2026-07-29T00:00:00"/>
    <n v="0"/>
  </r>
  <r>
    <x v="0"/>
    <s v=""/>
    <s v="기초"/>
    <s v=""/>
    <s v=""/>
    <x v="585"/>
    <s v="RA-08A-0612]ASM _4HEAD Mdl"/>
    <n v="1"/>
    <s v=""/>
    <x v="38"/>
    <d v="2026-07-29T00:00:00"/>
    <s v=""/>
    <n v="87119"/>
    <n v="1"/>
    <d v="2026-07-29T00:00:00"/>
    <n v="0"/>
  </r>
  <r>
    <x v="0"/>
    <s v=""/>
    <s v="기초"/>
    <s v=""/>
    <s v=""/>
    <x v="35"/>
    <s v=""/>
    <n v="2"/>
    <s v=""/>
    <x v="27"/>
    <d v="2026-07-29T00:00:00"/>
    <s v=""/>
    <n v="87119"/>
    <n v="1"/>
    <d v="2026-07-29T00:00:00"/>
    <n v="1"/>
  </r>
  <r>
    <x v="0"/>
    <s v=""/>
    <s v="기초"/>
    <s v=""/>
    <s v=""/>
    <x v="16"/>
    <s v="RA-08M-0623]PIN STOPPER"/>
    <n v="2"/>
    <s v=""/>
    <x v="12"/>
    <d v="2026-07-29T00:00:00"/>
    <s v=""/>
    <n v="87119"/>
    <n v="1"/>
    <d v="2026-07-29T00:00:00"/>
    <n v="1"/>
  </r>
  <r>
    <x v="0"/>
    <s v=""/>
    <s v="불량 대체품"/>
    <s v=""/>
    <s v=""/>
    <x v="29"/>
    <s v="RA-08M-1887]FRM Bas CEPH (VW)"/>
    <n v="3"/>
    <s v=""/>
    <x v="23"/>
    <d v="2026-07-30T00:00:00"/>
    <s v=""/>
    <n v="87119"/>
    <n v="1"/>
    <d v="2026-07-30T00:00:00"/>
    <n v="2"/>
  </r>
  <r>
    <x v="0"/>
    <s v=""/>
    <s v="기초"/>
    <s v=""/>
    <s v=""/>
    <x v="47"/>
    <s v="RA-08A-0611]ASM EARLOD Mdl"/>
    <n v="4"/>
    <s v=""/>
    <x v="38"/>
    <d v="2026-07-29T00:00:00"/>
    <s v=""/>
    <n v="87119"/>
    <n v="1"/>
    <d v="2026-07-29T00:00:00"/>
    <n v="3"/>
  </r>
  <r>
    <x v="0"/>
    <s v=""/>
    <s v="입고"/>
    <s v=""/>
    <s v=""/>
    <x v="26"/>
    <s v="RA-08M-2679]SHAFT CEPH AXIS BODY (VW)"/>
    <n v="5"/>
    <s v=""/>
    <x v="22"/>
    <d v="2026-07-30T00:00:00"/>
    <s v=""/>
    <n v="87119"/>
    <n v="1"/>
    <d v="2026-07-30T00:00:00"/>
    <n v="4"/>
  </r>
  <r>
    <x v="0"/>
    <s v=""/>
    <s v="입고"/>
    <s v=""/>
    <s v=""/>
    <x v="27"/>
    <s v="RA-08M-2705]BLK CEPH AXIS BODY TOP (VW)"/>
    <n v="5"/>
    <s v=""/>
    <x v="22"/>
    <d v="2026-07-30T00:00:00"/>
    <s v=""/>
    <n v="87119"/>
    <n v="1"/>
    <d v="2026-07-30T00:00:00"/>
    <n v="4"/>
  </r>
  <r>
    <x v="0"/>
    <s v=""/>
    <s v="입고"/>
    <s v=""/>
    <s v=""/>
    <x v="28"/>
    <s v="RA-08M-2707]BLK CEPH AXIS BODY REAR (VW)"/>
    <n v="5"/>
    <s v=""/>
    <x v="22"/>
    <d v="2026-07-30T00:00:00"/>
    <s v=""/>
    <n v="87119"/>
    <n v="1"/>
    <d v="2026-07-30T00:00:00"/>
    <n v="4"/>
  </r>
  <r>
    <x v="0"/>
    <s v=""/>
    <s v="기초"/>
    <s v=""/>
    <s v=""/>
    <x v="55"/>
    <s v="RA-08M-2706]BLK CEPH AXIS BODY FRONT(VW"/>
    <n v="7"/>
    <s v=""/>
    <x v="22"/>
    <d v="2026-07-29T00:00:00"/>
    <s v=""/>
    <n v="87119"/>
    <n v="1"/>
    <d v="2026-07-29T00:00:00"/>
    <n v="6"/>
  </r>
  <r>
    <x v="0"/>
    <s v=""/>
    <s v="기초"/>
    <s v=""/>
    <s v=""/>
    <x v="56"/>
    <s v="RA-08M-2708]SHAFT CEPH AXIS BODY (VW)"/>
    <n v="7"/>
    <s v=""/>
    <x v="22"/>
    <d v="2026-07-29T00:00:00"/>
    <s v=""/>
    <n v="87119"/>
    <n v="1"/>
    <d v="2026-07-29T00:00:00"/>
    <n v="6"/>
  </r>
  <r>
    <x v="0"/>
    <s v=""/>
    <s v="기초"/>
    <s v=""/>
    <s v=""/>
    <x v="61"/>
    <s v="RA-08V-2680]TILT ARM HINGE (VW)"/>
    <n v="8"/>
    <s v=""/>
    <x v="48"/>
    <d v="2026-07-29T00:00:00"/>
    <s v=""/>
    <n v="87119"/>
    <n v="1"/>
    <d v="2026-07-29T00:00:00"/>
    <n v="7"/>
  </r>
  <r>
    <x v="0"/>
    <s v=""/>
    <s v="기초"/>
    <s v=""/>
    <s v=""/>
    <x v="62"/>
    <s v="RA-08M-2670]ARM CEPH BODY (VW)"/>
    <n v="8"/>
    <s v=""/>
    <x v="49"/>
    <d v="2026-07-29T00:00:00"/>
    <s v=""/>
    <n v="87119"/>
    <n v="1"/>
    <d v="2026-07-29T00:00:00"/>
    <n v="7"/>
  </r>
  <r>
    <x v="0"/>
    <s v=""/>
    <s v="기초"/>
    <s v=""/>
    <s v=""/>
    <x v="64"/>
    <s v=""/>
    <n v="9"/>
    <s v=""/>
    <x v="50"/>
    <d v="2026-07-29T00:00:00"/>
    <s v=""/>
    <n v="87119"/>
    <n v="1"/>
    <d v="2026-07-29T00:00:00"/>
    <n v="8"/>
  </r>
  <r>
    <x v="0"/>
    <s v=""/>
    <s v="기초"/>
    <s v=""/>
    <s v=""/>
    <x v="65"/>
    <s v="RA-08A-0745]ASM OC EARLOD L"/>
    <n v="9"/>
    <s v=""/>
    <x v="38"/>
    <d v="2026-07-29T00:00:00"/>
    <s v=""/>
    <n v="87119"/>
    <n v="1"/>
    <d v="2026-07-29T00:00:00"/>
    <n v="8"/>
  </r>
  <r>
    <x v="0"/>
    <s v=""/>
    <s v="기초"/>
    <s v=""/>
    <s v=""/>
    <x v="82"/>
    <s v="C16-6808ZZ]BALL B-Ring"/>
    <n v="12"/>
    <s v=""/>
    <x v="63"/>
    <d v="2026-07-29T00:00:00"/>
    <s v=""/>
    <n v="87119"/>
    <n v="2"/>
    <d v="2026-07-29T00:00:00"/>
    <n v="10"/>
  </r>
  <r>
    <x v="0"/>
    <s v=""/>
    <s v="기초"/>
    <s v=""/>
    <s v=""/>
    <x v="105"/>
    <s v="RA-08V-2663]HOOK CAS CEPH SNSR (L)"/>
    <n v="16"/>
    <s v=""/>
    <x v="75"/>
    <d v="2026-07-29T00:00:00"/>
    <s v=""/>
    <n v="87119"/>
    <n v="1"/>
    <d v="2026-07-29T00:00:00"/>
    <n v="15"/>
  </r>
  <r>
    <x v="0"/>
    <s v=""/>
    <s v="기초"/>
    <s v=""/>
    <s v=""/>
    <x v="106"/>
    <s v="RA-08V-2681]PLT STOPPER GUIDE (VW)"/>
    <n v="16"/>
    <s v=""/>
    <x v="48"/>
    <d v="2026-07-29T00:00:00"/>
    <s v=""/>
    <n v="87119"/>
    <n v="1"/>
    <d v="2026-07-29T00:00:00"/>
    <n v="15"/>
  </r>
  <r>
    <x v="0"/>
    <s v=""/>
    <s v="기초"/>
    <s v=""/>
    <s v=""/>
    <x v="108"/>
    <s v="RA-08V-2665]BRK PUSH VIEWORKS POWER"/>
    <n v="17"/>
    <s v=""/>
    <x v="75"/>
    <d v="2026-07-29T00:00:00"/>
    <s v=""/>
    <n v="87119"/>
    <n v="1"/>
    <d v="2026-07-29T00:00:00"/>
    <n v="16"/>
  </r>
  <r>
    <x v="0"/>
    <s v=""/>
    <s v="기초"/>
    <s v=""/>
    <s v=""/>
    <x v="109"/>
    <s v="RA-08V-2672]BRK SCAN CEPH BOT (VW)"/>
    <n v="17"/>
    <s v=""/>
    <x v="48"/>
    <d v="2026-07-29T00:00:00"/>
    <s v=""/>
    <n v="87119"/>
    <n v="1"/>
    <d v="2026-07-29T00:00:00"/>
    <n v="16"/>
  </r>
  <r>
    <x v="0"/>
    <s v=""/>
    <s v="기초"/>
    <s v=""/>
    <s v=""/>
    <x v="110"/>
    <s v="RA-08V-2678]PLT DRUM MOUNT HEADREST (VW)"/>
    <n v="17"/>
    <s v=""/>
    <x v="48"/>
    <d v="2026-07-29T00:00:00"/>
    <s v=""/>
    <n v="87119"/>
    <n v="1"/>
    <d v="2026-07-29T00:00:00"/>
    <n v="16"/>
  </r>
  <r>
    <x v="0"/>
    <s v=""/>
    <s v="기초"/>
    <s v=""/>
    <s v=""/>
    <x v="111"/>
    <s v="RA-08V-2691]HLDR CAS CEPH SNSR BOT (VW)"/>
    <n v="17"/>
    <s v=""/>
    <x v="76"/>
    <d v="2026-07-29T00:00:00"/>
    <s v=""/>
    <n v="87119"/>
    <n v="1"/>
    <d v="2026-07-29T00:00:00"/>
    <n v="16"/>
  </r>
  <r>
    <x v="0"/>
    <s v=""/>
    <s v="기초"/>
    <s v=""/>
    <s v=""/>
    <x v="116"/>
    <s v="RA-08V-1872]BLK MOUNT OCG SNSR (VW)"/>
    <n v="18"/>
    <s v=""/>
    <x v="75"/>
    <d v="2026-07-29T00:00:00"/>
    <s v=""/>
    <n v="87119"/>
    <n v="1"/>
    <d v="2026-07-29T00:00:00"/>
    <n v="17"/>
  </r>
  <r>
    <x v="0"/>
    <s v=""/>
    <s v="기초"/>
    <s v=""/>
    <s v=""/>
    <x v="122"/>
    <s v="RA-08V-2688]SPACER WASHER HEADREST (VW)"/>
    <n v="19"/>
    <s v=""/>
    <x v="76"/>
    <d v="2026-07-29T00:00:00"/>
    <s v=""/>
    <n v="87119"/>
    <n v="1"/>
    <d v="2026-07-29T00:00:00"/>
    <n v="18"/>
  </r>
  <r>
    <x v="0"/>
    <s v=""/>
    <s v="기초"/>
    <s v=""/>
    <s v=""/>
    <x v="129"/>
    <s v="RA-08V-0737]CVR OC HEADREST BOT"/>
    <n v="20"/>
    <s v=""/>
    <x v="84"/>
    <d v="2026-07-29T00:00:00"/>
    <s v=""/>
    <n v="87119"/>
    <n v="1"/>
    <d v="2026-07-29T00:00:00"/>
    <n v="19"/>
  </r>
  <r>
    <x v="0"/>
    <s v=""/>
    <s v="기초"/>
    <s v=""/>
    <s v=""/>
    <x v="130"/>
    <s v="RA-08V-2662]HOOK CAS CEPH SNSR (R)"/>
    <n v="20"/>
    <s v=""/>
    <x v="75"/>
    <d v="2026-07-29T00:00:00"/>
    <s v=""/>
    <n v="87119"/>
    <n v="1"/>
    <d v="2026-07-29T00:00:00"/>
    <n v="19"/>
  </r>
  <r>
    <x v="0"/>
    <s v=""/>
    <s v="기초"/>
    <s v=""/>
    <s v=""/>
    <x v="131"/>
    <s v="RA-08V-2667]BRK EARLOD FIX B (VW)"/>
    <n v="20"/>
    <s v=""/>
    <x v="48"/>
    <d v="2026-07-29T00:00:00"/>
    <s v=""/>
    <n v="87119"/>
    <n v="1"/>
    <d v="2026-07-29T00:00:00"/>
    <n v="19"/>
  </r>
  <r>
    <x v="0"/>
    <s v=""/>
    <s v="기초"/>
    <s v=""/>
    <s v=""/>
    <x v="100"/>
    <s v="RA-08V-2671]BRK ROT CAS BRIDGE A (VW)"/>
    <n v="20"/>
    <s v=""/>
    <x v="48"/>
    <d v="2026-07-29T00:00:00"/>
    <s v=""/>
    <n v="87119"/>
    <n v="7"/>
    <d v="2026-07-29T00:00:00"/>
    <n v="13"/>
  </r>
  <r>
    <x v="0"/>
    <s v=""/>
    <s v="기초"/>
    <s v=""/>
    <s v=""/>
    <x v="132"/>
    <s v="RA-08V-2683]PLT CEPH ARM FIX (VW)"/>
    <n v="20"/>
    <s v=""/>
    <x v="76"/>
    <d v="2026-07-29T00:00:00"/>
    <s v=""/>
    <n v="87119"/>
    <n v="1"/>
    <d v="2026-07-29T00:00:00"/>
    <n v="19"/>
  </r>
  <r>
    <x v="0"/>
    <s v=""/>
    <s v="기초"/>
    <s v=""/>
    <s v=""/>
    <x v="577"/>
    <s v="RA-9-12]SCEPH LAN"/>
    <n v="20"/>
    <s v=""/>
    <x v="217"/>
    <d v="2026-07-29T00:00:00"/>
    <s v=""/>
    <n v="87119"/>
    <n v="1"/>
    <d v="2026-07-29T00:00:00"/>
    <n v="19"/>
  </r>
  <r>
    <x v="0"/>
    <s v=""/>
    <s v="기초"/>
    <s v=""/>
    <s v=""/>
    <x v="134"/>
    <s v="RA-08V-0974]BRK WIRE MOUNT"/>
    <n v="21"/>
    <s v=""/>
    <x v="85"/>
    <d v="2026-07-29T00:00:00"/>
    <s v=""/>
    <n v="87119"/>
    <n v="1"/>
    <d v="2026-07-29T00:00:00"/>
    <n v="20"/>
  </r>
  <r>
    <x v="0"/>
    <s v=""/>
    <s v="기초"/>
    <s v=""/>
    <s v=""/>
    <x v="143"/>
    <s v="RA-08V-2676]BRK MOUNT CEPH ARM (VW)"/>
    <n v="22"/>
    <s v=""/>
    <x v="48"/>
    <d v="2026-07-29T00:00:00"/>
    <s v=""/>
    <n v="87119"/>
    <n v="1"/>
    <d v="2026-07-29T00:00:00"/>
    <n v="21"/>
  </r>
  <r>
    <x v="0"/>
    <s v=""/>
    <s v="기초"/>
    <s v=""/>
    <s v=""/>
    <x v="150"/>
    <s v=""/>
    <n v="23"/>
    <s v=""/>
    <x v="88"/>
    <d v="2026-07-29T00:00:00"/>
    <s v=""/>
    <n v="87119"/>
    <n v="1"/>
    <d v="2026-07-29T00:00:00"/>
    <n v="22"/>
  </r>
  <r>
    <x v="0"/>
    <s v=""/>
    <s v="기초"/>
    <s v=""/>
    <s v=""/>
    <x v="151"/>
    <s v="RA-08V-2664]HLDR CAS CEPH SNSR (RL) (VW)"/>
    <n v="24"/>
    <s v=""/>
    <x v="75"/>
    <d v="2026-07-29T00:00:00"/>
    <s v=""/>
    <n v="87119"/>
    <n v="2"/>
    <d v="2026-07-29T00:00:00"/>
    <n v="22"/>
  </r>
  <r>
    <x v="0"/>
    <s v=""/>
    <s v="기초"/>
    <s v=""/>
    <s v=""/>
    <x v="158"/>
    <s v="RA-08V-2666]BRK EARLOD FIX A (VW)"/>
    <n v="24"/>
    <s v=""/>
    <x v="75"/>
    <d v="2026-07-29T00:00:00"/>
    <s v=""/>
    <n v="87119"/>
    <n v="1"/>
    <d v="2026-07-29T00:00:00"/>
    <n v="23"/>
  </r>
  <r>
    <x v="0"/>
    <s v=""/>
    <s v="기초"/>
    <s v=""/>
    <s v=""/>
    <x v="173"/>
    <s v="RA-08V-0604]STOPPER SCAN CEPH"/>
    <n v="27"/>
    <s v=""/>
    <x v="85"/>
    <d v="2026-07-29T00:00:00"/>
    <s v=""/>
    <n v="87119"/>
    <n v="1"/>
    <d v="2026-07-29T00:00:00"/>
    <n v="26"/>
  </r>
  <r>
    <x v="0"/>
    <s v=""/>
    <s v="기초"/>
    <s v=""/>
    <s v=""/>
    <x v="544"/>
    <s v="RA-08V-0621]PLT WASHER FIX"/>
    <n v="27"/>
    <s v=""/>
    <x v="85"/>
    <d v="2026-07-29T00:00:00"/>
    <s v=""/>
    <n v="87119"/>
    <n v="1"/>
    <d v="2026-07-29T00:00:00"/>
    <n v="26"/>
  </r>
  <r>
    <x v="0"/>
    <s v=""/>
    <s v="기초"/>
    <s v=""/>
    <s v=""/>
    <x v="223"/>
    <s v="C16-MF128ZZS]BALL B-Ring"/>
    <n v="46"/>
    <s v=""/>
    <x v="120"/>
    <d v="2026-07-29T00:00:00"/>
    <s v=""/>
    <n v="87119"/>
    <n v="1"/>
    <d v="2026-07-29T00:00:00"/>
    <n v="45"/>
  </r>
  <r>
    <x v="0"/>
    <s v=""/>
    <s v="기초"/>
    <s v=""/>
    <s v=""/>
    <x v="236"/>
    <s v=""/>
    <n v="48"/>
    <s v=""/>
    <x v="88"/>
    <d v="2026-07-29T00:00:00"/>
    <s v=""/>
    <n v="87119"/>
    <n v="1"/>
    <d v="2026-07-29T00:00:00"/>
    <n v="47"/>
  </r>
  <r>
    <x v="0"/>
    <s v=""/>
    <s v="기초"/>
    <s v=""/>
    <s v=""/>
    <x v="230"/>
    <s v="RA-8-17]AC POWER OC(V)"/>
    <n v="49"/>
    <s v=""/>
    <x v="121"/>
    <d v="2026-07-29T00:00:00"/>
    <s v=""/>
    <n v="87119"/>
    <n v="1"/>
    <d v="2026-07-29T00:00:00"/>
    <n v="48"/>
  </r>
  <r>
    <x v="0"/>
    <s v=""/>
    <s v="기초"/>
    <s v=""/>
    <s v=""/>
    <x v="279"/>
    <s v="RA-08M-1225]STRIPPER BOLT ROLLER"/>
    <n v="68"/>
    <s v=""/>
    <x v="138"/>
    <d v="2026-07-29T00:00:00"/>
    <s v=""/>
    <n v="87119"/>
    <n v="2"/>
    <d v="2026-07-29T00:00:00"/>
    <n v="66"/>
  </r>
  <r>
    <x v="0"/>
    <s v=""/>
    <s v="기초"/>
    <s v=""/>
    <s v=""/>
    <x v="304"/>
    <s v="RA-08T-0178]CAS CEPH SNSR BOT"/>
    <n v="88"/>
    <s v=""/>
    <x v="10"/>
    <d v="2026-07-29T00:00:00"/>
    <s v=""/>
    <n v="87119"/>
    <n v="1"/>
    <d v="2026-07-29T00:00:00"/>
    <n v="87"/>
  </r>
  <r>
    <x v="0"/>
    <s v=""/>
    <s v="기초"/>
    <s v=""/>
    <s v=""/>
    <x v="309"/>
    <s v="RA-08V-0173]DECO CEPH ARM"/>
    <n v="91"/>
    <s v=""/>
    <x v="146"/>
    <d v="2026-07-29T00:00:00"/>
    <s v=""/>
    <n v="87119"/>
    <n v="1"/>
    <d v="2026-07-29T00:00:00"/>
    <n v="90"/>
  </r>
  <r>
    <x v="0"/>
    <s v=""/>
    <s v="기초"/>
    <s v=""/>
    <s v=""/>
    <x v="324"/>
    <s v="RA-08V-0170]CVR MOUNT CEPH ARM"/>
    <n v="98"/>
    <s v=""/>
    <x v="146"/>
    <d v="2026-07-29T00:00:00"/>
    <s v=""/>
    <n v="87119"/>
    <n v="1"/>
    <d v="2026-07-29T00:00:00"/>
    <n v="97"/>
  </r>
  <r>
    <x v="0"/>
    <s v=""/>
    <s v="기초"/>
    <s v=""/>
    <s v=""/>
    <x v="317"/>
    <s v="RA-08V-0361]HLDR CAS CEPH SNSR BACK"/>
    <n v="98"/>
    <s v=""/>
    <x v="142"/>
    <d v="2026-07-29T00:00:00"/>
    <s v=""/>
    <n v="87119"/>
    <n v="3"/>
    <d v="2026-07-29T00:00:00"/>
    <n v="95"/>
  </r>
  <r>
    <x v="0"/>
    <s v=""/>
    <s v="기초"/>
    <s v=""/>
    <s v=""/>
    <x v="325"/>
    <s v="RA-06V-1509]BRK XTRUSION PB COL OCL"/>
    <n v="98"/>
    <s v=""/>
    <x v="151"/>
    <d v="2026-07-29T00:00:00"/>
    <s v=""/>
    <n v="87119"/>
    <n v="1"/>
    <d v="2026-07-29T00:00:00"/>
    <n v="97"/>
  </r>
  <r>
    <x v="0"/>
    <s v=""/>
    <s v="기초"/>
    <s v=""/>
    <s v=""/>
    <x v="543"/>
    <s v="RA-08M-0620]PLT CEPH _4HEAD"/>
    <n v="99"/>
    <s v=""/>
    <x v="12"/>
    <d v="2026-07-29T00:00:00"/>
    <s v=""/>
    <n v="87119"/>
    <n v="1"/>
    <d v="2026-07-29T00:00:00"/>
    <n v="98"/>
  </r>
  <r>
    <x v="0"/>
    <s v=""/>
    <s v="기초"/>
    <s v=""/>
    <s v=""/>
    <x v="329"/>
    <s v="RA-08V-1308]HLDR CAS CEPH SNSR BOT (SG)"/>
    <n v="100"/>
    <s v=""/>
    <x v="152"/>
    <d v="2026-07-29T00:00:00"/>
    <s v=""/>
    <n v="87119"/>
    <n v="1"/>
    <d v="2026-07-29T00:00:00"/>
    <n v="99"/>
  </r>
  <r>
    <x v="0"/>
    <s v=""/>
    <s v="기초"/>
    <s v=""/>
    <s v=""/>
    <x v="343"/>
    <s v="RA-08V-0181]BLK CEPH ARM FIX"/>
    <n v="102"/>
    <s v=""/>
    <x v="146"/>
    <d v="2026-07-29T00:00:00"/>
    <s v=""/>
    <n v="87119"/>
    <n v="1"/>
    <d v="2026-07-29T00:00:00"/>
    <n v="101"/>
  </r>
  <r>
    <x v="0"/>
    <s v=""/>
    <s v="기초"/>
    <s v=""/>
    <s v=""/>
    <x v="362"/>
    <s v="RA-08M-0975]SHAFT ROLLER AXIS"/>
    <n v="119"/>
    <s v=""/>
    <x v="22"/>
    <d v="2026-07-29T00:00:00"/>
    <s v=""/>
    <n v="87119"/>
    <n v="2"/>
    <d v="2026-07-29T00:00:00"/>
    <n v="117"/>
  </r>
  <r>
    <x v="0"/>
    <s v=""/>
    <s v="기초"/>
    <s v=""/>
    <s v=""/>
    <x v="11"/>
    <s v="RA-5-2_2]EARTH CEPH"/>
    <n v="125"/>
    <s v=""/>
    <x v="9"/>
    <d v="2026-07-29T00:00:00"/>
    <s v=""/>
    <n v="87119"/>
    <n v="1"/>
    <d v="2026-07-29T00:00:00"/>
    <n v="124"/>
  </r>
  <r>
    <x v="0"/>
    <s v=""/>
    <s v="기초"/>
    <s v=""/>
    <s v=""/>
    <x v="381"/>
    <s v="RA-8-15]OCL SIGNAL(V)"/>
    <n v="132"/>
    <s v=""/>
    <x v="169"/>
    <d v="2026-07-29T00:00:00"/>
    <s v=""/>
    <n v="87119"/>
    <n v="1"/>
    <d v="2026-07-29T00:00:00"/>
    <n v="131"/>
  </r>
  <r>
    <x v="0"/>
    <s v=""/>
    <s v="기초"/>
    <s v=""/>
    <s v=""/>
    <x v="541"/>
    <s v="RA-08M-0738]BLK OC _4HEAD FIX"/>
    <n v="177"/>
    <s v=""/>
    <x v="22"/>
    <d v="2026-07-29T00:00:00"/>
    <s v=""/>
    <n v="87119"/>
    <n v="1"/>
    <d v="2026-07-29T00:00:00"/>
    <n v="176"/>
  </r>
  <r>
    <x v="0"/>
    <s v=""/>
    <s v="기초"/>
    <s v=""/>
    <s v=""/>
    <x v="415"/>
    <s v="RA-08T-2185]CAS CEPH _4HEAD"/>
    <n v="178"/>
    <s v=""/>
    <x v="178"/>
    <d v="2026-07-29T00:00:00"/>
    <s v=""/>
    <n v="87119"/>
    <n v="1"/>
    <d v="2026-07-29T00:00:00"/>
    <n v="177"/>
  </r>
  <r>
    <x v="0"/>
    <s v=""/>
    <s v="기초"/>
    <s v=""/>
    <s v=""/>
    <x v="542"/>
    <s v="RA-08M-0619]SHAFT _4HEAD FIX"/>
    <n v="221"/>
    <s v=""/>
    <x v="12"/>
    <d v="2026-07-29T00:00:00"/>
    <s v=""/>
    <n v="87119"/>
    <n v="1"/>
    <d v="2026-07-29T00:00:00"/>
    <n v="220"/>
  </r>
  <r>
    <x v="0"/>
    <s v=""/>
    <s v="기초"/>
    <s v=""/>
    <s v=""/>
    <x v="549"/>
    <s v="RA-08M-0622]WASHER SCAN CEPH"/>
    <n v="232"/>
    <s v=""/>
    <x v="12"/>
    <d v="2026-07-29T00:00:00"/>
    <s v=""/>
    <n v="87119"/>
    <n v="2"/>
    <d v="2026-07-29T00:00:00"/>
    <n v="230"/>
  </r>
  <r>
    <x v="0"/>
    <s v=""/>
    <s v="기초"/>
    <s v=""/>
    <s v=""/>
    <x v="448"/>
    <s v="RA-8-16]OCL INTERFACE(V)"/>
    <n v="233"/>
    <s v=""/>
    <x v="121"/>
    <d v="2026-07-29T00:00:00"/>
    <s v=""/>
    <n v="87119"/>
    <n v="1"/>
    <d v="2026-07-29T00:00:00"/>
    <n v="232"/>
  </r>
  <r>
    <x v="0"/>
    <s v=""/>
    <s v="기초"/>
    <s v=""/>
    <s v=""/>
    <x v="546"/>
    <s v="RA-08M-0976]CEPH SCALE BAR"/>
    <n v="248"/>
    <s v=""/>
    <x v="138"/>
    <d v="2026-07-29T00:00:00"/>
    <s v=""/>
    <n v="87119"/>
    <n v="1"/>
    <d v="2026-07-29T00:00:00"/>
    <n v="247"/>
  </r>
  <r>
    <x v="0"/>
    <s v=""/>
    <s v="기초"/>
    <s v=""/>
    <s v=""/>
    <x v="547"/>
    <s v="RA-08M-0624]BLK CEPH _4HEAD"/>
    <n v="300"/>
    <s v=""/>
    <x v="12"/>
    <d v="2026-07-29T00:00:00"/>
    <s v=""/>
    <n v="87119"/>
    <n v="1"/>
    <d v="2026-07-29T00:00:00"/>
    <n v="299"/>
  </r>
  <r>
    <x v="0"/>
    <s v=""/>
    <s v="기초"/>
    <s v=""/>
    <s v=""/>
    <x v="545"/>
    <s v="RA-08T-0632]CAS CEPH _4HEAD BAR"/>
    <n v="308"/>
    <s v=""/>
    <x v="27"/>
    <d v="2026-07-29T00:00:00"/>
    <s v=""/>
    <n v="87119"/>
    <n v="1"/>
    <d v="2026-07-29T00:00:00"/>
    <n v="307"/>
  </r>
  <r>
    <x v="0"/>
    <s v=""/>
    <s v="기초"/>
    <s v=""/>
    <s v=""/>
    <x v="580"/>
    <s v="RA-08T-1466]CAS CEPH EAR-ROD"/>
    <n v="335"/>
    <s v=""/>
    <x v="27"/>
    <d v="2026-07-29T00:00:00"/>
    <s v=""/>
    <n v="87119"/>
    <n v="2"/>
    <d v="2026-07-29T00:00:00"/>
    <n v="333"/>
  </r>
  <r>
    <x v="0"/>
    <s v=""/>
    <s v="기초"/>
    <s v=""/>
    <s v=""/>
    <x v="462"/>
    <s v="RA-04S-0977]SPRING CEPH AND ARM"/>
    <n v="400"/>
    <s v=""/>
    <x v="117"/>
    <d v="2026-07-29T00:00:00"/>
    <s v=""/>
    <n v="87119"/>
    <n v="1"/>
    <d v="2026-07-29T00:00:00"/>
    <n v="399"/>
  </r>
  <r>
    <x v="0"/>
    <s v=""/>
    <s v="기초"/>
    <s v=""/>
    <s v=""/>
    <x v="0"/>
    <s v="RA-3-3B]DCM CONTROL-B"/>
    <n v="583"/>
    <s v=""/>
    <x v="0"/>
    <d v="2026-07-29T00:00:00"/>
    <s v=""/>
    <n v="87119"/>
    <n v="1"/>
    <d v="2026-07-29T00:00:00"/>
    <n v="582"/>
  </r>
  <r>
    <x v="0"/>
    <s v=""/>
    <s v="기초"/>
    <s v=""/>
    <s v=""/>
    <x v="578"/>
    <s v="RA-08M-0708]RING EARLOD"/>
    <n v="597"/>
    <s v=""/>
    <x v="138"/>
    <d v="2026-07-29T00:00:00"/>
    <s v=""/>
    <n v="87119"/>
    <n v="1"/>
    <d v="2026-07-29T00:00:00"/>
    <n v="596"/>
  </r>
  <r>
    <x v="0"/>
    <s v=""/>
    <s v="기초"/>
    <s v=""/>
    <s v=""/>
    <x v="579"/>
    <s v="RA-08M-0707]CAP EARLOD"/>
    <n v="713"/>
    <s v=""/>
    <x v="138"/>
    <d v="2026-07-29T00:00:00"/>
    <s v=""/>
    <n v="87119"/>
    <n v="1"/>
    <d v="2026-07-29T00:00:00"/>
    <n v="712"/>
  </r>
  <r>
    <x v="0"/>
    <s v=""/>
    <s v="기초"/>
    <s v=""/>
    <s v=""/>
    <x v="514"/>
    <s v="C16-626ZZ]BALL B-Ring"/>
    <n v="982"/>
    <s v=""/>
    <x v="120"/>
    <d v="2026-07-29T00:00:00"/>
    <s v=""/>
    <n v="87119"/>
    <n v="1"/>
    <d v="2026-07-29T00:00:00"/>
    <n v="981"/>
  </r>
  <r>
    <x v="0"/>
    <s v=""/>
    <s v="기초"/>
    <s v=""/>
    <s v=""/>
    <x v="548"/>
    <s v="RA-08M-0625]_4M CEPH _4HEAD"/>
    <n v="1018"/>
    <s v=""/>
    <x v="12"/>
    <d v="2026-07-29T00:00:00"/>
    <s v=""/>
    <n v="87119"/>
    <n v="1"/>
    <d v="2026-07-29T00:00:00"/>
    <n v="1017"/>
  </r>
  <r>
    <x v="0"/>
    <s v=""/>
    <s v=""/>
    <s v=""/>
    <s v=""/>
    <x v="37"/>
    <s v="RE-05B-5101]eSUB Bd"/>
    <n v="10"/>
    <s v=""/>
    <x v="29"/>
    <d v="2026-10-07T00:00:00"/>
    <s v=""/>
    <n v="87808"/>
    <n v="8"/>
    <d v="2026-10-01T00:00:00"/>
    <n v="2"/>
  </r>
  <r>
    <x v="0"/>
    <s v=""/>
    <s v=""/>
    <s v=""/>
    <s v=""/>
    <x v="162"/>
    <s v="RF-01B-5036] LED CENTER BOARD"/>
    <n v="417"/>
    <s v=""/>
    <x v="94"/>
    <d v="2026-07-21T00:00:00"/>
    <s v=""/>
    <n v="87813"/>
    <n v="5"/>
    <d v="2026-07-31T00:00:00"/>
    <n v="412"/>
  </r>
  <r>
    <x v="0"/>
    <s v=""/>
    <s v=""/>
    <s v=""/>
    <s v=""/>
    <x v="577"/>
    <s v="RA-9-12]SCEPH LAN"/>
    <n v="19"/>
    <s v=""/>
    <x v="217"/>
    <d v="2026-07-29T00:00:00"/>
    <s v=""/>
    <n v="89084"/>
    <n v="10"/>
    <d v="2026-08-04T00:00:00"/>
    <n v="9"/>
  </r>
  <r>
    <x v="0"/>
    <s v=""/>
    <s v="입고"/>
    <s v=""/>
    <s v=""/>
    <x v="577"/>
    <s v="RA-9-12]SCEPH LAN"/>
    <n v="150"/>
    <s v=""/>
    <x v="217"/>
    <d v="2026-08-06T00:00:00"/>
    <s v=""/>
    <n v="89084"/>
    <n v="20"/>
    <d v="2026-08-06T00:00:00"/>
    <n v="130"/>
  </r>
  <r>
    <x v="0"/>
    <s v=""/>
    <s v=""/>
    <s v=""/>
    <s v=""/>
    <x v="164"/>
    <s v="RF-01T-0354]CAMERA CASE L"/>
    <n v="4"/>
    <s v=""/>
    <x v="59"/>
    <d v="2026-07-21T00:00:00"/>
    <s v=""/>
    <n v="90249"/>
    <n v="4"/>
    <d v="2026-08-19T00:00:00"/>
    <n v="0"/>
  </r>
  <r>
    <x v="0"/>
    <s v=""/>
    <s v=""/>
    <s v=""/>
    <s v=""/>
    <x v="67"/>
    <s v="RF-01B-5073]DMD FPC Cable"/>
    <n v="4"/>
    <s v=""/>
    <x v="52"/>
    <d v="2026-07-23T00:00:00"/>
    <s v=""/>
    <n v="90249"/>
    <n v="4"/>
    <d v="2026-08-19T00:00:00"/>
    <n v="0"/>
  </r>
  <r>
    <x v="0"/>
    <s v=""/>
    <s v=""/>
    <s v=""/>
    <s v=""/>
    <x v="78"/>
    <s v="RF-01T-0355]CAMERA CASE R"/>
    <n v="13"/>
    <s v=""/>
    <x v="59"/>
    <d v="2026-07-21T00:00:00"/>
    <s v=""/>
    <n v="90249"/>
    <n v="3"/>
    <d v="2026-08-19T00:00:00"/>
    <n v="10"/>
  </r>
  <r>
    <x v="0"/>
    <s v=""/>
    <s v="입고"/>
    <s v=""/>
    <s v=""/>
    <x v="171"/>
    <s v=""/>
    <n v="14"/>
    <s v=""/>
    <x v="99"/>
    <d v="2026-07-30T00:00:00"/>
    <s v=""/>
    <n v="90249"/>
    <n v="3"/>
    <d v="2026-08-19T00:00:00"/>
    <n v="11"/>
  </r>
  <r>
    <x v="0"/>
    <s v=""/>
    <s v="입고"/>
    <s v="A&amp;T"/>
    <s v="조영우"/>
    <x v="112"/>
    <s v=""/>
    <n v="18"/>
    <s v=""/>
    <x v="77"/>
    <d v="2026-08-27T00:00:00"/>
    <s v=""/>
    <n v="90249"/>
    <n v="4"/>
    <d v="2026-09-03T00:00:00"/>
    <n v="14"/>
  </r>
  <r>
    <x v="0"/>
    <s v=""/>
    <s v=""/>
    <s v=""/>
    <s v=""/>
    <x v="212"/>
    <s v="RF-01S-5046]DLP ENGINE"/>
    <n v="26"/>
    <s v=""/>
    <x v="115"/>
    <d v="2026-07-21T00:00:00"/>
    <s v=""/>
    <n v="90249"/>
    <n v="2"/>
    <d v="2026-08-19T00:00:00"/>
    <n v="24"/>
  </r>
  <r>
    <x v="0"/>
    <s v=""/>
    <s v=""/>
    <s v=""/>
    <s v=""/>
    <x v="419"/>
    <s v="RF-01T-0171]ARM CVR REAR R"/>
    <n v="33"/>
    <s v=""/>
    <x v="179"/>
    <d v="2026-07-21T00:00:00"/>
    <s v=""/>
    <n v="90249"/>
    <n v="8"/>
    <d v="2026-08-19T00:00:00"/>
    <n v="25"/>
  </r>
  <r>
    <x v="0"/>
    <s v=""/>
    <s v=""/>
    <s v=""/>
    <s v=""/>
    <x v="50"/>
    <s v="RF-01M-0396]FRAME PIPE ALIGN"/>
    <n v="49"/>
    <s v=""/>
    <x v="28"/>
    <d v="2026-07-21T00:00:00"/>
    <s v=""/>
    <n v="90249"/>
    <n v="2"/>
    <d v="2026-08-19T00:00:00"/>
    <n v="47"/>
  </r>
  <r>
    <x v="0"/>
    <s v=""/>
    <s v=""/>
    <s v=""/>
    <s v=""/>
    <x v="222"/>
    <s v="RF-01T-0173]ARM CVR REAR DECO"/>
    <n v="51"/>
    <s v=""/>
    <x v="119"/>
    <d v="2026-07-22T00:00:00"/>
    <s v=""/>
    <n v="90249"/>
    <n v="2"/>
    <d v="2026-08-19T00:00:00"/>
    <n v="49"/>
  </r>
  <r>
    <x v="0"/>
    <s v=""/>
    <s v=""/>
    <s v=""/>
    <s v=""/>
    <x v="89"/>
    <s v="RF-01T-0352]CAMERA CASE B"/>
    <n v="65"/>
    <s v=""/>
    <x v="59"/>
    <d v="2026-07-21T00:00:00"/>
    <s v=""/>
    <n v="90249"/>
    <n v="3"/>
    <d v="2026-08-19T00:00:00"/>
    <n v="62"/>
  </r>
  <r>
    <x v="0"/>
    <s v=""/>
    <s v=""/>
    <s v=""/>
    <s v=""/>
    <x v="582"/>
    <s v="RF-01T-0199]CVR REAR TOP"/>
    <n v="71"/>
    <s v=""/>
    <x v="219"/>
    <d v="2026-07-24T00:00:00"/>
    <s v=""/>
    <n v="90249"/>
    <n v="4"/>
    <d v="2026-08-19T00:00:00"/>
    <n v="67"/>
  </r>
  <r>
    <x v="0"/>
    <s v=""/>
    <s v=""/>
    <s v=""/>
    <s v=""/>
    <x v="180"/>
    <s v="RF-01T-0190]CVR FRONT"/>
    <n v="89"/>
    <s v=""/>
    <x v="103"/>
    <d v="2026-07-24T00:00:00"/>
    <s v=""/>
    <n v="90249"/>
    <n v="14"/>
    <d v="2026-08-19T00:00:00"/>
    <n v="75"/>
  </r>
  <r>
    <x v="0"/>
    <s v=""/>
    <s v=""/>
    <s v=""/>
    <s v=""/>
    <x v="43"/>
    <s v="RF-01T-0255]CVR FRONT MID R"/>
    <n v="157"/>
    <s v=""/>
    <x v="35"/>
    <d v="2026-07-24T00:00:00"/>
    <s v=""/>
    <n v="90249"/>
    <n v="2"/>
    <d v="2026-08-19T00:00:00"/>
    <n v="155"/>
  </r>
  <r>
    <x v="0"/>
    <s v=""/>
    <s v=""/>
    <s v=""/>
    <s v=""/>
    <x v="156"/>
    <s v="RF-01B-5039]POWER HUB Bd"/>
    <n v="200"/>
    <s v=""/>
    <x v="91"/>
    <d v="2026-07-21T00:00:00"/>
    <s v=""/>
    <n v="90249"/>
    <n v="1"/>
    <d v="2026-08-19T00:00:00"/>
    <n v="199"/>
  </r>
  <r>
    <x v="0"/>
    <s v=""/>
    <s v=""/>
    <s v=""/>
    <s v=""/>
    <x v="125"/>
    <s v="RF-01T-0196]CVR REAR"/>
    <n v="229"/>
    <s v=""/>
    <x v="80"/>
    <d v="2026-07-24T00:00:00"/>
    <s v=""/>
    <n v="90249"/>
    <n v="3"/>
    <d v="2026-08-19T00:00:00"/>
    <n v="226"/>
  </r>
  <r>
    <x v="0"/>
    <s v=""/>
    <s v=""/>
    <s v=""/>
    <s v=""/>
    <x v="414"/>
    <s v="RF-01T-0161]Bas BOT UPPER"/>
    <n v="250"/>
    <s v=""/>
    <x v="177"/>
    <d v="2026-07-21T00:00:00"/>
    <s v=""/>
    <n v="90249"/>
    <n v="2"/>
    <d v="2026-08-19T00:00:00"/>
    <n v="248"/>
  </r>
  <r>
    <x v="0"/>
    <s v=""/>
    <s v=""/>
    <s v=""/>
    <s v=""/>
    <x v="33"/>
    <s v="RA-06A-2760]ASM COL MOVING (ST) (VN)"/>
    <n v="35"/>
    <s v=""/>
    <x v="25"/>
    <d v="2026-09-30T00:00:00"/>
    <s v=""/>
    <n v="92543"/>
    <n v="30"/>
    <d v="2026-09-22T00:00:00"/>
    <n v="5"/>
  </r>
  <r>
    <x v="0"/>
    <s v=""/>
    <s v="입고"/>
    <s v=""/>
    <s v=""/>
    <x v="24"/>
    <s v="RA-02A-2740]ASM VERT TOTAL (A+) (VN)"/>
    <n v="15"/>
    <s v=""/>
    <x v="20"/>
    <d v="2026-08-26T00:00:00"/>
    <s v=""/>
    <n v="92546"/>
    <n v="15"/>
    <d v="2026-08-31T00:00:00"/>
    <n v="0"/>
  </r>
  <r>
    <x v="0"/>
    <s v=""/>
    <s v="기초"/>
    <s v=""/>
    <s v=""/>
    <x v="428"/>
    <s v="RA-05A-6004]Bd ASSY'-Aux MCU"/>
    <n v="19"/>
    <s v=""/>
    <x v="182"/>
    <d v="2026-08-19T00:00:00"/>
    <s v=""/>
    <n v="92546"/>
    <n v="19"/>
    <d v="2026-08-19T00:00:00"/>
    <n v="0"/>
  </r>
  <r>
    <x v="0"/>
    <s v=""/>
    <s v=""/>
    <s v=""/>
    <s v=""/>
    <x v="24"/>
    <s v="RA-02A-2740]ASM VERT TOTAL (A+) (VN)"/>
    <n v="25"/>
    <s v=""/>
    <x v="20"/>
    <d v="2026-08-31T00:00:00"/>
    <s v=""/>
    <n v="92546"/>
    <n v="25"/>
    <d v="2026-08-31T00:00:00"/>
    <n v="0"/>
  </r>
  <r>
    <x v="0"/>
    <s v=""/>
    <s v="입고"/>
    <s v=""/>
    <s v=""/>
    <x v="428"/>
    <s v="RA-05A-6004]Bd ASSY'-Aux MCU"/>
    <n v="300"/>
    <s v=""/>
    <x v="182"/>
    <d v="2026-08-20T00:00:00"/>
    <s v=""/>
    <n v="92546"/>
    <n v="21"/>
    <d v="2026-08-20T00:00:00"/>
    <n v="279"/>
  </r>
  <r>
    <x v="0"/>
    <s v=""/>
    <s v="기초"/>
    <s v=""/>
    <s v=""/>
    <x v="88"/>
    <s v="RA-07M-2786]PLT DET SNSR (IR)"/>
    <n v="164"/>
    <s v=""/>
    <x v="67"/>
    <d v="2026-09-11T00:00:00"/>
    <s v=""/>
    <n v="92548"/>
    <n v="14"/>
    <d v="2026-09-18T00:00:00"/>
    <n v="150"/>
  </r>
  <r>
    <x v="0"/>
    <s v=""/>
    <s v="입고"/>
    <s v=""/>
    <s v=""/>
    <x v="24"/>
    <s v="RA-02A-2740]ASM VERT TOTAL (A+) (VN)"/>
    <n v="15"/>
    <s v=""/>
    <x v="20"/>
    <d v="2026-08-27T00:00:00"/>
    <s v=""/>
    <n v="92568"/>
    <n v="15"/>
    <d v="2026-08-28T00:00:00"/>
    <n v="0"/>
  </r>
  <r>
    <x v="0"/>
    <s v=""/>
    <s v="입고"/>
    <s v=""/>
    <s v=""/>
    <x v="24"/>
    <s v="RA-02A-2740]ASM VERT TOTAL (A+) (VN)"/>
    <n v="30"/>
    <s v=""/>
    <x v="20"/>
    <d v="2026-08-27T00:00:00"/>
    <s v=""/>
    <n v="92568"/>
    <n v="5"/>
    <d v="2026-08-31T00:00:00"/>
    <n v="25"/>
  </r>
  <r>
    <x v="0"/>
    <s v=""/>
    <s v=""/>
    <s v=""/>
    <s v=""/>
    <x v="24"/>
    <s v="RA-02A-2740]ASM VERT TOTAL (A+) (VN)"/>
    <n v="30"/>
    <s v=""/>
    <x v="20"/>
    <d v="2026-09-09T00:00:00"/>
    <s v=""/>
    <n v="92568"/>
    <n v="10"/>
    <d v="2026-09-09T00:00:00"/>
    <n v="20"/>
  </r>
  <r>
    <x v="0"/>
    <s v=""/>
    <s v="입고"/>
    <s v=""/>
    <s v=""/>
    <x v="32"/>
    <s v="RA-05M-3359]FRM ROT WEIGHT (ST)"/>
    <n v="70"/>
    <s v=""/>
    <x v="20"/>
    <d v="2026-09-15T00:00:00"/>
    <s v=""/>
    <n v="92568"/>
    <n v="1"/>
    <d v="2026-09-15T00:00:00"/>
    <n v="69"/>
  </r>
  <r>
    <x v="0"/>
    <s v=""/>
    <s v=""/>
    <s v=""/>
    <s v=""/>
    <x v="428"/>
    <s v="RA-05A-6004]Bd ASSY'-Aux MCU"/>
    <n v="278"/>
    <s v=""/>
    <x v="182"/>
    <d v="2026-08-27T00:00:00"/>
    <s v=""/>
    <n v="92568"/>
    <n v="30"/>
    <d v="2026-08-28T00:00:00"/>
    <n v="248"/>
  </r>
  <r>
    <x v="0"/>
    <s v=""/>
    <s v=""/>
    <s v=""/>
    <s v=""/>
    <x v="572"/>
    <s v="RA-09T-2534]CAS CT HEADREST (A+)"/>
    <n v="216"/>
    <s v=""/>
    <x v="27"/>
    <d v="2026-09-11T00:00:00"/>
    <s v=""/>
    <n v="92571"/>
    <n v="45"/>
    <d v="2026-09-16T00:00:00"/>
    <n v="171"/>
  </r>
  <r>
    <x v="0"/>
    <s v=""/>
    <s v="기초추가"/>
    <s v=""/>
    <s v=""/>
    <x v="207"/>
    <s v="RF-01S-5093]CAM Cable_TEETH_R"/>
    <n v="1"/>
    <s v=""/>
    <x v="66"/>
    <d v="2026-07-21T00:00:00"/>
    <s v=""/>
    <n v="92574"/>
    <n v="1"/>
    <d v="2026-08-25T00:00:00"/>
    <n v="0"/>
  </r>
  <r>
    <x v="0"/>
    <s v=""/>
    <s v="기초추가"/>
    <s v=""/>
    <s v=""/>
    <x v="222"/>
    <s v="RF-01T-0173]ARM CVR REAR DECO"/>
    <n v="1"/>
    <s v=""/>
    <x v="119"/>
    <d v="2026-08-19T00:00:00"/>
    <s v=""/>
    <n v="92574"/>
    <n v="1"/>
    <d v="2026-08-25T00:00:00"/>
    <n v="0"/>
  </r>
  <r>
    <x v="0"/>
    <s v=""/>
    <s v=""/>
    <s v=""/>
    <s v=""/>
    <x v="73"/>
    <s v="RF-01H-5052]USB TO SBC HARNESS"/>
    <n v="2"/>
    <s v=""/>
    <x v="53"/>
    <d v="2026-07-27T00:00:00"/>
    <s v=""/>
    <n v="92574"/>
    <n v="2"/>
    <d v="2026-08-25T00:00:00"/>
    <n v="0"/>
  </r>
  <r>
    <x v="0"/>
    <s v=""/>
    <s v=""/>
    <s v=""/>
    <s v=""/>
    <x v="69"/>
    <s v="RF-01H-5054]DLP Power harness"/>
    <n v="2"/>
    <s v=""/>
    <x v="53"/>
    <d v="2026-07-27T00:00:00"/>
    <s v=""/>
    <n v="92574"/>
    <n v="2"/>
    <d v="2026-08-25T00:00:00"/>
    <n v="0"/>
  </r>
  <r>
    <x v="0"/>
    <s v=""/>
    <s v="기초추가"/>
    <s v=""/>
    <s v=""/>
    <x v="204"/>
    <s v="RF-01S-5084]CAM Trigger_C harness"/>
    <n v="2"/>
    <s v=""/>
    <x v="112"/>
    <d v="2026-08-25T00:00:00"/>
    <s v=""/>
    <n v="92574"/>
    <n v="2"/>
    <d v="2026-08-25T00:00:00"/>
    <n v="0"/>
  </r>
  <r>
    <x v="0"/>
    <s v=""/>
    <s v="기초추가"/>
    <s v=""/>
    <s v=""/>
    <x v="114"/>
    <s v="RF-01T-0172]ARM CVR REAR L"/>
    <n v="2"/>
    <s v=""/>
    <x v="78"/>
    <d v="2026-08-25T00:00:00"/>
    <s v=""/>
    <n v="92574"/>
    <n v="2"/>
    <d v="2026-08-25T00:00:00"/>
    <n v="0"/>
  </r>
  <r>
    <x v="0"/>
    <s v=""/>
    <s v=""/>
    <s v=""/>
    <s v=""/>
    <x v="101"/>
    <s v="RF-01H-5069]LED_Bottom harness"/>
    <n v="3"/>
    <s v=""/>
    <x v="64"/>
    <d v="2026-07-21T00:00:00"/>
    <s v=""/>
    <n v="92574"/>
    <n v="3"/>
    <d v="2026-08-25T00:00:00"/>
    <n v="0"/>
  </r>
  <r>
    <x v="0"/>
    <s v=""/>
    <s v=""/>
    <s v=""/>
    <s v=""/>
    <x v="144"/>
    <s v="RF-01H-5055]LED Power harness"/>
    <n v="3"/>
    <s v=""/>
    <x v="53"/>
    <d v="2026-07-27T00:00:00"/>
    <s v=""/>
    <n v="92574"/>
    <n v="3"/>
    <d v="2026-08-25T00:00:00"/>
    <n v="0"/>
  </r>
  <r>
    <x v="0"/>
    <s v=""/>
    <s v=""/>
    <s v=""/>
    <s v=""/>
    <x v="171"/>
    <s v=""/>
    <n v="3"/>
    <s v=""/>
    <x v="99"/>
    <d v="2026-08-19T00:00:00"/>
    <s v=""/>
    <n v="92574"/>
    <n v="3"/>
    <d v="2026-08-25T00:00:00"/>
    <n v="0"/>
  </r>
  <r>
    <x v="0"/>
    <s v=""/>
    <s v=""/>
    <s v=""/>
    <s v=""/>
    <x v="203"/>
    <s v="RF-01H-5053]USB to PC harness"/>
    <n v="5"/>
    <s v=""/>
    <x v="53"/>
    <d v="2026-07-27T00:00:00"/>
    <s v=""/>
    <n v="92574"/>
    <n v="5"/>
    <d v="2026-08-25T00:00:00"/>
    <n v="0"/>
  </r>
  <r>
    <x v="0"/>
    <s v=""/>
    <s v=""/>
    <s v=""/>
    <s v=""/>
    <x v="135"/>
    <s v="RF-01H-5067]LED_Right harness"/>
    <n v="5"/>
    <s v=""/>
    <x v="64"/>
    <d v="2026-07-27T00:00:00"/>
    <s v=""/>
    <n v="92574"/>
    <n v="5"/>
    <d v="2026-08-25T00:00:00"/>
    <n v="0"/>
  </r>
  <r>
    <x v="0"/>
    <s v=""/>
    <s v=""/>
    <s v=""/>
    <s v=""/>
    <x v="202"/>
    <s v="RF-01H-5075] USB to Cal kit harness"/>
    <n v="5"/>
    <s v=""/>
    <x v="79"/>
    <d v="2026-07-27T00:00:00"/>
    <s v=""/>
    <n v="92574"/>
    <n v="5"/>
    <d v="2026-08-25T00:00:00"/>
    <n v="0"/>
  </r>
  <r>
    <x v="0"/>
    <s v=""/>
    <s v=""/>
    <s v=""/>
    <s v=""/>
    <x v="59"/>
    <s v="RF-01B-5040]MAIN Bd"/>
    <n v="6"/>
    <s v=""/>
    <x v="46"/>
    <d v="2026-07-21T00:00:00"/>
    <s v=""/>
    <n v="92574"/>
    <n v="6"/>
    <d v="2026-08-25T00:00:00"/>
    <n v="0"/>
  </r>
  <r>
    <x v="0"/>
    <s v=""/>
    <s v=""/>
    <s v=""/>
    <s v=""/>
    <x v="274"/>
    <s v="RF-01H-5056]LED PWM harness"/>
    <n v="6"/>
    <s v=""/>
    <x v="53"/>
    <d v="2026-07-27T00:00:00"/>
    <s v=""/>
    <n v="92574"/>
    <n v="6"/>
    <d v="2026-08-25T00:00:00"/>
    <n v="0"/>
  </r>
  <r>
    <x v="0"/>
    <s v=""/>
    <s v=""/>
    <s v=""/>
    <s v=""/>
    <x v="274"/>
    <s v="RF-01H-5056]LED PWM harness"/>
    <n v="6"/>
    <s v=""/>
    <x v="53"/>
    <d v="2026-07-27T00:00:00"/>
    <s v=""/>
    <n v="92574"/>
    <n v="6"/>
    <d v="2026-08-25T00:00:00"/>
    <n v="0"/>
  </r>
  <r>
    <x v="0"/>
    <s v=""/>
    <s v="입고"/>
    <s v=""/>
    <s v=""/>
    <x v="73"/>
    <s v="RF-01H-5052]USB TO SBC HARNESS"/>
    <n v="7"/>
    <s v=""/>
    <x v="53"/>
    <d v="2026-07-24T00:00:00"/>
    <s v=""/>
    <n v="92574"/>
    <n v="7"/>
    <d v="2026-08-25T00:00:00"/>
    <n v="0"/>
  </r>
  <r>
    <x v="0"/>
    <s v=""/>
    <s v=""/>
    <s v=""/>
    <s v=""/>
    <x v="188"/>
    <s v="RF-01H-5071]SBC LAN Cable"/>
    <n v="8"/>
    <s v=""/>
    <x v="79"/>
    <d v="2026-07-21T00:00:00"/>
    <s v=""/>
    <n v="92574"/>
    <n v="8"/>
    <d v="2026-08-25T00:00:00"/>
    <n v="0"/>
  </r>
  <r>
    <x v="0"/>
    <s v=""/>
    <s v=""/>
    <s v=""/>
    <s v=""/>
    <x v="76"/>
    <s v="RF-10A-2086]ASM JETSON NANO"/>
    <n v="9"/>
    <s v=""/>
    <x v="57"/>
    <d v="2026-07-21T00:00:00"/>
    <s v=""/>
    <n v="92574"/>
    <n v="9"/>
    <d v="2026-08-25T00:00:00"/>
    <n v="0"/>
  </r>
  <r>
    <x v="0"/>
    <s v=""/>
    <s v=""/>
    <s v=""/>
    <s v=""/>
    <x v="124"/>
    <s v=""/>
    <n v="10"/>
    <s v=""/>
    <x v="66"/>
    <d v="2026-07-21T00:00:00"/>
    <s v=""/>
    <n v="92574"/>
    <n v="10"/>
    <d v="2026-08-25T00:00:00"/>
    <n v="0"/>
  </r>
  <r>
    <x v="0"/>
    <s v=""/>
    <s v="입고"/>
    <s v=""/>
    <s v=""/>
    <x v="101"/>
    <s v="RF-01H-5069]LED_Bottom harness"/>
    <n v="10"/>
    <s v=""/>
    <x v="64"/>
    <d v="2026-07-24T00:00:00"/>
    <s v=""/>
    <n v="92574"/>
    <n v="10"/>
    <d v="2026-08-25T00:00:00"/>
    <n v="0"/>
  </r>
  <r>
    <x v="0"/>
    <s v=""/>
    <s v="입고"/>
    <s v="하이크로봇"/>
    <s v="장동은"/>
    <x v="204"/>
    <s v="RF-01S-5084]CAM Trigger_C harness"/>
    <n v="10"/>
    <s v=""/>
    <x v="112"/>
    <d v="2026-08-31T00:00:00"/>
    <s v=""/>
    <n v="92574"/>
    <n v="2"/>
    <d v="2026-09-03T00:00:00"/>
    <n v="8"/>
  </r>
  <r>
    <x v="0"/>
    <s v=""/>
    <s v="입고"/>
    <s v="하이크로봇"/>
    <s v="장동은"/>
    <x v="207"/>
    <s v="RF-01S-5093]CAM Cable_TEETH_R"/>
    <n v="10"/>
    <s v=""/>
    <x v="66"/>
    <d v="2026-08-31T00:00:00"/>
    <s v=""/>
    <n v="92574"/>
    <n v="4"/>
    <d v="2026-09-03T00:00:00"/>
    <n v="6"/>
  </r>
  <r>
    <x v="0"/>
    <s v=""/>
    <s v="입고"/>
    <s v=""/>
    <s v=""/>
    <x v="203"/>
    <s v="RF-01H-5053]USB to PC harness"/>
    <n v="11"/>
    <s v=""/>
    <x v="53"/>
    <d v="2026-07-24T00:00:00"/>
    <s v=""/>
    <n v="92574"/>
    <n v="11"/>
    <d v="2026-08-25T00:00:00"/>
    <n v="0"/>
  </r>
  <r>
    <x v="0"/>
    <s v=""/>
    <s v=""/>
    <s v=""/>
    <s v=""/>
    <x v="171"/>
    <s v=""/>
    <n v="11"/>
    <s v=""/>
    <x v="99"/>
    <d v="2026-08-19T00:00:00"/>
    <s v=""/>
    <n v="92574"/>
    <n v="11"/>
    <d v="2026-08-25T00:00:00"/>
    <n v="0"/>
  </r>
  <r>
    <x v="0"/>
    <s v=""/>
    <s v="입고"/>
    <s v=""/>
    <s v=""/>
    <x v="202"/>
    <s v="RF-01H-5075] USB to Cal kit harness"/>
    <n v="12"/>
    <s v=""/>
    <x v="79"/>
    <d v="2026-07-24T00:00:00"/>
    <s v=""/>
    <n v="92574"/>
    <n v="12"/>
    <d v="2026-08-25T00:00:00"/>
    <n v="0"/>
  </r>
  <r>
    <x v="0"/>
    <s v=""/>
    <s v=""/>
    <s v=""/>
    <s v=""/>
    <x v="50"/>
    <s v="RF-01M-0396]FRAME PIPE ALIGN"/>
    <n v="12"/>
    <s v=""/>
    <x v="28"/>
    <d v="2026-09-03T00:00:00"/>
    <s v=""/>
    <n v="92574"/>
    <n v="3"/>
    <d v="2026-09-03T00:00:00"/>
    <n v="9"/>
  </r>
  <r>
    <x v="0"/>
    <s v=""/>
    <s v="입고"/>
    <s v=""/>
    <s v=""/>
    <x v="69"/>
    <s v="RF-01H-5054]DLP Power harness"/>
    <n v="14"/>
    <s v=""/>
    <x v="53"/>
    <d v="2026-07-24T00:00:00"/>
    <s v=""/>
    <n v="92574"/>
    <n v="14"/>
    <d v="2026-08-25T00:00:00"/>
    <n v="0"/>
  </r>
  <r>
    <x v="0"/>
    <s v=""/>
    <s v="입고"/>
    <s v=""/>
    <s v=""/>
    <x v="135"/>
    <s v="RF-01H-5067]LED_Right harness"/>
    <n v="15"/>
    <s v=""/>
    <x v="64"/>
    <d v="2026-07-24T00:00:00"/>
    <s v=""/>
    <n v="92574"/>
    <n v="15"/>
    <d v="2026-08-25T00:00:00"/>
    <n v="0"/>
  </r>
  <r>
    <x v="0"/>
    <s v=""/>
    <s v="기초추가"/>
    <s v=""/>
    <s v=""/>
    <x v="92"/>
    <s v="RF-01M-0268]TEETH CAM BLK_HR"/>
    <n v="16"/>
    <s v=""/>
    <x v="69"/>
    <d v="2026-08-25T00:00:00"/>
    <s v=""/>
    <n v="92574"/>
    <n v="16"/>
    <d v="2026-08-25T00:00:00"/>
    <n v="0"/>
  </r>
  <r>
    <x v="0"/>
    <s v=""/>
    <s v="입고"/>
    <s v=""/>
    <s v=""/>
    <x v="144"/>
    <s v="RF-01H-5055]LED Power harness"/>
    <n v="18"/>
    <s v=""/>
    <x v="53"/>
    <d v="2026-07-24T00:00:00"/>
    <s v=""/>
    <n v="92574"/>
    <n v="18"/>
    <d v="2026-08-25T00:00:00"/>
    <n v="0"/>
  </r>
  <r>
    <x v="0"/>
    <s v=""/>
    <s v=""/>
    <s v=""/>
    <s v=""/>
    <x v="212"/>
    <s v="RF-01S-5046]DLP ENGINE"/>
    <n v="24"/>
    <s v=""/>
    <x v="115"/>
    <d v="2026-08-19T00:00:00"/>
    <s v=""/>
    <n v="92574"/>
    <n v="24"/>
    <d v="2026-08-25T00:00:00"/>
    <n v="0"/>
  </r>
  <r>
    <x v="0"/>
    <s v=""/>
    <s v=""/>
    <s v=""/>
    <s v=""/>
    <x v="99"/>
    <s v="RF-01T-0353]WINDOW LED"/>
    <n v="25"/>
    <s v=""/>
    <x v="59"/>
    <d v="2026-07-23T00:00:00"/>
    <s v=""/>
    <n v="92574"/>
    <n v="25"/>
    <d v="2026-08-25T00:00:00"/>
    <n v="0"/>
  </r>
  <r>
    <x v="0"/>
    <s v=""/>
    <s v=""/>
    <s v=""/>
    <s v=""/>
    <x v="419"/>
    <s v="RF-01T-0171]ARM CVR REAR R"/>
    <n v="25"/>
    <s v=""/>
    <x v="179"/>
    <d v="2026-08-19T00:00:00"/>
    <s v=""/>
    <n v="92574"/>
    <n v="25"/>
    <d v="2026-08-25T00:00:00"/>
    <n v="0"/>
  </r>
  <r>
    <x v="0"/>
    <s v=""/>
    <s v=""/>
    <s v=""/>
    <s v=""/>
    <x v="94"/>
    <s v="RF-01S-5049]Face Lens"/>
    <n v="40"/>
    <s v=""/>
    <x v="56"/>
    <d v="2026-07-21T00:00:00"/>
    <s v=""/>
    <n v="92574"/>
    <n v="40"/>
    <d v="2026-08-25T00:00:00"/>
    <n v="0"/>
  </r>
  <r>
    <x v="0"/>
    <s v=""/>
    <s v=""/>
    <s v=""/>
    <s v=""/>
    <x v="423"/>
    <s v="RF-01T-0160_C]Bas BOT LWR"/>
    <n v="45"/>
    <s v=""/>
    <x v="180"/>
    <d v="2026-07-21T00:00:00"/>
    <s v=""/>
    <n v="92574"/>
    <n v="45"/>
    <d v="2026-08-25T00:00:00"/>
    <n v="0"/>
  </r>
  <r>
    <x v="0"/>
    <s v=""/>
    <s v=""/>
    <s v=""/>
    <s v=""/>
    <x v="139"/>
    <s v="MODULE ARM RIGHT"/>
    <n v="45"/>
    <s v=""/>
    <x v="77"/>
    <d v="2026-07-21T00:00:00"/>
    <s v=""/>
    <n v="92574"/>
    <n v="45"/>
    <d v="2026-08-25T00:00:00"/>
    <n v="0"/>
  </r>
  <r>
    <x v="0"/>
    <s v=""/>
    <s v=""/>
    <s v=""/>
    <s v=""/>
    <x v="102"/>
    <s v="RF-01H-5068]LED_Left harness"/>
    <n v="45"/>
    <s v=""/>
    <x v="64"/>
    <d v="2026-07-21T00:00:00"/>
    <s v=""/>
    <n v="92574"/>
    <n v="45"/>
    <d v="2026-08-25T00:00:00"/>
    <n v="0"/>
  </r>
  <r>
    <x v="0"/>
    <s v=""/>
    <s v=""/>
    <s v=""/>
    <s v=""/>
    <x v="207"/>
    <s v="RF-01S-5093]CAM Cable_TEETH_R"/>
    <n v="45"/>
    <s v=""/>
    <x v="66"/>
    <d v="2026-07-21T00:00:00"/>
    <s v=""/>
    <n v="92574"/>
    <n v="45"/>
    <d v="2026-08-25T00:00:00"/>
    <n v="0"/>
  </r>
  <r>
    <x v="0"/>
    <s v=""/>
    <s v=""/>
    <s v=""/>
    <s v=""/>
    <x v="204"/>
    <s v="RF-01S-5084]CAM Trigger_C harness"/>
    <n v="46"/>
    <s v=""/>
    <x v="112"/>
    <d v="2026-07-27T00:00:00"/>
    <s v=""/>
    <n v="92574"/>
    <n v="46"/>
    <d v="2026-08-25T00:00:00"/>
    <n v="0"/>
  </r>
  <r>
    <x v="0"/>
    <s v=""/>
    <s v=""/>
    <s v=""/>
    <s v=""/>
    <x v="50"/>
    <s v="RF-01M-0396]FRAME PIPE ALIGN"/>
    <n v="47"/>
    <s v=""/>
    <x v="28"/>
    <d v="2026-08-19T00:00:00"/>
    <s v=""/>
    <n v="92574"/>
    <n v="47"/>
    <d v="2026-08-25T00:00:00"/>
    <n v="0"/>
  </r>
  <r>
    <x v="0"/>
    <s v=""/>
    <s v=""/>
    <s v=""/>
    <s v=""/>
    <x v="114"/>
    <s v="RF-01T-0172]ARM CVR REAR L"/>
    <n v="47"/>
    <s v=""/>
    <x v="78"/>
    <d v="2026-07-24T00:00:00"/>
    <s v=""/>
    <n v="92574"/>
    <n v="47"/>
    <d v="2026-08-25T00:00:00"/>
    <n v="0"/>
  </r>
  <r>
    <x v="0"/>
    <s v=""/>
    <s v=""/>
    <s v=""/>
    <s v=""/>
    <x v="222"/>
    <s v="RF-01T-0173]ARM CVR REAR DECO"/>
    <n v="49"/>
    <s v=""/>
    <x v="119"/>
    <d v="2026-08-19T00:00:00"/>
    <s v=""/>
    <n v="92574"/>
    <n v="49"/>
    <d v="2026-08-25T00:00:00"/>
    <n v="0"/>
  </r>
  <r>
    <x v="0"/>
    <s v=""/>
    <s v=""/>
    <s v=""/>
    <s v=""/>
    <x v="155"/>
    <s v=""/>
    <n v="50"/>
    <s v=""/>
    <x v="80"/>
    <d v="2026-07-21T00:00:00"/>
    <s v=""/>
    <n v="92574"/>
    <n v="50"/>
    <d v="2026-08-25T00:00:00"/>
    <n v="0"/>
  </r>
  <r>
    <x v="0"/>
    <s v=""/>
    <s v=""/>
    <s v=""/>
    <s v=""/>
    <x v="75"/>
    <s v="RF-20A-0280]MODULE DLP MCU BRACKET"/>
    <n v="50"/>
    <s v=""/>
    <x v="54"/>
    <d v="2026-07-24T00:00:00"/>
    <s v=""/>
    <n v="92574"/>
    <n v="50"/>
    <d v="2026-08-25T00:00:00"/>
    <n v="0"/>
  </r>
  <r>
    <x v="0"/>
    <s v=""/>
    <s v="입고"/>
    <s v=""/>
    <s v=""/>
    <x v="73"/>
    <s v="RF-01H-5052]USB TO SBC HARNESS"/>
    <n v="50"/>
    <s v=""/>
    <x v="53"/>
    <d v="2026-08-19T00:00:00"/>
    <s v=""/>
    <n v="92574"/>
    <n v="41"/>
    <d v="2026-08-25T00:00:00"/>
    <n v="9"/>
  </r>
  <r>
    <x v="0"/>
    <s v=""/>
    <s v="입고"/>
    <s v=""/>
    <s v=""/>
    <x v="203"/>
    <s v="RF-01H-5053]USB to PC harness"/>
    <n v="50"/>
    <s v=""/>
    <x v="53"/>
    <d v="2026-08-19T00:00:00"/>
    <s v=""/>
    <n v="92574"/>
    <n v="34"/>
    <d v="2026-08-25T00:00:00"/>
    <n v="16"/>
  </r>
  <r>
    <x v="0"/>
    <s v=""/>
    <s v="입고"/>
    <s v=""/>
    <s v=""/>
    <x v="69"/>
    <s v="RF-01H-5054]DLP Power harness"/>
    <n v="50"/>
    <s v=""/>
    <x v="53"/>
    <d v="2026-08-19T00:00:00"/>
    <s v=""/>
    <n v="92574"/>
    <n v="34"/>
    <d v="2026-08-25T00:00:00"/>
    <n v="16"/>
  </r>
  <r>
    <x v="0"/>
    <s v=""/>
    <s v="입고"/>
    <s v=""/>
    <s v=""/>
    <x v="144"/>
    <s v="RF-01H-5055]LED Power harness"/>
    <n v="50"/>
    <s v=""/>
    <x v="53"/>
    <d v="2026-08-19T00:00:00"/>
    <s v=""/>
    <n v="92574"/>
    <n v="29"/>
    <d v="2026-08-25T00:00:00"/>
    <n v="21"/>
  </r>
  <r>
    <x v="0"/>
    <s v=""/>
    <s v="입고"/>
    <s v=""/>
    <s v=""/>
    <x v="135"/>
    <s v="RF-01H-5067]LED_Right harness"/>
    <n v="50"/>
    <s v=""/>
    <x v="64"/>
    <d v="2026-08-19T00:00:00"/>
    <s v=""/>
    <n v="92574"/>
    <n v="30"/>
    <d v="2026-08-25T00:00:00"/>
    <n v="20"/>
  </r>
  <r>
    <x v="0"/>
    <s v=""/>
    <s v="입고"/>
    <s v=""/>
    <s v=""/>
    <x v="102"/>
    <s v="RF-01H-5068]LED_Left harness"/>
    <n v="50"/>
    <s v=""/>
    <x v="64"/>
    <d v="2026-08-19T00:00:00"/>
    <s v=""/>
    <n v="92574"/>
    <n v="5"/>
    <d v="2026-08-25T00:00:00"/>
    <n v="45"/>
  </r>
  <r>
    <x v="0"/>
    <s v=""/>
    <s v="입고"/>
    <s v=""/>
    <s v=""/>
    <x v="101"/>
    <s v="RF-01H-5069]LED_Bottom harness"/>
    <n v="50"/>
    <s v=""/>
    <x v="64"/>
    <d v="2026-08-19T00:00:00"/>
    <s v=""/>
    <n v="92574"/>
    <n v="37"/>
    <d v="2026-08-25T00:00:00"/>
    <n v="13"/>
  </r>
  <r>
    <x v="0"/>
    <s v=""/>
    <s v="입고"/>
    <s v=""/>
    <s v=""/>
    <x v="188"/>
    <s v="RF-01H-5071]SBC LAN Cable"/>
    <n v="50"/>
    <s v=""/>
    <x v="79"/>
    <d v="2026-08-19T00:00:00"/>
    <s v=""/>
    <n v="92574"/>
    <n v="42"/>
    <d v="2026-08-25T00:00:00"/>
    <n v="8"/>
  </r>
  <r>
    <x v="0"/>
    <s v=""/>
    <s v="입고"/>
    <s v=""/>
    <s v=""/>
    <x v="202"/>
    <s v="RF-01H-5075] USB to Cal kit harness"/>
    <n v="50"/>
    <s v=""/>
    <x v="79"/>
    <d v="2026-08-19T00:00:00"/>
    <s v=""/>
    <n v="92574"/>
    <n v="33"/>
    <d v="2026-08-25T00:00:00"/>
    <n v="17"/>
  </r>
  <r>
    <x v="0"/>
    <s v=""/>
    <s v="입고"/>
    <s v=""/>
    <s v=""/>
    <x v="94"/>
    <s v="RF-01S-5049]Face Lens"/>
    <n v="50"/>
    <s v=""/>
    <x v="56"/>
    <d v="2026-08-19T00:00:00"/>
    <s v=""/>
    <n v="92574"/>
    <n v="10"/>
    <d v="2026-08-25T00:00:00"/>
    <n v="40"/>
  </r>
  <r>
    <x v="0"/>
    <s v=""/>
    <s v="입고"/>
    <s v=""/>
    <s v=""/>
    <x v="112"/>
    <s v=""/>
    <n v="50"/>
    <s v=""/>
    <x v="77"/>
    <d v="2026-08-03T00:00:00"/>
    <s v=""/>
    <n v="92574"/>
    <n v="50"/>
    <d v="2026-08-25T00:00:00"/>
    <n v="0"/>
  </r>
  <r>
    <x v="0"/>
    <s v=""/>
    <s v="입고"/>
    <s v=""/>
    <s v=""/>
    <x v="133"/>
    <s v=""/>
    <n v="50"/>
    <s v=""/>
    <x v="66"/>
    <d v="2026-08-21T00:00:00"/>
    <s v=""/>
    <n v="92574"/>
    <n v="50"/>
    <d v="2026-08-25T00:00:00"/>
    <n v="0"/>
  </r>
  <r>
    <x v="0"/>
    <s v=""/>
    <s v="입고"/>
    <s v=""/>
    <s v=""/>
    <x v="124"/>
    <s v=""/>
    <n v="50"/>
    <s v=""/>
    <x v="66"/>
    <d v="2026-08-21T00:00:00"/>
    <s v=""/>
    <n v="92574"/>
    <n v="40"/>
    <d v="2026-08-25T00:00:00"/>
    <n v="10"/>
  </r>
  <r>
    <x v="0"/>
    <s v=""/>
    <s v="입고"/>
    <s v=""/>
    <s v=""/>
    <x v="86"/>
    <s v=""/>
    <n v="50"/>
    <s v=""/>
    <x v="45"/>
    <d v="2026-08-21T00:00:00"/>
    <s v=""/>
    <n v="92574"/>
    <n v="50"/>
    <d v="2026-08-25T00:00:00"/>
    <n v="0"/>
  </r>
  <r>
    <x v="0"/>
    <s v=""/>
    <s v="입고"/>
    <s v=""/>
    <s v=""/>
    <x v="212"/>
    <s v="RF-01S-5046]DLP ENGINE"/>
    <n v="50"/>
    <s v=""/>
    <x v="115"/>
    <d v="2026-08-20T00:00:00"/>
    <s v=""/>
    <n v="92574"/>
    <n v="26"/>
    <d v="2026-08-25T00:00:00"/>
    <n v="24"/>
  </r>
  <r>
    <x v="0"/>
    <s v=""/>
    <s v="입고"/>
    <s v="A&amp;T"/>
    <s v="조영우"/>
    <x v="119"/>
    <s v="RF-01V-0197]JETSON BRK"/>
    <n v="50"/>
    <s v=""/>
    <x v="51"/>
    <d v="2026-09-01T00:00:00"/>
    <s v=""/>
    <n v="92574"/>
    <n v="50"/>
    <d v="2026-09-03T00:00:00"/>
    <n v="0"/>
  </r>
  <r>
    <x v="0"/>
    <s v=""/>
    <s v=""/>
    <s v=""/>
    <s v=""/>
    <x v="40"/>
    <s v="RF-01M-0398]COVER TOP"/>
    <n v="52"/>
    <s v=""/>
    <x v="32"/>
    <d v="2026-07-21T00:00:00"/>
    <s v=""/>
    <n v="92574"/>
    <n v="50"/>
    <d v="2026-08-25T00:00:00"/>
    <n v="2"/>
  </r>
  <r>
    <x v="0"/>
    <s v=""/>
    <s v=""/>
    <s v=""/>
    <s v=""/>
    <x v="42"/>
    <s v="RF-01V-0209]FRONT BRK TOP"/>
    <n v="55"/>
    <s v=""/>
    <x v="34"/>
    <d v="2026-07-21T00:00:00"/>
    <s v=""/>
    <n v="92574"/>
    <n v="50"/>
    <d v="2026-08-25T00:00:00"/>
    <n v="5"/>
  </r>
  <r>
    <x v="0"/>
    <s v=""/>
    <s v=""/>
    <s v=""/>
    <s v=""/>
    <x v="583"/>
    <s v="RF-01S-5090]CAM Cable_TEETH_L"/>
    <n v="56"/>
    <s v=""/>
    <x v="66"/>
    <d v="2026-07-21T00:00:00"/>
    <s v=""/>
    <n v="92574"/>
    <n v="50"/>
    <d v="2026-08-25T00:00:00"/>
    <n v="6"/>
  </r>
  <r>
    <x v="0"/>
    <s v=""/>
    <s v=""/>
    <s v=""/>
    <s v=""/>
    <x v="45"/>
    <s v="RF-01S-5085]FACE CAM"/>
    <n v="57"/>
    <s v=""/>
    <x v="36"/>
    <d v="2026-07-21T00:00:00"/>
    <s v=""/>
    <n v="92574"/>
    <n v="50"/>
    <d v="2026-08-25T00:00:00"/>
    <n v="7"/>
  </r>
  <r>
    <x v="0"/>
    <s v=""/>
    <s v=""/>
    <s v=""/>
    <s v=""/>
    <x v="127"/>
    <s v="RF-01M-0200]MIRROR PLT"/>
    <n v="60"/>
    <s v=""/>
    <x v="82"/>
    <d v="2026-07-21T00:00:00"/>
    <s v=""/>
    <n v="92574"/>
    <n v="50"/>
    <d v="2026-08-25T00:00:00"/>
    <n v="10"/>
  </r>
  <r>
    <x v="0"/>
    <s v=""/>
    <s v=""/>
    <s v=""/>
    <s v=""/>
    <x v="408"/>
    <s v="RF-01T-0351]WINDOW LED B"/>
    <n v="62"/>
    <s v=""/>
    <x v="59"/>
    <d v="2026-07-21T00:00:00"/>
    <s v=""/>
    <n v="92574"/>
    <n v="50"/>
    <d v="2026-08-25T00:00:00"/>
    <n v="12"/>
  </r>
  <r>
    <x v="0"/>
    <s v=""/>
    <s v=""/>
    <s v=""/>
    <s v=""/>
    <x v="89"/>
    <s v="RF-01T-0352]CAMERA CASE B"/>
    <n v="62"/>
    <s v=""/>
    <x v="59"/>
    <d v="2026-08-19T00:00:00"/>
    <s v=""/>
    <n v="92574"/>
    <n v="50"/>
    <d v="2026-08-25T00:00:00"/>
    <n v="12"/>
  </r>
  <r>
    <x v="0"/>
    <s v=""/>
    <s v=""/>
    <s v=""/>
    <s v=""/>
    <x v="87"/>
    <s v="RF-01T-0210]CVR FRONT MID L"/>
    <n v="66"/>
    <s v=""/>
    <x v="35"/>
    <d v="2026-07-24T00:00:00"/>
    <s v=""/>
    <n v="92574"/>
    <n v="50"/>
    <d v="2026-08-25T00:00:00"/>
    <n v="16"/>
  </r>
  <r>
    <x v="0"/>
    <s v=""/>
    <s v=""/>
    <s v=""/>
    <s v=""/>
    <x v="308"/>
    <s v="RF-01S-5072]USB 3.0 A to B Cable"/>
    <n v="67"/>
    <s v=""/>
    <x v="60"/>
    <d v="2026-07-29T00:00:00"/>
    <s v=""/>
    <n v="92574"/>
    <n v="50"/>
    <d v="2026-08-25T00:00:00"/>
    <n v="17"/>
  </r>
  <r>
    <x v="0"/>
    <s v=""/>
    <s v=""/>
    <s v=""/>
    <s v=""/>
    <x v="582"/>
    <s v="RF-01T-0199]CVR REAR TOP"/>
    <n v="67"/>
    <s v=""/>
    <x v="219"/>
    <d v="2026-08-19T00:00:00"/>
    <s v=""/>
    <n v="92574"/>
    <n v="50"/>
    <d v="2026-08-25T00:00:00"/>
    <n v="17"/>
  </r>
  <r>
    <x v="0"/>
    <s v=""/>
    <s v=""/>
    <s v=""/>
    <s v=""/>
    <x v="126"/>
    <s v="USB HOLDER FRONT"/>
    <n v="72"/>
    <s v=""/>
    <x v="81"/>
    <d v="2026-07-21T00:00:00"/>
    <s v=""/>
    <n v="92574"/>
    <n v="72"/>
    <d v="2026-08-25T00:00:00"/>
    <n v="0"/>
  </r>
  <r>
    <x v="0"/>
    <s v=""/>
    <s v=""/>
    <s v=""/>
    <s v=""/>
    <x v="327"/>
    <s v="RF-01S-5050]TEETH LENS"/>
    <n v="73"/>
    <s v=""/>
    <x v="56"/>
    <d v="2026-07-23T00:00:00"/>
    <s v=""/>
    <n v="92574"/>
    <n v="73"/>
    <d v="2026-08-25T00:00:00"/>
    <n v="0"/>
  </r>
  <r>
    <x v="0"/>
    <s v=""/>
    <s v=""/>
    <s v=""/>
    <s v=""/>
    <x v="180"/>
    <s v="RF-01T-0190]CVR FRONT"/>
    <n v="75"/>
    <s v=""/>
    <x v="103"/>
    <d v="2026-08-19T00:00:00"/>
    <s v=""/>
    <n v="92574"/>
    <n v="50"/>
    <d v="2026-08-25T00:00:00"/>
    <n v="25"/>
  </r>
  <r>
    <x v="0"/>
    <s v=""/>
    <s v=""/>
    <s v=""/>
    <s v=""/>
    <x v="85"/>
    <s v="RF-01S-5086]TEETH CAM"/>
    <n v="88"/>
    <s v=""/>
    <x v="66"/>
    <d v="2026-09-03T00:00:00"/>
    <s v=""/>
    <n v="92574"/>
    <n v="88"/>
    <d v="2026-09-03T00:00:00"/>
    <n v="0"/>
  </r>
  <r>
    <x v="0"/>
    <s v=""/>
    <s v=""/>
    <s v=""/>
    <s v=""/>
    <x v="49"/>
    <s v="MODULE ARM LEFT"/>
    <n v="93"/>
    <s v=""/>
    <x v="40"/>
    <d v="2026-07-21T00:00:00"/>
    <s v=""/>
    <n v="92574"/>
    <n v="50"/>
    <d v="2026-08-25T00:00:00"/>
    <n v="43"/>
  </r>
  <r>
    <x v="0"/>
    <s v=""/>
    <s v=""/>
    <s v=""/>
    <s v=""/>
    <x v="113"/>
    <s v="RF-01M-0395]BLOCK BASE BOTTOM"/>
    <n v="100"/>
    <s v=""/>
    <x v="32"/>
    <d v="2026-07-21T00:00:00"/>
    <s v=""/>
    <n v="92574"/>
    <n v="50"/>
    <d v="2026-08-25T00:00:00"/>
    <n v="50"/>
  </r>
  <r>
    <x v="0"/>
    <s v=""/>
    <s v=""/>
    <s v=""/>
    <s v=""/>
    <x v="292"/>
    <s v="RF-01B-5038] BOTTOM LED BOARD"/>
    <n v="100"/>
    <s v=""/>
    <x v="141"/>
    <d v="2026-07-21T00:00:00"/>
    <s v=""/>
    <n v="92574"/>
    <n v="50"/>
    <d v="2026-08-25T00:00:00"/>
    <n v="50"/>
  </r>
  <r>
    <x v="0"/>
    <s v=""/>
    <s v="입고"/>
    <s v=""/>
    <s v=""/>
    <x v="274"/>
    <s v="RF-01H-5056]LED PWM harness"/>
    <n v="100"/>
    <s v=""/>
    <x v="53"/>
    <d v="2026-07-29T00:00:00"/>
    <s v=""/>
    <n v="92574"/>
    <n v="38"/>
    <d v="2026-08-25T00:00:00"/>
    <n v="62"/>
  </r>
  <r>
    <x v="0"/>
    <s v=""/>
    <s v="입고"/>
    <s v=""/>
    <s v=""/>
    <x v="59"/>
    <s v="RF-01B-5040]MAIN Bd"/>
    <n v="100"/>
    <s v=""/>
    <x v="46"/>
    <d v="2026-08-20T00:00:00"/>
    <s v=""/>
    <n v="92574"/>
    <n v="44"/>
    <d v="2026-08-25T00:00:00"/>
    <n v="56"/>
  </r>
  <r>
    <x v="0"/>
    <s v=""/>
    <s v="입고"/>
    <s v=""/>
    <s v=""/>
    <x v="83"/>
    <s v="RF-01H-5065]Main Power harness"/>
    <n v="100"/>
    <s v=""/>
    <x v="64"/>
    <d v="2026-07-29T00:00:00"/>
    <s v=""/>
    <n v="92574"/>
    <n v="50"/>
    <d v="2026-08-25T00:00:00"/>
    <n v="50"/>
  </r>
  <r>
    <x v="0"/>
    <s v=""/>
    <s v="입고"/>
    <s v=""/>
    <s v=""/>
    <x v="117"/>
    <s v="RF-01H-5070]Power Switch harness"/>
    <n v="100"/>
    <s v=""/>
    <x v="79"/>
    <d v="2026-07-29T00:00:00"/>
    <s v=""/>
    <n v="92574"/>
    <n v="50"/>
    <d v="2026-08-25T00:00:00"/>
    <n v="50"/>
  </r>
  <r>
    <x v="0"/>
    <s v=""/>
    <s v="입고"/>
    <s v=""/>
    <s v=""/>
    <x v="327"/>
    <s v="RF-01S-5050]TEETH LENS"/>
    <n v="100"/>
    <s v=""/>
    <x v="56"/>
    <d v="2026-08-19T00:00:00"/>
    <s v=""/>
    <n v="92574"/>
    <n v="27"/>
    <d v="2026-08-25T00:00:00"/>
    <n v="73"/>
  </r>
  <r>
    <x v="0"/>
    <s v=""/>
    <s v="입고"/>
    <s v=""/>
    <s v=""/>
    <x v="76"/>
    <s v="RF-10A-2086]ASM JETSON NANO"/>
    <n v="100"/>
    <s v=""/>
    <x v="57"/>
    <d v="2026-08-19T00:00:00"/>
    <s v=""/>
    <n v="92574"/>
    <n v="41"/>
    <d v="2026-08-25T00:00:00"/>
    <n v="59"/>
  </r>
  <r>
    <x v="0"/>
    <s v=""/>
    <s v="입고"/>
    <s v=""/>
    <s v=""/>
    <x v="91"/>
    <s v="RF-01V-0293]BRK USB HLDR"/>
    <n v="100"/>
    <s v=""/>
    <x v="34"/>
    <d v="2026-08-25T00:00:00"/>
    <s v=""/>
    <n v="92574"/>
    <n v="100"/>
    <d v="2026-08-25T00:00:00"/>
    <n v="0"/>
  </r>
  <r>
    <x v="0"/>
    <s v=""/>
    <s v="입고"/>
    <s v=""/>
    <s v=""/>
    <x v="171"/>
    <s v=""/>
    <n v="100"/>
    <s v=""/>
    <x v="99"/>
    <d v="2026-08-25T00:00:00"/>
    <s v=""/>
    <n v="92574"/>
    <n v="36"/>
    <d v="2026-08-25T00:00:00"/>
    <n v="64"/>
  </r>
  <r>
    <x v="0"/>
    <s v=""/>
    <s v="입고"/>
    <s v=""/>
    <s v=""/>
    <x v="67"/>
    <s v="RF-01B-5073]DMD FPC Cable"/>
    <n v="100"/>
    <s v=""/>
    <x v="52"/>
    <d v="2026-07-20T00:00:00"/>
    <s v=""/>
    <n v="92574"/>
    <n v="50"/>
    <d v="2026-08-25T00:00:00"/>
    <n v="50"/>
  </r>
  <r>
    <x v="0"/>
    <s v=""/>
    <s v=""/>
    <s v=""/>
    <s v=""/>
    <x v="36"/>
    <s v="RF-01V-0208]FRONT FRM"/>
    <n v="101"/>
    <s v=""/>
    <x v="28"/>
    <d v="2026-07-21T00:00:00"/>
    <s v=""/>
    <n v="92574"/>
    <n v="50"/>
    <d v="2026-08-25T00:00:00"/>
    <n v="51"/>
  </r>
  <r>
    <x v="0"/>
    <s v=""/>
    <s v=""/>
    <s v=""/>
    <s v=""/>
    <x v="58"/>
    <s v="RF-01S-5087]CAM Cable_Face"/>
    <n v="106"/>
    <s v=""/>
    <x v="45"/>
    <d v="2026-07-27T00:00:00"/>
    <s v=""/>
    <n v="92574"/>
    <n v="50"/>
    <d v="2026-08-25T00:00:00"/>
    <n v="56"/>
  </r>
  <r>
    <x v="0"/>
    <s v=""/>
    <s v=""/>
    <s v=""/>
    <s v=""/>
    <x v="46"/>
    <s v="RF-01S-5083]CAM Trigger_L-R harness"/>
    <n v="108"/>
    <s v=""/>
    <x v="37"/>
    <d v="2026-07-23T00:00:00"/>
    <s v=""/>
    <n v="92574"/>
    <n v="100"/>
    <d v="2026-08-25T00:00:00"/>
    <n v="8"/>
  </r>
  <r>
    <x v="0"/>
    <s v=""/>
    <s v=""/>
    <s v=""/>
    <s v=""/>
    <x v="74"/>
    <s v="RF-01T-0356]RUBBER CAP ARM"/>
    <n v="109"/>
    <s v=""/>
    <x v="56"/>
    <d v="2026-07-23T00:00:00"/>
    <s v=""/>
    <n v="92574"/>
    <n v="100"/>
    <d v="2026-08-25T00:00:00"/>
    <n v="9"/>
  </r>
  <r>
    <x v="0"/>
    <s v=""/>
    <s v="입고"/>
    <s v=""/>
    <s v=""/>
    <x v="282"/>
    <s v="RP-01H-5009]Lan cable"/>
    <n v="110"/>
    <s v=""/>
    <x v="60"/>
    <d v="2026-08-18T00:00:00"/>
    <s v=""/>
    <n v="92574"/>
    <n v="50"/>
    <d v="2026-08-25T00:00:00"/>
    <n v="60"/>
  </r>
  <r>
    <x v="0"/>
    <s v=""/>
    <s v=""/>
    <s v=""/>
    <s v=""/>
    <x v="93"/>
    <s v=""/>
    <n v="111"/>
    <s v=""/>
    <x v="70"/>
    <d v="2026-07-21T00:00:00"/>
    <s v=""/>
    <n v="92574"/>
    <n v="50"/>
    <d v="2026-08-25T00:00:00"/>
    <n v="61"/>
  </r>
  <r>
    <x v="0"/>
    <s v=""/>
    <s v=""/>
    <s v=""/>
    <s v=""/>
    <x v="79"/>
    <s v="RD-00S-5201]USB A to B Cable"/>
    <n v="120"/>
    <s v=""/>
    <x v="60"/>
    <d v="2026-07-21T00:00:00"/>
    <s v=""/>
    <n v="92574"/>
    <n v="50"/>
    <d v="2026-08-25T00:00:00"/>
    <n v="70"/>
  </r>
  <r>
    <x v="0"/>
    <s v=""/>
    <s v=""/>
    <s v=""/>
    <s v=""/>
    <x v="43"/>
    <s v="RF-01T-0255]CVR FRONT MID R"/>
    <n v="155"/>
    <s v=""/>
    <x v="35"/>
    <d v="2026-08-19T00:00:00"/>
    <s v=""/>
    <n v="92574"/>
    <n v="50"/>
    <d v="2026-08-25T00:00:00"/>
    <n v="105"/>
  </r>
  <r>
    <x v="0"/>
    <s v=""/>
    <s v="입고"/>
    <s v=""/>
    <s v=""/>
    <x v="71"/>
    <s v=""/>
    <n v="155"/>
    <s v=""/>
    <x v="54"/>
    <d v="2026-08-21T00:00:00"/>
    <s v=""/>
    <n v="92574"/>
    <n v="150"/>
    <d v="2026-08-25T00:00:00"/>
    <n v="5"/>
  </r>
  <r>
    <x v="0"/>
    <s v=""/>
    <s v=""/>
    <s v=""/>
    <s v=""/>
    <x v="218"/>
    <s v="RF-01B-5037] LED SIDE BOARD_REV2"/>
    <n v="158"/>
    <s v=""/>
    <x v="46"/>
    <d v="2026-07-23T00:00:00"/>
    <s v=""/>
    <n v="92574"/>
    <n v="100"/>
    <d v="2026-08-25T00:00:00"/>
    <n v="58"/>
  </r>
  <r>
    <x v="0"/>
    <s v=""/>
    <s v=""/>
    <s v=""/>
    <s v=""/>
    <x v="233"/>
    <s v="RF-20A-0279]Mdl DLP PLT"/>
    <n v="165"/>
    <s v=""/>
    <x v="54"/>
    <d v="2026-07-21T00:00:00"/>
    <s v=""/>
    <n v="92574"/>
    <n v="50"/>
    <d v="2026-08-25T00:00:00"/>
    <n v="115"/>
  </r>
  <r>
    <x v="0"/>
    <s v=""/>
    <s v=""/>
    <s v=""/>
    <s v=""/>
    <x v="66"/>
    <s v="MODULE BASE BOTTOM FRAME"/>
    <n v="166"/>
    <s v=""/>
    <x v="51"/>
    <d v="2026-07-21T00:00:00"/>
    <s v=""/>
    <n v="92574"/>
    <n v="50"/>
    <d v="2026-08-25T00:00:00"/>
    <n v="116"/>
  </r>
  <r>
    <x v="0"/>
    <s v=""/>
    <s v=""/>
    <s v=""/>
    <s v=""/>
    <x v="404"/>
    <s v="RD-01G-0502]SPONGE)UV SNSR"/>
    <n v="177"/>
    <s v=""/>
    <x v="89"/>
    <d v="2026-07-21T00:00:00"/>
    <s v=""/>
    <n v="92574"/>
    <n v="100"/>
    <d v="2026-08-25T00:00:00"/>
    <n v="77"/>
  </r>
  <r>
    <x v="0"/>
    <s v=""/>
    <s v=""/>
    <s v=""/>
    <s v=""/>
    <x v="154"/>
    <s v="RF-01B-5035]CONNECTOR Bd"/>
    <n v="187"/>
    <s v=""/>
    <x v="90"/>
    <d v="2026-07-21T00:00:00"/>
    <s v=""/>
    <n v="92574"/>
    <n v="50"/>
    <d v="2026-08-25T00:00:00"/>
    <n v="137"/>
  </r>
  <r>
    <x v="0"/>
    <s v=""/>
    <s v=""/>
    <s v=""/>
    <s v=""/>
    <x v="156"/>
    <s v="RF-01B-5039]POWER HUB Bd"/>
    <n v="199"/>
    <s v=""/>
    <x v="91"/>
    <d v="2026-08-19T00:00:00"/>
    <s v=""/>
    <n v="92574"/>
    <n v="50"/>
    <d v="2026-08-25T00:00:00"/>
    <n v="149"/>
  </r>
  <r>
    <x v="0"/>
    <s v=""/>
    <s v=""/>
    <s v=""/>
    <s v=""/>
    <x v="149"/>
    <s v="RF-01V-0254]REAR CVR TOP BRK"/>
    <n v="200"/>
    <s v=""/>
    <x v="34"/>
    <d v="2026-07-21T00:00:00"/>
    <s v=""/>
    <n v="92574"/>
    <n v="50"/>
    <d v="2026-08-25T00:00:00"/>
    <n v="150"/>
  </r>
  <r>
    <x v="0"/>
    <s v=""/>
    <s v="입고"/>
    <s v=""/>
    <s v=""/>
    <x v="78"/>
    <s v="RF-01T-0355]CAMERA CASE R"/>
    <n v="200"/>
    <s v=""/>
    <x v="59"/>
    <d v="2026-07-27T00:00:00"/>
    <s v=""/>
    <n v="92574"/>
    <n v="50"/>
    <d v="2026-08-25T00:00:00"/>
    <n v="150"/>
  </r>
  <r>
    <x v="0"/>
    <s v=""/>
    <s v="입고"/>
    <s v=""/>
    <s v=""/>
    <x v="164"/>
    <s v="RF-01T-0354]CAMERA CASE L"/>
    <n v="200"/>
    <s v=""/>
    <x v="59"/>
    <d v="2026-07-27T00:00:00"/>
    <s v=""/>
    <n v="92574"/>
    <n v="50"/>
    <d v="2026-08-25T00:00:00"/>
    <n v="150"/>
  </r>
  <r>
    <x v="0"/>
    <s v=""/>
    <s v=""/>
    <s v=""/>
    <s v=""/>
    <x v="120"/>
    <s v="RF-01T-0241]CAL Bas UPPER"/>
    <n v="201"/>
    <s v=""/>
    <x v="32"/>
    <d v="2026-07-22T00:00:00"/>
    <s v=""/>
    <n v="92574"/>
    <n v="50"/>
    <d v="2026-08-25T00:00:00"/>
    <n v="151"/>
  </r>
  <r>
    <x v="0"/>
    <s v=""/>
    <s v=""/>
    <s v=""/>
    <s v=""/>
    <x v="437"/>
    <s v="RF-01G-0168]BOT RUBBER"/>
    <n v="235"/>
    <s v=""/>
    <x v="89"/>
    <d v="2026-07-21T00:00:00"/>
    <s v=""/>
    <n v="92574"/>
    <n v="235"/>
    <d v="2026-08-25T00:00:00"/>
    <n v="0"/>
  </r>
  <r>
    <x v="0"/>
    <s v=""/>
    <s v=""/>
    <s v=""/>
    <s v=""/>
    <x v="199"/>
    <s v="RF-01M-0269]FACE CAM BLK_HR"/>
    <n v="244"/>
    <s v=""/>
    <x v="81"/>
    <d v="2026-07-21T00:00:00"/>
    <s v=""/>
    <n v="92574"/>
    <n v="50"/>
    <d v="2026-08-25T00:00:00"/>
    <n v="194"/>
  </r>
  <r>
    <x v="0"/>
    <s v=""/>
    <s v=""/>
    <s v=""/>
    <s v=""/>
    <x v="414"/>
    <s v="RF-01T-0161]Bas BOT UPPER"/>
    <n v="248"/>
    <s v=""/>
    <x v="177"/>
    <d v="2026-08-19T00:00:00"/>
    <s v=""/>
    <n v="92574"/>
    <n v="50"/>
    <d v="2026-08-25T00:00:00"/>
    <n v="198"/>
  </r>
  <r>
    <x v="0"/>
    <s v=""/>
    <s v=""/>
    <s v=""/>
    <s v=""/>
    <x v="123"/>
    <s v="RF-01M-0397]COVER BOTTOM"/>
    <n v="255"/>
    <s v=""/>
    <x v="32"/>
    <d v="2026-07-21T00:00:00"/>
    <s v=""/>
    <n v="92574"/>
    <n v="50"/>
    <d v="2026-08-25T00:00:00"/>
    <n v="205"/>
  </r>
  <r>
    <x v="0"/>
    <s v=""/>
    <s v=""/>
    <s v=""/>
    <s v=""/>
    <x v="176"/>
    <s v=""/>
    <n v="255"/>
    <s v=""/>
    <x v="102"/>
    <d v="2026-08-19T00:00:00"/>
    <s v=""/>
    <n v="92574"/>
    <n v="50"/>
    <d v="2026-08-25T00:00:00"/>
    <n v="205"/>
  </r>
  <r>
    <x v="0"/>
    <s v=""/>
    <s v=""/>
    <s v=""/>
    <s v=""/>
    <x v="125"/>
    <s v="RF-01T-0196]CVR REAR"/>
    <n v="281"/>
    <s v=""/>
    <x v="80"/>
    <d v="2026-07-30T00:00:00"/>
    <s v=""/>
    <n v="92574"/>
    <n v="50"/>
    <d v="2026-08-25T00:00:00"/>
    <n v="231"/>
  </r>
  <r>
    <x v="0"/>
    <s v=""/>
    <s v=""/>
    <s v=""/>
    <s v=""/>
    <x v="175"/>
    <s v="RF-01T-0164]LED TOUCH INDIGATOR"/>
    <n v="292"/>
    <s v=""/>
    <x v="101"/>
    <d v="2026-07-24T00:00:00"/>
    <s v=""/>
    <n v="92574"/>
    <n v="50"/>
    <d v="2026-08-25T00:00:00"/>
    <n v="242"/>
  </r>
  <r>
    <x v="0"/>
    <s v=""/>
    <s v=""/>
    <s v=""/>
    <s v=""/>
    <x v="162"/>
    <s v="RF-01B-5036] LED CENTER BOARD"/>
    <n v="412"/>
    <s v=""/>
    <x v="94"/>
    <d v="2026-07-31T00:00:00"/>
    <s v=""/>
    <n v="92574"/>
    <n v="50"/>
    <d v="2026-08-25T00:00:00"/>
    <n v="362"/>
  </r>
  <r>
    <x v="0"/>
    <s v=""/>
    <s v=""/>
    <s v=""/>
    <s v=""/>
    <x v="163"/>
    <s v="RF-01B-5034] POWER BUTTON BOARD"/>
    <n v="463"/>
    <s v=""/>
    <x v="95"/>
    <d v="2026-07-21T00:00:00"/>
    <s v=""/>
    <n v="92574"/>
    <n v="50"/>
    <d v="2026-08-25T00:00:00"/>
    <n v="413"/>
  </r>
  <r>
    <x v="0"/>
    <s v=""/>
    <s v="입고"/>
    <s v=""/>
    <s v=""/>
    <x v="426"/>
    <s v="RF-01S-0251]CAL Mgnet"/>
    <n v="500"/>
    <s v=""/>
    <x v="82"/>
    <d v="2026-08-14T00:00:00"/>
    <s v=""/>
    <n v="92574"/>
    <n v="200"/>
    <d v="2026-08-25T00:00:00"/>
    <n v="300"/>
  </r>
  <r>
    <x v="0"/>
    <s v=""/>
    <s v="입고"/>
    <s v=""/>
    <s v=""/>
    <x v="437"/>
    <s v="RF-01G-0168]BOT RUBBER"/>
    <n v="600"/>
    <s v=""/>
    <x v="89"/>
    <d v="2026-08-20T00:00:00"/>
    <s v=""/>
    <n v="92574"/>
    <n v="65"/>
    <d v="2026-08-25T00:00:00"/>
    <n v="535"/>
  </r>
  <r>
    <x v="0"/>
    <s v=""/>
    <s v="입고"/>
    <s v="SON TUNG"/>
    <s v="조영우"/>
    <x v="222"/>
    <s v="RF-01T-0173]ARM CVR REAR DECO"/>
    <n v="770"/>
    <s v=""/>
    <x v="119"/>
    <d v="2026-08-25T00:00:00"/>
    <s v=""/>
    <n v="92574"/>
    <n v="50"/>
    <d v="2026-09-03T00:00:00"/>
    <n v="720"/>
  </r>
  <r>
    <x v="0"/>
    <s v=""/>
    <s v=""/>
    <s v=""/>
    <s v=""/>
    <x v="153"/>
    <s v="RF-01G-0252]MOLDING FRONT MIRROR"/>
    <n v="1021"/>
    <s v=""/>
    <x v="89"/>
    <d v="2026-07-21T00:00:00"/>
    <s v=""/>
    <n v="92574"/>
    <n v="50"/>
    <d v="2026-08-25T00:00:00"/>
    <n v="971"/>
  </r>
  <r>
    <x v="0"/>
    <s v=""/>
    <s v=""/>
    <s v=""/>
    <s v=""/>
    <x v="220"/>
    <s v="RF-09P-0271]MIRROR PROTIVE FILM"/>
    <n v="1553"/>
    <s v=""/>
    <x v="89"/>
    <d v="2026-07-21T00:00:00"/>
    <s v=""/>
    <n v="92574"/>
    <n v="50"/>
    <d v="2026-08-25T00:00:00"/>
    <n v="1503"/>
  </r>
  <r>
    <x v="0"/>
    <s v=""/>
    <s v="입고"/>
    <s v=""/>
    <s v=""/>
    <x v="428"/>
    <s v="RA-05A-6004]Bd ASSY'-Aux MCU"/>
    <n v="99"/>
    <s v=""/>
    <x v="182"/>
    <d v="2026-08-27T00:00:00"/>
    <s v=""/>
    <n v="92575"/>
    <n v="3"/>
    <d v="2026-09-09T00:00:00"/>
    <n v="96"/>
  </r>
  <r>
    <x v="0"/>
    <s v=""/>
    <s v=""/>
    <s v=""/>
    <s v=""/>
    <x v="577"/>
    <s v="RA-9-12]SCEPH LAN"/>
    <n v="130"/>
    <s v=""/>
    <x v="217"/>
    <d v="2026-08-06T00:00:00"/>
    <s v=""/>
    <n v="92893"/>
    <n v="30"/>
    <d v="2026-08-27T00:00:00"/>
    <n v="100"/>
  </r>
  <r>
    <x v="0"/>
    <s v=""/>
    <s v=""/>
    <s v=""/>
    <s v=""/>
    <x v="33"/>
    <s v="RA-06A-2760]ASM COL MOVING (ST) (VN)"/>
    <n v="5"/>
    <s v=""/>
    <x v="25"/>
    <d v="2026-09-22T00:00:00"/>
    <s v=""/>
    <n v="92897"/>
    <n v="2"/>
    <d v="2026-09-22T00:00:00"/>
    <n v="3"/>
  </r>
  <r>
    <x v="0"/>
    <s v=""/>
    <s v="입고"/>
    <s v="Bach tung"/>
    <s v="유영국"/>
    <x v="33"/>
    <s v="RA-06A-2760]ASM COL MOVING (ST) (VN)"/>
    <n v="11"/>
    <s v=""/>
    <x v="25"/>
    <d v="2026-09-16T00:00:00"/>
    <s v=""/>
    <n v="92897"/>
    <n v="1"/>
    <d v="2026-09-16T00:00:00"/>
    <n v="10"/>
  </r>
  <r>
    <x v="0"/>
    <s v=""/>
    <s v=""/>
    <s v=""/>
    <s v=""/>
    <x v="586"/>
    <s v="RA-1-11]DC POWER HUB"/>
    <n v="105"/>
    <s v=""/>
    <x v="184"/>
    <d v="2026-09-30T00:00:00"/>
    <s v=""/>
    <n v="93204"/>
    <n v="22"/>
    <d v="2026-09-18T00:00:00"/>
    <n v="83"/>
  </r>
  <r>
    <x v="0"/>
    <s v=""/>
    <s v=""/>
    <s v=""/>
    <s v=""/>
    <x v="71"/>
    <s v=""/>
    <n v="2"/>
    <s v=""/>
    <x v="54"/>
    <d v="2026-09-03T00:00:00"/>
    <s v=""/>
    <n v="93215"/>
    <n v="1"/>
    <d v="2026-09-03T00:00:00"/>
    <n v="1"/>
  </r>
  <r>
    <x v="0"/>
    <s v=""/>
    <s v=""/>
    <s v=""/>
    <s v=""/>
    <x v="71"/>
    <s v=""/>
    <n v="4"/>
    <s v=""/>
    <x v="54"/>
    <d v="2026-09-03T00:00:00"/>
    <s v=""/>
    <n v="93215"/>
    <n v="1"/>
    <d v="2026-09-03T00:00:00"/>
    <n v="3"/>
  </r>
  <r>
    <x v="0"/>
    <s v=""/>
    <s v=""/>
    <s v=""/>
    <s v=""/>
    <x v="50"/>
    <s v="RF-01M-0396]FRAME PIPE ALIGN"/>
    <n v="6"/>
    <s v=""/>
    <x v="28"/>
    <d v="2026-09-07T00:00:00"/>
    <s v=""/>
    <n v="93215"/>
    <n v="1"/>
    <d v="2026-09-03T00:00:00"/>
    <n v="5"/>
  </r>
  <r>
    <x v="0"/>
    <s v=""/>
    <s v=""/>
    <s v=""/>
    <s v=""/>
    <x v="127"/>
    <s v="RF-01M-0200]MIRROR PLT"/>
    <n v="10"/>
    <s v=""/>
    <x v="82"/>
    <d v="2026-08-25T00:00:00"/>
    <s v=""/>
    <n v="93215"/>
    <n v="10"/>
    <d v="2026-09-03T00:00:00"/>
    <n v="0"/>
  </r>
  <r>
    <x v="0"/>
    <s v=""/>
    <s v=""/>
    <s v=""/>
    <s v=""/>
    <x v="582"/>
    <s v="RF-01T-0199]CVR REAR TOP"/>
    <n v="10"/>
    <s v=""/>
    <x v="219"/>
    <d v="2026-09-07T00:00:00"/>
    <s v=""/>
    <n v="93215"/>
    <n v="5"/>
    <d v="2026-09-03T00:00:00"/>
    <n v="5"/>
  </r>
  <r>
    <x v="0"/>
    <s v=""/>
    <s v=""/>
    <s v=""/>
    <s v=""/>
    <x v="582"/>
    <s v="RF-01T-0199]CVR REAR TOP"/>
    <n v="16"/>
    <s v=""/>
    <x v="219"/>
    <d v="2026-09-03T00:00:00"/>
    <s v=""/>
    <n v="93215"/>
    <n v="5"/>
    <d v="2026-09-03T00:00:00"/>
    <n v="11"/>
  </r>
  <r>
    <x v="0"/>
    <s v=""/>
    <s v="입고"/>
    <s v="A&amp;T"/>
    <s v="조영우"/>
    <x v="50"/>
    <s v="RF-01M-0396]FRAME PIPE ALIGN"/>
    <n v="30"/>
    <s v=""/>
    <x v="28"/>
    <d v="2026-08-27T00:00:00"/>
    <s v=""/>
    <n v="93215"/>
    <n v="1"/>
    <d v="2026-09-03T00:00:00"/>
    <n v="29"/>
  </r>
  <r>
    <x v="0"/>
    <s v=""/>
    <s v=""/>
    <s v=""/>
    <s v=""/>
    <x v="127"/>
    <s v="RF-01M-0200]MIRROR PLT"/>
    <n v="76"/>
    <s v=""/>
    <x v="82"/>
    <d v="2026-09-03T00:00:00"/>
    <s v=""/>
    <n v="93215"/>
    <n v="4"/>
    <d v="2026-09-03T00:00:00"/>
    <n v="72"/>
  </r>
  <r>
    <x v="0"/>
    <s v=""/>
    <s v="입고"/>
    <s v=""/>
    <s v=""/>
    <x v="127"/>
    <s v="RF-01M-0200]MIRROR PLT"/>
    <n v="90"/>
    <s v=""/>
    <x v="82"/>
    <d v="2026-08-18T00:00:00"/>
    <s v=""/>
    <n v="93215"/>
    <n v="14"/>
    <d v="2026-09-03T00:00:00"/>
    <n v="76"/>
  </r>
  <r>
    <x v="0"/>
    <s v=""/>
    <s v="입고"/>
    <s v=""/>
    <s v=""/>
    <x v="89"/>
    <s v="RF-01T-0352]CAMERA CASE B"/>
    <n v="200"/>
    <s v=""/>
    <x v="59"/>
    <d v="2026-07-27T00:00:00"/>
    <s v=""/>
    <n v="93215"/>
    <n v="2"/>
    <d v="2026-09-03T00:00:00"/>
    <n v="198"/>
  </r>
  <r>
    <x v="0"/>
    <s v=""/>
    <s v=""/>
    <s v=""/>
    <s v=""/>
    <x v="125"/>
    <s v="RF-01T-0196]CVR REAR"/>
    <n v="229"/>
    <s v=""/>
    <x v="80"/>
    <d v="2026-09-03T00:00:00"/>
    <s v=""/>
    <n v="93215"/>
    <n v="2"/>
    <d v="2026-09-03T00:00:00"/>
    <n v="227"/>
  </r>
  <r>
    <x v="0"/>
    <s v=""/>
    <s v=""/>
    <s v=""/>
    <s v=""/>
    <x v="125"/>
    <s v="RF-01T-0196]CVR REAR"/>
    <n v="231"/>
    <s v=""/>
    <x v="80"/>
    <d v="2026-08-25T00:00:00"/>
    <s v=""/>
    <n v="93215"/>
    <n v="2"/>
    <d v="2026-09-03T00:00:00"/>
    <n v="229"/>
  </r>
  <r>
    <x v="0"/>
    <s v=""/>
    <s v="입고"/>
    <s v=""/>
    <s v=""/>
    <x v="24"/>
    <s v="RA-02A-2740]ASM VERT TOTAL (A+) (VN)"/>
    <n v="45"/>
    <s v=""/>
    <x v="20"/>
    <d v="2026-09-01T00:00:00"/>
    <s v=""/>
    <n v="93218"/>
    <n v="2"/>
    <d v="2026-09-09T00:00:00"/>
    <n v="43"/>
  </r>
  <r>
    <x v="0"/>
    <s v=""/>
    <s v=""/>
    <s v=""/>
    <s v=""/>
    <x v="428"/>
    <s v="RA-05A-6004]Bd ASSY'-Aux MCU"/>
    <n v="248"/>
    <s v=""/>
    <x v="182"/>
    <d v="2026-08-28T00:00:00"/>
    <s v=""/>
    <n v="93218"/>
    <n v="2"/>
    <d v="2026-08-31T00:00:00"/>
    <n v="246"/>
  </r>
  <r>
    <x v="0"/>
    <s v=""/>
    <s v="입고"/>
    <s v="다유"/>
    <s v="유영국"/>
    <x v="587"/>
    <s v="RA-05M-2907]FRM ROT WEIGHT"/>
    <n v="48"/>
    <s v=""/>
    <x v="221"/>
    <d v="2026-09-15T00:00:00"/>
    <s v=""/>
    <n v="93222"/>
    <n v="25"/>
    <d v="2026-09-15T00:00:00"/>
    <n v="23"/>
  </r>
  <r>
    <x v="0"/>
    <s v=""/>
    <s v=""/>
    <s v=""/>
    <s v=""/>
    <x v="577"/>
    <s v="RA-9-12]SCEPH LAN"/>
    <n v="100"/>
    <s v=""/>
    <x v="217"/>
    <d v="2026-08-27T00:00:00"/>
    <s v=""/>
    <n v="94129"/>
    <n v="20"/>
    <d v="2026-08-27T00:00:00"/>
    <n v="80"/>
  </r>
  <r>
    <x v="0"/>
    <s v=""/>
    <s v="입고"/>
    <s v="에이투케이"/>
    <s v="유영국"/>
    <x v="537"/>
    <s v="RE-05H-5049_1]LASER_H Extend"/>
    <n v="150"/>
    <s v=""/>
    <x v="210"/>
    <d v="2026-10-08T00:00:00"/>
    <s v=""/>
    <n v="94139"/>
    <n v="6"/>
    <d v="2026-10-08T00:00:00"/>
    <n v="144"/>
  </r>
  <r>
    <x v="0"/>
    <s v=""/>
    <s v=""/>
    <s v=""/>
    <s v=""/>
    <x v="24"/>
    <s v="RA-02A-2740]ASM VERT TOTAL (A+) (VN)"/>
    <n v="20"/>
    <s v=""/>
    <x v="20"/>
    <d v="2026-09-09T00:00:00"/>
    <s v=""/>
    <n v="94740"/>
    <n v="20"/>
    <d v="2026-09-09T00:00:00"/>
    <n v="0"/>
  </r>
  <r>
    <x v="0"/>
    <s v=""/>
    <s v=""/>
    <s v=""/>
    <s v=""/>
    <x v="428"/>
    <s v="RA-05A-6004]Bd ASSY'-Aux MCU"/>
    <n v="246"/>
    <s v=""/>
    <x v="182"/>
    <d v="2026-08-31T00:00:00"/>
    <s v=""/>
    <n v="94740"/>
    <n v="20"/>
    <d v="2026-08-31T00:00:00"/>
    <n v="226"/>
  </r>
  <r>
    <x v="0"/>
    <s v=""/>
    <s v=""/>
    <s v=""/>
    <s v=""/>
    <x v="349"/>
    <s v="RA-07A-1777]ASM SCREW MOVING DET (VA)"/>
    <n v="170"/>
    <s v=""/>
    <x v="67"/>
    <d v="2026-09-29T00:00:00"/>
    <s v=""/>
    <n v="94741"/>
    <n v="5"/>
    <d v="2026-09-22T00:00:00"/>
    <n v="165"/>
  </r>
  <r>
    <x v="0"/>
    <s v=""/>
    <s v=""/>
    <s v=""/>
    <s v=""/>
    <x v="565"/>
    <s v="RA-01T-1790]CAS MAIN Bas FRONT"/>
    <n v="50"/>
    <s v=""/>
    <x v="10"/>
    <d v="2026-09-10T00:00:00"/>
    <s v=""/>
    <n v="94743"/>
    <n v="20"/>
    <d v="2026-09-16T00:00:00"/>
    <n v="30"/>
  </r>
  <r>
    <x v="0"/>
    <s v=""/>
    <s v=""/>
    <s v=""/>
    <s v=""/>
    <x v="97"/>
    <s v="RA-04A-2296]ASM HANDLE (A+)"/>
    <n v="75"/>
    <s v=""/>
    <x v="55"/>
    <d v="2026-09-10T00:00:00"/>
    <s v=""/>
    <n v="94743"/>
    <n v="14"/>
    <d v="2026-09-16T00:00:00"/>
    <n v="61"/>
  </r>
  <r>
    <x v="0"/>
    <s v=""/>
    <s v=""/>
    <s v=""/>
    <s v=""/>
    <x v="572"/>
    <s v="RA-09T-2534]CAS CT HEADREST (A+)"/>
    <n v="151"/>
    <s v=""/>
    <x v="27"/>
    <d v="2026-09-16T00:00:00"/>
    <s v=""/>
    <n v="94743"/>
    <n v="40"/>
    <d v="2026-09-16T00:00:00"/>
    <n v="111"/>
  </r>
  <r>
    <x v="0"/>
    <s v=""/>
    <s v=""/>
    <s v=""/>
    <s v=""/>
    <x v="577"/>
    <s v="RA-9-12]SCEPH LAN"/>
    <n v="78"/>
    <s v=""/>
    <x v="217"/>
    <d v="2026-08-27T00:00:00"/>
    <s v=""/>
    <n v="94744"/>
    <n v="30"/>
    <d v="2026-08-31T00:00:00"/>
    <n v="48"/>
  </r>
  <r>
    <x v="0"/>
    <s v=""/>
    <s v=""/>
    <s v=""/>
    <s v=""/>
    <x v="33"/>
    <s v="RA-06A-2760]ASM COL MOVING (ST) (VN)"/>
    <n v="10"/>
    <s v=""/>
    <x v="25"/>
    <d v="2026-09-16T00:00:00"/>
    <s v=""/>
    <n v="94746"/>
    <n v="10"/>
    <d v="2026-09-16T00:00:00"/>
    <n v="0"/>
  </r>
  <r>
    <x v="0"/>
    <s v=""/>
    <s v=""/>
    <s v=""/>
    <s v=""/>
    <x v="572"/>
    <s v="RA-09T-2534]CAS CT HEADREST (A+)"/>
    <n v="171"/>
    <s v=""/>
    <x v="27"/>
    <d v="2026-09-16T00:00:00"/>
    <s v=""/>
    <n v="94748"/>
    <n v="20"/>
    <d v="2026-09-16T00:00:00"/>
    <n v="151"/>
  </r>
  <r>
    <x v="0"/>
    <s v=""/>
    <s v=""/>
    <s v=""/>
    <s v=""/>
    <x v="71"/>
    <s v=""/>
    <n v="1"/>
    <s v=""/>
    <x v="54"/>
    <d v="2026-09-03T00:00:00"/>
    <s v=""/>
    <n v="94753"/>
    <n v="1"/>
    <d v="2026-09-03T00:00:00"/>
    <n v="0"/>
  </r>
  <r>
    <x v="0"/>
    <s v=""/>
    <s v=""/>
    <s v=""/>
    <s v=""/>
    <x v="71"/>
    <s v=""/>
    <n v="5"/>
    <s v=""/>
    <x v="54"/>
    <d v="2026-08-25T00:00:00"/>
    <s v=""/>
    <n v="94753"/>
    <n v="1"/>
    <d v="2026-09-03T00:00:00"/>
    <n v="4"/>
  </r>
  <r>
    <x v="0"/>
    <s v=""/>
    <s v=""/>
    <s v=""/>
    <s v=""/>
    <x v="50"/>
    <s v="RF-01M-0396]FRAME PIPE ALIGN"/>
    <n v="5"/>
    <s v=""/>
    <x v="28"/>
    <d v="2026-09-03T00:00:00"/>
    <s v=""/>
    <n v="94753"/>
    <n v="2"/>
    <d v="2026-09-03T00:00:00"/>
    <n v="3"/>
  </r>
  <r>
    <x v="0"/>
    <s v=""/>
    <s v=""/>
    <s v=""/>
    <s v=""/>
    <x v="582"/>
    <s v="RF-01T-0199]CVR REAR TOP"/>
    <n v="5"/>
    <s v=""/>
    <x v="219"/>
    <d v="2026-09-03T00:00:00"/>
    <s v=""/>
    <n v="94753"/>
    <n v="1"/>
    <d v="2026-09-03T00:00:00"/>
    <n v="4"/>
  </r>
  <r>
    <x v="0"/>
    <s v=""/>
    <s v="입고"/>
    <s v="A&amp;T"/>
    <s v="조영우"/>
    <x v="50"/>
    <s v="RF-01M-0396]FRAME PIPE ALIGN"/>
    <n v="14"/>
    <s v=""/>
    <x v="28"/>
    <d v="2026-08-27T00:00:00"/>
    <s v=""/>
    <n v="94753"/>
    <n v="2"/>
    <d v="2026-09-03T00:00:00"/>
    <n v="12"/>
  </r>
  <r>
    <x v="0"/>
    <s v=""/>
    <s v=""/>
    <s v=""/>
    <s v=""/>
    <x v="582"/>
    <s v="RF-01T-0199]CVR REAR TOP"/>
    <n v="17"/>
    <s v=""/>
    <x v="219"/>
    <d v="2026-08-25T00:00:00"/>
    <s v=""/>
    <n v="94753"/>
    <n v="1"/>
    <d v="2026-09-03T00:00:00"/>
    <n v="16"/>
  </r>
  <r>
    <x v="0"/>
    <s v=""/>
    <s v=""/>
    <s v=""/>
    <s v=""/>
    <x v="212"/>
    <s v="RF-01S-5046]DLP ENGINE"/>
    <n v="23"/>
    <s v=""/>
    <x v="115"/>
    <d v="2026-09-03T00:00:00"/>
    <s v=""/>
    <n v="94753"/>
    <n v="1"/>
    <d v="2026-09-03T00:00:00"/>
    <n v="22"/>
  </r>
  <r>
    <x v="0"/>
    <s v=""/>
    <s v=""/>
    <s v=""/>
    <s v=""/>
    <x v="212"/>
    <s v="RF-01S-5046]DLP ENGINE"/>
    <n v="24"/>
    <s v=""/>
    <x v="115"/>
    <d v="2026-08-25T00:00:00"/>
    <s v=""/>
    <n v="94753"/>
    <n v="1"/>
    <d v="2026-09-03T00:00:00"/>
    <n v="23"/>
  </r>
  <r>
    <x v="0"/>
    <s v=""/>
    <s v=""/>
    <s v=""/>
    <s v=""/>
    <x v="171"/>
    <s v=""/>
    <n v="64"/>
    <s v=""/>
    <x v="99"/>
    <d v="2026-08-25T00:00:00"/>
    <s v=""/>
    <n v="94753"/>
    <n v="6"/>
    <d v="2026-09-03T00:00:00"/>
    <n v="58"/>
  </r>
  <r>
    <x v="0"/>
    <s v=""/>
    <s v=""/>
    <s v=""/>
    <s v=""/>
    <x v="125"/>
    <s v="RF-01T-0196]CVR REAR"/>
    <n v="224"/>
    <s v=""/>
    <x v="80"/>
    <d v="2026-09-03T00:00:00"/>
    <s v=""/>
    <n v="94753"/>
    <n v="1"/>
    <d v="2026-09-03T00:00:00"/>
    <n v="223"/>
  </r>
  <r>
    <x v="0"/>
    <s v=""/>
    <s v=""/>
    <s v=""/>
    <s v=""/>
    <x v="125"/>
    <s v="RF-01T-0196]CVR REAR"/>
    <n v="226"/>
    <s v=""/>
    <x v="80"/>
    <d v="2026-08-19T00:00:00"/>
    <s v=""/>
    <n v="94753"/>
    <n v="1"/>
    <d v="2026-09-03T00:00:00"/>
    <n v="225"/>
  </r>
  <r>
    <x v="0"/>
    <s v=""/>
    <s v=""/>
    <s v=""/>
    <s v=""/>
    <x v="586"/>
    <s v="RA-1-11]DC POWER HUB"/>
    <n v="83"/>
    <s v=""/>
    <x v="184"/>
    <d v="2026-09-18T00:00:00"/>
    <s v=""/>
    <n v="94756"/>
    <n v="20"/>
    <d v="2026-09-18T00:00:00"/>
    <n v="63"/>
  </r>
  <r>
    <x v="0"/>
    <s v=""/>
    <s v=""/>
    <s v=""/>
    <s v=""/>
    <x v="88"/>
    <s v="RA-07M-2786]PLT DET SNSR (IR)"/>
    <n v="150"/>
    <s v=""/>
    <x v="67"/>
    <d v="2026-09-18T00:00:00"/>
    <s v=""/>
    <n v="94756"/>
    <n v="40"/>
    <d v="2026-09-18T00:00:00"/>
    <n v="110"/>
  </r>
  <r>
    <x v="0"/>
    <s v=""/>
    <s v=""/>
    <s v=""/>
    <s v=""/>
    <x v="172"/>
    <s v="RA-04A-6035_4]Bd ASSY'-THU Bd"/>
    <n v="12"/>
    <s v=""/>
    <x v="100"/>
    <d v="2026-10-01T00:00:00"/>
    <s v=""/>
    <n v="94759"/>
    <n v="10"/>
    <d v="2026-10-01T00:00:00"/>
    <n v="2"/>
  </r>
  <r>
    <x v="0"/>
    <s v=""/>
    <s v=""/>
    <s v=""/>
    <s v=""/>
    <x v="24"/>
    <s v="RA-02A-2740]ASM VERT TOTAL (A+) (VN)"/>
    <n v="43"/>
    <s v=""/>
    <x v="20"/>
    <d v="2026-09-09T00:00:00"/>
    <s v=""/>
    <n v="94760"/>
    <n v="13"/>
    <d v="2026-09-09T00:00:00"/>
    <n v="30"/>
  </r>
  <r>
    <x v="0"/>
    <s v=""/>
    <s v=""/>
    <s v=""/>
    <s v=""/>
    <x v="428"/>
    <s v="RA-05A-6004]Bd ASSY'-Aux MCU"/>
    <n v="96"/>
    <s v=""/>
    <x v="182"/>
    <d v="2026-09-09T00:00:00"/>
    <s v=""/>
    <n v="94760"/>
    <n v="10"/>
    <d v="2026-09-09T00:00:00"/>
    <n v="86"/>
  </r>
  <r>
    <x v="0"/>
    <s v=""/>
    <s v=""/>
    <s v=""/>
    <s v=""/>
    <x v="586"/>
    <s v="RA-1-11]DC POWER HUB"/>
    <n v="63"/>
    <s v=""/>
    <x v="184"/>
    <d v="2026-09-18T00:00:00"/>
    <s v=""/>
    <n v="94763"/>
    <n v="10"/>
    <d v="2026-09-18T00:00:00"/>
    <n v="53"/>
  </r>
  <r>
    <x v="0"/>
    <s v=""/>
    <s v=""/>
    <s v=""/>
    <s v=""/>
    <x v="157"/>
    <s v="RA-11-9]DC POWER MOT-A"/>
    <n v="74"/>
    <s v=""/>
    <x v="9"/>
    <d v="2026-09-30T00:00:00"/>
    <s v=""/>
    <n v="94763"/>
    <n v="2"/>
    <d v="2026-09-18T00:00:00"/>
    <n v="72"/>
  </r>
  <r>
    <x v="0"/>
    <s v=""/>
    <s v=""/>
    <s v=""/>
    <s v=""/>
    <x v="177"/>
    <s v="RA-04A-2748]ASM ARM SUB (A+) (VN)"/>
    <n v="110"/>
    <s v=""/>
    <x v="33"/>
    <d v="2026-09-29T00:00:00"/>
    <s v=""/>
    <n v="95066"/>
    <n v="5"/>
    <d v="2026-09-29T00:00:00"/>
    <n v="105"/>
  </r>
  <r>
    <x v="0"/>
    <s v=""/>
    <s v=""/>
    <s v=""/>
    <s v=""/>
    <x v="586"/>
    <s v="RA-1-11]DC POWER HUB"/>
    <n v="53"/>
    <s v=""/>
    <x v="184"/>
    <d v="2026-09-18T00:00:00"/>
    <s v=""/>
    <n v="95088"/>
    <n v="20"/>
    <d v="2026-09-18T00:00:00"/>
    <n v="33"/>
  </r>
  <r>
    <x v="0"/>
    <s v=""/>
    <s v=""/>
    <s v=""/>
    <s v=""/>
    <x v="569"/>
    <s v="RA-04T-1707]CAS MONITOR DECO"/>
    <n v="300"/>
    <s v=""/>
    <x v="178"/>
    <d v="2026-09-17T00:00:00"/>
    <s v=""/>
    <n v="95090"/>
    <n v="2"/>
    <d v="2026-09-18T00:00:00"/>
    <n v="298"/>
  </r>
  <r>
    <x v="0"/>
    <s v=""/>
    <s v=""/>
    <s v=""/>
    <s v=""/>
    <x v="176"/>
    <s v=""/>
    <n v="30"/>
    <s v=""/>
    <x v="102"/>
    <d v="2026-09-22T00:00:00"/>
    <s v=""/>
    <n v="96191"/>
    <n v="4"/>
    <d v="2026-09-10T00:00:00"/>
    <n v="26"/>
  </r>
  <r>
    <x v="0"/>
    <s v=""/>
    <s v=""/>
    <s v=""/>
    <s v=""/>
    <x v="198"/>
    <s v="RA-03S-6045]SMPS-RPS-200-24V"/>
    <n v="79"/>
    <s v=""/>
    <x v="110"/>
    <d v="2026-09-29T00:00:00"/>
    <s v=""/>
    <n v="96191"/>
    <n v="4"/>
    <d v="2026-09-10T00:00:00"/>
    <n v="75"/>
  </r>
  <r>
    <x v="0"/>
    <s v=""/>
    <s v=""/>
    <s v=""/>
    <s v=""/>
    <x v="403"/>
    <s v="RA-2-4]SERIAL POWER THU"/>
    <n v="208"/>
    <s v=""/>
    <x v="0"/>
    <d v="2026-09-30T00:00:00"/>
    <s v=""/>
    <n v="96191"/>
    <n v="4"/>
    <d v="2026-09-10T00:00:00"/>
    <n v="204"/>
  </r>
  <r>
    <x v="0"/>
    <s v=""/>
    <s v=""/>
    <s v=""/>
    <s v=""/>
    <x v="172"/>
    <s v="RA-04A-6035_4]Bd ASSY'-THU Bd"/>
    <n v="16"/>
    <s v=""/>
    <x v="100"/>
    <d v="2026-10-06T00:00:00"/>
    <s v=""/>
    <n v="96704"/>
    <n v="4"/>
    <d v="2026-10-01T00:00:00"/>
    <n v="12"/>
  </r>
  <r>
    <x v="0"/>
    <s v=""/>
    <s v="기초"/>
    <s v=""/>
    <s v=""/>
    <x v="323"/>
    <s v="RA-04A-0899]ASM LCD M101NWT2 R1"/>
    <n v="43"/>
    <s v=""/>
    <x v="94"/>
    <d v="2026-09-08T00:00:00"/>
    <s v=""/>
    <n v="96710"/>
    <n v="40"/>
    <d v="2026-09-09T00:00:00"/>
    <n v="3"/>
  </r>
  <r>
    <x v="0"/>
    <s v=""/>
    <s v="기초"/>
    <s v=""/>
    <s v=""/>
    <x v="128"/>
    <s v="RA-03V-1639]PLT ELECT COMPONENT (VA)"/>
    <n v="48"/>
    <s v=""/>
    <x v="83"/>
    <d v="2026-09-08T00:00:00"/>
    <s v=""/>
    <n v="96710"/>
    <n v="40"/>
    <d v="2026-09-09T00:00:00"/>
    <n v="8"/>
  </r>
  <r>
    <x v="0"/>
    <s v=""/>
    <s v="기초"/>
    <s v=""/>
    <s v=""/>
    <x v="198"/>
    <s v="RA-03S-6045]SMPS-RPS-200-24V"/>
    <n v="59"/>
    <s v=""/>
    <x v="110"/>
    <d v="2026-09-08T00:00:00"/>
    <s v=""/>
    <n v="96710"/>
    <n v="40"/>
    <d v="2026-09-09T00:00:00"/>
    <n v="19"/>
  </r>
  <r>
    <x v="0"/>
    <s v=""/>
    <s v="기초"/>
    <s v=""/>
    <s v=""/>
    <x v="391"/>
    <s v="RA-03A-6012]Bd ASSY'-ACT Bd(A/A+)"/>
    <n v="60"/>
    <s v=""/>
    <x v="172"/>
    <d v="2026-09-08T00:00:00"/>
    <s v=""/>
    <n v="96710"/>
    <n v="40"/>
    <d v="2026-09-09T00:00:00"/>
    <n v="20"/>
  </r>
  <r>
    <x v="0"/>
    <s v=""/>
    <s v="기초"/>
    <s v=""/>
    <s v=""/>
    <x v="84"/>
    <s v="RA-03V-2066]BRK CLMN REAR CAS UPPER (A+)"/>
    <n v="62"/>
    <s v=""/>
    <x v="65"/>
    <d v="2026-09-08T00:00:00"/>
    <s v=""/>
    <n v="96710"/>
    <n v="40"/>
    <d v="2026-09-09T00:00:00"/>
    <n v="22"/>
  </r>
  <r>
    <x v="0"/>
    <s v=""/>
    <s v="기초"/>
    <s v=""/>
    <s v=""/>
    <x v="172"/>
    <s v="RA-04A-6035_4]Bd ASSY'-THU Bd"/>
    <n v="80"/>
    <s v=""/>
    <x v="100"/>
    <d v="2026-09-08T00:00:00"/>
    <s v=""/>
    <n v="96710"/>
    <n v="40"/>
    <d v="2026-09-09T00:00:00"/>
    <n v="40"/>
  </r>
  <r>
    <x v="0"/>
    <s v=""/>
    <s v="기초"/>
    <s v=""/>
    <s v=""/>
    <x v="369"/>
    <s v="RA-04V-1708]CVR THU Bd"/>
    <n v="98"/>
    <s v=""/>
    <x v="165"/>
    <d v="2026-09-08T00:00:00"/>
    <s v=""/>
    <n v="96710"/>
    <n v="40"/>
    <d v="2026-09-09T00:00:00"/>
    <n v="58"/>
  </r>
  <r>
    <x v="0"/>
    <s v=""/>
    <s v="기초"/>
    <s v=""/>
    <s v=""/>
    <x v="352"/>
    <s v="RA-04V-0118]BRK MONITOR HINGE"/>
    <n v="99"/>
    <s v=""/>
    <x v="160"/>
    <d v="2026-09-08T00:00:00"/>
    <s v=""/>
    <n v="96710"/>
    <n v="79"/>
    <d v="2026-09-09T00:00:00"/>
    <n v="20"/>
  </r>
  <r>
    <x v="0"/>
    <s v=""/>
    <s v=""/>
    <s v=""/>
    <s v=""/>
    <x v="177"/>
    <s v="RA-04A-2748]ASM ARM SUB (A+) (VN)"/>
    <n v="105"/>
    <s v=""/>
    <x v="33"/>
    <d v="2026-09-29T00:00:00"/>
    <s v=""/>
    <n v="96710"/>
    <n v="40"/>
    <d v="2026-09-29T00:00:00"/>
    <n v="65"/>
  </r>
  <r>
    <x v="0"/>
    <s v=""/>
    <s v="기초"/>
    <s v=""/>
    <s v=""/>
    <x v="211"/>
    <s v="RA-03V-1909]BRK PUSH HUB"/>
    <n v="109"/>
    <s v=""/>
    <x v="65"/>
    <d v="2026-09-08T00:00:00"/>
    <s v=""/>
    <n v="96710"/>
    <n v="40"/>
    <d v="2026-09-09T00:00:00"/>
    <n v="69"/>
  </r>
  <r>
    <x v="0"/>
    <s v=""/>
    <s v="기초"/>
    <s v=""/>
    <s v=""/>
    <x v="142"/>
    <s v="RA-5-1]EARTH NF"/>
    <n v="150"/>
    <s v=""/>
    <x v="30"/>
    <d v="2026-09-08T00:00:00"/>
    <s v=""/>
    <n v="96710"/>
    <n v="40"/>
    <d v="2026-09-09T00:00:00"/>
    <n v="110"/>
  </r>
  <r>
    <x v="0"/>
    <s v=""/>
    <s v="기초"/>
    <s v=""/>
    <s v=""/>
    <x v="193"/>
    <s v="RA-04V-0117] ARM MONITOR"/>
    <n v="152"/>
    <s v=""/>
    <x v="108"/>
    <d v="2026-09-08T00:00:00"/>
    <s v=""/>
    <n v="96710"/>
    <n v="40"/>
    <d v="2026-09-09T00:00:00"/>
    <n v="112"/>
  </r>
  <r>
    <x v="0"/>
    <s v=""/>
    <s v="기초"/>
    <s v=""/>
    <s v=""/>
    <x v="239"/>
    <s v="RA-03S-5013]Mgnet CONTECTOR-LP1K0910BD"/>
    <n v="167"/>
    <s v=""/>
    <x v="125"/>
    <d v="2026-09-08T00:00:00"/>
    <s v=""/>
    <n v="96710"/>
    <n v="40"/>
    <d v="2026-09-09T00:00:00"/>
    <n v="127"/>
  </r>
  <r>
    <x v="0"/>
    <s v=""/>
    <s v="기초"/>
    <s v=""/>
    <s v=""/>
    <x v="295"/>
    <s v="RA-03S-6025]LBM-RAY01"/>
    <n v="169"/>
    <s v=""/>
    <x v="74"/>
    <d v="2026-09-08T00:00:00"/>
    <s v=""/>
    <n v="96710"/>
    <n v="13"/>
    <d v="2026-09-09T00:00:00"/>
    <n v="156"/>
  </r>
  <r>
    <x v="0"/>
    <s v=""/>
    <s v="기초"/>
    <s v=""/>
    <s v=""/>
    <x v="214"/>
    <s v="RA-04S-5174]THU Cable Ass'y"/>
    <n v="169"/>
    <s v=""/>
    <x v="117"/>
    <d v="2026-09-08T00:00:00"/>
    <s v=""/>
    <n v="96710"/>
    <n v="40"/>
    <d v="2026-09-09T00:00:00"/>
    <n v="129"/>
  </r>
  <r>
    <x v="0"/>
    <s v=""/>
    <s v="기초"/>
    <s v=""/>
    <s v=""/>
    <x v="221"/>
    <s v="RA-04V-1709]BRK THU Bd"/>
    <n v="175"/>
    <s v=""/>
    <x v="118"/>
    <d v="2026-09-08T00:00:00"/>
    <s v=""/>
    <n v="96710"/>
    <n v="40"/>
    <d v="2026-09-09T00:00:00"/>
    <n v="135"/>
  </r>
  <r>
    <x v="0"/>
    <s v=""/>
    <s v="기초"/>
    <s v=""/>
    <s v=""/>
    <x v="232"/>
    <s v="RA-03S-5176]NOISE FILTER RSHN2016"/>
    <n v="179"/>
    <s v=""/>
    <x v="110"/>
    <d v="2026-09-08T00:00:00"/>
    <s v=""/>
    <n v="96710"/>
    <n v="40"/>
    <d v="2026-09-09T00:00:00"/>
    <n v="139"/>
  </r>
  <r>
    <x v="0"/>
    <s v=""/>
    <s v="기초"/>
    <s v=""/>
    <s v=""/>
    <x v="357"/>
    <s v="RA-03V-1908]BRK FIX HUB"/>
    <n v="194"/>
    <s v=""/>
    <x v="163"/>
    <d v="2026-09-08T00:00:00"/>
    <s v=""/>
    <n v="96710"/>
    <n v="40"/>
    <d v="2026-09-09T00:00:00"/>
    <n v="154"/>
  </r>
  <r>
    <x v="0"/>
    <s v=""/>
    <s v="기초"/>
    <s v=""/>
    <s v=""/>
    <x v="294"/>
    <s v="RA-03S-5180A]A2K_LBM01-570"/>
    <n v="196"/>
    <s v=""/>
    <x v="74"/>
    <d v="2026-09-08T00:00:00"/>
    <s v=""/>
    <n v="96710"/>
    <n v="40"/>
    <d v="2026-09-09T00:00:00"/>
    <n v="156"/>
  </r>
  <r>
    <x v="0"/>
    <s v=""/>
    <s v="기초"/>
    <s v=""/>
    <s v=""/>
    <x v="273"/>
    <s v="RA-04M-1339]BLK HEADREST FIX BAR-R"/>
    <n v="200"/>
    <s v=""/>
    <x v="134"/>
    <d v="2026-09-08T00:00:00"/>
    <s v=""/>
    <n v="96710"/>
    <n v="40"/>
    <d v="2026-09-09T00:00:00"/>
    <n v="160"/>
  </r>
  <r>
    <x v="0"/>
    <s v=""/>
    <s v="기초"/>
    <s v=""/>
    <s v=""/>
    <x v="361"/>
    <s v="RA-03V-1991]BRK CENTER LASERBEAM (A+)"/>
    <n v="215"/>
    <s v=""/>
    <x v="65"/>
    <d v="2026-09-08T00:00:00"/>
    <s v=""/>
    <n v="96710"/>
    <n v="40"/>
    <d v="2026-09-09T00:00:00"/>
    <n v="175"/>
  </r>
  <r>
    <x v="0"/>
    <s v=""/>
    <s v="기초"/>
    <s v=""/>
    <s v=""/>
    <x v="351"/>
    <s v="RA-03M-2193]CVR PROT (A+)"/>
    <n v="226"/>
    <s v=""/>
    <x v="74"/>
    <d v="2026-09-08T00:00:00"/>
    <s v=""/>
    <n v="96710"/>
    <n v="40"/>
    <d v="2026-09-09T00:00:00"/>
    <n v="186"/>
  </r>
  <r>
    <x v="0"/>
    <s v=""/>
    <s v="기초"/>
    <s v=""/>
    <s v=""/>
    <x v="355"/>
    <s v="RA-04M-1338]BLK HEADREST FIX BAR-L"/>
    <n v="250"/>
    <s v=""/>
    <x v="134"/>
    <d v="2026-09-08T00:00:00"/>
    <s v=""/>
    <n v="96710"/>
    <n v="40"/>
    <d v="2026-09-09T00:00:00"/>
    <n v="210"/>
  </r>
  <r>
    <x v="0"/>
    <s v=""/>
    <s v="기초"/>
    <s v=""/>
    <s v=""/>
    <x v="424"/>
    <s v="RA-03T-1992]HLDR LASER BEAM V"/>
    <n v="305"/>
    <s v=""/>
    <x v="74"/>
    <d v="2026-09-08T00:00:00"/>
    <s v=""/>
    <n v="96710"/>
    <n v="40"/>
    <d v="2026-09-09T00:00:00"/>
    <n v="265"/>
  </r>
  <r>
    <x v="0"/>
    <s v=""/>
    <s v="기초"/>
    <s v=""/>
    <s v=""/>
    <x v="425"/>
    <s v="RA-03A-6016A]BD ASSY'-AC FUSE BLK"/>
    <n v="320"/>
    <s v=""/>
    <x v="181"/>
    <d v="2026-09-08T00:00:00"/>
    <s v=""/>
    <n v="96710"/>
    <n v="40"/>
    <d v="2026-09-09T00:00:00"/>
    <n v="280"/>
  </r>
  <r>
    <x v="0"/>
    <s v=""/>
    <s v="기초"/>
    <s v=""/>
    <s v=""/>
    <x v="181"/>
    <s v="RA-03A-0050_I]ASM HORIZONTAL LASER BEAM"/>
    <n v="334"/>
    <s v=""/>
    <x v="104"/>
    <d v="2026-09-08T00:00:00"/>
    <s v=""/>
    <n v="96710"/>
    <n v="40"/>
    <d v="2026-09-09T00:00:00"/>
    <n v="294"/>
  </r>
  <r>
    <x v="0"/>
    <s v=""/>
    <s v="기초"/>
    <s v=""/>
    <s v=""/>
    <x v="446"/>
    <s v="RA-1-1_2]AC POWER FUSE TO NF2"/>
    <n v="349"/>
    <s v=""/>
    <x v="184"/>
    <d v="2026-09-08T00:00:00"/>
    <s v=""/>
    <n v="96710"/>
    <n v="40"/>
    <d v="2026-09-09T00:00:00"/>
    <n v="309"/>
  </r>
  <r>
    <x v="0"/>
    <s v=""/>
    <s v="기초"/>
    <s v=""/>
    <s v=""/>
    <x v="444"/>
    <s v="RA-04M-2399]GUIDE BITE BLK A (A+)"/>
    <n v="367"/>
    <s v=""/>
    <x v="128"/>
    <d v="2026-09-08T00:00:00"/>
    <s v=""/>
    <n v="96710"/>
    <n v="40"/>
    <d v="2026-09-09T00:00:00"/>
    <n v="327"/>
  </r>
  <r>
    <x v="0"/>
    <s v=""/>
    <s v="기초"/>
    <s v=""/>
    <s v=""/>
    <x v="465"/>
    <s v="RA-03A-6046]SMPS CONN B/D"/>
    <n v="424"/>
    <s v=""/>
    <x v="111"/>
    <d v="2026-09-08T00:00:00"/>
    <s v=""/>
    <n v="96710"/>
    <n v="40"/>
    <d v="2026-09-09T00:00:00"/>
    <n v="384"/>
  </r>
  <r>
    <x v="0"/>
    <s v=""/>
    <s v="기초"/>
    <s v=""/>
    <s v=""/>
    <x v="452"/>
    <s v="RA-1-2_2]AC POWER FUSE TO NF1"/>
    <n v="610"/>
    <s v=""/>
    <x v="184"/>
    <d v="2026-09-08T00:00:00"/>
    <s v=""/>
    <n v="96710"/>
    <n v="40"/>
    <d v="2026-09-09T00:00:00"/>
    <n v="570"/>
  </r>
  <r>
    <x v="0"/>
    <s v=""/>
    <s v="기초"/>
    <s v=""/>
    <s v=""/>
    <x v="497"/>
    <s v="RA-03V-2285]BRK CABLE GUIDE CLMN (A+)"/>
    <n v="726"/>
    <s v=""/>
    <x v="198"/>
    <d v="2026-09-08T00:00:00"/>
    <s v=""/>
    <n v="96710"/>
    <n v="80"/>
    <d v="2026-09-09T00:00:00"/>
    <n v="646"/>
  </r>
  <r>
    <x v="0"/>
    <s v=""/>
    <s v="기초"/>
    <s v=""/>
    <s v=""/>
    <x v="503"/>
    <s v="RA-03M-0063]GUIDE PIN 2"/>
    <n v="862"/>
    <s v=""/>
    <x v="163"/>
    <d v="2026-09-08T00:00:00"/>
    <s v=""/>
    <n v="96710"/>
    <n v="80"/>
    <d v="2026-09-09T00:00:00"/>
    <n v="782"/>
  </r>
  <r>
    <x v="0"/>
    <s v=""/>
    <s v=""/>
    <s v=""/>
    <s v=""/>
    <x v="24"/>
    <s v="RA-02A-2740]ASM VERT TOTAL (A+) (VN)"/>
    <n v="30"/>
    <s v=""/>
    <x v="20"/>
    <d v="2026-09-17T00:00:00"/>
    <s v=""/>
    <n v="96711"/>
    <n v="30"/>
    <d v="2026-09-15T00:00:00"/>
    <n v="0"/>
  </r>
  <r>
    <x v="0"/>
    <s v=""/>
    <s v=""/>
    <s v=""/>
    <s v=""/>
    <x v="428"/>
    <s v="RA-05A-6004]Bd ASSY'-Aux MCU"/>
    <n v="86"/>
    <s v=""/>
    <x v="182"/>
    <d v="2026-09-09T00:00:00"/>
    <s v=""/>
    <n v="96711"/>
    <n v="40"/>
    <d v="2026-09-09T00:00:00"/>
    <n v="46"/>
  </r>
  <r>
    <x v="0"/>
    <s v=""/>
    <s v="기초"/>
    <s v=""/>
    <s v=""/>
    <x v="588"/>
    <s v="RA-05V-0501]BRK ROT CAS-A"/>
    <n v="201"/>
    <s v=""/>
    <x v="15"/>
    <d v="2026-09-08T00:00:00"/>
    <s v=""/>
    <n v="96711"/>
    <n v="80"/>
    <d v="2026-09-08T00:00:00"/>
    <n v="121"/>
  </r>
  <r>
    <x v="0"/>
    <s v=""/>
    <s v="기초"/>
    <s v=""/>
    <s v=""/>
    <x v="410"/>
    <s v="RA-05V-0513]BRK LED PCB"/>
    <n v="315"/>
    <s v=""/>
    <x v="175"/>
    <d v="2026-09-08T00:00:00"/>
    <s v=""/>
    <n v="96711"/>
    <n v="40"/>
    <d v="2026-09-08T00:00:00"/>
    <n v="275"/>
  </r>
  <r>
    <x v="0"/>
    <s v=""/>
    <s v="기초"/>
    <s v=""/>
    <s v=""/>
    <x v="331"/>
    <s v="RA-11-34_2]SUB MOT DET(V)"/>
    <n v="392"/>
    <s v=""/>
    <x v="153"/>
    <d v="2026-09-08T00:00:00"/>
    <s v=""/>
    <n v="96711"/>
    <n v="40"/>
    <d v="2026-09-08T00:00:00"/>
    <n v="352"/>
  </r>
  <r>
    <x v="0"/>
    <s v=""/>
    <s v="기초"/>
    <s v=""/>
    <s v=""/>
    <x v="72"/>
    <s v="RA-06M-0520]HEATSINK"/>
    <n v="160"/>
    <s v=""/>
    <x v="55"/>
    <d v="2026-09-08T00:00:00"/>
    <s v=""/>
    <n v="96712"/>
    <n v="40"/>
    <d v="2026-09-09T00:00:00"/>
    <n v="120"/>
  </r>
  <r>
    <x v="0"/>
    <s v=""/>
    <s v=""/>
    <s v=""/>
    <s v=""/>
    <x v="349"/>
    <s v="RA-07A-1777]ASM SCREW MOVING DET (VA)"/>
    <n v="165"/>
    <s v=""/>
    <x v="67"/>
    <d v="2026-09-22T00:00:00"/>
    <s v=""/>
    <n v="96712"/>
    <n v="40"/>
    <d v="2026-09-22T00:00:00"/>
    <n v="125"/>
  </r>
  <r>
    <x v="0"/>
    <s v=""/>
    <s v="기초"/>
    <s v=""/>
    <s v=""/>
    <x v="38"/>
    <s v="RA-5-4]EARTH ROT TO TUBE"/>
    <n v="166"/>
    <s v=""/>
    <x v="30"/>
    <d v="2026-09-08T00:00:00"/>
    <s v=""/>
    <n v="96712"/>
    <n v="40"/>
    <d v="2026-09-09T00:00:00"/>
    <n v="126"/>
  </r>
  <r>
    <x v="0"/>
    <s v=""/>
    <s v=""/>
    <s v=""/>
    <s v=""/>
    <x v="462"/>
    <s v="RA-04S-0977]SPRING CEPH AND ARM"/>
    <n v="399"/>
    <s v=""/>
    <x v="117"/>
    <d v="2026-07-29T00:00:00"/>
    <s v=""/>
    <n v="96712"/>
    <n v="40"/>
    <d v="2026-09-09T00:00:00"/>
    <n v="359"/>
  </r>
  <r>
    <x v="0"/>
    <s v=""/>
    <s v="기초"/>
    <s v=""/>
    <s v=""/>
    <x v="435"/>
    <s v="RA-1-8B]AC POWER PFC CONNECT"/>
    <n v="527"/>
    <s v=""/>
    <x v="184"/>
    <d v="2026-09-08T00:00:00"/>
    <s v=""/>
    <n v="96712"/>
    <n v="80"/>
    <d v="2026-09-09T00:00:00"/>
    <n v="447"/>
  </r>
  <r>
    <x v="0"/>
    <s v=""/>
    <s v=""/>
    <s v=""/>
    <s v=""/>
    <x v="0"/>
    <s v="RA-3-3B]DCM CONTROL-B"/>
    <n v="582"/>
    <s v=""/>
    <x v="0"/>
    <d v="2026-07-29T00:00:00"/>
    <s v=""/>
    <n v="96712"/>
    <n v="40"/>
    <d v="2026-09-09T00:00:00"/>
    <n v="542"/>
  </r>
  <r>
    <x v="0"/>
    <s v=""/>
    <s v="기초"/>
    <s v=""/>
    <s v=""/>
    <x v="421"/>
    <s v="RA-5-5]EARTH ROT TO PFC"/>
    <n v="621"/>
    <s v=""/>
    <x v="30"/>
    <d v="2026-09-08T00:00:00"/>
    <s v=""/>
    <n v="96712"/>
    <n v="40"/>
    <d v="2026-09-09T00:00:00"/>
    <n v="581"/>
  </r>
  <r>
    <x v="0"/>
    <s v=""/>
    <s v="기초"/>
    <s v=""/>
    <s v=""/>
    <x v="418"/>
    <s v="RA-10-1]AC CABLE ASS’Y"/>
    <n v="30"/>
    <s v=""/>
    <x v="9"/>
    <d v="2026-09-08T00:00:00"/>
    <s v=""/>
    <n v="96713"/>
    <n v="30"/>
    <d v="2026-09-10T00:00:00"/>
    <n v="0"/>
  </r>
  <r>
    <x v="0"/>
    <s v=""/>
    <s v="기초"/>
    <s v=""/>
    <s v=""/>
    <x v="296"/>
    <s v="RA-02T-0045]CAS VERT SUB BOT"/>
    <n v="32"/>
    <s v=""/>
    <x v="27"/>
    <d v="2026-09-08T00:00:00"/>
    <s v=""/>
    <n v="96713"/>
    <n v="32"/>
    <d v="2026-09-10T00:00:00"/>
    <n v="0"/>
  </r>
  <r>
    <x v="0"/>
    <s v=""/>
    <s v="기초"/>
    <s v=""/>
    <s v=""/>
    <x v="388"/>
    <s v="RA-8-4]AC POWER CEPH"/>
    <n v="78"/>
    <s v=""/>
    <x v="9"/>
    <d v="2026-09-08T00:00:00"/>
    <s v=""/>
    <n v="96713"/>
    <n v="40"/>
    <d v="2026-09-10T00:00:00"/>
    <n v="38"/>
  </r>
  <r>
    <x v="0"/>
    <s v=""/>
    <s v="기초"/>
    <s v=""/>
    <s v=""/>
    <x v="589"/>
    <s v="RA-05V-2654]BRK CAS ROT BOT"/>
    <n v="79"/>
    <s v=""/>
    <x v="175"/>
    <d v="2026-09-08T00:00:00"/>
    <s v=""/>
    <n v="96713"/>
    <n v="40"/>
    <d v="2026-09-10T00:00:00"/>
    <n v="39"/>
  </r>
  <r>
    <x v="0"/>
    <s v=""/>
    <s v="기초"/>
    <s v=""/>
    <s v=""/>
    <x v="252"/>
    <s v="RA-04V-1109]BRK ARM RIGID L"/>
    <n v="100"/>
    <s v=""/>
    <x v="128"/>
    <d v="2026-09-08T00:00:00"/>
    <s v=""/>
    <n v="96713"/>
    <n v="40"/>
    <d v="2026-09-10T00:00:00"/>
    <n v="60"/>
  </r>
  <r>
    <x v="0"/>
    <s v=""/>
    <s v="기초"/>
    <s v=""/>
    <s v=""/>
    <x v="253"/>
    <s v="RA-04V-1108]BRK ARM RIGID R"/>
    <n v="100"/>
    <s v=""/>
    <x v="128"/>
    <d v="2026-09-08T00:00:00"/>
    <s v=""/>
    <n v="96713"/>
    <n v="40"/>
    <d v="2026-09-10T00:00:00"/>
    <n v="60"/>
  </r>
  <r>
    <x v="0"/>
    <s v=""/>
    <s v=""/>
    <s v=""/>
    <s v=""/>
    <x v="296"/>
    <s v="RA-02T-0045]CAS VERT SUB BOT"/>
    <n v="108"/>
    <s v=""/>
    <x v="27"/>
    <d v="2026-09-23T00:00:00"/>
    <s v=""/>
    <n v="96713"/>
    <n v="8"/>
    <d v="2026-09-18T00:00:00"/>
    <n v="100"/>
  </r>
  <r>
    <x v="0"/>
    <s v=""/>
    <s v="기초"/>
    <s v=""/>
    <s v=""/>
    <x v="473"/>
    <s v="RA-3-6]INDICATOR CONTROL"/>
    <n v="126"/>
    <s v=""/>
    <x v="130"/>
    <d v="2026-09-08T00:00:00"/>
    <s v=""/>
    <n v="96713"/>
    <n v="40"/>
    <d v="2026-09-10T00:00:00"/>
    <n v="86"/>
  </r>
  <r>
    <x v="0"/>
    <s v=""/>
    <s v="기초"/>
    <s v=""/>
    <s v=""/>
    <x v="466"/>
    <s v="RA-1-5]AC POWER SMPS-1"/>
    <n v="140"/>
    <s v=""/>
    <x v="184"/>
    <d v="2026-09-08T00:00:00"/>
    <s v=""/>
    <n v="96713"/>
    <n v="40"/>
    <d v="2026-09-10T00:00:00"/>
    <n v="100"/>
  </r>
  <r>
    <x v="0"/>
    <s v=""/>
    <s v="기초"/>
    <s v=""/>
    <s v=""/>
    <x v="235"/>
    <s v="RA-7-5]LAN THU"/>
    <n v="196"/>
    <s v=""/>
    <x v="123"/>
    <d v="2026-09-08T00:00:00"/>
    <s v=""/>
    <n v="96713"/>
    <n v="40"/>
    <d v="2026-09-10T00:00:00"/>
    <n v="156"/>
  </r>
  <r>
    <x v="0"/>
    <s v=""/>
    <s v="기초"/>
    <s v=""/>
    <s v=""/>
    <x v="262"/>
    <s v="RA-3-5]INDICATOR"/>
    <n v="205"/>
    <s v=""/>
    <x v="130"/>
    <d v="2026-09-08T00:00:00"/>
    <s v=""/>
    <n v="96713"/>
    <n v="40"/>
    <d v="2026-09-10T00:00:00"/>
    <n v="165"/>
  </r>
  <r>
    <x v="0"/>
    <s v=""/>
    <s v="기초"/>
    <s v=""/>
    <s v=""/>
    <x v="586"/>
    <s v="RA-1-11]DC POWER HUB"/>
    <n v="205"/>
    <s v=""/>
    <x v="184"/>
    <d v="2026-09-08T00:00:00"/>
    <s v=""/>
    <n v="96713"/>
    <n v="40"/>
    <d v="2026-09-10T00:00:00"/>
    <n v="165"/>
  </r>
  <r>
    <x v="0"/>
    <s v=""/>
    <s v="기초"/>
    <s v=""/>
    <s v=""/>
    <x v="278"/>
    <s v="RA-9-8]SERIAL POWER LS 1"/>
    <n v="214"/>
    <s v=""/>
    <x v="137"/>
    <d v="2026-09-08T00:00:00"/>
    <s v=""/>
    <n v="96713"/>
    <n v="40"/>
    <d v="2026-09-10T00:00:00"/>
    <n v="174"/>
  </r>
  <r>
    <x v="0"/>
    <s v=""/>
    <s v="기초"/>
    <s v=""/>
    <s v=""/>
    <x v="264"/>
    <s v="RA-06A-5004]Bd ASSY'-Indicator Bd"/>
    <n v="218"/>
    <s v=""/>
    <x v="131"/>
    <d v="2026-09-08T00:00:00"/>
    <s v=""/>
    <n v="96713"/>
    <n v="80"/>
    <d v="2026-09-10T00:00:00"/>
    <n v="138"/>
  </r>
  <r>
    <x v="0"/>
    <s v=""/>
    <s v="기초"/>
    <s v=""/>
    <s v=""/>
    <x v="299"/>
    <s v="RA-05T-0210]CAS ROT TOP SUB"/>
    <n v="233"/>
    <s v=""/>
    <x v="27"/>
    <d v="2026-09-08T00:00:00"/>
    <s v=""/>
    <n v="96713"/>
    <n v="40"/>
    <d v="2026-09-10T00:00:00"/>
    <n v="193"/>
  </r>
  <r>
    <x v="0"/>
    <s v=""/>
    <s v="기초"/>
    <s v=""/>
    <s v=""/>
    <x v="374"/>
    <s v="RA-3-3A]DCM CONTROL-A"/>
    <n v="277"/>
    <s v=""/>
    <x v="9"/>
    <d v="2026-09-08T00:00:00"/>
    <s v=""/>
    <n v="96713"/>
    <n v="40"/>
    <d v="2026-09-10T00:00:00"/>
    <n v="237"/>
  </r>
  <r>
    <x v="0"/>
    <s v=""/>
    <s v=""/>
    <s v=""/>
    <s v=""/>
    <x v="418"/>
    <s v="RA-10-1]AC CABLE ASS’Y"/>
    <n v="280"/>
    <s v=""/>
    <x v="9"/>
    <d v="2026-10-07T00:00:00"/>
    <s v=""/>
    <n v="96713"/>
    <n v="10"/>
    <d v="2026-10-02T00:00:00"/>
    <n v="270"/>
  </r>
  <r>
    <x v="0"/>
    <s v=""/>
    <s v="기초"/>
    <s v=""/>
    <s v=""/>
    <x v="379"/>
    <s v="RA-1-12]DC POWER SMPS CONN"/>
    <n v="280"/>
    <s v=""/>
    <x v="0"/>
    <d v="2026-09-08T00:00:00"/>
    <s v=""/>
    <n v="96713"/>
    <n v="40"/>
    <d v="2026-09-10T00:00:00"/>
    <n v="240"/>
  </r>
  <r>
    <x v="0"/>
    <s v=""/>
    <s v="기초"/>
    <s v=""/>
    <s v=""/>
    <x v="382"/>
    <s v="RA-2-9]ACT 2nd LIMIT"/>
    <n v="282"/>
    <s v=""/>
    <x v="0"/>
    <d v="2026-09-08T00:00:00"/>
    <s v=""/>
    <n v="96713"/>
    <n v="40"/>
    <d v="2026-09-10T00:00:00"/>
    <n v="242"/>
  </r>
  <r>
    <x v="0"/>
    <s v=""/>
    <s v="기초"/>
    <s v=""/>
    <s v=""/>
    <x v="395"/>
    <s v="RA-5-8]EARTH CTRL SMPS"/>
    <n v="296"/>
    <s v=""/>
    <x v="30"/>
    <d v="2026-09-08T00:00:00"/>
    <s v=""/>
    <n v="96713"/>
    <n v="40"/>
    <d v="2026-09-10T00:00:00"/>
    <n v="256"/>
  </r>
  <r>
    <x v="0"/>
    <s v=""/>
    <s v=""/>
    <s v=""/>
    <s v=""/>
    <x v="535"/>
    <s v="RA-02M-0395]PIN VERT POSITION"/>
    <n v="326"/>
    <s v=""/>
    <x v="185"/>
    <d v="2026-09-11T00:00:00"/>
    <s v=""/>
    <n v="96713"/>
    <n v="80"/>
    <d v="2026-09-10T00:00:00"/>
    <n v="246"/>
  </r>
  <r>
    <x v="0"/>
    <s v=""/>
    <s v="기초"/>
    <s v=""/>
    <s v=""/>
    <x v="403"/>
    <s v="RA-2-4]SERIAL POWER THU"/>
    <n v="348"/>
    <s v=""/>
    <x v="0"/>
    <d v="2026-09-08T00:00:00"/>
    <s v=""/>
    <n v="96713"/>
    <n v="80"/>
    <d v="2026-09-10T00:00:00"/>
    <n v="268"/>
  </r>
  <r>
    <x v="0"/>
    <s v=""/>
    <s v="기초"/>
    <s v=""/>
    <s v=""/>
    <x v="445"/>
    <s v="RA-05V-0199]BRK PXD-200CT DRV PCB R"/>
    <n v="394"/>
    <s v=""/>
    <x v="186"/>
    <d v="2026-09-08T00:00:00"/>
    <s v=""/>
    <n v="96713"/>
    <n v="40"/>
    <d v="2026-09-10T00:00:00"/>
    <n v="354"/>
  </r>
  <r>
    <x v="0"/>
    <s v=""/>
    <s v="기초"/>
    <s v=""/>
    <s v=""/>
    <x v="451"/>
    <s v="RA-05V-0297]BRK PXD-200CT DRV PCB L"/>
    <n v="399"/>
    <s v=""/>
    <x v="186"/>
    <d v="2026-09-08T00:00:00"/>
    <s v=""/>
    <n v="96713"/>
    <n v="40"/>
    <d v="2026-09-10T00:00:00"/>
    <n v="359"/>
  </r>
  <r>
    <x v="0"/>
    <s v=""/>
    <s v="기초"/>
    <s v=""/>
    <s v=""/>
    <x v="455"/>
    <s v="RA-5-10]EARTH MOT SMPS(RPS)"/>
    <n v="405"/>
    <s v=""/>
    <x v="30"/>
    <d v="2026-09-08T00:00:00"/>
    <s v=""/>
    <n v="96713"/>
    <n v="40"/>
    <d v="2026-09-10T00:00:00"/>
    <n v="365"/>
  </r>
  <r>
    <x v="0"/>
    <s v=""/>
    <s v="기초"/>
    <s v=""/>
    <s v=""/>
    <x v="550"/>
    <s v="RA-05V-2559]CVR SUB MCU"/>
    <n v="9"/>
    <s v=""/>
    <x v="214"/>
    <d v="2026-09-08T00:00:00"/>
    <s v=""/>
    <n v="96714"/>
    <n v="9"/>
    <d v="2026-09-10T00:00:00"/>
    <n v="0"/>
  </r>
  <r>
    <x v="0"/>
    <s v=""/>
    <s v="기초"/>
    <s v=""/>
    <s v=""/>
    <x v="552"/>
    <s v="RA-03A-0287]ASM LEVER HORIZONTAL LASER"/>
    <n v="178"/>
    <s v=""/>
    <x v="150"/>
    <d v="2026-09-08T00:00:00"/>
    <s v=""/>
    <n v="96714"/>
    <n v="40"/>
    <d v="2026-09-10T00:00:00"/>
    <n v="138"/>
  </r>
  <r>
    <x v="0"/>
    <s v=""/>
    <s v="기초"/>
    <s v=""/>
    <s v=""/>
    <x v="293"/>
    <s v="RA-07M-2497]CVR CT DET FRONT (A+ ODD)"/>
    <n v="184"/>
    <s v=""/>
    <x v="142"/>
    <d v="2026-09-08T00:00:00"/>
    <s v=""/>
    <n v="96714"/>
    <n v="40"/>
    <d v="2026-09-10T00:00:00"/>
    <n v="144"/>
  </r>
  <r>
    <x v="0"/>
    <s v=""/>
    <s v="기초"/>
    <s v=""/>
    <s v=""/>
    <x v="115"/>
    <s v="RA-03T-0076]CAS MIRROR DECO"/>
    <n v="189"/>
    <s v=""/>
    <x v="27"/>
    <d v="2026-09-08T00:00:00"/>
    <s v=""/>
    <n v="96714"/>
    <n v="104"/>
    <d v="2026-09-10T00:00:00"/>
    <n v="85"/>
  </r>
  <r>
    <x v="0"/>
    <s v=""/>
    <s v="기초"/>
    <s v=""/>
    <s v=""/>
    <x v="387"/>
    <s v="RA-03M-2064]PLT MIRROR (A+)"/>
    <n v="254"/>
    <s v=""/>
    <x v="170"/>
    <d v="2026-09-08T00:00:00"/>
    <s v=""/>
    <n v="96714"/>
    <n v="40"/>
    <d v="2026-09-10T00:00:00"/>
    <n v="214"/>
  </r>
  <r>
    <x v="0"/>
    <s v=""/>
    <s v="기초"/>
    <s v=""/>
    <s v=""/>
    <x v="553"/>
    <s v="RA-7-3]LAN PC"/>
    <n v="311"/>
    <s v=""/>
    <x v="9"/>
    <d v="2026-09-08T00:00:00"/>
    <s v=""/>
    <n v="96714"/>
    <n v="40"/>
    <d v="2026-09-10T00:00:00"/>
    <n v="271"/>
  </r>
  <r>
    <x v="0"/>
    <s v=""/>
    <s v=""/>
    <s v=""/>
    <s v=""/>
    <x v="554"/>
    <s v="RA-04T-0144]CAS CHINREST BOT"/>
    <n v="356"/>
    <s v=""/>
    <x v="27"/>
    <d v="2026-09-09T00:00:00"/>
    <s v=""/>
    <n v="96714"/>
    <n v="40"/>
    <d v="2026-09-10T00:00:00"/>
    <n v="316"/>
  </r>
  <r>
    <x v="0"/>
    <s v=""/>
    <s v="기초"/>
    <s v=""/>
    <s v=""/>
    <x v="459"/>
    <s v="RA-06M-2299]PLT MIRROR TUBE CAS R (A+)"/>
    <n v="394"/>
    <s v=""/>
    <x v="167"/>
    <d v="2026-09-08T00:00:00"/>
    <s v=""/>
    <n v="96714"/>
    <n v="40"/>
    <d v="2026-09-10T00:00:00"/>
    <n v="354"/>
  </r>
  <r>
    <x v="0"/>
    <s v=""/>
    <s v="기초"/>
    <s v=""/>
    <s v=""/>
    <x v="469"/>
    <s v="RA-06M-2298]PLT MIRROR TUBE CAS L (A+)"/>
    <n v="478"/>
    <s v=""/>
    <x v="167"/>
    <d v="2026-09-08T00:00:00"/>
    <s v=""/>
    <n v="96714"/>
    <n v="40"/>
    <d v="2026-09-10T00:00:00"/>
    <n v="438"/>
  </r>
  <r>
    <x v="0"/>
    <s v=""/>
    <s v="기초"/>
    <s v=""/>
    <s v=""/>
    <x v="555"/>
    <s v="RA-05T-0207]CAS ROT BOT DECO"/>
    <n v="508"/>
    <s v=""/>
    <x v="178"/>
    <d v="2026-09-08T00:00:00"/>
    <s v=""/>
    <n v="96714"/>
    <n v="40"/>
    <d v="2026-09-10T00:00:00"/>
    <n v="468"/>
  </r>
  <r>
    <x v="0"/>
    <s v=""/>
    <s v="기초"/>
    <s v=""/>
    <s v=""/>
    <x v="482"/>
    <s v="RA-06V-0249]HLDR CAS TUBE TNK REAR"/>
    <n v="650"/>
    <s v=""/>
    <x v="15"/>
    <d v="2026-09-08T00:00:00"/>
    <s v=""/>
    <n v="96714"/>
    <n v="80"/>
    <d v="2026-09-10T00:00:00"/>
    <n v="570"/>
  </r>
  <r>
    <x v="0"/>
    <s v=""/>
    <s v="기초"/>
    <s v=""/>
    <s v=""/>
    <x v="560"/>
    <s v="RA-09A-2730]ASM COMPONENT SUB-2"/>
    <n v="43"/>
    <s v=""/>
    <x v="33"/>
    <d v="2026-09-08T00:00:00"/>
    <s v=""/>
    <n v="96728"/>
    <n v="40"/>
    <d v="2026-09-10T00:00:00"/>
    <n v="3"/>
  </r>
  <r>
    <x v="0"/>
    <s v=""/>
    <s v="기초"/>
    <s v=""/>
    <s v=""/>
    <x v="567"/>
    <s v="RA-03V-0055]HLDR CAS CLMN BODY LWR 2"/>
    <n v="48"/>
    <s v=""/>
    <x v="171"/>
    <d v="2026-09-08T00:00:00"/>
    <s v=""/>
    <n v="96728"/>
    <n v="40"/>
    <d v="2026-09-10T00:00:00"/>
    <n v="8"/>
  </r>
  <r>
    <x v="0"/>
    <s v=""/>
    <s v="기초"/>
    <s v=""/>
    <s v=""/>
    <x v="563"/>
    <s v="RA-09A-0345]ASM REMOTE CONTROL"/>
    <n v="73"/>
    <s v=""/>
    <x v="17"/>
    <d v="2026-09-08T00:00:00"/>
    <s v=""/>
    <n v="96728"/>
    <n v="40"/>
    <d v="2026-09-10T00:00:00"/>
    <n v="33"/>
  </r>
  <r>
    <x v="0"/>
    <s v=""/>
    <s v="기초"/>
    <s v=""/>
    <s v=""/>
    <x v="570"/>
    <s v="RA-02T-2182]CAS VERT UPPER (A+)"/>
    <n v="88"/>
    <s v=""/>
    <x v="10"/>
    <d v="2026-09-08T00:00:00"/>
    <s v=""/>
    <n v="96728"/>
    <n v="40"/>
    <d v="2026-09-10T00:00:00"/>
    <n v="48"/>
  </r>
  <r>
    <x v="0"/>
    <s v=""/>
    <s v="기초"/>
    <s v=""/>
    <s v=""/>
    <x v="565"/>
    <s v="RA-01T-1790]CAS MAIN Bas FRONT"/>
    <n v="90"/>
    <s v=""/>
    <x v="10"/>
    <d v="2026-09-08T00:00:00"/>
    <s v=""/>
    <n v="96728"/>
    <n v="40"/>
    <d v="2026-09-10T00:00:00"/>
    <n v="50"/>
  </r>
  <r>
    <x v="0"/>
    <s v=""/>
    <s v="기초"/>
    <s v=""/>
    <s v=""/>
    <x v="568"/>
    <s v="RA-03V-0054]HLDR CAS CLMN BODY LWR 1"/>
    <n v="95"/>
    <s v=""/>
    <x v="171"/>
    <d v="2026-09-08T00:00:00"/>
    <s v=""/>
    <n v="96728"/>
    <n v="40"/>
    <d v="2026-09-10T00:00:00"/>
    <n v="55"/>
  </r>
  <r>
    <x v="0"/>
    <s v=""/>
    <s v="기초"/>
    <s v=""/>
    <s v=""/>
    <x v="97"/>
    <s v="RA-04A-2296]ASM HANDLE (A+)"/>
    <n v="115"/>
    <s v=""/>
    <x v="55"/>
    <d v="2026-09-08T00:00:00"/>
    <s v=""/>
    <n v="96728"/>
    <n v="40"/>
    <d v="2026-09-10T00:00:00"/>
    <n v="75"/>
  </r>
  <r>
    <x v="0"/>
    <s v=""/>
    <s v="기초"/>
    <s v=""/>
    <s v=""/>
    <x v="13"/>
    <s v="RA-03A-0314]ASM CAS CLMN LWR (R)"/>
    <n v="157"/>
    <s v=""/>
    <x v="10"/>
    <d v="2026-09-08T00:00:00"/>
    <s v=""/>
    <n v="96728"/>
    <n v="40"/>
    <d v="2026-09-10T00:00:00"/>
    <n v="117"/>
  </r>
  <r>
    <x v="0"/>
    <s v=""/>
    <s v=""/>
    <s v=""/>
    <s v=""/>
    <x v="561"/>
    <s v="RA-09A-0967]ASM EXPOSURE SW"/>
    <n v="160"/>
    <s v=""/>
    <x v="183"/>
    <d v="2026-09-10T00:00:00"/>
    <s v=""/>
    <n v="96728"/>
    <n v="40"/>
    <d v="2026-09-10T00:00:00"/>
    <n v="120"/>
  </r>
  <r>
    <x v="0"/>
    <s v=""/>
    <s v="기초"/>
    <s v=""/>
    <s v=""/>
    <x v="140"/>
    <s v="RA-09M-1133]PIN GUIDE BITE"/>
    <n v="200"/>
    <s v=""/>
    <x v="17"/>
    <d v="2026-09-08T00:00:00"/>
    <s v=""/>
    <n v="96728"/>
    <n v="80"/>
    <d v="2026-09-10T00:00:00"/>
    <n v="120"/>
  </r>
  <r>
    <x v="0"/>
    <s v=""/>
    <s v="기초"/>
    <s v=""/>
    <s v=""/>
    <x v="12"/>
    <s v="RA-03A-0315]ASM CAS CLMN LWR (L)"/>
    <n v="269"/>
    <s v=""/>
    <x v="10"/>
    <d v="2026-09-08T00:00:00"/>
    <s v=""/>
    <n v="96728"/>
    <n v="40"/>
    <d v="2026-09-10T00:00:00"/>
    <n v="229"/>
  </r>
  <r>
    <x v="0"/>
    <s v=""/>
    <s v="기초"/>
    <s v=""/>
    <s v=""/>
    <x v="571"/>
    <s v="RA-5-7]EARTH SHAFT TO WALL"/>
    <n v="270"/>
    <s v=""/>
    <x v="9"/>
    <d v="2026-09-08T00:00:00"/>
    <s v=""/>
    <n v="96728"/>
    <n v="40"/>
    <d v="2026-09-10T00:00:00"/>
    <n v="230"/>
  </r>
  <r>
    <x v="0"/>
    <s v=""/>
    <s v="기초"/>
    <s v=""/>
    <s v=""/>
    <x v="15"/>
    <s v="RA-5-6]EARTH SHAFT TO PC"/>
    <n v="279"/>
    <s v=""/>
    <x v="9"/>
    <d v="2026-09-08T00:00:00"/>
    <s v=""/>
    <n v="96728"/>
    <n v="40"/>
    <d v="2026-09-10T00:00:00"/>
    <n v="239"/>
  </r>
  <r>
    <x v="0"/>
    <s v=""/>
    <s v=""/>
    <s v=""/>
    <s v=""/>
    <x v="569"/>
    <s v="RA-04T-1707]CAS MONITOR DECO"/>
    <n v="298"/>
    <s v=""/>
    <x v="178"/>
    <d v="2026-09-18T00:00:00"/>
    <s v=""/>
    <n v="96728"/>
    <n v="40"/>
    <d v="2026-09-18T00:00:00"/>
    <n v="258"/>
  </r>
  <r>
    <x v="0"/>
    <s v=""/>
    <s v="기초"/>
    <s v=""/>
    <s v=""/>
    <x v="564"/>
    <s v="RA-01T-1791]CAS MAIN Bas REAR"/>
    <n v="468"/>
    <s v=""/>
    <x v="10"/>
    <d v="2026-09-08T00:00:00"/>
    <s v=""/>
    <n v="96728"/>
    <n v="40"/>
    <d v="2026-09-10T00:00:00"/>
    <n v="428"/>
  </r>
  <r>
    <x v="0"/>
    <s v=""/>
    <s v="기초"/>
    <s v=""/>
    <s v=""/>
    <x v="480"/>
    <s v="RA-09T-1184]CAS CHINREST"/>
    <n v="499"/>
    <s v=""/>
    <x v="27"/>
    <d v="2026-09-08T00:00:00"/>
    <s v=""/>
    <n v="96728"/>
    <n v="40"/>
    <d v="2026-09-10T00:00:00"/>
    <n v="459"/>
  </r>
  <r>
    <x v="0"/>
    <s v=""/>
    <s v="기초"/>
    <s v=""/>
    <s v=""/>
    <x v="566"/>
    <s v="RA-03T-0072]CAS CLMN BODY REAR"/>
    <n v="616"/>
    <s v=""/>
    <x v="10"/>
    <d v="2026-09-08T00:00:00"/>
    <s v=""/>
    <n v="96728"/>
    <n v="40"/>
    <d v="2026-09-10T00:00:00"/>
    <n v="576"/>
  </r>
  <r>
    <x v="0"/>
    <s v=""/>
    <s v=""/>
    <s v=""/>
    <s v=""/>
    <x v="562"/>
    <s v="RA-09T-0733]CAS S.W HLDR"/>
    <n v="737"/>
    <s v=""/>
    <x v="178"/>
    <d v="2026-09-10T00:00:00"/>
    <s v=""/>
    <n v="96728"/>
    <n v="40"/>
    <d v="2026-09-10T00:00:00"/>
    <n v="697"/>
  </r>
  <r>
    <x v="0"/>
    <s v=""/>
    <s v=""/>
    <s v=""/>
    <s v=""/>
    <x v="577"/>
    <s v="RA-9-12]SCEPH LAN"/>
    <n v="48"/>
    <s v=""/>
    <x v="217"/>
    <d v="2026-08-31T00:00:00"/>
    <s v=""/>
    <n v="96729"/>
    <n v="20"/>
    <d v="2026-09-09T00:00:00"/>
    <n v="28"/>
  </r>
  <r>
    <x v="0"/>
    <s v=""/>
    <s v=""/>
    <s v=""/>
    <s v=""/>
    <x v="50"/>
    <s v="RF-01M-0396]FRAME PIPE ALIGN"/>
    <n v="9"/>
    <s v=""/>
    <x v="28"/>
    <d v="2026-09-03T00:00:00"/>
    <s v=""/>
    <n v="96730"/>
    <n v="3"/>
    <d v="2026-09-07T00:00:00"/>
    <n v="6"/>
  </r>
  <r>
    <x v="0"/>
    <s v=""/>
    <s v=""/>
    <s v=""/>
    <s v=""/>
    <x v="582"/>
    <s v="RF-01T-0199]CVR REAR TOP"/>
    <n v="11"/>
    <s v=""/>
    <x v="219"/>
    <d v="2026-09-03T00:00:00"/>
    <s v=""/>
    <n v="96730"/>
    <n v="1"/>
    <d v="2026-09-07T00:00:00"/>
    <n v="10"/>
  </r>
  <r>
    <x v="0"/>
    <s v=""/>
    <s v=""/>
    <s v=""/>
    <s v=""/>
    <x v="180"/>
    <s v="RF-01T-0190]CVR FRONT"/>
    <n v="25"/>
    <s v=""/>
    <x v="103"/>
    <d v="2026-08-25T00:00:00"/>
    <s v=""/>
    <n v="96730"/>
    <n v="24"/>
    <d v="2026-09-07T00:00:00"/>
    <n v="1"/>
  </r>
  <r>
    <x v="0"/>
    <s v=""/>
    <s v=""/>
    <s v=""/>
    <s v=""/>
    <x v="164"/>
    <s v="RF-01T-0354]CAMERA CASE L"/>
    <n v="150"/>
    <s v=""/>
    <x v="59"/>
    <d v="2026-08-25T00:00:00"/>
    <s v=""/>
    <n v="96730"/>
    <n v="1"/>
    <d v="2026-09-07T00:00:00"/>
    <n v="149"/>
  </r>
  <r>
    <x v="0"/>
    <s v=""/>
    <s v=""/>
    <s v=""/>
    <s v=""/>
    <x v="510"/>
    <s v="RA-04T-0143]CAS CHINREST UPPER"/>
    <n v="809"/>
    <s v=""/>
    <x v="27"/>
    <d v="2026-09-09T00:00:00"/>
    <s v=""/>
    <n v="96995"/>
    <n v="1"/>
    <d v="2026-09-09T00:00:00"/>
    <n v="808"/>
  </r>
  <r>
    <x v="0"/>
    <s v=""/>
    <s v=""/>
    <s v=""/>
    <s v=""/>
    <x v="124"/>
    <s v=""/>
    <n v="1"/>
    <s v=""/>
    <x v="66"/>
    <d v="2026-09-22T00:00:00"/>
    <s v=""/>
    <n v="97000"/>
    <n v="1"/>
    <d v="2026-09-22T00:00:00"/>
    <n v="0"/>
  </r>
  <r>
    <x v="0"/>
    <s v=""/>
    <s v=""/>
    <s v=""/>
    <s v=""/>
    <x v="180"/>
    <s v="RF-01T-0190]CVR FRONT"/>
    <n v="1"/>
    <s v=""/>
    <x v="103"/>
    <d v="2026-09-07T00:00:00"/>
    <s v=""/>
    <n v="97000"/>
    <n v="1"/>
    <d v="2026-09-22T00:00:00"/>
    <n v="0"/>
  </r>
  <r>
    <x v="0"/>
    <s v=""/>
    <s v=""/>
    <s v=""/>
    <s v=""/>
    <x v="50"/>
    <s v="RF-01M-0396]FRAME PIPE ALIGN"/>
    <n v="3"/>
    <s v=""/>
    <x v="28"/>
    <d v="2026-09-03T00:00:00"/>
    <s v=""/>
    <n v="97000"/>
    <n v="3"/>
    <d v="2026-09-22T00:00:00"/>
    <n v="0"/>
  </r>
  <r>
    <x v="0"/>
    <s v=""/>
    <s v=""/>
    <s v=""/>
    <s v=""/>
    <x v="582"/>
    <s v="RF-01T-0199]CVR REAR TOP"/>
    <n v="4"/>
    <s v=""/>
    <x v="219"/>
    <d v="2026-09-03T00:00:00"/>
    <s v=""/>
    <n v="97000"/>
    <n v="4"/>
    <d v="2026-09-22T00:00:00"/>
    <n v="0"/>
  </r>
  <r>
    <x v="0"/>
    <s v=""/>
    <s v=""/>
    <s v=""/>
    <s v=""/>
    <x v="583"/>
    <s v="RF-01S-5090]CAM Cable_TEETH_L"/>
    <n v="6"/>
    <s v=""/>
    <x v="66"/>
    <d v="2026-08-25T00:00:00"/>
    <s v=""/>
    <n v="97000"/>
    <n v="6"/>
    <d v="2026-09-22T00:00:00"/>
    <n v="0"/>
  </r>
  <r>
    <x v="0"/>
    <s v=""/>
    <s v=""/>
    <s v=""/>
    <s v=""/>
    <x v="207"/>
    <s v="RF-01S-5093]CAM Cable_TEETH_R"/>
    <n v="6"/>
    <s v=""/>
    <x v="66"/>
    <d v="2026-09-03T00:00:00"/>
    <s v=""/>
    <n v="97000"/>
    <n v="6"/>
    <d v="2026-09-22T00:00:00"/>
    <n v="0"/>
  </r>
  <r>
    <x v="0"/>
    <s v=""/>
    <s v=""/>
    <s v=""/>
    <s v=""/>
    <x v="45"/>
    <s v="RF-01S-5085]FACE CAM"/>
    <n v="7"/>
    <s v=""/>
    <x v="36"/>
    <d v="2026-08-25T00:00:00"/>
    <s v=""/>
    <n v="97000"/>
    <n v="7"/>
    <d v="2026-09-22T00:00:00"/>
    <n v="0"/>
  </r>
  <r>
    <x v="0"/>
    <s v=""/>
    <s v=""/>
    <s v=""/>
    <s v=""/>
    <x v="188"/>
    <s v="RF-01H-5071]SBC LAN Cable"/>
    <n v="8"/>
    <s v=""/>
    <x v="79"/>
    <d v="2026-08-25T00:00:00"/>
    <s v=""/>
    <n v="97000"/>
    <n v="8"/>
    <d v="2026-09-22T00:00:00"/>
    <n v="0"/>
  </r>
  <r>
    <x v="0"/>
    <s v=""/>
    <s v=""/>
    <s v=""/>
    <s v=""/>
    <x v="46"/>
    <s v="RF-01S-5083]CAM Trigger_L-R harness"/>
    <n v="8"/>
    <s v=""/>
    <x v="37"/>
    <d v="2026-08-25T00:00:00"/>
    <s v=""/>
    <n v="97000"/>
    <n v="8"/>
    <d v="2026-09-22T00:00:00"/>
    <n v="0"/>
  </r>
  <r>
    <x v="0"/>
    <s v=""/>
    <s v=""/>
    <s v=""/>
    <s v=""/>
    <x v="204"/>
    <s v="RF-01S-5084]CAM Trigger_C harness"/>
    <n v="8"/>
    <s v=""/>
    <x v="112"/>
    <d v="2026-09-03T00:00:00"/>
    <s v=""/>
    <n v="97000"/>
    <n v="8"/>
    <d v="2026-09-22T00:00:00"/>
    <n v="0"/>
  </r>
  <r>
    <x v="0"/>
    <s v=""/>
    <s v=""/>
    <s v=""/>
    <s v=""/>
    <x v="124"/>
    <s v=""/>
    <n v="10"/>
    <s v=""/>
    <x v="66"/>
    <d v="2026-08-25T00:00:00"/>
    <s v=""/>
    <n v="97000"/>
    <n v="9"/>
    <d v="2026-09-22T00:00:00"/>
    <n v="1"/>
  </r>
  <r>
    <x v="0"/>
    <s v=""/>
    <s v="반납"/>
    <s v=""/>
    <s v=""/>
    <x v="423"/>
    <s v="RF-01T-0160_C]Bas BOT LWR"/>
    <n v="11"/>
    <s v=""/>
    <x v="180"/>
    <d v="2026-09-22T00:00:00"/>
    <s v=""/>
    <n v="97000"/>
    <n v="11"/>
    <d v="2026-09-22T00:00:00"/>
    <n v="0"/>
  </r>
  <r>
    <x v="0"/>
    <s v=""/>
    <s v=""/>
    <s v=""/>
    <s v=""/>
    <x v="408"/>
    <s v="RF-01T-0351]WINDOW LED B"/>
    <n v="12"/>
    <s v=""/>
    <x v="59"/>
    <d v="2026-08-25T00:00:00"/>
    <s v=""/>
    <n v="97000"/>
    <n v="12"/>
    <d v="2026-09-22T00:00:00"/>
    <n v="0"/>
  </r>
  <r>
    <x v="0"/>
    <s v=""/>
    <s v="반납"/>
    <s v=""/>
    <s v=""/>
    <x v="180"/>
    <s v="RF-01T-0190]CVR FRONT"/>
    <n v="15"/>
    <s v=""/>
    <x v="103"/>
    <d v="2026-09-22T00:00:00"/>
    <s v=""/>
    <n v="97000"/>
    <n v="15"/>
    <d v="2026-09-22T00:00:00"/>
    <n v="0"/>
  </r>
  <r>
    <x v="0"/>
    <s v=""/>
    <s v=""/>
    <s v=""/>
    <s v=""/>
    <x v="203"/>
    <s v="RF-01H-5053]USB to PC harness"/>
    <n v="16"/>
    <s v=""/>
    <x v="53"/>
    <d v="2026-08-25T00:00:00"/>
    <s v=""/>
    <n v="97000"/>
    <n v="16"/>
    <d v="2026-09-22T00:00:00"/>
    <n v="0"/>
  </r>
  <r>
    <x v="0"/>
    <s v=""/>
    <s v=""/>
    <s v=""/>
    <s v=""/>
    <x v="69"/>
    <s v="RF-01H-5054]DLP Power harness"/>
    <n v="16"/>
    <s v=""/>
    <x v="53"/>
    <d v="2026-08-25T00:00:00"/>
    <s v=""/>
    <n v="97000"/>
    <n v="16"/>
    <d v="2026-09-22T00:00:00"/>
    <n v="0"/>
  </r>
  <r>
    <x v="0"/>
    <s v=""/>
    <s v=""/>
    <s v=""/>
    <s v=""/>
    <x v="87"/>
    <s v="RF-01T-0210]CVR FRONT MID L"/>
    <n v="16"/>
    <s v=""/>
    <x v="35"/>
    <d v="2026-08-25T00:00:00"/>
    <s v=""/>
    <n v="97000"/>
    <n v="5"/>
    <d v="2026-09-22T00:00:00"/>
    <n v="11"/>
  </r>
  <r>
    <x v="0"/>
    <s v=""/>
    <s v=""/>
    <s v=""/>
    <s v=""/>
    <x v="202"/>
    <s v="RF-01H-5075] USB to Cal kit harness"/>
    <n v="17"/>
    <s v=""/>
    <x v="79"/>
    <d v="2026-08-25T00:00:00"/>
    <s v=""/>
    <n v="97000"/>
    <n v="17"/>
    <d v="2026-09-22T00:00:00"/>
    <n v="0"/>
  </r>
  <r>
    <x v="0"/>
    <s v=""/>
    <s v=""/>
    <s v=""/>
    <s v=""/>
    <x v="308"/>
    <s v="RF-01S-5072]USB 3.0 A to B Cable"/>
    <n v="17"/>
    <s v=""/>
    <x v="60"/>
    <d v="2026-08-25T00:00:00"/>
    <s v=""/>
    <n v="97000"/>
    <n v="17"/>
    <d v="2026-09-22T00:00:00"/>
    <n v="0"/>
  </r>
  <r>
    <x v="0"/>
    <s v=""/>
    <s v="반납"/>
    <s v=""/>
    <s v=""/>
    <x v="582"/>
    <s v="RF-01T-0199]CVR REAR TOP"/>
    <n v="17"/>
    <s v=""/>
    <x v="219"/>
    <d v="2026-09-22T00:00:00"/>
    <s v=""/>
    <n v="97000"/>
    <n v="17"/>
    <d v="2026-09-22T00:00:00"/>
    <n v="0"/>
  </r>
  <r>
    <x v="0"/>
    <s v=""/>
    <s v="반납"/>
    <s v=""/>
    <s v=""/>
    <x v="102"/>
    <s v="RF-01H-5068]LED_Left harness"/>
    <n v="18"/>
    <s v=""/>
    <x v="64"/>
    <d v="2026-09-22T00:00:00"/>
    <s v=""/>
    <n v="97000"/>
    <n v="5"/>
    <d v="2026-09-22T00:00:00"/>
    <n v="13"/>
  </r>
  <r>
    <x v="0"/>
    <s v=""/>
    <s v=""/>
    <s v=""/>
    <s v=""/>
    <x v="212"/>
    <s v="RF-01S-5046]DLP ENGINE"/>
    <n v="18"/>
    <s v=""/>
    <x v="115"/>
    <d v="2026-09-22T00:00:00"/>
    <s v=""/>
    <n v="97000"/>
    <n v="18"/>
    <d v="2026-09-22T00:00:00"/>
    <n v="0"/>
  </r>
  <r>
    <x v="0"/>
    <s v=""/>
    <s v="반납"/>
    <s v=""/>
    <s v=""/>
    <x v="212"/>
    <s v="RF-01S-5046]DLP ENGINE"/>
    <n v="19"/>
    <s v=""/>
    <x v="115"/>
    <d v="2026-09-22T00:00:00"/>
    <s v=""/>
    <n v="97000"/>
    <n v="1"/>
    <d v="2026-09-22T00:00:00"/>
    <n v="18"/>
  </r>
  <r>
    <x v="0"/>
    <s v=""/>
    <s v="반납"/>
    <s v=""/>
    <s v=""/>
    <x v="45"/>
    <s v="RF-01S-5085]FACE CAM"/>
    <n v="19"/>
    <s v=""/>
    <x v="36"/>
    <d v="2026-09-22T00:00:00"/>
    <s v=""/>
    <n v="97000"/>
    <n v="19"/>
    <d v="2026-09-22T00:00:00"/>
    <n v="0"/>
  </r>
  <r>
    <x v="0"/>
    <s v=""/>
    <s v="반납"/>
    <s v=""/>
    <s v=""/>
    <x v="202"/>
    <s v="RF-01H-5075] USB to Cal kit harness"/>
    <n v="20"/>
    <s v=""/>
    <x v="79"/>
    <d v="2026-09-22T00:00:00"/>
    <s v=""/>
    <n v="97000"/>
    <n v="20"/>
    <d v="2026-09-22T00:00:00"/>
    <n v="0"/>
  </r>
  <r>
    <x v="0"/>
    <s v=""/>
    <s v="반납"/>
    <s v=""/>
    <s v=""/>
    <x v="203"/>
    <s v="RF-01H-5053]USB to PC harness"/>
    <n v="21"/>
    <s v=""/>
    <x v="53"/>
    <d v="2026-09-22T00:00:00"/>
    <s v=""/>
    <n v="97000"/>
    <n v="21"/>
    <d v="2026-09-22T00:00:00"/>
    <n v="0"/>
  </r>
  <r>
    <x v="0"/>
    <s v=""/>
    <s v="반납"/>
    <s v=""/>
    <s v=""/>
    <x v="94"/>
    <s v="RF-01S-5049]Face Lens"/>
    <n v="21"/>
    <s v=""/>
    <x v="56"/>
    <d v="2026-09-22T00:00:00"/>
    <s v=""/>
    <n v="97000"/>
    <n v="10"/>
    <d v="2026-09-22T00:00:00"/>
    <n v="11"/>
  </r>
  <r>
    <x v="0"/>
    <s v=""/>
    <s v="반납"/>
    <s v=""/>
    <s v=""/>
    <x v="188"/>
    <s v="RF-01H-5071]SBC LAN Cable"/>
    <n v="22"/>
    <s v=""/>
    <x v="79"/>
    <d v="2026-09-22T00:00:00"/>
    <s v=""/>
    <n v="97000"/>
    <n v="22"/>
    <d v="2026-09-22T00:00:00"/>
    <n v="0"/>
  </r>
  <r>
    <x v="0"/>
    <s v=""/>
    <s v=""/>
    <s v=""/>
    <s v=""/>
    <x v="212"/>
    <s v="RF-01S-5046]DLP ENGINE"/>
    <n v="22"/>
    <s v=""/>
    <x v="115"/>
    <d v="2026-09-03T00:00:00"/>
    <s v=""/>
    <n v="97000"/>
    <n v="22"/>
    <d v="2026-09-22T00:00:00"/>
    <n v="0"/>
  </r>
  <r>
    <x v="0"/>
    <s v=""/>
    <s v="반납"/>
    <s v=""/>
    <s v=""/>
    <x v="308"/>
    <s v="RF-01S-5072]USB 3.0 A to B Cable"/>
    <n v="22"/>
    <s v=""/>
    <x v="60"/>
    <d v="2026-09-22T00:00:00"/>
    <s v=""/>
    <n v="97000"/>
    <n v="22"/>
    <d v="2026-09-22T00:00:00"/>
    <n v="0"/>
  </r>
  <r>
    <x v="0"/>
    <s v=""/>
    <s v="반납"/>
    <s v=""/>
    <s v=""/>
    <x v="207"/>
    <s v="RF-01S-5093]CAM Cable_TEETH_R"/>
    <n v="22"/>
    <s v=""/>
    <x v="66"/>
    <d v="2026-09-22T00:00:00"/>
    <s v=""/>
    <n v="97000"/>
    <n v="22"/>
    <d v="2026-09-22T00:00:00"/>
    <n v="0"/>
  </r>
  <r>
    <x v="0"/>
    <s v=""/>
    <s v="반납"/>
    <s v=""/>
    <s v=""/>
    <x v="133"/>
    <s v=""/>
    <n v="22"/>
    <s v=""/>
    <x v="66"/>
    <d v="2026-09-22T00:00:00"/>
    <s v=""/>
    <n v="97000"/>
    <n v="3"/>
    <d v="2026-09-22T00:00:00"/>
    <n v="19"/>
  </r>
  <r>
    <x v="0"/>
    <s v=""/>
    <s v="반납"/>
    <s v=""/>
    <s v=""/>
    <x v="86"/>
    <s v=""/>
    <n v="22"/>
    <s v=""/>
    <x v="45"/>
    <d v="2026-09-22T00:00:00"/>
    <s v=""/>
    <n v="97000"/>
    <n v="1"/>
    <d v="2026-09-22T00:00:00"/>
    <n v="21"/>
  </r>
  <r>
    <x v="0"/>
    <s v=""/>
    <s v="반납"/>
    <s v=""/>
    <s v=""/>
    <x v="49"/>
    <s v="MODULE ARM LEFT"/>
    <n v="22"/>
    <s v=""/>
    <x v="40"/>
    <d v="2026-09-22T00:00:00"/>
    <s v=""/>
    <n v="97000"/>
    <n v="7"/>
    <d v="2026-09-22T00:00:00"/>
    <n v="15"/>
  </r>
  <r>
    <x v="0"/>
    <s v=""/>
    <s v="반납"/>
    <s v=""/>
    <s v=""/>
    <x v="50"/>
    <s v="RF-01M-0396]FRAME PIPE ALIGN"/>
    <n v="23"/>
    <s v=""/>
    <x v="28"/>
    <d v="2026-09-22T00:00:00"/>
    <s v=""/>
    <n v="97000"/>
    <n v="18"/>
    <d v="2026-09-22T00:00:00"/>
    <n v="5"/>
  </r>
  <r>
    <x v="0"/>
    <s v=""/>
    <s v="반납"/>
    <s v=""/>
    <s v=""/>
    <x v="583"/>
    <s v="RF-01S-5090]CAM Cable_TEETH_L"/>
    <n v="23"/>
    <s v=""/>
    <x v="66"/>
    <d v="2026-09-22T00:00:00"/>
    <s v=""/>
    <n v="97000"/>
    <n v="23"/>
    <d v="2026-09-22T00:00:00"/>
    <n v="0"/>
  </r>
  <r>
    <x v="0"/>
    <s v=""/>
    <s v="반납"/>
    <s v=""/>
    <s v=""/>
    <x v="414"/>
    <s v="RF-01T-0161]Bas BOT UPPER"/>
    <n v="23"/>
    <s v=""/>
    <x v="177"/>
    <d v="2026-09-22T00:00:00"/>
    <s v=""/>
    <n v="97000"/>
    <n v="23"/>
    <d v="2026-09-22T00:00:00"/>
    <n v="0"/>
  </r>
  <r>
    <x v="0"/>
    <s v=""/>
    <s v="반납"/>
    <s v=""/>
    <s v=""/>
    <x v="408"/>
    <s v="RF-01T-0351]WINDOW LED B"/>
    <n v="23"/>
    <s v=""/>
    <x v="59"/>
    <d v="2026-09-22T00:00:00"/>
    <s v=""/>
    <n v="97000"/>
    <n v="23"/>
    <d v="2026-09-22T00:00:00"/>
    <n v="0"/>
  </r>
  <r>
    <x v="0"/>
    <s v=""/>
    <s v="반납"/>
    <s v=""/>
    <s v=""/>
    <x v="71"/>
    <s v=""/>
    <n v="28"/>
    <s v=""/>
    <x v="54"/>
    <d v="2026-09-22T00:00:00"/>
    <s v=""/>
    <n v="97000"/>
    <n v="28"/>
    <d v="2026-09-22T00:00:00"/>
    <n v="0"/>
  </r>
  <r>
    <x v="0"/>
    <s v=""/>
    <s v=""/>
    <s v=""/>
    <s v=""/>
    <x v="50"/>
    <s v="RF-01M-0396]FRAME PIPE ALIGN"/>
    <n v="29"/>
    <s v=""/>
    <x v="28"/>
    <d v="2026-09-03T00:00:00"/>
    <s v=""/>
    <n v="97000"/>
    <n v="29"/>
    <d v="2026-09-22T00:00:00"/>
    <n v="0"/>
  </r>
  <r>
    <x v="0"/>
    <s v=""/>
    <s v="반납"/>
    <s v=""/>
    <s v=""/>
    <x v="204"/>
    <s v="RF-01S-5084]CAM Trigger_C harness"/>
    <n v="29"/>
    <s v=""/>
    <x v="112"/>
    <d v="2026-09-22T00:00:00"/>
    <s v=""/>
    <n v="97000"/>
    <n v="29"/>
    <d v="2026-09-22T00:00:00"/>
    <n v="0"/>
  </r>
  <r>
    <x v="0"/>
    <s v=""/>
    <s v="기초추가"/>
    <s v=""/>
    <s v=""/>
    <x v="582"/>
    <s v="RF-01T-0199]CVR REAR TOP"/>
    <n v="29"/>
    <s v=""/>
    <x v="219"/>
    <d v="2026-09-03T00:00:00"/>
    <s v=""/>
    <n v="97000"/>
    <n v="29"/>
    <d v="2026-09-22T00:00:00"/>
    <n v="0"/>
  </r>
  <r>
    <x v="0"/>
    <s v=""/>
    <s v="입고"/>
    <s v="하이크로봇"/>
    <s v="장동은"/>
    <x v="71"/>
    <s v=""/>
    <n v="30"/>
    <s v=""/>
    <x v="54"/>
    <d v="2026-10-06T00:00:00"/>
    <s v=""/>
    <n v="97000"/>
    <n v="22"/>
    <d v="2026-10-06T00:00:00"/>
    <n v="8"/>
  </r>
  <r>
    <x v="0"/>
    <s v=""/>
    <s v="입고"/>
    <s v="하이크로봇"/>
    <s v="장동은"/>
    <x v="45"/>
    <s v="RF-01S-5085]FACE CAM"/>
    <n v="38"/>
    <s v=""/>
    <x v="36"/>
    <d v="2026-09-28T00:00:00"/>
    <s v=""/>
    <n v="97000"/>
    <n v="24"/>
    <d v="2026-09-30T00:00:00"/>
    <n v="14"/>
  </r>
  <r>
    <x v="0"/>
    <s v=""/>
    <s v=""/>
    <s v=""/>
    <s v=""/>
    <x v="94"/>
    <s v="RF-01S-5049]Face Lens"/>
    <n v="40"/>
    <s v=""/>
    <x v="56"/>
    <d v="2026-08-25T00:00:00"/>
    <s v=""/>
    <n v="97000"/>
    <n v="40"/>
    <d v="2026-09-22T00:00:00"/>
    <n v="0"/>
  </r>
  <r>
    <x v="0"/>
    <s v=""/>
    <s v="입고"/>
    <s v="하이크로봇"/>
    <s v="장동은"/>
    <x v="124"/>
    <s v=""/>
    <n v="40"/>
    <s v=""/>
    <x v="66"/>
    <d v="2026-08-31T00:00:00"/>
    <s v=""/>
    <n v="97000"/>
    <n v="40"/>
    <d v="2026-09-22T00:00:00"/>
    <n v="0"/>
  </r>
  <r>
    <x v="0"/>
    <s v=""/>
    <s v=""/>
    <s v=""/>
    <s v=""/>
    <x v="171"/>
    <s v=""/>
    <n v="42"/>
    <s v=""/>
    <x v="99"/>
    <d v="2026-09-03T00:00:00"/>
    <s v=""/>
    <n v="97000"/>
    <n v="42"/>
    <d v="2026-09-22T00:00:00"/>
    <n v="0"/>
  </r>
  <r>
    <x v="0"/>
    <s v=""/>
    <s v="반납"/>
    <s v=""/>
    <s v=""/>
    <x v="69"/>
    <s v="RF-01H-5054]DLP Power harness"/>
    <n v="43"/>
    <s v=""/>
    <x v="53"/>
    <d v="2026-09-22T00:00:00"/>
    <s v=""/>
    <n v="97000"/>
    <n v="34"/>
    <d v="2026-09-22T00:00:00"/>
    <n v="9"/>
  </r>
  <r>
    <x v="0"/>
    <s v=""/>
    <s v=""/>
    <s v=""/>
    <s v=""/>
    <x v="49"/>
    <s v="MODULE ARM LEFT"/>
    <n v="43"/>
    <s v=""/>
    <x v="40"/>
    <d v="2026-08-25T00:00:00"/>
    <s v=""/>
    <n v="97000"/>
    <n v="43"/>
    <d v="2026-09-22T00:00:00"/>
    <n v="0"/>
  </r>
  <r>
    <x v="0"/>
    <s v=""/>
    <s v="반납"/>
    <s v=""/>
    <s v=""/>
    <x v="404"/>
    <s v="RD-01G-0502]SPONGE)UV SNSR"/>
    <n v="44"/>
    <s v=""/>
    <x v="89"/>
    <d v="2026-09-22T00:00:00"/>
    <s v=""/>
    <n v="97000"/>
    <n v="23"/>
    <d v="2026-09-22T00:00:00"/>
    <n v="21"/>
  </r>
  <r>
    <x v="0"/>
    <s v=""/>
    <s v="반납"/>
    <s v=""/>
    <s v=""/>
    <x v="46"/>
    <s v="RF-01S-5083]CAM Trigger_L-R harness"/>
    <n v="44"/>
    <s v=""/>
    <x v="37"/>
    <d v="2026-09-22T00:00:00"/>
    <s v=""/>
    <n v="97000"/>
    <n v="44"/>
    <d v="2026-09-22T00:00:00"/>
    <n v="0"/>
  </r>
  <r>
    <x v="0"/>
    <s v=""/>
    <s v=""/>
    <s v=""/>
    <s v=""/>
    <x v="102"/>
    <s v="RF-01H-5068]LED_Left harness"/>
    <n v="45"/>
    <s v=""/>
    <x v="64"/>
    <d v="2026-08-25T00:00:00"/>
    <s v=""/>
    <n v="97000"/>
    <n v="45"/>
    <d v="2026-09-22T00:00:00"/>
    <n v="0"/>
  </r>
  <r>
    <x v="0"/>
    <s v=""/>
    <s v="반납"/>
    <s v=""/>
    <s v=""/>
    <x v="87"/>
    <s v="RF-01T-0210]CVR FRONT MID L"/>
    <n v="45"/>
    <s v=""/>
    <x v="35"/>
    <d v="2026-09-22T00:00:00"/>
    <s v=""/>
    <n v="97000"/>
    <n v="45"/>
    <d v="2026-09-22T00:00:00"/>
    <n v="0"/>
  </r>
  <r>
    <x v="0"/>
    <s v=""/>
    <s v=""/>
    <s v=""/>
    <s v=""/>
    <x v="133"/>
    <s v=""/>
    <n v="47"/>
    <s v=""/>
    <x v="66"/>
    <d v="2026-09-03T00:00:00"/>
    <s v=""/>
    <n v="97000"/>
    <n v="47"/>
    <d v="2026-09-22T00:00:00"/>
    <n v="0"/>
  </r>
  <r>
    <x v="0"/>
    <s v=""/>
    <s v=""/>
    <s v=""/>
    <s v=""/>
    <x v="86"/>
    <s v=""/>
    <n v="49"/>
    <s v=""/>
    <x v="45"/>
    <d v="2026-09-03T00:00:00"/>
    <s v=""/>
    <n v="97000"/>
    <n v="49"/>
    <d v="2026-09-22T00:00:00"/>
    <n v="0"/>
  </r>
  <r>
    <x v="0"/>
    <s v=""/>
    <s v=""/>
    <s v=""/>
    <s v=""/>
    <x v="292"/>
    <s v="RF-01B-5038] BOTTOM LED BOARD"/>
    <n v="50"/>
    <s v=""/>
    <x v="141"/>
    <d v="2026-08-25T00:00:00"/>
    <s v=""/>
    <n v="97000"/>
    <n v="50"/>
    <d v="2026-09-22T00:00:00"/>
    <n v="0"/>
  </r>
  <r>
    <x v="0"/>
    <s v=""/>
    <s v=""/>
    <s v=""/>
    <s v=""/>
    <x v="67"/>
    <s v="RF-01B-5073]DMD FPC Cable"/>
    <n v="50"/>
    <s v=""/>
    <x v="52"/>
    <d v="2026-08-25T00:00:00"/>
    <s v=""/>
    <n v="97000"/>
    <n v="50"/>
    <d v="2026-09-22T00:00:00"/>
    <n v="0"/>
  </r>
  <r>
    <x v="0"/>
    <s v=""/>
    <s v="입고"/>
    <s v="에이투케이"/>
    <s v="유영국"/>
    <x v="73"/>
    <s v="RF-01H-5052]USB TO SBC HARNESS"/>
    <n v="50"/>
    <s v=""/>
    <x v="53"/>
    <d v="2026-09-07T00:00:00"/>
    <s v=""/>
    <n v="97000"/>
    <n v="50"/>
    <d v="2026-09-22T00:00:00"/>
    <n v="0"/>
  </r>
  <r>
    <x v="0"/>
    <s v=""/>
    <s v="입고"/>
    <s v="에이투케이"/>
    <s v="유영국"/>
    <x v="203"/>
    <s v="RF-01H-5053]USB to PC harness"/>
    <n v="50"/>
    <s v=""/>
    <x v="53"/>
    <d v="2026-09-07T00:00:00"/>
    <s v=""/>
    <n v="97000"/>
    <n v="13"/>
    <d v="2026-09-22T00:00:00"/>
    <n v="37"/>
  </r>
  <r>
    <x v="0"/>
    <s v=""/>
    <s v="입고"/>
    <s v="에이투케이"/>
    <s v="유영국"/>
    <x v="144"/>
    <s v="RF-01H-5055]LED Power harness"/>
    <n v="50"/>
    <s v=""/>
    <x v="53"/>
    <d v="2026-09-07T00:00:00"/>
    <s v=""/>
    <n v="97000"/>
    <n v="50"/>
    <d v="2026-09-22T00:00:00"/>
    <n v="0"/>
  </r>
  <r>
    <x v="0"/>
    <s v=""/>
    <s v="입고"/>
    <s v=""/>
    <s v=""/>
    <x v="274"/>
    <s v="RF-01H-5056]LED PWM harness"/>
    <n v="50"/>
    <s v=""/>
    <x v="53"/>
    <d v="2026-08-19T00:00:00"/>
    <s v=""/>
    <n v="97000"/>
    <n v="50"/>
    <d v="2026-09-22T00:00:00"/>
    <n v="0"/>
  </r>
  <r>
    <x v="0"/>
    <s v=""/>
    <s v=""/>
    <s v=""/>
    <s v=""/>
    <x v="83"/>
    <s v="RF-01H-5065]Main Power harness"/>
    <n v="50"/>
    <s v=""/>
    <x v="64"/>
    <d v="2026-08-25T00:00:00"/>
    <s v=""/>
    <n v="97000"/>
    <n v="50"/>
    <d v="2026-09-22T00:00:00"/>
    <n v="0"/>
  </r>
  <r>
    <x v="0"/>
    <s v=""/>
    <s v="입고"/>
    <s v="에이투케이"/>
    <s v="유영국"/>
    <x v="135"/>
    <s v="RF-01H-5067]LED_Right harness"/>
    <n v="50"/>
    <s v=""/>
    <x v="64"/>
    <d v="2026-09-07T00:00:00"/>
    <s v=""/>
    <n v="97000"/>
    <n v="50"/>
    <d v="2026-09-22T00:00:00"/>
    <n v="0"/>
  </r>
  <r>
    <x v="0"/>
    <s v=""/>
    <s v="입고"/>
    <s v="에이투케이"/>
    <s v="유영국"/>
    <x v="101"/>
    <s v="RF-01H-5069]LED_Bottom harness"/>
    <n v="50"/>
    <s v=""/>
    <x v="64"/>
    <d v="2026-09-07T00:00:00"/>
    <s v=""/>
    <n v="97000"/>
    <n v="50"/>
    <d v="2026-09-22T00:00:00"/>
    <n v="0"/>
  </r>
  <r>
    <x v="0"/>
    <s v=""/>
    <s v=""/>
    <s v=""/>
    <s v=""/>
    <x v="117"/>
    <s v="RF-01H-5070]Power Switch harness"/>
    <n v="50"/>
    <s v=""/>
    <x v="79"/>
    <d v="2026-08-25T00:00:00"/>
    <s v=""/>
    <n v="97000"/>
    <n v="50"/>
    <d v="2026-09-22T00:00:00"/>
    <n v="0"/>
  </r>
  <r>
    <x v="0"/>
    <s v=""/>
    <s v="입고"/>
    <s v="에이투케이"/>
    <s v="유영국"/>
    <x v="188"/>
    <s v="RF-01H-5071]SBC LAN Cable"/>
    <n v="50"/>
    <s v=""/>
    <x v="79"/>
    <d v="2026-09-07T00:00:00"/>
    <s v=""/>
    <n v="97000"/>
    <n v="20"/>
    <d v="2026-09-22T00:00:00"/>
    <n v="30"/>
  </r>
  <r>
    <x v="0"/>
    <s v=""/>
    <s v="입고"/>
    <s v="에이투케이"/>
    <s v="유영국"/>
    <x v="202"/>
    <s v="RF-01H-5075] USB to Cal kit harness"/>
    <n v="50"/>
    <s v=""/>
    <x v="79"/>
    <d v="2026-09-07T00:00:00"/>
    <s v=""/>
    <n v="97000"/>
    <n v="13"/>
    <d v="2026-09-22T00:00:00"/>
    <n v="37"/>
  </r>
  <r>
    <x v="0"/>
    <s v=""/>
    <s v="입고"/>
    <s v="A&amp;T"/>
    <s v="조영우"/>
    <x v="92"/>
    <s v="RF-01M-0268]TEETH CAM BLK_HR"/>
    <n v="50"/>
    <s v=""/>
    <x v="69"/>
    <d v="2026-08-27T00:00:00"/>
    <s v=""/>
    <n v="97000"/>
    <n v="50"/>
    <d v="2026-09-22T00:00:00"/>
    <n v="0"/>
  </r>
  <r>
    <x v="0"/>
    <s v=""/>
    <s v="입고"/>
    <s v=""/>
    <s v=""/>
    <x v="113"/>
    <s v="RF-01M-0395]BLOCK BASE BOTTOM"/>
    <n v="50"/>
    <s v=""/>
    <x v="32"/>
    <d v="2026-08-18T00:00:00"/>
    <s v=""/>
    <n v="97000"/>
    <n v="50"/>
    <d v="2026-09-22T00:00:00"/>
    <n v="0"/>
  </r>
  <r>
    <x v="0"/>
    <s v=""/>
    <s v="입고"/>
    <s v=""/>
    <s v=""/>
    <x v="40"/>
    <s v="RF-01M-0398]COVER TOP"/>
    <n v="50"/>
    <s v=""/>
    <x v="32"/>
    <d v="2026-08-18T00:00:00"/>
    <s v=""/>
    <n v="97000"/>
    <n v="50"/>
    <d v="2026-09-22T00:00:00"/>
    <n v="0"/>
  </r>
  <r>
    <x v="0"/>
    <s v=""/>
    <s v="입고"/>
    <s v="클레어옵틱"/>
    <s v="장동은"/>
    <x v="212"/>
    <s v="RF-01S-5046]DLP ENGINE"/>
    <n v="50"/>
    <s v=""/>
    <x v="115"/>
    <d v="2026-09-18T00:00:00"/>
    <s v=""/>
    <n v="97000"/>
    <n v="9"/>
    <d v="2026-09-22T00:00:00"/>
    <n v="41"/>
  </r>
  <r>
    <x v="0"/>
    <s v=""/>
    <s v="입고"/>
    <s v="A&amp;T"/>
    <s v="조영우"/>
    <x v="42"/>
    <s v="RF-01V-0209]FRONT BRK TOP"/>
    <n v="50"/>
    <s v=""/>
    <x v="34"/>
    <d v="2026-08-27T00:00:00"/>
    <s v=""/>
    <n v="97000"/>
    <n v="50"/>
    <d v="2026-09-22T00:00:00"/>
    <n v="0"/>
  </r>
  <r>
    <x v="0"/>
    <s v=""/>
    <s v="입고"/>
    <s v="A&amp;T"/>
    <s v="조영우"/>
    <x v="75"/>
    <s v="RF-20A-0280]MODULE DLP MCU BRACKET"/>
    <n v="50"/>
    <s v=""/>
    <x v="54"/>
    <d v="2026-08-27T00:00:00"/>
    <s v=""/>
    <n v="97000"/>
    <n v="50"/>
    <d v="2026-09-22T00:00:00"/>
    <n v="0"/>
  </r>
  <r>
    <x v="0"/>
    <s v=""/>
    <s v="입고"/>
    <s v="A&amp;T"/>
    <s v="조영우"/>
    <x v="112"/>
    <s v=""/>
    <n v="50"/>
    <s v=""/>
    <x v="77"/>
    <d v="2026-09-08T00:00:00"/>
    <s v=""/>
    <n v="97000"/>
    <n v="50"/>
    <d v="2026-09-22T00:00:00"/>
    <n v="0"/>
  </r>
  <r>
    <x v="0"/>
    <s v=""/>
    <s v="입고"/>
    <s v="하이크로봇"/>
    <s v="장동은"/>
    <x v="204"/>
    <s v="RF-01S-5084]CAM Trigger_C harness"/>
    <n v="50"/>
    <s v=""/>
    <x v="112"/>
    <d v="2026-09-28T00:00:00"/>
    <s v=""/>
    <n v="97000"/>
    <n v="13"/>
    <d v="2026-09-30T00:00:00"/>
    <n v="37"/>
  </r>
  <r>
    <x v="0"/>
    <s v=""/>
    <s v="입고"/>
    <s v="하이크로봇"/>
    <s v="장동은"/>
    <x v="46"/>
    <s v="RF-01S-5083]CAM Trigger_L-R harness"/>
    <n v="50"/>
    <s v=""/>
    <x v="37"/>
    <d v="2026-09-28T00:00:00"/>
    <s v=""/>
    <n v="97000"/>
    <n v="48"/>
    <d v="2026-09-30T00:00:00"/>
    <n v="2"/>
  </r>
  <r>
    <x v="0"/>
    <s v=""/>
    <s v=""/>
    <s v=""/>
    <s v=""/>
    <x v="36"/>
    <s v="RF-01V-0208]FRONT FRM"/>
    <n v="51"/>
    <s v=""/>
    <x v="28"/>
    <d v="2026-08-25T00:00:00"/>
    <s v=""/>
    <n v="97000"/>
    <n v="50"/>
    <d v="2026-09-22T00:00:00"/>
    <n v="1"/>
  </r>
  <r>
    <x v="0"/>
    <s v=""/>
    <s v="반납"/>
    <s v=""/>
    <s v=""/>
    <x v="43"/>
    <s v="RF-01T-0255]CVR FRONT MID R"/>
    <n v="52"/>
    <s v=""/>
    <x v="35"/>
    <d v="2026-09-22T00:00:00"/>
    <s v=""/>
    <n v="97000"/>
    <n v="50"/>
    <d v="2026-09-22T00:00:00"/>
    <n v="2"/>
  </r>
  <r>
    <x v="0"/>
    <s v=""/>
    <s v=""/>
    <s v=""/>
    <s v=""/>
    <x v="59"/>
    <s v="RF-01B-5040]MAIN Bd"/>
    <n v="56"/>
    <s v=""/>
    <x v="46"/>
    <d v="2026-08-25T00:00:00"/>
    <s v=""/>
    <n v="97000"/>
    <n v="50"/>
    <d v="2026-09-22T00:00:00"/>
    <n v="6"/>
  </r>
  <r>
    <x v="0"/>
    <s v=""/>
    <s v=""/>
    <s v=""/>
    <s v=""/>
    <x v="58"/>
    <s v="RF-01S-5087]CAM Cable_Face"/>
    <n v="56"/>
    <s v=""/>
    <x v="45"/>
    <d v="2026-08-25T00:00:00"/>
    <s v=""/>
    <n v="97000"/>
    <n v="50"/>
    <d v="2026-09-22T00:00:00"/>
    <n v="6"/>
  </r>
  <r>
    <x v="0"/>
    <s v=""/>
    <s v=""/>
    <s v=""/>
    <s v=""/>
    <x v="218"/>
    <s v="RF-01B-5037] LED SIDE BOARD_REV2"/>
    <n v="58"/>
    <s v=""/>
    <x v="46"/>
    <d v="2026-08-25T00:00:00"/>
    <s v=""/>
    <n v="97000"/>
    <n v="58"/>
    <d v="2026-09-22T00:00:00"/>
    <n v="0"/>
  </r>
  <r>
    <x v="0"/>
    <s v=""/>
    <s v=""/>
    <s v=""/>
    <s v=""/>
    <x v="76"/>
    <s v="RF-10A-2086]ASM JETSON NANO"/>
    <n v="59"/>
    <s v=""/>
    <x v="57"/>
    <d v="2026-08-25T00:00:00"/>
    <s v=""/>
    <n v="97000"/>
    <n v="50"/>
    <d v="2026-09-22T00:00:00"/>
    <n v="9"/>
  </r>
  <r>
    <x v="0"/>
    <s v=""/>
    <s v="입고"/>
    <s v="하이크로봇"/>
    <s v="장동은"/>
    <x v="207"/>
    <s v="RF-01S-5093]CAM Cable_TEETH_R"/>
    <n v="60"/>
    <s v=""/>
    <x v="66"/>
    <d v="2026-09-28T00:00:00"/>
    <s v=""/>
    <n v="97000"/>
    <n v="22"/>
    <d v="2026-09-30T00:00:00"/>
    <n v="38"/>
  </r>
  <r>
    <x v="0"/>
    <s v=""/>
    <s v=""/>
    <s v=""/>
    <s v=""/>
    <x v="282"/>
    <s v="RP-01H-5009]Lan cable"/>
    <n v="60"/>
    <s v=""/>
    <x v="60"/>
    <d v="2026-08-25T00:00:00"/>
    <s v=""/>
    <n v="97000"/>
    <n v="50"/>
    <d v="2026-09-22T00:00:00"/>
    <n v="10"/>
  </r>
  <r>
    <x v="0"/>
    <s v=""/>
    <s v="반납"/>
    <s v=""/>
    <s v=""/>
    <x v="92"/>
    <s v="RF-01M-0268]TEETH CAM BLK_HR"/>
    <n v="61"/>
    <s v=""/>
    <x v="69"/>
    <d v="2026-09-22T00:00:00"/>
    <s v=""/>
    <n v="97000"/>
    <n v="50"/>
    <d v="2026-09-22T00:00:00"/>
    <n v="11"/>
  </r>
  <r>
    <x v="0"/>
    <s v=""/>
    <s v=""/>
    <s v=""/>
    <s v=""/>
    <x v="93"/>
    <s v=""/>
    <n v="61"/>
    <s v=""/>
    <x v="70"/>
    <d v="2026-08-25T00:00:00"/>
    <s v=""/>
    <n v="97000"/>
    <n v="50"/>
    <d v="2026-09-22T00:00:00"/>
    <n v="11"/>
  </r>
  <r>
    <x v="0"/>
    <s v=""/>
    <s v="입고"/>
    <s v="SON TUNG"/>
    <s v="조영우"/>
    <x v="180"/>
    <s v="RF-01T-0190]CVR FRONT"/>
    <n v="64"/>
    <s v=""/>
    <x v="103"/>
    <d v="2026-09-21T00:00:00"/>
    <s v=""/>
    <n v="97000"/>
    <n v="34"/>
    <d v="2026-09-22T00:00:00"/>
    <n v="30"/>
  </r>
  <r>
    <x v="0"/>
    <s v=""/>
    <s v=""/>
    <s v=""/>
    <s v=""/>
    <x v="127"/>
    <s v="RF-01M-0200]MIRROR PLT"/>
    <n v="69"/>
    <s v=""/>
    <x v="82"/>
    <d v="2026-09-16T00:00:00"/>
    <s v=""/>
    <n v="97000"/>
    <n v="50"/>
    <d v="2026-09-22T00:00:00"/>
    <n v="19"/>
  </r>
  <r>
    <x v="0"/>
    <s v=""/>
    <s v=""/>
    <s v=""/>
    <s v=""/>
    <x v="79"/>
    <s v="RD-00S-5201]USB A to B Cable"/>
    <n v="70"/>
    <s v=""/>
    <x v="60"/>
    <d v="2026-08-25T00:00:00"/>
    <s v=""/>
    <n v="97000"/>
    <n v="50"/>
    <d v="2026-09-22T00:00:00"/>
    <n v="20"/>
  </r>
  <r>
    <x v="0"/>
    <s v=""/>
    <s v=""/>
    <s v=""/>
    <s v=""/>
    <x v="327"/>
    <s v="RF-01S-5050]TEETH LENS"/>
    <n v="73"/>
    <s v=""/>
    <x v="56"/>
    <d v="2026-08-25T00:00:00"/>
    <s v=""/>
    <n v="97000"/>
    <n v="73"/>
    <d v="2026-09-22T00:00:00"/>
    <n v="0"/>
  </r>
  <r>
    <x v="0"/>
    <s v=""/>
    <s v=""/>
    <s v=""/>
    <s v=""/>
    <x v="404"/>
    <s v="RD-01G-0502]SPONGE)UV SNSR"/>
    <n v="77"/>
    <s v=""/>
    <x v="89"/>
    <d v="2026-08-25T00:00:00"/>
    <s v=""/>
    <n v="97000"/>
    <n v="77"/>
    <d v="2026-09-22T00:00:00"/>
    <n v="0"/>
  </r>
  <r>
    <x v="0"/>
    <s v=""/>
    <s v="입고"/>
    <s v="A&amp;T"/>
    <s v="조영우"/>
    <x v="139"/>
    <s v="MODULE ARM RIGHT"/>
    <n v="80"/>
    <s v=""/>
    <x v="77"/>
    <d v="2026-08-27T00:00:00"/>
    <s v=""/>
    <n v="97000"/>
    <n v="50"/>
    <d v="2026-09-22T00:00:00"/>
    <n v="30"/>
  </r>
  <r>
    <x v="0"/>
    <s v=""/>
    <s v="입고"/>
    <s v=""/>
    <s v=""/>
    <x v="176"/>
    <s v=""/>
    <n v="80"/>
    <s v=""/>
    <x v="102"/>
    <d v="2026-08-04T00:00:00"/>
    <s v=""/>
    <n v="97000"/>
    <n v="50"/>
    <d v="2026-09-22T00:00:00"/>
    <n v="30"/>
  </r>
  <r>
    <x v="0"/>
    <s v=""/>
    <s v="반납"/>
    <s v=""/>
    <s v=""/>
    <x v="218"/>
    <s v="RF-01B-5037] LED SIDE BOARD_REV2"/>
    <n v="84"/>
    <s v=""/>
    <x v="46"/>
    <d v="2026-09-22T00:00:00"/>
    <s v=""/>
    <n v="97000"/>
    <n v="42"/>
    <d v="2026-09-22T00:00:00"/>
    <n v="42"/>
  </r>
  <r>
    <x v="0"/>
    <s v=""/>
    <s v="반납"/>
    <s v=""/>
    <s v=""/>
    <x v="426"/>
    <s v="RF-01S-0251]CAL Mgnet"/>
    <n v="89"/>
    <s v=""/>
    <x v="82"/>
    <d v="2026-09-22T00:00:00"/>
    <s v=""/>
    <n v="97000"/>
    <n v="89"/>
    <d v="2026-09-22T00:00:00"/>
    <n v="0"/>
  </r>
  <r>
    <x v="0"/>
    <s v=""/>
    <s v="입고"/>
    <s v="하이크로봇"/>
    <s v="장동은"/>
    <x v="71"/>
    <s v=""/>
    <n v="100"/>
    <s v=""/>
    <x v="54"/>
    <d v="2026-10-06T00:00:00"/>
    <s v=""/>
    <n v="97000"/>
    <n v="100"/>
    <d v="2026-10-06T00:00:00"/>
    <n v="0"/>
  </r>
  <r>
    <x v="0"/>
    <s v=""/>
    <s v="입고"/>
    <s v=""/>
    <s v=""/>
    <x v="154"/>
    <s v="RF-01B-5035]CONNECTOR Bd"/>
    <n v="100"/>
    <s v=""/>
    <x v="90"/>
    <d v="2026-08-20T00:00:00"/>
    <s v=""/>
    <n v="97000"/>
    <n v="50"/>
    <d v="2026-09-22T00:00:00"/>
    <n v="50"/>
  </r>
  <r>
    <x v="0"/>
    <s v=""/>
    <s v="입고"/>
    <s v="A&amp;T"/>
    <s v="조영우"/>
    <x v="126"/>
    <s v="USB HOLDER FRONT"/>
    <n v="100"/>
    <s v=""/>
    <x v="81"/>
    <d v="2026-08-27T00:00:00"/>
    <s v=""/>
    <n v="97000"/>
    <n v="100"/>
    <d v="2026-09-22T00:00:00"/>
    <n v="0"/>
  </r>
  <r>
    <x v="0"/>
    <s v=""/>
    <s v="입고"/>
    <s v=""/>
    <s v=""/>
    <x v="308"/>
    <s v="RF-01S-5072]USB 3.0 A to B Cable"/>
    <n v="100"/>
    <s v=""/>
    <x v="60"/>
    <d v="2026-08-18T00:00:00"/>
    <s v=""/>
    <n v="97000"/>
    <n v="11"/>
    <d v="2026-09-22T00:00:00"/>
    <n v="89"/>
  </r>
  <r>
    <x v="0"/>
    <s v=""/>
    <s v="입고"/>
    <s v="A&amp;T"/>
    <s v="조영우"/>
    <x v="119"/>
    <s v="RF-01V-0197]JETSON BRK"/>
    <n v="100"/>
    <s v=""/>
    <x v="51"/>
    <d v="2026-09-08T00:00:00"/>
    <s v=""/>
    <n v="97000"/>
    <n v="50"/>
    <d v="2026-09-22T00:00:00"/>
    <n v="50"/>
  </r>
  <r>
    <x v="0"/>
    <s v=""/>
    <s v="입고"/>
    <s v="A&amp;T"/>
    <s v="조영우"/>
    <x v="91"/>
    <s v="RF-01V-0293]BRK USB HLDR"/>
    <n v="100"/>
    <s v=""/>
    <x v="34"/>
    <d v="2026-08-27T00:00:00"/>
    <s v=""/>
    <n v="97000"/>
    <n v="100"/>
    <d v="2026-09-22T00:00:00"/>
    <n v="0"/>
  </r>
  <r>
    <x v="0"/>
    <s v=""/>
    <s v="입고"/>
    <s v=""/>
    <s v=""/>
    <x v="155"/>
    <s v=""/>
    <n v="100"/>
    <s v=""/>
    <x v="80"/>
    <d v="2026-07-30T00:00:00"/>
    <s v=""/>
    <n v="97000"/>
    <n v="50"/>
    <d v="2026-09-22T00:00:00"/>
    <n v="50"/>
  </r>
  <r>
    <x v="0"/>
    <s v=""/>
    <s v=""/>
    <s v=""/>
    <s v=""/>
    <x v="233"/>
    <s v="RF-20A-0279]Mdl DLP PLT"/>
    <n v="115"/>
    <s v=""/>
    <x v="54"/>
    <d v="2026-08-25T00:00:00"/>
    <s v=""/>
    <n v="97000"/>
    <n v="50"/>
    <d v="2026-09-22T00:00:00"/>
    <n v="65"/>
  </r>
  <r>
    <x v="0"/>
    <s v=""/>
    <s v=""/>
    <s v=""/>
    <s v=""/>
    <x v="66"/>
    <s v="MODULE BASE BOTTOM FRAME"/>
    <n v="116"/>
    <s v=""/>
    <x v="51"/>
    <d v="2026-08-25T00:00:00"/>
    <s v=""/>
    <n v="97000"/>
    <n v="50"/>
    <d v="2026-09-22T00:00:00"/>
    <n v="66"/>
  </r>
  <r>
    <x v="0"/>
    <s v=""/>
    <s v="반납"/>
    <s v=""/>
    <s v=""/>
    <x v="327"/>
    <s v="RF-01S-5050]TEETH LENS"/>
    <n v="124"/>
    <s v=""/>
    <x v="56"/>
    <d v="2026-09-22T00:00:00"/>
    <s v=""/>
    <n v="97000"/>
    <n v="27"/>
    <d v="2026-09-22T00:00:00"/>
    <n v="97"/>
  </r>
  <r>
    <x v="0"/>
    <s v=""/>
    <s v="반납"/>
    <s v=""/>
    <s v=""/>
    <x v="85"/>
    <s v="RF-01S-5086]TEETH CAM"/>
    <n v="126"/>
    <s v=""/>
    <x v="66"/>
    <d v="2026-09-22T00:00:00"/>
    <s v=""/>
    <n v="97000"/>
    <n v="100"/>
    <d v="2026-09-22T00:00:00"/>
    <n v="26"/>
  </r>
  <r>
    <x v="0"/>
    <s v=""/>
    <s v=""/>
    <s v=""/>
    <s v=""/>
    <x v="156"/>
    <s v="RF-01B-5039]POWER HUB Bd"/>
    <n v="149"/>
    <s v=""/>
    <x v="91"/>
    <d v="2026-08-25T00:00:00"/>
    <s v=""/>
    <n v="97000"/>
    <n v="50"/>
    <d v="2026-09-22T00:00:00"/>
    <n v="99"/>
  </r>
  <r>
    <x v="0"/>
    <s v=""/>
    <s v=""/>
    <s v=""/>
    <s v=""/>
    <x v="164"/>
    <s v="RF-01T-0354]CAMERA CASE L"/>
    <n v="149"/>
    <s v=""/>
    <x v="59"/>
    <d v="2026-09-07T00:00:00"/>
    <s v=""/>
    <n v="97000"/>
    <n v="50"/>
    <d v="2026-09-22T00:00:00"/>
    <n v="99"/>
  </r>
  <r>
    <x v="0"/>
    <s v=""/>
    <s v=""/>
    <s v=""/>
    <s v=""/>
    <x v="78"/>
    <s v="RF-01T-0355]CAMERA CASE R"/>
    <n v="150"/>
    <s v=""/>
    <x v="59"/>
    <d v="2026-08-25T00:00:00"/>
    <s v=""/>
    <n v="97000"/>
    <n v="50"/>
    <d v="2026-09-22T00:00:00"/>
    <n v="100"/>
  </r>
  <r>
    <x v="0"/>
    <s v=""/>
    <s v=""/>
    <s v=""/>
    <s v=""/>
    <x v="149"/>
    <s v="RF-01V-0254]REAR CVR TOP BRK"/>
    <n v="150"/>
    <s v=""/>
    <x v="34"/>
    <d v="2026-08-25T00:00:00"/>
    <s v=""/>
    <n v="97000"/>
    <n v="50"/>
    <d v="2026-09-22T00:00:00"/>
    <n v="100"/>
  </r>
  <r>
    <x v="0"/>
    <s v=""/>
    <s v=""/>
    <s v=""/>
    <s v=""/>
    <x v="120"/>
    <s v="RF-01T-0241]CAL Bas UPPER"/>
    <n v="151"/>
    <s v=""/>
    <x v="32"/>
    <d v="2026-08-25T00:00:00"/>
    <s v=""/>
    <n v="97000"/>
    <n v="50"/>
    <d v="2026-09-22T00:00:00"/>
    <n v="101"/>
  </r>
  <r>
    <x v="0"/>
    <s v=""/>
    <s v=""/>
    <s v=""/>
    <s v=""/>
    <x v="408"/>
    <s v="RF-01T-0351]WINDOW LED B"/>
    <n v="184"/>
    <s v=""/>
    <x v="59"/>
    <d v="2026-10-06T00:00:00"/>
    <s v=""/>
    <n v="97000"/>
    <n v="21"/>
    <d v="2026-09-30T00:00:00"/>
    <n v="163"/>
  </r>
  <r>
    <x v="0"/>
    <s v=""/>
    <s v=""/>
    <s v=""/>
    <s v=""/>
    <x v="199"/>
    <s v="RF-01M-0269]FACE CAM BLK_HR"/>
    <n v="194"/>
    <s v=""/>
    <x v="81"/>
    <d v="2026-08-25T00:00:00"/>
    <s v=""/>
    <n v="97000"/>
    <n v="50"/>
    <d v="2026-09-22T00:00:00"/>
    <n v="144"/>
  </r>
  <r>
    <x v="0"/>
    <s v=""/>
    <s v=""/>
    <s v=""/>
    <s v=""/>
    <x v="414"/>
    <s v="RF-01T-0161]Bas BOT UPPER"/>
    <n v="198"/>
    <s v=""/>
    <x v="177"/>
    <d v="2026-08-25T00:00:00"/>
    <s v=""/>
    <n v="97000"/>
    <n v="27"/>
    <d v="2026-09-22T00:00:00"/>
    <n v="171"/>
  </r>
  <r>
    <x v="0"/>
    <s v=""/>
    <s v=""/>
    <s v=""/>
    <s v=""/>
    <x v="89"/>
    <s v="RF-01T-0352]CAMERA CASE B"/>
    <n v="198"/>
    <s v=""/>
    <x v="59"/>
    <d v="2026-09-03T00:00:00"/>
    <s v=""/>
    <n v="97000"/>
    <n v="50"/>
    <d v="2026-09-22T00:00:00"/>
    <n v="148"/>
  </r>
  <r>
    <x v="0"/>
    <s v=""/>
    <s v="입고"/>
    <s v="진광"/>
    <s v="장동은"/>
    <x v="408"/>
    <s v="RF-01T-0351]WINDOW LED B"/>
    <n v="200"/>
    <s v=""/>
    <x v="59"/>
    <d v="2026-09-21T00:00:00"/>
    <s v=""/>
    <n v="97000"/>
    <n v="15"/>
    <d v="2026-09-22T00:00:00"/>
    <n v="185"/>
  </r>
  <r>
    <x v="0"/>
    <s v=""/>
    <s v="입고"/>
    <s v=""/>
    <s v=""/>
    <x v="74"/>
    <s v="RF-01T-0356]RUBBER CAP ARM"/>
    <n v="200"/>
    <s v=""/>
    <x v="56"/>
    <d v="2026-08-05T00:00:00"/>
    <s v=""/>
    <n v="97000"/>
    <n v="100"/>
    <d v="2026-09-22T00:00:00"/>
    <n v="100"/>
  </r>
  <r>
    <x v="0"/>
    <s v=""/>
    <s v="입고"/>
    <s v="SON TUNG"/>
    <s v="조영우"/>
    <x v="423"/>
    <s v="RF-01T-0160_C]Bas BOT LWR"/>
    <n v="224"/>
    <s v=""/>
    <x v="180"/>
    <d v="2026-09-16T00:00:00"/>
    <s v=""/>
    <n v="97000"/>
    <n v="39"/>
    <d v="2026-09-22T00:00:00"/>
    <n v="185"/>
  </r>
  <r>
    <x v="0"/>
    <s v=""/>
    <s v=""/>
    <s v=""/>
    <s v=""/>
    <x v="125"/>
    <s v="RF-01T-0196]CVR REAR"/>
    <n v="227"/>
    <s v=""/>
    <x v="80"/>
    <d v="2026-09-03T00:00:00"/>
    <s v=""/>
    <n v="97000"/>
    <n v="50"/>
    <d v="2026-09-22T00:00:00"/>
    <n v="177"/>
  </r>
  <r>
    <x v="0"/>
    <s v=""/>
    <s v=""/>
    <s v=""/>
    <s v=""/>
    <x v="419"/>
    <s v="RF-01T-0171]ARM CVR REAR R"/>
    <n v="232"/>
    <s v=""/>
    <x v="179"/>
    <d v="2026-09-16T00:00:00"/>
    <s v=""/>
    <n v="97000"/>
    <n v="50"/>
    <d v="2026-09-22T00:00:00"/>
    <n v="182"/>
  </r>
  <r>
    <x v="0"/>
    <s v=""/>
    <s v="입고"/>
    <s v="SON TUNG"/>
    <s v="조영우"/>
    <x v="114"/>
    <s v="RF-01T-0172]ARM CVR REAR L"/>
    <n v="240"/>
    <s v=""/>
    <x v="78"/>
    <d v="2026-09-14T00:00:00"/>
    <s v=""/>
    <n v="97000"/>
    <n v="50"/>
    <d v="2026-09-22T00:00:00"/>
    <n v="190"/>
  </r>
  <r>
    <x v="0"/>
    <s v=""/>
    <s v=""/>
    <s v=""/>
    <s v=""/>
    <x v="175"/>
    <s v="RF-01T-0164]LED TOUCH INDIGATOR"/>
    <n v="242"/>
    <s v=""/>
    <x v="101"/>
    <d v="2026-08-25T00:00:00"/>
    <s v=""/>
    <n v="97000"/>
    <n v="50"/>
    <d v="2026-09-22T00:00:00"/>
    <n v="192"/>
  </r>
  <r>
    <x v="0"/>
    <s v=""/>
    <s v="입고"/>
    <s v=""/>
    <s v=""/>
    <x v="123"/>
    <s v="RF-01M-0397]COVER BOTTOM"/>
    <n v="300"/>
    <s v=""/>
    <x v="32"/>
    <d v="2026-07-30T00:00:00"/>
    <s v=""/>
    <n v="97000"/>
    <n v="50"/>
    <d v="2026-09-22T00:00:00"/>
    <n v="250"/>
  </r>
  <r>
    <x v="0"/>
    <s v=""/>
    <s v=""/>
    <s v=""/>
    <s v=""/>
    <x v="426"/>
    <s v="RF-01S-0251]CAL Mgnet"/>
    <n v="300"/>
    <s v=""/>
    <x v="82"/>
    <d v="2026-08-25T00:00:00"/>
    <s v=""/>
    <n v="97000"/>
    <n v="111"/>
    <d v="2026-09-22T00:00:00"/>
    <n v="189"/>
  </r>
  <r>
    <x v="0"/>
    <s v=""/>
    <s v=""/>
    <s v=""/>
    <s v=""/>
    <x v="162"/>
    <s v="RF-01B-5036] LED CENTER BOARD"/>
    <n v="362"/>
    <s v=""/>
    <x v="94"/>
    <d v="2026-08-25T00:00:00"/>
    <s v=""/>
    <n v="97000"/>
    <n v="50"/>
    <d v="2026-09-22T00:00:00"/>
    <n v="312"/>
  </r>
  <r>
    <x v="0"/>
    <s v=""/>
    <s v="입고"/>
    <s v="진광"/>
    <s v="장동은"/>
    <x v="99"/>
    <s v="RF-01T-0353]WINDOW LED"/>
    <n v="400"/>
    <s v=""/>
    <x v="59"/>
    <d v="2026-09-04T00:00:00"/>
    <s v=""/>
    <n v="97000"/>
    <n v="100"/>
    <d v="2026-09-22T00:00:00"/>
    <n v="300"/>
  </r>
  <r>
    <x v="0"/>
    <s v=""/>
    <s v=""/>
    <s v=""/>
    <s v=""/>
    <x v="163"/>
    <s v="RF-01B-5034] POWER BUTTON BOARD"/>
    <n v="413"/>
    <s v=""/>
    <x v="95"/>
    <d v="2026-08-25T00:00:00"/>
    <s v=""/>
    <n v="97000"/>
    <n v="50"/>
    <d v="2026-09-22T00:00:00"/>
    <n v="363"/>
  </r>
  <r>
    <x v="0"/>
    <s v=""/>
    <s v=""/>
    <s v=""/>
    <s v=""/>
    <x v="437"/>
    <s v="RF-01G-0168]BOT RUBBER"/>
    <n v="535"/>
    <s v=""/>
    <x v="89"/>
    <d v="2026-08-25T00:00:00"/>
    <s v=""/>
    <n v="97000"/>
    <n v="300"/>
    <d v="2026-09-22T00:00:00"/>
    <n v="235"/>
  </r>
  <r>
    <x v="0"/>
    <s v=""/>
    <s v=""/>
    <s v=""/>
    <s v=""/>
    <x v="222"/>
    <s v="RF-01T-0173]ARM CVR REAR DECO"/>
    <n v="719"/>
    <s v=""/>
    <x v="119"/>
    <d v="2026-09-15T00:00:00"/>
    <s v=""/>
    <n v="97000"/>
    <n v="100"/>
    <d v="2026-09-22T00:00:00"/>
    <n v="619"/>
  </r>
  <r>
    <x v="0"/>
    <s v=""/>
    <s v=""/>
    <s v=""/>
    <s v=""/>
    <x v="153"/>
    <s v="RF-01G-0252]MOLDING FRONT MIRROR"/>
    <n v="971"/>
    <s v=""/>
    <x v="89"/>
    <d v="2026-08-25T00:00:00"/>
    <s v=""/>
    <n v="97000"/>
    <n v="50"/>
    <d v="2026-09-22T00:00:00"/>
    <n v="921"/>
  </r>
  <r>
    <x v="0"/>
    <s v=""/>
    <s v=""/>
    <s v=""/>
    <s v=""/>
    <x v="220"/>
    <s v="RF-09P-0271]MIRROR PROTIVE FILM"/>
    <n v="1503"/>
    <s v=""/>
    <x v="89"/>
    <d v="2026-08-25T00:00:00"/>
    <s v=""/>
    <n v="97000"/>
    <n v="50"/>
    <d v="2026-09-22T00:00:00"/>
    <n v="1453"/>
  </r>
  <r>
    <x v="0"/>
    <s v=""/>
    <s v="입고"/>
    <s v=""/>
    <s v=""/>
    <x v="79"/>
    <s v="RD-00S-5201]USB A to B Cable"/>
    <n v="100"/>
    <s v=""/>
    <x v="60"/>
    <d v="2026-08-18T00:00:00"/>
    <s v=""/>
    <n v="97001"/>
    <n v="10"/>
    <d v="2026-09-22T00:00:00"/>
    <n v="90"/>
  </r>
  <r>
    <x v="0"/>
    <s v=""/>
    <s v=""/>
    <s v=""/>
    <s v=""/>
    <x v="176"/>
    <s v=""/>
    <n v="205"/>
    <s v=""/>
    <x v="102"/>
    <d v="2026-08-25T00:00:00"/>
    <s v=""/>
    <n v="97001"/>
    <n v="10"/>
    <d v="2026-09-22T00:00:00"/>
    <n v="195"/>
  </r>
  <r>
    <x v="0"/>
    <s v=""/>
    <s v=""/>
    <s v=""/>
    <s v=""/>
    <x v="10"/>
    <s v="RA-06S-5018]MICRO SWITCH"/>
    <n v="460"/>
    <s v=""/>
    <x v="8"/>
    <d v="2026-09-17T00:00:00"/>
    <s v=""/>
    <n v="97001"/>
    <n v="20"/>
    <d v="2026-09-22T00:00:00"/>
    <n v="440"/>
  </r>
  <r>
    <x v="0"/>
    <s v=""/>
    <s v="입고"/>
    <s v="A&amp;T"/>
    <s v="조영우"/>
    <x v="44"/>
    <s v="RE-04A-1040]ASM ARM MODULE"/>
    <n v="4"/>
    <s v=""/>
    <x v="13"/>
    <d v="2026-09-16T00:00:00"/>
    <s v=""/>
    <n v="97004"/>
    <n v="4"/>
    <d v="2026-09-16T00:00:00"/>
    <n v="0"/>
  </r>
  <r>
    <x v="0"/>
    <s v=""/>
    <s v="기초"/>
    <s v=""/>
    <s v=""/>
    <x v="44"/>
    <s v="RE-04A-1040]ASM ARM MODULE"/>
    <n v="12"/>
    <s v=""/>
    <x v="13"/>
    <d v="2026-09-10T00:00:00"/>
    <s v=""/>
    <n v="97004"/>
    <n v="11"/>
    <d v="2026-09-10T00:00:00"/>
    <n v="1"/>
  </r>
  <r>
    <x v="0"/>
    <s v=""/>
    <s v="기초"/>
    <s v=""/>
    <s v=""/>
    <x v="590"/>
    <s v="RE-04H-5047]LASER V_C [LBM01-180]"/>
    <n v="45"/>
    <s v=""/>
    <x v="62"/>
    <d v="2026-09-10T00:00:00"/>
    <s v=""/>
    <n v="97004"/>
    <n v="45"/>
    <d v="2026-09-10T00:00:00"/>
    <n v="0"/>
  </r>
  <r>
    <x v="0"/>
    <s v=""/>
    <s v="기초"/>
    <s v=""/>
    <s v=""/>
    <x v="581"/>
    <s v="RE-04T-0413]CAS CHINREST Bas"/>
    <n v="104"/>
    <s v=""/>
    <x v="218"/>
    <d v="2026-09-10T00:00:00"/>
    <s v=""/>
    <n v="97004"/>
    <n v="30"/>
    <d v="2026-09-10T00:00:00"/>
    <n v="74"/>
  </r>
  <r>
    <x v="0"/>
    <s v=""/>
    <s v=""/>
    <s v=""/>
    <s v=""/>
    <x v="17"/>
    <s v="RE-03A-1030]ASM COLUMN MODULE"/>
    <n v="17"/>
    <s v=""/>
    <x v="13"/>
    <d v="2026-10-06T00:00:00"/>
    <s v=""/>
    <n v="97004"/>
    <n v="12"/>
    <d v="2026-10-06T00:00:00"/>
    <n v="5"/>
  </r>
  <r>
    <x v="0"/>
    <s v=""/>
    <s v="입고"/>
    <s v="A&amp;T"/>
    <s v="장동은"/>
    <x v="44"/>
    <s v="RE-04A-1040]ASM ARM MODULE"/>
    <n v="15"/>
    <s v=""/>
    <x v="13"/>
    <d v="2026-09-30T00:00:00"/>
    <s v=""/>
    <n v="97004"/>
    <n v="15"/>
    <d v="2026-09-16T00:00:00"/>
    <n v="0"/>
  </r>
  <r>
    <x v="0"/>
    <s v=""/>
    <s v="기초"/>
    <s v=""/>
    <s v=""/>
    <x v="591"/>
    <s v="RE-07A-1070]ASM DETECTOR MODULE"/>
    <n v="20"/>
    <s v=""/>
    <x v="13"/>
    <d v="2026-09-10T00:00:00"/>
    <s v=""/>
    <n v="97005"/>
    <n v="20"/>
    <d v="2026-09-11T00:00:00"/>
    <n v="0"/>
  </r>
  <r>
    <x v="0"/>
    <s v=""/>
    <s v="기초"/>
    <s v=""/>
    <s v=""/>
    <x v="592"/>
    <s v="RE-06A-0625]ASM TUBE FAN"/>
    <n v="60"/>
    <s v=""/>
    <x v="222"/>
    <d v="2026-09-10T00:00:00"/>
    <s v=""/>
    <n v="97005"/>
    <n v="30"/>
    <d v="2026-09-11T00:00:00"/>
    <n v="30"/>
  </r>
  <r>
    <x v="0"/>
    <s v=""/>
    <s v="기초"/>
    <s v=""/>
    <s v=""/>
    <x v="311"/>
    <s v="RE-06V-0608]BRK COL LWR"/>
    <n v="80"/>
    <s v=""/>
    <x v="147"/>
    <d v="2026-09-10T00:00:00"/>
    <s v=""/>
    <n v="97005"/>
    <n v="30"/>
    <d v="2026-09-11T00:00:00"/>
    <n v="50"/>
  </r>
  <r>
    <x v="0"/>
    <s v=""/>
    <s v="기초"/>
    <s v=""/>
    <s v=""/>
    <x v="70"/>
    <s v="RE-06A-0601]ASM COLLIMATOR MODULE"/>
    <n v="88"/>
    <s v=""/>
    <x v="13"/>
    <d v="2026-09-10T00:00:00"/>
    <s v=""/>
    <n v="97005"/>
    <n v="30"/>
    <d v="2026-09-11T00:00:00"/>
    <n v="58"/>
  </r>
  <r>
    <x v="0"/>
    <s v=""/>
    <s v="기초"/>
    <s v=""/>
    <s v=""/>
    <x v="81"/>
    <s v="RE-06H-5048]LASER H [LBM01-300]"/>
    <n v="99"/>
    <s v=""/>
    <x v="62"/>
    <d v="2026-09-10T00:00:00"/>
    <s v=""/>
    <n v="97005"/>
    <n v="30"/>
    <d v="2026-09-11T00:00:00"/>
    <n v="69"/>
  </r>
  <r>
    <x v="0"/>
    <s v=""/>
    <s v="기초"/>
    <s v=""/>
    <s v=""/>
    <x v="80"/>
    <s v="RE-06A-0630]ASM TUBE SHAFT BRASS"/>
    <n v="99"/>
    <s v=""/>
    <x v="61"/>
    <d v="2026-09-10T00:00:00"/>
    <s v=""/>
    <n v="97005"/>
    <n v="30"/>
    <d v="2026-09-11T00:00:00"/>
    <n v="69"/>
  </r>
  <r>
    <x v="0"/>
    <s v=""/>
    <s v="기초"/>
    <s v=""/>
    <s v=""/>
    <x v="332"/>
    <s v="RE-06V-0615]BRK PB COL SC"/>
    <n v="130"/>
    <s v=""/>
    <x v="154"/>
    <d v="2026-09-10T00:00:00"/>
    <s v=""/>
    <n v="97005"/>
    <n v="30"/>
    <d v="2026-09-11T00:00:00"/>
    <n v="100"/>
  </r>
  <r>
    <x v="0"/>
    <s v=""/>
    <s v="기초"/>
    <s v=""/>
    <s v=""/>
    <x v="593"/>
    <s v="RE-06M-0636]DECO HORIZONTAL LASER"/>
    <n v="79"/>
    <s v=""/>
    <x v="223"/>
    <d v="2026-09-10T00:00:00"/>
    <s v=""/>
    <n v="97006"/>
    <n v="30"/>
    <d v="2026-09-11T00:00:00"/>
    <n v="49"/>
  </r>
  <r>
    <x v="0"/>
    <s v=""/>
    <s v="기초"/>
    <s v=""/>
    <s v=""/>
    <x v="594"/>
    <s v="RE-07M-0717]CVR DET FRONT"/>
    <n v="82"/>
    <s v=""/>
    <x v="224"/>
    <d v="2026-09-10T00:00:00"/>
    <s v=""/>
    <n v="97006"/>
    <n v="30"/>
    <d v="2026-09-11T00:00:00"/>
    <n v="52"/>
  </r>
  <r>
    <x v="0"/>
    <s v=""/>
    <s v="기초"/>
    <s v=""/>
    <s v=""/>
    <x v="595"/>
    <s v="RA-06M-1105]DECO WINDOW COL"/>
    <n v="83"/>
    <s v=""/>
    <x v="167"/>
    <d v="2026-09-08T00:00:00"/>
    <s v=""/>
    <n v="97006"/>
    <n v="30"/>
    <d v="2026-09-11T00:00:00"/>
    <n v="53"/>
  </r>
  <r>
    <x v="0"/>
    <s v=""/>
    <s v="기초"/>
    <s v=""/>
    <s v=""/>
    <x v="532"/>
    <s v="RE-04M-0438]DECO CANINE WINDOW"/>
    <n v="143"/>
    <s v=""/>
    <x v="207"/>
    <d v="2026-09-10T00:00:00"/>
    <s v=""/>
    <n v="97006"/>
    <n v="30"/>
    <d v="2026-09-11T00:00:00"/>
    <n v="113"/>
  </r>
  <r>
    <x v="0"/>
    <s v=""/>
    <s v=""/>
    <s v=""/>
    <s v=""/>
    <x v="553"/>
    <s v="RA-7-3]LAN PC"/>
    <n v="271"/>
    <s v=""/>
    <x v="9"/>
    <d v="2026-09-10T00:00:00"/>
    <s v=""/>
    <n v="97006"/>
    <n v="30"/>
    <d v="2026-09-11T00:00:00"/>
    <n v="241"/>
  </r>
  <r>
    <x v="0"/>
    <s v=""/>
    <s v="기초"/>
    <s v=""/>
    <s v=""/>
    <x v="19"/>
    <s v="RE-01T-0104]RUBBER CAP DECO"/>
    <n v="2700"/>
    <s v=""/>
    <x v="15"/>
    <d v="2026-09-10T00:00:00"/>
    <s v=""/>
    <n v="97006"/>
    <n v="660"/>
    <d v="2026-09-11T00:00:00"/>
    <n v="2040"/>
  </r>
  <r>
    <x v="0"/>
    <s v=""/>
    <s v="기초"/>
    <s v=""/>
    <s v=""/>
    <x v="596"/>
    <s v="RE-03T-0309]CAS CLMN DECO"/>
    <n v="6"/>
    <s v=""/>
    <x v="225"/>
    <d v="2026-09-10T00:00:00"/>
    <s v=""/>
    <n v="97007"/>
    <n v="6"/>
    <d v="2026-09-10T00:00:00"/>
    <n v="0"/>
  </r>
  <r>
    <x v="0"/>
    <s v=""/>
    <s v="기초"/>
    <s v=""/>
    <s v=""/>
    <x v="575"/>
    <s v="RE-03T-0307]CAS CLMN REAR L"/>
    <n v="10"/>
    <s v=""/>
    <x v="216"/>
    <d v="2026-09-10T00:00:00"/>
    <s v=""/>
    <n v="97007"/>
    <n v="10"/>
    <d v="2026-09-10T00:00:00"/>
    <n v="0"/>
  </r>
  <r>
    <x v="0"/>
    <s v=""/>
    <s v="기초"/>
    <s v=""/>
    <s v=""/>
    <x v="576"/>
    <s v="RE-03T-0308]CAS CLMN REAR R"/>
    <n v="24"/>
    <s v=""/>
    <x v="216"/>
    <d v="2026-09-10T00:00:00"/>
    <s v=""/>
    <n v="97007"/>
    <n v="24"/>
    <d v="2026-09-10T00:00:00"/>
    <n v="0"/>
  </r>
  <r>
    <x v="0"/>
    <s v=""/>
    <s v="기초"/>
    <s v=""/>
    <s v=""/>
    <x v="20"/>
    <s v="RE-09T-0902]CAS CHINREST LOW"/>
    <n v="38"/>
    <s v=""/>
    <x v="16"/>
    <d v="2026-09-10T00:00:00"/>
    <s v=""/>
    <n v="97007"/>
    <n v="30"/>
    <d v="2026-09-10T00:00:00"/>
    <n v="8"/>
  </r>
  <r>
    <x v="0"/>
    <s v=""/>
    <s v="입고"/>
    <s v="진광"/>
    <s v="장동은"/>
    <x v="575"/>
    <s v="RE-03T-0307]CAS CLMN REAR L"/>
    <n v="40"/>
    <s v=""/>
    <x v="216"/>
    <d v="2026-09-23T00:00:00"/>
    <s v=""/>
    <n v="97007"/>
    <n v="20"/>
    <d v="2026-09-28T00:00:00"/>
    <n v="20"/>
  </r>
  <r>
    <x v="0"/>
    <s v=""/>
    <s v="기초"/>
    <s v=""/>
    <s v=""/>
    <x v="54"/>
    <s v="RE-04T-0439]CAS HEADREST KNOB"/>
    <n v="48"/>
    <s v=""/>
    <x v="19"/>
    <d v="2026-09-10T00:00:00"/>
    <s v=""/>
    <n v="97007"/>
    <n v="30"/>
    <d v="2026-09-10T00:00:00"/>
    <n v="18"/>
  </r>
  <r>
    <x v="0"/>
    <s v=""/>
    <s v="입고"/>
    <s v="진광"/>
    <s v="장동은"/>
    <x v="576"/>
    <s v="RE-03T-0308]CAS CLMN REAR R"/>
    <n v="49"/>
    <s v=""/>
    <x v="216"/>
    <d v="2026-09-23T00:00:00"/>
    <s v=""/>
    <n v="97007"/>
    <n v="6"/>
    <d v="2026-09-28T00:00:00"/>
    <n v="43"/>
  </r>
  <r>
    <x v="0"/>
    <s v=""/>
    <s v="입고"/>
    <s v="진광"/>
    <s v="장동은"/>
    <x v="596"/>
    <s v="RE-03T-0309]CAS CLMN DECO"/>
    <n v="50"/>
    <s v=""/>
    <x v="225"/>
    <d v="2026-09-14T00:00:00"/>
    <s v=""/>
    <n v="97007"/>
    <n v="24"/>
    <d v="2026-09-16T00:00:00"/>
    <n v="26"/>
  </r>
  <r>
    <x v="0"/>
    <s v=""/>
    <s v="기초"/>
    <s v=""/>
    <s v=""/>
    <x v="528"/>
    <s v=""/>
    <n v="63"/>
    <s v=""/>
    <x v="18"/>
    <d v="2026-09-10T00:00:00"/>
    <s v=""/>
    <n v="97007"/>
    <n v="30"/>
    <d v="2026-09-10T00:00:00"/>
    <n v="33"/>
  </r>
  <r>
    <x v="0"/>
    <s v=""/>
    <s v="기초"/>
    <s v=""/>
    <s v=""/>
    <x v="597"/>
    <s v="RE-09S-0909]STK FOOT"/>
    <n v="64"/>
    <s v=""/>
    <x v="204"/>
    <d v="2026-09-10T00:00:00"/>
    <s v=""/>
    <n v="97007"/>
    <n v="30"/>
    <d v="2026-09-10T00:00:00"/>
    <n v="34"/>
  </r>
  <r>
    <x v="0"/>
    <s v=""/>
    <s v="기초"/>
    <s v=""/>
    <s v=""/>
    <x v="598"/>
    <s v="RE-03T-0306]CAS CLMN FRONT"/>
    <n v="79"/>
    <s v=""/>
    <x v="226"/>
    <d v="2026-09-10T00:00:00"/>
    <s v=""/>
    <n v="97007"/>
    <n v="30"/>
    <d v="2026-09-10T00:00:00"/>
    <n v="49"/>
  </r>
  <r>
    <x v="0"/>
    <s v=""/>
    <s v="기초"/>
    <s v=""/>
    <s v=""/>
    <x v="599"/>
    <s v="RE-01T-0103]CAS MAIN Bas R"/>
    <n v="81"/>
    <s v=""/>
    <x v="227"/>
    <d v="2026-09-10T00:00:00"/>
    <s v=""/>
    <n v="97007"/>
    <n v="30"/>
    <d v="2026-09-10T00:00:00"/>
    <n v="51"/>
  </r>
  <r>
    <x v="0"/>
    <s v=""/>
    <s v="기초"/>
    <s v=""/>
    <s v=""/>
    <x v="600"/>
    <s v="RE-01T-0102]CAS MAIN Bas L"/>
    <n v="83"/>
    <s v=""/>
    <x v="228"/>
    <d v="2026-09-10T00:00:00"/>
    <s v=""/>
    <n v="97007"/>
    <n v="30"/>
    <d v="2026-09-10T00:00:00"/>
    <n v="53"/>
  </r>
  <r>
    <x v="0"/>
    <s v=""/>
    <s v="기초"/>
    <s v=""/>
    <s v=""/>
    <x v="520"/>
    <s v="RE-04T-0416]CAS HANDLE FRONT"/>
    <n v="84"/>
    <s v=""/>
    <x v="203"/>
    <d v="2026-09-10T00:00:00"/>
    <s v=""/>
    <n v="97007"/>
    <n v="30"/>
    <d v="2026-09-10T00:00:00"/>
    <n v="54"/>
  </r>
  <r>
    <x v="0"/>
    <s v=""/>
    <s v="기초"/>
    <s v=""/>
    <s v=""/>
    <x v="519"/>
    <s v="RE-04T-0419]CAS HANDLE REAR"/>
    <n v="84"/>
    <s v=""/>
    <x v="203"/>
    <d v="2026-09-10T00:00:00"/>
    <s v=""/>
    <n v="97007"/>
    <n v="30"/>
    <d v="2026-09-10T00:00:00"/>
    <n v="54"/>
  </r>
  <r>
    <x v="0"/>
    <s v=""/>
    <s v="기초"/>
    <s v=""/>
    <s v=""/>
    <x v="22"/>
    <s v="RE-02T-0247]CAS VERT TOP"/>
    <n v="86"/>
    <s v=""/>
    <x v="18"/>
    <d v="2026-09-10T00:00:00"/>
    <s v=""/>
    <n v="97007"/>
    <n v="30"/>
    <d v="2026-09-10T00:00:00"/>
    <n v="56"/>
  </r>
  <r>
    <x v="0"/>
    <s v=""/>
    <s v="기초"/>
    <s v=""/>
    <s v=""/>
    <x v="601"/>
    <s v="RE-09S-0908]FOOT STK JIG"/>
    <n v="86"/>
    <s v=""/>
    <x v="204"/>
    <d v="2026-09-10T00:00:00"/>
    <s v=""/>
    <n v="97007"/>
    <n v="30"/>
    <d v="2026-09-10T00:00:00"/>
    <n v="56"/>
  </r>
  <r>
    <x v="0"/>
    <s v=""/>
    <s v=""/>
    <s v=""/>
    <s v=""/>
    <x v="430"/>
    <s v="RE-04T-0452]CAP HANDLE A"/>
    <n v="90"/>
    <s v=""/>
    <x v="19"/>
    <d v="2026-09-23T00:00:00"/>
    <s v=""/>
    <n v="97007"/>
    <n v="3"/>
    <d v="2026-09-28T00:00:00"/>
    <n v="87"/>
  </r>
  <r>
    <x v="0"/>
    <s v=""/>
    <s v="기초"/>
    <s v=""/>
    <s v=""/>
    <x v="527"/>
    <s v="RE-09T-0906]CAS TEMPLE SUP R"/>
    <n v="95"/>
    <s v=""/>
    <x v="16"/>
    <d v="2026-09-10T00:00:00"/>
    <s v=""/>
    <n v="97007"/>
    <n v="30"/>
    <d v="2026-09-10T00:00:00"/>
    <n v="65"/>
  </r>
  <r>
    <x v="0"/>
    <s v=""/>
    <s v="기초"/>
    <s v=""/>
    <s v=""/>
    <x v="525"/>
    <s v="RE-09T-0905]CAS TEMPLE SUP L"/>
    <n v="96"/>
    <s v=""/>
    <x v="16"/>
    <d v="2026-09-10T00:00:00"/>
    <s v=""/>
    <n v="97007"/>
    <n v="30"/>
    <d v="2026-09-10T00:00:00"/>
    <n v="66"/>
  </r>
  <r>
    <x v="0"/>
    <s v=""/>
    <s v="기초"/>
    <s v=""/>
    <s v=""/>
    <x v="518"/>
    <s v="RE-09T-0904]CAS TMJREST"/>
    <n v="105"/>
    <s v=""/>
    <x v="16"/>
    <d v="2026-09-10T00:00:00"/>
    <s v=""/>
    <n v="97007"/>
    <n v="30"/>
    <d v="2026-09-10T00:00:00"/>
    <n v="75"/>
  </r>
  <r>
    <x v="0"/>
    <s v=""/>
    <s v="기초"/>
    <s v=""/>
    <s v=""/>
    <x v="530"/>
    <s v="RE-09S-0907]MAGNET TEMPLE SUP 15_8"/>
    <n v="109"/>
    <s v=""/>
    <x v="206"/>
    <d v="2026-09-10T00:00:00"/>
    <s v=""/>
    <n v="97007"/>
    <n v="60"/>
    <d v="2026-09-10T00:00:00"/>
    <n v="49"/>
  </r>
  <r>
    <x v="0"/>
    <s v=""/>
    <s v="기초"/>
    <s v=""/>
    <s v=""/>
    <x v="523"/>
    <s v="RE-09T-0901]CAS CHINREST"/>
    <n v="131"/>
    <s v=""/>
    <x v="16"/>
    <d v="2026-09-10T00:00:00"/>
    <s v=""/>
    <n v="97007"/>
    <n v="30"/>
    <d v="2026-09-10T00:00:00"/>
    <n v="101"/>
  </r>
  <r>
    <x v="0"/>
    <s v=""/>
    <s v="기초"/>
    <s v=""/>
    <s v=""/>
    <x v="21"/>
    <s v="RA-09S-0389]CVR BITE BLK VINYL CVR"/>
    <n v="142"/>
    <s v=""/>
    <x v="17"/>
    <d v="2026-09-10T00:00:00"/>
    <s v=""/>
    <n v="97007"/>
    <n v="30"/>
    <d v="2026-09-10T00:00:00"/>
    <n v="112"/>
  </r>
  <r>
    <x v="0"/>
    <s v=""/>
    <s v="기초"/>
    <s v=""/>
    <s v=""/>
    <x v="430"/>
    <s v="RE-04T-0452]CAP HANDLE A"/>
    <n v="147"/>
    <s v=""/>
    <x v="19"/>
    <d v="2026-09-10T00:00:00"/>
    <s v=""/>
    <n v="97007"/>
    <n v="147"/>
    <d v="2026-09-10T00:00:00"/>
    <n v="0"/>
  </r>
  <r>
    <x v="0"/>
    <s v=""/>
    <s v="기초"/>
    <s v=""/>
    <s v=""/>
    <x v="23"/>
    <s v="RE-04T-0453]CAP HANDLE B"/>
    <n v="175"/>
    <s v=""/>
    <x v="19"/>
    <d v="2026-09-10T00:00:00"/>
    <s v=""/>
    <n v="97007"/>
    <n v="90"/>
    <d v="2026-09-10T00:00:00"/>
    <n v="85"/>
  </r>
  <r>
    <x v="0"/>
    <s v=""/>
    <s v="기초"/>
    <s v=""/>
    <s v=""/>
    <x v="561"/>
    <s v="RA-09A-0967]ASM EXPOSURE SW"/>
    <n v="190"/>
    <s v=""/>
    <x v="183"/>
    <d v="2026-09-08T00:00:00"/>
    <s v=""/>
    <n v="97007"/>
    <n v="30"/>
    <d v="2026-09-10T00:00:00"/>
    <n v="160"/>
  </r>
  <r>
    <x v="0"/>
    <s v=""/>
    <s v="기초"/>
    <s v=""/>
    <s v=""/>
    <x v="522"/>
    <s v="RE-04V-0417]PLT HANDLE FRONT"/>
    <n v="248"/>
    <s v=""/>
    <x v="14"/>
    <d v="2026-09-10T00:00:00"/>
    <s v=""/>
    <n v="97007"/>
    <n v="30"/>
    <d v="2026-09-10T00:00:00"/>
    <n v="218"/>
  </r>
  <r>
    <x v="0"/>
    <s v=""/>
    <s v="기초"/>
    <s v=""/>
    <s v=""/>
    <x v="521"/>
    <s v="RE-04V-0418]PLT HANDLE REAR"/>
    <n v="248"/>
    <s v=""/>
    <x v="14"/>
    <d v="2026-09-10T00:00:00"/>
    <s v=""/>
    <n v="97007"/>
    <n v="30"/>
    <d v="2026-09-10T00:00:00"/>
    <n v="218"/>
  </r>
  <r>
    <x v="0"/>
    <s v=""/>
    <s v="기초"/>
    <s v=""/>
    <s v=""/>
    <x v="529"/>
    <s v="RA-09T-1132]CAS EDENTULOUS GUIDE"/>
    <n v="296"/>
    <s v=""/>
    <x v="205"/>
    <d v="2026-09-10T00:00:00"/>
    <s v=""/>
    <n v="97007"/>
    <n v="30"/>
    <d v="2026-09-10T00:00:00"/>
    <n v="266"/>
  </r>
  <r>
    <x v="0"/>
    <s v=""/>
    <s v="기초"/>
    <s v=""/>
    <s v=""/>
    <x v="526"/>
    <s v="RE-09S-0922]STK MAGNET BLUE"/>
    <n v="300"/>
    <s v=""/>
    <x v="204"/>
    <d v="2026-09-10T00:00:00"/>
    <s v=""/>
    <n v="97007"/>
    <n v="30"/>
    <d v="2026-09-10T00:00:00"/>
    <n v="270"/>
  </r>
  <r>
    <x v="0"/>
    <s v=""/>
    <s v="기초"/>
    <s v=""/>
    <s v=""/>
    <x v="524"/>
    <s v="RE-09S-0921]STK MAGNET RED"/>
    <n v="305"/>
    <s v=""/>
    <x v="204"/>
    <d v="2026-09-10T00:00:00"/>
    <s v=""/>
    <n v="97007"/>
    <n v="30"/>
    <d v="2026-09-10T00:00:00"/>
    <n v="275"/>
  </r>
  <r>
    <x v="0"/>
    <s v=""/>
    <s v="기초"/>
    <s v=""/>
    <s v=""/>
    <x v="517"/>
    <s v="RE-04T-0440]CAP HEADREST KNOB"/>
    <n v="336"/>
    <s v=""/>
    <x v="19"/>
    <d v="2026-09-10T00:00:00"/>
    <s v=""/>
    <n v="97007"/>
    <n v="30"/>
    <d v="2026-09-10T00:00:00"/>
    <n v="306"/>
  </r>
  <r>
    <x v="0"/>
    <s v=""/>
    <s v="기초"/>
    <s v=""/>
    <s v=""/>
    <x v="531"/>
    <s v="RA-09T-1183]BLK BITE"/>
    <n v="579"/>
    <s v=""/>
    <x v="205"/>
    <d v="2026-09-10T00:00:00"/>
    <s v=""/>
    <n v="97007"/>
    <n v="150"/>
    <d v="2026-09-10T00:00:00"/>
    <n v="429"/>
  </r>
  <r>
    <x v="0"/>
    <s v=""/>
    <s v="기초"/>
    <s v=""/>
    <s v=""/>
    <x v="562"/>
    <s v="RA-09T-0733]CAS S.W HLDR"/>
    <n v="767"/>
    <s v=""/>
    <x v="178"/>
    <d v="2026-09-08T00:00:00"/>
    <s v=""/>
    <n v="97007"/>
    <n v="30"/>
    <d v="2026-09-10T00:00:00"/>
    <n v="737"/>
  </r>
  <r>
    <x v="0"/>
    <s v=""/>
    <s v=""/>
    <s v=""/>
    <s v=""/>
    <x v="404"/>
    <s v="RD-01G-0502]SPONGE)UV SNSR"/>
    <n v="21"/>
    <s v=""/>
    <x v="89"/>
    <d v="2026-09-22T00:00:00"/>
    <s v=""/>
    <n v="97307"/>
    <n v="21"/>
    <d v="2026-10-06T00:00:00"/>
    <n v="0"/>
  </r>
  <r>
    <x v="0"/>
    <s v=""/>
    <s v="입고"/>
    <s v="플랜피뎀"/>
    <s v="유영국"/>
    <x v="404"/>
    <s v="RD-01G-0502]SPONGE)UV SNSR"/>
    <n v="40"/>
    <s v=""/>
    <x v="89"/>
    <d v="2026-09-18T00:00:00"/>
    <s v=""/>
    <n v="97307"/>
    <n v="40"/>
    <d v="2026-10-06T00:00:00"/>
    <n v="0"/>
  </r>
  <r>
    <x v="0"/>
    <s v=""/>
    <s v="기초"/>
    <s v=""/>
    <s v=""/>
    <x v="107"/>
    <s v="RE-02A-1020]ASM VERTICAL MODULE"/>
    <n v="30"/>
    <s v=""/>
    <x v="13"/>
    <d v="2026-09-10T00:00:00"/>
    <s v=""/>
    <n v="97309"/>
    <n v="30"/>
    <d v="2026-09-11T00:00:00"/>
    <n v="0"/>
  </r>
  <r>
    <x v="0"/>
    <s v=""/>
    <s v="기초"/>
    <s v=""/>
    <s v=""/>
    <x v="37"/>
    <s v="RE-05B-5101]eSUB Bd"/>
    <n v="49"/>
    <s v=""/>
    <x v="29"/>
    <d v="2026-09-10T00:00:00"/>
    <s v=""/>
    <n v="97309"/>
    <n v="30"/>
    <d v="2026-09-11T00:00:00"/>
    <n v="19"/>
  </r>
  <r>
    <x v="0"/>
    <s v=""/>
    <s v="기초"/>
    <s v=""/>
    <s v=""/>
    <x v="121"/>
    <s v="RE-05A-1050]ASM ROTATOR MODULE"/>
    <n v="57"/>
    <s v=""/>
    <x v="13"/>
    <d v="2026-09-10T00:00:00"/>
    <s v=""/>
    <n v="97309"/>
    <n v="30"/>
    <d v="2026-09-11T00:00:00"/>
    <n v="27"/>
  </r>
  <r>
    <x v="0"/>
    <s v=""/>
    <s v="기초"/>
    <s v=""/>
    <s v=""/>
    <x v="537"/>
    <s v="RE-05H-5049_1]LASER_H Extend"/>
    <n v="12"/>
    <s v=""/>
    <x v="210"/>
    <d v="2026-09-10T00:00:00"/>
    <s v=""/>
    <n v="97310"/>
    <n v="12"/>
    <d v="2026-09-11T00:00:00"/>
    <n v="0"/>
  </r>
  <r>
    <x v="0"/>
    <s v=""/>
    <s v="기초"/>
    <s v=""/>
    <s v=""/>
    <x v="540"/>
    <s v="RE-02B-5105]eINDICATOR Bd"/>
    <n v="16"/>
    <s v=""/>
    <x v="213"/>
    <d v="2026-09-10T00:00:00"/>
    <s v=""/>
    <n v="97310"/>
    <n v="16"/>
    <d v="2026-09-11T00:00:00"/>
    <n v="0"/>
  </r>
  <r>
    <x v="0"/>
    <s v=""/>
    <s v="기초"/>
    <s v=""/>
    <s v=""/>
    <x v="533"/>
    <s v="RE-05H-5065_1]Earth ROT to TNK"/>
    <n v="17"/>
    <s v=""/>
    <x v="208"/>
    <d v="2026-09-10T00:00:00"/>
    <s v=""/>
    <n v="97310"/>
    <n v="17"/>
    <d v="2026-09-11T00:00:00"/>
    <n v="0"/>
  </r>
  <r>
    <x v="0"/>
    <s v=""/>
    <s v="기초"/>
    <s v=""/>
    <s v=""/>
    <x v="538"/>
    <s v="RE-05H-5030_1]TILT SIGNAL"/>
    <n v="24"/>
    <s v=""/>
    <x v="211"/>
    <d v="2026-09-10T00:00:00"/>
    <s v=""/>
    <n v="97310"/>
    <n v="24"/>
    <d v="2026-09-11T00:00:00"/>
    <n v="0"/>
  </r>
  <r>
    <x v="0"/>
    <s v=""/>
    <s v="기초"/>
    <s v=""/>
    <s v=""/>
    <x v="602"/>
    <s v="RE-05H-5024_1]eSUB MOT COL"/>
    <n v="28"/>
    <s v=""/>
    <x v="211"/>
    <d v="2026-09-10T00:00:00"/>
    <s v=""/>
    <n v="97310"/>
    <n v="28"/>
    <d v="2026-09-11T00:00:00"/>
    <n v="0"/>
  </r>
  <r>
    <x v="0"/>
    <s v=""/>
    <s v="입고"/>
    <s v="에이투케이"/>
    <s v="유영국"/>
    <x v="533"/>
    <s v="RE-05H-5065_1]Earth ROT to TNK"/>
    <n v="30"/>
    <s v=""/>
    <x v="208"/>
    <d v="2026-09-28T00:00:00"/>
    <s v=""/>
    <n v="97310"/>
    <n v="10"/>
    <d v="2026-09-28T00:00:00"/>
    <n v="20"/>
  </r>
  <r>
    <x v="0"/>
    <s v=""/>
    <s v="기초"/>
    <s v=""/>
    <s v=""/>
    <x v="603"/>
    <s v="RE-05H-5025_1]eSUB MOT DET"/>
    <n v="45"/>
    <s v=""/>
    <x v="211"/>
    <d v="2026-09-10T00:00:00"/>
    <s v=""/>
    <n v="97310"/>
    <n v="30"/>
    <d v="2026-09-11T00:00:00"/>
    <n v="15"/>
  </r>
  <r>
    <x v="0"/>
    <s v=""/>
    <s v="기초"/>
    <s v=""/>
    <s v=""/>
    <x v="68"/>
    <s v="RE-02T-0243]CAS VERT BOT R"/>
    <n v="58"/>
    <s v=""/>
    <x v="18"/>
    <d v="2026-09-10T00:00:00"/>
    <s v=""/>
    <n v="97310"/>
    <n v="30"/>
    <d v="2026-09-11T00:00:00"/>
    <n v="28"/>
  </r>
  <r>
    <x v="0"/>
    <s v=""/>
    <s v="기초"/>
    <s v=""/>
    <s v=""/>
    <x v="539"/>
    <s v="RE-04T-0434]CAS ARM BOT"/>
    <n v="60"/>
    <s v=""/>
    <x v="212"/>
    <d v="2026-09-10T00:00:00"/>
    <s v=""/>
    <n v="97310"/>
    <n v="30"/>
    <d v="2026-09-11T00:00:00"/>
    <n v="30"/>
  </r>
  <r>
    <x v="0"/>
    <s v=""/>
    <s v="기초"/>
    <s v=""/>
    <s v=""/>
    <x v="95"/>
    <s v="RE-02T-0242]CAS VERT BOT L"/>
    <n v="61"/>
    <s v=""/>
    <x v="18"/>
    <d v="2026-09-10T00:00:00"/>
    <s v=""/>
    <n v="97310"/>
    <n v="30"/>
    <d v="2026-09-11T00:00:00"/>
    <n v="31"/>
  </r>
  <r>
    <x v="0"/>
    <s v=""/>
    <s v="기초"/>
    <s v=""/>
    <s v=""/>
    <x v="534"/>
    <s v="RE-02T-0246]CAS LED"/>
    <n v="74"/>
    <s v=""/>
    <x v="209"/>
    <d v="2026-09-10T00:00:00"/>
    <s v=""/>
    <n v="97310"/>
    <n v="30"/>
    <d v="2026-09-11T00:00:00"/>
    <n v="44"/>
  </r>
  <r>
    <x v="0"/>
    <s v=""/>
    <s v=""/>
    <s v=""/>
    <s v=""/>
    <x v="540"/>
    <s v="RE-02B-5105]eINDICATOR Bd"/>
    <n v="80"/>
    <s v=""/>
    <x v="213"/>
    <d v="2026-09-22T00:00:00"/>
    <s v=""/>
    <n v="97310"/>
    <n v="14"/>
    <d v="2026-09-18T00:00:00"/>
    <n v="66"/>
  </r>
  <r>
    <x v="0"/>
    <s v=""/>
    <s v="기초"/>
    <s v=""/>
    <s v=""/>
    <x v="536"/>
    <s v="RE-04T-0436]CAS CHINREST BOT"/>
    <n v="97"/>
    <s v=""/>
    <x v="16"/>
    <d v="2026-09-10T00:00:00"/>
    <s v=""/>
    <n v="97310"/>
    <n v="30"/>
    <d v="2026-09-11T00:00:00"/>
    <n v="67"/>
  </r>
  <r>
    <x v="0"/>
    <s v=""/>
    <s v="입고"/>
    <s v="에이투케이"/>
    <s v="유영국"/>
    <x v="533"/>
    <s v="RE-05H-5065_1]Earth ROT to TNK"/>
    <n v="100"/>
    <s v=""/>
    <x v="208"/>
    <d v="2026-10-08T00:00:00"/>
    <s v=""/>
    <n v="97310"/>
    <n v="3"/>
    <d v="2026-10-12T00:00:00"/>
    <n v="97"/>
  </r>
  <r>
    <x v="0"/>
    <s v=""/>
    <s v="기초"/>
    <s v=""/>
    <s v=""/>
    <x v="18"/>
    <s v="RE-05A-0512]ASM ROTATOR WEIGH"/>
    <n v="110"/>
    <s v=""/>
    <x v="14"/>
    <d v="2026-09-10T00:00:00"/>
    <s v=""/>
    <n v="97310"/>
    <n v="30"/>
    <d v="2026-09-11T00:00:00"/>
    <n v="80"/>
  </r>
  <r>
    <x v="0"/>
    <s v=""/>
    <s v=""/>
    <s v=""/>
    <s v=""/>
    <x v="537"/>
    <s v="RE-05H-5049_1]LASER_H Extend"/>
    <n v="144"/>
    <s v=""/>
    <x v="210"/>
    <d v="2026-10-08T00:00:00"/>
    <s v=""/>
    <n v="97310"/>
    <n v="18"/>
    <d v="2026-10-08T00:00:00"/>
    <n v="126"/>
  </r>
  <r>
    <x v="0"/>
    <s v=""/>
    <s v="기초"/>
    <s v=""/>
    <s v=""/>
    <x v="604"/>
    <s v="RE-07M-0711_B]PLT DET SNSR (IR)"/>
    <n v="179"/>
    <s v=""/>
    <x v="229"/>
    <d v="2026-09-10T00:00:00"/>
    <s v=""/>
    <n v="97310"/>
    <n v="60"/>
    <d v="2026-09-11T00:00:00"/>
    <n v="119"/>
  </r>
  <r>
    <x v="0"/>
    <s v=""/>
    <s v=""/>
    <s v=""/>
    <s v=""/>
    <x v="535"/>
    <s v="RA-02M-0395]PIN VERT POSITION"/>
    <n v="356"/>
    <s v=""/>
    <x v="185"/>
    <d v="2026-09-10T00:00:00"/>
    <s v=""/>
    <n v="97310"/>
    <n v="30"/>
    <d v="2026-09-11T00:00:00"/>
    <n v="326"/>
  </r>
  <r>
    <x v="0"/>
    <s v=""/>
    <s v="기초"/>
    <s v=""/>
    <s v=""/>
    <x v="554"/>
    <s v="RA-04T-0144]CAS CHINREST BOT"/>
    <n v="357"/>
    <s v=""/>
    <x v="27"/>
    <d v="2026-09-08T00:00:00"/>
    <s v=""/>
    <n v="97314"/>
    <n v="1"/>
    <d v="2026-09-09T00:00:00"/>
    <n v="356"/>
  </r>
  <r>
    <x v="0"/>
    <s v=""/>
    <s v="기초"/>
    <s v=""/>
    <s v=""/>
    <x v="510"/>
    <s v="RA-04T-0143]CAS CHINREST UPPER"/>
    <n v="810"/>
    <s v=""/>
    <x v="27"/>
    <d v="2026-09-08T00:00:00"/>
    <s v=""/>
    <n v="97314"/>
    <n v="1"/>
    <d v="2026-09-09T00:00:00"/>
    <n v="809"/>
  </r>
  <r>
    <x v="0"/>
    <s v=""/>
    <s v="기초"/>
    <s v=""/>
    <s v=""/>
    <x v="587"/>
    <s v="RA-05M-2907]FRM ROT WEIGHT"/>
    <n v="1"/>
    <s v=""/>
    <x v="221"/>
    <d v="2026-09-08T00:00:00"/>
    <s v=""/>
    <n v="97320"/>
    <n v="1"/>
    <d v="2026-09-14T00:00:00"/>
    <n v="0"/>
  </r>
  <r>
    <x v="0"/>
    <s v=""/>
    <s v=""/>
    <s v=""/>
    <s v=""/>
    <x v="588"/>
    <s v="RA-05V-0501]BRK ROT CAS-A"/>
    <n v="1"/>
    <s v=""/>
    <x v="15"/>
    <d v="2026-09-17T00:00:00"/>
    <s v=""/>
    <n v="97320"/>
    <n v="1"/>
    <d v="2026-09-14T00:00:00"/>
    <n v="0"/>
  </r>
  <r>
    <x v="0"/>
    <s v=""/>
    <s v="기초추가"/>
    <s v=""/>
    <s v=""/>
    <x v="605"/>
    <s v="RA-05V-2653]PLT SIDE RIGID FRM ROT Bas"/>
    <n v="10"/>
    <s v=""/>
    <x v="175"/>
    <d v="2026-09-08T00:00:00"/>
    <s v=""/>
    <n v="97320"/>
    <n v="10"/>
    <d v="2026-09-14T00:00:00"/>
    <n v="0"/>
  </r>
  <r>
    <x v="0"/>
    <s v=""/>
    <s v=""/>
    <s v=""/>
    <s v=""/>
    <x v="605"/>
    <s v="RA-05V-2653]PLT SIDE RIGID FRM ROT Bas"/>
    <n v="30"/>
    <s v=""/>
    <x v="175"/>
    <d v="2026-09-17T00:00:00"/>
    <s v=""/>
    <n v="97320"/>
    <n v="30"/>
    <d v="2026-09-14T00:00:00"/>
    <n v="0"/>
  </r>
  <r>
    <x v="0"/>
    <s v=""/>
    <s v="기초추가"/>
    <s v=""/>
    <s v=""/>
    <x v="588"/>
    <s v="RA-05V-0501]BRK ROT CAS-A"/>
    <n v="39"/>
    <s v=""/>
    <x v="15"/>
    <d v="2026-09-14T00:00:00"/>
    <s v=""/>
    <n v="97320"/>
    <n v="39"/>
    <d v="2026-09-14T00:00:00"/>
    <n v="0"/>
  </r>
  <r>
    <x v="0"/>
    <s v=""/>
    <s v="기초"/>
    <s v=""/>
    <s v=""/>
    <x v="556"/>
    <s v="ASM ROTATOR"/>
    <n v="68"/>
    <s v=""/>
    <x v="33"/>
    <d v="2026-09-08T00:00:00"/>
    <s v=""/>
    <n v="97320"/>
    <n v="20"/>
    <d v="2026-09-14T00:00:00"/>
    <n v="48"/>
  </r>
  <r>
    <x v="0"/>
    <s v=""/>
    <s v="기초"/>
    <s v=""/>
    <s v=""/>
    <x v="234"/>
    <s v=""/>
    <n v="76"/>
    <s v=""/>
    <x v="122"/>
    <d v="2026-09-08T00:00:00"/>
    <s v=""/>
    <n v="97320"/>
    <n v="20"/>
    <d v="2026-09-14T00:00:00"/>
    <n v="56"/>
  </r>
  <r>
    <x v="0"/>
    <s v=""/>
    <s v=""/>
    <s v=""/>
    <s v=""/>
    <x v="342"/>
    <s v="RA-10-2]PRIME CABLE ASS’Y"/>
    <n v="76"/>
    <s v=""/>
    <x v="9"/>
    <d v="2026-09-17T00:00:00"/>
    <s v=""/>
    <n v="97320"/>
    <n v="20"/>
    <d v="2026-09-14T00:00:00"/>
    <n v="56"/>
  </r>
  <r>
    <x v="0"/>
    <s v=""/>
    <s v="기초"/>
    <s v=""/>
    <s v=""/>
    <x v="276"/>
    <s v="RA-05V-2651]BRK HARNESS CLAMP"/>
    <n v="82"/>
    <s v=""/>
    <x v="136"/>
    <d v="2026-09-08T00:00:00"/>
    <s v=""/>
    <n v="97320"/>
    <n v="20"/>
    <d v="2026-09-14T00:00:00"/>
    <n v="62"/>
  </r>
  <r>
    <x v="0"/>
    <s v=""/>
    <s v="기초"/>
    <s v=""/>
    <s v=""/>
    <x v="288"/>
    <s v="RA-02A-2741]ASM VERT TOTAL (3D) (VN)"/>
    <n v="88"/>
    <s v=""/>
    <x v="33"/>
    <d v="2026-09-08T00:00:00"/>
    <s v=""/>
    <n v="97320"/>
    <n v="20"/>
    <d v="2026-09-14T00:00:00"/>
    <n v="68"/>
  </r>
  <r>
    <x v="0"/>
    <s v=""/>
    <s v=""/>
    <s v=""/>
    <s v=""/>
    <x v="410"/>
    <s v="RA-05V-0513]BRK LED PCB"/>
    <n v="225"/>
    <s v=""/>
    <x v="175"/>
    <d v="2026-09-17T00:00:00"/>
    <s v=""/>
    <n v="97320"/>
    <n v="20"/>
    <d v="2026-09-14T00:00:00"/>
    <n v="205"/>
  </r>
  <r>
    <x v="0"/>
    <s v=""/>
    <s v=""/>
    <s v=""/>
    <s v=""/>
    <x v="595"/>
    <s v="RA-06M-1105]DECO WINDOW COL"/>
    <n v="23"/>
    <s v=""/>
    <x v="167"/>
    <d v="2026-09-22T00:00:00"/>
    <s v=""/>
    <n v="97321"/>
    <n v="20"/>
    <d v="2026-09-15T00:00:00"/>
    <n v="3"/>
  </r>
  <r>
    <x v="0"/>
    <s v=""/>
    <s v=""/>
    <s v=""/>
    <s v=""/>
    <x v="270"/>
    <s v="RA-09A-1940]ASM REMOTE(α)"/>
    <n v="97"/>
    <s v=""/>
    <x v="133"/>
    <d v="2026-09-15T00:00:00"/>
    <s v=""/>
    <n v="97321"/>
    <n v="20"/>
    <d v="2026-09-15T00:00:00"/>
    <n v="77"/>
  </r>
  <r>
    <x v="0"/>
    <s v=""/>
    <s v="기초"/>
    <s v=""/>
    <s v=""/>
    <x v="346"/>
    <s v="RA-05V-1684]CVR PRIME MCU"/>
    <n v="123"/>
    <s v=""/>
    <x v="104"/>
    <d v="2026-09-08T00:00:00"/>
    <s v=""/>
    <n v="97321"/>
    <n v="20"/>
    <d v="2026-09-15T00:00:00"/>
    <n v="103"/>
  </r>
  <r>
    <x v="0"/>
    <s v=""/>
    <s v=""/>
    <s v=""/>
    <s v=""/>
    <x v="552"/>
    <s v="RA-03A-0287]ASM LEVER HORIZONTAL LASER"/>
    <n v="128"/>
    <s v=""/>
    <x v="150"/>
    <d v="2026-09-18T00:00:00"/>
    <s v=""/>
    <n v="97321"/>
    <n v="20"/>
    <d v="2026-09-15T00:00:00"/>
    <n v="108"/>
  </r>
  <r>
    <x v="0"/>
    <s v=""/>
    <s v=""/>
    <s v=""/>
    <s v=""/>
    <x v="293"/>
    <s v="RA-07M-2497]CVR CT DET FRONT (A+ ODD)"/>
    <n v="144"/>
    <s v=""/>
    <x v="142"/>
    <d v="2026-09-10T00:00:00"/>
    <s v=""/>
    <n v="97321"/>
    <n v="20"/>
    <d v="2026-09-15T00:00:00"/>
    <n v="124"/>
  </r>
  <r>
    <x v="0"/>
    <s v=""/>
    <s v=""/>
    <s v=""/>
    <s v=""/>
    <x v="387"/>
    <s v="RA-03M-2064]PLT MIRROR (A+)"/>
    <n v="204"/>
    <s v=""/>
    <x v="170"/>
    <d v="2026-09-18T00:00:00"/>
    <s v=""/>
    <n v="97321"/>
    <n v="20"/>
    <d v="2026-09-15T00:00:00"/>
    <n v="184"/>
  </r>
  <r>
    <x v="0"/>
    <s v=""/>
    <s v=""/>
    <s v=""/>
    <s v=""/>
    <x v="553"/>
    <s v="RA-7-3]LAN PC"/>
    <n v="211"/>
    <s v=""/>
    <x v="9"/>
    <d v="2026-09-22T00:00:00"/>
    <s v=""/>
    <n v="97321"/>
    <n v="20"/>
    <d v="2026-09-15T00:00:00"/>
    <n v="191"/>
  </r>
  <r>
    <x v="0"/>
    <s v=""/>
    <s v=""/>
    <s v=""/>
    <s v=""/>
    <x v="554"/>
    <s v="RA-04T-0144]CAS CHINREST BOT"/>
    <n v="306"/>
    <s v=""/>
    <x v="27"/>
    <d v="2026-09-18T00:00:00"/>
    <s v=""/>
    <n v="97321"/>
    <n v="20"/>
    <d v="2026-09-15T00:00:00"/>
    <n v="286"/>
  </r>
  <r>
    <x v="0"/>
    <s v=""/>
    <s v=""/>
    <s v=""/>
    <s v=""/>
    <x v="459"/>
    <s v="RA-06M-2299]PLT MIRROR TUBE CAS R (A+)"/>
    <n v="344"/>
    <s v=""/>
    <x v="167"/>
    <d v="2026-09-18T00:00:00"/>
    <s v=""/>
    <n v="97321"/>
    <n v="20"/>
    <d v="2026-09-15T00:00:00"/>
    <n v="324"/>
  </r>
  <r>
    <x v="0"/>
    <s v=""/>
    <s v=""/>
    <s v=""/>
    <s v=""/>
    <x v="469"/>
    <s v="RA-06M-2298]PLT MIRROR TUBE CAS L (A+)"/>
    <n v="428"/>
    <s v=""/>
    <x v="167"/>
    <d v="2026-09-18T00:00:00"/>
    <s v=""/>
    <n v="97321"/>
    <n v="20"/>
    <d v="2026-09-15T00:00:00"/>
    <n v="408"/>
  </r>
  <r>
    <x v="0"/>
    <s v=""/>
    <s v=""/>
    <s v=""/>
    <s v=""/>
    <x v="555"/>
    <s v="RA-05T-0207]CAS ROT BOT DECO"/>
    <n v="458"/>
    <s v=""/>
    <x v="178"/>
    <d v="2026-09-18T00:00:00"/>
    <s v=""/>
    <n v="97321"/>
    <n v="20"/>
    <d v="2026-09-15T00:00:00"/>
    <n v="438"/>
  </r>
  <r>
    <x v="0"/>
    <s v=""/>
    <s v=""/>
    <s v=""/>
    <s v=""/>
    <x v="482"/>
    <s v="RA-06V-0249]HLDR CAS TUBE TNK REAR"/>
    <n v="550"/>
    <s v=""/>
    <x v="15"/>
    <d v="2026-09-18T00:00:00"/>
    <s v=""/>
    <n v="97321"/>
    <n v="40"/>
    <d v="2026-09-15T00:00:00"/>
    <n v="510"/>
  </r>
  <r>
    <x v="0"/>
    <s v=""/>
    <s v="기초"/>
    <s v=""/>
    <s v=""/>
    <x v="472"/>
    <s v="RA-03V-1341]BRK CLMN REAR CAS LWR"/>
    <n v="371"/>
    <s v=""/>
    <x v="163"/>
    <d v="2026-09-08T00:00:00"/>
    <s v=""/>
    <n v="97326"/>
    <n v="2"/>
    <d v="2026-09-10T00:00:00"/>
    <n v="369"/>
  </r>
  <r>
    <x v="0"/>
    <s v=""/>
    <s v=""/>
    <s v=""/>
    <s v=""/>
    <x v="577"/>
    <s v="RA-9-12]SCEPH LAN"/>
    <n v="28"/>
    <s v=""/>
    <x v="217"/>
    <d v="2026-09-09T00:00:00"/>
    <s v=""/>
    <n v="97327"/>
    <n v="2"/>
    <d v="2026-09-10T00:00:00"/>
    <n v="26"/>
  </r>
  <r>
    <x v="0"/>
    <s v=""/>
    <s v="기초"/>
    <s v=""/>
    <s v=""/>
    <x v="342"/>
    <s v="RA-10-2]PRIME CABLE ASS’Y"/>
    <n v="162"/>
    <s v=""/>
    <x v="9"/>
    <d v="2026-09-08T00:00:00"/>
    <s v=""/>
    <n v="97328"/>
    <n v="6"/>
    <d v="2026-09-10T00:00:00"/>
    <n v="156"/>
  </r>
  <r>
    <x v="0"/>
    <s v=""/>
    <s v="기초"/>
    <s v=""/>
    <s v=""/>
    <x v="535"/>
    <s v="RA-02M-0395]PIN VERT POSITION"/>
    <n v="368"/>
    <s v=""/>
    <x v="185"/>
    <d v="2026-09-08T00:00:00"/>
    <s v=""/>
    <n v="97328"/>
    <n v="12"/>
    <d v="2026-09-10T00:00:00"/>
    <n v="356"/>
  </r>
  <r>
    <x v="0"/>
    <s v=""/>
    <s v=""/>
    <s v=""/>
    <s v=""/>
    <x v="177"/>
    <s v="RA-04A-2748]ASM ARM SUB (A+) (VN)"/>
    <n v="65"/>
    <s v=""/>
    <x v="33"/>
    <d v="2026-09-29T00:00:00"/>
    <s v=""/>
    <n v="97329"/>
    <n v="18"/>
    <d v="2026-09-29T00:00:00"/>
    <n v="47"/>
  </r>
  <r>
    <x v="0"/>
    <s v=""/>
    <s v=""/>
    <s v=""/>
    <s v=""/>
    <x v="323"/>
    <s v="RA-04A-0899]ASM LCD M101NWT2 R1"/>
    <n v="184"/>
    <s v=""/>
    <x v="94"/>
    <d v="2026-09-29T00:00:00"/>
    <s v=""/>
    <n v="97329"/>
    <n v="6"/>
    <d v="2026-09-29T00:00:00"/>
    <n v="178"/>
  </r>
  <r>
    <x v="0"/>
    <s v=""/>
    <s v=""/>
    <s v=""/>
    <s v=""/>
    <x v="200"/>
    <s v="RA-07A-6048]Bd ASSY'-ADET POWER-3D NEW"/>
    <n v="21"/>
    <s v=""/>
    <x v="111"/>
    <d v="2026-09-23T00:00:00"/>
    <s v=""/>
    <n v="97330"/>
    <n v="20"/>
    <d v="2026-09-15T00:00:00"/>
    <n v="1"/>
  </r>
  <r>
    <x v="0"/>
    <s v=""/>
    <s v=""/>
    <s v=""/>
    <s v=""/>
    <x v="265"/>
    <s v="RA-06V-0230]BRK FAN SUP"/>
    <n v="93"/>
    <s v=""/>
    <x v="7"/>
    <d v="2026-09-18T00:00:00"/>
    <s v=""/>
    <n v="97330"/>
    <n v="20"/>
    <d v="2026-09-15T00:00:00"/>
    <n v="73"/>
  </r>
  <r>
    <x v="0"/>
    <s v=""/>
    <s v=""/>
    <s v=""/>
    <s v=""/>
    <x v="38"/>
    <s v="RA-5-4]EARTH ROT TO TUBE"/>
    <n v="96"/>
    <s v=""/>
    <x v="30"/>
    <d v="2026-09-17T00:00:00"/>
    <s v=""/>
    <n v="97330"/>
    <n v="20"/>
    <d v="2026-09-15T00:00:00"/>
    <n v="76"/>
  </r>
  <r>
    <x v="0"/>
    <s v=""/>
    <s v="기초"/>
    <s v=""/>
    <s v=""/>
    <x v="310"/>
    <s v="RA-07V-1679]CVR DET PCB (VA)"/>
    <n v="110"/>
    <s v=""/>
    <x v="92"/>
    <d v="2026-09-08T00:00:00"/>
    <s v=""/>
    <n v="97330"/>
    <n v="20"/>
    <d v="2026-09-15T00:00:00"/>
    <n v="90"/>
  </r>
  <r>
    <x v="0"/>
    <s v=""/>
    <s v=""/>
    <s v=""/>
    <s v=""/>
    <x v="72"/>
    <s v="RA-06M-0520]HEATSINK"/>
    <n v="110"/>
    <s v=""/>
    <x v="55"/>
    <d v="2026-09-18T00:00:00"/>
    <s v=""/>
    <n v="97330"/>
    <n v="20"/>
    <d v="2026-09-15T00:00:00"/>
    <n v="90"/>
  </r>
  <r>
    <x v="0"/>
    <s v=""/>
    <s v="기초"/>
    <s v=""/>
    <s v=""/>
    <x v="319"/>
    <s v="RA-06V-1687]BRK XTRUSION PB COL Bas C(VA"/>
    <n v="115"/>
    <s v=""/>
    <x v="149"/>
    <d v="2026-09-08T00:00:00"/>
    <s v=""/>
    <n v="97330"/>
    <n v="20"/>
    <d v="2026-09-15T00:00:00"/>
    <n v="95"/>
  </r>
  <r>
    <x v="0"/>
    <s v=""/>
    <s v=""/>
    <s v=""/>
    <s v=""/>
    <x v="305"/>
    <s v="RA-06A-1063]ASM TUBE TNK SUP"/>
    <n v="122"/>
    <s v=""/>
    <x v="126"/>
    <d v="2026-09-18T00:00:00"/>
    <s v=""/>
    <n v="97330"/>
    <n v="20"/>
    <d v="2026-09-15T00:00:00"/>
    <n v="102"/>
  </r>
  <r>
    <x v="0"/>
    <s v=""/>
    <s v=""/>
    <s v=""/>
    <s v=""/>
    <x v="316"/>
    <s v="RA-03S-5181A]A2K_LBM01-970"/>
    <n v="129"/>
    <s v=""/>
    <x v="43"/>
    <d v="2026-09-18T00:00:00"/>
    <s v=""/>
    <n v="97330"/>
    <n v="20"/>
    <d v="2026-09-15T00:00:00"/>
    <n v="109"/>
  </r>
  <r>
    <x v="0"/>
    <s v=""/>
    <s v="기초"/>
    <s v=""/>
    <s v=""/>
    <x v="366"/>
    <s v="RA-07A-2718]ASM PLT ADJUST DET (VA)"/>
    <n v="139"/>
    <s v=""/>
    <x v="33"/>
    <d v="2026-09-08T00:00:00"/>
    <s v=""/>
    <n v="97330"/>
    <n v="20"/>
    <d v="2026-09-15T00:00:00"/>
    <n v="119"/>
  </r>
  <r>
    <x v="0"/>
    <s v=""/>
    <s v=""/>
    <s v=""/>
    <s v=""/>
    <x v="350"/>
    <s v="RA-06V-1678]BRK CANINE TOOTH LASER BEAM"/>
    <n v="141"/>
    <s v=""/>
    <x v="149"/>
    <d v="2026-09-18T00:00:00"/>
    <s v=""/>
    <n v="97330"/>
    <n v="20"/>
    <d v="2026-09-15T00:00:00"/>
    <n v="121"/>
  </r>
  <r>
    <x v="0"/>
    <s v=""/>
    <s v="기초"/>
    <s v=""/>
    <s v=""/>
    <x v="371"/>
    <s v="RA-06A-1510]ASM MULTI COL MDL"/>
    <n v="144"/>
    <s v=""/>
    <x v="166"/>
    <d v="2026-09-08T00:00:00"/>
    <s v=""/>
    <n v="97330"/>
    <n v="20"/>
    <d v="2026-09-15T00:00:00"/>
    <n v="124"/>
  </r>
  <r>
    <x v="0"/>
    <s v=""/>
    <s v=""/>
    <s v=""/>
    <s v=""/>
    <x v="364"/>
    <s v="RA-06A-2747]ASM EXTRUSION COL (VN)"/>
    <n v="153"/>
    <s v=""/>
    <x v="126"/>
    <d v="2026-09-18T00:00:00"/>
    <s v=""/>
    <n v="97330"/>
    <n v="20"/>
    <d v="2026-09-15T00:00:00"/>
    <n v="133"/>
  </r>
  <r>
    <x v="0"/>
    <s v=""/>
    <s v=""/>
    <s v=""/>
    <s v=""/>
    <x v="386"/>
    <s v="RA-06V-0793]BRK TUBE FIX A"/>
    <n v="169"/>
    <s v=""/>
    <x v="3"/>
    <d v="2026-09-18T00:00:00"/>
    <s v=""/>
    <n v="97330"/>
    <n v="20"/>
    <d v="2026-09-15T00:00:00"/>
    <n v="149"/>
  </r>
  <r>
    <x v="0"/>
    <s v=""/>
    <s v=""/>
    <s v=""/>
    <s v=""/>
    <x v="393"/>
    <s v="RA-06V-1384]BRK XTRUSION PB COL SC"/>
    <n v="178"/>
    <s v=""/>
    <x v="151"/>
    <d v="2026-09-18T00:00:00"/>
    <s v=""/>
    <n v="97330"/>
    <n v="20"/>
    <d v="2026-09-15T00:00:00"/>
    <n v="158"/>
  </r>
  <r>
    <x v="0"/>
    <s v=""/>
    <s v=""/>
    <s v=""/>
    <s v=""/>
    <x v="374"/>
    <s v="RA-3-3A]DCM CONTROL-A"/>
    <n v="207"/>
    <s v=""/>
    <x v="9"/>
    <d v="2026-09-17T00:00:00"/>
    <s v=""/>
    <n v="97330"/>
    <n v="20"/>
    <d v="2026-09-15T00:00:00"/>
    <n v="187"/>
  </r>
  <r>
    <x v="0"/>
    <s v=""/>
    <s v=""/>
    <s v=""/>
    <s v=""/>
    <x v="420"/>
    <s v="RA-06V-0795]BRK TUBE FIX C"/>
    <n v="217"/>
    <s v=""/>
    <x v="3"/>
    <d v="2026-09-18T00:00:00"/>
    <s v=""/>
    <n v="97330"/>
    <n v="20"/>
    <d v="2026-09-15T00:00:00"/>
    <n v="197"/>
  </r>
  <r>
    <x v="0"/>
    <s v=""/>
    <s v="기초"/>
    <s v=""/>
    <s v=""/>
    <x v="433"/>
    <s v="RA-06M-1688]FILTER CU 0.2 (VA)"/>
    <n v="227"/>
    <s v=""/>
    <x v="1"/>
    <d v="2026-09-08T00:00:00"/>
    <s v=""/>
    <n v="97330"/>
    <n v="20"/>
    <d v="2026-09-15T00:00:00"/>
    <n v="207"/>
  </r>
  <r>
    <x v="0"/>
    <s v=""/>
    <s v="기초"/>
    <s v=""/>
    <s v=""/>
    <x v="449"/>
    <s v="RA-06A-2744]SHAFT BRASS COL (3D) (VN)"/>
    <n v="252"/>
    <s v=""/>
    <x v="108"/>
    <d v="2026-09-08T00:00:00"/>
    <s v=""/>
    <n v="97330"/>
    <n v="20"/>
    <d v="2026-09-15T00:00:00"/>
    <n v="232"/>
  </r>
  <r>
    <x v="0"/>
    <s v=""/>
    <s v=""/>
    <s v=""/>
    <s v=""/>
    <x v="461"/>
    <s v="RA-06V-0794]BRK TUBE FIX B"/>
    <n v="312"/>
    <s v=""/>
    <x v="3"/>
    <d v="2026-09-18T00:00:00"/>
    <s v=""/>
    <n v="97330"/>
    <n v="20"/>
    <d v="2026-09-15T00:00:00"/>
    <n v="292"/>
  </r>
  <r>
    <x v="0"/>
    <s v=""/>
    <s v=""/>
    <s v=""/>
    <s v=""/>
    <x v="467"/>
    <s v="RA-06M-0220]BLOCK CANINE TOOTH LASER B"/>
    <n v="379"/>
    <s v=""/>
    <x v="1"/>
    <d v="2026-09-18T00:00:00"/>
    <s v=""/>
    <n v="97330"/>
    <n v="20"/>
    <d v="2026-09-15T00:00:00"/>
    <n v="359"/>
  </r>
  <r>
    <x v="0"/>
    <s v=""/>
    <s v=""/>
    <s v=""/>
    <s v=""/>
    <x v="435"/>
    <s v="RA-1-8B]AC POWER PFC CONNECT"/>
    <n v="417"/>
    <s v=""/>
    <x v="184"/>
    <d v="2026-09-17T00:00:00"/>
    <s v=""/>
    <n v="97330"/>
    <n v="20"/>
    <d v="2026-09-15T00:00:00"/>
    <n v="397"/>
  </r>
  <r>
    <x v="0"/>
    <s v=""/>
    <s v=""/>
    <s v=""/>
    <s v=""/>
    <x v="421"/>
    <s v="RA-5-5]EARTH ROT TO PFC"/>
    <n v="551"/>
    <s v=""/>
    <x v="30"/>
    <d v="2026-09-17T00:00:00"/>
    <s v=""/>
    <n v="97330"/>
    <n v="20"/>
    <d v="2026-09-15T00:00:00"/>
    <n v="531"/>
  </r>
  <r>
    <x v="0"/>
    <s v=""/>
    <s v=""/>
    <s v=""/>
    <s v=""/>
    <x v="499"/>
    <s v="RA-10-4]FAN ASS'Y"/>
    <n v="588"/>
    <s v=""/>
    <x v="9"/>
    <d v="2026-09-18T00:00:00"/>
    <s v=""/>
    <n v="97330"/>
    <n v="20"/>
    <d v="2026-09-15T00:00:00"/>
    <n v="568"/>
  </r>
  <r>
    <x v="0"/>
    <s v=""/>
    <s v="기초"/>
    <s v=""/>
    <s v=""/>
    <x v="505"/>
    <s v="RA-06V-1517]BRACKER COL PHOt SNSR"/>
    <n v="685"/>
    <s v=""/>
    <x v="149"/>
    <d v="2026-09-08T00:00:00"/>
    <s v=""/>
    <n v="97330"/>
    <n v="20"/>
    <d v="2026-09-15T00:00:00"/>
    <n v="665"/>
  </r>
  <r>
    <x v="0"/>
    <s v=""/>
    <s v=""/>
    <s v=""/>
    <s v=""/>
    <x v="512"/>
    <s v="RA-6-3]SUB MOT TUBE"/>
    <n v="915"/>
    <s v=""/>
    <x v="9"/>
    <d v="2026-09-18T00:00:00"/>
    <s v=""/>
    <n v="97330"/>
    <n v="20"/>
    <d v="2026-09-15T00:00:00"/>
    <n v="895"/>
  </r>
  <r>
    <x v="0"/>
    <s v=""/>
    <s v=""/>
    <s v=""/>
    <s v=""/>
    <x v="513"/>
    <s v="RA-06T-0296]CAS TUBE TNK FAN"/>
    <n v="945"/>
    <s v=""/>
    <x v="27"/>
    <d v="2026-09-18T00:00:00"/>
    <s v=""/>
    <n v="97330"/>
    <n v="20"/>
    <d v="2026-09-15T00:00:00"/>
    <n v="925"/>
  </r>
  <r>
    <x v="0"/>
    <s v=""/>
    <s v=""/>
    <s v=""/>
    <s v=""/>
    <x v="388"/>
    <s v="RA-8-4]AC POWER CEPH"/>
    <n v="8"/>
    <s v=""/>
    <x v="9"/>
    <d v="2026-09-17T00:00:00"/>
    <s v=""/>
    <n v="97331"/>
    <n v="20"/>
    <d v="2026-09-15T00:00:00"/>
    <n v="-12"/>
  </r>
  <r>
    <x v="0"/>
    <s v=""/>
    <s v=""/>
    <s v=""/>
    <s v=""/>
    <x v="589"/>
    <s v="RA-05V-2654]BRK CAS ROT BOT"/>
    <n v="19"/>
    <s v=""/>
    <x v="175"/>
    <d v="2026-09-17T00:00:00"/>
    <s v=""/>
    <n v="97331"/>
    <n v="19"/>
    <d v="2026-09-15T00:00:00"/>
    <n v="0"/>
  </r>
  <r>
    <x v="0"/>
    <s v=""/>
    <s v=""/>
    <s v=""/>
    <s v=""/>
    <x v="252"/>
    <s v="RA-04V-1109]BRK ARM RIGID L"/>
    <n v="30"/>
    <s v=""/>
    <x v="128"/>
    <d v="2026-09-17T00:00:00"/>
    <s v=""/>
    <n v="97331"/>
    <n v="20"/>
    <d v="2026-09-15T00:00:00"/>
    <n v="10"/>
  </r>
  <r>
    <x v="0"/>
    <s v=""/>
    <s v=""/>
    <s v=""/>
    <s v=""/>
    <x v="253"/>
    <s v="RA-04V-1108]BRK ARM RIGID R"/>
    <n v="30"/>
    <s v=""/>
    <x v="128"/>
    <d v="2026-09-17T00:00:00"/>
    <s v=""/>
    <n v="97331"/>
    <n v="20"/>
    <d v="2026-09-15T00:00:00"/>
    <n v="10"/>
  </r>
  <r>
    <x v="0"/>
    <s v=""/>
    <s v=""/>
    <s v=""/>
    <s v=""/>
    <x v="96"/>
    <s v="RA-7-13]ADET POWER to SUB(NEW)"/>
    <n v="31"/>
    <s v=""/>
    <x v="71"/>
    <d v="2026-09-15T00:00:00"/>
    <s v=""/>
    <n v="97331"/>
    <n v="20"/>
    <d v="2026-09-15T00:00:00"/>
    <n v="11"/>
  </r>
  <r>
    <x v="0"/>
    <s v=""/>
    <s v="입고"/>
    <s v="MTS"/>
    <s v="유영국"/>
    <x v="589"/>
    <s v="RA-05V-2654]BRK CAS ROT BOT"/>
    <n v="50"/>
    <s v=""/>
    <x v="175"/>
    <d v="2026-09-15T00:00:00"/>
    <s v=""/>
    <n v="97331"/>
    <n v="1"/>
    <d v="2026-09-15T00:00:00"/>
    <n v="49"/>
  </r>
  <r>
    <x v="0"/>
    <s v=""/>
    <s v=""/>
    <s v=""/>
    <s v=""/>
    <x v="473"/>
    <s v="RA-3-6]INDICATOR CONTROL"/>
    <n v="56"/>
    <s v=""/>
    <x v="130"/>
    <d v="2026-09-17T00:00:00"/>
    <s v=""/>
    <n v="97331"/>
    <n v="20"/>
    <d v="2026-09-15T00:00:00"/>
    <n v="36"/>
  </r>
  <r>
    <x v="0"/>
    <s v=""/>
    <s v=""/>
    <s v=""/>
    <s v=""/>
    <x v="466"/>
    <s v="RA-1-5]AC POWER SMPS-1"/>
    <n v="70"/>
    <s v=""/>
    <x v="184"/>
    <d v="2026-09-17T00:00:00"/>
    <s v=""/>
    <n v="97331"/>
    <n v="20"/>
    <d v="2026-09-15T00:00:00"/>
    <n v="50"/>
  </r>
  <r>
    <x v="0"/>
    <s v=""/>
    <s v=""/>
    <s v=""/>
    <s v=""/>
    <x v="264"/>
    <s v="RA-06A-5004]Bd ASSY'-Indicator Bd"/>
    <n v="78"/>
    <s v=""/>
    <x v="131"/>
    <d v="2026-09-17T00:00:00"/>
    <s v=""/>
    <n v="97331"/>
    <n v="40"/>
    <d v="2026-09-15T00:00:00"/>
    <n v="38"/>
  </r>
  <r>
    <x v="0"/>
    <s v=""/>
    <s v=""/>
    <s v=""/>
    <s v=""/>
    <x v="289"/>
    <s v="RA-06V-1311]BRK TUBE CAS FIX B"/>
    <n v="90"/>
    <s v=""/>
    <x v="113"/>
    <d v="2026-09-18T00:00:00"/>
    <s v=""/>
    <n v="97331"/>
    <n v="20"/>
    <d v="2026-09-15T00:00:00"/>
    <n v="70"/>
  </r>
  <r>
    <x v="0"/>
    <s v=""/>
    <s v=""/>
    <s v=""/>
    <s v=""/>
    <x v="142"/>
    <s v="RA-5-1]EARTH NF"/>
    <n v="100"/>
    <s v=""/>
    <x v="30"/>
    <d v="2026-09-18T00:00:00"/>
    <s v=""/>
    <n v="97331"/>
    <n v="20"/>
    <d v="2026-09-15T00:00:00"/>
    <n v="80"/>
  </r>
  <r>
    <x v="0"/>
    <s v=""/>
    <s v=""/>
    <s v=""/>
    <s v=""/>
    <x v="235"/>
    <s v="RA-7-5]LAN THU"/>
    <n v="126"/>
    <s v=""/>
    <x v="123"/>
    <d v="2026-09-17T00:00:00"/>
    <s v=""/>
    <n v="97331"/>
    <n v="20"/>
    <d v="2026-09-15T00:00:00"/>
    <n v="106"/>
  </r>
  <r>
    <x v="0"/>
    <s v=""/>
    <s v=""/>
    <s v=""/>
    <s v=""/>
    <x v="262"/>
    <s v="RA-3-5]INDICATOR"/>
    <n v="135"/>
    <s v=""/>
    <x v="130"/>
    <d v="2026-09-17T00:00:00"/>
    <s v=""/>
    <n v="97331"/>
    <n v="20"/>
    <d v="2026-09-15T00:00:00"/>
    <n v="115"/>
  </r>
  <r>
    <x v="0"/>
    <s v=""/>
    <s v=""/>
    <s v=""/>
    <s v=""/>
    <x v="586"/>
    <s v="RA-1-11]DC POWER HUB"/>
    <n v="135"/>
    <s v=""/>
    <x v="184"/>
    <d v="2026-09-17T00:00:00"/>
    <s v=""/>
    <n v="97331"/>
    <n v="20"/>
    <d v="2026-09-15T00:00:00"/>
    <n v="115"/>
  </r>
  <r>
    <x v="0"/>
    <s v=""/>
    <s v=""/>
    <s v=""/>
    <s v=""/>
    <x v="278"/>
    <s v="RA-9-8]SERIAL POWER LS 1"/>
    <n v="144"/>
    <s v=""/>
    <x v="137"/>
    <d v="2026-09-17T00:00:00"/>
    <s v=""/>
    <n v="97331"/>
    <n v="20"/>
    <d v="2026-09-15T00:00:00"/>
    <n v="124"/>
  </r>
  <r>
    <x v="0"/>
    <s v=""/>
    <s v=""/>
    <s v=""/>
    <s v=""/>
    <x v="377"/>
    <s v="RA-06V-0651]BRK TUBE CAS FIX A"/>
    <n v="150"/>
    <s v=""/>
    <x v="168"/>
    <d v="2026-09-18T00:00:00"/>
    <s v=""/>
    <n v="97331"/>
    <n v="20"/>
    <d v="2026-09-15T00:00:00"/>
    <n v="130"/>
  </r>
  <r>
    <x v="0"/>
    <s v=""/>
    <s v=""/>
    <s v=""/>
    <s v=""/>
    <x v="299"/>
    <s v="RA-05T-0210]CAS ROT TOP SUB"/>
    <n v="163"/>
    <s v=""/>
    <x v="27"/>
    <d v="2026-09-17T00:00:00"/>
    <s v=""/>
    <n v="97331"/>
    <n v="20"/>
    <d v="2026-09-15T00:00:00"/>
    <n v="143"/>
  </r>
  <r>
    <x v="0"/>
    <s v=""/>
    <s v=""/>
    <s v=""/>
    <s v=""/>
    <x v="296"/>
    <s v="RA-02T-0045]CAS VERT SUB BOT"/>
    <n v="170"/>
    <s v=""/>
    <x v="27"/>
    <d v="2026-09-17T00:00:00"/>
    <s v=""/>
    <n v="97331"/>
    <n v="20"/>
    <d v="2026-09-30T00:00:00"/>
    <n v="150"/>
  </r>
  <r>
    <x v="0"/>
    <s v=""/>
    <s v=""/>
    <s v=""/>
    <s v=""/>
    <x v="535"/>
    <s v="RA-02M-0395]PIN VERT POSITION"/>
    <n v="186"/>
    <s v=""/>
    <x v="185"/>
    <d v="2026-09-17T00:00:00"/>
    <s v=""/>
    <n v="97331"/>
    <n v="40"/>
    <d v="2026-09-15T00:00:00"/>
    <n v="146"/>
  </r>
  <r>
    <x v="0"/>
    <s v=""/>
    <s v=""/>
    <s v=""/>
    <s v=""/>
    <x v="334"/>
    <s v="RA-1-9A]DC POWER MOT-A"/>
    <n v="187"/>
    <s v=""/>
    <x v="9"/>
    <d v="2026-09-18T00:00:00"/>
    <s v=""/>
    <n v="97331"/>
    <n v="20"/>
    <d v="2026-09-15T00:00:00"/>
    <n v="167"/>
  </r>
  <r>
    <x v="0"/>
    <s v=""/>
    <s v=""/>
    <s v=""/>
    <s v=""/>
    <x v="379"/>
    <s v="RA-1-12]DC POWER SMPS CONN"/>
    <n v="210"/>
    <s v=""/>
    <x v="0"/>
    <d v="2026-09-17T00:00:00"/>
    <s v=""/>
    <n v="97331"/>
    <n v="20"/>
    <d v="2026-09-15T00:00:00"/>
    <n v="190"/>
  </r>
  <r>
    <x v="0"/>
    <s v=""/>
    <s v=""/>
    <s v=""/>
    <s v=""/>
    <x v="382"/>
    <s v="RA-2-9]ACT 2nd LIMIT"/>
    <n v="212"/>
    <s v=""/>
    <x v="0"/>
    <d v="2026-09-17T00:00:00"/>
    <s v=""/>
    <n v="97331"/>
    <n v="20"/>
    <d v="2026-09-15T00:00:00"/>
    <n v="192"/>
  </r>
  <r>
    <x v="0"/>
    <s v=""/>
    <s v=""/>
    <s v=""/>
    <s v=""/>
    <x v="395"/>
    <s v="RA-5-8]EARTH CTRL SMPS"/>
    <n v="226"/>
    <s v=""/>
    <x v="30"/>
    <d v="2026-09-17T00:00:00"/>
    <s v=""/>
    <n v="97331"/>
    <n v="20"/>
    <d v="2026-09-15T00:00:00"/>
    <n v="206"/>
  </r>
  <r>
    <x v="0"/>
    <s v=""/>
    <s v=""/>
    <s v=""/>
    <s v=""/>
    <x v="403"/>
    <s v="RA-2-4]SERIAL POWER THU"/>
    <n v="238"/>
    <s v=""/>
    <x v="0"/>
    <d v="2026-09-17T00:00:00"/>
    <s v=""/>
    <n v="97331"/>
    <n v="20"/>
    <d v="2026-09-15T00:00:00"/>
    <n v="218"/>
  </r>
  <r>
    <x v="0"/>
    <s v=""/>
    <s v=""/>
    <s v=""/>
    <s v=""/>
    <x v="418"/>
    <s v="RA-10-1]AC CABLE ASS’Y"/>
    <n v="270"/>
    <s v=""/>
    <x v="9"/>
    <d v="2026-10-02T00:00:00"/>
    <s v=""/>
    <n v="97331"/>
    <n v="20"/>
    <d v="2026-10-02T00:00:00"/>
    <n v="250"/>
  </r>
  <r>
    <x v="0"/>
    <s v=""/>
    <s v=""/>
    <s v=""/>
    <s v=""/>
    <x v="331"/>
    <s v="RA-11-34_2]SUB MOT DET(V)"/>
    <n v="322"/>
    <s v=""/>
    <x v="153"/>
    <d v="2026-09-28T00:00:00"/>
    <s v=""/>
    <n v="97331"/>
    <n v="20"/>
    <d v="2026-09-15T00:00:00"/>
    <n v="302"/>
  </r>
  <r>
    <x v="0"/>
    <s v=""/>
    <s v=""/>
    <s v=""/>
    <s v=""/>
    <x v="445"/>
    <s v="RA-05V-0199]BRK PXD-200CT DRV PCB R"/>
    <n v="324"/>
    <s v=""/>
    <x v="186"/>
    <d v="2026-09-17T00:00:00"/>
    <s v=""/>
    <n v="97331"/>
    <n v="20"/>
    <d v="2026-09-15T00:00:00"/>
    <n v="304"/>
  </r>
  <r>
    <x v="0"/>
    <s v=""/>
    <s v=""/>
    <s v=""/>
    <s v=""/>
    <x v="451"/>
    <s v="RA-05V-0297]BRK PXD-200CT DRV PCB L"/>
    <n v="329"/>
    <s v=""/>
    <x v="186"/>
    <d v="2026-09-17T00:00:00"/>
    <s v=""/>
    <n v="97331"/>
    <n v="20"/>
    <d v="2026-09-15T00:00:00"/>
    <n v="309"/>
  </r>
  <r>
    <x v="0"/>
    <s v=""/>
    <s v=""/>
    <s v=""/>
    <s v=""/>
    <x v="455"/>
    <s v="RA-5-10]EARTH MOT SMPS(RPS)"/>
    <n v="335"/>
    <s v=""/>
    <x v="30"/>
    <d v="2026-09-17T00:00:00"/>
    <s v=""/>
    <n v="97331"/>
    <n v="20"/>
    <d v="2026-09-15T00:00:00"/>
    <n v="315"/>
  </r>
  <r>
    <x v="0"/>
    <s v=""/>
    <s v=""/>
    <s v=""/>
    <s v=""/>
    <x v="475"/>
    <s v="RA-11-33]DET SIGNAL(V)"/>
    <n v="407"/>
    <s v=""/>
    <x v="153"/>
    <d v="2026-09-15T00:00:00"/>
    <s v=""/>
    <n v="97331"/>
    <n v="20"/>
    <d v="2026-09-15T00:00:00"/>
    <n v="387"/>
  </r>
  <r>
    <x v="0"/>
    <s v=""/>
    <s v="기초"/>
    <s v=""/>
    <s v=""/>
    <x v="506"/>
    <s v="RA-07A-2716]ASM BLOCK DETECTOR SENSOR R"/>
    <n v="695"/>
    <s v=""/>
    <x v="201"/>
    <d v="2026-09-08T00:00:00"/>
    <s v=""/>
    <n v="97331"/>
    <n v="20"/>
    <d v="2026-09-15T00:00:00"/>
    <n v="675"/>
  </r>
  <r>
    <x v="0"/>
    <s v=""/>
    <s v="기초"/>
    <s v=""/>
    <s v=""/>
    <x v="507"/>
    <s v="RA-07A-2715]ASM BLOCK DETECTOR SENSOR L"/>
    <n v="698"/>
    <s v=""/>
    <x v="201"/>
    <d v="2026-09-08T00:00:00"/>
    <s v=""/>
    <n v="97331"/>
    <n v="20"/>
    <d v="2026-09-15T00:00:00"/>
    <n v="678"/>
  </r>
  <r>
    <x v="0"/>
    <s v=""/>
    <s v=""/>
    <s v=""/>
    <s v=""/>
    <x v="510"/>
    <s v="RA-04T-0143]CAS CHINREST UPPER"/>
    <n v="798"/>
    <s v=""/>
    <x v="27"/>
    <d v="2026-09-18T00:00:00"/>
    <s v=""/>
    <n v="97331"/>
    <n v="20"/>
    <d v="2026-09-15T00:00:00"/>
    <n v="778"/>
  </r>
  <r>
    <x v="0"/>
    <s v=""/>
    <s v="입고"/>
    <s v="진광"/>
    <s v="장동은"/>
    <x v="565"/>
    <s v="RA-01T-1790]CAS MAIN Bas FRONT"/>
    <n v="1"/>
    <s v=""/>
    <x v="10"/>
    <d v="2026-09-14T00:00:00"/>
    <s v=""/>
    <n v="97332"/>
    <n v="1"/>
    <d v="2026-09-17T00:00:00"/>
    <n v="0"/>
  </r>
  <r>
    <x v="0"/>
    <s v=""/>
    <s v=""/>
    <s v=""/>
    <s v=""/>
    <x v="563"/>
    <s v="RA-09A-0345]ASM REMOTE CONTROL"/>
    <n v="3"/>
    <s v=""/>
    <x v="17"/>
    <d v="2026-09-17T00:00:00"/>
    <s v=""/>
    <n v="97332"/>
    <n v="3"/>
    <d v="2026-09-17T00:00:00"/>
    <n v="0"/>
  </r>
  <r>
    <x v="0"/>
    <s v=""/>
    <s v="입고"/>
    <s v="진광"/>
    <s v="장동은"/>
    <x v="565"/>
    <s v="RA-01T-1790]CAS MAIN Bas FRONT"/>
    <n v="9"/>
    <s v=""/>
    <x v="10"/>
    <d v="2026-09-14T00:00:00"/>
    <s v=""/>
    <n v="97332"/>
    <n v="9"/>
    <d v="2026-09-17T00:00:00"/>
    <n v="0"/>
  </r>
  <r>
    <x v="0"/>
    <s v=""/>
    <s v=""/>
    <s v=""/>
    <s v=""/>
    <x v="565"/>
    <s v="RA-01T-1790]CAS MAIN Bas FRONT"/>
    <n v="10"/>
    <s v=""/>
    <x v="10"/>
    <d v="2026-09-17T00:00:00"/>
    <s v=""/>
    <n v="97332"/>
    <n v="10"/>
    <d v="2026-09-17T00:00:00"/>
    <n v="0"/>
  </r>
  <r>
    <x v="0"/>
    <s v=""/>
    <s v=""/>
    <s v=""/>
    <s v=""/>
    <x v="568"/>
    <s v="RA-03V-0054]HLDR CAS CLMN BODY LWR 1"/>
    <n v="25"/>
    <s v=""/>
    <x v="171"/>
    <d v="2026-09-17T00:00:00"/>
    <s v=""/>
    <n v="97332"/>
    <n v="20"/>
    <d v="2026-09-17T00:00:00"/>
    <n v="5"/>
  </r>
  <r>
    <x v="0"/>
    <s v=""/>
    <s v=""/>
    <s v=""/>
    <s v=""/>
    <x v="570"/>
    <s v="RA-02T-2182]CAS VERT UPPER (A+)"/>
    <n v="28"/>
    <s v=""/>
    <x v="10"/>
    <d v="2026-09-17T00:00:00"/>
    <s v=""/>
    <n v="97332"/>
    <n v="20"/>
    <d v="2026-09-17T00:00:00"/>
    <n v="8"/>
  </r>
  <r>
    <x v="0"/>
    <s v=""/>
    <s v=""/>
    <s v=""/>
    <s v=""/>
    <x v="97"/>
    <s v="RA-04A-2296]ASM HANDLE (A+)"/>
    <n v="51"/>
    <s v=""/>
    <x v="55"/>
    <d v="2026-09-18T00:00:00"/>
    <s v=""/>
    <n v="97332"/>
    <n v="20"/>
    <d v="2026-09-17T00:00:00"/>
    <n v="31"/>
  </r>
  <r>
    <x v="0"/>
    <s v=""/>
    <s v=""/>
    <s v=""/>
    <s v=""/>
    <x v="567"/>
    <s v="RA-03V-0055]HLDR CAS CLMN BODY LWR 2"/>
    <n v="78"/>
    <s v=""/>
    <x v="171"/>
    <d v="2026-09-17T00:00:00"/>
    <s v=""/>
    <n v="97332"/>
    <n v="20"/>
    <d v="2026-09-17T00:00:00"/>
    <n v="58"/>
  </r>
  <r>
    <x v="0"/>
    <s v=""/>
    <s v=""/>
    <s v=""/>
    <s v=""/>
    <x v="13"/>
    <s v="RA-03A-0314]ASM CAS CLMN LWR (R)"/>
    <n v="87"/>
    <s v=""/>
    <x v="10"/>
    <d v="2026-09-17T00:00:00"/>
    <s v=""/>
    <n v="97332"/>
    <n v="20"/>
    <d v="2026-09-17T00:00:00"/>
    <n v="67"/>
  </r>
  <r>
    <x v="0"/>
    <s v=""/>
    <s v=""/>
    <s v=""/>
    <s v=""/>
    <x v="561"/>
    <s v="RA-09A-0967]ASM EXPOSURE SW"/>
    <n v="90"/>
    <s v=""/>
    <x v="183"/>
    <d v="2026-09-17T00:00:00"/>
    <s v=""/>
    <n v="97332"/>
    <n v="20"/>
    <d v="2026-09-17T00:00:00"/>
    <n v="70"/>
  </r>
  <r>
    <x v="0"/>
    <s v=""/>
    <s v=""/>
    <s v=""/>
    <s v=""/>
    <x v="559"/>
    <s v="RA-09A-2729]ASM COMPONENT SUB-1"/>
    <n v="95"/>
    <s v=""/>
    <x v="33"/>
    <d v="2026-09-17T00:00:00"/>
    <s v=""/>
    <n v="97332"/>
    <n v="20"/>
    <d v="2026-09-17T00:00:00"/>
    <n v="75"/>
  </r>
  <r>
    <x v="0"/>
    <s v=""/>
    <s v=""/>
    <s v=""/>
    <s v=""/>
    <x v="140"/>
    <s v="RA-09M-1133]PIN GUIDE BITE"/>
    <n v="100"/>
    <s v=""/>
    <x v="17"/>
    <d v="2026-09-18T00:00:00"/>
    <s v=""/>
    <n v="97332"/>
    <n v="40"/>
    <d v="2026-09-17T00:00:00"/>
    <n v="60"/>
  </r>
  <r>
    <x v="0"/>
    <s v=""/>
    <s v="입고"/>
    <s v="제이에스티"/>
    <s v="곽동준"/>
    <x v="563"/>
    <s v="RA-09A-0345]ASM REMOTE CONTROL"/>
    <n v="150"/>
    <s v=""/>
    <x v="17"/>
    <d v="2026-09-14T00:00:00"/>
    <s v=""/>
    <n v="97332"/>
    <n v="17"/>
    <d v="2026-09-17T00:00:00"/>
    <n v="133"/>
  </r>
  <r>
    <x v="0"/>
    <s v=""/>
    <s v=""/>
    <s v=""/>
    <s v=""/>
    <x v="560"/>
    <s v="RA-09A-2730]ASM COMPONENT SUB-2"/>
    <n v="173"/>
    <s v=""/>
    <x v="33"/>
    <d v="2026-09-17T00:00:00"/>
    <s v=""/>
    <n v="97332"/>
    <n v="20"/>
    <d v="2026-09-17T00:00:00"/>
    <n v="153"/>
  </r>
  <r>
    <x v="0"/>
    <s v=""/>
    <s v=""/>
    <s v=""/>
    <s v=""/>
    <x v="12"/>
    <s v="RA-03A-0315]ASM CAS CLMN LWR (L)"/>
    <n v="199"/>
    <s v=""/>
    <x v="10"/>
    <d v="2026-09-17T00:00:00"/>
    <s v=""/>
    <n v="97332"/>
    <n v="20"/>
    <d v="2026-09-17T00:00:00"/>
    <n v="179"/>
  </r>
  <r>
    <x v="0"/>
    <s v=""/>
    <s v=""/>
    <s v=""/>
    <s v=""/>
    <x v="571"/>
    <s v="RA-5-7]EARTH SHAFT TO WALL"/>
    <n v="200"/>
    <s v=""/>
    <x v="9"/>
    <d v="2026-09-17T00:00:00"/>
    <s v=""/>
    <n v="97332"/>
    <n v="20"/>
    <d v="2026-09-17T00:00:00"/>
    <n v="180"/>
  </r>
  <r>
    <x v="0"/>
    <s v=""/>
    <s v=""/>
    <s v=""/>
    <s v=""/>
    <x v="15"/>
    <s v="RA-5-6]EARTH SHAFT TO PC"/>
    <n v="209"/>
    <s v=""/>
    <x v="9"/>
    <d v="2026-09-17T00:00:00"/>
    <s v=""/>
    <n v="97332"/>
    <n v="20"/>
    <d v="2026-09-17T00:00:00"/>
    <n v="189"/>
  </r>
  <r>
    <x v="0"/>
    <s v=""/>
    <s v=""/>
    <s v=""/>
    <s v=""/>
    <x v="427"/>
    <s v="RA-09M-1134]BLK GUIDE BITE"/>
    <n v="229"/>
    <s v=""/>
    <x v="17"/>
    <d v="2026-09-18T00:00:00"/>
    <s v=""/>
    <n v="97332"/>
    <n v="20"/>
    <d v="2026-09-17T00:00:00"/>
    <n v="209"/>
  </r>
  <r>
    <x v="0"/>
    <s v=""/>
    <s v=""/>
    <s v=""/>
    <s v=""/>
    <x v="564"/>
    <s v="RA-01T-1791]CAS MAIN Bas REAR"/>
    <n v="398"/>
    <s v=""/>
    <x v="10"/>
    <d v="2026-09-17T00:00:00"/>
    <s v=""/>
    <n v="97332"/>
    <n v="20"/>
    <d v="2026-09-17T00:00:00"/>
    <n v="378"/>
  </r>
  <r>
    <x v="0"/>
    <s v=""/>
    <s v=""/>
    <s v=""/>
    <s v=""/>
    <x v="480"/>
    <s v="RA-09T-1184]CAS CHINREST"/>
    <n v="449"/>
    <s v=""/>
    <x v="27"/>
    <d v="2026-09-18T00:00:00"/>
    <s v=""/>
    <n v="97332"/>
    <n v="20"/>
    <d v="2026-09-17T00:00:00"/>
    <n v="429"/>
  </r>
  <r>
    <x v="0"/>
    <s v=""/>
    <s v=""/>
    <s v=""/>
    <s v=""/>
    <x v="566"/>
    <s v="RA-03T-0072]CAS CLMN BODY REAR"/>
    <n v="546"/>
    <s v=""/>
    <x v="10"/>
    <d v="2026-09-17T00:00:00"/>
    <s v=""/>
    <n v="97332"/>
    <n v="20"/>
    <d v="2026-09-17T00:00:00"/>
    <n v="526"/>
  </r>
  <r>
    <x v="0"/>
    <s v=""/>
    <s v=""/>
    <s v=""/>
    <s v=""/>
    <x v="562"/>
    <s v="RA-09T-0733]CAS S.W HLDR"/>
    <n v="667"/>
    <s v=""/>
    <x v="178"/>
    <d v="2026-09-17T00:00:00"/>
    <s v=""/>
    <n v="97332"/>
    <n v="20"/>
    <d v="2026-09-17T00:00:00"/>
    <n v="647"/>
  </r>
  <r>
    <x v="0"/>
    <s v=""/>
    <s v=""/>
    <s v=""/>
    <s v=""/>
    <x v="230"/>
    <s v="RA-8-17]AC POWER OC(V)"/>
    <n v="48"/>
    <s v=""/>
    <x v="121"/>
    <d v="2026-07-29T00:00:00"/>
    <s v=""/>
    <n v="97333"/>
    <n v="3"/>
    <d v="2026-09-14T00:00:00"/>
    <n v="45"/>
  </r>
  <r>
    <x v="0"/>
    <s v=""/>
    <s v=""/>
    <s v=""/>
    <s v=""/>
    <x v="11"/>
    <s v="RA-5-2_2]EARTH CEPH"/>
    <n v="124"/>
    <s v=""/>
    <x v="9"/>
    <d v="2026-07-29T00:00:00"/>
    <s v=""/>
    <n v="97333"/>
    <n v="3"/>
    <d v="2026-09-14T00:00:00"/>
    <n v="121"/>
  </r>
  <r>
    <x v="0"/>
    <s v=""/>
    <s v=""/>
    <s v=""/>
    <s v=""/>
    <x v="580"/>
    <s v="RA-08T-1466]CAS CEPH EAR-ROD"/>
    <n v="333"/>
    <s v=""/>
    <x v="27"/>
    <d v="2026-07-29T00:00:00"/>
    <s v=""/>
    <n v="97333"/>
    <n v="6"/>
    <d v="2026-09-14T00:00:00"/>
    <n v="327"/>
  </r>
  <r>
    <x v="0"/>
    <s v=""/>
    <s v=""/>
    <s v=""/>
    <s v=""/>
    <x v="578"/>
    <s v="RA-08M-0708]RING EARLOD"/>
    <n v="596"/>
    <s v=""/>
    <x v="138"/>
    <d v="2026-07-29T00:00:00"/>
    <s v=""/>
    <n v="97333"/>
    <n v="3"/>
    <d v="2026-09-14T00:00:00"/>
    <n v="593"/>
  </r>
  <r>
    <x v="0"/>
    <s v=""/>
    <s v=""/>
    <s v=""/>
    <s v=""/>
    <x v="579"/>
    <s v="RA-08M-0707]CAP EARLOD"/>
    <n v="712"/>
    <s v=""/>
    <x v="138"/>
    <d v="2026-07-29T00:00:00"/>
    <s v=""/>
    <n v="97333"/>
    <n v="3"/>
    <d v="2026-09-14T00:00:00"/>
    <n v="709"/>
  </r>
  <r>
    <x v="0"/>
    <s v=""/>
    <s v=""/>
    <s v=""/>
    <s v=""/>
    <x v="172"/>
    <s v="RA-04A-6035_4]Bd ASSY'-THU Bd"/>
    <n v="40"/>
    <s v=""/>
    <x v="100"/>
    <d v="2026-09-09T00:00:00"/>
    <s v=""/>
    <n v="97340"/>
    <n v="15"/>
    <d v="2026-09-11T00:00:00"/>
    <n v="25"/>
  </r>
  <r>
    <x v="0"/>
    <s v=""/>
    <s v="기초"/>
    <s v=""/>
    <s v=""/>
    <x v="141"/>
    <s v="ASM COLUMN BODY"/>
    <n v="62"/>
    <s v=""/>
    <x v="6"/>
    <d v="2026-09-11T00:00:00"/>
    <s v=""/>
    <n v="97340"/>
    <n v="36"/>
    <d v="2026-09-11T00:00:00"/>
    <n v="26"/>
  </r>
  <r>
    <x v="0"/>
    <s v=""/>
    <s v="기초"/>
    <s v=""/>
    <s v=""/>
    <x v="364"/>
    <s v="RA-06A-2747]ASM EXTRUSION COL (VN)"/>
    <n v="164"/>
    <s v=""/>
    <x v="126"/>
    <d v="2026-09-08T00:00:00"/>
    <s v=""/>
    <n v="97921"/>
    <n v="1"/>
    <d v="2026-09-11T00:00:00"/>
    <n v="163"/>
  </r>
  <r>
    <x v="0"/>
    <s v=""/>
    <s v=""/>
    <s v=""/>
    <s v=""/>
    <x v="342"/>
    <s v="RA-10-2]PRIME CABLE ASS’Y"/>
    <n v="156"/>
    <s v=""/>
    <x v="9"/>
    <d v="2026-09-10T00:00:00"/>
    <s v=""/>
    <n v="97931"/>
    <n v="30"/>
    <d v="2026-09-11T00:00:00"/>
    <n v="126"/>
  </r>
  <r>
    <x v="0"/>
    <s v=""/>
    <s v="기초"/>
    <s v=""/>
    <s v=""/>
    <x v="572"/>
    <s v="RA-09T-2534]CAS CT HEADREST (A+)"/>
    <n v="218"/>
    <s v=""/>
    <x v="27"/>
    <d v="2026-09-11T00:00:00"/>
    <s v=""/>
    <n v="97932"/>
    <n v="2"/>
    <d v="2026-09-11T00:00:00"/>
    <n v="216"/>
  </r>
  <r>
    <x v="0"/>
    <s v=""/>
    <s v=""/>
    <s v=""/>
    <s v=""/>
    <x v="172"/>
    <s v="RA-04A-6035_4]Bd ASSY'-THU Bd"/>
    <n v="2"/>
    <s v=""/>
    <x v="100"/>
    <d v="2026-10-01T00:00:00"/>
    <s v=""/>
    <n v="97937"/>
    <n v="2"/>
    <d v="2026-10-01T00:00:00"/>
    <n v="0"/>
  </r>
  <r>
    <x v="0"/>
    <s v=""/>
    <s v="입고"/>
    <s v="하이버스"/>
    <s v="장동은"/>
    <x v="172"/>
    <s v="RA-04A-6035_4]Bd ASSY'-THU Bd"/>
    <n v="100"/>
    <s v=""/>
    <x v="100"/>
    <d v="2026-09-30T00:00:00"/>
    <s v=""/>
    <n v="97937"/>
    <n v="13"/>
    <d v="2026-10-01T00:00:00"/>
    <n v="87"/>
  </r>
  <r>
    <x v="0"/>
    <s v=""/>
    <s v=""/>
    <s v=""/>
    <s v=""/>
    <x v="323"/>
    <s v="RA-04A-0899]ASM LCD M101NWT2 R1"/>
    <n v="178"/>
    <s v=""/>
    <x v="94"/>
    <d v="2026-09-29T00:00:00"/>
    <s v=""/>
    <n v="97937"/>
    <n v="20"/>
    <d v="2026-09-29T00:00:00"/>
    <n v="158"/>
  </r>
  <r>
    <x v="0"/>
    <s v=""/>
    <s v=""/>
    <s v=""/>
    <s v=""/>
    <x v="563"/>
    <s v="RA-09A-0345]ASM REMOTE CONTROL"/>
    <n v="23"/>
    <s v=""/>
    <x v="17"/>
    <d v="2026-09-18T00:00:00"/>
    <s v=""/>
    <n v="97938"/>
    <n v="20"/>
    <d v="2026-09-17T00:00:00"/>
    <n v="3"/>
  </r>
  <r>
    <x v="0"/>
    <s v=""/>
    <s v=""/>
    <s v=""/>
    <s v=""/>
    <x v="565"/>
    <s v="RA-01T-1790]CAS MAIN Bas FRONT"/>
    <n v="30"/>
    <s v=""/>
    <x v="10"/>
    <d v="2026-09-16T00:00:00"/>
    <s v=""/>
    <n v="97938"/>
    <n v="20"/>
    <d v="2026-09-17T00:00:00"/>
    <n v="10"/>
  </r>
  <r>
    <x v="0"/>
    <s v=""/>
    <s v="기초"/>
    <s v=""/>
    <s v=""/>
    <x v="558"/>
    <s v="RA-09T-3991]CAS CHINREST (MG)"/>
    <n v="40"/>
    <s v=""/>
    <x v="44"/>
    <d v="2026-09-11T00:00:00"/>
    <s v=""/>
    <n v="97938"/>
    <n v="20"/>
    <d v="2026-09-17T00:00:00"/>
    <n v="20"/>
  </r>
  <r>
    <x v="0"/>
    <s v=""/>
    <s v=""/>
    <s v=""/>
    <s v=""/>
    <x v="568"/>
    <s v="RA-03V-0054]HLDR CAS CLMN BODY LWR 1"/>
    <n v="45"/>
    <s v=""/>
    <x v="171"/>
    <d v="2026-09-18T00:00:00"/>
    <s v=""/>
    <n v="97938"/>
    <n v="20"/>
    <d v="2026-09-17T00:00:00"/>
    <n v="25"/>
  </r>
  <r>
    <x v="0"/>
    <s v=""/>
    <s v=""/>
    <s v=""/>
    <s v=""/>
    <x v="570"/>
    <s v="RA-02T-2182]CAS VERT UPPER (A+)"/>
    <n v="48"/>
    <s v=""/>
    <x v="10"/>
    <d v="2026-09-10T00:00:00"/>
    <s v=""/>
    <n v="97938"/>
    <n v="20"/>
    <d v="2026-09-17T00:00:00"/>
    <n v="28"/>
  </r>
  <r>
    <x v="0"/>
    <s v=""/>
    <s v=""/>
    <s v=""/>
    <s v=""/>
    <x v="567"/>
    <s v="RA-03V-0055]HLDR CAS CLMN BODY LWR 2"/>
    <n v="98"/>
    <s v=""/>
    <x v="171"/>
    <d v="2026-09-18T00:00:00"/>
    <s v=""/>
    <n v="97938"/>
    <n v="20"/>
    <d v="2026-09-17T00:00:00"/>
    <n v="78"/>
  </r>
  <r>
    <x v="0"/>
    <s v=""/>
    <s v=""/>
    <s v=""/>
    <s v=""/>
    <x v="13"/>
    <s v="RA-03A-0314]ASM CAS CLMN LWR (R)"/>
    <n v="107"/>
    <s v=""/>
    <x v="10"/>
    <d v="2026-09-18T00:00:00"/>
    <s v=""/>
    <n v="97938"/>
    <n v="20"/>
    <d v="2026-09-17T00:00:00"/>
    <n v="87"/>
  </r>
  <r>
    <x v="0"/>
    <s v=""/>
    <s v=""/>
    <s v=""/>
    <s v=""/>
    <x v="561"/>
    <s v="RA-09A-0967]ASM EXPOSURE SW"/>
    <n v="110"/>
    <s v=""/>
    <x v="183"/>
    <d v="2026-09-18T00:00:00"/>
    <s v=""/>
    <n v="97938"/>
    <n v="20"/>
    <d v="2026-09-17T00:00:00"/>
    <n v="90"/>
  </r>
  <r>
    <x v="0"/>
    <s v=""/>
    <s v=""/>
    <s v=""/>
    <s v=""/>
    <x v="572"/>
    <s v="RA-09T-2534]CAS CT HEADREST (A+)"/>
    <n v="111"/>
    <s v=""/>
    <x v="27"/>
    <d v="2026-09-16T00:00:00"/>
    <s v=""/>
    <n v="97938"/>
    <n v="40"/>
    <d v="2026-09-17T00:00:00"/>
    <n v="71"/>
  </r>
  <r>
    <x v="0"/>
    <s v=""/>
    <s v=""/>
    <s v=""/>
    <s v=""/>
    <x v="559"/>
    <s v="RA-09A-2729]ASM COMPONENT SUB-1"/>
    <n v="115"/>
    <s v=""/>
    <x v="33"/>
    <d v="2026-09-18T00:00:00"/>
    <s v=""/>
    <n v="97938"/>
    <n v="20"/>
    <d v="2026-09-17T00:00:00"/>
    <n v="95"/>
  </r>
  <r>
    <x v="0"/>
    <s v=""/>
    <s v="기초"/>
    <s v=""/>
    <s v=""/>
    <x v="14"/>
    <s v="RA-09A-2754]ASM CT HEADREST (A+) (VN)"/>
    <n v="134"/>
    <s v=""/>
    <x v="11"/>
    <d v="2026-09-11T00:00:00"/>
    <s v=""/>
    <n v="97938"/>
    <n v="20"/>
    <d v="2026-09-17T00:00:00"/>
    <n v="114"/>
  </r>
  <r>
    <x v="0"/>
    <s v=""/>
    <s v=""/>
    <s v=""/>
    <s v=""/>
    <x v="560"/>
    <s v="RA-09A-2730]ASM COMPONENT SUB-2"/>
    <n v="193"/>
    <s v=""/>
    <x v="33"/>
    <d v="2026-09-18T00:00:00"/>
    <s v=""/>
    <n v="97938"/>
    <n v="20"/>
    <d v="2026-09-17T00:00:00"/>
    <n v="173"/>
  </r>
  <r>
    <x v="0"/>
    <s v=""/>
    <s v=""/>
    <s v=""/>
    <s v=""/>
    <x v="12"/>
    <s v="RA-03A-0315]ASM CAS CLMN LWR (L)"/>
    <n v="219"/>
    <s v=""/>
    <x v="10"/>
    <d v="2026-09-18T00:00:00"/>
    <s v=""/>
    <n v="97938"/>
    <n v="20"/>
    <d v="2026-09-17T00:00:00"/>
    <n v="199"/>
  </r>
  <r>
    <x v="0"/>
    <s v=""/>
    <s v=""/>
    <s v=""/>
    <s v=""/>
    <x v="571"/>
    <s v="RA-5-7]EARTH SHAFT TO WALL"/>
    <n v="220"/>
    <s v=""/>
    <x v="9"/>
    <d v="2026-09-18T00:00:00"/>
    <s v=""/>
    <n v="97938"/>
    <n v="20"/>
    <d v="2026-09-17T00:00:00"/>
    <n v="200"/>
  </r>
  <r>
    <x v="0"/>
    <s v=""/>
    <s v="기초"/>
    <s v=""/>
    <s v=""/>
    <x v="557"/>
    <s v="RA-09M-3440]BLK GUIDE BITE (ST)_REV.C"/>
    <n v="225"/>
    <s v=""/>
    <x v="44"/>
    <d v="2026-09-11T00:00:00"/>
    <s v=""/>
    <n v="97938"/>
    <n v="20"/>
    <d v="2026-09-17T00:00:00"/>
    <n v="205"/>
  </r>
  <r>
    <x v="0"/>
    <s v=""/>
    <s v=""/>
    <s v=""/>
    <s v=""/>
    <x v="15"/>
    <s v="RA-5-6]EARTH SHAFT TO PC"/>
    <n v="229"/>
    <s v=""/>
    <x v="9"/>
    <d v="2026-09-18T00:00:00"/>
    <s v=""/>
    <n v="97938"/>
    <n v="20"/>
    <d v="2026-09-17T00:00:00"/>
    <n v="209"/>
  </r>
  <r>
    <x v="0"/>
    <s v=""/>
    <s v=""/>
    <s v=""/>
    <s v=""/>
    <x v="573"/>
    <s v="RA-09T-0344]KNOB CEPH ADJUST"/>
    <n v="232"/>
    <s v=""/>
    <x v="178"/>
    <d v="2026-09-18T00:00:00"/>
    <s v=""/>
    <n v="97938"/>
    <n v="40"/>
    <d v="2026-09-17T00:00:00"/>
    <n v="192"/>
  </r>
  <r>
    <x v="0"/>
    <s v=""/>
    <s v=""/>
    <s v=""/>
    <s v=""/>
    <x v="569"/>
    <s v="RA-04T-1707]CAS MONITOR DECO"/>
    <n v="320"/>
    <s v=""/>
    <x v="178"/>
    <d v="2026-09-18T00:00:00"/>
    <s v=""/>
    <n v="97938"/>
    <n v="20"/>
    <d v="2026-09-17T00:00:00"/>
    <n v="300"/>
  </r>
  <r>
    <x v="0"/>
    <s v=""/>
    <s v="기초"/>
    <s v=""/>
    <s v=""/>
    <x v="574"/>
    <s v="RA-09M-3441]PIN GUIDE BITE (ST)"/>
    <n v="358"/>
    <s v=""/>
    <x v="44"/>
    <d v="2026-09-11T00:00:00"/>
    <s v=""/>
    <n v="97938"/>
    <n v="40"/>
    <d v="2026-09-17T00:00:00"/>
    <n v="318"/>
  </r>
  <r>
    <x v="0"/>
    <s v=""/>
    <s v=""/>
    <s v=""/>
    <s v=""/>
    <x v="564"/>
    <s v="RA-01T-1791]CAS MAIN Bas REAR"/>
    <n v="418"/>
    <s v=""/>
    <x v="10"/>
    <d v="2026-09-18T00:00:00"/>
    <s v=""/>
    <n v="97938"/>
    <n v="20"/>
    <d v="2026-09-17T00:00:00"/>
    <n v="398"/>
  </r>
  <r>
    <x v="0"/>
    <s v=""/>
    <s v=""/>
    <s v=""/>
    <s v=""/>
    <x v="566"/>
    <s v="RA-03T-0072]CAS CLMN BODY REAR"/>
    <n v="566"/>
    <s v=""/>
    <x v="10"/>
    <d v="2026-09-18T00:00:00"/>
    <s v=""/>
    <n v="97938"/>
    <n v="20"/>
    <d v="2026-09-17T00:00:00"/>
    <n v="546"/>
  </r>
  <r>
    <x v="0"/>
    <s v=""/>
    <s v=""/>
    <s v=""/>
    <s v=""/>
    <x v="562"/>
    <s v="RA-09T-0733]CAS S.W HLDR"/>
    <n v="687"/>
    <s v=""/>
    <x v="178"/>
    <d v="2026-09-18T00:00:00"/>
    <s v=""/>
    <n v="97938"/>
    <n v="20"/>
    <d v="2026-09-17T00:00:00"/>
    <n v="667"/>
  </r>
  <r>
    <x v="0"/>
    <s v=""/>
    <s v="기초"/>
    <s v=""/>
    <s v=""/>
    <x v="96"/>
    <s v="RA-7-13]ADET POWER to SUB(NEW)"/>
    <n v="53"/>
    <s v=""/>
    <x v="71"/>
    <d v="2026-09-08T00:00:00"/>
    <s v=""/>
    <n v="98227"/>
    <n v="22"/>
    <d v="2026-09-15T00:00:00"/>
    <n v="31"/>
  </r>
  <r>
    <x v="0"/>
    <s v=""/>
    <s v="기초"/>
    <s v=""/>
    <s v=""/>
    <x v="200"/>
    <s v="RA-07A-6048]Bd ASSY'-ADET POWER-3D NEW"/>
    <n v="57"/>
    <s v=""/>
    <x v="111"/>
    <d v="2026-09-08T00:00:00"/>
    <s v=""/>
    <n v="98227"/>
    <n v="23"/>
    <d v="2026-09-15T00:00:00"/>
    <n v="34"/>
  </r>
  <r>
    <x v="0"/>
    <s v=""/>
    <s v="기초"/>
    <s v=""/>
    <s v=""/>
    <x v="270"/>
    <s v="RA-09A-1940]ASM REMOTE(α)"/>
    <n v="121"/>
    <s v=""/>
    <x v="133"/>
    <d v="2026-09-08T00:00:00"/>
    <s v=""/>
    <n v="98227"/>
    <n v="24"/>
    <d v="2026-09-15T00:00:00"/>
    <n v="97"/>
  </r>
  <r>
    <x v="0"/>
    <s v=""/>
    <s v="기초"/>
    <s v=""/>
    <s v=""/>
    <x v="475"/>
    <s v="RA-11-33]DET SIGNAL(V)"/>
    <n v="429"/>
    <s v=""/>
    <x v="153"/>
    <d v="2026-09-08T00:00:00"/>
    <s v=""/>
    <n v="98227"/>
    <n v="22"/>
    <d v="2026-09-15T00:00:00"/>
    <n v="407"/>
  </r>
  <r>
    <x v="0"/>
    <s v=""/>
    <s v=""/>
    <s v=""/>
    <s v=""/>
    <x v="605"/>
    <s v="RA-05V-2653]PLT SIDE RIGID FRM ROT Bas"/>
    <n v="20"/>
    <s v=""/>
    <x v="175"/>
    <d v="2026-09-28T00:00:00"/>
    <s v=""/>
    <n v="98249"/>
    <n v="20"/>
    <d v="2026-09-17T00:00:00"/>
    <n v="0"/>
  </r>
  <r>
    <x v="0"/>
    <s v=""/>
    <s v=""/>
    <s v=""/>
    <s v=""/>
    <x v="588"/>
    <s v="RA-05V-0501]BRK ROT CAS-A"/>
    <n v="41"/>
    <s v=""/>
    <x v="15"/>
    <d v="2026-09-28T00:00:00"/>
    <s v=""/>
    <n v="98249"/>
    <n v="40"/>
    <d v="2026-09-17T00:00:00"/>
    <n v="1"/>
  </r>
  <r>
    <x v="0"/>
    <s v=""/>
    <s v="입고"/>
    <s v="A&amp;T"/>
    <s v="조영우"/>
    <x v="24"/>
    <s v="RA-02A-2740]ASM VERT TOTAL (A+) (VN)"/>
    <n v="45"/>
    <s v=""/>
    <x v="20"/>
    <d v="2026-09-16T00:00:00"/>
    <s v=""/>
    <n v="98249"/>
    <n v="15"/>
    <d v="2026-09-17T00:00:00"/>
    <n v="30"/>
  </r>
  <r>
    <x v="0"/>
    <s v=""/>
    <s v="입고"/>
    <s v="MTS"/>
    <s v="유영국"/>
    <x v="605"/>
    <s v="RA-05V-2653]PLT SIDE RIGID FRM ROT Bas"/>
    <n v="50"/>
    <s v=""/>
    <x v="175"/>
    <d v="2026-09-11T00:00:00"/>
    <s v=""/>
    <n v="98249"/>
    <n v="20"/>
    <d v="2026-09-17T00:00:00"/>
    <n v="30"/>
  </r>
  <r>
    <x v="0"/>
    <s v=""/>
    <s v=""/>
    <s v=""/>
    <s v=""/>
    <x v="342"/>
    <s v="RA-10-2]PRIME CABLE ASS’Y"/>
    <n v="96"/>
    <s v=""/>
    <x v="9"/>
    <d v="2026-09-28T00:00:00"/>
    <s v=""/>
    <n v="98249"/>
    <n v="20"/>
    <d v="2026-09-17T00:00:00"/>
    <n v="76"/>
  </r>
  <r>
    <x v="0"/>
    <s v=""/>
    <s v="기초"/>
    <s v=""/>
    <s v=""/>
    <x v="416"/>
    <s v="RA-02V-3286]BRK FIX Y-AXIS (ST)"/>
    <n v="207"/>
    <s v=""/>
    <x v="41"/>
    <d v="2026-09-11T00:00:00"/>
    <s v=""/>
    <n v="98249"/>
    <n v="20"/>
    <d v="2026-09-17T00:00:00"/>
    <n v="187"/>
  </r>
  <r>
    <x v="0"/>
    <s v=""/>
    <s v=""/>
    <s v=""/>
    <s v=""/>
    <x v="428"/>
    <s v="RA-05A-6004]Bd ASSY'-Aux MCU"/>
    <n v="226"/>
    <s v=""/>
    <x v="182"/>
    <d v="2026-08-31T00:00:00"/>
    <s v=""/>
    <n v="98249"/>
    <n v="20"/>
    <d v="2026-09-17T00:00:00"/>
    <n v="206"/>
  </r>
  <r>
    <x v="0"/>
    <s v=""/>
    <s v=""/>
    <s v=""/>
    <s v=""/>
    <x v="410"/>
    <s v="RA-05V-0513]BRK LED PCB"/>
    <n v="245"/>
    <s v=""/>
    <x v="175"/>
    <d v="2026-09-28T00:00:00"/>
    <s v=""/>
    <n v="98249"/>
    <n v="20"/>
    <d v="2026-09-17T00:00:00"/>
    <n v="225"/>
  </r>
  <r>
    <x v="0"/>
    <s v=""/>
    <s v="기초"/>
    <s v=""/>
    <s v=""/>
    <x v="60"/>
    <s v="RA-15-11]Fcol MOT Cable B"/>
    <n v="8"/>
    <s v=""/>
    <x v="47"/>
    <d v="2026-09-11T00:00:00"/>
    <s v=""/>
    <n v="98250"/>
    <n v="2"/>
    <d v="2026-09-17T00:00:00"/>
    <n v="6"/>
  </r>
  <r>
    <x v="0"/>
    <s v=""/>
    <s v="기초"/>
    <s v=""/>
    <s v=""/>
    <x v="397"/>
    <s v="RA-15-8]LED Power Cable"/>
    <n v="9"/>
    <s v=""/>
    <x v="174"/>
    <d v="2026-09-11T00:00:00"/>
    <s v=""/>
    <n v="98250"/>
    <n v="9"/>
    <d v="2026-09-17T00:00:00"/>
    <n v="0"/>
  </r>
  <r>
    <x v="0"/>
    <s v=""/>
    <s v="기초"/>
    <s v=""/>
    <s v=""/>
    <x v="77"/>
    <s v="RA-06M-3317]BLK COL FIX UPPER (ST)"/>
    <n v="39"/>
    <s v=""/>
    <x v="58"/>
    <d v="2026-09-11T00:00:00"/>
    <s v=""/>
    <n v="98250"/>
    <n v="20"/>
    <d v="2026-09-17T00:00:00"/>
    <n v="19"/>
  </r>
  <r>
    <x v="0"/>
    <s v=""/>
    <s v="기초"/>
    <s v=""/>
    <s v=""/>
    <x v="8"/>
    <s v="RA-06M-0243]BLK TUBE TILT LIMIT"/>
    <n v="44"/>
    <s v=""/>
    <x v="7"/>
    <d v="2026-09-11T00:00:00"/>
    <s v=""/>
    <n v="98250"/>
    <n v="40"/>
    <d v="2026-09-17T00:00:00"/>
    <n v="4"/>
  </r>
  <r>
    <x v="0"/>
    <s v=""/>
    <s v="기초"/>
    <s v=""/>
    <s v=""/>
    <x v="206"/>
    <s v="RA-06V-3389]BRK COL Bd (ST)"/>
    <n v="68"/>
    <s v=""/>
    <x v="113"/>
    <d v="2026-09-11T00:00:00"/>
    <s v=""/>
    <n v="98250"/>
    <n v="20"/>
    <d v="2026-09-17T00:00:00"/>
    <n v="48"/>
  </r>
  <r>
    <x v="0"/>
    <s v=""/>
    <s v="기초"/>
    <s v=""/>
    <s v=""/>
    <x v="238"/>
    <s v="RA-07M-3424]BLK STOPPER MICROMTR HEAD(ST"/>
    <n v="77"/>
    <s v=""/>
    <x v="124"/>
    <d v="2026-09-11T00:00:00"/>
    <s v=""/>
    <n v="98250"/>
    <n v="20"/>
    <d v="2026-09-17T00:00:00"/>
    <n v="57"/>
  </r>
  <r>
    <x v="0"/>
    <s v=""/>
    <s v="기초"/>
    <s v=""/>
    <s v=""/>
    <x v="250"/>
    <s v="RA-06A-3314]ASM TUBE TNK SUP (ST)"/>
    <n v="84"/>
    <s v=""/>
    <x v="126"/>
    <d v="2026-09-11T00:00:00"/>
    <s v=""/>
    <n v="98250"/>
    <n v="20"/>
    <d v="2026-09-17T00:00:00"/>
    <n v="64"/>
  </r>
  <r>
    <x v="0"/>
    <s v=""/>
    <s v="기초"/>
    <s v=""/>
    <s v=""/>
    <x v="195"/>
    <s v="RA-11-23]Fcol MOT Cable D"/>
    <n v="115"/>
    <s v=""/>
    <x v="109"/>
    <d v="2026-09-11T00:00:00"/>
    <s v=""/>
    <n v="98250"/>
    <n v="20"/>
    <d v="2026-09-17T00:00:00"/>
    <n v="95"/>
  </r>
  <r>
    <x v="0"/>
    <s v=""/>
    <s v=""/>
    <s v=""/>
    <s v=""/>
    <x v="38"/>
    <s v="RA-5-4]EARTH ROT TO TUBE"/>
    <n v="116"/>
    <s v=""/>
    <x v="30"/>
    <d v="2026-09-18T00:00:00"/>
    <s v=""/>
    <n v="98250"/>
    <n v="20"/>
    <d v="2026-09-17T00:00:00"/>
    <n v="96"/>
  </r>
  <r>
    <x v="0"/>
    <s v=""/>
    <s v="기초"/>
    <s v=""/>
    <s v=""/>
    <x v="213"/>
    <s v="RA-11-2]AUX MCU to FCOL"/>
    <n v="120"/>
    <s v=""/>
    <x v="116"/>
    <d v="2026-09-11T00:00:00"/>
    <s v=""/>
    <n v="98250"/>
    <n v="20"/>
    <d v="2026-09-17T00:00:00"/>
    <n v="100"/>
  </r>
  <r>
    <x v="0"/>
    <s v=""/>
    <s v="기초"/>
    <s v=""/>
    <s v=""/>
    <x v="312"/>
    <s v="RA-15-10]SUB MOT DET(VL)"/>
    <n v="122"/>
    <s v=""/>
    <x v="47"/>
    <d v="2026-09-11T00:00:00"/>
    <s v=""/>
    <n v="98250"/>
    <n v="20"/>
    <d v="2026-09-17T00:00:00"/>
    <n v="102"/>
  </r>
  <r>
    <x v="0"/>
    <s v=""/>
    <s v="기초"/>
    <s v=""/>
    <s v=""/>
    <x v="269"/>
    <s v="RA-06M-3312]BLK TUBE TNK ANGLE (ST)"/>
    <n v="124"/>
    <s v=""/>
    <x v="58"/>
    <d v="2026-09-11T00:00:00"/>
    <s v=""/>
    <n v="98250"/>
    <n v="20"/>
    <d v="2026-09-17T00:00:00"/>
    <n v="104"/>
  </r>
  <r>
    <x v="0"/>
    <s v=""/>
    <s v="기초"/>
    <s v=""/>
    <s v=""/>
    <x v="231"/>
    <s v="RA-11-20]Fcol MOT Cable A"/>
    <n v="127"/>
    <s v=""/>
    <x v="96"/>
    <d v="2026-09-11T00:00:00"/>
    <s v=""/>
    <n v="98250"/>
    <n v="20"/>
    <d v="2026-09-17T00:00:00"/>
    <n v="107"/>
  </r>
  <r>
    <x v="0"/>
    <s v=""/>
    <s v="기초"/>
    <s v=""/>
    <s v=""/>
    <x v="333"/>
    <s v="RA-06M-3319]BLK COL FIX LWR B (ST)"/>
    <n v="130"/>
    <s v=""/>
    <x v="155"/>
    <d v="2026-09-11T00:00:00"/>
    <s v=""/>
    <n v="98250"/>
    <n v="20"/>
    <d v="2026-09-17T00:00:00"/>
    <n v="110"/>
  </r>
  <r>
    <x v="0"/>
    <s v=""/>
    <s v="기초"/>
    <s v=""/>
    <s v=""/>
    <x v="373"/>
    <s v="RA-06M-3316]BLK TUBE SHAFT (ST)"/>
    <n v="156"/>
    <s v=""/>
    <x v="58"/>
    <d v="2026-09-11T00:00:00"/>
    <s v=""/>
    <n v="98250"/>
    <n v="20"/>
    <d v="2026-09-17T00:00:00"/>
    <n v="136"/>
  </r>
  <r>
    <x v="0"/>
    <s v=""/>
    <s v="기초"/>
    <s v=""/>
    <s v=""/>
    <x v="320"/>
    <s v="RA-11-11]DC POWER MOT-C"/>
    <n v="175"/>
    <s v=""/>
    <x v="127"/>
    <d v="2026-09-11T00:00:00"/>
    <s v=""/>
    <n v="98250"/>
    <n v="20"/>
    <d v="2026-09-17T00:00:00"/>
    <n v="155"/>
  </r>
  <r>
    <x v="0"/>
    <s v=""/>
    <s v="기초"/>
    <s v=""/>
    <s v=""/>
    <x v="394"/>
    <s v="RA-06A-2746]SHAFT BRASS COL (ST)"/>
    <n v="176"/>
    <s v=""/>
    <x v="108"/>
    <d v="2026-09-11T00:00:00"/>
    <s v=""/>
    <n v="98250"/>
    <n v="20"/>
    <d v="2026-09-17T00:00:00"/>
    <n v="156"/>
  </r>
  <r>
    <x v="0"/>
    <s v=""/>
    <s v="기초"/>
    <s v=""/>
    <s v=""/>
    <x v="338"/>
    <s v="RA-07S-1668]MICROMTR HEAD (VA)"/>
    <n v="180"/>
    <s v=""/>
    <x v="129"/>
    <d v="2026-09-11T00:00:00"/>
    <s v=""/>
    <n v="98250"/>
    <n v="20"/>
    <d v="2026-09-17T00:00:00"/>
    <n v="160"/>
  </r>
  <r>
    <x v="0"/>
    <s v=""/>
    <s v="기초"/>
    <s v=""/>
    <s v=""/>
    <x v="411"/>
    <s v="RA-07V-3962]CVR DET PCB (MG)"/>
    <n v="199"/>
    <s v=""/>
    <x v="68"/>
    <d v="2026-09-11T00:00:00"/>
    <s v=""/>
    <n v="98250"/>
    <n v="20"/>
    <d v="2026-09-17T00:00:00"/>
    <n v="179"/>
  </r>
  <r>
    <x v="0"/>
    <s v=""/>
    <s v="기초"/>
    <s v=""/>
    <s v=""/>
    <x v="389"/>
    <s v="RA-03S-6009A]A2K_LBM01-370"/>
    <n v="221"/>
    <s v=""/>
    <x v="171"/>
    <d v="2026-09-11T00:00:00"/>
    <s v=""/>
    <n v="98250"/>
    <n v="20"/>
    <d v="2026-09-17T00:00:00"/>
    <n v="201"/>
  </r>
  <r>
    <x v="0"/>
    <s v=""/>
    <s v="기초"/>
    <s v=""/>
    <s v=""/>
    <x v="439"/>
    <s v="RA-07M-3434]BLK MICROMTR HEAD (ST)"/>
    <n v="301"/>
    <s v=""/>
    <x v="124"/>
    <d v="2026-09-11T00:00:00"/>
    <s v=""/>
    <n v="98250"/>
    <n v="20"/>
    <d v="2026-09-17T00:00:00"/>
    <n v="281"/>
  </r>
  <r>
    <x v="0"/>
    <s v=""/>
    <s v="기초"/>
    <s v=""/>
    <s v=""/>
    <x v="458"/>
    <s v="RA-15-12]Fcol MOT Cable C"/>
    <n v="301"/>
    <s v=""/>
    <x v="47"/>
    <d v="2026-09-11T00:00:00"/>
    <s v=""/>
    <n v="98250"/>
    <n v="20"/>
    <d v="2026-09-17T00:00:00"/>
    <n v="281"/>
  </r>
  <r>
    <x v="0"/>
    <s v=""/>
    <s v="기초"/>
    <s v=""/>
    <s v=""/>
    <x v="460"/>
    <s v="RA-06A-6006]Bd ASSY'-Fcol MCU"/>
    <n v="358"/>
    <s v=""/>
    <x v="189"/>
    <d v="2026-09-11T00:00:00"/>
    <s v=""/>
    <n v="98250"/>
    <n v="20"/>
    <d v="2026-09-17T00:00:00"/>
    <n v="338"/>
  </r>
  <r>
    <x v="0"/>
    <s v=""/>
    <s v=""/>
    <s v=""/>
    <s v=""/>
    <x v="462"/>
    <s v="RA-04S-0977]SPRING CEPH AND ARM"/>
    <n v="359"/>
    <s v=""/>
    <x v="117"/>
    <d v="2026-09-09T00:00:00"/>
    <s v=""/>
    <n v="98250"/>
    <n v="20"/>
    <d v="2026-09-17T00:00:00"/>
    <n v="339"/>
  </r>
  <r>
    <x v="0"/>
    <s v=""/>
    <s v="기초"/>
    <s v=""/>
    <s v=""/>
    <x v="1"/>
    <s v="RA-06M-0432]FLANGE TUBE TILT SHAFT B"/>
    <n v="389"/>
    <s v=""/>
    <x v="1"/>
    <d v="2026-09-11T00:00:00"/>
    <s v=""/>
    <n v="98250"/>
    <n v="20"/>
    <d v="2026-09-17T00:00:00"/>
    <n v="369"/>
  </r>
  <r>
    <x v="0"/>
    <s v=""/>
    <s v=""/>
    <s v=""/>
    <s v=""/>
    <x v="435"/>
    <s v="RA-1-8B]AC POWER PFC CONNECT"/>
    <n v="437"/>
    <s v=""/>
    <x v="184"/>
    <d v="2026-09-18T00:00:00"/>
    <s v=""/>
    <n v="98250"/>
    <n v="20"/>
    <d v="2026-09-17T00:00:00"/>
    <n v="417"/>
  </r>
  <r>
    <x v="0"/>
    <s v=""/>
    <s v="기초"/>
    <s v=""/>
    <s v=""/>
    <x v="3"/>
    <s v="RA-06V-0242]BRK TUBE TILT MICRO SW"/>
    <n v="462"/>
    <s v=""/>
    <x v="3"/>
    <d v="2026-09-11T00:00:00"/>
    <s v=""/>
    <n v="98250"/>
    <n v="20"/>
    <d v="2026-09-17T00:00:00"/>
    <n v="442"/>
  </r>
  <r>
    <x v="0"/>
    <s v=""/>
    <s v="기초"/>
    <s v=""/>
    <s v=""/>
    <x v="7"/>
    <s v="RA-06S-5091] DC motor(HDSG56-3448C-615)"/>
    <n v="469"/>
    <s v=""/>
    <x v="6"/>
    <d v="2026-09-11T00:00:00"/>
    <s v=""/>
    <n v="98250"/>
    <n v="20"/>
    <d v="2026-09-17T00:00:00"/>
    <n v="449"/>
  </r>
  <r>
    <x v="0"/>
    <s v=""/>
    <s v="기초"/>
    <s v=""/>
    <s v=""/>
    <x v="5"/>
    <s v="RA-06V-3253]HLDR DC GEARED MOT (M+)"/>
    <n v="499"/>
    <s v=""/>
    <x v="4"/>
    <d v="2026-09-11T00:00:00"/>
    <s v=""/>
    <n v="98250"/>
    <n v="20"/>
    <d v="2026-09-17T00:00:00"/>
    <n v="479"/>
  </r>
  <r>
    <x v="0"/>
    <s v=""/>
    <s v="기초"/>
    <s v=""/>
    <s v=""/>
    <x v="10"/>
    <s v="RA-06S-5018]MICRO SWITCH"/>
    <n v="500"/>
    <s v=""/>
    <x v="8"/>
    <d v="2026-09-11T00:00:00"/>
    <s v=""/>
    <n v="98250"/>
    <n v="40"/>
    <d v="2026-09-17T00:00:00"/>
    <n v="460"/>
  </r>
  <r>
    <x v="0"/>
    <s v=""/>
    <s v=""/>
    <s v=""/>
    <s v=""/>
    <x v="0"/>
    <s v="RA-3-3B]DCM CONTROL-B"/>
    <n v="542"/>
    <s v=""/>
    <x v="0"/>
    <d v="2026-09-09T00:00:00"/>
    <s v=""/>
    <n v="98250"/>
    <n v="20"/>
    <d v="2026-09-17T00:00:00"/>
    <n v="522"/>
  </r>
  <r>
    <x v="0"/>
    <s v=""/>
    <s v="기초"/>
    <s v=""/>
    <s v=""/>
    <x v="9"/>
    <s v="RA-06M-0244]PIN TUBE TILT LIMIT"/>
    <n v="542"/>
    <s v=""/>
    <x v="7"/>
    <d v="2026-09-11T00:00:00"/>
    <s v=""/>
    <n v="98250"/>
    <n v="40"/>
    <d v="2026-09-17T00:00:00"/>
    <n v="502"/>
  </r>
  <r>
    <x v="0"/>
    <s v=""/>
    <s v=""/>
    <s v=""/>
    <s v=""/>
    <x v="421"/>
    <s v="RA-5-5]EARTH ROT TO PFC"/>
    <n v="571"/>
    <s v=""/>
    <x v="30"/>
    <d v="2026-09-18T00:00:00"/>
    <s v=""/>
    <n v="98250"/>
    <n v="20"/>
    <d v="2026-09-17T00:00:00"/>
    <n v="551"/>
  </r>
  <r>
    <x v="0"/>
    <s v=""/>
    <s v="기초"/>
    <s v=""/>
    <s v=""/>
    <x v="2"/>
    <s v="RA-06V-0241]GUIDE TUBE TILT MICRO SW"/>
    <n v="631"/>
    <s v=""/>
    <x v="2"/>
    <d v="2026-09-11T00:00:00"/>
    <s v=""/>
    <n v="98250"/>
    <n v="20"/>
    <d v="2026-09-17T00:00:00"/>
    <n v="611"/>
  </r>
  <r>
    <x v="0"/>
    <s v=""/>
    <s v="기초"/>
    <s v=""/>
    <s v=""/>
    <x v="4"/>
    <s v="RA-06V-0866]BRK TUBE TILT MICRO SW"/>
    <n v="756"/>
    <s v=""/>
    <x v="3"/>
    <d v="2026-09-11T00:00:00"/>
    <s v=""/>
    <n v="98250"/>
    <n v="20"/>
    <d v="2026-09-17T00:00:00"/>
    <n v="736"/>
  </r>
  <r>
    <x v="0"/>
    <s v=""/>
    <s v="기초"/>
    <s v=""/>
    <s v=""/>
    <x v="6"/>
    <s v="RA-06A-5005]Bd ASSY'-DC MOT Bd"/>
    <n v="794"/>
    <s v=""/>
    <x v="5"/>
    <d v="2026-09-11T00:00:00"/>
    <s v=""/>
    <n v="98250"/>
    <n v="20"/>
    <d v="2026-09-17T00:00:00"/>
    <n v="774"/>
  </r>
  <r>
    <x v="0"/>
    <s v=""/>
    <s v=""/>
    <s v=""/>
    <s v=""/>
    <x v="388"/>
    <s v="RA-8-4]AC POWER CEPH"/>
    <n v="28"/>
    <s v=""/>
    <x v="9"/>
    <d v="2026-09-18T00:00:00"/>
    <s v=""/>
    <n v="98251"/>
    <n v="20"/>
    <d v="2026-09-17T00:00:00"/>
    <n v="8"/>
  </r>
  <r>
    <x v="0"/>
    <s v=""/>
    <s v=""/>
    <s v=""/>
    <s v=""/>
    <x v="589"/>
    <s v="RA-05V-2654]BRK CAS ROT BOT"/>
    <n v="39"/>
    <s v=""/>
    <x v="175"/>
    <d v="2026-09-10T00:00:00"/>
    <s v=""/>
    <n v="98251"/>
    <n v="20"/>
    <d v="2026-09-17T00:00:00"/>
    <n v="19"/>
  </r>
  <r>
    <x v="0"/>
    <s v=""/>
    <s v=""/>
    <s v=""/>
    <s v=""/>
    <x v="253"/>
    <s v="RA-04V-1108]BRK ARM RIGID R"/>
    <n v="50"/>
    <s v=""/>
    <x v="128"/>
    <d v="2026-09-18T00:00:00"/>
    <s v=""/>
    <n v="98251"/>
    <n v="20"/>
    <d v="2026-09-17T00:00:00"/>
    <n v="30"/>
  </r>
  <r>
    <x v="0"/>
    <s v=""/>
    <s v=""/>
    <s v=""/>
    <s v=""/>
    <x v="252"/>
    <s v="RA-04V-1109]BRK ARM RIGID L"/>
    <n v="50"/>
    <s v=""/>
    <x v="128"/>
    <d v="2026-09-18T00:00:00"/>
    <s v=""/>
    <n v="98251"/>
    <n v="20"/>
    <d v="2026-09-17T00:00:00"/>
    <n v="30"/>
  </r>
  <r>
    <x v="0"/>
    <s v=""/>
    <s v=""/>
    <s v=""/>
    <s v=""/>
    <x v="473"/>
    <s v="RA-3-6]INDICATOR CONTROL"/>
    <n v="76"/>
    <s v=""/>
    <x v="130"/>
    <d v="2026-09-18T00:00:00"/>
    <s v=""/>
    <n v="98251"/>
    <n v="20"/>
    <d v="2026-09-17T00:00:00"/>
    <n v="56"/>
  </r>
  <r>
    <x v="0"/>
    <s v=""/>
    <s v=""/>
    <s v=""/>
    <s v=""/>
    <x v="466"/>
    <s v="RA-1-5]AC POWER SMPS-1"/>
    <n v="90"/>
    <s v=""/>
    <x v="184"/>
    <d v="2026-09-18T00:00:00"/>
    <s v=""/>
    <n v="98251"/>
    <n v="20"/>
    <d v="2026-09-17T00:00:00"/>
    <n v="70"/>
  </r>
  <r>
    <x v="0"/>
    <s v=""/>
    <s v="기초"/>
    <s v=""/>
    <s v=""/>
    <x v="157"/>
    <s v="RA-11-9]DC POWER MOT-A"/>
    <n v="104"/>
    <s v=""/>
    <x v="9"/>
    <d v="2026-09-11T00:00:00"/>
    <s v=""/>
    <n v="98251"/>
    <n v="20"/>
    <d v="2026-09-17T00:00:00"/>
    <n v="84"/>
  </r>
  <r>
    <x v="0"/>
    <s v=""/>
    <s v=""/>
    <s v=""/>
    <s v=""/>
    <x v="264"/>
    <s v="RA-06A-5004]Bd ASSY'-Indicator Bd"/>
    <n v="118"/>
    <s v=""/>
    <x v="131"/>
    <d v="2026-09-18T00:00:00"/>
    <s v=""/>
    <n v="98251"/>
    <n v="40"/>
    <d v="2026-09-17T00:00:00"/>
    <n v="78"/>
  </r>
  <r>
    <x v="0"/>
    <s v=""/>
    <s v=""/>
    <s v=""/>
    <s v=""/>
    <x v="235"/>
    <s v="RA-7-5]LAN THU"/>
    <n v="146"/>
    <s v=""/>
    <x v="123"/>
    <d v="2026-09-18T00:00:00"/>
    <s v=""/>
    <n v="98251"/>
    <n v="20"/>
    <d v="2026-09-17T00:00:00"/>
    <n v="126"/>
  </r>
  <r>
    <x v="0"/>
    <s v=""/>
    <s v=""/>
    <s v=""/>
    <s v=""/>
    <x v="586"/>
    <s v="RA-1-11]DC POWER HUB"/>
    <n v="155"/>
    <s v=""/>
    <x v="184"/>
    <d v="2026-09-18T00:00:00"/>
    <s v=""/>
    <n v="98251"/>
    <n v="20"/>
    <d v="2026-09-17T00:00:00"/>
    <n v="135"/>
  </r>
  <r>
    <x v="0"/>
    <s v=""/>
    <s v=""/>
    <s v=""/>
    <s v=""/>
    <x v="262"/>
    <s v="RA-3-5]INDICATOR"/>
    <n v="155"/>
    <s v=""/>
    <x v="130"/>
    <d v="2026-09-18T00:00:00"/>
    <s v=""/>
    <n v="98251"/>
    <n v="20"/>
    <d v="2026-09-17T00:00:00"/>
    <n v="135"/>
  </r>
  <r>
    <x v="0"/>
    <s v=""/>
    <s v="기초"/>
    <s v=""/>
    <s v=""/>
    <x v="347"/>
    <s v="RA-07T-1766]BLK DET SNSR"/>
    <n v="164"/>
    <s v=""/>
    <x v="98"/>
    <d v="2026-09-11T00:00:00"/>
    <s v=""/>
    <n v="98251"/>
    <n v="40"/>
    <d v="2026-09-17T00:00:00"/>
    <n v="124"/>
  </r>
  <r>
    <x v="0"/>
    <s v=""/>
    <s v=""/>
    <s v=""/>
    <s v=""/>
    <x v="278"/>
    <s v="RA-9-8]SERIAL POWER LS 1"/>
    <n v="164"/>
    <s v=""/>
    <x v="137"/>
    <d v="2026-09-18T00:00:00"/>
    <s v=""/>
    <n v="98251"/>
    <n v="20"/>
    <d v="2026-09-17T00:00:00"/>
    <n v="144"/>
  </r>
  <r>
    <x v="0"/>
    <s v=""/>
    <s v=""/>
    <s v=""/>
    <s v=""/>
    <x v="299"/>
    <s v="RA-05T-0210]CAS ROT TOP SUB"/>
    <n v="183"/>
    <s v=""/>
    <x v="27"/>
    <d v="2026-09-18T00:00:00"/>
    <s v=""/>
    <n v="98251"/>
    <n v="20"/>
    <d v="2026-09-17T00:00:00"/>
    <n v="163"/>
  </r>
  <r>
    <x v="0"/>
    <s v=""/>
    <s v=""/>
    <s v=""/>
    <s v=""/>
    <x v="296"/>
    <s v="RA-02T-0045]CAS VERT SUB BOT"/>
    <n v="190"/>
    <s v=""/>
    <x v="27"/>
    <d v="2026-09-18T00:00:00"/>
    <s v=""/>
    <n v="98251"/>
    <n v="20"/>
    <d v="2026-09-17T00:00:00"/>
    <n v="170"/>
  </r>
  <r>
    <x v="0"/>
    <s v=""/>
    <s v=""/>
    <s v=""/>
    <s v=""/>
    <x v="535"/>
    <s v="RA-02M-0395]PIN VERT POSITION"/>
    <n v="226"/>
    <s v=""/>
    <x v="185"/>
    <d v="2026-09-22T00:00:00"/>
    <s v=""/>
    <n v="98251"/>
    <n v="40"/>
    <d v="2026-09-17T00:00:00"/>
    <n v="186"/>
  </r>
  <r>
    <x v="0"/>
    <s v=""/>
    <s v=""/>
    <s v=""/>
    <s v=""/>
    <x v="374"/>
    <s v="RA-3-3A]DCM CONTROL-A"/>
    <n v="227"/>
    <s v=""/>
    <x v="9"/>
    <d v="2026-09-18T00:00:00"/>
    <s v=""/>
    <n v="98251"/>
    <n v="20"/>
    <d v="2026-09-17T00:00:00"/>
    <n v="207"/>
  </r>
  <r>
    <x v="0"/>
    <s v=""/>
    <s v=""/>
    <s v=""/>
    <s v=""/>
    <x v="379"/>
    <s v="RA-1-12]DC POWER SMPS CONN"/>
    <n v="230"/>
    <s v=""/>
    <x v="0"/>
    <d v="2026-09-18T00:00:00"/>
    <s v=""/>
    <n v="98251"/>
    <n v="20"/>
    <d v="2026-09-17T00:00:00"/>
    <n v="210"/>
  </r>
  <r>
    <x v="0"/>
    <s v=""/>
    <s v=""/>
    <s v=""/>
    <s v=""/>
    <x v="382"/>
    <s v="RA-2-9]ACT 2nd LIMIT"/>
    <n v="232"/>
    <s v=""/>
    <x v="0"/>
    <d v="2026-09-18T00:00:00"/>
    <s v=""/>
    <n v="98251"/>
    <n v="20"/>
    <d v="2026-09-17T00:00:00"/>
    <n v="212"/>
  </r>
  <r>
    <x v="0"/>
    <s v=""/>
    <s v=""/>
    <s v=""/>
    <s v=""/>
    <x v="395"/>
    <s v="RA-5-8]EARTH CTRL SMPS"/>
    <n v="246"/>
    <s v=""/>
    <x v="30"/>
    <d v="2026-09-18T00:00:00"/>
    <s v=""/>
    <n v="98251"/>
    <n v="20"/>
    <d v="2026-09-17T00:00:00"/>
    <n v="226"/>
  </r>
  <r>
    <x v="0"/>
    <s v=""/>
    <s v=""/>
    <s v=""/>
    <s v=""/>
    <x v="418"/>
    <s v="RA-10-1]AC CABLE ASS’Y"/>
    <n v="250"/>
    <s v=""/>
    <x v="9"/>
    <d v="2026-10-02T00:00:00"/>
    <s v=""/>
    <n v="98251"/>
    <n v="20"/>
    <d v="2026-10-02T00:00:00"/>
    <n v="230"/>
  </r>
  <r>
    <x v="0"/>
    <s v=""/>
    <s v=""/>
    <s v=""/>
    <s v=""/>
    <x v="403"/>
    <s v="RA-2-4]SERIAL POWER THU"/>
    <n v="258"/>
    <s v=""/>
    <x v="0"/>
    <d v="2026-09-18T00:00:00"/>
    <s v=""/>
    <n v="98251"/>
    <n v="20"/>
    <d v="2026-09-17T00:00:00"/>
    <n v="238"/>
  </r>
  <r>
    <x v="0"/>
    <s v=""/>
    <s v=""/>
    <s v=""/>
    <s v=""/>
    <x v="445"/>
    <s v="RA-05V-0199]BRK PXD-200CT DRV PCB R"/>
    <n v="344"/>
    <s v=""/>
    <x v="186"/>
    <d v="2026-09-18T00:00:00"/>
    <s v=""/>
    <n v="98251"/>
    <n v="20"/>
    <d v="2026-09-17T00:00:00"/>
    <n v="324"/>
  </r>
  <r>
    <x v="0"/>
    <s v=""/>
    <s v=""/>
    <s v=""/>
    <s v=""/>
    <x v="451"/>
    <s v="RA-05V-0297]BRK PXD-200CT DRV PCB L"/>
    <n v="349"/>
    <s v=""/>
    <x v="186"/>
    <d v="2026-09-18T00:00:00"/>
    <s v=""/>
    <n v="98251"/>
    <n v="20"/>
    <d v="2026-09-17T00:00:00"/>
    <n v="329"/>
  </r>
  <r>
    <x v="0"/>
    <s v=""/>
    <s v=""/>
    <s v=""/>
    <s v=""/>
    <x v="455"/>
    <s v="RA-5-10]EARTH MOT SMPS(RPS)"/>
    <n v="355"/>
    <s v=""/>
    <x v="30"/>
    <d v="2026-09-18T00:00:00"/>
    <s v=""/>
    <n v="98251"/>
    <n v="20"/>
    <d v="2026-09-17T00:00:00"/>
    <n v="335"/>
  </r>
  <r>
    <x v="0"/>
    <s v=""/>
    <s v="기초"/>
    <s v=""/>
    <s v=""/>
    <x v="487"/>
    <s v="RA-04T-2524]CAS CHINREST UPPER (A+)"/>
    <n v="534"/>
    <s v=""/>
    <x v="27"/>
    <d v="2026-09-11T00:00:00"/>
    <s v=""/>
    <n v="98251"/>
    <n v="20"/>
    <d v="2026-09-17T00:00:00"/>
    <n v="514"/>
  </r>
  <r>
    <x v="0"/>
    <s v=""/>
    <s v="입고"/>
    <s v="MTS"/>
    <s v="유영국"/>
    <x v="550"/>
    <s v="RA-05V-2559]CVR SUB MCU"/>
    <n v="50"/>
    <s v=""/>
    <x v="214"/>
    <d v="2026-09-11T00:00:00"/>
    <s v=""/>
    <n v="98252"/>
    <n v="20"/>
    <d v="2026-09-17T00:00:00"/>
    <n v="30"/>
  </r>
  <r>
    <x v="0"/>
    <s v=""/>
    <s v=""/>
    <s v=""/>
    <s v=""/>
    <x v="551"/>
    <s v="RA-09V-3433]PLT LIGHT PHNT (ST)"/>
    <n v="54"/>
    <s v=""/>
    <x v="215"/>
    <d v="2026-09-15T00:00:00"/>
    <s v=""/>
    <n v="98252"/>
    <n v="20"/>
    <d v="2026-09-17T00:00:00"/>
    <n v="34"/>
  </r>
  <r>
    <x v="0"/>
    <s v=""/>
    <s v=""/>
    <s v=""/>
    <s v=""/>
    <x v="552"/>
    <s v="RA-03A-0287]ASM LEVER HORIZONTAL LASER"/>
    <n v="108"/>
    <s v=""/>
    <x v="150"/>
    <d v="2026-09-15T00:00:00"/>
    <s v=""/>
    <n v="98252"/>
    <n v="20"/>
    <d v="2026-09-17T00:00:00"/>
    <n v="88"/>
  </r>
  <r>
    <x v="0"/>
    <s v=""/>
    <s v=""/>
    <s v=""/>
    <s v=""/>
    <x v="553"/>
    <s v="RA-7-3]LAN PC"/>
    <n v="191"/>
    <s v=""/>
    <x v="9"/>
    <d v="2026-09-15T00:00:00"/>
    <s v=""/>
    <n v="98252"/>
    <n v="20"/>
    <d v="2026-09-17T00:00:00"/>
    <n v="171"/>
  </r>
  <r>
    <x v="0"/>
    <s v=""/>
    <s v=""/>
    <s v=""/>
    <s v=""/>
    <x v="606"/>
    <s v="RA-05V-0186]BRK CAS ROT TOP"/>
    <n v="261"/>
    <s v=""/>
    <x v="15"/>
    <d v="2026-09-15T00:00:00"/>
    <s v=""/>
    <n v="98252"/>
    <n v="60"/>
    <d v="2026-09-17T00:00:00"/>
    <n v="201"/>
  </r>
  <r>
    <x v="0"/>
    <s v=""/>
    <s v=""/>
    <s v=""/>
    <s v=""/>
    <x v="554"/>
    <s v="RA-04T-0144]CAS CHINREST BOT"/>
    <n v="286"/>
    <s v=""/>
    <x v="27"/>
    <d v="2026-09-15T00:00:00"/>
    <s v=""/>
    <n v="98252"/>
    <n v="20"/>
    <d v="2026-09-17T00:00:00"/>
    <n v="266"/>
  </r>
  <r>
    <x v="0"/>
    <s v=""/>
    <s v=""/>
    <s v=""/>
    <s v=""/>
    <x v="555"/>
    <s v="RA-05T-0207]CAS ROT BOT DECO"/>
    <n v="438"/>
    <s v=""/>
    <x v="178"/>
    <d v="2026-09-15T00:00:00"/>
    <s v=""/>
    <n v="98252"/>
    <n v="20"/>
    <d v="2026-09-17T00:00:00"/>
    <n v="418"/>
  </r>
  <r>
    <x v="0"/>
    <s v=""/>
    <s v=""/>
    <s v=""/>
    <s v=""/>
    <x v="24"/>
    <s v="RA-02A-2740]ASM VERT TOTAL (A+) (VN)"/>
    <n v="15"/>
    <s v=""/>
    <x v="20"/>
    <d v="2026-10-07T00:00:00"/>
    <s v=""/>
    <n v="98646"/>
    <n v="15"/>
    <d v="2026-09-29T00:00:00"/>
    <n v="0"/>
  </r>
  <r>
    <x v="0"/>
    <s v=""/>
    <s v="기초"/>
    <s v=""/>
    <s v=""/>
    <x v="605"/>
    <s v="RA-05V-2653]PLT SIDE RIGID FRM ROT Bas"/>
    <n v="30"/>
    <s v=""/>
    <x v="175"/>
    <d v="2026-09-08T00:00:00"/>
    <s v=""/>
    <n v="98646"/>
    <n v="10"/>
    <d v="2026-09-28T00:00:00"/>
    <n v="20"/>
  </r>
  <r>
    <x v="0"/>
    <s v=""/>
    <s v="입고"/>
    <s v="A&amp;T"/>
    <s v="장동은"/>
    <x v="24"/>
    <s v="RA-02A-2740]ASM VERT TOTAL (A+) (VN)"/>
    <n v="40"/>
    <s v=""/>
    <x v="20"/>
    <d v="2026-10-06T00:00:00"/>
    <s v=""/>
    <n v="98646"/>
    <n v="15"/>
    <d v="2026-10-07T00:00:00"/>
    <n v="25"/>
  </r>
  <r>
    <x v="0"/>
    <s v=""/>
    <s v=""/>
    <s v=""/>
    <s v=""/>
    <x v="428"/>
    <s v="RA-05A-6004]Bd ASSY'-Aux MCU"/>
    <n v="46"/>
    <s v=""/>
    <x v="182"/>
    <d v="2026-09-09T00:00:00"/>
    <s v=""/>
    <n v="98646"/>
    <n v="30"/>
    <d v="2026-09-28T00:00:00"/>
    <n v="16"/>
  </r>
  <r>
    <x v="0"/>
    <s v=""/>
    <s v="입고"/>
    <s v="MTS"/>
    <s v="유영국"/>
    <x v="605"/>
    <s v="RA-05V-2653]PLT SIDE RIGID FRM ROT Bas"/>
    <n v="50"/>
    <s v=""/>
    <x v="175"/>
    <d v="2026-10-06T00:00:00"/>
    <s v=""/>
    <n v="98646"/>
    <n v="50"/>
    <d v="2026-10-06T00:00:00"/>
    <n v="0"/>
  </r>
  <r>
    <x v="0"/>
    <s v=""/>
    <s v=""/>
    <s v=""/>
    <s v=""/>
    <x v="588"/>
    <s v="RA-05V-0501]BRK ROT CAS-A"/>
    <n v="101"/>
    <s v=""/>
    <x v="15"/>
    <d v="2026-09-18T00:00:00"/>
    <s v=""/>
    <n v="98646"/>
    <n v="60"/>
    <d v="2026-09-28T00:00:00"/>
    <n v="41"/>
  </r>
  <r>
    <x v="0"/>
    <s v=""/>
    <s v=""/>
    <s v=""/>
    <s v=""/>
    <x v="342"/>
    <s v="RA-10-2]PRIME CABLE ASS’Y"/>
    <n v="126"/>
    <s v=""/>
    <x v="9"/>
    <d v="2026-09-11T00:00:00"/>
    <s v=""/>
    <n v="98646"/>
    <n v="30"/>
    <d v="2026-09-28T00:00:00"/>
    <n v="96"/>
  </r>
  <r>
    <x v="0"/>
    <s v=""/>
    <s v=""/>
    <s v=""/>
    <s v=""/>
    <x v="410"/>
    <s v="RA-05V-0513]BRK LED PCB"/>
    <n v="275"/>
    <s v=""/>
    <x v="175"/>
    <d v="2026-09-08T00:00:00"/>
    <s v=""/>
    <n v="98646"/>
    <n v="30"/>
    <d v="2026-09-28T00:00:00"/>
    <n v="245"/>
  </r>
  <r>
    <x v="0"/>
    <s v=""/>
    <s v=""/>
    <s v=""/>
    <s v=""/>
    <x v="331"/>
    <s v="RA-11-34_2]SUB MOT DET(V)"/>
    <n v="352"/>
    <s v=""/>
    <x v="153"/>
    <d v="2026-09-08T00:00:00"/>
    <s v=""/>
    <n v="98646"/>
    <n v="30"/>
    <d v="2026-09-28T00:00:00"/>
    <n v="322"/>
  </r>
  <r>
    <x v="0"/>
    <s v=""/>
    <s v=""/>
    <s v=""/>
    <s v=""/>
    <x v="8"/>
    <s v="RA-06M-0243]BLK TUBE TILT LIMIT"/>
    <n v="4"/>
    <s v=""/>
    <x v="7"/>
    <d v="2026-09-17T00:00:00"/>
    <s v=""/>
    <n v="98647"/>
    <n v="4"/>
    <d v="2026-09-29T00:00:00"/>
    <n v="0"/>
  </r>
  <r>
    <x v="0"/>
    <s v=""/>
    <s v="기초"/>
    <s v=""/>
    <s v=""/>
    <x v="281"/>
    <s v="RA-07V-1661]BRK PHOtSNSR (VA)"/>
    <n v="16"/>
    <s v=""/>
    <x v="139"/>
    <d v="2026-09-11T00:00:00"/>
    <s v=""/>
    <n v="98647"/>
    <n v="16"/>
    <d v="2026-09-29T00:00:00"/>
    <n v="0"/>
  </r>
  <r>
    <x v="0"/>
    <s v=""/>
    <s v="기초"/>
    <s v=""/>
    <s v=""/>
    <x v="63"/>
    <s v="RA-06A-2761]ASM COL MOVING (A+) (VN)"/>
    <n v="35"/>
    <s v=""/>
    <x v="25"/>
    <d v="2026-09-11T00:00:00"/>
    <s v=""/>
    <n v="98647"/>
    <n v="30"/>
    <d v="2026-09-29T00:00:00"/>
    <n v="5"/>
  </r>
  <r>
    <x v="0"/>
    <s v=""/>
    <s v="기초"/>
    <s v=""/>
    <s v=""/>
    <x v="607"/>
    <s v="RA-07V-2788]BRK CAS DET LWR (IR)"/>
    <n v="43"/>
    <s v=""/>
    <x v="139"/>
    <d v="2026-09-11T00:00:00"/>
    <s v=""/>
    <n v="98647"/>
    <n v="30"/>
    <d v="2026-09-29T00:00:00"/>
    <n v="13"/>
  </r>
  <r>
    <x v="0"/>
    <s v=""/>
    <s v="기초"/>
    <s v=""/>
    <s v=""/>
    <x v="375"/>
    <s v="RA-11-22]Fcol MOT Cable C"/>
    <n v="50"/>
    <s v=""/>
    <x v="109"/>
    <d v="2026-09-11T00:00:00"/>
    <s v=""/>
    <n v="98647"/>
    <n v="30"/>
    <d v="2026-09-29T00:00:00"/>
    <n v="20"/>
  </r>
  <r>
    <x v="0"/>
    <s v=""/>
    <s v="기초"/>
    <s v=""/>
    <s v=""/>
    <x v="380"/>
    <s v="RA-11-21]Fcol MOT Cable B"/>
    <n v="52"/>
    <s v=""/>
    <x v="96"/>
    <d v="2026-09-11T00:00:00"/>
    <s v=""/>
    <n v="98647"/>
    <n v="30"/>
    <d v="2026-09-29T00:00:00"/>
    <n v="22"/>
  </r>
  <r>
    <x v="0"/>
    <s v=""/>
    <s v="기초"/>
    <s v=""/>
    <s v=""/>
    <x v="103"/>
    <s v="RA-07V-2789]PLT WEIGHT DET (IR)"/>
    <n v="63"/>
    <s v=""/>
    <x v="73"/>
    <d v="2026-09-11T00:00:00"/>
    <s v=""/>
    <n v="98647"/>
    <n v="30"/>
    <d v="2026-09-29T00:00:00"/>
    <n v="33"/>
  </r>
  <r>
    <x v="0"/>
    <s v=""/>
    <s v="기초"/>
    <s v=""/>
    <s v=""/>
    <x v="165"/>
    <s v="RA-11-19]LED Power Cable"/>
    <n v="75"/>
    <s v=""/>
    <x v="96"/>
    <d v="2026-09-11T00:00:00"/>
    <s v=""/>
    <n v="98647"/>
    <n v="30"/>
    <d v="2026-09-29T00:00:00"/>
    <n v="45"/>
  </r>
  <r>
    <x v="0"/>
    <s v=""/>
    <s v=""/>
    <s v=""/>
    <s v=""/>
    <x v="38"/>
    <s v="RA-5-4]EARTH ROT TO TUBE"/>
    <n v="76"/>
    <s v=""/>
    <x v="30"/>
    <d v="2026-09-15T00:00:00"/>
    <s v=""/>
    <n v="98647"/>
    <n v="30"/>
    <d v="2026-09-29T00:00:00"/>
    <n v="46"/>
  </r>
  <r>
    <x v="0"/>
    <s v=""/>
    <s v="기초"/>
    <s v=""/>
    <s v=""/>
    <x v="197"/>
    <s v="RA-07V-2781]PLT Bas DET (IR)"/>
    <n v="85"/>
    <s v=""/>
    <x v="11"/>
    <d v="2026-09-11T00:00:00"/>
    <s v=""/>
    <n v="98647"/>
    <n v="30"/>
    <d v="2026-09-29T00:00:00"/>
    <n v="55"/>
  </r>
  <r>
    <x v="0"/>
    <s v=""/>
    <s v=""/>
    <s v=""/>
    <s v=""/>
    <x v="72"/>
    <s v="RA-06M-0520]HEATSINK"/>
    <n v="90"/>
    <s v=""/>
    <x v="55"/>
    <d v="2026-09-15T00:00:00"/>
    <s v=""/>
    <n v="98647"/>
    <n v="30"/>
    <d v="2026-09-29T00:00:00"/>
    <n v="60"/>
  </r>
  <r>
    <x v="0"/>
    <s v=""/>
    <s v=""/>
    <s v=""/>
    <s v=""/>
    <x v="195"/>
    <s v="RA-11-23]Fcol MOT Cable D"/>
    <n v="95"/>
    <s v=""/>
    <x v="109"/>
    <d v="2026-09-17T00:00:00"/>
    <s v=""/>
    <n v="98647"/>
    <n v="30"/>
    <d v="2026-09-29T00:00:00"/>
    <n v="65"/>
  </r>
  <r>
    <x v="0"/>
    <s v=""/>
    <s v="기초"/>
    <s v=""/>
    <s v=""/>
    <x v="39"/>
    <s v="RA-06A-2139]ASM BRK FAN SUP (A+)"/>
    <n v="97"/>
    <s v=""/>
    <x v="31"/>
    <d v="2026-09-11T00:00:00"/>
    <s v=""/>
    <n v="98647"/>
    <n v="30"/>
    <d v="2026-09-29T00:00:00"/>
    <n v="67"/>
  </r>
  <r>
    <x v="0"/>
    <s v=""/>
    <s v="기초"/>
    <s v=""/>
    <s v=""/>
    <x v="254"/>
    <s v="RA-07S-1653]LM SET(MGN9C-2-240) (VA)"/>
    <n v="100"/>
    <s v=""/>
    <x v="129"/>
    <d v="2026-09-11T00:00:00"/>
    <s v=""/>
    <n v="98647"/>
    <n v="30"/>
    <d v="2026-09-29T00:00:00"/>
    <n v="70"/>
  </r>
  <r>
    <x v="0"/>
    <s v=""/>
    <s v=""/>
    <s v=""/>
    <s v=""/>
    <x v="213"/>
    <s v="RA-11-2]AUX MCU to FCOL"/>
    <n v="100"/>
    <s v=""/>
    <x v="116"/>
    <d v="2026-09-17T00:00:00"/>
    <s v=""/>
    <n v="98647"/>
    <n v="30"/>
    <d v="2026-09-29T00:00:00"/>
    <n v="70"/>
  </r>
  <r>
    <x v="0"/>
    <s v=""/>
    <s v="입고"/>
    <s v="우주정공"/>
    <s v="조영우"/>
    <x v="281"/>
    <s v="RA-07V-1661]BRK PHOtSNSR (VA)"/>
    <n v="100"/>
    <s v=""/>
    <x v="139"/>
    <d v="2026-09-28T00:00:00"/>
    <s v=""/>
    <n v="98647"/>
    <n v="14"/>
    <d v="2026-09-29T00:00:00"/>
    <n v="86"/>
  </r>
  <r>
    <x v="0"/>
    <s v=""/>
    <s v=""/>
    <s v=""/>
    <s v=""/>
    <x v="231"/>
    <s v="RA-11-20]Fcol MOT Cable A"/>
    <n v="107"/>
    <s v=""/>
    <x v="96"/>
    <d v="2026-09-17T00:00:00"/>
    <s v=""/>
    <n v="98647"/>
    <n v="30"/>
    <d v="2026-09-29T00:00:00"/>
    <n v="77"/>
  </r>
  <r>
    <x v="0"/>
    <s v=""/>
    <s v=""/>
    <s v=""/>
    <s v=""/>
    <x v="8"/>
    <s v="RA-06M-0243]BLK TUBE TILT LIMIT"/>
    <n v="130"/>
    <s v=""/>
    <x v="7"/>
    <d v="2026-09-30T00:00:00"/>
    <s v=""/>
    <n v="98647"/>
    <n v="4"/>
    <d v="2026-09-30T00:00:00"/>
    <n v="126"/>
  </r>
  <r>
    <x v="0"/>
    <s v=""/>
    <s v="기초"/>
    <s v=""/>
    <s v=""/>
    <x v="313"/>
    <s v="RA-06A-2143]ASM TUBE TNK SUP (A+)"/>
    <n v="142"/>
    <s v=""/>
    <x v="126"/>
    <d v="2026-09-11T00:00:00"/>
    <s v=""/>
    <n v="98647"/>
    <n v="30"/>
    <d v="2026-09-29T00:00:00"/>
    <n v="112"/>
  </r>
  <r>
    <x v="0"/>
    <s v=""/>
    <s v="기초"/>
    <s v=""/>
    <s v=""/>
    <x v="328"/>
    <s v="RA-06V-2142]BRK TUBE CAS (A+)"/>
    <n v="148"/>
    <s v=""/>
    <x v="7"/>
    <d v="2026-09-11T00:00:00"/>
    <s v=""/>
    <n v="98647"/>
    <n v="30"/>
    <d v="2026-09-29T00:00:00"/>
    <n v="118"/>
  </r>
  <r>
    <x v="0"/>
    <s v=""/>
    <s v="기초"/>
    <s v=""/>
    <s v=""/>
    <x v="339"/>
    <s v="RA-07V-2791]CVR DET PCB (IR)"/>
    <n v="150"/>
    <s v=""/>
    <x v="157"/>
    <d v="2026-09-14T00:00:00"/>
    <s v=""/>
    <n v="98647"/>
    <n v="30"/>
    <d v="2026-09-29T00:00:00"/>
    <n v="120"/>
  </r>
  <r>
    <x v="0"/>
    <s v=""/>
    <s v="기초"/>
    <s v=""/>
    <s v=""/>
    <x v="340"/>
    <s v="RA-07V-2790]PLT SPACER DET (IR)"/>
    <n v="150"/>
    <s v=""/>
    <x v="157"/>
    <d v="2026-09-14T00:00:00"/>
    <s v=""/>
    <n v="98647"/>
    <n v="30"/>
    <d v="2026-09-29T00:00:00"/>
    <n v="120"/>
  </r>
  <r>
    <x v="0"/>
    <s v=""/>
    <s v=""/>
    <s v=""/>
    <s v=""/>
    <x v="320"/>
    <s v="RA-11-11]DC POWER MOT-C"/>
    <n v="155"/>
    <s v=""/>
    <x v="127"/>
    <d v="2026-09-17T00:00:00"/>
    <s v=""/>
    <n v="98647"/>
    <n v="30"/>
    <d v="2026-09-29T00:00:00"/>
    <n v="125"/>
  </r>
  <r>
    <x v="0"/>
    <s v=""/>
    <s v=""/>
    <s v=""/>
    <s v=""/>
    <x v="338"/>
    <s v="RA-07S-1668]MICROMTR HEAD (VA)"/>
    <n v="160"/>
    <s v=""/>
    <x v="129"/>
    <d v="2026-09-17T00:00:00"/>
    <s v=""/>
    <n v="98647"/>
    <n v="30"/>
    <d v="2026-09-29T00:00:00"/>
    <n v="130"/>
  </r>
  <r>
    <x v="0"/>
    <s v=""/>
    <s v="기초"/>
    <s v=""/>
    <s v=""/>
    <x v="358"/>
    <s v="RA-07M-1666]BLK STOPPER MICROMTR HEAD(VA"/>
    <n v="164"/>
    <s v=""/>
    <x v="158"/>
    <d v="2026-09-11T00:00:00"/>
    <s v=""/>
    <n v="98647"/>
    <n v="30"/>
    <d v="2026-09-29T00:00:00"/>
    <n v="134"/>
  </r>
  <r>
    <x v="0"/>
    <s v=""/>
    <s v="기초"/>
    <s v=""/>
    <s v=""/>
    <x v="360"/>
    <s v="RA-07V-2782]CVR DET MOT LINKER (IR)"/>
    <n v="165"/>
    <s v=""/>
    <x v="139"/>
    <d v="2026-09-11T00:00:00"/>
    <s v=""/>
    <n v="98647"/>
    <n v="30"/>
    <d v="2026-09-29T00:00:00"/>
    <n v="135"/>
  </r>
  <r>
    <x v="0"/>
    <s v=""/>
    <s v="기초"/>
    <s v=""/>
    <s v=""/>
    <x v="368"/>
    <s v="RA-06M-2085]BLK FIX COL LWR(A+)"/>
    <n v="169"/>
    <s v=""/>
    <x v="4"/>
    <d v="2026-09-11T00:00:00"/>
    <s v=""/>
    <n v="98647"/>
    <n v="30"/>
    <d v="2026-09-29T00:00:00"/>
    <n v="139"/>
  </r>
  <r>
    <x v="0"/>
    <s v=""/>
    <s v="기초"/>
    <s v=""/>
    <s v=""/>
    <x v="401"/>
    <s v="RS-02S-5135]PHOtSNSR-EE-SX671A"/>
    <n v="200"/>
    <s v=""/>
    <x v="8"/>
    <d v="2026-09-11T00:00:00"/>
    <s v=""/>
    <n v="98647"/>
    <n v="30"/>
    <d v="2026-09-29T00:00:00"/>
    <n v="170"/>
  </r>
  <r>
    <x v="0"/>
    <s v=""/>
    <s v="기초"/>
    <s v=""/>
    <s v=""/>
    <x v="341"/>
    <s v="RA-07M-1655]COL B-Ring GUIDE (VA)"/>
    <n v="200"/>
    <s v=""/>
    <x v="158"/>
    <d v="2026-09-11T00:00:00"/>
    <s v=""/>
    <n v="98647"/>
    <n v="60"/>
    <d v="2026-09-29T00:00:00"/>
    <n v="140"/>
  </r>
  <r>
    <x v="0"/>
    <s v=""/>
    <s v="기초"/>
    <s v=""/>
    <s v=""/>
    <x v="349"/>
    <s v="RA-07A-1777]ASM SCREW MOVING DET (VA)"/>
    <n v="200"/>
    <s v=""/>
    <x v="67"/>
    <d v="2026-09-11T00:00:00"/>
    <s v=""/>
    <n v="98647"/>
    <n v="30"/>
    <d v="2026-09-29T00:00:00"/>
    <n v="170"/>
  </r>
  <r>
    <x v="0"/>
    <s v=""/>
    <s v="기초"/>
    <s v=""/>
    <s v=""/>
    <x v="400"/>
    <s v="RA-07V-2787]BRK DET PCB (IR)"/>
    <n v="200"/>
    <s v=""/>
    <x v="139"/>
    <d v="2026-09-11T00:00:00"/>
    <s v=""/>
    <n v="98647"/>
    <n v="30"/>
    <d v="2026-09-29T00:00:00"/>
    <n v="170"/>
  </r>
  <r>
    <x v="0"/>
    <s v=""/>
    <s v=""/>
    <s v=""/>
    <s v=""/>
    <x v="389"/>
    <s v="RA-03S-6009A]A2K_LBM01-370"/>
    <n v="201"/>
    <s v=""/>
    <x v="171"/>
    <d v="2026-09-17T00:00:00"/>
    <s v=""/>
    <n v="98647"/>
    <n v="30"/>
    <d v="2026-09-29T00:00:00"/>
    <n v="171"/>
  </r>
  <r>
    <x v="0"/>
    <s v=""/>
    <s v="기초"/>
    <s v=""/>
    <s v=""/>
    <x v="405"/>
    <s v="RA-07S-1654]LM RAIL SET (MGN9C-125L (VA)"/>
    <n v="211"/>
    <s v=""/>
    <x v="67"/>
    <d v="2026-09-11T00:00:00"/>
    <s v=""/>
    <n v="98647"/>
    <n v="30"/>
    <d v="2026-09-29T00:00:00"/>
    <n v="181"/>
  </r>
  <r>
    <x v="0"/>
    <s v=""/>
    <s v="기초"/>
    <s v=""/>
    <s v=""/>
    <x v="409"/>
    <s v="RA-06M-2084]BLK FIX COL UPPER(A+)"/>
    <n v="214"/>
    <s v=""/>
    <x v="4"/>
    <d v="2026-09-11T00:00:00"/>
    <s v=""/>
    <n v="98647"/>
    <n v="30"/>
    <d v="2026-09-29T00:00:00"/>
    <n v="184"/>
  </r>
  <r>
    <x v="0"/>
    <s v=""/>
    <s v="기초"/>
    <s v=""/>
    <s v=""/>
    <x v="407"/>
    <s v="RA-06V-2138]BRK COL Bd (A+)"/>
    <n v="214"/>
    <s v=""/>
    <x v="168"/>
    <d v="2026-09-11T00:00:00"/>
    <s v=""/>
    <n v="98647"/>
    <n v="30"/>
    <d v="2026-09-29T00:00:00"/>
    <n v="184"/>
  </r>
  <r>
    <x v="0"/>
    <s v=""/>
    <s v="기초"/>
    <s v=""/>
    <s v=""/>
    <x v="417"/>
    <s v="RA-06V-2140]BRK TUBE CAS FRONT (A+)"/>
    <n v="227"/>
    <s v=""/>
    <x v="149"/>
    <d v="2026-09-11T00:00:00"/>
    <s v=""/>
    <n v="98647"/>
    <n v="30"/>
    <d v="2026-09-29T00:00:00"/>
    <n v="197"/>
  </r>
  <r>
    <x v="0"/>
    <s v=""/>
    <s v="기초"/>
    <s v=""/>
    <s v=""/>
    <x v="429"/>
    <s v="RA-07V-2784]PLT FIX DET (IR)"/>
    <n v="243"/>
    <s v=""/>
    <x v="73"/>
    <d v="2026-09-11T00:00:00"/>
    <s v=""/>
    <n v="98647"/>
    <n v="30"/>
    <d v="2026-09-29T00:00:00"/>
    <n v="213"/>
  </r>
  <r>
    <x v="0"/>
    <s v=""/>
    <s v="기초"/>
    <s v=""/>
    <s v=""/>
    <x v="432"/>
    <s v="RA-06S-0214]COUPLING DISK"/>
    <n v="251"/>
    <s v=""/>
    <x v="114"/>
    <d v="2026-09-11T00:00:00"/>
    <s v=""/>
    <n v="98647"/>
    <n v="30"/>
    <d v="2026-09-29T00:00:00"/>
    <n v="221"/>
  </r>
  <r>
    <x v="0"/>
    <s v=""/>
    <s v="기초"/>
    <s v=""/>
    <s v=""/>
    <x v="438"/>
    <s v="RA-06V-2141]BRK TUBE CAS REAR (A+)"/>
    <n v="270"/>
    <s v=""/>
    <x v="149"/>
    <d v="2026-09-11T00:00:00"/>
    <s v=""/>
    <n v="98647"/>
    <n v="30"/>
    <d v="2026-09-29T00:00:00"/>
    <n v="240"/>
  </r>
  <r>
    <x v="0"/>
    <s v=""/>
    <s v="기초"/>
    <s v=""/>
    <s v=""/>
    <x v="440"/>
    <s v="RA-07V-2785]PLT ADJUST DET (IR)"/>
    <n v="273"/>
    <s v=""/>
    <x v="73"/>
    <d v="2026-09-11T00:00:00"/>
    <s v=""/>
    <n v="98647"/>
    <n v="30"/>
    <d v="2026-09-29T00:00:00"/>
    <n v="243"/>
  </r>
  <r>
    <x v="0"/>
    <s v=""/>
    <s v="기초"/>
    <s v=""/>
    <s v=""/>
    <x v="442"/>
    <s v="RA-06A-2745]SHAFT BRASS COL (A+) (VN)"/>
    <n v="274"/>
    <s v=""/>
    <x v="108"/>
    <d v="2026-09-11T00:00:00"/>
    <s v=""/>
    <n v="98647"/>
    <n v="30"/>
    <d v="2026-09-29T00:00:00"/>
    <n v="244"/>
  </r>
  <r>
    <x v="0"/>
    <s v=""/>
    <s v=""/>
    <s v=""/>
    <s v=""/>
    <x v="439"/>
    <s v="RA-07M-3434]BLK MICROMTR HEAD (ST)"/>
    <n v="281"/>
    <s v=""/>
    <x v="124"/>
    <d v="2026-09-17T00:00:00"/>
    <s v=""/>
    <n v="98647"/>
    <n v="30"/>
    <d v="2026-09-29T00:00:00"/>
    <n v="251"/>
  </r>
  <r>
    <x v="0"/>
    <s v=""/>
    <s v="기초"/>
    <s v=""/>
    <s v=""/>
    <x v="454"/>
    <s v="RA-07M-2783]BLK MOT HOUSING (IR)"/>
    <n v="297"/>
    <s v=""/>
    <x v="158"/>
    <d v="2026-09-11T00:00:00"/>
    <s v=""/>
    <n v="98647"/>
    <n v="30"/>
    <d v="2026-09-29T00:00:00"/>
    <n v="267"/>
  </r>
  <r>
    <x v="0"/>
    <s v=""/>
    <s v="기초"/>
    <s v=""/>
    <s v=""/>
    <x v="457"/>
    <s v="RA-07V-1669]PLT PHOTSNSR (VA)"/>
    <n v="313"/>
    <s v=""/>
    <x v="139"/>
    <d v="2026-09-11T00:00:00"/>
    <s v=""/>
    <n v="98647"/>
    <n v="30"/>
    <d v="2026-09-29T00:00:00"/>
    <n v="283"/>
  </r>
  <r>
    <x v="0"/>
    <s v=""/>
    <s v=""/>
    <s v=""/>
    <s v=""/>
    <x v="460"/>
    <s v="RA-06A-6006]Bd ASSY'-Fcol MCU"/>
    <n v="338"/>
    <s v=""/>
    <x v="189"/>
    <d v="2026-09-17T00:00:00"/>
    <s v=""/>
    <n v="98647"/>
    <n v="30"/>
    <d v="2026-09-29T00:00:00"/>
    <n v="308"/>
  </r>
  <r>
    <x v="0"/>
    <s v=""/>
    <s v=""/>
    <s v=""/>
    <s v=""/>
    <x v="462"/>
    <s v="RA-04S-0977]SPRING CEPH AND ARM"/>
    <n v="339"/>
    <s v=""/>
    <x v="117"/>
    <d v="2026-09-17T00:00:00"/>
    <s v=""/>
    <n v="98647"/>
    <n v="30"/>
    <d v="2026-09-29T00:00:00"/>
    <n v="309"/>
  </r>
  <r>
    <x v="0"/>
    <s v=""/>
    <s v=""/>
    <s v=""/>
    <s v=""/>
    <x v="1"/>
    <s v="RA-06M-0432]FLANGE TUBE TILT SHAFT B"/>
    <n v="369"/>
    <s v=""/>
    <x v="1"/>
    <d v="2026-09-17T00:00:00"/>
    <s v=""/>
    <n v="98647"/>
    <n v="30"/>
    <d v="2026-09-29T00:00:00"/>
    <n v="339"/>
  </r>
  <r>
    <x v="0"/>
    <s v=""/>
    <s v=""/>
    <s v=""/>
    <s v=""/>
    <x v="435"/>
    <s v="RA-1-8B]AC POWER PFC CONNECT"/>
    <n v="397"/>
    <s v=""/>
    <x v="184"/>
    <d v="2026-09-15T00:00:00"/>
    <s v=""/>
    <n v="98647"/>
    <n v="30"/>
    <d v="2026-09-29T00:00:00"/>
    <n v="367"/>
  </r>
  <r>
    <x v="0"/>
    <s v=""/>
    <s v=""/>
    <s v=""/>
    <s v=""/>
    <x v="10"/>
    <s v="RA-06S-5018]MICRO SWITCH"/>
    <n v="440"/>
    <s v=""/>
    <x v="8"/>
    <d v="2026-09-22T00:00:00"/>
    <s v=""/>
    <n v="98647"/>
    <n v="60"/>
    <d v="2026-09-29T00:00:00"/>
    <n v="380"/>
  </r>
  <r>
    <x v="0"/>
    <s v=""/>
    <s v=""/>
    <s v=""/>
    <s v=""/>
    <x v="3"/>
    <s v="RA-06V-0242]BRK TUBE TILT MICRO SW"/>
    <n v="442"/>
    <s v=""/>
    <x v="3"/>
    <d v="2026-09-17T00:00:00"/>
    <s v=""/>
    <n v="98647"/>
    <n v="30"/>
    <d v="2026-09-29T00:00:00"/>
    <n v="412"/>
  </r>
  <r>
    <x v="0"/>
    <s v=""/>
    <s v=""/>
    <s v=""/>
    <s v=""/>
    <x v="7"/>
    <s v="RA-06S-5091] DC motor(HDSG56-3448C-615)"/>
    <n v="449"/>
    <s v=""/>
    <x v="6"/>
    <d v="2026-09-17T00:00:00"/>
    <s v=""/>
    <n v="98647"/>
    <n v="30"/>
    <d v="2026-09-29T00:00:00"/>
    <n v="419"/>
  </r>
  <r>
    <x v="0"/>
    <s v=""/>
    <s v="기초"/>
    <s v=""/>
    <s v=""/>
    <x v="246"/>
    <s v="RA-07S-5019]STEP MOT-KH42KM2-901"/>
    <n v="469"/>
    <s v=""/>
    <x v="6"/>
    <d v="2026-09-11T00:00:00"/>
    <s v=""/>
    <n v="98647"/>
    <n v="30"/>
    <d v="2026-09-29T00:00:00"/>
    <n v="439"/>
  </r>
  <r>
    <x v="0"/>
    <s v=""/>
    <s v=""/>
    <s v=""/>
    <s v=""/>
    <x v="9"/>
    <s v="RA-06M-0244]PIN TUBE TILT LIMIT"/>
    <n v="478"/>
    <s v=""/>
    <x v="7"/>
    <d v="2026-09-30T00:00:00"/>
    <s v=""/>
    <n v="98647"/>
    <n v="4"/>
    <d v="2026-09-30T00:00:00"/>
    <n v="474"/>
  </r>
  <r>
    <x v="0"/>
    <s v=""/>
    <s v=""/>
    <s v=""/>
    <s v=""/>
    <x v="5"/>
    <s v="RA-06V-3253]HLDR DC GEARED MOT (M+)"/>
    <n v="479"/>
    <s v=""/>
    <x v="4"/>
    <d v="2026-09-17T00:00:00"/>
    <s v=""/>
    <n v="98647"/>
    <n v="30"/>
    <d v="2026-09-29T00:00:00"/>
    <n v="449"/>
  </r>
  <r>
    <x v="0"/>
    <s v=""/>
    <s v=""/>
    <s v=""/>
    <s v=""/>
    <x v="9"/>
    <s v="RA-06M-0244]PIN TUBE TILT LIMIT"/>
    <n v="502"/>
    <s v=""/>
    <x v="7"/>
    <d v="2026-09-17T00:00:00"/>
    <s v=""/>
    <n v="98647"/>
    <n v="4"/>
    <d v="2026-09-29T00:00:00"/>
    <n v="498"/>
  </r>
  <r>
    <x v="0"/>
    <s v=""/>
    <s v=""/>
    <s v=""/>
    <s v=""/>
    <x v="0"/>
    <s v="RA-3-3B]DCM CONTROL-B"/>
    <n v="522"/>
    <s v=""/>
    <x v="0"/>
    <d v="2026-09-17T00:00:00"/>
    <s v=""/>
    <n v="98647"/>
    <n v="30"/>
    <d v="2026-09-29T00:00:00"/>
    <n v="492"/>
  </r>
  <r>
    <x v="0"/>
    <s v=""/>
    <s v=""/>
    <s v=""/>
    <s v=""/>
    <x v="421"/>
    <s v="RA-5-5]EARTH ROT TO PFC"/>
    <n v="531"/>
    <s v=""/>
    <x v="30"/>
    <d v="2026-09-15T00:00:00"/>
    <s v=""/>
    <n v="98647"/>
    <n v="30"/>
    <d v="2026-09-29T00:00:00"/>
    <n v="501"/>
  </r>
  <r>
    <x v="0"/>
    <s v=""/>
    <s v="기초"/>
    <s v=""/>
    <s v=""/>
    <x v="498"/>
    <s v="RA-07M-1658]BLK DET MOT LINKER (VA)"/>
    <n v="580"/>
    <s v=""/>
    <x v="158"/>
    <d v="2026-09-11T00:00:00"/>
    <s v=""/>
    <n v="98647"/>
    <n v="30"/>
    <d v="2026-09-29T00:00:00"/>
    <n v="550"/>
  </r>
  <r>
    <x v="0"/>
    <s v=""/>
    <s v=""/>
    <s v=""/>
    <s v=""/>
    <x v="2"/>
    <s v="RA-06V-0241]GUIDE TUBE TILT MICRO SW"/>
    <n v="611"/>
    <s v=""/>
    <x v="2"/>
    <d v="2026-09-17T00:00:00"/>
    <s v=""/>
    <n v="98647"/>
    <n v="30"/>
    <d v="2026-09-29T00:00:00"/>
    <n v="581"/>
  </r>
  <r>
    <x v="0"/>
    <s v=""/>
    <s v=""/>
    <s v=""/>
    <s v=""/>
    <x v="4"/>
    <s v="RA-06V-0866]BRK TUBE TILT MICRO SW"/>
    <n v="736"/>
    <s v=""/>
    <x v="3"/>
    <d v="2026-09-17T00:00:00"/>
    <s v=""/>
    <n v="98647"/>
    <n v="30"/>
    <d v="2026-09-29T00:00:00"/>
    <n v="706"/>
  </r>
  <r>
    <x v="0"/>
    <s v=""/>
    <s v=""/>
    <s v=""/>
    <s v=""/>
    <x v="6"/>
    <s v="RA-06A-5005]Bd ASSY'-DC MOT Bd"/>
    <n v="774"/>
    <s v=""/>
    <x v="5"/>
    <d v="2026-09-17T00:00:00"/>
    <s v=""/>
    <n v="98647"/>
    <n v="30"/>
    <d v="2026-09-29T00:00:00"/>
    <n v="744"/>
  </r>
  <r>
    <x v="0"/>
    <s v=""/>
    <s v="기초"/>
    <s v=""/>
    <s v=""/>
    <x v="474"/>
    <s v="RA-8-9]AC POWER CABLE(IEC)"/>
    <n v="500"/>
    <s v=""/>
    <x v="9"/>
    <d v="2026-09-11T00:00:00"/>
    <s v=""/>
    <n v="98650"/>
    <n v="30"/>
    <d v="2026-09-15T00:00:00"/>
    <n v="470"/>
  </r>
  <r>
    <x v="0"/>
    <s v=""/>
    <s v="기초"/>
    <s v=""/>
    <s v=""/>
    <x v="606"/>
    <s v="RA-05V-0186]BRK CAS ROT TOP"/>
    <n v="461"/>
    <s v=""/>
    <x v="15"/>
    <d v="2026-09-11T00:00:00"/>
    <s v=""/>
    <n v="98652"/>
    <n v="200"/>
    <d v="2026-09-15T00:00:00"/>
    <n v="261"/>
  </r>
  <r>
    <x v="0"/>
    <s v=""/>
    <s v=""/>
    <s v=""/>
    <s v=""/>
    <x v="587"/>
    <s v="RA-05M-2907]FRM ROT WEIGHT"/>
    <n v="23"/>
    <s v=""/>
    <x v="221"/>
    <d v="2026-09-15T00:00:00"/>
    <s v=""/>
    <n v="98654"/>
    <n v="23"/>
    <d v="2026-09-15T00:00:00"/>
    <n v="0"/>
  </r>
  <r>
    <x v="0"/>
    <s v=""/>
    <s v=""/>
    <s v=""/>
    <s v=""/>
    <x v="32"/>
    <s v="RA-05M-3359]FRM ROT WEIGHT (ST)"/>
    <n v="69"/>
    <s v=""/>
    <x v="20"/>
    <d v="2026-09-15T00:00:00"/>
    <s v=""/>
    <n v="98654"/>
    <n v="69"/>
    <d v="2026-09-15T00:00:00"/>
    <n v="0"/>
  </r>
  <r>
    <x v="0"/>
    <s v=""/>
    <s v=""/>
    <s v=""/>
    <s v=""/>
    <x v="428"/>
    <s v="RA-05A-6004]Bd ASSY'-Aux MCU"/>
    <n v="16"/>
    <s v=""/>
    <x v="182"/>
    <d v="2026-09-28T00:00:00"/>
    <s v=""/>
    <n v="98657"/>
    <n v="10"/>
    <d v="2026-09-30T00:00:00"/>
    <n v="6"/>
  </r>
  <r>
    <x v="0"/>
    <s v=""/>
    <s v="입고"/>
    <s v="Bach tung"/>
    <s v="유영국"/>
    <x v="32"/>
    <s v="RA-05M-3359]FRM ROT WEIGHT (ST)"/>
    <n v="20"/>
    <s v=""/>
    <x v="20"/>
    <d v="2026-09-28T00:00:00"/>
    <s v=""/>
    <n v="98657"/>
    <n v="20"/>
    <d v="2026-09-30T00:00:00"/>
    <n v="0"/>
  </r>
  <r>
    <x v="0"/>
    <s v=""/>
    <s v=""/>
    <s v=""/>
    <s v=""/>
    <x v="24"/>
    <s v="RA-02A-2740]ASM VERT TOTAL (A+) (VN)"/>
    <n v="25"/>
    <s v=""/>
    <x v="20"/>
    <d v="2026-10-07T00:00:00"/>
    <s v=""/>
    <n v="98657"/>
    <n v="10"/>
    <d v="2026-10-07T00:00:00"/>
    <n v="15"/>
  </r>
  <r>
    <x v="0"/>
    <s v=""/>
    <s v=""/>
    <s v=""/>
    <s v=""/>
    <x v="416"/>
    <s v="RA-02V-3286]BRK FIX Y-AXIS (ST)"/>
    <n v="187"/>
    <s v=""/>
    <x v="41"/>
    <d v="2026-09-17T00:00:00"/>
    <s v=""/>
    <n v="98657"/>
    <n v="10"/>
    <d v="2026-09-30T00:00:00"/>
    <n v="177"/>
  </r>
  <r>
    <x v="0"/>
    <s v=""/>
    <s v=""/>
    <s v=""/>
    <s v=""/>
    <x v="410"/>
    <s v="RA-05V-0513]BRK LED PCB"/>
    <n v="205"/>
    <s v=""/>
    <x v="175"/>
    <d v="2026-09-14T00:00:00"/>
    <s v=""/>
    <n v="98657"/>
    <n v="10"/>
    <d v="2026-09-30T00:00:00"/>
    <n v="195"/>
  </r>
  <r>
    <x v="0"/>
    <s v=""/>
    <s v=""/>
    <s v=""/>
    <s v=""/>
    <x v="550"/>
    <s v="RA-05V-2559]CVR SUB MCU"/>
    <n v="60"/>
    <s v=""/>
    <x v="214"/>
    <d v="2026-10-07T00:00:00"/>
    <s v=""/>
    <n v="98659"/>
    <n v="10"/>
    <d v="2026-10-01T00:00:00"/>
    <n v="50"/>
  </r>
  <r>
    <x v="0"/>
    <s v=""/>
    <s v=""/>
    <s v=""/>
    <s v=""/>
    <x v="551"/>
    <s v="RA-09V-3433]PLT LIGHT PHNT (ST)"/>
    <n v="34"/>
    <s v=""/>
    <x v="215"/>
    <d v="2026-09-17T00:00:00"/>
    <s v=""/>
    <n v="98659"/>
    <n v="10"/>
    <d v="2026-10-01T00:00:00"/>
    <n v="24"/>
  </r>
  <r>
    <x v="0"/>
    <s v=""/>
    <s v=""/>
    <s v=""/>
    <s v=""/>
    <x v="552"/>
    <s v="RA-03A-0287]ASM LEVER HORIZONTAL LASER"/>
    <n v="38"/>
    <s v=""/>
    <x v="150"/>
    <d v="2026-10-07T00:00:00"/>
    <s v=""/>
    <n v="98659"/>
    <n v="10"/>
    <d v="2026-10-01T00:00:00"/>
    <n v="28"/>
  </r>
  <r>
    <x v="0"/>
    <s v=""/>
    <s v=""/>
    <s v=""/>
    <s v=""/>
    <x v="553"/>
    <s v="RA-7-3]LAN PC"/>
    <n v="81"/>
    <s v=""/>
    <x v="9"/>
    <d v="2026-10-12T00:00:00"/>
    <s v=""/>
    <n v="98659"/>
    <n v="10"/>
    <d v="2026-10-01T00:00:00"/>
    <n v="71"/>
  </r>
  <r>
    <x v="0"/>
    <s v=""/>
    <s v=""/>
    <s v=""/>
    <s v=""/>
    <x v="554"/>
    <s v="RA-04T-0144]CAS CHINREST BOT"/>
    <n v="216"/>
    <s v=""/>
    <x v="27"/>
    <d v="2026-10-07T00:00:00"/>
    <s v=""/>
    <n v="98659"/>
    <n v="10"/>
    <d v="2026-10-01T00:00:00"/>
    <n v="206"/>
  </r>
  <r>
    <x v="0"/>
    <s v=""/>
    <s v=""/>
    <s v=""/>
    <s v=""/>
    <x v="555"/>
    <s v="RA-05T-0207]CAS ROT BOT DECO"/>
    <n v="368"/>
    <s v=""/>
    <x v="178"/>
    <d v="2026-10-07T00:00:00"/>
    <s v=""/>
    <n v="98659"/>
    <n v="10"/>
    <d v="2026-10-01T00:00:00"/>
    <n v="358"/>
  </r>
  <r>
    <x v="0"/>
    <s v=""/>
    <s v=""/>
    <s v=""/>
    <s v=""/>
    <x v="606"/>
    <s v="RA-05V-0186]BRK CAS ROT TOP"/>
    <n v="24"/>
    <s v=""/>
    <x v="15"/>
    <d v="2026-10-07T00:00:00"/>
    <s v=""/>
    <n v="98659"/>
    <n v="24"/>
    <d v="2026-10-01T00:00:00"/>
    <n v="0"/>
  </r>
  <r>
    <x v="0"/>
    <s v=""/>
    <s v="기초추가"/>
    <s v=""/>
    <s v=""/>
    <x v="606"/>
    <s v="RA-05V-0186]BRK CAS ROT TOP"/>
    <n v="6"/>
    <s v=""/>
    <x v="15"/>
    <d v="2026-10-01T00:00:00"/>
    <s v=""/>
    <n v="98659"/>
    <n v="6"/>
    <d v="2026-10-01T00:00:00"/>
    <n v="0"/>
  </r>
  <r>
    <x v="0"/>
    <s v=""/>
    <s v=""/>
    <s v=""/>
    <s v=""/>
    <x v="211"/>
    <s v="RA-03V-1909]BRK PUSH HUB"/>
    <n v="59"/>
    <s v=""/>
    <x v="65"/>
    <d v="2026-09-18T00:00:00"/>
    <s v=""/>
    <n v="98662"/>
    <n v="14"/>
    <d v="2026-09-14T00:00:00"/>
    <n v="45"/>
  </r>
  <r>
    <x v="0"/>
    <s v=""/>
    <s v=""/>
    <s v=""/>
    <s v=""/>
    <x v="232"/>
    <s v="RA-03S-5176]NOISE FILTER RSHN2016"/>
    <n v="129"/>
    <s v=""/>
    <x v="110"/>
    <d v="2026-09-18T00:00:00"/>
    <s v=""/>
    <n v="98662"/>
    <n v="14"/>
    <d v="2026-09-14T00:00:00"/>
    <n v="115"/>
  </r>
  <r>
    <x v="0"/>
    <s v=""/>
    <s v=""/>
    <s v=""/>
    <s v=""/>
    <x v="425"/>
    <s v="RA-03A-6016A]BD ASSY'-AC FUSE BLK"/>
    <n v="270"/>
    <s v=""/>
    <x v="181"/>
    <d v="2026-09-18T00:00:00"/>
    <s v=""/>
    <n v="98662"/>
    <n v="14"/>
    <d v="2026-09-14T00:00:00"/>
    <n v="256"/>
  </r>
  <r>
    <x v="0"/>
    <s v=""/>
    <s v="기초"/>
    <s v=""/>
    <s v=""/>
    <x v="551"/>
    <s v="RA-09V-3433]PLT LIGHT PHNT (ST)"/>
    <n v="56"/>
    <s v=""/>
    <x v="215"/>
    <d v="2026-09-11T00:00:00"/>
    <s v=""/>
    <n v="98668"/>
    <n v="2"/>
    <d v="2026-09-15T00:00:00"/>
    <n v="54"/>
  </r>
  <r>
    <x v="0"/>
    <s v=""/>
    <s v=""/>
    <s v=""/>
    <s v=""/>
    <x v="323"/>
    <s v="RA-04A-0899]ASM LCD M101NWT2 R1"/>
    <n v="3"/>
    <s v=""/>
    <x v="94"/>
    <d v="2026-09-09T00:00:00"/>
    <s v=""/>
    <n v="98669"/>
    <n v="3"/>
    <d v="2026-09-29T00:00:00"/>
    <n v="0"/>
  </r>
  <r>
    <x v="0"/>
    <s v=""/>
    <s v="입고"/>
    <s v="큐브케어"/>
    <s v="유영국"/>
    <x v="323"/>
    <s v="RA-04A-0899]ASM LCD M101NWT2 R1"/>
    <n v="5"/>
    <s v=""/>
    <x v="94"/>
    <d v="2026-09-10T00:00:00"/>
    <s v=""/>
    <n v="98669"/>
    <n v="5"/>
    <d v="2026-09-29T00:00:00"/>
    <n v="0"/>
  </r>
  <r>
    <x v="0"/>
    <s v=""/>
    <s v=""/>
    <s v=""/>
    <s v=""/>
    <x v="198"/>
    <s v="RA-03S-6045]SMPS-RPS-200-24V"/>
    <n v="9"/>
    <s v=""/>
    <x v="110"/>
    <d v="2026-09-18T00:00:00"/>
    <s v=""/>
    <n v="98669"/>
    <n v="9"/>
    <d v="2026-09-29T00:00:00"/>
    <n v="0"/>
  </r>
  <r>
    <x v="0"/>
    <s v=""/>
    <s v=""/>
    <s v=""/>
    <s v=""/>
    <x v="391"/>
    <s v="RA-03A-6012]Bd ASSY'-ACT Bd(A/A+)"/>
    <n v="10"/>
    <s v=""/>
    <x v="172"/>
    <d v="2026-09-18T00:00:00"/>
    <s v=""/>
    <n v="98669"/>
    <n v="10"/>
    <d v="2026-09-29T00:00:00"/>
    <n v="0"/>
  </r>
  <r>
    <x v="0"/>
    <s v=""/>
    <s v=""/>
    <s v=""/>
    <s v=""/>
    <x v="84"/>
    <s v="RA-03V-2066]BRK CLMN REAR CAS UPPER (A+)"/>
    <n v="22"/>
    <s v=""/>
    <x v="65"/>
    <d v="2026-09-09T00:00:00"/>
    <s v=""/>
    <n v="98669"/>
    <n v="12"/>
    <d v="2026-09-29T00:00:00"/>
    <n v="10"/>
  </r>
  <r>
    <x v="0"/>
    <s v=""/>
    <s v=""/>
    <s v=""/>
    <s v=""/>
    <x v="245"/>
    <s v="RA-04A-1926]ASM CHINREST SUB"/>
    <n v="45"/>
    <s v=""/>
    <x v="104"/>
    <d v="2026-09-18T00:00:00"/>
    <s v=""/>
    <n v="98669"/>
    <n v="30"/>
    <d v="2026-09-29T00:00:00"/>
    <n v="15"/>
  </r>
  <r>
    <x v="0"/>
    <s v=""/>
    <s v=""/>
    <s v=""/>
    <s v=""/>
    <x v="211"/>
    <s v="RA-03V-1909]BRK PUSH HUB"/>
    <n v="45"/>
    <s v=""/>
    <x v="65"/>
    <d v="2026-09-14T00:00:00"/>
    <s v=""/>
    <n v="98669"/>
    <n v="5"/>
    <d v="2026-09-29T00:00:00"/>
    <n v="40"/>
  </r>
  <r>
    <x v="0"/>
    <s v=""/>
    <s v=""/>
    <s v=""/>
    <s v=""/>
    <x v="369"/>
    <s v="RA-04V-1708]CVR THU Bd"/>
    <n v="48"/>
    <s v=""/>
    <x v="165"/>
    <d v="2026-09-18T00:00:00"/>
    <s v=""/>
    <n v="98669"/>
    <n v="30"/>
    <d v="2026-09-29T00:00:00"/>
    <n v="18"/>
  </r>
  <r>
    <x v="0"/>
    <s v=""/>
    <s v=""/>
    <s v=""/>
    <s v=""/>
    <x v="172"/>
    <s v="RA-04A-6035_4]Bd ASSY'-THU Bd"/>
    <n v="65"/>
    <s v=""/>
    <x v="100"/>
    <d v="2026-10-01T00:00:00"/>
    <s v=""/>
    <n v="98669"/>
    <n v="30"/>
    <d v="2026-10-01T00:00:00"/>
    <n v="35"/>
  </r>
  <r>
    <x v="0"/>
    <s v=""/>
    <s v=""/>
    <s v=""/>
    <s v=""/>
    <x v="128"/>
    <s v="RA-03V-1639]PLT ELECT COMPONENT (VA)"/>
    <n v="78"/>
    <s v=""/>
    <x v="83"/>
    <d v="2026-09-18T00:00:00"/>
    <s v=""/>
    <n v="98669"/>
    <n v="30"/>
    <d v="2026-09-29T00:00:00"/>
    <n v="48"/>
  </r>
  <r>
    <x v="0"/>
    <s v=""/>
    <s v=""/>
    <s v=""/>
    <s v=""/>
    <x v="142"/>
    <s v="RA-5-1]EARTH NF"/>
    <n v="80"/>
    <s v=""/>
    <x v="30"/>
    <d v="2026-09-15T00:00:00"/>
    <s v=""/>
    <n v="98669"/>
    <n v="30"/>
    <d v="2026-09-29T00:00:00"/>
    <n v="50"/>
  </r>
  <r>
    <x v="0"/>
    <s v=""/>
    <s v="입고"/>
    <s v="제이에스티"/>
    <s v="유영국"/>
    <x v="198"/>
    <s v="RA-03S-6045]SMPS-RPS-200-24V"/>
    <n v="100"/>
    <s v=""/>
    <x v="110"/>
    <d v="2026-09-09T00:00:00"/>
    <s v=""/>
    <n v="98669"/>
    <n v="21"/>
    <d v="2026-09-29T00:00:00"/>
    <n v="79"/>
  </r>
  <r>
    <x v="0"/>
    <s v=""/>
    <s v=""/>
    <s v=""/>
    <s v=""/>
    <x v="193"/>
    <s v="RA-04V-0117] ARM MONITOR"/>
    <n v="102"/>
    <s v=""/>
    <x v="108"/>
    <d v="2026-09-18T00:00:00"/>
    <s v=""/>
    <n v="98669"/>
    <n v="30"/>
    <d v="2026-09-29T00:00:00"/>
    <n v="72"/>
  </r>
  <r>
    <x v="0"/>
    <s v=""/>
    <s v=""/>
    <s v=""/>
    <s v=""/>
    <x v="232"/>
    <s v="RA-03S-5176]NOISE FILTER RSHN2016"/>
    <n v="115"/>
    <s v=""/>
    <x v="110"/>
    <d v="2026-09-14T00:00:00"/>
    <s v=""/>
    <n v="98669"/>
    <n v="30"/>
    <d v="2026-09-29T00:00:00"/>
    <n v="85"/>
  </r>
  <r>
    <x v="0"/>
    <s v=""/>
    <s v=""/>
    <s v=""/>
    <s v=""/>
    <x v="239"/>
    <s v="RA-03S-5013]Mgnet CONTECTOR-LP1K0910BD"/>
    <n v="117"/>
    <s v=""/>
    <x v="125"/>
    <d v="2026-09-18T00:00:00"/>
    <s v=""/>
    <n v="98669"/>
    <n v="30"/>
    <d v="2026-09-29T00:00:00"/>
    <n v="87"/>
  </r>
  <r>
    <x v="0"/>
    <s v=""/>
    <s v=""/>
    <s v=""/>
    <s v=""/>
    <x v="214"/>
    <s v="RA-04S-5174]THU Cable Ass'y"/>
    <n v="119"/>
    <s v=""/>
    <x v="117"/>
    <d v="2026-09-18T00:00:00"/>
    <s v=""/>
    <n v="98669"/>
    <n v="30"/>
    <d v="2026-09-29T00:00:00"/>
    <n v="89"/>
  </r>
  <r>
    <x v="0"/>
    <s v=""/>
    <s v=""/>
    <s v=""/>
    <s v=""/>
    <x v="221"/>
    <s v="RA-04V-1709]BRK THU Bd"/>
    <n v="125"/>
    <s v=""/>
    <x v="118"/>
    <d v="2026-09-18T00:00:00"/>
    <s v=""/>
    <n v="98669"/>
    <n v="30"/>
    <d v="2026-09-29T00:00:00"/>
    <n v="95"/>
  </r>
  <r>
    <x v="0"/>
    <s v=""/>
    <s v=""/>
    <s v=""/>
    <s v=""/>
    <x v="177"/>
    <s v="RA-04A-2748]ASM ARM SUB (A+) (VN)"/>
    <n v="140"/>
    <s v=""/>
    <x v="33"/>
    <d v="2026-09-18T00:00:00"/>
    <s v=""/>
    <n v="98669"/>
    <n v="30"/>
    <d v="2026-09-29T00:00:00"/>
    <n v="110"/>
  </r>
  <r>
    <x v="0"/>
    <s v=""/>
    <s v=""/>
    <s v=""/>
    <s v=""/>
    <x v="295"/>
    <s v="RA-03S-6025]LBM-RAY01"/>
    <n v="146"/>
    <s v=""/>
    <x v="74"/>
    <d v="2026-09-18T00:00:00"/>
    <s v=""/>
    <n v="98669"/>
    <n v="30"/>
    <d v="2026-09-29T00:00:00"/>
    <n v="116"/>
  </r>
  <r>
    <x v="0"/>
    <s v=""/>
    <s v=""/>
    <s v=""/>
    <s v=""/>
    <x v="294"/>
    <s v="RA-03S-5180A]A2K_LBM01-570"/>
    <n v="146"/>
    <s v=""/>
    <x v="74"/>
    <d v="2026-09-18T00:00:00"/>
    <s v=""/>
    <n v="98669"/>
    <n v="30"/>
    <d v="2026-09-29T00:00:00"/>
    <n v="116"/>
  </r>
  <r>
    <x v="0"/>
    <s v=""/>
    <s v=""/>
    <s v=""/>
    <s v=""/>
    <x v="273"/>
    <s v="RA-04M-1339]BLK HEADREST FIX BAR-R"/>
    <n v="150"/>
    <s v=""/>
    <x v="134"/>
    <d v="2026-09-18T00:00:00"/>
    <s v=""/>
    <n v="98669"/>
    <n v="30"/>
    <d v="2026-09-29T00:00:00"/>
    <n v="120"/>
  </r>
  <r>
    <x v="0"/>
    <s v=""/>
    <s v=""/>
    <s v=""/>
    <s v=""/>
    <x v="357"/>
    <s v="RA-03V-1908]BRK FIX HUB"/>
    <n v="154"/>
    <s v=""/>
    <x v="163"/>
    <d v="2026-09-09T00:00:00"/>
    <s v=""/>
    <n v="98669"/>
    <n v="30"/>
    <d v="2026-09-29T00:00:00"/>
    <n v="124"/>
  </r>
  <r>
    <x v="0"/>
    <s v=""/>
    <s v=""/>
    <s v=""/>
    <s v=""/>
    <x v="361"/>
    <s v="RA-03V-1991]BRK CENTER LASERBEAM (A+)"/>
    <n v="175"/>
    <s v=""/>
    <x v="65"/>
    <d v="2026-09-09T00:00:00"/>
    <s v=""/>
    <n v="98669"/>
    <n v="30"/>
    <d v="2026-09-29T00:00:00"/>
    <n v="145"/>
  </r>
  <r>
    <x v="0"/>
    <s v=""/>
    <s v=""/>
    <s v=""/>
    <s v=""/>
    <x v="351"/>
    <s v="RA-03M-2193]CVR PROT (A+)"/>
    <n v="176"/>
    <s v=""/>
    <x v="74"/>
    <d v="2026-09-18T00:00:00"/>
    <s v=""/>
    <n v="98669"/>
    <n v="30"/>
    <d v="2026-09-29T00:00:00"/>
    <n v="146"/>
  </r>
  <r>
    <x v="0"/>
    <s v=""/>
    <s v=""/>
    <s v=""/>
    <s v=""/>
    <x v="355"/>
    <s v="RA-04M-1338]BLK HEADREST FIX BAR-L"/>
    <n v="200"/>
    <s v=""/>
    <x v="134"/>
    <d v="2026-09-18T00:00:00"/>
    <s v=""/>
    <n v="98669"/>
    <n v="30"/>
    <d v="2026-09-29T00:00:00"/>
    <n v="170"/>
  </r>
  <r>
    <x v="0"/>
    <s v=""/>
    <s v="입고"/>
    <s v="한울테크"/>
    <s v=""/>
    <x v="391"/>
    <s v="RA-03A-6012]Bd ASSY'-ACT Bd(A/A+)"/>
    <n v="200"/>
    <s v=""/>
    <x v="172"/>
    <d v="2026-09-15T00:00:00"/>
    <s v=""/>
    <n v="98669"/>
    <n v="20"/>
    <d v="2026-09-29T00:00:00"/>
    <n v="180"/>
  </r>
  <r>
    <x v="0"/>
    <s v=""/>
    <s v="입고"/>
    <s v="DONGSHANG"/>
    <s v=""/>
    <x v="323"/>
    <s v="RA-04A-0899]ASM LCD M101NWT2 R1"/>
    <n v="206"/>
    <s v=""/>
    <x v="94"/>
    <d v="2026-09-22T00:00:00"/>
    <s v=""/>
    <n v="98669"/>
    <n v="22"/>
    <d v="2026-09-29T00:00:00"/>
    <n v="184"/>
  </r>
  <r>
    <x v="0"/>
    <s v=""/>
    <s v=""/>
    <s v=""/>
    <s v=""/>
    <x v="424"/>
    <s v="RA-03T-1992]HLDR LASER BEAM V"/>
    <n v="255"/>
    <s v=""/>
    <x v="74"/>
    <d v="2026-09-18T00:00:00"/>
    <s v=""/>
    <n v="98669"/>
    <n v="30"/>
    <d v="2026-09-29T00:00:00"/>
    <n v="225"/>
  </r>
  <r>
    <x v="0"/>
    <s v=""/>
    <s v=""/>
    <s v=""/>
    <s v=""/>
    <x v="425"/>
    <s v="RA-03A-6016A]BD ASSY'-AC FUSE BLK"/>
    <n v="256"/>
    <s v=""/>
    <x v="181"/>
    <d v="2026-09-14T00:00:00"/>
    <s v=""/>
    <n v="98669"/>
    <n v="30"/>
    <d v="2026-09-29T00:00:00"/>
    <n v="226"/>
  </r>
  <r>
    <x v="0"/>
    <s v=""/>
    <s v=""/>
    <s v=""/>
    <s v=""/>
    <x v="321"/>
    <s v="RA-04S-0121]HINGE SET"/>
    <n v="259"/>
    <s v=""/>
    <x v="150"/>
    <d v="2026-09-18T00:00:00"/>
    <s v=""/>
    <n v="98669"/>
    <n v="60"/>
    <d v="2026-09-29T00:00:00"/>
    <n v="199"/>
  </r>
  <r>
    <x v="0"/>
    <s v=""/>
    <s v="기초추가"/>
    <s v=""/>
    <s v=""/>
    <x v="352"/>
    <s v="RA-04V-0118]BRK MONITOR HINGE"/>
    <n v="270"/>
    <s v=""/>
    <x v="160"/>
    <d v="2026-09-08T00:00:00"/>
    <s v=""/>
    <n v="98669"/>
    <n v="60"/>
    <d v="2026-09-29T00:00:00"/>
    <n v="210"/>
  </r>
  <r>
    <x v="0"/>
    <s v=""/>
    <s v=""/>
    <s v=""/>
    <s v=""/>
    <x v="181"/>
    <s v="RA-03A-0050_I]ASM HORIZONTAL LASER BEAM"/>
    <n v="284"/>
    <s v=""/>
    <x v="104"/>
    <d v="2026-09-18T00:00:00"/>
    <s v=""/>
    <n v="98669"/>
    <n v="30"/>
    <d v="2026-09-29T00:00:00"/>
    <n v="254"/>
  </r>
  <r>
    <x v="0"/>
    <s v=""/>
    <s v=""/>
    <s v=""/>
    <s v=""/>
    <x v="446"/>
    <s v="RA-1-1_2]AC POWER FUSE TO NF2"/>
    <n v="299"/>
    <s v=""/>
    <x v="184"/>
    <d v="2026-09-18T00:00:00"/>
    <s v=""/>
    <n v="98669"/>
    <n v="30"/>
    <d v="2026-09-29T00:00:00"/>
    <n v="269"/>
  </r>
  <r>
    <x v="0"/>
    <s v=""/>
    <s v=""/>
    <s v=""/>
    <s v=""/>
    <x v="444"/>
    <s v="RA-04M-2399]GUIDE BITE BLK A (A+)"/>
    <n v="317"/>
    <s v=""/>
    <x v="128"/>
    <d v="2026-09-18T00:00:00"/>
    <s v=""/>
    <n v="98669"/>
    <n v="30"/>
    <d v="2026-09-29T00:00:00"/>
    <n v="287"/>
  </r>
  <r>
    <x v="0"/>
    <s v=""/>
    <s v="기초"/>
    <s v=""/>
    <s v=""/>
    <x v="464"/>
    <s v="RA-09A-2753]ASM CT HEADREST FIX BAS(A+)"/>
    <n v="369"/>
    <s v=""/>
    <x v="128"/>
    <d v="2026-09-11T00:00:00"/>
    <s v=""/>
    <n v="98669"/>
    <n v="30"/>
    <d v="2026-09-29T00:00:00"/>
    <n v="339"/>
  </r>
  <r>
    <x v="0"/>
    <s v=""/>
    <s v=""/>
    <s v=""/>
    <s v=""/>
    <x v="465"/>
    <s v="RA-03A-6046]SMPS CONN B/D"/>
    <n v="374"/>
    <s v=""/>
    <x v="111"/>
    <d v="2026-09-18T00:00:00"/>
    <s v=""/>
    <n v="98669"/>
    <n v="30"/>
    <d v="2026-09-29T00:00:00"/>
    <n v="344"/>
  </r>
  <r>
    <x v="0"/>
    <s v=""/>
    <s v=""/>
    <s v=""/>
    <s v=""/>
    <x v="452"/>
    <s v="RA-1-2_2]AC POWER FUSE TO NF1"/>
    <n v="560"/>
    <s v=""/>
    <x v="184"/>
    <d v="2026-09-18T00:00:00"/>
    <s v=""/>
    <n v="98669"/>
    <n v="30"/>
    <d v="2026-09-29T00:00:00"/>
    <n v="530"/>
  </r>
  <r>
    <x v="0"/>
    <s v=""/>
    <s v=""/>
    <s v=""/>
    <s v=""/>
    <x v="497"/>
    <s v="RA-03V-2285]BRK CABLE GUIDE CLMN (A+)"/>
    <n v="646"/>
    <s v=""/>
    <x v="198"/>
    <d v="2026-09-09T00:00:00"/>
    <s v=""/>
    <n v="98669"/>
    <n v="60"/>
    <d v="2026-09-29T00:00:00"/>
    <n v="586"/>
  </r>
  <r>
    <x v="0"/>
    <s v=""/>
    <s v="기초"/>
    <s v=""/>
    <s v=""/>
    <x v="504"/>
    <s v="RA-03M-2068]BRK CLMN REAR CAS LWR (A+)"/>
    <n v="706"/>
    <s v=""/>
    <x v="200"/>
    <d v="2026-09-11T00:00:00"/>
    <s v=""/>
    <n v="98669"/>
    <n v="30"/>
    <d v="2026-09-29T00:00:00"/>
    <n v="676"/>
  </r>
  <r>
    <x v="0"/>
    <s v=""/>
    <s v=""/>
    <s v=""/>
    <s v=""/>
    <x v="503"/>
    <s v="RA-03M-0063]GUIDE PIN 2"/>
    <n v="762"/>
    <s v=""/>
    <x v="163"/>
    <d v="2026-09-18T00:00:00"/>
    <s v=""/>
    <n v="98669"/>
    <n v="60"/>
    <d v="2026-09-29T00:00:00"/>
    <n v="702"/>
  </r>
  <r>
    <x v="0"/>
    <s v=""/>
    <s v=""/>
    <s v=""/>
    <s v=""/>
    <x v="264"/>
    <s v="RA-06A-5004]Bd ASSY'-Indicator Bd"/>
    <n v="18"/>
    <s v=""/>
    <x v="131"/>
    <d v="2026-09-30T00:00:00"/>
    <s v=""/>
    <n v="98670"/>
    <n v="18"/>
    <d v="2026-09-29T00:00:00"/>
    <n v="0"/>
  </r>
  <r>
    <x v="0"/>
    <s v=""/>
    <s v=""/>
    <s v=""/>
    <s v=""/>
    <x v="473"/>
    <s v="RA-3-6]INDICATOR CONTROL"/>
    <n v="30"/>
    <s v=""/>
    <x v="130"/>
    <d v="2026-09-30T00:00:00"/>
    <s v=""/>
    <n v="98670"/>
    <n v="30"/>
    <d v="2026-09-29T00:00:00"/>
    <n v="0"/>
  </r>
  <r>
    <x v="0"/>
    <s v=""/>
    <s v=""/>
    <s v=""/>
    <s v=""/>
    <x v="586"/>
    <s v="RA-1-11]DC POWER HUB"/>
    <n v="33"/>
    <s v=""/>
    <x v="184"/>
    <d v="2026-09-18T00:00:00"/>
    <s v=""/>
    <n v="98670"/>
    <n v="30"/>
    <d v="2026-09-29T00:00:00"/>
    <n v="3"/>
  </r>
  <r>
    <x v="0"/>
    <s v=""/>
    <s v=""/>
    <s v=""/>
    <s v=""/>
    <x v="589"/>
    <s v="RA-05V-2654]BRK CAS ROT BOT"/>
    <n v="39"/>
    <s v=""/>
    <x v="175"/>
    <d v="2026-09-30T00:00:00"/>
    <s v=""/>
    <n v="98670"/>
    <n v="30"/>
    <d v="2026-09-29T00:00:00"/>
    <n v="9"/>
  </r>
  <r>
    <x v="0"/>
    <s v=""/>
    <s v=""/>
    <s v=""/>
    <s v=""/>
    <x v="466"/>
    <s v="RA-1-5]AC POWER SMPS-1"/>
    <n v="40"/>
    <s v=""/>
    <x v="184"/>
    <d v="2026-09-30T00:00:00"/>
    <s v=""/>
    <n v="98670"/>
    <n v="30"/>
    <d v="2026-09-29T00:00:00"/>
    <n v="10"/>
  </r>
  <r>
    <x v="0"/>
    <s v=""/>
    <s v=""/>
    <s v=""/>
    <s v=""/>
    <x v="535"/>
    <s v="RA-02M-0395]PIN VERT POSITION"/>
    <n v="66"/>
    <s v=""/>
    <x v="185"/>
    <d v="2026-09-28T00:00:00"/>
    <s v=""/>
    <n v="98670"/>
    <n v="60"/>
    <d v="2026-09-29T00:00:00"/>
    <n v="6"/>
  </r>
  <r>
    <x v="0"/>
    <s v=""/>
    <s v=""/>
    <s v=""/>
    <s v=""/>
    <x v="157"/>
    <s v="RA-11-9]DC POWER MOT-A"/>
    <n v="72"/>
    <s v=""/>
    <x v="9"/>
    <d v="2026-09-18T00:00:00"/>
    <s v=""/>
    <n v="98670"/>
    <n v="30"/>
    <d v="2026-09-29T00:00:00"/>
    <n v="42"/>
  </r>
  <r>
    <x v="0"/>
    <s v=""/>
    <s v=""/>
    <s v=""/>
    <s v=""/>
    <x v="235"/>
    <s v="RA-7-5]LAN THU"/>
    <n v="96"/>
    <s v=""/>
    <x v="123"/>
    <d v="2026-09-30T00:00:00"/>
    <s v=""/>
    <n v="98670"/>
    <n v="30"/>
    <d v="2026-09-29T00:00:00"/>
    <n v="66"/>
  </r>
  <r>
    <x v="0"/>
    <s v=""/>
    <s v="기초추가"/>
    <s v=""/>
    <s v=""/>
    <x v="252"/>
    <s v="RA-04V-1109]BRK ARM RIGID L"/>
    <n v="100"/>
    <s v=""/>
    <x v="128"/>
    <d v="2026-09-29T00:00:00"/>
    <s v=""/>
    <n v="98670"/>
    <n v="30"/>
    <d v="2026-09-29T00:00:00"/>
    <n v="70"/>
  </r>
  <r>
    <x v="0"/>
    <s v=""/>
    <s v="기초추가"/>
    <s v=""/>
    <s v=""/>
    <x v="253"/>
    <s v="RA-04V-1108]BRK ARM RIGID R"/>
    <n v="100"/>
    <s v=""/>
    <x v="128"/>
    <d v="2026-09-29T00:00:00"/>
    <s v=""/>
    <n v="98670"/>
    <n v="30"/>
    <d v="2026-09-29T00:00:00"/>
    <n v="70"/>
  </r>
  <r>
    <x v="0"/>
    <s v=""/>
    <s v=""/>
    <s v=""/>
    <s v=""/>
    <x v="262"/>
    <s v="RA-3-5]INDICATOR"/>
    <n v="105"/>
    <s v=""/>
    <x v="130"/>
    <d v="2026-09-30T00:00:00"/>
    <s v=""/>
    <n v="98670"/>
    <n v="30"/>
    <d v="2026-09-29T00:00:00"/>
    <n v="75"/>
  </r>
  <r>
    <x v="0"/>
    <s v=""/>
    <s v=""/>
    <s v=""/>
    <s v=""/>
    <x v="88"/>
    <s v="RA-07M-2786]PLT DET SNSR (IR)"/>
    <n v="110"/>
    <s v=""/>
    <x v="67"/>
    <d v="2026-09-18T00:00:00"/>
    <s v=""/>
    <n v="98670"/>
    <n v="60"/>
    <d v="2026-09-29T00:00:00"/>
    <n v="50"/>
  </r>
  <r>
    <x v="0"/>
    <s v=""/>
    <s v=""/>
    <s v=""/>
    <s v=""/>
    <x v="278"/>
    <s v="RA-9-8]SERIAL POWER LS 1"/>
    <n v="114"/>
    <s v=""/>
    <x v="137"/>
    <d v="2026-09-30T00:00:00"/>
    <s v=""/>
    <n v="98670"/>
    <n v="30"/>
    <d v="2026-09-29T00:00:00"/>
    <n v="84"/>
  </r>
  <r>
    <x v="0"/>
    <s v=""/>
    <s v=""/>
    <s v=""/>
    <s v=""/>
    <x v="299"/>
    <s v="RA-05T-0210]CAS ROT TOP SUB"/>
    <n v="133"/>
    <s v=""/>
    <x v="27"/>
    <d v="2026-09-30T00:00:00"/>
    <s v=""/>
    <n v="98670"/>
    <n v="30"/>
    <d v="2026-09-29T00:00:00"/>
    <n v="103"/>
  </r>
  <r>
    <x v="0"/>
    <s v=""/>
    <s v="입고"/>
    <s v="DIEN QUANG"/>
    <s v="장동은"/>
    <x v="264"/>
    <s v="RA-06A-5004]Bd ASSY'-Indicator Bd"/>
    <n v="138"/>
    <s v=""/>
    <x v="131"/>
    <d v="2026-09-10T00:00:00"/>
    <s v=""/>
    <n v="98670"/>
    <n v="42"/>
    <d v="2026-09-29T00:00:00"/>
    <n v="96"/>
  </r>
  <r>
    <x v="0"/>
    <s v=""/>
    <s v=""/>
    <s v=""/>
    <s v=""/>
    <x v="296"/>
    <s v="RA-02T-0045]CAS VERT SUB BOT"/>
    <n v="150"/>
    <s v=""/>
    <x v="27"/>
    <d v="2026-09-30T00:00:00"/>
    <s v=""/>
    <n v="98670"/>
    <n v="6"/>
    <d v="2026-09-30T00:00:00"/>
    <n v="144"/>
  </r>
  <r>
    <x v="0"/>
    <s v=""/>
    <s v=""/>
    <s v=""/>
    <s v=""/>
    <x v="374"/>
    <s v="RA-3-3A]DCM CONTROL-A"/>
    <n v="177"/>
    <s v=""/>
    <x v="9"/>
    <d v="2026-09-30T00:00:00"/>
    <s v=""/>
    <n v="98670"/>
    <n v="30"/>
    <d v="2026-09-29T00:00:00"/>
    <n v="147"/>
  </r>
  <r>
    <x v="0"/>
    <s v=""/>
    <s v=""/>
    <s v=""/>
    <s v=""/>
    <x v="379"/>
    <s v="RA-1-12]DC POWER SMPS CONN"/>
    <n v="180"/>
    <s v=""/>
    <x v="0"/>
    <d v="2026-09-30T00:00:00"/>
    <s v=""/>
    <n v="98670"/>
    <n v="30"/>
    <d v="2026-09-29T00:00:00"/>
    <n v="150"/>
  </r>
  <r>
    <x v="0"/>
    <s v=""/>
    <s v=""/>
    <s v=""/>
    <s v=""/>
    <x v="382"/>
    <s v="RA-2-9]ACT 2nd LIMIT"/>
    <n v="182"/>
    <s v=""/>
    <x v="0"/>
    <d v="2026-09-30T00:00:00"/>
    <s v=""/>
    <n v="98670"/>
    <n v="30"/>
    <d v="2026-09-29T00:00:00"/>
    <n v="152"/>
  </r>
  <r>
    <x v="0"/>
    <s v=""/>
    <s v=""/>
    <s v=""/>
    <s v=""/>
    <x v="388"/>
    <s v="RA-8-4]AC POWER CEPH"/>
    <n v="185"/>
    <s v=""/>
    <x v="9"/>
    <d v="2026-09-30T00:00:00"/>
    <s v=""/>
    <n v="98670"/>
    <n v="30"/>
    <d v="2026-09-29T00:00:00"/>
    <n v="155"/>
  </r>
  <r>
    <x v="0"/>
    <s v=""/>
    <s v=""/>
    <s v=""/>
    <s v=""/>
    <x v="395"/>
    <s v="RA-5-8]EARTH CTRL SMPS"/>
    <n v="196"/>
    <s v=""/>
    <x v="30"/>
    <d v="2026-09-30T00:00:00"/>
    <s v=""/>
    <n v="98670"/>
    <n v="30"/>
    <d v="2026-09-29T00:00:00"/>
    <n v="166"/>
  </r>
  <r>
    <x v="0"/>
    <s v=""/>
    <s v=""/>
    <s v=""/>
    <s v=""/>
    <x v="403"/>
    <s v="RA-2-4]SERIAL POWER THU"/>
    <n v="204"/>
    <s v=""/>
    <x v="0"/>
    <d v="2026-09-10T00:00:00"/>
    <s v=""/>
    <n v="98670"/>
    <n v="30"/>
    <d v="2026-09-29T00:00:00"/>
    <n v="174"/>
  </r>
  <r>
    <x v="0"/>
    <s v=""/>
    <s v=""/>
    <s v=""/>
    <s v=""/>
    <x v="418"/>
    <s v="RA-10-1]AC CABLE ASS’Y"/>
    <n v="220"/>
    <s v=""/>
    <x v="9"/>
    <d v="2026-10-02T00:00:00"/>
    <s v=""/>
    <n v="98670"/>
    <n v="30"/>
    <d v="2026-10-02T00:00:00"/>
    <n v="190"/>
  </r>
  <r>
    <x v="0"/>
    <s v=""/>
    <s v=""/>
    <s v=""/>
    <s v=""/>
    <x v="445"/>
    <s v="RA-05V-0199]BRK PXD-200CT DRV PCB R"/>
    <n v="279"/>
    <s v=""/>
    <x v="186"/>
    <d v="2026-09-30T00:00:00"/>
    <s v=""/>
    <n v="98670"/>
    <n v="30"/>
    <d v="2026-09-29T00:00:00"/>
    <n v="249"/>
  </r>
  <r>
    <x v="0"/>
    <s v=""/>
    <s v=""/>
    <s v=""/>
    <s v=""/>
    <x v="451"/>
    <s v="RA-05V-0297]BRK PXD-200CT DRV PCB L"/>
    <n v="284"/>
    <s v=""/>
    <x v="186"/>
    <d v="2026-09-30T00:00:00"/>
    <s v=""/>
    <n v="98670"/>
    <n v="30"/>
    <d v="2026-09-29T00:00:00"/>
    <n v="254"/>
  </r>
  <r>
    <x v="0"/>
    <s v=""/>
    <s v=""/>
    <s v=""/>
    <s v=""/>
    <x v="455"/>
    <s v="RA-5-10]EARTH MOT SMPS(RPS)"/>
    <n v="305"/>
    <s v=""/>
    <x v="30"/>
    <d v="2026-09-30T00:00:00"/>
    <s v=""/>
    <n v="98670"/>
    <n v="30"/>
    <d v="2026-09-29T00:00:00"/>
    <n v="275"/>
  </r>
  <r>
    <x v="0"/>
    <s v=""/>
    <s v=""/>
    <s v=""/>
    <s v=""/>
    <x v="487"/>
    <s v="RA-04T-2524]CAS CHINREST UPPER (A+)"/>
    <n v="504"/>
    <s v=""/>
    <x v="27"/>
    <d v="2026-09-30T00:00:00"/>
    <s v=""/>
    <n v="98670"/>
    <n v="30"/>
    <d v="2026-09-29T00:00:00"/>
    <n v="474"/>
  </r>
  <r>
    <x v="0"/>
    <s v=""/>
    <s v=""/>
    <s v=""/>
    <s v=""/>
    <x v="115"/>
    <s v="RA-03T-0076]CAS MIRROR DECO"/>
    <n v="1"/>
    <s v=""/>
    <x v="27"/>
    <d v="2026-09-18T00:00:00"/>
    <s v=""/>
    <n v="98671"/>
    <n v="1"/>
    <d v="2026-09-30T00:00:00"/>
    <n v="0"/>
  </r>
  <r>
    <x v="0"/>
    <s v=""/>
    <s v=""/>
    <s v=""/>
    <s v=""/>
    <x v="550"/>
    <s v="RA-05V-2559]CVR SUB MCU"/>
    <n v="30"/>
    <s v=""/>
    <x v="214"/>
    <d v="2026-09-17T00:00:00"/>
    <s v=""/>
    <n v="98671"/>
    <n v="30"/>
    <d v="2026-09-30T00:00:00"/>
    <n v="0"/>
  </r>
  <r>
    <x v="0"/>
    <s v=""/>
    <s v="입고"/>
    <s v="진광"/>
    <s v="장동은"/>
    <x v="115"/>
    <s v="RA-03T-0076]CAS MIRROR DECO"/>
    <n v="45"/>
    <s v=""/>
    <x v="27"/>
    <d v="2026-09-28T00:00:00"/>
    <s v=""/>
    <n v="98671"/>
    <n v="29"/>
    <d v="2026-09-30T00:00:00"/>
    <n v="16"/>
  </r>
  <r>
    <x v="0"/>
    <s v=""/>
    <s v=""/>
    <s v=""/>
    <s v=""/>
    <x v="552"/>
    <s v="RA-03A-0287]ASM LEVER HORIZONTAL LASER"/>
    <n v="88"/>
    <s v=""/>
    <x v="150"/>
    <d v="2026-09-17T00:00:00"/>
    <s v=""/>
    <n v="98671"/>
    <n v="30"/>
    <d v="2026-09-30T00:00:00"/>
    <n v="58"/>
  </r>
  <r>
    <x v="0"/>
    <s v=""/>
    <s v="기초"/>
    <s v=""/>
    <s v=""/>
    <x v="217"/>
    <s v="RA-09V-2419]PLT PHNT (VA+)"/>
    <n v="91"/>
    <s v=""/>
    <x v="43"/>
    <d v="2026-09-11T00:00:00"/>
    <s v=""/>
    <n v="98671"/>
    <n v="30"/>
    <d v="2026-09-30T00:00:00"/>
    <n v="61"/>
  </r>
  <r>
    <x v="0"/>
    <s v=""/>
    <s v=""/>
    <s v=""/>
    <s v=""/>
    <x v="293"/>
    <s v="RA-07M-2497]CVR CT DET FRONT (A+ ODD)"/>
    <n v="124"/>
    <s v=""/>
    <x v="142"/>
    <d v="2026-09-15T00:00:00"/>
    <s v=""/>
    <n v="98671"/>
    <n v="30"/>
    <d v="2026-09-30T00:00:00"/>
    <n v="94"/>
  </r>
  <r>
    <x v="0"/>
    <s v=""/>
    <s v=""/>
    <s v=""/>
    <s v=""/>
    <x v="553"/>
    <s v="RA-7-3]LAN PC"/>
    <n v="171"/>
    <s v=""/>
    <x v="9"/>
    <d v="2026-09-17T00:00:00"/>
    <s v=""/>
    <n v="98671"/>
    <n v="30"/>
    <d v="2026-09-30T00:00:00"/>
    <n v="141"/>
  </r>
  <r>
    <x v="0"/>
    <s v=""/>
    <s v="기초"/>
    <s v=""/>
    <s v=""/>
    <x v="376"/>
    <s v="RA-06T-2144]DECO WINDOW COL"/>
    <n v="178"/>
    <s v=""/>
    <x v="167"/>
    <d v="2026-09-11T00:00:00"/>
    <s v=""/>
    <n v="98671"/>
    <n v="30"/>
    <d v="2026-09-30T00:00:00"/>
    <n v="148"/>
  </r>
  <r>
    <x v="0"/>
    <s v=""/>
    <s v=""/>
    <s v=""/>
    <s v=""/>
    <x v="387"/>
    <s v="RA-03M-2064]PLT MIRROR (A+)"/>
    <n v="184"/>
    <s v=""/>
    <x v="170"/>
    <d v="2026-09-15T00:00:00"/>
    <s v=""/>
    <n v="98671"/>
    <n v="30"/>
    <d v="2026-09-30T00:00:00"/>
    <n v="154"/>
  </r>
  <r>
    <x v="0"/>
    <s v=""/>
    <s v=""/>
    <s v=""/>
    <s v=""/>
    <x v="606"/>
    <s v="RA-05V-0186]BRK CAS ROT TOP"/>
    <n v="201"/>
    <s v=""/>
    <x v="15"/>
    <d v="2026-09-17T00:00:00"/>
    <s v=""/>
    <n v="98671"/>
    <n v="60"/>
    <d v="2026-09-30T00:00:00"/>
    <n v="141"/>
  </r>
  <r>
    <x v="0"/>
    <s v=""/>
    <s v=""/>
    <s v=""/>
    <s v=""/>
    <x v="554"/>
    <s v="RA-04T-0144]CAS CHINREST BOT"/>
    <n v="266"/>
    <s v=""/>
    <x v="27"/>
    <d v="2026-09-17T00:00:00"/>
    <s v=""/>
    <n v="98671"/>
    <n v="30"/>
    <d v="2026-09-30T00:00:00"/>
    <n v="236"/>
  </r>
  <r>
    <x v="0"/>
    <s v=""/>
    <s v=""/>
    <s v=""/>
    <s v=""/>
    <x v="459"/>
    <s v="RA-06M-2299]PLT MIRROR TUBE CAS R (A+)"/>
    <n v="324"/>
    <s v=""/>
    <x v="167"/>
    <d v="2026-09-15T00:00:00"/>
    <s v=""/>
    <n v="98671"/>
    <n v="30"/>
    <d v="2026-09-30T00:00:00"/>
    <n v="294"/>
  </r>
  <r>
    <x v="0"/>
    <s v=""/>
    <s v=""/>
    <s v=""/>
    <s v=""/>
    <x v="469"/>
    <s v="RA-06M-2298]PLT MIRROR TUBE CAS L (A+)"/>
    <n v="408"/>
    <s v=""/>
    <x v="167"/>
    <d v="2026-09-15T00:00:00"/>
    <s v=""/>
    <n v="98671"/>
    <n v="30"/>
    <d v="2026-09-30T00:00:00"/>
    <n v="378"/>
  </r>
  <r>
    <x v="0"/>
    <s v=""/>
    <s v=""/>
    <s v=""/>
    <s v=""/>
    <x v="555"/>
    <s v="RA-05T-0207]CAS ROT BOT DECO"/>
    <n v="418"/>
    <s v=""/>
    <x v="178"/>
    <d v="2026-09-17T00:00:00"/>
    <s v=""/>
    <n v="98671"/>
    <n v="30"/>
    <d v="2026-09-30T00:00:00"/>
    <n v="388"/>
  </r>
  <r>
    <x v="0"/>
    <s v=""/>
    <s v=""/>
    <s v=""/>
    <s v=""/>
    <x v="482"/>
    <s v="RA-06V-0249]HLDR CAS TUBE TNK REAR"/>
    <n v="510"/>
    <s v=""/>
    <x v="15"/>
    <d v="2026-09-15T00:00:00"/>
    <s v=""/>
    <n v="98671"/>
    <n v="60"/>
    <d v="2026-09-30T00:00:00"/>
    <n v="450"/>
  </r>
  <r>
    <x v="0"/>
    <s v=""/>
    <s v="기초"/>
    <s v=""/>
    <s v=""/>
    <x v="431"/>
    <s v="RA-09M-2269]SCREW FIX PHNT (A+)"/>
    <n v="600"/>
    <s v=""/>
    <x v="15"/>
    <d v="2026-09-11T00:00:00"/>
    <s v=""/>
    <n v="98671"/>
    <n v="120"/>
    <d v="2026-09-30T00:00:00"/>
    <n v="480"/>
  </r>
  <r>
    <x v="0"/>
    <s v=""/>
    <s v=""/>
    <s v=""/>
    <s v=""/>
    <x v="222"/>
    <s v="RF-01T-0173]ARM CVR REAR DECO"/>
    <n v="720"/>
    <s v=""/>
    <x v="119"/>
    <d v="2026-09-03T00:00:00"/>
    <s v=""/>
    <n v="98675"/>
    <n v="1"/>
    <d v="2026-09-15T00:00:00"/>
    <n v="719"/>
  </r>
  <r>
    <x v="0"/>
    <s v=""/>
    <s v=""/>
    <s v=""/>
    <s v=""/>
    <x v="369"/>
    <s v="RA-04V-1708]CVR THU Bd"/>
    <n v="6"/>
    <s v=""/>
    <x v="165"/>
    <d v="2026-09-29T00:00:00"/>
    <s v=""/>
    <n v="98677"/>
    <n v="6"/>
    <d v="2026-09-30T00:00:00"/>
    <n v="0"/>
  </r>
  <r>
    <x v="0"/>
    <s v=""/>
    <s v=""/>
    <s v=""/>
    <s v=""/>
    <x v="172"/>
    <s v="RA-04A-6035_4]Bd ASSY'-THU Bd"/>
    <n v="35"/>
    <s v=""/>
    <x v="100"/>
    <d v="2026-10-01T00:00:00"/>
    <s v=""/>
    <n v="98677"/>
    <n v="10"/>
    <d v="2026-10-01T00:00:00"/>
    <n v="25"/>
  </r>
  <r>
    <x v="0"/>
    <s v=""/>
    <s v=""/>
    <s v=""/>
    <s v=""/>
    <x v="177"/>
    <s v="RA-04A-2748]ASM ARM SUB (A+) (VN)"/>
    <n v="47"/>
    <s v=""/>
    <x v="33"/>
    <d v="2026-09-29T00:00:00"/>
    <s v=""/>
    <n v="98677"/>
    <n v="10"/>
    <d v="2026-09-30T00:00:00"/>
    <n v="37"/>
  </r>
  <r>
    <x v="0"/>
    <s v=""/>
    <s v=""/>
    <s v=""/>
    <s v=""/>
    <x v="128"/>
    <s v="RA-03V-1639]PLT ELECT COMPONENT (VA)"/>
    <n v="48"/>
    <s v=""/>
    <x v="83"/>
    <d v="2026-09-29T00:00:00"/>
    <s v=""/>
    <n v="98677"/>
    <n v="10"/>
    <d v="2026-09-30T00:00:00"/>
    <n v="38"/>
  </r>
  <r>
    <x v="0"/>
    <s v=""/>
    <s v=""/>
    <s v=""/>
    <s v=""/>
    <x v="142"/>
    <s v="RA-5-1]EARTH NF"/>
    <n v="50"/>
    <s v=""/>
    <x v="30"/>
    <d v="2026-09-29T00:00:00"/>
    <s v=""/>
    <n v="98677"/>
    <n v="10"/>
    <d v="2026-09-30T00:00:00"/>
    <n v="40"/>
  </r>
  <r>
    <x v="0"/>
    <s v=""/>
    <s v=""/>
    <s v=""/>
    <s v=""/>
    <x v="193"/>
    <s v="RA-04V-0117] ARM MONITOR"/>
    <n v="72"/>
    <s v=""/>
    <x v="108"/>
    <d v="2026-09-29T00:00:00"/>
    <s v=""/>
    <n v="98677"/>
    <n v="10"/>
    <d v="2026-09-30T00:00:00"/>
    <n v="62"/>
  </r>
  <r>
    <x v="0"/>
    <s v=""/>
    <s v=""/>
    <s v=""/>
    <s v=""/>
    <x v="198"/>
    <s v="RA-03S-6045]SMPS-RPS-200-24V"/>
    <n v="75"/>
    <s v=""/>
    <x v="110"/>
    <d v="2026-09-10T00:00:00"/>
    <s v=""/>
    <n v="98677"/>
    <n v="10"/>
    <d v="2026-09-30T00:00:00"/>
    <n v="65"/>
  </r>
  <r>
    <x v="0"/>
    <s v=""/>
    <s v=""/>
    <s v=""/>
    <s v=""/>
    <x v="214"/>
    <s v="RA-04S-5174]THU Cable Ass'y"/>
    <n v="77"/>
    <s v=""/>
    <x v="117"/>
    <d v="2026-09-29T00:00:00"/>
    <s v=""/>
    <n v="98677"/>
    <n v="10"/>
    <d v="2026-09-30T00:00:00"/>
    <n v="67"/>
  </r>
  <r>
    <x v="0"/>
    <s v=""/>
    <s v=""/>
    <s v=""/>
    <s v=""/>
    <x v="221"/>
    <s v="RA-04V-1709]BRK THU Bd"/>
    <n v="83"/>
    <s v=""/>
    <x v="118"/>
    <d v="2026-09-29T00:00:00"/>
    <s v=""/>
    <n v="98677"/>
    <n v="10"/>
    <d v="2026-09-30T00:00:00"/>
    <n v="73"/>
  </r>
  <r>
    <x v="0"/>
    <s v=""/>
    <s v=""/>
    <s v=""/>
    <s v=""/>
    <x v="232"/>
    <s v="RA-03S-5176]NOISE FILTER RSHN2016"/>
    <n v="85"/>
    <s v=""/>
    <x v="110"/>
    <d v="2026-09-29T00:00:00"/>
    <s v=""/>
    <n v="98677"/>
    <n v="10"/>
    <d v="2026-09-30T00:00:00"/>
    <n v="75"/>
  </r>
  <r>
    <x v="0"/>
    <s v=""/>
    <s v=""/>
    <s v=""/>
    <s v=""/>
    <x v="239"/>
    <s v="RA-03S-5013]Mgnet CONTECTOR-LP1K0910BD"/>
    <n v="87"/>
    <s v=""/>
    <x v="125"/>
    <d v="2026-09-29T00:00:00"/>
    <s v=""/>
    <n v="98677"/>
    <n v="10"/>
    <d v="2026-09-30T00:00:00"/>
    <n v="77"/>
  </r>
  <r>
    <x v="0"/>
    <s v=""/>
    <s v=""/>
    <s v=""/>
    <s v=""/>
    <x v="245"/>
    <s v="RA-04A-1926]ASM CHINREST SUB"/>
    <n v="96"/>
    <s v=""/>
    <x v="104"/>
    <d v="2026-09-29T00:00:00"/>
    <s v=""/>
    <n v="98677"/>
    <n v="10"/>
    <d v="2026-09-30T00:00:00"/>
    <n v="86"/>
  </r>
  <r>
    <x v="0"/>
    <s v=""/>
    <s v=""/>
    <s v=""/>
    <s v=""/>
    <x v="273"/>
    <s v="RA-04M-1339]BLK HEADREST FIX BAR-R"/>
    <n v="101"/>
    <s v=""/>
    <x v="134"/>
    <d v="2026-09-29T00:00:00"/>
    <s v=""/>
    <n v="98677"/>
    <n v="10"/>
    <d v="2026-09-30T00:00:00"/>
    <n v="91"/>
  </r>
  <r>
    <x v="0"/>
    <s v=""/>
    <s v=""/>
    <s v=""/>
    <s v=""/>
    <x v="295"/>
    <s v="RA-03S-6025]LBM-RAY01"/>
    <n v="116"/>
    <s v=""/>
    <x v="74"/>
    <d v="2026-09-29T00:00:00"/>
    <s v=""/>
    <n v="98677"/>
    <n v="10"/>
    <d v="2026-09-30T00:00:00"/>
    <n v="106"/>
  </r>
  <r>
    <x v="0"/>
    <s v=""/>
    <s v=""/>
    <s v=""/>
    <s v=""/>
    <x v="294"/>
    <s v="RA-03S-5180A]A2K_LBM01-570"/>
    <n v="116"/>
    <s v=""/>
    <x v="74"/>
    <d v="2026-09-29T00:00:00"/>
    <s v=""/>
    <n v="98677"/>
    <n v="10"/>
    <d v="2026-09-30T00:00:00"/>
    <n v="106"/>
  </r>
  <r>
    <x v="0"/>
    <s v=""/>
    <s v=""/>
    <s v=""/>
    <s v=""/>
    <x v="357"/>
    <s v="RA-03V-1908]BRK FIX HUB"/>
    <n v="124"/>
    <s v=""/>
    <x v="163"/>
    <d v="2026-09-29T00:00:00"/>
    <s v=""/>
    <n v="98677"/>
    <n v="10"/>
    <d v="2026-09-30T00:00:00"/>
    <n v="114"/>
  </r>
  <r>
    <x v="0"/>
    <s v=""/>
    <s v=""/>
    <s v=""/>
    <s v=""/>
    <x v="323"/>
    <s v="RA-04A-0899]ASM LCD M101NWT2 R1"/>
    <n v="136"/>
    <s v=""/>
    <x v="94"/>
    <d v="2026-09-29T00:00:00"/>
    <s v=""/>
    <n v="98677"/>
    <n v="10"/>
    <d v="2026-09-30T00:00:00"/>
    <n v="126"/>
  </r>
  <r>
    <x v="0"/>
    <s v=""/>
    <s v=""/>
    <s v=""/>
    <s v=""/>
    <x v="361"/>
    <s v="RA-03V-1991]BRK CENTER LASERBEAM (A+)"/>
    <n v="145"/>
    <s v=""/>
    <x v="65"/>
    <d v="2026-09-29T00:00:00"/>
    <s v=""/>
    <n v="98677"/>
    <n v="10"/>
    <d v="2026-09-30T00:00:00"/>
    <n v="135"/>
  </r>
  <r>
    <x v="0"/>
    <s v=""/>
    <s v=""/>
    <s v=""/>
    <s v=""/>
    <x v="351"/>
    <s v="RA-03M-2193]CVR PROT (A+)"/>
    <n v="146"/>
    <s v=""/>
    <x v="74"/>
    <d v="2026-09-29T00:00:00"/>
    <s v=""/>
    <n v="98677"/>
    <n v="10"/>
    <d v="2026-09-30T00:00:00"/>
    <n v="136"/>
  </r>
  <r>
    <x v="0"/>
    <s v=""/>
    <s v=""/>
    <s v=""/>
    <s v=""/>
    <x v="355"/>
    <s v="RA-04M-1338]BLK HEADREST FIX BAR-L"/>
    <n v="151"/>
    <s v=""/>
    <x v="134"/>
    <d v="2026-09-29T00:00:00"/>
    <s v=""/>
    <n v="98677"/>
    <n v="10"/>
    <d v="2026-09-30T00:00:00"/>
    <n v="141"/>
  </r>
  <r>
    <x v="0"/>
    <s v=""/>
    <s v="입고"/>
    <s v="우주정공"/>
    <s v="조영우"/>
    <x v="369"/>
    <s v="RA-04V-1708]CVR THU Bd"/>
    <n v="154"/>
    <s v=""/>
    <x v="165"/>
    <d v="2026-09-28T00:00:00"/>
    <s v=""/>
    <n v="98677"/>
    <n v="4"/>
    <d v="2026-09-30T00:00:00"/>
    <n v="150"/>
  </r>
  <r>
    <x v="0"/>
    <s v=""/>
    <s v=""/>
    <s v=""/>
    <s v=""/>
    <x v="321"/>
    <s v="RA-04S-0121]HINGE SET"/>
    <n v="175"/>
    <s v=""/>
    <x v="150"/>
    <d v="2026-09-29T00:00:00"/>
    <s v=""/>
    <n v="98677"/>
    <n v="20"/>
    <d v="2026-09-30T00:00:00"/>
    <n v="155"/>
  </r>
  <r>
    <x v="0"/>
    <s v=""/>
    <s v=""/>
    <s v=""/>
    <s v=""/>
    <x v="391"/>
    <s v="RA-03A-6012]Bd ASSY'-ACT Bd(A/A+)"/>
    <n v="180"/>
    <s v=""/>
    <x v="172"/>
    <d v="2026-09-29T00:00:00"/>
    <s v=""/>
    <n v="98677"/>
    <n v="10"/>
    <d v="2026-09-30T00:00:00"/>
    <n v="170"/>
  </r>
  <r>
    <x v="0"/>
    <s v=""/>
    <s v=""/>
    <s v=""/>
    <s v=""/>
    <x v="352"/>
    <s v="RA-04V-0118]BRK MONITOR HINGE"/>
    <n v="186"/>
    <s v=""/>
    <x v="160"/>
    <d v="2026-09-29T00:00:00"/>
    <s v=""/>
    <n v="98677"/>
    <n v="20"/>
    <d v="2026-09-30T00:00:00"/>
    <n v="166"/>
  </r>
  <r>
    <x v="0"/>
    <s v=""/>
    <s v=""/>
    <s v=""/>
    <s v=""/>
    <x v="424"/>
    <s v="RA-03T-1992]HLDR LASER BEAM V"/>
    <n v="225"/>
    <s v=""/>
    <x v="74"/>
    <d v="2026-09-29T00:00:00"/>
    <s v=""/>
    <n v="98677"/>
    <n v="10"/>
    <d v="2026-09-30T00:00:00"/>
    <n v="215"/>
  </r>
  <r>
    <x v="0"/>
    <s v=""/>
    <s v=""/>
    <s v=""/>
    <s v=""/>
    <x v="425"/>
    <s v="RA-03A-6016A]BD ASSY'-AC FUSE BLK"/>
    <n v="226"/>
    <s v=""/>
    <x v="181"/>
    <d v="2026-09-29T00:00:00"/>
    <s v=""/>
    <n v="98677"/>
    <n v="10"/>
    <d v="2026-09-30T00:00:00"/>
    <n v="216"/>
  </r>
  <r>
    <x v="0"/>
    <s v=""/>
    <s v=""/>
    <s v=""/>
    <s v=""/>
    <x v="181"/>
    <s v="RA-03A-0050_I]ASM HORIZONTAL LASER BEAM"/>
    <n v="254"/>
    <s v=""/>
    <x v="104"/>
    <d v="2026-09-29T00:00:00"/>
    <s v=""/>
    <n v="98677"/>
    <n v="10"/>
    <d v="2026-09-30T00:00:00"/>
    <n v="244"/>
  </r>
  <r>
    <x v="0"/>
    <s v=""/>
    <s v=""/>
    <s v=""/>
    <s v=""/>
    <x v="444"/>
    <s v="RA-04M-2399]GUIDE BITE BLK A (A+)"/>
    <n v="268"/>
    <s v=""/>
    <x v="128"/>
    <d v="2026-09-29T00:00:00"/>
    <s v=""/>
    <n v="98677"/>
    <n v="10"/>
    <d v="2026-09-30T00:00:00"/>
    <n v="258"/>
  </r>
  <r>
    <x v="0"/>
    <s v=""/>
    <s v=""/>
    <s v=""/>
    <s v=""/>
    <x v="446"/>
    <s v="RA-1-1_2]AC POWER FUSE TO NF2"/>
    <n v="269"/>
    <s v=""/>
    <x v="184"/>
    <d v="2026-09-29T00:00:00"/>
    <s v=""/>
    <n v="98677"/>
    <n v="10"/>
    <d v="2026-09-30T00:00:00"/>
    <n v="259"/>
  </r>
  <r>
    <x v="0"/>
    <s v=""/>
    <s v=""/>
    <s v=""/>
    <s v=""/>
    <x v="464"/>
    <s v="RA-09A-2753]ASM CT HEADREST FIX BAS(A+)"/>
    <n v="339"/>
    <s v=""/>
    <x v="128"/>
    <d v="2026-09-29T00:00:00"/>
    <s v=""/>
    <n v="98677"/>
    <n v="10"/>
    <d v="2026-09-30T00:00:00"/>
    <n v="329"/>
  </r>
  <r>
    <x v="0"/>
    <s v=""/>
    <s v=""/>
    <s v=""/>
    <s v=""/>
    <x v="465"/>
    <s v="RA-03A-6046]SMPS CONN B/D"/>
    <n v="344"/>
    <s v=""/>
    <x v="111"/>
    <d v="2026-09-29T00:00:00"/>
    <s v=""/>
    <n v="98677"/>
    <n v="10"/>
    <d v="2026-09-30T00:00:00"/>
    <n v="334"/>
  </r>
  <r>
    <x v="0"/>
    <s v=""/>
    <s v=""/>
    <s v=""/>
    <s v=""/>
    <x v="452"/>
    <s v="RA-1-2_2]AC POWER FUSE TO NF1"/>
    <n v="530"/>
    <s v=""/>
    <x v="184"/>
    <d v="2026-09-29T00:00:00"/>
    <s v=""/>
    <n v="98677"/>
    <n v="10"/>
    <d v="2026-09-30T00:00:00"/>
    <n v="520"/>
  </r>
  <r>
    <x v="0"/>
    <s v=""/>
    <s v=""/>
    <s v=""/>
    <s v=""/>
    <x v="497"/>
    <s v="RA-03V-2285]BRK CABLE GUIDE CLMN (A+)"/>
    <n v="586"/>
    <s v=""/>
    <x v="198"/>
    <d v="2026-09-29T00:00:00"/>
    <s v=""/>
    <n v="98677"/>
    <n v="20"/>
    <d v="2026-09-30T00:00:00"/>
    <n v="566"/>
  </r>
  <r>
    <x v="0"/>
    <s v=""/>
    <s v=""/>
    <s v=""/>
    <s v=""/>
    <x v="504"/>
    <s v="RA-03M-2068]BRK CLMN REAR CAS LWR (A+)"/>
    <n v="676"/>
    <s v=""/>
    <x v="200"/>
    <d v="2026-09-29T00:00:00"/>
    <s v=""/>
    <n v="98677"/>
    <n v="10"/>
    <d v="2026-09-30T00:00:00"/>
    <n v="666"/>
  </r>
  <r>
    <x v="0"/>
    <s v=""/>
    <s v=""/>
    <s v=""/>
    <s v=""/>
    <x v="503"/>
    <s v="RA-03M-0063]GUIDE PIN 2"/>
    <n v="702"/>
    <s v=""/>
    <x v="163"/>
    <d v="2026-09-29T00:00:00"/>
    <s v=""/>
    <n v="98677"/>
    <n v="20"/>
    <d v="2026-09-30T00:00:00"/>
    <n v="682"/>
  </r>
  <r>
    <x v="0"/>
    <s v=""/>
    <s v=""/>
    <s v=""/>
    <s v=""/>
    <x v="252"/>
    <s v="RA-04V-1109]BRK ARM RIGID L"/>
    <n v="10"/>
    <s v=""/>
    <x v="128"/>
    <d v="2026-09-15T00:00:00"/>
    <s v=""/>
    <n v="98678"/>
    <n v="10"/>
    <d v="2026-09-30T00:00:00"/>
    <n v="0"/>
  </r>
  <r>
    <x v="0"/>
    <s v=""/>
    <s v=""/>
    <s v=""/>
    <s v=""/>
    <x v="253"/>
    <s v="RA-04V-1108]BRK ARM RIGID R"/>
    <n v="10"/>
    <s v=""/>
    <x v="128"/>
    <d v="2026-09-15T00:00:00"/>
    <s v=""/>
    <n v="98678"/>
    <n v="10"/>
    <d v="2026-09-30T00:00:00"/>
    <n v="0"/>
  </r>
  <r>
    <x v="0"/>
    <s v=""/>
    <s v=""/>
    <s v=""/>
    <s v=""/>
    <x v="473"/>
    <s v="RA-3-6]INDICATOR CONTROL"/>
    <n v="36"/>
    <s v=""/>
    <x v="130"/>
    <d v="2026-09-15T00:00:00"/>
    <s v=""/>
    <n v="98678"/>
    <n v="6"/>
    <d v="2026-09-30T00:00:00"/>
    <n v="30"/>
  </r>
  <r>
    <x v="0"/>
    <s v=""/>
    <s v=""/>
    <s v=""/>
    <s v=""/>
    <x v="264"/>
    <s v="RA-06A-5004]Bd ASSY'-Indicator Bd"/>
    <n v="38"/>
    <s v=""/>
    <x v="131"/>
    <d v="2026-09-15T00:00:00"/>
    <s v=""/>
    <n v="98678"/>
    <n v="20"/>
    <d v="2026-09-30T00:00:00"/>
    <n v="18"/>
  </r>
  <r>
    <x v="0"/>
    <s v=""/>
    <s v=""/>
    <s v=""/>
    <s v=""/>
    <x v="589"/>
    <s v="RA-05V-2654]BRK CAS ROT BOT"/>
    <n v="49"/>
    <s v=""/>
    <x v="175"/>
    <d v="2026-09-15T00:00:00"/>
    <s v=""/>
    <n v="98678"/>
    <n v="10"/>
    <d v="2026-09-30T00:00:00"/>
    <n v="39"/>
  </r>
  <r>
    <x v="0"/>
    <s v=""/>
    <s v=""/>
    <s v=""/>
    <s v=""/>
    <x v="466"/>
    <s v="RA-1-5]AC POWER SMPS-1"/>
    <n v="50"/>
    <s v=""/>
    <x v="184"/>
    <d v="2026-09-15T00:00:00"/>
    <s v=""/>
    <n v="98678"/>
    <n v="10"/>
    <d v="2026-09-30T00:00:00"/>
    <n v="40"/>
  </r>
  <r>
    <x v="0"/>
    <s v=""/>
    <s v=""/>
    <s v=""/>
    <s v=""/>
    <x v="157"/>
    <s v="RA-11-9]DC POWER MOT-A"/>
    <n v="84"/>
    <s v=""/>
    <x v="9"/>
    <d v="2026-09-17T00:00:00"/>
    <s v=""/>
    <n v="98678"/>
    <n v="10"/>
    <d v="2026-09-30T00:00:00"/>
    <n v="74"/>
  </r>
  <r>
    <x v="0"/>
    <s v=""/>
    <s v=""/>
    <s v=""/>
    <s v=""/>
    <x v="235"/>
    <s v="RA-7-5]LAN THU"/>
    <n v="106"/>
    <s v=""/>
    <x v="123"/>
    <d v="2026-09-15T00:00:00"/>
    <s v=""/>
    <n v="98678"/>
    <n v="10"/>
    <d v="2026-09-30T00:00:00"/>
    <n v="96"/>
  </r>
  <r>
    <x v="0"/>
    <s v=""/>
    <s v=""/>
    <s v=""/>
    <s v=""/>
    <x v="262"/>
    <s v="RA-3-5]INDICATOR"/>
    <n v="115"/>
    <s v=""/>
    <x v="130"/>
    <d v="2026-09-15T00:00:00"/>
    <s v=""/>
    <n v="98678"/>
    <n v="10"/>
    <d v="2026-09-30T00:00:00"/>
    <n v="105"/>
  </r>
  <r>
    <x v="0"/>
    <s v=""/>
    <s v=""/>
    <s v=""/>
    <s v=""/>
    <x v="586"/>
    <s v="RA-1-11]DC POWER HUB"/>
    <n v="115"/>
    <s v=""/>
    <x v="184"/>
    <d v="2026-09-15T00:00:00"/>
    <s v=""/>
    <n v="98678"/>
    <n v="10"/>
    <d v="2026-09-30T00:00:00"/>
    <n v="105"/>
  </r>
  <r>
    <x v="0"/>
    <s v=""/>
    <s v=""/>
    <s v=""/>
    <s v=""/>
    <x v="347"/>
    <s v="RA-07T-1766]BLK DET SNSR"/>
    <n v="124"/>
    <s v=""/>
    <x v="98"/>
    <d v="2026-09-17T00:00:00"/>
    <s v=""/>
    <n v="98678"/>
    <n v="20"/>
    <d v="2026-09-30T00:00:00"/>
    <n v="104"/>
  </r>
  <r>
    <x v="0"/>
    <s v=""/>
    <s v=""/>
    <s v=""/>
    <s v=""/>
    <x v="278"/>
    <s v="RA-9-8]SERIAL POWER LS 1"/>
    <n v="124"/>
    <s v=""/>
    <x v="137"/>
    <d v="2026-09-15T00:00:00"/>
    <s v=""/>
    <n v="98678"/>
    <n v="10"/>
    <d v="2026-09-30T00:00:00"/>
    <n v="114"/>
  </r>
  <r>
    <x v="0"/>
    <s v=""/>
    <s v=""/>
    <s v=""/>
    <s v=""/>
    <x v="299"/>
    <s v="RA-05T-0210]CAS ROT TOP SUB"/>
    <n v="143"/>
    <s v=""/>
    <x v="27"/>
    <d v="2026-09-15T00:00:00"/>
    <s v=""/>
    <n v="98678"/>
    <n v="10"/>
    <d v="2026-09-30T00:00:00"/>
    <n v="133"/>
  </r>
  <r>
    <x v="0"/>
    <s v=""/>
    <s v=""/>
    <s v=""/>
    <s v=""/>
    <x v="535"/>
    <s v="RA-02M-0395]PIN VERT POSITION"/>
    <n v="146"/>
    <s v=""/>
    <x v="185"/>
    <d v="2026-09-15T00:00:00"/>
    <s v=""/>
    <n v="98678"/>
    <n v="20"/>
    <d v="2026-09-30T00:00:00"/>
    <n v="126"/>
  </r>
  <r>
    <x v="0"/>
    <s v=""/>
    <s v=""/>
    <s v=""/>
    <s v=""/>
    <x v="374"/>
    <s v="RA-3-3A]DCM CONTROL-A"/>
    <n v="187"/>
    <s v=""/>
    <x v="9"/>
    <d v="2026-09-15T00:00:00"/>
    <s v=""/>
    <n v="98678"/>
    <n v="10"/>
    <d v="2026-09-30T00:00:00"/>
    <n v="177"/>
  </r>
  <r>
    <x v="0"/>
    <s v=""/>
    <s v=""/>
    <s v=""/>
    <s v=""/>
    <x v="379"/>
    <s v="RA-1-12]DC POWER SMPS CONN"/>
    <n v="190"/>
    <s v=""/>
    <x v="0"/>
    <d v="2026-09-15T00:00:00"/>
    <s v=""/>
    <n v="98678"/>
    <n v="10"/>
    <d v="2026-09-30T00:00:00"/>
    <n v="180"/>
  </r>
  <r>
    <x v="0"/>
    <s v=""/>
    <s v=""/>
    <s v=""/>
    <s v=""/>
    <x v="418"/>
    <s v="RA-10-1]AC CABLE ASS’Y"/>
    <n v="190"/>
    <s v=""/>
    <x v="9"/>
    <d v="2026-10-02T00:00:00"/>
    <s v=""/>
    <n v="98678"/>
    <n v="10"/>
    <d v="2026-10-02T00:00:00"/>
    <n v="180"/>
  </r>
  <r>
    <x v="0"/>
    <s v=""/>
    <s v=""/>
    <s v=""/>
    <s v=""/>
    <x v="382"/>
    <s v="RA-2-9]ACT 2nd LIMIT"/>
    <n v="192"/>
    <s v=""/>
    <x v="0"/>
    <d v="2026-09-15T00:00:00"/>
    <s v=""/>
    <n v="98678"/>
    <n v="10"/>
    <d v="2026-09-30T00:00:00"/>
    <n v="182"/>
  </r>
  <r>
    <x v="0"/>
    <s v=""/>
    <s v=""/>
    <s v=""/>
    <s v=""/>
    <x v="388"/>
    <s v="RA-8-4]AC POWER CEPH"/>
    <n v="195"/>
    <s v=""/>
    <x v="9"/>
    <d v="2026-09-15T00:00:00"/>
    <s v=""/>
    <n v="98678"/>
    <n v="10"/>
    <d v="2026-09-30T00:00:00"/>
    <n v="185"/>
  </r>
  <r>
    <x v="0"/>
    <s v=""/>
    <s v=""/>
    <s v=""/>
    <s v=""/>
    <x v="395"/>
    <s v="RA-5-8]EARTH CTRL SMPS"/>
    <n v="206"/>
    <s v=""/>
    <x v="30"/>
    <d v="2026-09-15T00:00:00"/>
    <s v=""/>
    <n v="98678"/>
    <n v="10"/>
    <d v="2026-09-30T00:00:00"/>
    <n v="196"/>
  </r>
  <r>
    <x v="0"/>
    <s v=""/>
    <s v=""/>
    <s v=""/>
    <s v=""/>
    <x v="403"/>
    <s v="RA-2-4]SERIAL POWER THU"/>
    <n v="218"/>
    <s v=""/>
    <x v="0"/>
    <d v="2026-09-15T00:00:00"/>
    <s v=""/>
    <n v="98678"/>
    <n v="10"/>
    <d v="2026-09-30T00:00:00"/>
    <n v="208"/>
  </r>
  <r>
    <x v="0"/>
    <s v=""/>
    <s v=""/>
    <s v=""/>
    <s v=""/>
    <x v="445"/>
    <s v="RA-05V-0199]BRK PXD-200CT DRV PCB R"/>
    <n v="289"/>
    <s v=""/>
    <x v="186"/>
    <d v="2026-09-30T00:00:00"/>
    <s v=""/>
    <n v="98678"/>
    <n v="10"/>
    <d v="2026-09-30T00:00:00"/>
    <n v="279"/>
  </r>
  <r>
    <x v="0"/>
    <s v=""/>
    <s v=""/>
    <s v=""/>
    <s v=""/>
    <x v="451"/>
    <s v="RA-05V-0297]BRK PXD-200CT DRV PCB L"/>
    <n v="294"/>
    <s v=""/>
    <x v="186"/>
    <d v="2026-09-30T00:00:00"/>
    <s v=""/>
    <n v="98678"/>
    <n v="10"/>
    <d v="2026-09-30T00:00:00"/>
    <n v="284"/>
  </r>
  <r>
    <x v="0"/>
    <s v=""/>
    <s v=""/>
    <s v=""/>
    <s v=""/>
    <x v="455"/>
    <s v="RA-5-10]EARTH MOT SMPS(RPS)"/>
    <n v="315"/>
    <s v=""/>
    <x v="30"/>
    <d v="2026-09-15T00:00:00"/>
    <s v=""/>
    <n v="98678"/>
    <n v="10"/>
    <d v="2026-09-30T00:00:00"/>
    <n v="305"/>
  </r>
  <r>
    <x v="0"/>
    <s v=""/>
    <s v=""/>
    <s v=""/>
    <s v=""/>
    <x v="487"/>
    <s v="RA-04T-2524]CAS CHINREST UPPER (A+)"/>
    <n v="514"/>
    <s v=""/>
    <x v="27"/>
    <d v="2026-09-17T00:00:00"/>
    <s v=""/>
    <n v="98678"/>
    <n v="10"/>
    <d v="2026-09-30T00:00:00"/>
    <n v="504"/>
  </r>
  <r>
    <x v="0"/>
    <s v=""/>
    <s v="입고"/>
    <s v="Bach tung"/>
    <s v="유영국"/>
    <x v="33"/>
    <s v="RA-06A-2760]ASM COL MOVING (ST) (VN)"/>
    <n v="5"/>
    <s v=""/>
    <x v="25"/>
    <d v="2026-09-23T00:00:00"/>
    <s v=""/>
    <n v="98679"/>
    <n v="5"/>
    <d v="2026-09-30T00:00:00"/>
    <n v="0"/>
  </r>
  <r>
    <x v="0"/>
    <s v=""/>
    <s v=""/>
    <s v=""/>
    <s v=""/>
    <x v="77"/>
    <s v="RA-06M-3317]BLK COL FIX UPPER (ST)"/>
    <n v="19"/>
    <s v=""/>
    <x v="58"/>
    <d v="2026-09-17T00:00:00"/>
    <s v=""/>
    <n v="98679"/>
    <n v="10"/>
    <d v="2026-09-30T00:00:00"/>
    <n v="9"/>
  </r>
  <r>
    <x v="0"/>
    <s v=""/>
    <s v=""/>
    <s v=""/>
    <s v=""/>
    <x v="38"/>
    <s v="RA-5-4]EARTH ROT TO TUBE"/>
    <n v="31"/>
    <s v=""/>
    <x v="30"/>
    <d v="2026-09-30T00:00:00"/>
    <s v=""/>
    <n v="98679"/>
    <n v="10"/>
    <d v="2026-09-30T00:00:00"/>
    <n v="21"/>
  </r>
  <r>
    <x v="0"/>
    <s v=""/>
    <s v="입고"/>
    <s v="Bach tung"/>
    <s v="유영국"/>
    <x v="33"/>
    <s v="RA-06A-2760]ASM COL MOVING (ST) (VN)"/>
    <n v="40"/>
    <s v=""/>
    <x v="25"/>
    <d v="2026-09-17T00:00:00"/>
    <s v=""/>
    <n v="98679"/>
    <n v="5"/>
    <d v="2026-09-30T00:00:00"/>
    <n v="35"/>
  </r>
  <r>
    <x v="0"/>
    <s v=""/>
    <s v=""/>
    <s v=""/>
    <s v=""/>
    <x v="206"/>
    <s v="  "/>
    <n v="48"/>
    <s v=""/>
    <x v="113"/>
    <d v="2026-09-17T00:00:00"/>
    <s v=""/>
    <n v="98679"/>
    <n v="10"/>
    <d v="2026-09-30T00:00:00"/>
    <n v="38"/>
  </r>
  <r>
    <x v="0"/>
    <s v=""/>
    <s v=""/>
    <s v=""/>
    <s v=""/>
    <x v="238"/>
    <s v="RA-07M-3424]BLK STOPPER MICROMTR HEAD(ST"/>
    <n v="57"/>
    <s v=""/>
    <x v="124"/>
    <d v="2026-09-17T00:00:00"/>
    <s v=""/>
    <n v="98679"/>
    <n v="10"/>
    <d v="2026-09-30T00:00:00"/>
    <n v="47"/>
  </r>
  <r>
    <x v="0"/>
    <s v=""/>
    <s v=""/>
    <s v=""/>
    <s v=""/>
    <x v="250"/>
    <s v="RA-06A-3314]ASM TUBE TNK SUP (ST)"/>
    <n v="64"/>
    <s v=""/>
    <x v="126"/>
    <d v="2026-09-17T00:00:00"/>
    <s v=""/>
    <n v="98679"/>
    <n v="10"/>
    <d v="2026-09-30T00:00:00"/>
    <n v="54"/>
  </r>
  <r>
    <x v="0"/>
    <s v=""/>
    <s v=""/>
    <s v=""/>
    <s v=""/>
    <x v="195"/>
    <s v="RA-11-23]Fcol MOT Cable D"/>
    <n v="65"/>
    <s v=""/>
    <x v="109"/>
    <d v="2026-09-29T00:00:00"/>
    <s v=""/>
    <n v="98679"/>
    <n v="10"/>
    <d v="2026-09-30T00:00:00"/>
    <n v="55"/>
  </r>
  <r>
    <x v="0"/>
    <s v=""/>
    <s v=""/>
    <s v=""/>
    <s v=""/>
    <x v="213"/>
    <s v="RA-11-2]AUX MCU to FCOL"/>
    <n v="70"/>
    <s v=""/>
    <x v="116"/>
    <d v="2026-09-29T00:00:00"/>
    <s v=""/>
    <n v="98679"/>
    <n v="10"/>
    <d v="2026-09-30T00:00:00"/>
    <n v="60"/>
  </r>
  <r>
    <x v="0"/>
    <s v=""/>
    <s v=""/>
    <s v=""/>
    <s v=""/>
    <x v="231"/>
    <s v="RA-11-20]Fcol MOT Cable A"/>
    <n v="77"/>
    <s v=""/>
    <x v="96"/>
    <d v="2026-09-29T00:00:00"/>
    <s v=""/>
    <n v="98679"/>
    <n v="10"/>
    <d v="2026-09-30T00:00:00"/>
    <n v="67"/>
  </r>
  <r>
    <x v="0"/>
    <s v=""/>
    <s v=""/>
    <s v=""/>
    <s v=""/>
    <x v="312"/>
    <s v="RA-15-10]SUB MOT DET(VL)"/>
    <n v="102"/>
    <s v=""/>
    <x v="47"/>
    <d v="2026-09-17T00:00:00"/>
    <s v=""/>
    <n v="98679"/>
    <n v="10"/>
    <d v="2026-09-30T00:00:00"/>
    <n v="92"/>
  </r>
  <r>
    <x v="0"/>
    <s v=""/>
    <s v=""/>
    <s v=""/>
    <s v=""/>
    <x v="269"/>
    <s v="RA-06M-3312]BLK TUBE TNK ANGLE (ST)"/>
    <n v="104"/>
    <s v=""/>
    <x v="58"/>
    <d v="2026-09-17T00:00:00"/>
    <s v=""/>
    <n v="98679"/>
    <n v="10"/>
    <d v="2026-09-30T00:00:00"/>
    <n v="94"/>
  </r>
  <r>
    <x v="0"/>
    <s v=""/>
    <s v=""/>
    <s v=""/>
    <s v=""/>
    <x v="333"/>
    <s v="RA-06M-3319]BLK COL FIX LWR B (ST)"/>
    <n v="110"/>
    <s v=""/>
    <x v="155"/>
    <d v="2026-09-17T00:00:00"/>
    <s v=""/>
    <n v="98679"/>
    <n v="10"/>
    <d v="2026-09-30T00:00:00"/>
    <n v="100"/>
  </r>
  <r>
    <x v="0"/>
    <s v=""/>
    <s v=""/>
    <s v=""/>
    <s v=""/>
    <x v="320"/>
    <s v="RA-11-11]DC POWER MOT-C"/>
    <n v="125"/>
    <s v=""/>
    <x v="127"/>
    <d v="2026-09-29T00:00:00"/>
    <s v=""/>
    <n v="98679"/>
    <n v="10"/>
    <d v="2026-09-30T00:00:00"/>
    <n v="115"/>
  </r>
  <r>
    <x v="0"/>
    <s v=""/>
    <s v=""/>
    <s v=""/>
    <s v=""/>
    <x v="338"/>
    <s v="RA-07S-1668]MICROMTR HEAD (VA)"/>
    <n v="130"/>
    <s v=""/>
    <x v="129"/>
    <d v="2026-09-29T00:00:00"/>
    <s v=""/>
    <n v="98679"/>
    <n v="10"/>
    <d v="2026-09-30T00:00:00"/>
    <n v="120"/>
  </r>
  <r>
    <x v="0"/>
    <s v=""/>
    <s v=""/>
    <s v=""/>
    <s v=""/>
    <x v="373"/>
    <s v="RA-06M-3316]BLK TUBE SHAFT (ST)"/>
    <n v="136"/>
    <s v=""/>
    <x v="58"/>
    <d v="2026-09-17T00:00:00"/>
    <s v=""/>
    <n v="98679"/>
    <n v="10"/>
    <d v="2026-09-30T00:00:00"/>
    <n v="126"/>
  </r>
  <r>
    <x v="0"/>
    <s v=""/>
    <s v="입고"/>
    <s v="정호기공"/>
    <s v="조영우"/>
    <x v="8"/>
    <s v="RA-06M-0243]BLK TUBE TILT LIMIT"/>
    <n v="150"/>
    <s v=""/>
    <x v="7"/>
    <d v="2026-09-29T00:00:00"/>
    <s v=""/>
    <n v="98679"/>
    <n v="20"/>
    <d v="2026-09-30T00:00:00"/>
    <n v="130"/>
  </r>
  <r>
    <x v="0"/>
    <s v=""/>
    <s v=""/>
    <s v=""/>
    <s v=""/>
    <x v="394"/>
    <s v="RA-06A-2746]SHAFT BRASS COL (ST)"/>
    <n v="156"/>
    <s v=""/>
    <x v="108"/>
    <d v="2026-09-17T00:00:00"/>
    <s v=""/>
    <n v="98679"/>
    <n v="10"/>
    <d v="2026-09-30T00:00:00"/>
    <n v="146"/>
  </r>
  <r>
    <x v="0"/>
    <s v=""/>
    <s v=""/>
    <s v=""/>
    <s v=""/>
    <x v="389"/>
    <s v="RA-03S-6009A]A2K_LBM01-370"/>
    <n v="171"/>
    <s v=""/>
    <x v="171"/>
    <d v="2026-09-29T00:00:00"/>
    <s v=""/>
    <n v="98679"/>
    <n v="10"/>
    <d v="2026-09-30T00:00:00"/>
    <n v="161"/>
  </r>
  <r>
    <x v="0"/>
    <s v=""/>
    <s v=""/>
    <s v=""/>
    <s v=""/>
    <x v="411"/>
    <s v="RA-07V-3962]CVR DET PCB (MG)"/>
    <n v="179"/>
    <s v=""/>
    <x v="68"/>
    <d v="2026-09-17T00:00:00"/>
    <s v=""/>
    <n v="98679"/>
    <n v="10"/>
    <d v="2026-09-30T00:00:00"/>
    <n v="169"/>
  </r>
  <r>
    <x v="0"/>
    <s v=""/>
    <s v=""/>
    <s v=""/>
    <s v=""/>
    <x v="439"/>
    <s v="RA-07M-3434]BLK MICROMTR HEAD (ST)"/>
    <n v="251"/>
    <s v=""/>
    <x v="124"/>
    <d v="2026-09-29T00:00:00"/>
    <s v=""/>
    <n v="98679"/>
    <n v="10"/>
    <d v="2026-09-30T00:00:00"/>
    <n v="241"/>
  </r>
  <r>
    <x v="0"/>
    <s v=""/>
    <s v=""/>
    <s v=""/>
    <s v=""/>
    <x v="458"/>
    <s v="RA-15-12]Fcol MOT Cable C"/>
    <n v="281"/>
    <s v=""/>
    <x v="47"/>
    <d v="2026-09-17T00:00:00"/>
    <s v=""/>
    <n v="98679"/>
    <n v="10"/>
    <d v="2026-09-30T00:00:00"/>
    <n v="271"/>
  </r>
  <r>
    <x v="0"/>
    <s v=""/>
    <s v=""/>
    <s v=""/>
    <s v=""/>
    <x v="460"/>
    <s v="RA-06A-6006]Bd ASSY'-Fcol MCU"/>
    <n v="308"/>
    <s v=""/>
    <x v="189"/>
    <d v="2026-09-29T00:00:00"/>
    <s v=""/>
    <n v="98679"/>
    <n v="10"/>
    <d v="2026-09-30T00:00:00"/>
    <n v="298"/>
  </r>
  <r>
    <x v="0"/>
    <s v=""/>
    <s v=""/>
    <s v=""/>
    <s v=""/>
    <x v="462"/>
    <s v="RA-04S-0977]SPRING CEPH AND ARM"/>
    <n v="309"/>
    <s v=""/>
    <x v="117"/>
    <d v="2026-09-29T00:00:00"/>
    <s v=""/>
    <n v="98679"/>
    <n v="10"/>
    <d v="2026-09-30T00:00:00"/>
    <n v="299"/>
  </r>
  <r>
    <x v="0"/>
    <s v=""/>
    <s v=""/>
    <s v=""/>
    <s v=""/>
    <x v="1"/>
    <s v="RA-06M-0432]FLANGE TUBE TILT SHAFT B"/>
    <n v="339"/>
    <s v=""/>
    <x v="1"/>
    <d v="2026-09-29T00:00:00"/>
    <s v=""/>
    <n v="98679"/>
    <n v="10"/>
    <d v="2026-09-30T00:00:00"/>
    <n v="329"/>
  </r>
  <r>
    <x v="0"/>
    <s v=""/>
    <s v=""/>
    <s v=""/>
    <s v=""/>
    <x v="435"/>
    <s v="RA-1-8B]AC POWER PFC CONNECT"/>
    <n v="352"/>
    <s v=""/>
    <x v="184"/>
    <d v="2026-09-30T00:00:00"/>
    <s v=""/>
    <n v="98679"/>
    <n v="10"/>
    <d v="2026-09-30T00:00:00"/>
    <n v="342"/>
  </r>
  <r>
    <x v="0"/>
    <s v=""/>
    <s v=""/>
    <s v=""/>
    <s v=""/>
    <x v="10"/>
    <s v="RA-06S-5018]MICRO SWITCH"/>
    <n v="380"/>
    <s v=""/>
    <x v="8"/>
    <d v="2026-09-29T00:00:00"/>
    <s v=""/>
    <n v="98679"/>
    <n v="20"/>
    <d v="2026-09-30T00:00:00"/>
    <n v="360"/>
  </r>
  <r>
    <x v="0"/>
    <s v=""/>
    <s v=""/>
    <s v=""/>
    <s v=""/>
    <x v="3"/>
    <s v="RA-06V-0242]BRK TUBE TILT MICRO SW"/>
    <n v="412"/>
    <s v=""/>
    <x v="3"/>
    <d v="2026-09-29T00:00:00"/>
    <s v=""/>
    <n v="98679"/>
    <n v="10"/>
    <d v="2026-09-30T00:00:00"/>
    <n v="402"/>
  </r>
  <r>
    <x v="0"/>
    <s v=""/>
    <s v=""/>
    <s v=""/>
    <s v=""/>
    <x v="7"/>
    <s v="RA-06S-5091] DC motor(HDSG56-3448C-615)"/>
    <n v="419"/>
    <s v=""/>
    <x v="6"/>
    <d v="2026-09-29T00:00:00"/>
    <s v=""/>
    <n v="98679"/>
    <n v="10"/>
    <d v="2026-09-30T00:00:00"/>
    <n v="409"/>
  </r>
  <r>
    <x v="0"/>
    <s v=""/>
    <s v=""/>
    <s v=""/>
    <s v=""/>
    <x v="5"/>
    <s v="RA-06V-3253]HLDR DC GEARED MOT (M+)"/>
    <n v="449"/>
    <s v=""/>
    <x v="4"/>
    <d v="2026-09-29T00:00:00"/>
    <s v=""/>
    <n v="98679"/>
    <n v="10"/>
    <d v="2026-09-30T00:00:00"/>
    <n v="439"/>
  </r>
  <r>
    <x v="0"/>
    <s v=""/>
    <s v=""/>
    <s v=""/>
    <s v=""/>
    <x v="421"/>
    <s v="RA-5-5]EARTH ROT TO PFC"/>
    <n v="486"/>
    <s v=""/>
    <x v="30"/>
    <d v="2026-09-30T00:00:00"/>
    <s v=""/>
    <n v="98679"/>
    <n v="10"/>
    <d v="2026-09-30T00:00:00"/>
    <n v="476"/>
  </r>
  <r>
    <x v="0"/>
    <s v=""/>
    <s v=""/>
    <s v=""/>
    <s v=""/>
    <x v="0"/>
    <s v="RA-3-3B]DCM CONTROL-B"/>
    <n v="492"/>
    <s v=""/>
    <x v="0"/>
    <d v="2026-09-29T00:00:00"/>
    <s v=""/>
    <n v="98679"/>
    <n v="10"/>
    <d v="2026-09-30T00:00:00"/>
    <n v="482"/>
  </r>
  <r>
    <x v="0"/>
    <s v=""/>
    <s v=""/>
    <s v=""/>
    <s v=""/>
    <x v="9"/>
    <s v="RA-06M-0244]PIN TUBE TILT LIMIT"/>
    <n v="498"/>
    <s v=""/>
    <x v="7"/>
    <d v="2026-09-29T00:00:00"/>
    <s v=""/>
    <n v="98679"/>
    <n v="20"/>
    <d v="2026-09-30T00:00:00"/>
    <n v="478"/>
  </r>
  <r>
    <x v="0"/>
    <s v=""/>
    <s v=""/>
    <s v=""/>
    <s v=""/>
    <x v="2"/>
    <s v="RA-06V-0241]GUIDE TUBE TILT MICRO SW"/>
    <n v="581"/>
    <s v=""/>
    <x v="2"/>
    <d v="2026-09-29T00:00:00"/>
    <s v=""/>
    <n v="98679"/>
    <n v="10"/>
    <d v="2026-09-30T00:00:00"/>
    <n v="571"/>
  </r>
  <r>
    <x v="0"/>
    <s v=""/>
    <s v=""/>
    <s v=""/>
    <s v=""/>
    <x v="4"/>
    <s v="RA-06V-0866]BRK TUBE TILT MICRO SW"/>
    <n v="706"/>
    <s v=""/>
    <x v="3"/>
    <d v="2026-09-29T00:00:00"/>
    <s v=""/>
    <n v="98679"/>
    <n v="10"/>
    <d v="2026-09-30T00:00:00"/>
    <n v="696"/>
  </r>
  <r>
    <x v="0"/>
    <s v=""/>
    <s v=""/>
    <s v=""/>
    <s v=""/>
    <x v="6"/>
    <s v="RA-06A-5005]Bd ASSY'-DC MOT Bd"/>
    <n v="744"/>
    <s v=""/>
    <x v="5"/>
    <d v="2026-09-29T00:00:00"/>
    <s v=""/>
    <n v="98679"/>
    <n v="10"/>
    <d v="2026-09-30T00:00:00"/>
    <n v="734"/>
  </r>
  <r>
    <x v="0"/>
    <s v=""/>
    <s v=""/>
    <s v=""/>
    <s v=""/>
    <x v="14"/>
    <s v="RA-09A-2754]ASM CT HEADREST (A+) (VN)"/>
    <n v="94"/>
    <s v=""/>
    <x v="11"/>
    <d v="2026-10-07T00:00:00"/>
    <s v=""/>
    <n v="98680"/>
    <n v="10"/>
    <d v="2026-10-01T00:00:00"/>
    <n v="84"/>
  </r>
  <r>
    <x v="0"/>
    <s v=""/>
    <s v=""/>
    <s v=""/>
    <s v=""/>
    <x v="557"/>
    <s v="RA-09M-3440]BLK GUIDE BITE (ST)_REV.C"/>
    <n v="205"/>
    <s v=""/>
    <x v="44"/>
    <d v="2026-09-17T00:00:00"/>
    <s v=""/>
    <n v="98680"/>
    <n v="10"/>
    <d v="2026-10-01T00:00:00"/>
    <n v="195"/>
  </r>
  <r>
    <x v="0"/>
    <s v=""/>
    <s v=""/>
    <s v=""/>
    <s v=""/>
    <x v="558"/>
    <s v="RA-09T-3991]CAS CHINREST (MG)"/>
    <n v="20"/>
    <s v=""/>
    <x v="44"/>
    <d v="2026-09-17T00:00:00"/>
    <s v=""/>
    <n v="98680"/>
    <n v="10"/>
    <d v="2026-10-01T00:00:00"/>
    <n v="10"/>
  </r>
  <r>
    <x v="0"/>
    <s v=""/>
    <s v=""/>
    <s v=""/>
    <s v=""/>
    <x v="559"/>
    <s v="RA-09A-2729]ASM COMPONENT SUB-1"/>
    <n v="55"/>
    <s v=""/>
    <x v="33"/>
    <d v="2026-10-07T00:00:00"/>
    <s v=""/>
    <n v="98680"/>
    <n v="10"/>
    <d v="2026-10-01T00:00:00"/>
    <n v="45"/>
  </r>
  <r>
    <x v="0"/>
    <s v=""/>
    <s v=""/>
    <s v=""/>
    <s v=""/>
    <x v="560"/>
    <s v="RA-09A-2730]ASM COMPONENT SUB-2"/>
    <n v="133"/>
    <s v=""/>
    <x v="33"/>
    <d v="2026-10-07T00:00:00"/>
    <s v=""/>
    <n v="98680"/>
    <n v="10"/>
    <d v="2026-10-01T00:00:00"/>
    <n v="123"/>
  </r>
  <r>
    <x v="0"/>
    <s v=""/>
    <s v=""/>
    <s v=""/>
    <s v=""/>
    <x v="561"/>
    <s v="RA-09A-0967]ASM EXPOSURE SW"/>
    <n v="210"/>
    <s v=""/>
    <x v="183"/>
    <d v="2026-10-12T00:00:00"/>
    <s v=""/>
    <n v="98680"/>
    <n v="10"/>
    <d v="2026-10-01T00:00:00"/>
    <n v="200"/>
  </r>
  <r>
    <x v="0"/>
    <s v=""/>
    <s v=""/>
    <s v=""/>
    <s v=""/>
    <x v="562"/>
    <s v="RA-09T-0733]CAS S.W HLDR"/>
    <n v="567"/>
    <s v=""/>
    <x v="178"/>
    <d v="2026-10-12T00:00:00"/>
    <s v=""/>
    <n v="98680"/>
    <n v="10"/>
    <d v="2026-10-01T00:00:00"/>
    <n v="557"/>
  </r>
  <r>
    <x v="0"/>
    <s v=""/>
    <s v=""/>
    <s v=""/>
    <s v=""/>
    <x v="563"/>
    <s v="RA-09A-0345]ASM REMOTE CONTROL"/>
    <n v="113"/>
    <s v=""/>
    <x v="17"/>
    <d v="2026-10-07T00:00:00"/>
    <s v=""/>
    <n v="98680"/>
    <n v="10"/>
    <d v="2026-10-01T00:00:00"/>
    <n v="103"/>
  </r>
  <r>
    <x v="0"/>
    <s v=""/>
    <s v=""/>
    <s v=""/>
    <s v=""/>
    <x v="564"/>
    <s v="RA-01T-1791]CAS MAIN Bas REAR"/>
    <n v="358"/>
    <s v=""/>
    <x v="10"/>
    <d v="2026-10-07T00:00:00"/>
    <s v=""/>
    <n v="98680"/>
    <n v="10"/>
    <d v="2026-10-01T00:00:00"/>
    <n v="348"/>
  </r>
  <r>
    <x v="0"/>
    <s v=""/>
    <s v=""/>
    <s v=""/>
    <s v=""/>
    <x v="565"/>
    <s v="RA-01T-1790]CAS MAIN Bas FRONT"/>
    <n v="230"/>
    <s v=""/>
    <x v="10"/>
    <d v="2026-10-07T00:00:00"/>
    <s v=""/>
    <n v="98680"/>
    <n v="10"/>
    <d v="2026-10-01T00:00:00"/>
    <n v="220"/>
  </r>
  <r>
    <x v="0"/>
    <s v=""/>
    <s v=""/>
    <s v=""/>
    <s v=""/>
    <x v="566"/>
    <s v="RA-03T-0072]CAS CLMN BODY REAR"/>
    <n v="506"/>
    <s v=""/>
    <x v="10"/>
    <d v="2026-10-07T00:00:00"/>
    <s v=""/>
    <n v="98680"/>
    <n v="10"/>
    <d v="2026-10-01T00:00:00"/>
    <n v="496"/>
  </r>
  <r>
    <x v="0"/>
    <s v=""/>
    <s v=""/>
    <s v=""/>
    <s v=""/>
    <x v="12"/>
    <s v="RA-03A-0315]ASM CAS CLMN LWR (L)"/>
    <n v="159"/>
    <s v=""/>
    <x v="10"/>
    <d v="2026-10-07T00:00:00"/>
    <s v=""/>
    <n v="98680"/>
    <n v="10"/>
    <d v="2026-10-01T00:00:00"/>
    <n v="149"/>
  </r>
  <r>
    <x v="0"/>
    <s v=""/>
    <s v=""/>
    <s v=""/>
    <s v=""/>
    <x v="13"/>
    <s v="RA-03A-0314]ASM CAS CLMN LWR (R)"/>
    <n v="47"/>
    <s v=""/>
    <x v="10"/>
    <d v="2026-10-07T00:00:00"/>
    <s v=""/>
    <n v="98680"/>
    <n v="10"/>
    <d v="2026-10-01T00:00:00"/>
    <n v="37"/>
  </r>
  <r>
    <x v="0"/>
    <s v=""/>
    <s v=""/>
    <s v=""/>
    <s v=""/>
    <x v="567"/>
    <s v="RA-03V-0055]HLDR CAS CLMN BODY LWR 2"/>
    <n v="38"/>
    <s v=""/>
    <x v="171"/>
    <d v="2026-10-07T00:00:00"/>
    <s v=""/>
    <n v="98680"/>
    <n v="10"/>
    <d v="2026-10-01T00:00:00"/>
    <n v="28"/>
  </r>
  <r>
    <x v="0"/>
    <s v=""/>
    <s v=""/>
    <s v=""/>
    <s v=""/>
    <x v="568"/>
    <s v="RA-03V-0054]HLDR CAS CLMN BODY LWR 1"/>
    <n v="85"/>
    <s v=""/>
    <x v="171"/>
    <d v="2026-10-07T00:00:00"/>
    <s v=""/>
    <n v="98680"/>
    <n v="10"/>
    <d v="2026-10-01T00:00:00"/>
    <n v="75"/>
  </r>
  <r>
    <x v="0"/>
    <s v=""/>
    <s v=""/>
    <s v=""/>
    <s v=""/>
    <x v="569"/>
    <s v="RA-04T-1707]CAS MONITOR DECO"/>
    <n v="196"/>
    <s v=""/>
    <x v="178"/>
    <d v="2026-10-07T00:00:00"/>
    <s v=""/>
    <n v="98680"/>
    <n v="10"/>
    <d v="2026-10-01T00:00:00"/>
    <n v="186"/>
  </r>
  <r>
    <x v="0"/>
    <s v=""/>
    <s v=""/>
    <s v=""/>
    <s v=""/>
    <x v="570"/>
    <s v="RA-02T-2182]CAS VERT UPPER (A+)"/>
    <n v="88"/>
    <s v=""/>
    <x v="10"/>
    <d v="2026-10-07T00:00:00"/>
    <s v=""/>
    <n v="98680"/>
    <n v="10"/>
    <d v="2026-10-01T00:00:00"/>
    <n v="78"/>
  </r>
  <r>
    <x v="0"/>
    <s v=""/>
    <s v=""/>
    <s v=""/>
    <s v=""/>
    <x v="571"/>
    <s v="RA-5-7]EARTH SHAFT TO WALL"/>
    <n v="160"/>
    <s v=""/>
    <x v="9"/>
    <d v="2026-10-07T00:00:00"/>
    <s v=""/>
    <n v="98680"/>
    <n v="10"/>
    <d v="2026-10-01T00:00:00"/>
    <n v="150"/>
  </r>
  <r>
    <x v="0"/>
    <s v=""/>
    <s v=""/>
    <s v=""/>
    <s v=""/>
    <x v="15"/>
    <s v="RA-5-6]EARTH SHAFT TO PC"/>
    <n v="169"/>
    <s v=""/>
    <x v="9"/>
    <d v="2026-10-07T00:00:00"/>
    <s v=""/>
    <n v="98680"/>
    <n v="10"/>
    <d v="2026-10-01T00:00:00"/>
    <n v="159"/>
  </r>
  <r>
    <x v="0"/>
    <s v=""/>
    <s v=""/>
    <s v=""/>
    <s v=""/>
    <x v="572"/>
    <s v="RA-09T-2534]CAS CT HEADREST (A+)"/>
    <n v="31"/>
    <s v=""/>
    <x v="27"/>
    <d v="2026-10-07T00:00:00"/>
    <s v=""/>
    <n v="98680"/>
    <n v="16"/>
    <d v="2026-10-01T00:00:00"/>
    <n v="15"/>
  </r>
  <r>
    <x v="0"/>
    <s v=""/>
    <s v=""/>
    <s v=""/>
    <s v=""/>
    <x v="573"/>
    <s v="RA-09T-0344]KNOB CEPH ADJUST"/>
    <n v="152"/>
    <s v=""/>
    <x v="178"/>
    <d v="2026-10-07T00:00:00"/>
    <s v=""/>
    <n v="98680"/>
    <n v="20"/>
    <d v="2026-10-01T00:00:00"/>
    <n v="132"/>
  </r>
  <r>
    <x v="0"/>
    <s v=""/>
    <s v=""/>
    <s v=""/>
    <s v=""/>
    <x v="574"/>
    <s v="RA-09M-3441]PIN GUIDE BITE (ST)"/>
    <n v="318"/>
    <s v=""/>
    <x v="44"/>
    <d v="2026-09-17T00:00:00"/>
    <s v=""/>
    <n v="98680"/>
    <n v="20"/>
    <d v="2026-10-01T00:00:00"/>
    <n v="298"/>
  </r>
  <r>
    <x v="0"/>
    <s v=""/>
    <s v=""/>
    <s v=""/>
    <s v=""/>
    <x v="342"/>
    <s v="RA-10-2]PRIME CABLE ASS’Y"/>
    <n v="30"/>
    <s v=""/>
    <x v="9"/>
    <d v="2026-09-28T00:00:00"/>
    <s v=""/>
    <n v="99010"/>
    <n v="10"/>
    <d v="2026-09-17T00:00:00"/>
    <n v="20"/>
  </r>
  <r>
    <x v="0"/>
    <s v=""/>
    <s v=""/>
    <s v=""/>
    <s v=""/>
    <x v="234"/>
    <s v=""/>
    <n v="56"/>
    <s v=""/>
    <x v="122"/>
    <d v="2026-09-14T00:00:00"/>
    <s v=""/>
    <n v="99010"/>
    <n v="10"/>
    <d v="2026-09-17T00:00:00"/>
    <n v="46"/>
  </r>
  <r>
    <x v="0"/>
    <s v=""/>
    <s v=""/>
    <s v=""/>
    <s v=""/>
    <x v="535"/>
    <s v="RA-02M-0395]PIN VERT POSITION"/>
    <n v="126"/>
    <s v=""/>
    <x v="185"/>
    <d v="2026-09-30T00:00:00"/>
    <s v=""/>
    <n v="99010"/>
    <n v="20"/>
    <d v="2026-09-17T00:00:00"/>
    <n v="106"/>
  </r>
  <r>
    <x v="0"/>
    <s v=""/>
    <s v=""/>
    <s v=""/>
    <s v=""/>
    <x v="410"/>
    <s v="RA-05V-0513]BRK LED PCB"/>
    <n v="195"/>
    <s v=""/>
    <x v="175"/>
    <d v="2026-09-30T00:00:00"/>
    <s v=""/>
    <n v="99010"/>
    <n v="10"/>
    <d v="2026-09-17T00:00:00"/>
    <n v="185"/>
  </r>
  <r>
    <x v="0"/>
    <s v=""/>
    <s v="기초"/>
    <s v=""/>
    <s v=""/>
    <x v="265"/>
    <s v="RA-06V-0230]BRK FAN SUP"/>
    <n v="103"/>
    <s v=""/>
    <x v="7"/>
    <d v="2026-09-08T00:00:00"/>
    <s v=""/>
    <n v="99011"/>
    <n v="10"/>
    <d v="2026-09-18T00:00:00"/>
    <n v="93"/>
  </r>
  <r>
    <x v="0"/>
    <s v=""/>
    <s v=""/>
    <s v=""/>
    <s v=""/>
    <x v="72"/>
    <s v="RA-06M-0520]HEATSINK"/>
    <n v="120"/>
    <s v=""/>
    <x v="55"/>
    <d v="2026-09-09T00:00:00"/>
    <s v=""/>
    <n v="99011"/>
    <n v="10"/>
    <d v="2026-09-18T00:00:00"/>
    <n v="110"/>
  </r>
  <r>
    <x v="0"/>
    <s v=""/>
    <s v=""/>
    <s v=""/>
    <s v=""/>
    <x v="38"/>
    <s v="RA-5-4]EARTH ROT TO TUBE"/>
    <n v="126"/>
    <s v=""/>
    <x v="30"/>
    <d v="2026-09-09T00:00:00"/>
    <s v=""/>
    <n v="99011"/>
    <n v="10"/>
    <d v="2026-09-18T00:00:00"/>
    <n v="116"/>
  </r>
  <r>
    <x v="0"/>
    <s v=""/>
    <s v="기초"/>
    <s v=""/>
    <s v=""/>
    <x v="305"/>
    <s v="RA-06A-1063]ASM TUBE TNK SUP"/>
    <n v="132"/>
    <s v=""/>
    <x v="126"/>
    <d v="2026-09-08T00:00:00"/>
    <s v=""/>
    <n v="99011"/>
    <n v="10"/>
    <d v="2026-09-18T00:00:00"/>
    <n v="122"/>
  </r>
  <r>
    <x v="0"/>
    <s v=""/>
    <s v="기초"/>
    <s v=""/>
    <s v=""/>
    <x v="316"/>
    <s v="RA-03S-5181A]A2K_LBM01-970"/>
    <n v="139"/>
    <s v=""/>
    <x v="43"/>
    <d v="2026-09-08T00:00:00"/>
    <s v=""/>
    <n v="99011"/>
    <n v="10"/>
    <d v="2026-09-18T00:00:00"/>
    <n v="129"/>
  </r>
  <r>
    <x v="0"/>
    <s v=""/>
    <s v="기초"/>
    <s v=""/>
    <s v=""/>
    <x v="350"/>
    <s v="RA-06V-1678]BRK CANINE TOOTH LASER BEAM"/>
    <n v="151"/>
    <s v=""/>
    <x v="149"/>
    <d v="2026-09-08T00:00:00"/>
    <s v=""/>
    <n v="99011"/>
    <n v="10"/>
    <d v="2026-09-18T00:00:00"/>
    <n v="141"/>
  </r>
  <r>
    <x v="0"/>
    <s v=""/>
    <s v=""/>
    <s v=""/>
    <s v=""/>
    <x v="364"/>
    <s v="RA-06A-2747]ASM EXTRUSION COL (VN)"/>
    <n v="163"/>
    <s v=""/>
    <x v="126"/>
    <d v="2026-09-11T00:00:00"/>
    <s v=""/>
    <n v="99011"/>
    <n v="10"/>
    <d v="2026-09-18T00:00:00"/>
    <n v="153"/>
  </r>
  <r>
    <x v="0"/>
    <s v=""/>
    <s v="기초"/>
    <s v=""/>
    <s v=""/>
    <x v="386"/>
    <s v="RA-06V-0793]BRK TUBE FIX A"/>
    <n v="179"/>
    <s v=""/>
    <x v="3"/>
    <d v="2026-09-08T00:00:00"/>
    <s v=""/>
    <n v="99011"/>
    <n v="10"/>
    <d v="2026-09-18T00:00:00"/>
    <n v="169"/>
  </r>
  <r>
    <x v="0"/>
    <s v=""/>
    <s v="기초"/>
    <s v=""/>
    <s v=""/>
    <x v="393"/>
    <s v="RA-06V-1384]BRK XTRUSION PB COL SC"/>
    <n v="188"/>
    <s v=""/>
    <x v="151"/>
    <d v="2026-09-08T00:00:00"/>
    <s v=""/>
    <n v="99011"/>
    <n v="10"/>
    <d v="2026-09-18T00:00:00"/>
    <n v="178"/>
  </r>
  <r>
    <x v="0"/>
    <s v=""/>
    <s v="기초"/>
    <s v=""/>
    <s v=""/>
    <x v="420"/>
    <s v="RA-06V-0795]BRK TUBE FIX C"/>
    <n v="227"/>
    <s v=""/>
    <x v="3"/>
    <d v="2026-09-08T00:00:00"/>
    <s v=""/>
    <n v="99011"/>
    <n v="10"/>
    <d v="2026-09-18T00:00:00"/>
    <n v="217"/>
  </r>
  <r>
    <x v="0"/>
    <s v=""/>
    <s v="기초"/>
    <s v=""/>
    <s v=""/>
    <x v="461"/>
    <s v="RA-06V-0794]BRK TUBE FIX B"/>
    <n v="322"/>
    <s v=""/>
    <x v="3"/>
    <d v="2026-09-08T00:00:00"/>
    <s v=""/>
    <n v="99011"/>
    <n v="10"/>
    <d v="2026-09-18T00:00:00"/>
    <n v="312"/>
  </r>
  <r>
    <x v="0"/>
    <s v=""/>
    <s v=""/>
    <s v=""/>
    <s v=""/>
    <x v="445"/>
    <s v="RA-05V-0199]BRK PXD-200CT DRV PCB R"/>
    <n v="354"/>
    <s v=""/>
    <x v="186"/>
    <d v="2026-09-10T00:00:00"/>
    <s v=""/>
    <n v="99011"/>
    <n v="10"/>
    <d v="2026-09-18T00:00:00"/>
    <n v="344"/>
  </r>
  <r>
    <x v="0"/>
    <s v=""/>
    <s v=""/>
    <s v=""/>
    <s v=""/>
    <x v="451"/>
    <s v="RA-05V-0297]BRK PXD-200CT DRV PCB L"/>
    <n v="359"/>
    <s v=""/>
    <x v="186"/>
    <d v="2026-09-10T00:00:00"/>
    <s v=""/>
    <n v="99011"/>
    <n v="10"/>
    <d v="2026-09-18T00:00:00"/>
    <n v="349"/>
  </r>
  <r>
    <x v="0"/>
    <s v=""/>
    <s v="기초"/>
    <s v=""/>
    <s v=""/>
    <x v="467"/>
    <s v="RA-06M-0220]BLOCK CANINE TOOTH LASER B"/>
    <n v="389"/>
    <s v=""/>
    <x v="1"/>
    <d v="2026-09-08T00:00:00"/>
    <s v=""/>
    <n v="99011"/>
    <n v="10"/>
    <d v="2026-09-18T00:00:00"/>
    <n v="379"/>
  </r>
  <r>
    <x v="0"/>
    <s v=""/>
    <s v=""/>
    <s v=""/>
    <s v=""/>
    <x v="435"/>
    <s v="RA-1-8B]AC POWER PFC CONNECT"/>
    <n v="447"/>
    <s v=""/>
    <x v="184"/>
    <d v="2026-09-09T00:00:00"/>
    <s v=""/>
    <n v="99011"/>
    <n v="10"/>
    <d v="2026-09-18T00:00:00"/>
    <n v="437"/>
  </r>
  <r>
    <x v="0"/>
    <s v=""/>
    <s v=""/>
    <s v=""/>
    <s v=""/>
    <x v="421"/>
    <s v="RA-5-5]EARTH ROT TO PFC"/>
    <n v="581"/>
    <s v=""/>
    <x v="30"/>
    <d v="2026-09-09T00:00:00"/>
    <s v=""/>
    <n v="99011"/>
    <n v="10"/>
    <d v="2026-09-18T00:00:00"/>
    <n v="571"/>
  </r>
  <r>
    <x v="0"/>
    <s v=""/>
    <s v="기초"/>
    <s v=""/>
    <s v=""/>
    <x v="499"/>
    <s v="RA-10-4]FAN ASS'Y"/>
    <n v="598"/>
    <s v=""/>
    <x v="9"/>
    <d v="2026-09-08T00:00:00"/>
    <s v=""/>
    <n v="99011"/>
    <n v="10"/>
    <d v="2026-09-18T00:00:00"/>
    <n v="588"/>
  </r>
  <r>
    <x v="0"/>
    <s v=""/>
    <s v="기초"/>
    <s v=""/>
    <s v=""/>
    <x v="512"/>
    <s v="RA-6-3]SUB MOT TUBE"/>
    <n v="925"/>
    <s v=""/>
    <x v="9"/>
    <d v="2026-09-08T00:00:00"/>
    <s v=""/>
    <n v="99011"/>
    <n v="10"/>
    <d v="2026-09-18T00:00:00"/>
    <n v="915"/>
  </r>
  <r>
    <x v="0"/>
    <s v=""/>
    <s v="기초"/>
    <s v=""/>
    <s v=""/>
    <x v="513"/>
    <s v="RA-06T-0296]CAS TUBE TNK FAN"/>
    <n v="955"/>
    <s v=""/>
    <x v="27"/>
    <d v="2026-09-08T00:00:00"/>
    <s v=""/>
    <n v="99011"/>
    <n v="10"/>
    <d v="2026-09-18T00:00:00"/>
    <n v="945"/>
  </r>
  <r>
    <x v="0"/>
    <s v=""/>
    <s v=""/>
    <s v=""/>
    <s v=""/>
    <x v="388"/>
    <s v="RA-8-4]AC POWER CEPH"/>
    <n v="38"/>
    <s v=""/>
    <x v="9"/>
    <d v="2026-09-10T00:00:00"/>
    <s v=""/>
    <n v="99012"/>
    <n v="10"/>
    <d v="2026-09-18T00:00:00"/>
    <n v="28"/>
  </r>
  <r>
    <x v="0"/>
    <s v=""/>
    <s v=""/>
    <s v=""/>
    <s v=""/>
    <x v="253"/>
    <s v="RA-04V-1108]BRK ARM RIGID R"/>
    <n v="60"/>
    <s v=""/>
    <x v="128"/>
    <d v="2026-09-10T00:00:00"/>
    <s v=""/>
    <n v="99012"/>
    <n v="10"/>
    <d v="2026-09-18T00:00:00"/>
    <n v="50"/>
  </r>
  <r>
    <x v="0"/>
    <s v=""/>
    <s v=""/>
    <s v=""/>
    <s v=""/>
    <x v="252"/>
    <s v="RA-04V-1109]BRK ARM RIGID L"/>
    <n v="60"/>
    <s v=""/>
    <x v="128"/>
    <d v="2026-09-10T00:00:00"/>
    <s v=""/>
    <n v="99012"/>
    <n v="10"/>
    <d v="2026-09-18T00:00:00"/>
    <n v="50"/>
  </r>
  <r>
    <x v="0"/>
    <s v=""/>
    <s v=""/>
    <s v=""/>
    <s v=""/>
    <x v="473"/>
    <s v="RA-3-6]INDICATOR CONTROL"/>
    <n v="86"/>
    <s v=""/>
    <x v="130"/>
    <d v="2026-09-10T00:00:00"/>
    <s v=""/>
    <n v="99012"/>
    <n v="10"/>
    <d v="2026-09-18T00:00:00"/>
    <n v="76"/>
  </r>
  <r>
    <x v="0"/>
    <s v=""/>
    <s v="기초"/>
    <s v=""/>
    <s v=""/>
    <x v="289"/>
    <s v="RA-06V-1311]BRK TUBE CAS FIX B"/>
    <n v="100"/>
    <s v=""/>
    <x v="113"/>
    <d v="2026-09-08T00:00:00"/>
    <s v=""/>
    <n v="99012"/>
    <n v="10"/>
    <d v="2026-09-18T00:00:00"/>
    <n v="90"/>
  </r>
  <r>
    <x v="0"/>
    <s v=""/>
    <s v=""/>
    <s v=""/>
    <s v=""/>
    <x v="466"/>
    <s v="RA-1-5]AC POWER SMPS-1"/>
    <n v="100"/>
    <s v=""/>
    <x v="184"/>
    <d v="2026-09-10T00:00:00"/>
    <s v=""/>
    <n v="99012"/>
    <n v="10"/>
    <d v="2026-09-18T00:00:00"/>
    <n v="90"/>
  </r>
  <r>
    <x v="0"/>
    <s v=""/>
    <s v=""/>
    <s v=""/>
    <s v=""/>
    <x v="142"/>
    <s v="RA-5-1]EARTH NF"/>
    <n v="110"/>
    <s v=""/>
    <x v="30"/>
    <d v="2026-09-09T00:00:00"/>
    <s v=""/>
    <n v="99012"/>
    <n v="10"/>
    <d v="2026-09-18T00:00:00"/>
    <n v="100"/>
  </r>
  <r>
    <x v="0"/>
    <s v=""/>
    <s v=""/>
    <s v=""/>
    <s v=""/>
    <x v="264"/>
    <s v="RA-06A-5004]Bd ASSY'-Indicator Bd"/>
    <n v="138"/>
    <s v=""/>
    <x v="131"/>
    <d v="2026-09-10T00:00:00"/>
    <s v=""/>
    <n v="99012"/>
    <n v="20"/>
    <d v="2026-09-18T00:00:00"/>
    <n v="118"/>
  </r>
  <r>
    <x v="0"/>
    <s v=""/>
    <s v=""/>
    <s v=""/>
    <s v=""/>
    <x v="235"/>
    <s v="RA-7-5]LAN THU"/>
    <n v="156"/>
    <s v=""/>
    <x v="123"/>
    <d v="2026-09-10T00:00:00"/>
    <s v=""/>
    <n v="99012"/>
    <n v="10"/>
    <d v="2026-09-18T00:00:00"/>
    <n v="146"/>
  </r>
  <r>
    <x v="0"/>
    <s v=""/>
    <s v="기초"/>
    <s v=""/>
    <s v=""/>
    <x v="377"/>
    <s v="RA-06V-0651]BRK TUBE CAS FIX A"/>
    <n v="160"/>
    <s v=""/>
    <x v="168"/>
    <d v="2026-09-08T00:00:00"/>
    <s v=""/>
    <n v="99012"/>
    <n v="10"/>
    <d v="2026-09-18T00:00:00"/>
    <n v="150"/>
  </r>
  <r>
    <x v="0"/>
    <s v=""/>
    <s v=""/>
    <s v=""/>
    <s v=""/>
    <x v="586"/>
    <s v="RA-1-11]DC POWER HUB"/>
    <n v="165"/>
    <s v=""/>
    <x v="184"/>
    <d v="2026-09-10T00:00:00"/>
    <s v=""/>
    <n v="99012"/>
    <n v="10"/>
    <d v="2026-09-18T00:00:00"/>
    <n v="155"/>
  </r>
  <r>
    <x v="0"/>
    <s v=""/>
    <s v=""/>
    <s v=""/>
    <s v=""/>
    <x v="262"/>
    <s v="RA-3-5]INDICATOR"/>
    <n v="165"/>
    <s v=""/>
    <x v="130"/>
    <d v="2026-09-10T00:00:00"/>
    <s v=""/>
    <n v="99012"/>
    <n v="10"/>
    <d v="2026-09-18T00:00:00"/>
    <n v="155"/>
  </r>
  <r>
    <x v="0"/>
    <s v=""/>
    <s v=""/>
    <s v=""/>
    <s v=""/>
    <x v="278"/>
    <s v="RA-9-8]SERIAL POWER LS 1"/>
    <n v="174"/>
    <s v=""/>
    <x v="137"/>
    <d v="2026-09-10T00:00:00"/>
    <s v=""/>
    <n v="99012"/>
    <n v="10"/>
    <d v="2026-09-18T00:00:00"/>
    <n v="164"/>
  </r>
  <r>
    <x v="0"/>
    <s v=""/>
    <s v=""/>
    <s v=""/>
    <s v=""/>
    <x v="299"/>
    <s v="RA-05T-0210]CAS ROT TOP SUB"/>
    <n v="193"/>
    <s v=""/>
    <x v="27"/>
    <d v="2026-09-10T00:00:00"/>
    <s v=""/>
    <n v="99012"/>
    <n v="10"/>
    <d v="2026-09-18T00:00:00"/>
    <n v="183"/>
  </r>
  <r>
    <x v="0"/>
    <s v=""/>
    <s v="기초"/>
    <s v=""/>
    <s v=""/>
    <x v="334"/>
    <s v="RA-1-9A]DC POWER MOT-A"/>
    <n v="197"/>
    <s v=""/>
    <x v="9"/>
    <d v="2026-09-08T00:00:00"/>
    <s v=""/>
    <n v="99012"/>
    <n v="10"/>
    <d v="2026-09-18T00:00:00"/>
    <n v="187"/>
  </r>
  <r>
    <x v="0"/>
    <s v=""/>
    <s v="입고"/>
    <s v="SON TUNG"/>
    <s v="조영우"/>
    <x v="296"/>
    <s v="RA-02T-0045]CAS VERT SUB BOT"/>
    <n v="200"/>
    <s v=""/>
    <x v="27"/>
    <d v="2026-09-16T00:00:00"/>
    <s v=""/>
    <n v="99012"/>
    <n v="10"/>
    <d v="2026-09-18T00:00:00"/>
    <n v="190"/>
  </r>
  <r>
    <x v="0"/>
    <s v=""/>
    <s v=""/>
    <s v=""/>
    <s v=""/>
    <x v="418"/>
    <s v="RA-10-1]AC CABLE ASS’Y"/>
    <n v="230"/>
    <s v=""/>
    <x v="9"/>
    <d v="2026-10-02T00:00:00"/>
    <s v=""/>
    <n v="99012"/>
    <n v="10"/>
    <d v="2026-10-02T00:00:00"/>
    <n v="220"/>
  </r>
  <r>
    <x v="0"/>
    <s v=""/>
    <s v=""/>
    <s v=""/>
    <s v=""/>
    <x v="374"/>
    <s v="RA-3-3A]DCM CONTROL-A"/>
    <n v="237"/>
    <s v=""/>
    <x v="9"/>
    <d v="2026-09-10T00:00:00"/>
    <s v=""/>
    <n v="99012"/>
    <n v="10"/>
    <d v="2026-09-18T00:00:00"/>
    <n v="227"/>
  </r>
  <r>
    <x v="0"/>
    <s v=""/>
    <s v=""/>
    <s v=""/>
    <s v=""/>
    <x v="379"/>
    <s v="RA-1-12]DC POWER SMPS CONN"/>
    <n v="240"/>
    <s v=""/>
    <x v="0"/>
    <d v="2026-09-10T00:00:00"/>
    <s v=""/>
    <n v="99012"/>
    <n v="10"/>
    <d v="2026-09-18T00:00:00"/>
    <n v="230"/>
  </r>
  <r>
    <x v="0"/>
    <s v=""/>
    <s v=""/>
    <s v=""/>
    <s v=""/>
    <x v="382"/>
    <s v="RA-2-9]ACT 2nd LIMIT"/>
    <n v="242"/>
    <s v=""/>
    <x v="0"/>
    <d v="2026-09-10T00:00:00"/>
    <s v=""/>
    <n v="99012"/>
    <n v="10"/>
    <d v="2026-09-18T00:00:00"/>
    <n v="232"/>
  </r>
  <r>
    <x v="0"/>
    <s v=""/>
    <s v=""/>
    <s v=""/>
    <s v=""/>
    <x v="395"/>
    <s v="RA-5-8]EARTH CTRL SMPS"/>
    <n v="256"/>
    <s v=""/>
    <x v="30"/>
    <d v="2026-09-10T00:00:00"/>
    <s v=""/>
    <n v="99012"/>
    <n v="10"/>
    <d v="2026-09-18T00:00:00"/>
    <n v="246"/>
  </r>
  <r>
    <x v="0"/>
    <s v=""/>
    <s v=""/>
    <s v=""/>
    <s v=""/>
    <x v="403"/>
    <s v="RA-2-4]SERIAL POWER THU"/>
    <n v="268"/>
    <s v=""/>
    <x v="0"/>
    <d v="2026-09-10T00:00:00"/>
    <s v=""/>
    <n v="99012"/>
    <n v="10"/>
    <d v="2026-09-18T00:00:00"/>
    <n v="258"/>
  </r>
  <r>
    <x v="0"/>
    <s v=""/>
    <s v=""/>
    <s v=""/>
    <s v=""/>
    <x v="455"/>
    <s v="RA-5-10]EARTH MOT SMPS(RPS)"/>
    <n v="365"/>
    <s v=""/>
    <x v="30"/>
    <d v="2026-09-10T00:00:00"/>
    <s v=""/>
    <n v="99012"/>
    <n v="10"/>
    <d v="2026-09-18T00:00:00"/>
    <n v="355"/>
  </r>
  <r>
    <x v="0"/>
    <s v=""/>
    <s v=""/>
    <s v=""/>
    <s v=""/>
    <x v="510"/>
    <s v="RA-04T-0143]CAS CHINREST UPPER"/>
    <n v="808"/>
    <s v=""/>
    <x v="27"/>
    <d v="2026-09-09T00:00:00"/>
    <s v=""/>
    <n v="99012"/>
    <n v="10"/>
    <d v="2026-09-18T00:00:00"/>
    <n v="798"/>
  </r>
  <r>
    <x v="0"/>
    <s v=""/>
    <s v=""/>
    <s v=""/>
    <s v=""/>
    <x v="595"/>
    <s v="RA-06M-1105]DECO WINDOW COL"/>
    <n v="53"/>
    <s v=""/>
    <x v="167"/>
    <d v="2026-09-11T00:00:00"/>
    <s v=""/>
    <n v="99013"/>
    <n v="10"/>
    <d v="2026-09-18T00:00:00"/>
    <n v="43"/>
  </r>
  <r>
    <x v="0"/>
    <s v=""/>
    <s v=""/>
    <s v=""/>
    <s v=""/>
    <x v="115"/>
    <s v="RA-03T-0076]CAS MIRROR DECO"/>
    <n v="85"/>
    <s v=""/>
    <x v="27"/>
    <d v="2026-09-10T00:00:00"/>
    <s v=""/>
    <n v="99013"/>
    <n v="84"/>
    <d v="2026-09-18T00:00:00"/>
    <n v="1"/>
  </r>
  <r>
    <x v="0"/>
    <s v=""/>
    <s v=""/>
    <s v=""/>
    <s v=""/>
    <x v="588"/>
    <s v="RA-05V-0501]BRK ROT CAS-A"/>
    <n v="121"/>
    <s v=""/>
    <x v="15"/>
    <d v="2026-09-08T00:00:00"/>
    <s v=""/>
    <n v="99013"/>
    <n v="20"/>
    <d v="2026-09-18T00:00:00"/>
    <n v="101"/>
  </r>
  <r>
    <x v="0"/>
    <s v=""/>
    <s v=""/>
    <s v=""/>
    <s v=""/>
    <x v="552"/>
    <s v="RA-03A-0287]ASM LEVER HORIZONTAL LASER"/>
    <n v="138"/>
    <s v=""/>
    <x v="150"/>
    <d v="2026-09-10T00:00:00"/>
    <s v=""/>
    <n v="99013"/>
    <n v="10"/>
    <d v="2026-09-18T00:00:00"/>
    <n v="128"/>
  </r>
  <r>
    <x v="0"/>
    <s v=""/>
    <s v=""/>
    <s v=""/>
    <s v=""/>
    <x v="387"/>
    <s v="RA-03M-2064]PLT MIRROR (A+)"/>
    <n v="214"/>
    <s v=""/>
    <x v="170"/>
    <d v="2026-09-10T00:00:00"/>
    <s v=""/>
    <n v="99013"/>
    <n v="10"/>
    <d v="2026-09-18T00:00:00"/>
    <n v="204"/>
  </r>
  <r>
    <x v="0"/>
    <s v=""/>
    <s v=""/>
    <s v=""/>
    <s v=""/>
    <x v="553"/>
    <s v="RA-7-3]LAN PC"/>
    <n v="241"/>
    <s v=""/>
    <x v="9"/>
    <d v="2026-09-11T00:00:00"/>
    <s v=""/>
    <n v="99013"/>
    <n v="10"/>
    <d v="2026-09-18T00:00:00"/>
    <n v="231"/>
  </r>
  <r>
    <x v="0"/>
    <s v=""/>
    <s v=""/>
    <s v=""/>
    <s v=""/>
    <x v="554"/>
    <s v="RA-04T-0144]CAS CHINREST BOT"/>
    <n v="316"/>
    <s v=""/>
    <x v="27"/>
    <d v="2026-09-10T00:00:00"/>
    <s v=""/>
    <n v="99013"/>
    <n v="10"/>
    <d v="2026-09-18T00:00:00"/>
    <n v="306"/>
  </r>
  <r>
    <x v="0"/>
    <s v=""/>
    <s v=""/>
    <s v=""/>
    <s v=""/>
    <x v="459"/>
    <s v="RA-06M-2299]PLT MIRROR TUBE CAS R (A+)"/>
    <n v="354"/>
    <s v=""/>
    <x v="167"/>
    <d v="2026-09-10T00:00:00"/>
    <s v=""/>
    <n v="99013"/>
    <n v="10"/>
    <d v="2026-09-18T00:00:00"/>
    <n v="344"/>
  </r>
  <r>
    <x v="0"/>
    <s v=""/>
    <s v=""/>
    <s v=""/>
    <s v=""/>
    <x v="469"/>
    <s v="RA-06M-2298]PLT MIRROR TUBE CAS L (A+)"/>
    <n v="438"/>
    <s v=""/>
    <x v="167"/>
    <d v="2026-09-10T00:00:00"/>
    <s v=""/>
    <n v="99013"/>
    <n v="10"/>
    <d v="2026-09-18T00:00:00"/>
    <n v="428"/>
  </r>
  <r>
    <x v="0"/>
    <s v=""/>
    <s v=""/>
    <s v=""/>
    <s v=""/>
    <x v="555"/>
    <s v="RA-05T-0207]CAS ROT BOT DECO"/>
    <n v="468"/>
    <s v=""/>
    <x v="178"/>
    <d v="2026-09-10T00:00:00"/>
    <s v=""/>
    <n v="99013"/>
    <n v="10"/>
    <d v="2026-09-18T00:00:00"/>
    <n v="458"/>
  </r>
  <r>
    <x v="0"/>
    <s v=""/>
    <s v=""/>
    <s v=""/>
    <s v=""/>
    <x v="482"/>
    <s v="RA-06V-0249]HLDR CAS TUBE TNK REAR"/>
    <n v="570"/>
    <s v=""/>
    <x v="15"/>
    <d v="2026-09-10T00:00:00"/>
    <s v=""/>
    <n v="99013"/>
    <n v="20"/>
    <d v="2026-09-18T00:00:00"/>
    <n v="550"/>
  </r>
  <r>
    <x v="0"/>
    <s v=""/>
    <s v=""/>
    <s v=""/>
    <s v=""/>
    <x v="127"/>
    <s v="RF-01M-0200]MIRROR PLT"/>
    <n v="72"/>
    <s v=""/>
    <x v="82"/>
    <d v="2026-09-03T00:00:00"/>
    <s v=""/>
    <n v="99025"/>
    <n v="3"/>
    <d v="2026-09-16T00:00:00"/>
    <n v="69"/>
  </r>
  <r>
    <x v="0"/>
    <s v=""/>
    <s v=""/>
    <s v=""/>
    <s v=""/>
    <x v="419"/>
    <s v="RF-01T-0171]ARM CVR REAR R"/>
    <n v="240"/>
    <s v=""/>
    <x v="179"/>
    <d v="2026-09-14T00:00:00"/>
    <s v=""/>
    <n v="99025"/>
    <n v="8"/>
    <d v="2026-09-16T00:00:00"/>
    <n v="232"/>
  </r>
  <r>
    <x v="0"/>
    <s v=""/>
    <s v=""/>
    <s v=""/>
    <s v=""/>
    <x v="141"/>
    <s v="ASM COLUMN BODY"/>
    <n v="26"/>
    <s v=""/>
    <x v="6"/>
    <d v="2026-09-11T00:00:00"/>
    <s v=""/>
    <n v="99026"/>
    <n v="26"/>
    <d v="2026-09-17T00:00:00"/>
    <n v="0"/>
  </r>
  <r>
    <x v="0"/>
    <s v=""/>
    <s v="입고"/>
    <s v="MTS"/>
    <s v="유영국"/>
    <x v="31"/>
    <s v="RA-03V-0062]PLT CLMN BODY (LWR)"/>
    <n v="50"/>
    <s v=""/>
    <x v="24"/>
    <d v="2026-09-15T00:00:00"/>
    <s v=""/>
    <n v="99026"/>
    <n v="50"/>
    <d v="2026-09-17T00:00:00"/>
    <n v="0"/>
  </r>
  <r>
    <x v="0"/>
    <s v=""/>
    <s v=""/>
    <s v=""/>
    <s v=""/>
    <x v="128"/>
    <s v="RA-03V-1639]PLT ELECT COMPONENT (VA)"/>
    <n v="8"/>
    <s v=""/>
    <x v="83"/>
    <d v="2026-09-09T00:00:00"/>
    <s v=""/>
    <n v="99028"/>
    <n v="8"/>
    <d v="2026-09-18T00:00:00"/>
    <n v="0"/>
  </r>
  <r>
    <x v="0"/>
    <s v=""/>
    <s v=""/>
    <s v=""/>
    <s v=""/>
    <x v="198"/>
    <s v="RA-03S-6045]SMPS-RPS-200-24V"/>
    <n v="19"/>
    <s v=""/>
    <x v="110"/>
    <d v="2026-09-09T00:00:00"/>
    <s v=""/>
    <n v="99028"/>
    <n v="10"/>
    <d v="2026-09-18T00:00:00"/>
    <n v="9"/>
  </r>
  <r>
    <x v="0"/>
    <s v=""/>
    <s v=""/>
    <s v=""/>
    <s v=""/>
    <x v="391"/>
    <s v="RA-03A-6012]Bd ASSY'-ACT Bd(A/A+)"/>
    <n v="20"/>
    <s v=""/>
    <x v="172"/>
    <d v="2026-09-09T00:00:00"/>
    <s v=""/>
    <n v="99028"/>
    <n v="10"/>
    <d v="2026-09-18T00:00:00"/>
    <n v="10"/>
  </r>
  <r>
    <x v="0"/>
    <s v=""/>
    <s v=""/>
    <s v=""/>
    <s v=""/>
    <x v="352"/>
    <s v="RA-04V-0118]BRK MONITOR HINGE"/>
    <n v="20"/>
    <s v=""/>
    <x v="160"/>
    <d v="2026-09-09T00:00:00"/>
    <s v=""/>
    <n v="99028"/>
    <n v="20"/>
    <d v="2026-09-18T00:00:00"/>
    <n v="0"/>
  </r>
  <r>
    <x v="0"/>
    <s v=""/>
    <s v="기초"/>
    <s v=""/>
    <s v=""/>
    <x v="245"/>
    <s v="RA-04A-1926]ASM CHINREST SUB"/>
    <n v="55"/>
    <s v=""/>
    <x v="104"/>
    <d v="2026-09-11T00:00:00"/>
    <s v=""/>
    <n v="99028"/>
    <n v="10"/>
    <d v="2026-09-18T00:00:00"/>
    <n v="45"/>
  </r>
  <r>
    <x v="0"/>
    <s v=""/>
    <s v=""/>
    <s v=""/>
    <s v=""/>
    <x v="369"/>
    <s v="RA-04V-1708]CVR THU Bd"/>
    <n v="58"/>
    <s v=""/>
    <x v="165"/>
    <d v="2026-09-09T00:00:00"/>
    <s v=""/>
    <n v="99028"/>
    <n v="10"/>
    <d v="2026-09-18T00:00:00"/>
    <n v="48"/>
  </r>
  <r>
    <x v="0"/>
    <s v=""/>
    <s v=""/>
    <s v=""/>
    <s v=""/>
    <x v="211"/>
    <s v="RA-03V-1909]BRK PUSH HUB"/>
    <n v="69"/>
    <s v=""/>
    <x v="65"/>
    <d v="2026-09-09T00:00:00"/>
    <s v=""/>
    <n v="99028"/>
    <n v="10"/>
    <d v="2026-09-18T00:00:00"/>
    <n v="59"/>
  </r>
  <r>
    <x v="0"/>
    <s v=""/>
    <s v="입고"/>
    <s v="MTS"/>
    <s v="유영국"/>
    <x v="128"/>
    <s v="RA-03V-1639]PLT ELECT COMPONENT (VA)"/>
    <n v="80"/>
    <s v=""/>
    <x v="83"/>
    <d v="2026-09-15T00:00:00"/>
    <s v=""/>
    <n v="99028"/>
    <n v="2"/>
    <d v="2026-09-18T00:00:00"/>
    <n v="78"/>
  </r>
  <r>
    <x v="0"/>
    <s v=""/>
    <s v=""/>
    <s v=""/>
    <s v=""/>
    <x v="172"/>
    <s v="RA-04A-6035_4]Bd ASSY'-THU Bd"/>
    <n v="87"/>
    <s v=""/>
    <x v="100"/>
    <d v="2026-10-01T00:00:00"/>
    <s v=""/>
    <n v="99028"/>
    <n v="10"/>
    <d v="2026-10-01T00:00:00"/>
    <n v="77"/>
  </r>
  <r>
    <x v="0"/>
    <s v=""/>
    <s v=""/>
    <s v=""/>
    <s v=""/>
    <x v="193"/>
    <s v="RA-04V-0117] ARM MONITOR"/>
    <n v="112"/>
    <s v=""/>
    <x v="108"/>
    <d v="2026-09-09T00:00:00"/>
    <s v=""/>
    <n v="99028"/>
    <n v="10"/>
    <d v="2026-09-18T00:00:00"/>
    <n v="102"/>
  </r>
  <r>
    <x v="0"/>
    <s v=""/>
    <s v=""/>
    <s v=""/>
    <s v=""/>
    <x v="239"/>
    <s v="RA-03S-5013]Mgnet CONTECTOR-LP1K0910BD"/>
    <n v="127"/>
    <s v=""/>
    <x v="125"/>
    <d v="2026-09-09T00:00:00"/>
    <s v=""/>
    <n v="99028"/>
    <n v="10"/>
    <d v="2026-09-18T00:00:00"/>
    <n v="117"/>
  </r>
  <r>
    <x v="0"/>
    <s v=""/>
    <s v=""/>
    <s v=""/>
    <s v=""/>
    <x v="214"/>
    <s v="RA-04S-5174]THU Cable Ass'y"/>
    <n v="129"/>
    <s v=""/>
    <x v="117"/>
    <d v="2026-09-09T00:00:00"/>
    <s v=""/>
    <n v="99028"/>
    <n v="10"/>
    <d v="2026-09-18T00:00:00"/>
    <n v="119"/>
  </r>
  <r>
    <x v="0"/>
    <s v=""/>
    <s v=""/>
    <s v=""/>
    <s v=""/>
    <x v="221"/>
    <s v="RA-04V-1709]BRK THU Bd"/>
    <n v="135"/>
    <s v=""/>
    <x v="118"/>
    <d v="2026-09-09T00:00:00"/>
    <s v=""/>
    <n v="99028"/>
    <n v="10"/>
    <d v="2026-09-18T00:00:00"/>
    <n v="125"/>
  </r>
  <r>
    <x v="0"/>
    <s v=""/>
    <s v=""/>
    <s v=""/>
    <s v=""/>
    <x v="232"/>
    <s v="RA-03S-5176]NOISE FILTER RSHN2016"/>
    <n v="139"/>
    <s v=""/>
    <x v="110"/>
    <d v="2026-09-09T00:00:00"/>
    <s v=""/>
    <n v="99028"/>
    <n v="10"/>
    <d v="2026-09-18T00:00:00"/>
    <n v="129"/>
  </r>
  <r>
    <x v="0"/>
    <s v=""/>
    <s v="기초"/>
    <s v=""/>
    <s v=""/>
    <x v="177"/>
    <s v="RA-04A-2748]ASM ARM SUB (A+) (VN)"/>
    <n v="150"/>
    <s v=""/>
    <x v="33"/>
    <d v="2026-09-16T00:00:00"/>
    <s v=""/>
    <n v="99028"/>
    <n v="10"/>
    <d v="2026-09-18T00:00:00"/>
    <n v="140"/>
  </r>
  <r>
    <x v="0"/>
    <s v=""/>
    <s v=""/>
    <s v=""/>
    <s v=""/>
    <x v="295"/>
    <s v="RA-03S-6025]LBM-RAY01"/>
    <n v="156"/>
    <s v=""/>
    <x v="74"/>
    <d v="2026-09-09T00:00:00"/>
    <s v=""/>
    <n v="99028"/>
    <n v="10"/>
    <d v="2026-09-18T00:00:00"/>
    <n v="146"/>
  </r>
  <r>
    <x v="0"/>
    <s v=""/>
    <s v=""/>
    <s v=""/>
    <s v=""/>
    <x v="294"/>
    <s v="RA-03S-5180A]A2K_LBM01-570"/>
    <n v="156"/>
    <s v=""/>
    <x v="74"/>
    <d v="2026-09-09T00:00:00"/>
    <s v=""/>
    <n v="99028"/>
    <n v="10"/>
    <d v="2026-09-18T00:00:00"/>
    <n v="146"/>
  </r>
  <r>
    <x v="0"/>
    <s v=""/>
    <s v=""/>
    <s v=""/>
    <s v=""/>
    <x v="323"/>
    <s v="RA-04A-0899]ASM LCD M101NWT2 R1"/>
    <n v="158"/>
    <s v=""/>
    <x v="94"/>
    <d v="2026-09-29T00:00:00"/>
    <s v=""/>
    <n v="99028"/>
    <n v="10"/>
    <d v="2026-09-29T00:00:00"/>
    <n v="148"/>
  </r>
  <r>
    <x v="0"/>
    <s v=""/>
    <s v=""/>
    <s v=""/>
    <s v=""/>
    <x v="273"/>
    <s v="RA-04M-1339]BLK HEADREST FIX BAR-R"/>
    <n v="160"/>
    <s v=""/>
    <x v="134"/>
    <d v="2026-09-09T00:00:00"/>
    <s v=""/>
    <n v="99028"/>
    <n v="10"/>
    <d v="2026-09-18T00:00:00"/>
    <n v="150"/>
  </r>
  <r>
    <x v="0"/>
    <s v=""/>
    <s v=""/>
    <s v=""/>
    <s v=""/>
    <x v="351"/>
    <s v="RA-03M-2193]CVR PROT (A+)"/>
    <n v="186"/>
    <s v=""/>
    <x v="74"/>
    <d v="2026-09-09T00:00:00"/>
    <s v=""/>
    <n v="99028"/>
    <n v="10"/>
    <d v="2026-09-18T00:00:00"/>
    <n v="176"/>
  </r>
  <r>
    <x v="0"/>
    <s v=""/>
    <s v=""/>
    <s v=""/>
    <s v=""/>
    <x v="355"/>
    <s v="RA-04M-1338]BLK HEADREST FIX BAR-L"/>
    <n v="210"/>
    <s v=""/>
    <x v="134"/>
    <d v="2026-09-09T00:00:00"/>
    <s v=""/>
    <n v="99028"/>
    <n v="10"/>
    <d v="2026-09-18T00:00:00"/>
    <n v="200"/>
  </r>
  <r>
    <x v="0"/>
    <s v=""/>
    <s v=""/>
    <s v=""/>
    <s v=""/>
    <x v="424"/>
    <s v="RA-03T-1992]HLDR LASER BEAM V"/>
    <n v="265"/>
    <s v=""/>
    <x v="74"/>
    <d v="2026-09-09T00:00:00"/>
    <s v=""/>
    <n v="99028"/>
    <n v="10"/>
    <d v="2026-09-18T00:00:00"/>
    <n v="255"/>
  </r>
  <r>
    <x v="0"/>
    <s v=""/>
    <s v="기초"/>
    <s v=""/>
    <s v=""/>
    <x v="321"/>
    <s v="RA-04S-0121]HINGE SET"/>
    <n v="279"/>
    <s v=""/>
    <x v="150"/>
    <d v="2026-09-11T00:00:00"/>
    <s v=""/>
    <n v="99028"/>
    <n v="20"/>
    <d v="2026-09-18T00:00:00"/>
    <n v="259"/>
  </r>
  <r>
    <x v="0"/>
    <s v=""/>
    <s v=""/>
    <s v=""/>
    <s v=""/>
    <x v="425"/>
    <s v="RA-03A-6016A]BD ASSY'-AC FUSE BLK"/>
    <n v="280"/>
    <s v=""/>
    <x v="181"/>
    <d v="2026-09-09T00:00:00"/>
    <s v=""/>
    <n v="99028"/>
    <n v="10"/>
    <d v="2026-09-18T00:00:00"/>
    <n v="270"/>
  </r>
  <r>
    <x v="0"/>
    <s v=""/>
    <s v=""/>
    <s v=""/>
    <s v=""/>
    <x v="181"/>
    <s v="RA-03A-0050_I]ASM HORIZONTAL LASER BEAM"/>
    <n v="294"/>
    <s v=""/>
    <x v="104"/>
    <d v="2026-09-09T00:00:00"/>
    <s v=""/>
    <n v="99028"/>
    <n v="10"/>
    <d v="2026-09-18T00:00:00"/>
    <n v="284"/>
  </r>
  <r>
    <x v="0"/>
    <s v=""/>
    <s v=""/>
    <s v=""/>
    <s v=""/>
    <x v="446"/>
    <s v="RA-1-1_2]AC POWER FUSE TO NF2"/>
    <n v="309"/>
    <s v=""/>
    <x v="184"/>
    <d v="2026-09-09T00:00:00"/>
    <s v=""/>
    <n v="99028"/>
    <n v="10"/>
    <d v="2026-09-18T00:00:00"/>
    <n v="299"/>
  </r>
  <r>
    <x v="0"/>
    <s v=""/>
    <s v=""/>
    <s v=""/>
    <s v=""/>
    <x v="444"/>
    <s v="RA-04M-2399]GUIDE BITE BLK A (A+)"/>
    <n v="327"/>
    <s v=""/>
    <x v="128"/>
    <d v="2026-09-09T00:00:00"/>
    <s v=""/>
    <n v="99028"/>
    <n v="10"/>
    <d v="2026-09-18T00:00:00"/>
    <n v="317"/>
  </r>
  <r>
    <x v="0"/>
    <s v=""/>
    <s v=""/>
    <s v=""/>
    <s v=""/>
    <x v="465"/>
    <s v="RA-03A-6046]SMPS CONN B/D"/>
    <n v="384"/>
    <s v=""/>
    <x v="111"/>
    <d v="2026-09-09T00:00:00"/>
    <s v=""/>
    <n v="99028"/>
    <n v="10"/>
    <d v="2026-09-18T00:00:00"/>
    <n v="374"/>
  </r>
  <r>
    <x v="0"/>
    <s v=""/>
    <s v=""/>
    <s v=""/>
    <s v=""/>
    <x v="452"/>
    <s v="RA-1-2_2]AC POWER FUSE TO NF1"/>
    <n v="570"/>
    <s v=""/>
    <x v="184"/>
    <d v="2026-09-09T00:00:00"/>
    <s v=""/>
    <n v="99028"/>
    <n v="10"/>
    <d v="2026-09-18T00:00:00"/>
    <n v="560"/>
  </r>
  <r>
    <x v="0"/>
    <s v=""/>
    <s v=""/>
    <s v=""/>
    <s v=""/>
    <x v="503"/>
    <s v="RA-03M-0063]GUIDE PIN 2"/>
    <n v="782"/>
    <s v=""/>
    <x v="163"/>
    <d v="2026-09-09T00:00:00"/>
    <s v=""/>
    <n v="99028"/>
    <n v="20"/>
    <d v="2026-09-18T00:00:00"/>
    <n v="762"/>
  </r>
  <r>
    <x v="0"/>
    <s v=""/>
    <s v=""/>
    <s v=""/>
    <s v=""/>
    <x v="560"/>
    <s v="RA-09A-2730]ASM COMPONENT SUB-2"/>
    <n v="3"/>
    <s v=""/>
    <x v="33"/>
    <d v="2026-09-10T00:00:00"/>
    <s v=""/>
    <n v="99029"/>
    <n v="3"/>
    <d v="2026-09-18T00:00:00"/>
    <n v="0"/>
  </r>
  <r>
    <x v="0"/>
    <s v=""/>
    <s v=""/>
    <s v=""/>
    <s v=""/>
    <x v="567"/>
    <s v="RA-03V-0055]HLDR CAS CLMN BODY LWR 2"/>
    <n v="8"/>
    <s v=""/>
    <x v="171"/>
    <d v="2026-09-10T00:00:00"/>
    <s v=""/>
    <n v="99029"/>
    <n v="8"/>
    <d v="2026-09-18T00:00:00"/>
    <n v="0"/>
  </r>
  <r>
    <x v="0"/>
    <s v=""/>
    <s v=""/>
    <s v=""/>
    <s v=""/>
    <x v="563"/>
    <s v="RA-09A-0345]ASM REMOTE CONTROL"/>
    <n v="33"/>
    <s v=""/>
    <x v="17"/>
    <d v="2026-09-10T00:00:00"/>
    <s v=""/>
    <n v="99029"/>
    <n v="10"/>
    <d v="2026-09-18T00:00:00"/>
    <n v="23"/>
  </r>
  <r>
    <x v="0"/>
    <s v=""/>
    <s v=""/>
    <s v=""/>
    <s v=""/>
    <x v="568"/>
    <s v="RA-03V-0054]HLDR CAS CLMN BODY LWR 1"/>
    <n v="55"/>
    <s v=""/>
    <x v="171"/>
    <d v="2026-09-10T00:00:00"/>
    <s v=""/>
    <n v="99029"/>
    <n v="10"/>
    <d v="2026-09-18T00:00:00"/>
    <n v="45"/>
  </r>
  <r>
    <x v="0"/>
    <s v=""/>
    <s v=""/>
    <s v=""/>
    <s v=""/>
    <x v="97"/>
    <s v="RA-04A-2296]ASM HANDLE (A+)"/>
    <n v="61"/>
    <s v=""/>
    <x v="55"/>
    <d v="2026-09-16T00:00:00"/>
    <s v=""/>
    <n v="99029"/>
    <n v="10"/>
    <d v="2026-09-18T00:00:00"/>
    <n v="51"/>
  </r>
  <r>
    <x v="0"/>
    <s v=""/>
    <s v="입고"/>
    <s v="MTS"/>
    <s v="유영국"/>
    <x v="567"/>
    <s v="RA-03V-0055]HLDR CAS CLMN BODY LWR 2"/>
    <n v="100"/>
    <s v=""/>
    <x v="171"/>
    <d v="2026-09-15T00:00:00"/>
    <s v=""/>
    <n v="99029"/>
    <n v="2"/>
    <d v="2026-09-18T00:00:00"/>
    <n v="98"/>
  </r>
  <r>
    <x v="0"/>
    <s v=""/>
    <s v=""/>
    <s v=""/>
    <s v=""/>
    <x v="13"/>
    <s v="RA-03A-0314]ASM CAS CLMN LWR (R)"/>
    <n v="117"/>
    <s v=""/>
    <x v="10"/>
    <d v="2026-09-10T00:00:00"/>
    <s v=""/>
    <n v="99029"/>
    <n v="10"/>
    <d v="2026-09-18T00:00:00"/>
    <n v="107"/>
  </r>
  <r>
    <x v="0"/>
    <s v=""/>
    <s v=""/>
    <s v=""/>
    <s v=""/>
    <x v="561"/>
    <s v="RA-09A-0967]ASM EXPOSURE SW"/>
    <n v="120"/>
    <s v=""/>
    <x v="183"/>
    <d v="2026-09-10T00:00:00"/>
    <s v=""/>
    <n v="99029"/>
    <n v="10"/>
    <d v="2026-09-18T00:00:00"/>
    <n v="110"/>
  </r>
  <r>
    <x v="0"/>
    <s v=""/>
    <s v=""/>
    <s v=""/>
    <s v=""/>
    <x v="140"/>
    <s v="RA-09M-1133]PIN GUIDE BITE"/>
    <n v="120"/>
    <s v=""/>
    <x v="17"/>
    <d v="2026-09-10T00:00:00"/>
    <s v=""/>
    <n v="99029"/>
    <n v="20"/>
    <d v="2026-09-18T00:00:00"/>
    <n v="100"/>
  </r>
  <r>
    <x v="0"/>
    <s v=""/>
    <s v="기초"/>
    <s v=""/>
    <s v=""/>
    <x v="559"/>
    <s v="RA-09A-2729]ASM COMPONENT SUB-1"/>
    <n v="125"/>
    <s v=""/>
    <x v="33"/>
    <d v="2026-09-11T00:00:00"/>
    <s v=""/>
    <n v="99029"/>
    <n v="10"/>
    <d v="2026-09-18T00:00:00"/>
    <n v="115"/>
  </r>
  <r>
    <x v="0"/>
    <s v=""/>
    <s v=""/>
    <s v=""/>
    <s v=""/>
    <x v="560"/>
    <s v="RA-09A-2730]ASM COMPONENT SUB-2"/>
    <n v="200"/>
    <s v=""/>
    <x v="33"/>
    <d v="2026-09-08T00:00:00"/>
    <s v=""/>
    <n v="99029"/>
    <n v="7"/>
    <d v="2026-09-18T00:00:00"/>
    <n v="193"/>
  </r>
  <r>
    <x v="0"/>
    <s v=""/>
    <s v=""/>
    <s v=""/>
    <s v=""/>
    <x v="12"/>
    <s v="RA-03A-0315]ASM CAS CLMN LWR (L)"/>
    <n v="229"/>
    <s v=""/>
    <x v="10"/>
    <d v="2026-09-10T00:00:00"/>
    <s v=""/>
    <n v="99029"/>
    <n v="10"/>
    <d v="2026-09-18T00:00:00"/>
    <n v="219"/>
  </r>
  <r>
    <x v="0"/>
    <s v=""/>
    <s v=""/>
    <s v=""/>
    <s v=""/>
    <x v="571"/>
    <s v="RA-5-7]EARTH SHAFT TO WALL"/>
    <n v="230"/>
    <s v=""/>
    <x v="9"/>
    <d v="2026-09-10T00:00:00"/>
    <s v=""/>
    <n v="99029"/>
    <n v="10"/>
    <d v="2026-09-18T00:00:00"/>
    <n v="220"/>
  </r>
  <r>
    <x v="0"/>
    <s v=""/>
    <s v="기초"/>
    <s v=""/>
    <s v=""/>
    <x v="427"/>
    <s v="RA-09M-1134]BLK GUIDE BITE"/>
    <n v="239"/>
    <s v=""/>
    <x v="17"/>
    <d v="2026-09-11T00:00:00"/>
    <s v=""/>
    <n v="99029"/>
    <n v="10"/>
    <d v="2026-09-18T00:00:00"/>
    <n v="229"/>
  </r>
  <r>
    <x v="0"/>
    <s v=""/>
    <s v=""/>
    <s v=""/>
    <s v=""/>
    <x v="15"/>
    <s v="RA-5-6]EARTH SHAFT TO PC"/>
    <n v="239"/>
    <s v=""/>
    <x v="9"/>
    <d v="2026-09-10T00:00:00"/>
    <s v=""/>
    <n v="99029"/>
    <n v="10"/>
    <d v="2026-09-18T00:00:00"/>
    <n v="229"/>
  </r>
  <r>
    <x v="0"/>
    <s v=""/>
    <s v="기초"/>
    <s v=""/>
    <s v=""/>
    <x v="573"/>
    <s v="RA-09T-0344]KNOB CEPH ADJUST"/>
    <n v="252"/>
    <s v=""/>
    <x v="178"/>
    <d v="2026-09-11T00:00:00"/>
    <s v=""/>
    <n v="99029"/>
    <n v="20"/>
    <d v="2026-09-18T00:00:00"/>
    <n v="232"/>
  </r>
  <r>
    <x v="0"/>
    <s v=""/>
    <s v=""/>
    <s v=""/>
    <s v=""/>
    <x v="569"/>
    <s v="RA-04T-1707]CAS MONITOR DECO"/>
    <n v="330"/>
    <s v=""/>
    <x v="178"/>
    <d v="2026-09-16T00:00:00"/>
    <s v=""/>
    <n v="99029"/>
    <n v="10"/>
    <d v="2026-09-18T00:00:00"/>
    <n v="320"/>
  </r>
  <r>
    <x v="0"/>
    <s v=""/>
    <s v=""/>
    <s v=""/>
    <s v=""/>
    <x v="564"/>
    <s v="RA-01T-1791]CAS MAIN Bas REAR"/>
    <n v="428"/>
    <s v=""/>
    <x v="10"/>
    <d v="2026-09-10T00:00:00"/>
    <s v=""/>
    <n v="99029"/>
    <n v="10"/>
    <d v="2026-09-18T00:00:00"/>
    <n v="418"/>
  </r>
  <r>
    <x v="0"/>
    <s v=""/>
    <s v=""/>
    <s v=""/>
    <s v=""/>
    <x v="480"/>
    <s v="RA-09T-1184]CAS CHINREST"/>
    <n v="459"/>
    <s v=""/>
    <x v="27"/>
    <d v="2026-09-10T00:00:00"/>
    <s v=""/>
    <n v="99029"/>
    <n v="10"/>
    <d v="2026-09-18T00:00:00"/>
    <n v="449"/>
  </r>
  <r>
    <x v="0"/>
    <s v=""/>
    <s v=""/>
    <s v=""/>
    <s v=""/>
    <x v="566"/>
    <s v="RA-03T-0072]CAS CLMN BODY REAR"/>
    <n v="576"/>
    <s v=""/>
    <x v="10"/>
    <d v="2026-09-10T00:00:00"/>
    <s v=""/>
    <n v="99029"/>
    <n v="10"/>
    <d v="2026-09-18T00:00:00"/>
    <n v="566"/>
  </r>
  <r>
    <x v="0"/>
    <s v=""/>
    <s v=""/>
    <s v=""/>
    <s v=""/>
    <x v="562"/>
    <s v="RA-09T-0733]CAS S.W HLDR"/>
    <n v="697"/>
    <s v=""/>
    <x v="178"/>
    <d v="2026-09-10T00:00:00"/>
    <s v=""/>
    <n v="99029"/>
    <n v="10"/>
    <d v="2026-09-18T00:00:00"/>
    <n v="687"/>
  </r>
  <r>
    <x v="0"/>
    <s v=""/>
    <s v=""/>
    <s v=""/>
    <s v=""/>
    <x v="474"/>
    <s v="RA-8-9]AC POWER CABLE(IEC)"/>
    <n v="470"/>
    <s v=""/>
    <x v="9"/>
    <d v="2026-09-15T00:00:00"/>
    <s v=""/>
    <n v="99030"/>
    <n v="40"/>
    <d v="2026-09-16T00:00:00"/>
    <n v="430"/>
  </r>
  <r>
    <x v="0"/>
    <s v=""/>
    <s v="기초"/>
    <s v=""/>
    <s v=""/>
    <x v="486"/>
    <s v="RA-02V-2286]BRK ROTATION FIX AXIS (A+)"/>
    <n v="484"/>
    <s v=""/>
    <x v="194"/>
    <d v="2026-09-11T00:00:00"/>
    <s v=""/>
    <n v="99031"/>
    <n v="30"/>
    <d v="2026-09-16T00:00:00"/>
    <n v="454"/>
  </r>
  <r>
    <x v="0"/>
    <s v=""/>
    <s v="기초"/>
    <s v=""/>
    <s v=""/>
    <x v="283"/>
    <s v="RA-06M-3187]BLK COL FIX LWR A (ST)"/>
    <n v="73"/>
    <s v=""/>
    <x v="87"/>
    <d v="2026-09-11T00:00:00"/>
    <s v=""/>
    <n v="99038"/>
    <n v="6"/>
    <d v="2026-09-18T00:00:00"/>
    <n v="67"/>
  </r>
  <r>
    <x v="0"/>
    <s v=""/>
    <s v=""/>
    <s v=""/>
    <s v=""/>
    <x v="499"/>
    <s v="RA-10-4]FAN ASS'Y"/>
    <n v="553"/>
    <s v=""/>
    <x v="9"/>
    <d v="2026-09-30T00:00:00"/>
    <s v=""/>
    <n v="99038"/>
    <n v="13"/>
    <d v="2026-09-18T00:00:00"/>
    <n v="540"/>
  </r>
  <r>
    <x v="0"/>
    <s v=""/>
    <s v=""/>
    <s v=""/>
    <s v=""/>
    <x v="513"/>
    <s v="RA-06T-0296]CAS TUBE TNK FAN"/>
    <n v="910"/>
    <s v=""/>
    <x v="27"/>
    <d v="2026-09-30T00:00:00"/>
    <s v=""/>
    <n v="99038"/>
    <n v="13"/>
    <d v="2026-09-18T00:00:00"/>
    <n v="897"/>
  </r>
  <r>
    <x v="0"/>
    <s v=""/>
    <s v=""/>
    <s v=""/>
    <s v=""/>
    <x v="556"/>
    <s v="ASM ROTATOR"/>
    <n v="48"/>
    <s v=""/>
    <x v="33"/>
    <d v="2026-09-14T00:00:00"/>
    <s v=""/>
    <n v="99039"/>
    <n v="48"/>
    <d v="2026-09-18T00:00:00"/>
    <n v="0"/>
  </r>
  <r>
    <x v="0"/>
    <s v=""/>
    <s v=""/>
    <s v=""/>
    <s v=""/>
    <x v="1"/>
    <s v="RA-06M-0432]FLANGE TUBE TILT SHAFT B"/>
    <n v="329"/>
    <s v=""/>
    <x v="1"/>
    <d v="2026-09-30T00:00:00"/>
    <s v=""/>
    <n v="100547"/>
    <n v="50"/>
    <d v="2026-09-21T00:00:00"/>
    <n v="279"/>
  </r>
  <r>
    <x v="0"/>
    <s v=""/>
    <s v=""/>
    <s v=""/>
    <s v=""/>
    <x v="7"/>
    <s v="RA-06S-5091] DC motor(HDSG56-3448C-615)"/>
    <n v="350"/>
    <s v=""/>
    <x v="6"/>
    <d v="2026-09-21T00:00:00"/>
    <s v=""/>
    <n v="100547"/>
    <n v="6"/>
    <d v="2026-09-21T00:00:00"/>
    <n v="344"/>
  </r>
  <r>
    <x v="0"/>
    <s v=""/>
    <s v=""/>
    <s v=""/>
    <s v=""/>
    <x v="10"/>
    <s v="RA-06S-5018]MICRO SWITCH"/>
    <n v="360"/>
    <s v=""/>
    <x v="8"/>
    <d v="2026-09-30T00:00:00"/>
    <s v=""/>
    <n v="100547"/>
    <n v="100"/>
    <d v="2026-09-21T00:00:00"/>
    <n v="260"/>
  </r>
  <r>
    <x v="0"/>
    <s v=""/>
    <s v=""/>
    <s v=""/>
    <s v=""/>
    <x v="7"/>
    <s v="RA-06S-5091] DC motor(HDSG56-3448C-615)"/>
    <n v="365"/>
    <s v=""/>
    <x v="6"/>
    <d v="2026-09-29T00:00:00"/>
    <s v=""/>
    <n v="100547"/>
    <n v="15"/>
    <d v="2026-09-21T00:00:00"/>
    <n v="350"/>
  </r>
  <r>
    <x v="0"/>
    <s v=""/>
    <s v=""/>
    <s v=""/>
    <s v=""/>
    <x v="3"/>
    <s v="RA-06V-0242]BRK TUBE TILT MICRO SW"/>
    <n v="387"/>
    <s v=""/>
    <x v="3"/>
    <d v="2026-09-21T00:00:00"/>
    <s v=""/>
    <n v="100547"/>
    <n v="50"/>
    <d v="2026-09-21T00:00:00"/>
    <n v="337"/>
  </r>
  <r>
    <x v="0"/>
    <s v=""/>
    <s v=""/>
    <s v=""/>
    <s v=""/>
    <x v="3"/>
    <s v="RA-06V-0242]BRK TUBE TILT MICRO SW"/>
    <n v="402"/>
    <s v=""/>
    <x v="3"/>
    <d v="2026-09-30T00:00:00"/>
    <s v=""/>
    <n v="100547"/>
    <n v="15"/>
    <d v="2026-09-21T00:00:00"/>
    <n v="387"/>
  </r>
  <r>
    <x v="0"/>
    <s v=""/>
    <s v=""/>
    <s v=""/>
    <s v=""/>
    <x v="7"/>
    <s v="RA-06S-5091] DC motor(HDSG56-3448C-615)"/>
    <n v="409"/>
    <s v=""/>
    <x v="6"/>
    <d v="2026-09-30T00:00:00"/>
    <s v=""/>
    <n v="100547"/>
    <n v="44"/>
    <d v="2026-09-29T00:00:00"/>
    <n v="365"/>
  </r>
  <r>
    <x v="0"/>
    <s v=""/>
    <s v=""/>
    <s v=""/>
    <s v=""/>
    <x v="5"/>
    <s v="RA-06V-3253]HLDR DC GEARED MOT (M+)"/>
    <n v="439"/>
    <s v=""/>
    <x v="4"/>
    <d v="2026-09-30T00:00:00"/>
    <s v=""/>
    <n v="100547"/>
    <n v="50"/>
    <d v="2026-09-21T00:00:00"/>
    <n v="389"/>
  </r>
  <r>
    <x v="0"/>
    <s v=""/>
    <s v=""/>
    <s v=""/>
    <s v=""/>
    <x v="9"/>
    <s v="RA-06M-0244]PIN TUBE TILT LIMIT"/>
    <n v="474"/>
    <s v=""/>
    <x v="7"/>
    <d v="2026-09-30T00:00:00"/>
    <s v=""/>
    <n v="100547"/>
    <n v="100"/>
    <d v="2026-09-21T00:00:00"/>
    <n v="374"/>
  </r>
  <r>
    <x v="0"/>
    <s v=""/>
    <s v=""/>
    <s v=""/>
    <s v=""/>
    <x v="0"/>
    <s v="RA-3-3B]DCM CONTROL-B"/>
    <n v="482"/>
    <s v=""/>
    <x v="0"/>
    <d v="2026-09-30T00:00:00"/>
    <s v=""/>
    <n v="100547"/>
    <n v="50"/>
    <d v="2026-09-21T00:00:00"/>
    <n v="432"/>
  </r>
  <r>
    <x v="0"/>
    <s v=""/>
    <s v=""/>
    <s v=""/>
    <s v=""/>
    <x v="2"/>
    <s v="RA-06V-0241]GUIDE TUBE TILT MICRO SW"/>
    <n v="571"/>
    <s v=""/>
    <x v="2"/>
    <d v="2026-09-30T00:00:00"/>
    <s v=""/>
    <n v="100547"/>
    <n v="50"/>
    <d v="2026-09-21T00:00:00"/>
    <n v="521"/>
  </r>
  <r>
    <x v="0"/>
    <s v=""/>
    <s v=""/>
    <s v=""/>
    <s v=""/>
    <x v="4"/>
    <s v="RA-06V-0866]BRK TUBE TILT MICRO SW"/>
    <n v="681"/>
    <s v=""/>
    <x v="3"/>
    <d v="2026-09-21T00:00:00"/>
    <s v=""/>
    <n v="100547"/>
    <n v="50"/>
    <d v="2026-09-21T00:00:00"/>
    <n v="631"/>
  </r>
  <r>
    <x v="0"/>
    <s v=""/>
    <s v=""/>
    <s v=""/>
    <s v=""/>
    <x v="4"/>
    <s v="RA-06V-0866]BRK TUBE TILT MICRO SW"/>
    <n v="696"/>
    <s v=""/>
    <x v="3"/>
    <d v="2026-09-30T00:00:00"/>
    <s v=""/>
    <n v="100547"/>
    <n v="15"/>
    <d v="2026-09-21T00:00:00"/>
    <n v="681"/>
  </r>
  <r>
    <x v="0"/>
    <s v=""/>
    <s v=""/>
    <s v=""/>
    <s v=""/>
    <x v="6"/>
    <s v="RA-06A-5005]Bd ASSY'-DC MOT Bd"/>
    <n v="734"/>
    <s v=""/>
    <x v="5"/>
    <d v="2026-09-30T00:00:00"/>
    <s v=""/>
    <n v="100547"/>
    <n v="50"/>
    <d v="2026-09-21T00:00:00"/>
    <n v="684"/>
  </r>
  <r>
    <x v="0"/>
    <s v=""/>
    <s v=""/>
    <s v=""/>
    <s v=""/>
    <x v="592"/>
    <s v="RE-06A-0625]ASM TUBE FAN"/>
    <n v="30"/>
    <s v=""/>
    <x v="222"/>
    <d v="2026-09-11T00:00:00"/>
    <s v=""/>
    <n v="100550"/>
    <n v="20"/>
    <d v="2026-09-22T00:00:00"/>
    <n v="10"/>
  </r>
  <r>
    <x v="0"/>
    <s v=""/>
    <s v=""/>
    <s v=""/>
    <s v=""/>
    <x v="311"/>
    <s v="RE-06V-0608]BRK COL LWR"/>
    <n v="50"/>
    <s v=""/>
    <x v="147"/>
    <d v="2026-09-11T00:00:00"/>
    <s v=""/>
    <n v="100550"/>
    <n v="20"/>
    <d v="2026-09-22T00:00:00"/>
    <n v="30"/>
  </r>
  <r>
    <x v="0"/>
    <s v=""/>
    <s v=""/>
    <s v=""/>
    <s v=""/>
    <x v="70"/>
    <s v="RE-06A-0601]ASM COLLIMATOR MODULE"/>
    <n v="58"/>
    <s v=""/>
    <x v="13"/>
    <d v="2026-09-11T00:00:00"/>
    <s v=""/>
    <n v="100550"/>
    <n v="20"/>
    <d v="2026-09-22T00:00:00"/>
    <n v="38"/>
  </r>
  <r>
    <x v="0"/>
    <s v=""/>
    <s v=""/>
    <s v=""/>
    <s v=""/>
    <x v="80"/>
    <s v="RE-06A-0630]ASM TUBE SHAFT BRASS"/>
    <n v="69"/>
    <s v=""/>
    <x v="61"/>
    <d v="2026-09-11T00:00:00"/>
    <s v=""/>
    <n v="100550"/>
    <n v="20"/>
    <d v="2026-09-22T00:00:00"/>
    <n v="49"/>
  </r>
  <r>
    <x v="0"/>
    <s v=""/>
    <s v=""/>
    <s v=""/>
    <s v=""/>
    <x v="81"/>
    <s v="RE-06H-5048]LASER H [LBM01-300]"/>
    <n v="69"/>
    <s v=""/>
    <x v="62"/>
    <d v="2026-09-11T00:00:00"/>
    <s v=""/>
    <n v="100550"/>
    <n v="20"/>
    <d v="2026-09-22T00:00:00"/>
    <n v="49"/>
  </r>
  <r>
    <x v="0"/>
    <s v=""/>
    <s v="기초추가"/>
    <s v=""/>
    <s v=""/>
    <x v="538"/>
    <s v="RE-05H-5030_1]TILT SIGNAL"/>
    <n v="6"/>
    <s v=""/>
    <x v="211"/>
    <d v="2026-09-10T00:00:00"/>
    <s v=""/>
    <n v="100551"/>
    <n v="6"/>
    <d v="2026-09-22T00:00:00"/>
    <n v="0"/>
  </r>
  <r>
    <x v="0"/>
    <s v=""/>
    <s v=""/>
    <s v=""/>
    <s v=""/>
    <x v="603"/>
    <s v="RE-05H-5025_1]eSUB MOT DET"/>
    <n v="15"/>
    <s v=""/>
    <x v="211"/>
    <d v="2026-09-11T00:00:00"/>
    <s v=""/>
    <n v="100551"/>
    <n v="15"/>
    <d v="2026-09-22T00:00:00"/>
    <n v="0"/>
  </r>
  <r>
    <x v="0"/>
    <s v=""/>
    <s v="입고"/>
    <s v="에이투케이"/>
    <s v="유영국"/>
    <x v="602"/>
    <s v="RE-05H-5024_1]eSUB MOT COL"/>
    <n v="20"/>
    <s v=""/>
    <x v="211"/>
    <d v="2026-09-28T00:00:00"/>
    <s v=""/>
    <n v="100551"/>
    <n v="20"/>
    <d v="2026-09-28T00:00:00"/>
    <n v="0"/>
  </r>
  <r>
    <x v="0"/>
    <s v=""/>
    <s v=""/>
    <s v=""/>
    <s v=""/>
    <x v="533"/>
    <s v="RE-05H-5065_1]Earth ROT to TNK"/>
    <n v="20"/>
    <s v=""/>
    <x v="208"/>
    <d v="2026-09-28T00:00:00"/>
    <s v=""/>
    <n v="100551"/>
    <n v="20"/>
    <d v="2026-09-28T00:00:00"/>
    <n v="0"/>
  </r>
  <r>
    <x v="0"/>
    <s v=""/>
    <s v=""/>
    <s v=""/>
    <s v=""/>
    <x v="68"/>
    <s v="RE-02T-0243]CAS VERT BOT R"/>
    <n v="28"/>
    <s v=""/>
    <x v="18"/>
    <d v="2026-09-11T00:00:00"/>
    <s v=""/>
    <n v="100551"/>
    <n v="20"/>
    <d v="2026-09-22T00:00:00"/>
    <n v="8"/>
  </r>
  <r>
    <x v="0"/>
    <s v=""/>
    <s v=""/>
    <s v=""/>
    <s v=""/>
    <x v="539"/>
    <s v="RE-04T-0434]CAS ARM BOT"/>
    <n v="30"/>
    <s v=""/>
    <x v="212"/>
    <d v="2026-09-11T00:00:00"/>
    <s v=""/>
    <n v="100551"/>
    <n v="20"/>
    <d v="2026-09-22T00:00:00"/>
    <n v="10"/>
  </r>
  <r>
    <x v="0"/>
    <s v=""/>
    <s v=""/>
    <s v=""/>
    <s v=""/>
    <x v="95"/>
    <s v="RE-02T-0242]CAS VERT BOT L"/>
    <n v="31"/>
    <s v=""/>
    <x v="18"/>
    <d v="2026-09-11T00:00:00"/>
    <s v=""/>
    <n v="100551"/>
    <n v="20"/>
    <d v="2026-09-22T00:00:00"/>
    <n v="11"/>
  </r>
  <r>
    <x v="0"/>
    <s v=""/>
    <s v=""/>
    <s v=""/>
    <s v=""/>
    <x v="534"/>
    <s v="RE-02T-0246]CAS LED"/>
    <n v="44"/>
    <s v=""/>
    <x v="209"/>
    <d v="2026-09-11T00:00:00"/>
    <s v=""/>
    <n v="100551"/>
    <n v="20"/>
    <d v="2026-09-22T00:00:00"/>
    <n v="24"/>
  </r>
  <r>
    <x v="0"/>
    <s v=""/>
    <s v=""/>
    <s v=""/>
    <s v=""/>
    <x v="536"/>
    <s v="RE-04T-0436]CAS CHINREST BOT"/>
    <n v="67"/>
    <s v=""/>
    <x v="16"/>
    <d v="2026-09-11T00:00:00"/>
    <s v=""/>
    <n v="100551"/>
    <n v="20"/>
    <d v="2026-09-22T00:00:00"/>
    <n v="47"/>
  </r>
  <r>
    <x v="0"/>
    <s v=""/>
    <s v=""/>
    <s v=""/>
    <s v=""/>
    <x v="18"/>
    <s v="RE-05A-0512]ASM ROTATOR WEIGH"/>
    <n v="80"/>
    <s v=""/>
    <x v="14"/>
    <d v="2026-09-11T00:00:00"/>
    <s v=""/>
    <n v="100551"/>
    <n v="20"/>
    <d v="2026-09-22T00:00:00"/>
    <n v="60"/>
  </r>
  <r>
    <x v="0"/>
    <s v=""/>
    <s v="입고"/>
    <s v=""/>
    <s v=""/>
    <x v="540"/>
    <s v="RE-02B-5105]eINDICATOR Bd"/>
    <n v="100"/>
    <s v=""/>
    <x v="213"/>
    <d v="2026-09-10T00:00:00"/>
    <s v=""/>
    <n v="100551"/>
    <n v="20"/>
    <d v="2026-09-22T00:00:00"/>
    <n v="80"/>
  </r>
  <r>
    <x v="0"/>
    <s v=""/>
    <s v=""/>
    <s v=""/>
    <s v=""/>
    <x v="604"/>
    <s v="RE-07M-0711_B]PLT DET SNSR (IR)"/>
    <n v="119"/>
    <s v=""/>
    <x v="229"/>
    <d v="2026-09-11T00:00:00"/>
    <s v=""/>
    <n v="100551"/>
    <n v="40"/>
    <d v="2026-09-22T00:00:00"/>
    <n v="79"/>
  </r>
  <r>
    <x v="0"/>
    <s v=""/>
    <s v=""/>
    <s v=""/>
    <s v=""/>
    <x v="537"/>
    <s v="RE-05H-5049_1]LASER_H Extend"/>
    <n v="126"/>
    <s v=""/>
    <x v="210"/>
    <d v="2026-10-08T00:00:00"/>
    <s v=""/>
    <n v="100551"/>
    <n v="20"/>
    <d v="2026-10-08T00:00:00"/>
    <n v="106"/>
  </r>
  <r>
    <x v="0"/>
    <s v=""/>
    <s v=""/>
    <s v=""/>
    <s v=""/>
    <x v="535"/>
    <s v="RA-02M-0395]PIN VERT POSITION"/>
    <n v="246"/>
    <s v=""/>
    <x v="185"/>
    <d v="2026-09-10T00:00:00"/>
    <s v=""/>
    <n v="100551"/>
    <n v="20"/>
    <d v="2026-09-22T00:00:00"/>
    <n v="226"/>
  </r>
  <r>
    <x v="0"/>
    <s v=""/>
    <s v=""/>
    <s v=""/>
    <s v=""/>
    <x v="200"/>
    <s v="RA-07A-6048]Bd ASSY'-ADET POWER-3D NEW"/>
    <n v="1"/>
    <s v=""/>
    <x v="111"/>
    <d v="2026-09-15T00:00:00"/>
    <s v=""/>
    <n v="100554"/>
    <n v="1"/>
    <d v="2026-09-23T00:00:00"/>
    <n v="0"/>
  </r>
  <r>
    <x v="0"/>
    <s v=""/>
    <s v=""/>
    <s v=""/>
    <s v=""/>
    <x v="200"/>
    <s v="RA-07A-6048]Bd ASSY'-ADET POWER-3D NEW"/>
    <n v="34"/>
    <s v=""/>
    <x v="111"/>
    <d v="2026-09-15T00:00:00"/>
    <s v=""/>
    <n v="100554"/>
    <n v="13"/>
    <d v="2026-09-23T00:00:00"/>
    <n v="21"/>
  </r>
  <r>
    <x v="0"/>
    <s v=""/>
    <s v="입고"/>
    <s v="DIEN QUANG"/>
    <s v="장동은"/>
    <x v="200"/>
    <s v="RA-07A-6048]Bd ASSY'-ADET POWER-3D NEW"/>
    <n v="52"/>
    <s v=""/>
    <x v="111"/>
    <d v="2026-09-10T00:00:00"/>
    <s v=""/>
    <n v="100554"/>
    <n v="12"/>
    <d v="2026-09-23T00:00:00"/>
    <n v="40"/>
  </r>
  <r>
    <x v="0"/>
    <s v=""/>
    <s v=""/>
    <s v=""/>
    <s v=""/>
    <x v="296"/>
    <s v="RA-02T-0045]CAS VERT SUB BOT"/>
    <n v="144"/>
    <s v=""/>
    <x v="27"/>
    <d v="2026-09-30T00:00:00"/>
    <s v=""/>
    <n v="100564"/>
    <n v="22"/>
    <d v="2026-09-23T00:00:00"/>
    <n v="122"/>
  </r>
  <r>
    <x v="0"/>
    <s v=""/>
    <s v=""/>
    <s v=""/>
    <s v=""/>
    <x v="44"/>
    <s v="RE-04A-1040]ASM ARM MODULE"/>
    <n v="1"/>
    <s v=""/>
    <x v="13"/>
    <d v="2026-09-10T00:00:00"/>
    <s v=""/>
    <n v="100572"/>
    <n v="1"/>
    <d v="2026-09-23T00:00:00"/>
    <n v="0"/>
  </r>
  <r>
    <x v="0"/>
    <s v=""/>
    <s v=""/>
    <s v=""/>
    <s v=""/>
    <x v="581"/>
    <s v="RE-04T-0413]CAS CHINREST Bas"/>
    <n v="74"/>
    <s v=""/>
    <x v="218"/>
    <d v="2026-09-10T00:00:00"/>
    <s v=""/>
    <n v="100572"/>
    <n v="20"/>
    <d v="2026-09-23T00:00:00"/>
    <n v="54"/>
  </r>
  <r>
    <x v="0"/>
    <s v=""/>
    <s v="입고"/>
    <s v="A&amp;T"/>
    <s v="장동은"/>
    <x v="17"/>
    <s v="RE-03A-1030]ASM COLUMN MODULE"/>
    <n v="18"/>
    <s v=""/>
    <x v="13"/>
    <d v="2026-09-22T00:00:00"/>
    <s v=""/>
    <n v="100572"/>
    <n v="15"/>
    <d v="2026-10-06T00:00:00"/>
    <n v="3"/>
  </r>
  <r>
    <x v="0"/>
    <s v=""/>
    <s v=""/>
    <s v=""/>
    <s v=""/>
    <x v="17"/>
    <s v="RE-03A-1030]ASM COLUMN MODULE"/>
    <n v="5"/>
    <s v=""/>
    <x v="13"/>
    <d v="2026-10-06T00:00:00"/>
    <s v=""/>
    <n v="100572"/>
    <n v="5"/>
    <d v="2026-10-06T00:00:00"/>
    <n v="0"/>
  </r>
  <r>
    <x v="0"/>
    <s v=""/>
    <s v="입고"/>
    <s v="A&amp;T"/>
    <s v="조영우"/>
    <x v="44"/>
    <s v="RE-04A-1040]ASM ARM MODULE"/>
    <n v="19"/>
    <s v=""/>
    <x v="13"/>
    <d v="2026-09-16T00:00:00"/>
    <s v=""/>
    <n v="100572"/>
    <n v="19"/>
    <d v="2026-09-23T00:00:00"/>
    <n v="0"/>
  </r>
  <r>
    <x v="0"/>
    <s v=""/>
    <s v=""/>
    <s v=""/>
    <s v=""/>
    <x v="37"/>
    <s v="RE-05B-5101]eSUB Bd"/>
    <n v="2"/>
    <s v=""/>
    <x v="29"/>
    <d v="2026-10-01T00:00:00"/>
    <s v=""/>
    <n v="100573"/>
    <n v="1"/>
    <d v="2026-10-01T00:00:00"/>
    <n v="1"/>
  </r>
  <r>
    <x v="0"/>
    <s v=""/>
    <s v=""/>
    <s v=""/>
    <s v=""/>
    <x v="37"/>
    <s v="RE-05B-5101]eSUB Bd"/>
    <n v="19"/>
    <s v=""/>
    <x v="29"/>
    <d v="2026-09-11T00:00:00"/>
    <s v=""/>
    <n v="100573"/>
    <n v="19"/>
    <d v="2026-09-22T00:00:00"/>
    <n v="0"/>
  </r>
  <r>
    <x v="0"/>
    <s v=""/>
    <s v=""/>
    <s v=""/>
    <s v=""/>
    <x v="121"/>
    <s v="RE-05A-1050]ASM ROTATOR MODULE"/>
    <n v="27"/>
    <s v=""/>
    <x v="13"/>
    <d v="2026-09-11T00:00:00"/>
    <s v=""/>
    <n v="100573"/>
    <n v="20"/>
    <d v="2026-09-22T00:00:00"/>
    <n v="7"/>
  </r>
  <r>
    <x v="0"/>
    <s v=""/>
    <s v=""/>
    <s v=""/>
    <s v=""/>
    <x v="595"/>
    <s v="RA-06M-1105]DECO WINDOW COL"/>
    <n v="43"/>
    <s v=""/>
    <x v="167"/>
    <d v="2026-09-18T00:00:00"/>
    <s v=""/>
    <n v="100574"/>
    <n v="20"/>
    <d v="2026-09-22T00:00:00"/>
    <n v="23"/>
  </r>
  <r>
    <x v="0"/>
    <s v=""/>
    <s v=""/>
    <s v=""/>
    <s v=""/>
    <x v="593"/>
    <s v="RE-06M-0636]DECO HORIZONTAL LASER"/>
    <n v="49"/>
    <s v=""/>
    <x v="223"/>
    <d v="2026-09-11T00:00:00"/>
    <s v=""/>
    <n v="100574"/>
    <n v="20"/>
    <d v="2026-09-22T00:00:00"/>
    <n v="29"/>
  </r>
  <r>
    <x v="0"/>
    <s v=""/>
    <s v=""/>
    <s v=""/>
    <s v=""/>
    <x v="594"/>
    <s v="RE-07M-0717]CVR DET FRONT"/>
    <n v="52"/>
    <s v=""/>
    <x v="224"/>
    <d v="2026-09-11T00:00:00"/>
    <s v=""/>
    <n v="100574"/>
    <n v="20"/>
    <d v="2026-09-22T00:00:00"/>
    <n v="32"/>
  </r>
  <r>
    <x v="0"/>
    <s v=""/>
    <s v=""/>
    <s v=""/>
    <s v=""/>
    <x v="532"/>
    <s v="RE-04M-0438]DECO CANINE WINDOW"/>
    <n v="113"/>
    <s v=""/>
    <x v="207"/>
    <d v="2026-09-11T00:00:00"/>
    <s v=""/>
    <n v="100574"/>
    <n v="20"/>
    <d v="2026-09-22T00:00:00"/>
    <n v="93"/>
  </r>
  <r>
    <x v="0"/>
    <s v=""/>
    <s v=""/>
    <s v=""/>
    <s v=""/>
    <x v="553"/>
    <s v="RA-7-3]LAN PC"/>
    <n v="231"/>
    <s v=""/>
    <x v="9"/>
    <d v="2026-09-18T00:00:00"/>
    <s v=""/>
    <n v="100574"/>
    <n v="20"/>
    <d v="2026-09-22T00:00:00"/>
    <n v="211"/>
  </r>
  <r>
    <x v="0"/>
    <s v=""/>
    <s v=""/>
    <s v=""/>
    <s v=""/>
    <x v="19"/>
    <s v="RE-01T-0104]RUBBER CAP DECO"/>
    <n v="2040"/>
    <s v=""/>
    <x v="15"/>
    <d v="2026-09-11T00:00:00"/>
    <s v=""/>
    <n v="100574"/>
    <n v="440"/>
    <d v="2026-09-22T00:00:00"/>
    <n v="1600"/>
  </r>
  <r>
    <x v="0"/>
    <s v=""/>
    <s v=""/>
    <s v=""/>
    <s v=""/>
    <x v="20"/>
    <s v="RE-09T-0902]CAS CHINREST LOW"/>
    <n v="8"/>
    <s v=""/>
    <x v="16"/>
    <d v="2026-09-10T00:00:00"/>
    <s v=""/>
    <n v="100575"/>
    <n v="8"/>
    <d v="2026-09-23T00:00:00"/>
    <n v="0"/>
  </r>
  <r>
    <x v="0"/>
    <s v=""/>
    <s v=""/>
    <s v=""/>
    <s v=""/>
    <x v="54"/>
    <s v="RE-04T-0439]CAS HEADREST KNOB"/>
    <n v="18"/>
    <s v=""/>
    <x v="19"/>
    <d v="2026-09-10T00:00:00"/>
    <s v=""/>
    <n v="100575"/>
    <n v="13"/>
    <d v="2026-09-23T00:00:00"/>
    <n v="5"/>
  </r>
  <r>
    <x v="0"/>
    <s v=""/>
    <s v=""/>
    <s v=""/>
    <s v=""/>
    <x v="596"/>
    <s v="RE-03T-0309]CAS CLMN DECO"/>
    <n v="26"/>
    <s v=""/>
    <x v="225"/>
    <d v="2026-09-16T00:00:00"/>
    <s v=""/>
    <n v="100575"/>
    <n v="20"/>
    <d v="2026-09-23T00:00:00"/>
    <n v="6"/>
  </r>
  <r>
    <x v="0"/>
    <s v=""/>
    <s v=""/>
    <s v=""/>
    <s v=""/>
    <x v="528"/>
    <s v=""/>
    <n v="33"/>
    <s v=""/>
    <x v="18"/>
    <d v="2026-09-10T00:00:00"/>
    <s v=""/>
    <n v="100575"/>
    <n v="20"/>
    <d v="2026-09-23T00:00:00"/>
    <n v="13"/>
  </r>
  <r>
    <x v="0"/>
    <s v=""/>
    <s v=""/>
    <s v=""/>
    <s v=""/>
    <x v="597"/>
    <s v="RE-09S-0909]STK FOOT"/>
    <n v="34"/>
    <s v=""/>
    <x v="204"/>
    <d v="2026-09-10T00:00:00"/>
    <s v=""/>
    <n v="100575"/>
    <n v="20"/>
    <d v="2026-09-23T00:00:00"/>
    <n v="14"/>
  </r>
  <r>
    <x v="0"/>
    <s v=""/>
    <s v=""/>
    <s v=""/>
    <s v=""/>
    <x v="598"/>
    <s v="RE-03T-0306]CAS CLMN FRONT"/>
    <n v="49"/>
    <s v=""/>
    <x v="226"/>
    <d v="2026-09-10T00:00:00"/>
    <s v=""/>
    <n v="100575"/>
    <n v="20"/>
    <d v="2026-09-23T00:00:00"/>
    <n v="29"/>
  </r>
  <r>
    <x v="0"/>
    <s v=""/>
    <s v=""/>
    <s v=""/>
    <s v=""/>
    <x v="530"/>
    <s v="RE-09S-0907]MAGNET TEMPLE SUP 15_8"/>
    <n v="49"/>
    <s v=""/>
    <x v="206"/>
    <d v="2026-09-10T00:00:00"/>
    <s v=""/>
    <n v="100575"/>
    <n v="39"/>
    <d v="2026-09-23T00:00:00"/>
    <n v="10"/>
  </r>
  <r>
    <x v="0"/>
    <s v=""/>
    <s v=""/>
    <s v=""/>
    <s v=""/>
    <x v="599"/>
    <s v="RE-01T-0103]CAS MAIN Bas R"/>
    <n v="51"/>
    <s v=""/>
    <x v="227"/>
    <d v="2026-09-10T00:00:00"/>
    <s v=""/>
    <n v="100575"/>
    <n v="20"/>
    <d v="2026-09-23T00:00:00"/>
    <n v="31"/>
  </r>
  <r>
    <x v="0"/>
    <s v=""/>
    <s v=""/>
    <s v=""/>
    <s v=""/>
    <x v="600"/>
    <s v="RE-01T-0102]CAS MAIN Bas L"/>
    <n v="53"/>
    <s v=""/>
    <x v="228"/>
    <d v="2026-09-10T00:00:00"/>
    <s v=""/>
    <n v="100575"/>
    <n v="20"/>
    <d v="2026-09-23T00:00:00"/>
    <n v="33"/>
  </r>
  <r>
    <x v="0"/>
    <s v=""/>
    <s v=""/>
    <s v=""/>
    <s v=""/>
    <x v="520"/>
    <s v="RE-04T-0416]CAS HANDLE FRONT"/>
    <n v="54"/>
    <s v=""/>
    <x v="203"/>
    <d v="2026-09-10T00:00:00"/>
    <s v=""/>
    <n v="100575"/>
    <n v="20"/>
    <d v="2026-09-23T00:00:00"/>
    <n v="34"/>
  </r>
  <r>
    <x v="0"/>
    <s v=""/>
    <s v=""/>
    <s v=""/>
    <s v=""/>
    <x v="519"/>
    <s v="RE-04T-0419]CAS HANDLE REAR"/>
    <n v="54"/>
    <s v=""/>
    <x v="203"/>
    <d v="2026-09-10T00:00:00"/>
    <s v=""/>
    <n v="100575"/>
    <n v="20"/>
    <d v="2026-09-23T00:00:00"/>
    <n v="34"/>
  </r>
  <r>
    <x v="0"/>
    <s v=""/>
    <s v=""/>
    <s v=""/>
    <s v=""/>
    <x v="601"/>
    <s v="RE-09S-0908]FOOT STK JIG"/>
    <n v="56"/>
    <s v=""/>
    <x v="204"/>
    <d v="2026-09-10T00:00:00"/>
    <s v=""/>
    <n v="100575"/>
    <n v="20"/>
    <d v="2026-09-23T00:00:00"/>
    <n v="36"/>
  </r>
  <r>
    <x v="0"/>
    <s v=""/>
    <s v=""/>
    <s v=""/>
    <s v=""/>
    <x v="22"/>
    <s v="RE-02T-0247]CAS VERT TOP"/>
    <n v="56"/>
    <s v=""/>
    <x v="18"/>
    <d v="2026-09-10T00:00:00"/>
    <s v=""/>
    <n v="100575"/>
    <n v="20"/>
    <d v="2026-09-23T00:00:00"/>
    <n v="36"/>
  </r>
  <r>
    <x v="0"/>
    <s v=""/>
    <s v=""/>
    <s v=""/>
    <s v=""/>
    <x v="527"/>
    <s v="RE-09T-0906]CAS TEMPLE SUP R"/>
    <n v="65"/>
    <s v=""/>
    <x v="16"/>
    <d v="2026-09-10T00:00:00"/>
    <s v=""/>
    <n v="100575"/>
    <n v="20"/>
    <d v="2026-09-23T00:00:00"/>
    <n v="45"/>
  </r>
  <r>
    <x v="0"/>
    <s v=""/>
    <s v=""/>
    <s v=""/>
    <s v=""/>
    <x v="525"/>
    <s v="RE-09T-0905]CAS TEMPLE SUP L"/>
    <n v="66"/>
    <s v=""/>
    <x v="16"/>
    <d v="2026-09-10T00:00:00"/>
    <s v=""/>
    <n v="100575"/>
    <n v="20"/>
    <d v="2026-09-23T00:00:00"/>
    <n v="46"/>
  </r>
  <r>
    <x v="0"/>
    <s v=""/>
    <s v=""/>
    <s v=""/>
    <s v=""/>
    <x v="561"/>
    <s v="RA-09A-0967]ASM EXPOSURE SW"/>
    <n v="70"/>
    <s v=""/>
    <x v="183"/>
    <d v="2026-09-17T00:00:00"/>
    <s v=""/>
    <n v="100575"/>
    <n v="20"/>
    <d v="2026-09-23T00:00:00"/>
    <n v="50"/>
  </r>
  <r>
    <x v="0"/>
    <s v=""/>
    <s v=""/>
    <s v=""/>
    <s v=""/>
    <x v="518"/>
    <s v="RE-09T-0904]CAS TMJREST"/>
    <n v="75"/>
    <s v=""/>
    <x v="16"/>
    <d v="2026-09-10T00:00:00"/>
    <s v=""/>
    <n v="100575"/>
    <n v="20"/>
    <d v="2026-09-23T00:00:00"/>
    <n v="55"/>
  </r>
  <r>
    <x v="0"/>
    <s v=""/>
    <s v=""/>
    <s v=""/>
    <s v=""/>
    <x v="23"/>
    <s v="RE-04T-0453]CAP HANDLE B"/>
    <n v="85"/>
    <s v=""/>
    <x v="19"/>
    <d v="2026-09-10T00:00:00"/>
    <s v=""/>
    <n v="100575"/>
    <n v="60"/>
    <d v="2026-09-23T00:00:00"/>
    <n v="25"/>
  </r>
  <r>
    <x v="0"/>
    <s v=""/>
    <s v="입고"/>
    <s v="진광"/>
    <s v="장동은"/>
    <x v="20"/>
    <s v="RE-09T-0902]CAS CHINREST LOW"/>
    <n v="100"/>
    <s v=""/>
    <x v="16"/>
    <d v="2026-09-14T00:00:00"/>
    <s v=""/>
    <n v="100575"/>
    <n v="12"/>
    <d v="2026-09-23T00:00:00"/>
    <n v="88"/>
  </r>
  <r>
    <x v="0"/>
    <s v=""/>
    <s v=""/>
    <s v=""/>
    <s v=""/>
    <x v="523"/>
    <s v="RE-09T-0901]CAS CHINREST"/>
    <n v="101"/>
    <s v=""/>
    <x v="16"/>
    <d v="2026-09-10T00:00:00"/>
    <s v=""/>
    <n v="100575"/>
    <n v="20"/>
    <d v="2026-09-23T00:00:00"/>
    <n v="81"/>
  </r>
  <r>
    <x v="0"/>
    <s v=""/>
    <s v=""/>
    <s v=""/>
    <s v=""/>
    <x v="21"/>
    <s v="RA-09S-0389]CVR BITE BLK VINYL CVR"/>
    <n v="112"/>
    <s v=""/>
    <x v="17"/>
    <d v="2026-09-10T00:00:00"/>
    <s v=""/>
    <n v="100575"/>
    <n v="20"/>
    <d v="2026-09-23T00:00:00"/>
    <n v="92"/>
  </r>
  <r>
    <x v="0"/>
    <s v=""/>
    <s v="입고"/>
    <s v="진광"/>
    <s v="장동은"/>
    <x v="430"/>
    <s v="RE-04T-0452]CAP HANDLE A"/>
    <n v="190"/>
    <s v=""/>
    <x v="19"/>
    <d v="2026-09-21T00:00:00"/>
    <s v=""/>
    <n v="100575"/>
    <n v="100"/>
    <d v="2026-09-23T00:00:00"/>
    <n v="90"/>
  </r>
  <r>
    <x v="0"/>
    <s v=""/>
    <s v=""/>
    <s v=""/>
    <s v=""/>
    <x v="522"/>
    <s v="RE-04V-0417]PLT HANDLE FRONT"/>
    <n v="218"/>
    <s v=""/>
    <x v="14"/>
    <d v="2026-09-10T00:00:00"/>
    <s v=""/>
    <n v="100575"/>
    <n v="20"/>
    <d v="2026-09-23T00:00:00"/>
    <n v="198"/>
  </r>
  <r>
    <x v="0"/>
    <s v=""/>
    <s v=""/>
    <s v=""/>
    <s v=""/>
    <x v="521"/>
    <s v="RE-04V-0418]PLT HANDLE REAR"/>
    <n v="218"/>
    <s v=""/>
    <x v="14"/>
    <d v="2026-09-10T00:00:00"/>
    <s v=""/>
    <n v="100575"/>
    <n v="20"/>
    <d v="2026-09-23T00:00:00"/>
    <n v="198"/>
  </r>
  <r>
    <x v="0"/>
    <s v=""/>
    <s v=""/>
    <s v=""/>
    <s v=""/>
    <x v="529"/>
    <s v="RA-09T-1132]CAS EDENTULOUS GUIDE"/>
    <n v="266"/>
    <s v=""/>
    <x v="205"/>
    <d v="2026-09-10T00:00:00"/>
    <s v=""/>
    <n v="100575"/>
    <n v="20"/>
    <d v="2026-09-23T00:00:00"/>
    <n v="246"/>
  </r>
  <r>
    <x v="0"/>
    <s v=""/>
    <s v=""/>
    <s v=""/>
    <s v=""/>
    <x v="526"/>
    <s v="RE-09S-0922]STK MAGNET BLUE"/>
    <n v="270"/>
    <s v=""/>
    <x v="204"/>
    <d v="2026-09-10T00:00:00"/>
    <s v=""/>
    <n v="100575"/>
    <n v="20"/>
    <d v="2026-09-23T00:00:00"/>
    <n v="250"/>
  </r>
  <r>
    <x v="0"/>
    <s v=""/>
    <s v=""/>
    <s v=""/>
    <s v=""/>
    <x v="524"/>
    <s v="RE-09S-0921]STK MAGNET RED"/>
    <n v="275"/>
    <s v=""/>
    <x v="204"/>
    <d v="2026-09-10T00:00:00"/>
    <s v=""/>
    <n v="100575"/>
    <n v="20"/>
    <d v="2026-09-23T00:00:00"/>
    <n v="255"/>
  </r>
  <r>
    <x v="0"/>
    <s v=""/>
    <s v=""/>
    <s v=""/>
    <s v=""/>
    <x v="517"/>
    <s v="RE-04T-0440]CAP HEADREST KNOB"/>
    <n v="306"/>
    <s v=""/>
    <x v="19"/>
    <d v="2026-09-10T00:00:00"/>
    <s v=""/>
    <n v="100575"/>
    <n v="20"/>
    <d v="2026-09-23T00:00:00"/>
    <n v="286"/>
  </r>
  <r>
    <x v="0"/>
    <s v=""/>
    <s v=""/>
    <s v=""/>
    <s v=""/>
    <x v="531"/>
    <s v="RA-09T-1183]BLK BITE"/>
    <n v="429"/>
    <s v=""/>
    <x v="205"/>
    <d v="2026-09-10T00:00:00"/>
    <s v=""/>
    <n v="100575"/>
    <n v="100"/>
    <d v="2026-09-23T00:00:00"/>
    <n v="329"/>
  </r>
  <r>
    <x v="0"/>
    <s v=""/>
    <s v=""/>
    <s v=""/>
    <s v=""/>
    <x v="562"/>
    <s v="RA-09T-0733]CAS S.W HLDR"/>
    <n v="647"/>
    <s v=""/>
    <x v="178"/>
    <d v="2026-09-17T00:00:00"/>
    <s v=""/>
    <n v="100575"/>
    <n v="20"/>
    <d v="2026-09-23T00:00:00"/>
    <n v="627"/>
  </r>
  <r>
    <x v="0"/>
    <s v=""/>
    <s v=""/>
    <s v=""/>
    <s v=""/>
    <x v="431"/>
    <s v="RA-09M-2269]SCREW FIX PHNT (A+)"/>
    <n v="480"/>
    <s v=""/>
    <x v="15"/>
    <d v="2026-09-30T00:00:00"/>
    <s v=""/>
    <n v="100581"/>
    <n v="200"/>
    <d v="2026-09-22T00:00:00"/>
    <n v="280"/>
  </r>
  <r>
    <x v="0"/>
    <s v=""/>
    <s v=""/>
    <s v=""/>
    <s v=""/>
    <x v="526"/>
    <s v="RE-09S-0922]STK MAGNET BLUE"/>
    <n v="250"/>
    <s v=""/>
    <x v="204"/>
    <d v="2026-09-23T00:00:00"/>
    <s v=""/>
    <n v="100945"/>
    <n v="100"/>
    <d v="2026-09-23T00:00:00"/>
    <n v="150"/>
  </r>
  <r>
    <x v="0"/>
    <s v=""/>
    <s v=""/>
    <s v=""/>
    <s v=""/>
    <x v="524"/>
    <s v="RE-09S-0921]STK MAGNET RED"/>
    <n v="255"/>
    <s v=""/>
    <x v="204"/>
    <d v="2026-09-23T00:00:00"/>
    <s v=""/>
    <n v="100945"/>
    <n v="100"/>
    <d v="2026-09-23T00:00:00"/>
    <n v="155"/>
  </r>
  <r>
    <x v="0"/>
    <s v=""/>
    <s v=""/>
    <s v=""/>
    <s v=""/>
    <x v="50"/>
    <s v="RF-01M-0396]FRAME PIPE ALIGN"/>
    <n v="5"/>
    <s v=""/>
    <x v="28"/>
    <d v="2026-09-22T00:00:00"/>
    <s v=""/>
    <n v="100947"/>
    <n v="2"/>
    <d v="2026-10-06T00:00:00"/>
    <n v="3"/>
  </r>
  <r>
    <x v="0"/>
    <s v=""/>
    <s v=""/>
    <s v=""/>
    <s v=""/>
    <x v="78"/>
    <s v="RF-01T-0355]CAMERA CASE R"/>
    <n v="10"/>
    <s v=""/>
    <x v="59"/>
    <d v="2026-08-19T00:00:00"/>
    <s v=""/>
    <n v="100947"/>
    <n v="1"/>
    <d v="2026-10-06T00:00:00"/>
    <n v="9"/>
  </r>
  <r>
    <x v="0"/>
    <s v=""/>
    <s v=""/>
    <s v=""/>
    <s v=""/>
    <x v="87"/>
    <s v="RF-01T-0210]CVR FRONT MID L"/>
    <n v="11"/>
    <s v=""/>
    <x v="35"/>
    <d v="2026-09-22T00:00:00"/>
    <s v=""/>
    <n v="100947"/>
    <n v="1"/>
    <d v="2026-10-06T00:00:00"/>
    <n v="10"/>
  </r>
  <r>
    <x v="0"/>
    <s v=""/>
    <s v=""/>
    <s v=""/>
    <s v=""/>
    <x v="180"/>
    <s v="RF-01T-0190]CVR FRONT"/>
    <n v="30"/>
    <s v=""/>
    <x v="103"/>
    <d v="2026-09-22T00:00:00"/>
    <s v=""/>
    <n v="100947"/>
    <n v="1"/>
    <d v="2026-10-06T00:00:00"/>
    <n v="29"/>
  </r>
  <r>
    <x v="0"/>
    <s v=""/>
    <s v=""/>
    <s v=""/>
    <s v=""/>
    <x v="212"/>
    <s v="RF-01S-5046]DLP ENGINE"/>
    <n v="41"/>
    <s v=""/>
    <x v="115"/>
    <d v="2026-09-22T00:00:00"/>
    <s v=""/>
    <n v="100947"/>
    <n v="1"/>
    <d v="2026-10-06T00:00:00"/>
    <n v="40"/>
  </r>
  <r>
    <x v="0"/>
    <s v=""/>
    <s v=""/>
    <s v=""/>
    <s v=""/>
    <x v="580"/>
    <s v="RA-08T-1466]CAS CEPH EAR-ROD"/>
    <n v="327"/>
    <s v=""/>
    <x v="27"/>
    <d v="2026-09-14T00:00:00"/>
    <s v=""/>
    <n v="100951"/>
    <n v="2"/>
    <d v="2026-09-29T00:00:00"/>
    <n v="325"/>
  </r>
  <r>
    <x v="0"/>
    <s v=""/>
    <s v=""/>
    <s v=""/>
    <s v=""/>
    <x v="578"/>
    <s v="RA-08M-0708]RING EARLOD"/>
    <n v="593"/>
    <s v=""/>
    <x v="138"/>
    <d v="2026-09-14T00:00:00"/>
    <s v=""/>
    <n v="100951"/>
    <n v="1"/>
    <d v="2026-09-29T00:00:00"/>
    <n v="592"/>
  </r>
  <r>
    <x v="0"/>
    <s v=""/>
    <s v=""/>
    <s v=""/>
    <s v=""/>
    <x v="579"/>
    <s v="RA-08M-0707]CAP EARLOD"/>
    <n v="709"/>
    <s v=""/>
    <x v="138"/>
    <d v="2026-09-14T00:00:00"/>
    <s v=""/>
    <n v="100951"/>
    <n v="1"/>
    <d v="2026-09-29T00:00:00"/>
    <n v="708"/>
  </r>
  <r>
    <x v="0"/>
    <s v=""/>
    <s v="입고"/>
    <s v="다유"/>
    <s v="유영국"/>
    <x v="587"/>
    <s v="RA-05M-2907]FRM ROT WEIGHT"/>
    <n v="53"/>
    <s v=""/>
    <x v="221"/>
    <d v="2026-09-21T00:00:00"/>
    <s v=""/>
    <n v="101317"/>
    <n v="53"/>
    <d v="2026-09-28T00:00:00"/>
    <n v="0"/>
  </r>
  <r>
    <x v="0"/>
    <s v=""/>
    <s v=""/>
    <s v=""/>
    <s v=""/>
    <x v="296"/>
    <s v="RA-02T-0045]CAS VERT SUB BOT"/>
    <n v="122"/>
    <s v=""/>
    <x v="27"/>
    <d v="2026-09-23T00:00:00"/>
    <s v=""/>
    <n v="101318"/>
    <n v="14"/>
    <d v="2026-09-23T00:00:00"/>
    <n v="108"/>
  </r>
  <r>
    <x v="0"/>
    <s v=""/>
    <s v=""/>
    <s v=""/>
    <s v=""/>
    <x v="16"/>
    <s v="RA-08M-0623]PIN STOPPER"/>
    <n v="1"/>
    <s v=""/>
    <x v="12"/>
    <d v="2026-07-29T00:00:00"/>
    <s v=""/>
    <n v="101320"/>
    <n v="1"/>
    <d v="2026-10-01T00:00:00"/>
    <n v="0"/>
  </r>
  <r>
    <x v="0"/>
    <s v=""/>
    <s v=""/>
    <s v=""/>
    <s v=""/>
    <x v="541"/>
    <s v="RA-08M-0738]BLK OC _4HEAD FIX"/>
    <n v="176"/>
    <s v=""/>
    <x v="22"/>
    <d v="2026-07-29T00:00:00"/>
    <s v=""/>
    <n v="101320"/>
    <n v="5"/>
    <d v="2026-10-01T00:00:00"/>
    <n v="171"/>
  </r>
  <r>
    <x v="0"/>
    <s v=""/>
    <s v=""/>
    <s v=""/>
    <s v=""/>
    <x v="542"/>
    <s v="RA-08M-0619]SHAFT _4HEAD FIX"/>
    <n v="220"/>
    <s v=""/>
    <x v="12"/>
    <d v="2026-07-29T00:00:00"/>
    <s v=""/>
    <n v="101320"/>
    <n v="5"/>
    <d v="2026-10-01T00:00:00"/>
    <n v="215"/>
  </r>
  <r>
    <x v="0"/>
    <s v=""/>
    <s v=""/>
    <s v=""/>
    <s v=""/>
    <x v="543"/>
    <s v="RA-08M-0620]PLT CEPH _4HEAD"/>
    <n v="98"/>
    <s v=""/>
    <x v="12"/>
    <d v="2026-07-29T00:00:00"/>
    <s v=""/>
    <n v="101320"/>
    <n v="5"/>
    <d v="2026-10-01T00:00:00"/>
    <n v="93"/>
  </r>
  <r>
    <x v="0"/>
    <s v=""/>
    <s v=""/>
    <s v=""/>
    <s v=""/>
    <x v="544"/>
    <s v="RA-08V-0621]PLT WASHER FIX"/>
    <n v="26"/>
    <s v=""/>
    <x v="85"/>
    <d v="2026-07-29T00:00:00"/>
    <s v=""/>
    <n v="101320"/>
    <n v="5"/>
    <d v="2026-10-01T00:00:00"/>
    <n v="21"/>
  </r>
  <r>
    <x v="0"/>
    <s v=""/>
    <s v=""/>
    <s v=""/>
    <s v=""/>
    <x v="545"/>
    <s v="RA-08T-0632]CAS CEPH _4HEAD BAR"/>
    <n v="307"/>
    <s v=""/>
    <x v="27"/>
    <d v="2026-07-29T00:00:00"/>
    <s v=""/>
    <n v="101320"/>
    <n v="5"/>
    <d v="2026-10-01T00:00:00"/>
    <n v="302"/>
  </r>
  <r>
    <x v="0"/>
    <s v=""/>
    <s v=""/>
    <s v=""/>
    <s v=""/>
    <x v="546"/>
    <s v="RA-08M-0976]CEPH SCALE BAR"/>
    <n v="247"/>
    <s v=""/>
    <x v="138"/>
    <d v="2026-07-29T00:00:00"/>
    <s v=""/>
    <n v="101320"/>
    <n v="5"/>
    <d v="2026-10-01T00:00:00"/>
    <n v="242"/>
  </r>
  <r>
    <x v="0"/>
    <s v=""/>
    <s v=""/>
    <s v=""/>
    <s v=""/>
    <x v="547"/>
    <s v="RA-08M-0624]BLK CEPH _4HEAD"/>
    <n v="299"/>
    <s v=""/>
    <x v="12"/>
    <d v="2026-07-29T00:00:00"/>
    <s v=""/>
    <n v="101320"/>
    <n v="5"/>
    <d v="2026-10-01T00:00:00"/>
    <n v="294"/>
  </r>
  <r>
    <x v="0"/>
    <s v=""/>
    <s v=""/>
    <s v=""/>
    <s v=""/>
    <x v="548"/>
    <s v="RA-08M-0625]_4M CEPH _4HEAD"/>
    <n v="1017"/>
    <s v=""/>
    <x v="12"/>
    <d v="2026-07-29T00:00:00"/>
    <s v=""/>
    <n v="101320"/>
    <n v="5"/>
    <d v="2026-10-01T00:00:00"/>
    <n v="1012"/>
  </r>
  <r>
    <x v="0"/>
    <s v=""/>
    <s v=""/>
    <s v=""/>
    <s v=""/>
    <x v="549"/>
    <s v="RA-08M-0622]WASHER SCAN CEPH"/>
    <n v="230"/>
    <s v=""/>
    <x v="12"/>
    <d v="2026-07-29T00:00:00"/>
    <s v=""/>
    <n v="101320"/>
    <n v="10"/>
    <d v="2026-10-01T00:00:00"/>
    <n v="220"/>
  </r>
  <r>
    <x v="0"/>
    <s v=""/>
    <s v=""/>
    <s v=""/>
    <s v=""/>
    <x v="342"/>
    <s v="RA-10-2]PRIME CABLE ASS’Y"/>
    <n v="56"/>
    <s v=""/>
    <x v="9"/>
    <d v="2026-09-14T00:00:00"/>
    <s v=""/>
    <n v="101321"/>
    <n v="26"/>
    <d v="2026-09-28T00:00:00"/>
    <n v="30"/>
  </r>
  <r>
    <x v="0"/>
    <s v=""/>
    <s v=""/>
    <s v=""/>
    <s v=""/>
    <x v="200"/>
    <s v="RA-07A-6048]Bd ASSY'-ADET POWER-3D NEW"/>
    <n v="40"/>
    <s v=""/>
    <x v="111"/>
    <d v="2026-09-23T00:00:00"/>
    <s v=""/>
    <n v="101322"/>
    <n v="4"/>
    <d v="2026-09-29T00:00:00"/>
    <n v="36"/>
  </r>
  <r>
    <x v="0"/>
    <s v=""/>
    <s v=""/>
    <s v=""/>
    <s v=""/>
    <x v="270"/>
    <s v="RA-09A-1940]ASM REMOTE(α)"/>
    <n v="77"/>
    <s v=""/>
    <x v="133"/>
    <d v="2026-09-15T00:00:00"/>
    <s v=""/>
    <n v="101322"/>
    <n v="12"/>
    <d v="2026-09-29T00:00:00"/>
    <n v="65"/>
  </r>
  <r>
    <x v="0"/>
    <s v=""/>
    <s v=""/>
    <s v=""/>
    <s v=""/>
    <x v="342"/>
    <s v="RA-10-2]PRIME CABLE ASS’Y"/>
    <n v="20"/>
    <s v=""/>
    <x v="9"/>
    <d v="2026-09-17T00:00:00"/>
    <s v=""/>
    <n v="101323"/>
    <n v="20"/>
    <d v="2026-09-28T00:00:00"/>
    <n v="0"/>
  </r>
  <r>
    <x v="0"/>
    <s v=""/>
    <s v="기초"/>
    <s v=""/>
    <s v=""/>
    <x v="335"/>
    <s v="C16-635ZZ]BALL B-Ring"/>
    <n v="34"/>
    <s v=""/>
    <x v="120"/>
    <d v="2026-09-11T00:00:00"/>
    <s v=""/>
    <n v="101323"/>
    <n v="34"/>
    <d v="2026-09-28T00:00:00"/>
    <n v="0"/>
  </r>
  <r>
    <x v="0"/>
    <s v=""/>
    <s v="기초"/>
    <s v=""/>
    <s v=""/>
    <x v="608"/>
    <s v="RA-02S-2005]LM SET (MGW9C-2-204)"/>
    <n v="37"/>
    <s v=""/>
    <x v="230"/>
    <d v="2026-09-11T00:00:00"/>
    <s v=""/>
    <n v="101323"/>
    <n v="37"/>
    <d v="2026-09-28T00:00:00"/>
    <n v="0"/>
  </r>
  <r>
    <x v="0"/>
    <s v=""/>
    <s v="기초"/>
    <s v=""/>
    <s v=""/>
    <x v="98"/>
    <s v="RA-02S-2003]LM SET (MGW9C-2-295)"/>
    <n v="52"/>
    <s v=""/>
    <x v="72"/>
    <d v="2026-09-11T00:00:00"/>
    <s v=""/>
    <n v="101323"/>
    <n v="40"/>
    <d v="2026-09-28T00:00:00"/>
    <n v="12"/>
  </r>
  <r>
    <x v="0"/>
    <s v=""/>
    <s v="기초"/>
    <s v=""/>
    <s v=""/>
    <x v="303"/>
    <s v="RA-02A-6002]Bd ASSY'-Main MCU"/>
    <n v="105"/>
    <s v=""/>
    <x v="145"/>
    <d v="2026-09-11T00:00:00"/>
    <s v=""/>
    <n v="101323"/>
    <n v="20"/>
    <d v="2026-09-28T00:00:00"/>
    <n v="85"/>
  </r>
  <r>
    <x v="0"/>
    <s v=""/>
    <s v=""/>
    <s v=""/>
    <s v=""/>
    <x v="535"/>
    <s v="RA-02M-0395]PIN VERT POSITION"/>
    <n v="106"/>
    <s v=""/>
    <x v="185"/>
    <d v="2026-09-17T00:00:00"/>
    <s v=""/>
    <n v="101323"/>
    <n v="40"/>
    <d v="2026-09-28T00:00:00"/>
    <n v="66"/>
  </r>
  <r>
    <x v="0"/>
    <s v=""/>
    <s v="기초"/>
    <s v=""/>
    <s v=""/>
    <x v="315"/>
    <s v="RA-12-1]SUB CABLE ASS’Y"/>
    <n v="113"/>
    <s v=""/>
    <x v="9"/>
    <d v="2026-09-11T00:00:00"/>
    <s v=""/>
    <n v="101323"/>
    <n v="20"/>
    <d v="2026-09-28T00:00:00"/>
    <n v="93"/>
  </r>
  <r>
    <x v="0"/>
    <s v=""/>
    <s v="기초"/>
    <s v=""/>
    <s v=""/>
    <x v="348"/>
    <s v="RA-02A-6003]Bd ASSY'-Step Driver"/>
    <n v="125"/>
    <s v=""/>
    <x v="111"/>
    <d v="2026-09-11T00:00:00"/>
    <s v=""/>
    <n v="101323"/>
    <n v="20"/>
    <d v="2026-09-28T00:00:00"/>
    <n v="105"/>
  </r>
  <r>
    <x v="0"/>
    <s v=""/>
    <s v="기초"/>
    <s v=""/>
    <s v=""/>
    <x v="353"/>
    <s v="RA-02A-2020]ASM SCREW X-AXIS (A+)"/>
    <n v="127"/>
    <s v=""/>
    <x v="161"/>
    <d v="2026-09-11T00:00:00"/>
    <s v=""/>
    <n v="101323"/>
    <n v="20"/>
    <d v="2026-09-28T00:00:00"/>
    <n v="107"/>
  </r>
  <r>
    <x v="0"/>
    <s v=""/>
    <s v="기초"/>
    <s v=""/>
    <s v=""/>
    <x v="354"/>
    <s v="RA-02A-2711]ASM GUIDE Y-AXIS SCREW B"/>
    <n v="128"/>
    <s v=""/>
    <x v="162"/>
    <d v="2026-09-11T00:00:00"/>
    <s v=""/>
    <n v="101323"/>
    <n v="20"/>
    <d v="2026-09-28T00:00:00"/>
    <n v="108"/>
  </r>
  <r>
    <x v="0"/>
    <s v=""/>
    <s v="기초"/>
    <s v=""/>
    <s v=""/>
    <x v="363"/>
    <s v="RA-02A-2031]ASM MAIN PULLEY MOT (A+)"/>
    <n v="137"/>
    <s v=""/>
    <x v="13"/>
    <d v="2026-09-11T00:00:00"/>
    <s v=""/>
    <n v="101323"/>
    <n v="20"/>
    <d v="2026-09-28T00:00:00"/>
    <n v="117"/>
  </r>
  <r>
    <x v="0"/>
    <s v=""/>
    <s v="기초"/>
    <s v=""/>
    <s v=""/>
    <x v="365"/>
    <s v="RA-02A-2712]ASM Y-AXIS MOT"/>
    <n v="138"/>
    <s v=""/>
    <x v="162"/>
    <d v="2026-09-11T00:00:00"/>
    <s v=""/>
    <n v="101323"/>
    <n v="20"/>
    <d v="2026-09-28T00:00:00"/>
    <n v="118"/>
  </r>
  <r>
    <x v="0"/>
    <s v=""/>
    <s v="기초"/>
    <s v=""/>
    <s v=""/>
    <x v="367"/>
    <s v="RA-02A-2303]ASM IDLER B-Ring (A+)"/>
    <n v="139"/>
    <s v=""/>
    <x v="120"/>
    <d v="2026-09-11T00:00:00"/>
    <s v=""/>
    <n v="101323"/>
    <n v="20"/>
    <d v="2026-09-28T00:00:00"/>
    <n v="119"/>
  </r>
  <r>
    <x v="0"/>
    <s v=""/>
    <s v="기초"/>
    <s v=""/>
    <s v=""/>
    <x v="402"/>
    <s v="RA-06S-5167]STEP MOT-KH4238-90102"/>
    <n v="174"/>
    <s v=""/>
    <x v="6"/>
    <d v="2026-09-11T00:00:00"/>
    <s v=""/>
    <n v="101323"/>
    <n v="20"/>
    <d v="2026-09-28T00:00:00"/>
    <n v="154"/>
  </r>
  <r>
    <x v="0"/>
    <s v=""/>
    <s v="기초"/>
    <s v=""/>
    <s v=""/>
    <x v="336"/>
    <s v="RA-02M-2522]PULLEY ROT MAIN (A+)"/>
    <n v="176"/>
    <s v=""/>
    <x v="156"/>
    <d v="2026-09-11T00:00:00"/>
    <s v=""/>
    <n v="101323"/>
    <n v="20"/>
    <d v="2026-09-28T00:00:00"/>
    <n v="156"/>
  </r>
  <r>
    <x v="0"/>
    <s v=""/>
    <s v="기초"/>
    <s v=""/>
    <s v=""/>
    <x v="406"/>
    <s v="RA-7-2]LAN GIGA"/>
    <n v="182"/>
    <s v=""/>
    <x v="123"/>
    <d v="2026-09-11T00:00:00"/>
    <s v=""/>
    <n v="101323"/>
    <n v="20"/>
    <d v="2026-09-28T00:00:00"/>
    <n v="162"/>
  </r>
  <r>
    <x v="0"/>
    <s v=""/>
    <s v="기초"/>
    <s v=""/>
    <s v=""/>
    <x v="436"/>
    <s v="RA-02A-2280]ASM SHAFT IDLER A (A+)"/>
    <n v="237"/>
    <s v=""/>
    <x v="161"/>
    <d v="2026-09-11T00:00:00"/>
    <s v=""/>
    <n v="101323"/>
    <n v="20"/>
    <d v="2026-09-28T00:00:00"/>
    <n v="217"/>
  </r>
  <r>
    <x v="0"/>
    <s v=""/>
    <s v="기초"/>
    <s v=""/>
    <s v=""/>
    <x v="443"/>
    <s v="RA-02S-0042]COUPLING DISK"/>
    <n v="245"/>
    <s v=""/>
    <x v="185"/>
    <d v="2026-09-11T00:00:00"/>
    <s v=""/>
    <n v="101323"/>
    <n v="20"/>
    <d v="2026-09-28T00:00:00"/>
    <n v="225"/>
  </r>
  <r>
    <x v="0"/>
    <s v=""/>
    <s v="기초"/>
    <s v=""/>
    <s v=""/>
    <x v="447"/>
    <s v="RA-02V-2283]PLT VERT MAIN MCU (A+)"/>
    <n v="250"/>
    <s v=""/>
    <x v="187"/>
    <d v="2026-09-11T00:00:00"/>
    <s v=""/>
    <n v="101323"/>
    <n v="20"/>
    <d v="2026-09-28T00:00:00"/>
    <n v="230"/>
  </r>
  <r>
    <x v="0"/>
    <s v=""/>
    <s v="기초"/>
    <s v=""/>
    <s v=""/>
    <x v="453"/>
    <s v="RA-02S-2026]COUPLING"/>
    <n v="260"/>
    <s v=""/>
    <x v="185"/>
    <d v="2026-09-11T00:00:00"/>
    <s v=""/>
    <n v="101323"/>
    <n v="20"/>
    <d v="2026-09-28T00:00:00"/>
    <n v="240"/>
  </r>
  <r>
    <x v="0"/>
    <s v=""/>
    <s v="기초"/>
    <s v=""/>
    <s v=""/>
    <x v="396"/>
    <s v="RA-02V-2049]PLT PHOt SNSR Y-AXIS (A+)"/>
    <n v="264"/>
    <s v=""/>
    <x v="173"/>
    <d v="2026-09-11T00:00:00"/>
    <s v=""/>
    <n v="101323"/>
    <n v="20"/>
    <d v="2026-09-28T00:00:00"/>
    <n v="244"/>
  </r>
  <r>
    <x v="0"/>
    <s v=""/>
    <s v="기초"/>
    <s v=""/>
    <s v=""/>
    <x v="441"/>
    <s v="RA-02S-2278]TIMMING BELT"/>
    <n v="275"/>
    <s v=""/>
    <x v="185"/>
    <d v="2026-09-11T00:00:00"/>
    <s v=""/>
    <n v="101323"/>
    <n v="20"/>
    <d v="2026-09-28T00:00:00"/>
    <n v="255"/>
  </r>
  <r>
    <x v="0"/>
    <s v=""/>
    <s v="기초"/>
    <s v=""/>
    <s v=""/>
    <x v="456"/>
    <s v="RA-02V-2019]HLDR STOPPER ROT PLT (A+)"/>
    <n v="281"/>
    <s v=""/>
    <x v="188"/>
    <d v="2026-09-11T00:00:00"/>
    <s v=""/>
    <n v="101323"/>
    <n v="20"/>
    <d v="2026-09-28T00:00:00"/>
    <n v="261"/>
  </r>
  <r>
    <x v="0"/>
    <s v=""/>
    <s v="기초"/>
    <s v=""/>
    <s v=""/>
    <x v="168"/>
    <s v="RA-02M-2004]BLK MOVING LWR (A+)"/>
    <n v="285"/>
    <s v=""/>
    <x v="11"/>
    <d v="2026-09-11T00:00:00"/>
    <s v=""/>
    <n v="101323"/>
    <n v="20"/>
    <d v="2026-09-28T00:00:00"/>
    <n v="265"/>
  </r>
  <r>
    <x v="0"/>
    <s v=""/>
    <s v="기초"/>
    <s v=""/>
    <s v=""/>
    <x v="337"/>
    <s v="RA-02A-2622]ASM SCREW MOVING Y-AXIS (A+)"/>
    <n v="343"/>
    <s v=""/>
    <x v="156"/>
    <d v="2026-09-11T00:00:00"/>
    <s v=""/>
    <n v="101323"/>
    <n v="20"/>
    <d v="2026-09-28T00:00:00"/>
    <n v="323"/>
  </r>
  <r>
    <x v="0"/>
    <s v=""/>
    <s v="기초"/>
    <s v=""/>
    <s v=""/>
    <x v="398"/>
    <s v="RA-11-13_3]PRIME MOT LINEAR Left-Right"/>
    <n v="351"/>
    <s v=""/>
    <x v="127"/>
    <d v="2026-09-11T00:00:00"/>
    <s v=""/>
    <n v="101323"/>
    <n v="20"/>
    <d v="2026-09-28T00:00:00"/>
    <n v="331"/>
  </r>
  <r>
    <x v="0"/>
    <s v=""/>
    <s v="기초"/>
    <s v=""/>
    <s v=""/>
    <x v="344"/>
    <s v="RA-11-4]MainMCU to STEP DRV"/>
    <n v="360"/>
    <s v=""/>
    <x v="159"/>
    <d v="2026-09-11T00:00:00"/>
    <s v=""/>
    <n v="101323"/>
    <n v="20"/>
    <d v="2026-09-28T00:00:00"/>
    <n v="340"/>
  </r>
  <r>
    <x v="0"/>
    <s v=""/>
    <s v="기초"/>
    <s v=""/>
    <s v=""/>
    <x v="378"/>
    <s v="RA-02M-2007]BLK MOVING UPPER (A+)"/>
    <n v="410"/>
    <s v=""/>
    <x v="11"/>
    <d v="2026-09-11T00:00:00"/>
    <s v=""/>
    <n v="101323"/>
    <n v="20"/>
    <d v="2026-09-28T00:00:00"/>
    <n v="390"/>
  </r>
  <r>
    <x v="0"/>
    <s v=""/>
    <s v="기초"/>
    <s v=""/>
    <s v=""/>
    <x v="476"/>
    <s v="RA-02V-2016]SLIDER ROT WASHER (A+)"/>
    <n v="412"/>
    <s v=""/>
    <x v="188"/>
    <d v="2026-09-11T00:00:00"/>
    <s v=""/>
    <n v="101323"/>
    <n v="20"/>
    <d v="2026-09-28T00:00:00"/>
    <n v="392"/>
  </r>
  <r>
    <x v="0"/>
    <s v=""/>
    <s v="기초"/>
    <s v=""/>
    <s v=""/>
    <x v="477"/>
    <s v="RA-02V-2028]SUP ROT PHOt SNSR (A+)"/>
    <n v="413"/>
    <s v=""/>
    <x v="188"/>
    <d v="2026-09-11T00:00:00"/>
    <s v=""/>
    <n v="101323"/>
    <n v="20"/>
    <d v="2026-09-28T00:00:00"/>
    <n v="393"/>
  </r>
  <r>
    <x v="0"/>
    <s v=""/>
    <s v="기초"/>
    <s v=""/>
    <s v=""/>
    <x v="251"/>
    <s v="RA-11-12_3]PRIME MOT LINEAR Front-Rear"/>
    <n v="419"/>
    <s v=""/>
    <x v="127"/>
    <d v="2026-09-11T00:00:00"/>
    <s v=""/>
    <n v="101323"/>
    <n v="20"/>
    <d v="2026-09-28T00:00:00"/>
    <n v="399"/>
  </r>
  <r>
    <x v="0"/>
    <s v=""/>
    <s v="기초"/>
    <s v=""/>
    <s v=""/>
    <x v="479"/>
    <s v="RA-02V-2043]PLT PHOt SNSR X-AXIS (A+)"/>
    <n v="423"/>
    <s v=""/>
    <x v="173"/>
    <d v="2026-09-11T00:00:00"/>
    <s v=""/>
    <n v="101323"/>
    <n v="20"/>
    <d v="2026-09-28T00:00:00"/>
    <n v="403"/>
  </r>
  <r>
    <x v="0"/>
    <s v=""/>
    <s v="기초"/>
    <s v=""/>
    <s v=""/>
    <x v="478"/>
    <s v="RA-02A-2008]ASM B-Ring ROT Mdl (A+)"/>
    <n v="426"/>
    <s v=""/>
    <x v="11"/>
    <d v="2026-09-11T00:00:00"/>
    <s v=""/>
    <n v="101323"/>
    <n v="20"/>
    <d v="2026-09-28T00:00:00"/>
    <n v="406"/>
  </r>
  <r>
    <x v="0"/>
    <s v=""/>
    <s v="기초"/>
    <s v=""/>
    <s v=""/>
    <x v="481"/>
    <s v="RA-02V-2281]BRK PHOt SNSR Y (A+)"/>
    <n v="430"/>
    <s v=""/>
    <x v="173"/>
    <d v="2026-09-11T00:00:00"/>
    <s v=""/>
    <n v="101323"/>
    <n v="20"/>
    <d v="2026-09-28T00:00:00"/>
    <n v="410"/>
  </r>
  <r>
    <x v="0"/>
    <s v=""/>
    <s v="기초"/>
    <s v=""/>
    <s v=""/>
    <x v="483"/>
    <s v="RA-02M-2029]STOPPER ROT LIMIT (A+)"/>
    <n v="432"/>
    <s v=""/>
    <x v="192"/>
    <d v="2026-09-11T00:00:00"/>
    <s v=""/>
    <n v="101323"/>
    <n v="20"/>
    <d v="2026-09-28T00:00:00"/>
    <n v="412"/>
  </r>
  <r>
    <x v="0"/>
    <s v=""/>
    <s v="기초"/>
    <s v=""/>
    <s v=""/>
    <x v="484"/>
    <s v="RA-02V-2056]BRK CABLE PROTOR (A+)"/>
    <n v="433"/>
    <s v=""/>
    <x v="193"/>
    <d v="2026-09-11T00:00:00"/>
    <s v=""/>
    <n v="101323"/>
    <n v="20"/>
    <d v="2026-09-28T00:00:00"/>
    <n v="413"/>
  </r>
  <r>
    <x v="0"/>
    <s v=""/>
    <s v=""/>
    <s v=""/>
    <s v=""/>
    <x v="486"/>
    <s v="RA-02V-2286]BRK ROTATION FIX AXIS (A+)"/>
    <n v="454"/>
    <s v=""/>
    <x v="194"/>
    <d v="2026-09-16T00:00:00"/>
    <s v=""/>
    <n v="101323"/>
    <n v="20"/>
    <d v="2026-09-28T00:00:00"/>
    <n v="434"/>
  </r>
  <r>
    <x v="0"/>
    <s v=""/>
    <s v="기초"/>
    <s v=""/>
    <s v=""/>
    <x v="488"/>
    <s v="RA-02V-2018]PLT ROT POSITION LWR (A+)"/>
    <n v="476"/>
    <s v=""/>
    <x v="188"/>
    <d v="2026-09-11T00:00:00"/>
    <s v=""/>
    <n v="101323"/>
    <n v="20"/>
    <d v="2026-09-28T00:00:00"/>
    <n v="456"/>
  </r>
  <r>
    <x v="0"/>
    <s v=""/>
    <s v="기초"/>
    <s v=""/>
    <s v=""/>
    <x v="489"/>
    <s v="RA-02V-2284]BRK CABLE GUIDE VERT (A+)"/>
    <n v="477"/>
    <s v=""/>
    <x v="195"/>
    <d v="2026-09-11T00:00:00"/>
    <s v=""/>
    <n v="101323"/>
    <n v="20"/>
    <d v="2026-09-28T00:00:00"/>
    <n v="457"/>
  </r>
  <r>
    <x v="0"/>
    <s v=""/>
    <s v="기초"/>
    <s v=""/>
    <s v=""/>
    <x v="490"/>
    <s v="RA-02M-2015]PIN PULLEY STOPPER (A+)"/>
    <n v="479"/>
    <s v=""/>
    <x v="185"/>
    <d v="2026-09-11T00:00:00"/>
    <s v=""/>
    <n v="101323"/>
    <n v="20"/>
    <d v="2026-09-28T00:00:00"/>
    <n v="459"/>
  </r>
  <r>
    <x v="0"/>
    <s v=""/>
    <s v="기초"/>
    <s v=""/>
    <s v=""/>
    <x v="491"/>
    <s v="RA-02V-2017]PLT ROT STOPPER (A+)"/>
    <n v="494"/>
    <s v=""/>
    <x v="195"/>
    <d v="2026-09-11T00:00:00"/>
    <s v=""/>
    <n v="101323"/>
    <n v="20"/>
    <d v="2026-09-28T00:00:00"/>
    <n v="474"/>
  </r>
  <r>
    <x v="0"/>
    <s v=""/>
    <s v="기초"/>
    <s v=""/>
    <s v=""/>
    <x v="494"/>
    <s v="RA-02V-2042]SUP X-AXIS PHOt SNSR (A+)"/>
    <n v="520"/>
    <s v=""/>
    <x v="173"/>
    <d v="2026-09-11T00:00:00"/>
    <s v=""/>
    <n v="101323"/>
    <n v="20"/>
    <d v="2026-09-28T00:00:00"/>
    <n v="500"/>
  </r>
  <r>
    <x v="0"/>
    <s v=""/>
    <s v="기초"/>
    <s v=""/>
    <s v=""/>
    <x v="496"/>
    <s v="RA-02M-2307]GUIDE Y-AXIS SCREW A (A+)"/>
    <n v="533"/>
    <s v=""/>
    <x v="197"/>
    <d v="2026-09-11T00:00:00"/>
    <s v=""/>
    <n v="101323"/>
    <n v="20"/>
    <d v="2026-09-28T00:00:00"/>
    <n v="513"/>
  </r>
  <r>
    <x v="0"/>
    <s v=""/>
    <s v="기초"/>
    <s v=""/>
    <s v=""/>
    <x v="501"/>
    <s v="RA-02V-2014]PLT ROT POSITION UPPER (A+)"/>
    <n v="599"/>
    <s v=""/>
    <x v="188"/>
    <d v="2026-09-11T00:00:00"/>
    <s v=""/>
    <n v="101323"/>
    <n v="20"/>
    <d v="2026-09-28T00:00:00"/>
    <n v="579"/>
  </r>
  <r>
    <x v="0"/>
    <s v=""/>
    <s v="기초"/>
    <s v=""/>
    <s v=""/>
    <x v="508"/>
    <s v="RA-02M-2048]PLT LINK Y-AXIS (A+)"/>
    <n v="700"/>
    <s v=""/>
    <x v="192"/>
    <d v="2026-09-11T00:00:00"/>
    <s v=""/>
    <n v="101323"/>
    <n v="20"/>
    <d v="2026-09-28T00:00:00"/>
    <n v="680"/>
  </r>
  <r>
    <x v="0"/>
    <s v=""/>
    <s v="기초"/>
    <s v=""/>
    <s v=""/>
    <x v="509"/>
    <s v="RA-02M-2027]BLK X-AXIS MOT (A+)"/>
    <n v="756"/>
    <s v=""/>
    <x v="202"/>
    <d v="2026-09-11T00:00:00"/>
    <s v=""/>
    <n v="101323"/>
    <n v="20"/>
    <d v="2026-09-28T00:00:00"/>
    <n v="736"/>
  </r>
  <r>
    <x v="0"/>
    <s v=""/>
    <s v="기초"/>
    <s v=""/>
    <s v=""/>
    <x v="399"/>
    <s v="RA-6-2_3]PRIME MOT ROT"/>
    <n v="761"/>
    <s v=""/>
    <x v="9"/>
    <d v="2026-09-11T00:00:00"/>
    <s v=""/>
    <n v="101323"/>
    <n v="20"/>
    <d v="2026-09-28T00:00:00"/>
    <n v="741"/>
  </r>
  <r>
    <x v="0"/>
    <s v=""/>
    <s v="기초"/>
    <s v=""/>
    <s v=""/>
    <x v="511"/>
    <s v="RA-02S-5021]PHOtSNSR-EE-SX672A"/>
    <n v="877"/>
    <s v=""/>
    <x v="8"/>
    <d v="2026-09-11T00:00:00"/>
    <s v=""/>
    <n v="101323"/>
    <n v="80"/>
    <d v="2026-09-28T00:00:00"/>
    <n v="797"/>
  </r>
  <r>
    <x v="0"/>
    <s v=""/>
    <s v="기초"/>
    <s v=""/>
    <s v=""/>
    <x v="516"/>
    <s v="RA-02M-2047]BLK LINK Y-AXIS (A+)"/>
    <n v="1443"/>
    <s v=""/>
    <x v="197"/>
    <d v="2026-09-11T00:00:00"/>
    <s v=""/>
    <n v="101323"/>
    <n v="20"/>
    <d v="2026-09-28T00:00:00"/>
    <n v="1423"/>
  </r>
  <r>
    <x v="0"/>
    <s v=""/>
    <s v=""/>
    <s v=""/>
    <s v=""/>
    <x v="245"/>
    <s v="RA-04A-1926]ASM CHINREST SUB"/>
    <n v="15"/>
    <s v=""/>
    <x v="104"/>
    <d v="2026-09-29T00:00:00"/>
    <s v=""/>
    <n v="101324"/>
    <n v="15"/>
    <d v="2026-09-29T00:00:00"/>
    <n v="0"/>
  </r>
  <r>
    <x v="0"/>
    <s v=""/>
    <s v=""/>
    <s v=""/>
    <s v=""/>
    <x v="369"/>
    <s v="RA-04V-1708]CVR THU Bd"/>
    <n v="18"/>
    <s v=""/>
    <x v="165"/>
    <d v="2026-09-29T00:00:00"/>
    <s v=""/>
    <n v="101324"/>
    <n v="12"/>
    <d v="2026-09-29T00:00:00"/>
    <n v="6"/>
  </r>
  <r>
    <x v="0"/>
    <s v=""/>
    <s v=""/>
    <s v=""/>
    <s v=""/>
    <x v="172"/>
    <s v="RA-04A-6035_4]Bd ASSY'-THU Bd"/>
    <n v="77"/>
    <s v=""/>
    <x v="100"/>
    <d v="2026-10-01T00:00:00"/>
    <s v=""/>
    <n v="101324"/>
    <n v="12"/>
    <d v="2026-10-01T00:00:00"/>
    <n v="65"/>
  </r>
  <r>
    <x v="0"/>
    <s v=""/>
    <s v=""/>
    <s v=""/>
    <s v=""/>
    <x v="214"/>
    <s v="RA-04S-5174]THU Cable Ass'y"/>
    <n v="89"/>
    <s v=""/>
    <x v="117"/>
    <d v="2026-09-29T00:00:00"/>
    <s v=""/>
    <n v="101324"/>
    <n v="12"/>
    <d v="2026-09-29T00:00:00"/>
    <n v="77"/>
  </r>
  <r>
    <x v="0"/>
    <s v=""/>
    <s v=""/>
    <s v=""/>
    <s v=""/>
    <x v="221"/>
    <s v="RA-04V-1709]BRK THU Bd"/>
    <n v="95"/>
    <s v=""/>
    <x v="118"/>
    <d v="2026-09-29T00:00:00"/>
    <s v=""/>
    <n v="101324"/>
    <n v="12"/>
    <d v="2026-09-29T00:00:00"/>
    <n v="83"/>
  </r>
  <r>
    <x v="0"/>
    <s v=""/>
    <s v="입고"/>
    <s v="BACHTUNG"/>
    <s v="유영국"/>
    <x v="245"/>
    <s v="RA-04A-1926]ASM CHINREST SUB"/>
    <n v="100"/>
    <s v=""/>
    <x v="104"/>
    <d v="2026-09-23T00:00:00"/>
    <s v=""/>
    <n v="101324"/>
    <n v="4"/>
    <d v="2026-09-29T00:00:00"/>
    <n v="96"/>
  </r>
  <r>
    <x v="0"/>
    <s v=""/>
    <s v=""/>
    <s v=""/>
    <s v=""/>
    <x v="273"/>
    <s v="RA-04M-1339]BLK HEADREST FIX BAR-R"/>
    <n v="120"/>
    <s v=""/>
    <x v="134"/>
    <d v="2026-09-29T00:00:00"/>
    <s v=""/>
    <n v="101324"/>
    <n v="19"/>
    <d v="2026-09-29T00:00:00"/>
    <n v="101"/>
  </r>
  <r>
    <x v="0"/>
    <s v=""/>
    <s v=""/>
    <s v=""/>
    <s v=""/>
    <x v="323"/>
    <s v="RA-04A-0899]ASM LCD M101NWT2 R1"/>
    <n v="148"/>
    <s v=""/>
    <x v="94"/>
    <d v="2026-09-29T00:00:00"/>
    <s v=""/>
    <n v="101324"/>
    <n v="12"/>
    <d v="2026-09-29T00:00:00"/>
    <n v="136"/>
  </r>
  <r>
    <x v="0"/>
    <s v=""/>
    <s v=""/>
    <s v=""/>
    <s v=""/>
    <x v="355"/>
    <s v="RA-04M-1338]BLK HEADREST FIX BAR-L"/>
    <n v="170"/>
    <s v=""/>
    <x v="134"/>
    <d v="2026-09-29T00:00:00"/>
    <s v=""/>
    <n v="101324"/>
    <n v="19"/>
    <d v="2026-09-29T00:00:00"/>
    <n v="151"/>
  </r>
  <r>
    <x v="0"/>
    <s v=""/>
    <s v=""/>
    <s v=""/>
    <s v=""/>
    <x v="321"/>
    <s v="RA-04S-0121]HINGE SET"/>
    <n v="199"/>
    <s v=""/>
    <x v="150"/>
    <d v="2026-09-29T00:00:00"/>
    <s v=""/>
    <n v="101324"/>
    <n v="24"/>
    <d v="2026-09-29T00:00:00"/>
    <n v="175"/>
  </r>
  <r>
    <x v="0"/>
    <s v=""/>
    <s v=""/>
    <s v=""/>
    <s v=""/>
    <x v="352"/>
    <s v="RA-04V-0118]BRK MONITOR HINGE"/>
    <n v="210"/>
    <s v=""/>
    <x v="160"/>
    <d v="2026-09-29T00:00:00"/>
    <s v=""/>
    <n v="101324"/>
    <n v="24"/>
    <d v="2026-09-29T00:00:00"/>
    <n v="186"/>
  </r>
  <r>
    <x v="0"/>
    <s v=""/>
    <s v=""/>
    <s v=""/>
    <s v=""/>
    <x v="569"/>
    <s v="RA-04T-1707]CAS MONITOR DECO"/>
    <n v="258"/>
    <s v=""/>
    <x v="178"/>
    <d v="2026-09-18T00:00:00"/>
    <s v=""/>
    <n v="101324"/>
    <n v="12"/>
    <d v="2026-09-29T00:00:00"/>
    <n v="246"/>
  </r>
  <r>
    <x v="0"/>
    <s v=""/>
    <s v=""/>
    <s v=""/>
    <s v=""/>
    <x v="444"/>
    <s v="RA-04M-2399]GUIDE BITE BLK A (A+)"/>
    <n v="287"/>
    <s v=""/>
    <x v="128"/>
    <d v="2026-09-29T00:00:00"/>
    <s v=""/>
    <n v="101324"/>
    <n v="19"/>
    <d v="2026-09-29T00:00:00"/>
    <n v="268"/>
  </r>
  <r>
    <x v="0"/>
    <s v=""/>
    <s v=""/>
    <s v=""/>
    <s v=""/>
    <x v="63"/>
    <s v="RA-06A-2761]ASM COL MOVING (A+) (VN)"/>
    <n v="5"/>
    <s v=""/>
    <x v="25"/>
    <d v="2026-09-29T00:00:00"/>
    <s v=""/>
    <n v="101325"/>
    <n v="2"/>
    <d v="2026-09-30T00:00:00"/>
    <n v="3"/>
  </r>
  <r>
    <x v="0"/>
    <s v=""/>
    <s v=""/>
    <s v=""/>
    <s v=""/>
    <x v="375"/>
    <s v="RA-11-22]Fcol MOT Cable C"/>
    <n v="20"/>
    <s v=""/>
    <x v="109"/>
    <d v="2026-09-29T00:00:00"/>
    <s v=""/>
    <n v="101325"/>
    <n v="2"/>
    <d v="2026-09-30T00:00:00"/>
    <n v="18"/>
  </r>
  <r>
    <x v="0"/>
    <s v=""/>
    <s v=""/>
    <s v=""/>
    <s v=""/>
    <x v="380"/>
    <s v="RA-11-21]Fcol MOT Cable B"/>
    <n v="22"/>
    <s v=""/>
    <x v="96"/>
    <d v="2026-09-29T00:00:00"/>
    <s v=""/>
    <n v="101325"/>
    <n v="2"/>
    <d v="2026-09-30T00:00:00"/>
    <n v="20"/>
  </r>
  <r>
    <x v="0"/>
    <s v=""/>
    <s v=""/>
    <s v=""/>
    <s v=""/>
    <x v="165"/>
    <s v="RA-11-19]LED Power Cable"/>
    <n v="45"/>
    <s v=""/>
    <x v="96"/>
    <d v="2026-09-29T00:00:00"/>
    <s v=""/>
    <n v="101325"/>
    <n v="2"/>
    <d v="2026-09-30T00:00:00"/>
    <n v="43"/>
  </r>
  <r>
    <x v="0"/>
    <s v=""/>
    <s v=""/>
    <s v=""/>
    <s v=""/>
    <x v="195"/>
    <s v="RA-11-23]Fcol MOT Cable D"/>
    <n v="55"/>
    <s v=""/>
    <x v="109"/>
    <d v="2026-09-30T00:00:00"/>
    <s v=""/>
    <n v="101325"/>
    <n v="2"/>
    <d v="2026-09-30T00:00:00"/>
    <n v="53"/>
  </r>
  <r>
    <x v="0"/>
    <s v=""/>
    <s v=""/>
    <s v=""/>
    <s v=""/>
    <x v="231"/>
    <s v="RA-11-20]Fcol MOT Cable A"/>
    <n v="67"/>
    <s v=""/>
    <x v="96"/>
    <d v="2026-09-30T00:00:00"/>
    <s v=""/>
    <n v="101325"/>
    <n v="2"/>
    <d v="2026-09-30T00:00:00"/>
    <n v="65"/>
  </r>
  <r>
    <x v="0"/>
    <s v=""/>
    <s v=""/>
    <s v=""/>
    <s v=""/>
    <x v="389"/>
    <s v="RA-03S-6009A]A2K_LBM01-370"/>
    <n v="161"/>
    <s v=""/>
    <x v="171"/>
    <d v="2026-09-30T00:00:00"/>
    <s v=""/>
    <n v="101325"/>
    <n v="2"/>
    <d v="2026-09-30T00:00:00"/>
    <n v="159"/>
  </r>
  <r>
    <x v="0"/>
    <s v=""/>
    <s v=""/>
    <s v=""/>
    <s v=""/>
    <x v="407"/>
    <s v="RA-06V-2138]BRK COL Bd (A+)"/>
    <n v="184"/>
    <s v=""/>
    <x v="168"/>
    <d v="2026-09-29T00:00:00"/>
    <s v=""/>
    <n v="101325"/>
    <n v="2"/>
    <d v="2026-09-30T00:00:00"/>
    <n v="182"/>
  </r>
  <r>
    <x v="0"/>
    <s v=""/>
    <s v=""/>
    <s v=""/>
    <s v=""/>
    <x v="460"/>
    <s v="RA-06A-6006]Bd ASSY'-Fcol MCU"/>
    <n v="298"/>
    <s v=""/>
    <x v="189"/>
    <d v="2026-09-30T00:00:00"/>
    <s v=""/>
    <n v="101325"/>
    <n v="2"/>
    <d v="2026-09-30T00:00:00"/>
    <n v="296"/>
  </r>
  <r>
    <x v="0"/>
    <s v=""/>
    <s v="기초"/>
    <s v=""/>
    <s v=""/>
    <x v="356"/>
    <s v="RA-02M-2001] FRAME VERTICAL BASE (A+)"/>
    <n v="132"/>
    <s v=""/>
    <x v="33"/>
    <d v="2026-09-11T00:00:00"/>
    <s v=""/>
    <n v="101333"/>
    <n v="20"/>
    <d v="2026-09-28T00:00:00"/>
    <n v="112"/>
  </r>
  <r>
    <x v="0"/>
    <s v=""/>
    <s v=""/>
    <s v=""/>
    <s v=""/>
    <x v="38"/>
    <s v="RA-5-4]EARTH ROT TO TUBE"/>
    <n v="46"/>
    <s v=""/>
    <x v="30"/>
    <d v="2026-09-29T00:00:00"/>
    <s v=""/>
    <n v="102584"/>
    <n v="15"/>
    <d v="2026-09-30T00:00:00"/>
    <n v="31"/>
  </r>
  <r>
    <x v="0"/>
    <s v=""/>
    <s v=""/>
    <s v=""/>
    <s v=""/>
    <x v="72"/>
    <s v="RA-06M-0520]HEATSINK"/>
    <n v="60"/>
    <s v=""/>
    <x v="55"/>
    <d v="2026-09-29T00:00:00"/>
    <s v=""/>
    <n v="102584"/>
    <n v="15"/>
    <d v="2026-09-30T00:00:00"/>
    <n v="45"/>
  </r>
  <r>
    <x v="0"/>
    <s v=""/>
    <s v=""/>
    <s v=""/>
    <s v=""/>
    <x v="265"/>
    <s v="RA-06V-0230]BRK FAN SUP"/>
    <n v="73"/>
    <s v=""/>
    <x v="7"/>
    <d v="2026-09-15T00:00:00"/>
    <s v=""/>
    <n v="102584"/>
    <n v="15"/>
    <d v="2026-09-30T00:00:00"/>
    <n v="58"/>
  </r>
  <r>
    <x v="0"/>
    <s v=""/>
    <s v=""/>
    <s v=""/>
    <s v=""/>
    <x v="305"/>
    <s v="RA-06A-1063]ASM TUBE TNK SUP"/>
    <n v="102"/>
    <s v=""/>
    <x v="126"/>
    <d v="2026-09-15T00:00:00"/>
    <s v=""/>
    <n v="102584"/>
    <n v="15"/>
    <d v="2026-09-30T00:00:00"/>
    <n v="87"/>
  </r>
  <r>
    <x v="0"/>
    <s v=""/>
    <s v=""/>
    <s v=""/>
    <s v=""/>
    <x v="316"/>
    <s v="RA-03S-5181A]A2K_LBM01-970"/>
    <n v="109"/>
    <s v=""/>
    <x v="43"/>
    <d v="2026-09-15T00:00:00"/>
    <s v=""/>
    <n v="102584"/>
    <n v="15"/>
    <d v="2026-09-30T00:00:00"/>
    <n v="94"/>
  </r>
  <r>
    <x v="0"/>
    <s v=""/>
    <s v=""/>
    <s v=""/>
    <s v=""/>
    <x v="350"/>
    <s v="RA-06V-1678]BRK CANINE TOOTH LASER BEAM"/>
    <n v="121"/>
    <s v=""/>
    <x v="149"/>
    <d v="2026-09-15T00:00:00"/>
    <s v=""/>
    <n v="102584"/>
    <n v="15"/>
    <d v="2026-09-30T00:00:00"/>
    <n v="106"/>
  </r>
  <r>
    <x v="0"/>
    <s v=""/>
    <s v=""/>
    <s v=""/>
    <s v=""/>
    <x v="364"/>
    <s v="RA-06A-2747]ASM EXTRUSION COL (VN)"/>
    <n v="133"/>
    <s v=""/>
    <x v="126"/>
    <d v="2026-09-15T00:00:00"/>
    <s v=""/>
    <n v="102584"/>
    <n v="15"/>
    <d v="2026-09-30T00:00:00"/>
    <n v="118"/>
  </r>
  <r>
    <x v="0"/>
    <s v=""/>
    <s v=""/>
    <s v=""/>
    <s v=""/>
    <x v="386"/>
    <s v="RA-06V-0793]BRK TUBE FIX A"/>
    <n v="149"/>
    <s v=""/>
    <x v="3"/>
    <d v="2026-09-15T00:00:00"/>
    <s v=""/>
    <n v="102584"/>
    <n v="15"/>
    <d v="2026-09-30T00:00:00"/>
    <n v="134"/>
  </r>
  <r>
    <x v="0"/>
    <s v=""/>
    <s v=""/>
    <s v=""/>
    <s v=""/>
    <x v="393"/>
    <s v="RA-06V-1384]BRK XTRUSION PB COL SC"/>
    <n v="158"/>
    <s v=""/>
    <x v="151"/>
    <d v="2026-09-15T00:00:00"/>
    <s v=""/>
    <n v="102584"/>
    <n v="15"/>
    <d v="2026-09-30T00:00:00"/>
    <n v="143"/>
  </r>
  <r>
    <x v="0"/>
    <s v=""/>
    <s v=""/>
    <s v=""/>
    <s v=""/>
    <x v="420"/>
    <s v="RA-06V-0795]BRK TUBE FIX C"/>
    <n v="197"/>
    <s v=""/>
    <x v="3"/>
    <d v="2026-09-15T00:00:00"/>
    <s v=""/>
    <n v="102584"/>
    <n v="15"/>
    <d v="2026-09-30T00:00:00"/>
    <n v="182"/>
  </r>
  <r>
    <x v="0"/>
    <s v=""/>
    <s v=""/>
    <s v=""/>
    <s v=""/>
    <x v="461"/>
    <s v="RA-06V-0794]BRK TUBE FIX B"/>
    <n v="292"/>
    <s v=""/>
    <x v="3"/>
    <d v="2026-09-15T00:00:00"/>
    <s v=""/>
    <n v="102584"/>
    <n v="15"/>
    <d v="2026-09-30T00:00:00"/>
    <n v="277"/>
  </r>
  <r>
    <x v="0"/>
    <s v=""/>
    <s v=""/>
    <s v=""/>
    <s v=""/>
    <x v="445"/>
    <s v="RA-05V-0199]BRK PXD-200CT DRV PCB R"/>
    <n v="304"/>
    <s v=""/>
    <x v="186"/>
    <d v="2026-09-15T00:00:00"/>
    <s v=""/>
    <n v="102584"/>
    <n v="15"/>
    <d v="2026-09-30T00:00:00"/>
    <n v="289"/>
  </r>
  <r>
    <x v="0"/>
    <s v=""/>
    <s v=""/>
    <s v=""/>
    <s v=""/>
    <x v="451"/>
    <s v="RA-05V-0297]BRK PXD-200CT DRV PCB L"/>
    <n v="309"/>
    <s v=""/>
    <x v="186"/>
    <d v="2026-09-15T00:00:00"/>
    <s v=""/>
    <n v="102584"/>
    <n v="15"/>
    <d v="2026-09-30T00:00:00"/>
    <n v="294"/>
  </r>
  <r>
    <x v="0"/>
    <s v=""/>
    <s v=""/>
    <s v=""/>
    <s v=""/>
    <x v="467"/>
    <s v="RA-06M-0220]BLOCK CANINE TOOTH LASER B"/>
    <n v="359"/>
    <s v=""/>
    <x v="1"/>
    <d v="2026-09-15T00:00:00"/>
    <s v=""/>
    <n v="102584"/>
    <n v="15"/>
    <d v="2026-09-30T00:00:00"/>
    <n v="344"/>
  </r>
  <r>
    <x v="0"/>
    <s v=""/>
    <s v=""/>
    <s v=""/>
    <s v=""/>
    <x v="435"/>
    <s v="RA-1-8B]AC POWER PFC CONNECT"/>
    <n v="367"/>
    <s v=""/>
    <x v="184"/>
    <d v="2026-09-29T00:00:00"/>
    <s v=""/>
    <n v="102584"/>
    <n v="15"/>
    <d v="2026-09-30T00:00:00"/>
    <n v="352"/>
  </r>
  <r>
    <x v="0"/>
    <s v=""/>
    <s v=""/>
    <s v=""/>
    <s v=""/>
    <x v="421"/>
    <s v="RA-5-5]EARTH ROT TO PFC"/>
    <n v="501"/>
    <s v=""/>
    <x v="30"/>
    <d v="2026-09-29T00:00:00"/>
    <s v=""/>
    <n v="102584"/>
    <n v="15"/>
    <d v="2026-09-30T00:00:00"/>
    <n v="486"/>
  </r>
  <r>
    <x v="0"/>
    <s v=""/>
    <s v=""/>
    <s v=""/>
    <s v=""/>
    <x v="499"/>
    <s v="RA-10-4]FAN ASS'Y"/>
    <n v="568"/>
    <s v=""/>
    <x v="9"/>
    <d v="2026-09-15T00:00:00"/>
    <s v=""/>
    <n v="102584"/>
    <n v="15"/>
    <d v="2026-09-30T00:00:00"/>
    <n v="553"/>
  </r>
  <r>
    <x v="0"/>
    <s v=""/>
    <s v=""/>
    <s v=""/>
    <s v=""/>
    <x v="512"/>
    <s v="RA-6-3]SUB MOT TUBE"/>
    <n v="895"/>
    <s v=""/>
    <x v="9"/>
    <d v="2026-09-15T00:00:00"/>
    <s v=""/>
    <n v="102584"/>
    <n v="15"/>
    <d v="2026-09-30T00:00:00"/>
    <n v="880"/>
  </r>
  <r>
    <x v="0"/>
    <s v=""/>
    <s v=""/>
    <s v=""/>
    <s v=""/>
    <x v="513"/>
    <s v="RA-06T-0296]CAS TUBE TNK FAN"/>
    <n v="925"/>
    <s v=""/>
    <x v="27"/>
    <d v="2026-09-15T00:00:00"/>
    <s v=""/>
    <n v="102584"/>
    <n v="15"/>
    <d v="2026-09-30T00:00:00"/>
    <n v="910"/>
  </r>
  <r>
    <x v="0"/>
    <s v=""/>
    <s v="입고"/>
    <s v="Bach tung"/>
    <s v="유영국"/>
    <x v="556"/>
    <s v="ASM ROTATOR"/>
    <n v="10"/>
    <s v=""/>
    <x v="33"/>
    <d v="2026-09-15T00:00:00"/>
    <s v=""/>
    <n v="102595"/>
    <n v="10"/>
    <d v="2026-10-01T00:00:00"/>
    <n v="0"/>
  </r>
  <r>
    <x v="0"/>
    <s v=""/>
    <s v="입고"/>
    <s v="A&amp;T"/>
    <s v="장동은"/>
    <x v="556"/>
    <s v="ASM ROTATOR"/>
    <n v="119"/>
    <s v=""/>
    <x v="33"/>
    <d v="2026-10-12T00:00:00"/>
    <s v=""/>
    <n v="102595"/>
    <n v="29"/>
    <d v="2026-10-01T00:00:00"/>
    <n v="90"/>
  </r>
  <r>
    <x v="0"/>
    <s v=""/>
    <s v="입고"/>
    <s v="다유"/>
    <s v="유영국"/>
    <x v="141"/>
    <s v="ASM COLUMN BODY"/>
    <n v="22"/>
    <s v=""/>
    <x v="6"/>
    <d v="2026-10-01T00:00:00"/>
    <s v=""/>
    <n v="102902"/>
    <n v="22"/>
    <d v="2026-10-01T00:00:00"/>
    <n v="0"/>
  </r>
  <r>
    <x v="0"/>
    <s v=""/>
    <s v=""/>
    <s v=""/>
    <s v=""/>
    <x v="474"/>
    <s v="RA-8-9]AC POWER CABLE(IEC)"/>
    <n v="430"/>
    <s v=""/>
    <x v="9"/>
    <d v="2026-09-16T00:00:00"/>
    <s v=""/>
    <n v="102902"/>
    <n v="50"/>
    <d v="2026-10-01T00:00:00"/>
    <n v="380"/>
  </r>
  <r>
    <x v="0"/>
    <s v=""/>
    <s v=""/>
    <s v=""/>
    <s v=""/>
    <x v="172"/>
    <s v="RA-04A-6035_4]Bd ASSY'-THU Bd"/>
    <n v="25"/>
    <s v=""/>
    <x v="100"/>
    <d v="2026-09-11T00:00:00"/>
    <s v=""/>
    <n v="102914"/>
    <n v="9"/>
    <d v="2026-10-06T00:00:00"/>
    <n v="16"/>
  </r>
  <r>
    <x v="0"/>
    <s v=""/>
    <s v=""/>
    <s v=""/>
    <s v=""/>
    <x v="128"/>
    <s v="RA-03V-1639]PLT ELECT COMPONENT (VA)"/>
    <n v="38"/>
    <s v=""/>
    <x v="83"/>
    <d v="2026-09-30T00:00:00"/>
    <s v=""/>
    <n v="102914"/>
    <n v="10"/>
    <d v="2026-10-06T00:00:00"/>
    <n v="28"/>
  </r>
  <r>
    <x v="0"/>
    <s v=""/>
    <s v=""/>
    <s v=""/>
    <s v=""/>
    <x v="142"/>
    <s v="RA-5-1]EARTH NF"/>
    <n v="40"/>
    <s v=""/>
    <x v="30"/>
    <d v="2026-09-30T00:00:00"/>
    <s v=""/>
    <n v="102914"/>
    <n v="20"/>
    <d v="2026-10-06T00:00:00"/>
    <n v="20"/>
  </r>
  <r>
    <x v="0"/>
    <s v=""/>
    <s v=""/>
    <s v=""/>
    <s v=""/>
    <x v="193"/>
    <s v="RA-04V-0117] ARM MONITOR"/>
    <n v="62"/>
    <s v=""/>
    <x v="108"/>
    <d v="2026-09-30T00:00:00"/>
    <s v=""/>
    <n v="102914"/>
    <n v="20"/>
    <d v="2026-10-06T00:00:00"/>
    <n v="42"/>
  </r>
  <r>
    <x v="0"/>
    <s v=""/>
    <s v=""/>
    <s v=""/>
    <s v=""/>
    <x v="198"/>
    <s v="RA-03S-6045]SMPS-RPS-200-24V"/>
    <n v="65"/>
    <s v=""/>
    <x v="110"/>
    <d v="2026-09-30T00:00:00"/>
    <s v=""/>
    <n v="102914"/>
    <n v="20"/>
    <d v="2026-10-06T00:00:00"/>
    <n v="45"/>
  </r>
  <r>
    <x v="0"/>
    <s v=""/>
    <s v=""/>
    <s v=""/>
    <s v=""/>
    <x v="214"/>
    <s v="RA-04S-5174]THU Cable Ass'y"/>
    <n v="67"/>
    <s v=""/>
    <x v="117"/>
    <d v="2026-09-30T00:00:00"/>
    <s v=""/>
    <n v="102914"/>
    <n v="20"/>
    <d v="2026-10-06T00:00:00"/>
    <n v="47"/>
  </r>
  <r>
    <x v="0"/>
    <s v=""/>
    <s v=""/>
    <s v=""/>
    <s v=""/>
    <x v="221"/>
    <s v="RA-04V-1709]BRK THU Bd"/>
    <n v="73"/>
    <s v=""/>
    <x v="118"/>
    <d v="2026-09-30T00:00:00"/>
    <s v=""/>
    <n v="102914"/>
    <n v="20"/>
    <d v="2026-10-06T00:00:00"/>
    <n v="53"/>
  </r>
  <r>
    <x v="0"/>
    <s v=""/>
    <s v=""/>
    <s v=""/>
    <s v=""/>
    <x v="232"/>
    <s v="RA-03S-5176]NOISE FILTER RSHN2016"/>
    <n v="75"/>
    <s v=""/>
    <x v="110"/>
    <d v="2026-09-30T00:00:00"/>
    <s v=""/>
    <n v="102914"/>
    <n v="20"/>
    <d v="2026-10-06T00:00:00"/>
    <n v="55"/>
  </r>
  <r>
    <x v="0"/>
    <s v=""/>
    <s v=""/>
    <s v=""/>
    <s v=""/>
    <x v="239"/>
    <s v="RA-03S-5013]Mgnet CONTECTOR-LP1K0910BD"/>
    <n v="77"/>
    <s v=""/>
    <x v="125"/>
    <d v="2026-09-30T00:00:00"/>
    <s v=""/>
    <n v="102914"/>
    <n v="20"/>
    <d v="2026-10-06T00:00:00"/>
    <n v="57"/>
  </r>
  <r>
    <x v="0"/>
    <s v=""/>
    <s v=""/>
    <s v=""/>
    <s v=""/>
    <x v="245"/>
    <s v="RA-04A-1926]ASM CHINREST SUB"/>
    <n v="86"/>
    <s v=""/>
    <x v="104"/>
    <d v="2026-09-30T00:00:00"/>
    <s v=""/>
    <n v="102914"/>
    <n v="20"/>
    <d v="2026-10-06T00:00:00"/>
    <n v="66"/>
  </r>
  <r>
    <x v="0"/>
    <s v=""/>
    <s v=""/>
    <s v=""/>
    <s v=""/>
    <x v="273"/>
    <s v="RA-04M-1339]BLK HEADREST FIX BAR-R"/>
    <n v="91"/>
    <s v=""/>
    <x v="134"/>
    <d v="2026-09-30T00:00:00"/>
    <s v=""/>
    <n v="102914"/>
    <n v="20"/>
    <d v="2026-10-06T00:00:00"/>
    <n v="71"/>
  </r>
  <r>
    <x v="0"/>
    <s v=""/>
    <s v=""/>
    <s v=""/>
    <s v=""/>
    <x v="294"/>
    <s v="RA-03S-5180A]A2K_LBM01-570"/>
    <n v="106"/>
    <s v=""/>
    <x v="74"/>
    <d v="2026-09-30T00:00:00"/>
    <s v=""/>
    <n v="102914"/>
    <n v="20"/>
    <d v="2026-10-06T00:00:00"/>
    <n v="86"/>
  </r>
  <r>
    <x v="0"/>
    <s v=""/>
    <s v=""/>
    <s v=""/>
    <s v=""/>
    <x v="295"/>
    <s v="RA-03S-6025]LBM-RAY01"/>
    <n v="106"/>
    <s v=""/>
    <x v="74"/>
    <d v="2026-09-30T00:00:00"/>
    <s v=""/>
    <n v="102914"/>
    <n v="20"/>
    <d v="2026-10-06T00:00:00"/>
    <n v="86"/>
  </r>
  <r>
    <x v="0"/>
    <s v=""/>
    <s v=""/>
    <s v=""/>
    <s v=""/>
    <x v="323"/>
    <s v="RA-04A-0899]ASM LCD M101NWT2 R1"/>
    <n v="126"/>
    <s v=""/>
    <x v="94"/>
    <d v="2026-09-30T00:00:00"/>
    <s v=""/>
    <n v="102914"/>
    <n v="20"/>
    <d v="2026-10-06T00:00:00"/>
    <n v="106"/>
  </r>
  <r>
    <x v="0"/>
    <s v=""/>
    <s v=""/>
    <s v=""/>
    <s v=""/>
    <x v="361"/>
    <s v="RA-03V-1991]BRK CENTER LASERBEAM (A+)"/>
    <n v="135"/>
    <s v=""/>
    <x v="65"/>
    <d v="2026-09-30T00:00:00"/>
    <s v=""/>
    <n v="102914"/>
    <n v="20"/>
    <d v="2026-10-06T00:00:00"/>
    <n v="115"/>
  </r>
  <r>
    <x v="0"/>
    <s v=""/>
    <s v=""/>
    <s v=""/>
    <s v=""/>
    <x v="351"/>
    <s v="RA-03M-2193]CVR PROT (A+)"/>
    <n v="136"/>
    <s v=""/>
    <x v="74"/>
    <d v="2026-09-30T00:00:00"/>
    <s v=""/>
    <n v="102914"/>
    <n v="20"/>
    <d v="2026-10-06T00:00:00"/>
    <n v="116"/>
  </r>
  <r>
    <x v="0"/>
    <s v=""/>
    <s v=""/>
    <s v=""/>
    <s v=""/>
    <x v="355"/>
    <s v="RA-04M-1338]BLK HEADREST FIX BAR-L"/>
    <n v="141"/>
    <s v=""/>
    <x v="134"/>
    <d v="2026-09-30T00:00:00"/>
    <s v=""/>
    <n v="102914"/>
    <n v="20"/>
    <d v="2026-10-06T00:00:00"/>
    <n v="121"/>
  </r>
  <r>
    <x v="0"/>
    <s v=""/>
    <s v=""/>
    <s v=""/>
    <s v=""/>
    <x v="369"/>
    <s v="RA-04V-1708]CVR THU Bd"/>
    <n v="150"/>
    <s v=""/>
    <x v="165"/>
    <d v="2026-09-30T00:00:00"/>
    <s v=""/>
    <n v="102914"/>
    <n v="20"/>
    <d v="2026-10-06T00:00:00"/>
    <n v="130"/>
  </r>
  <r>
    <x v="0"/>
    <s v=""/>
    <s v=""/>
    <s v=""/>
    <s v=""/>
    <x v="321"/>
    <s v="RA-04S-0121]HINGE SET"/>
    <n v="155"/>
    <s v=""/>
    <x v="150"/>
    <d v="2026-09-30T00:00:00"/>
    <s v=""/>
    <n v="102914"/>
    <n v="40"/>
    <d v="2026-10-06T00:00:00"/>
    <n v="115"/>
  </r>
  <r>
    <x v="0"/>
    <s v=""/>
    <s v=""/>
    <s v=""/>
    <s v=""/>
    <x v="352"/>
    <s v="RA-04V-0118]BRK MONITOR HINGE"/>
    <n v="166"/>
    <s v=""/>
    <x v="160"/>
    <d v="2026-09-30T00:00:00"/>
    <s v=""/>
    <n v="102914"/>
    <n v="40"/>
    <d v="2026-10-06T00:00:00"/>
    <n v="126"/>
  </r>
  <r>
    <x v="0"/>
    <s v=""/>
    <s v=""/>
    <s v=""/>
    <s v=""/>
    <x v="391"/>
    <s v="RA-03A-6012]Bd ASSY'-ACT Bd(A/A+)"/>
    <n v="170"/>
    <s v=""/>
    <x v="172"/>
    <d v="2026-09-30T00:00:00"/>
    <s v=""/>
    <n v="102914"/>
    <n v="20"/>
    <d v="2026-10-06T00:00:00"/>
    <n v="150"/>
  </r>
  <r>
    <x v="0"/>
    <s v=""/>
    <s v=""/>
    <s v=""/>
    <s v=""/>
    <x v="424"/>
    <s v="RA-03T-1992]HLDR LASER BEAM V"/>
    <n v="215"/>
    <s v=""/>
    <x v="74"/>
    <d v="2026-09-30T00:00:00"/>
    <s v=""/>
    <n v="102914"/>
    <n v="20"/>
    <d v="2026-10-06T00:00:00"/>
    <n v="195"/>
  </r>
  <r>
    <x v="0"/>
    <s v=""/>
    <s v=""/>
    <s v=""/>
    <s v=""/>
    <x v="425"/>
    <s v="RA-03A-6016A]BD ASSY'-AC FUSE BLK"/>
    <n v="216"/>
    <s v=""/>
    <x v="181"/>
    <d v="2026-09-30T00:00:00"/>
    <s v=""/>
    <n v="102914"/>
    <n v="20"/>
    <d v="2026-10-06T00:00:00"/>
    <n v="196"/>
  </r>
  <r>
    <x v="0"/>
    <s v=""/>
    <s v=""/>
    <s v=""/>
    <s v=""/>
    <x v="181"/>
    <s v="RA-03A-0050_I]ASM HORIZONTAL LASER BEAM"/>
    <n v="244"/>
    <s v=""/>
    <x v="104"/>
    <d v="2026-09-30T00:00:00"/>
    <s v=""/>
    <n v="102914"/>
    <n v="20"/>
    <d v="2026-10-06T00:00:00"/>
    <n v="224"/>
  </r>
  <r>
    <x v="0"/>
    <s v=""/>
    <s v=""/>
    <s v=""/>
    <s v=""/>
    <x v="444"/>
    <s v="RA-04M-2399]GUIDE BITE BLK A (A+)"/>
    <n v="258"/>
    <s v=""/>
    <x v="128"/>
    <d v="2026-09-30T00:00:00"/>
    <s v=""/>
    <n v="102914"/>
    <n v="20"/>
    <d v="2026-10-06T00:00:00"/>
    <n v="238"/>
  </r>
  <r>
    <x v="0"/>
    <s v=""/>
    <s v=""/>
    <s v=""/>
    <s v=""/>
    <x v="446"/>
    <s v="RA-1-1_2]AC POWER FUSE TO NF2"/>
    <n v="259"/>
    <s v=""/>
    <x v="184"/>
    <d v="2026-09-30T00:00:00"/>
    <s v=""/>
    <n v="102914"/>
    <n v="20"/>
    <d v="2026-10-06T00:00:00"/>
    <n v="239"/>
  </r>
  <r>
    <x v="0"/>
    <s v=""/>
    <s v=""/>
    <s v=""/>
    <s v=""/>
    <x v="464"/>
    <s v="RA-09A-2753]ASM CT HEADREST FIX BAS(A+)"/>
    <n v="329"/>
    <s v=""/>
    <x v="128"/>
    <d v="2026-09-30T00:00:00"/>
    <s v=""/>
    <n v="102914"/>
    <n v="20"/>
    <d v="2026-10-06T00:00:00"/>
    <n v="309"/>
  </r>
  <r>
    <x v="0"/>
    <s v=""/>
    <s v=""/>
    <s v=""/>
    <s v=""/>
    <x v="465"/>
    <s v="RA-03A-6046]SMPS CONN B/D"/>
    <n v="334"/>
    <s v=""/>
    <x v="111"/>
    <d v="2026-09-30T00:00:00"/>
    <s v=""/>
    <n v="102914"/>
    <n v="20"/>
    <d v="2026-10-06T00:00:00"/>
    <n v="314"/>
  </r>
  <r>
    <x v="0"/>
    <s v=""/>
    <s v=""/>
    <s v=""/>
    <s v=""/>
    <x v="452"/>
    <s v="RA-1-2_2]AC POWER FUSE TO NF1"/>
    <n v="520"/>
    <s v=""/>
    <x v="184"/>
    <d v="2026-09-30T00:00:00"/>
    <s v=""/>
    <n v="102914"/>
    <n v="20"/>
    <d v="2026-10-06T00:00:00"/>
    <n v="500"/>
  </r>
  <r>
    <x v="0"/>
    <s v=""/>
    <s v=""/>
    <s v=""/>
    <s v=""/>
    <x v="497"/>
    <s v="RA-03V-2285]BRK CABLE GUIDE CLMN (A+)"/>
    <n v="566"/>
    <s v=""/>
    <x v="198"/>
    <d v="2026-09-30T00:00:00"/>
    <s v=""/>
    <n v="102914"/>
    <n v="40"/>
    <d v="2026-10-06T00:00:00"/>
    <n v="526"/>
  </r>
  <r>
    <x v="0"/>
    <s v=""/>
    <s v=""/>
    <s v=""/>
    <s v=""/>
    <x v="504"/>
    <s v="RA-03M-2068]BRK CLMN REAR CAS LWR (A+)"/>
    <n v="666"/>
    <s v=""/>
    <x v="200"/>
    <d v="2026-09-30T00:00:00"/>
    <s v=""/>
    <n v="102914"/>
    <n v="20"/>
    <d v="2026-10-06T00:00:00"/>
    <n v="646"/>
  </r>
  <r>
    <x v="0"/>
    <s v=""/>
    <s v=""/>
    <s v=""/>
    <s v=""/>
    <x v="503"/>
    <s v="RA-03M-0063]GUIDE PIN 2"/>
    <n v="682"/>
    <s v=""/>
    <x v="163"/>
    <d v="2026-09-30T00:00:00"/>
    <s v=""/>
    <n v="102914"/>
    <n v="40"/>
    <d v="2026-10-06T00:00:00"/>
    <n v="642"/>
  </r>
  <r>
    <x v="0"/>
    <s v=""/>
    <s v=""/>
    <s v=""/>
    <s v=""/>
    <x v="428"/>
    <s v="RA-05A-6004]Bd ASSY'-Aux MCU"/>
    <n v="6"/>
    <s v=""/>
    <x v="182"/>
    <d v="2026-09-30T00:00:00"/>
    <s v=""/>
    <n v="102915"/>
    <n v="6"/>
    <d v="2026-10-08T00:00:00"/>
    <n v="0"/>
  </r>
  <r>
    <x v="0"/>
    <s v=""/>
    <s v="입고"/>
    <s v="A&amp;T"/>
    <s v="조영우"/>
    <x v="24"/>
    <s v="RA-02A-2740]ASM VERT TOTAL (A+) (VN)"/>
    <n v="15"/>
    <s v=""/>
    <x v="20"/>
    <d v="2026-09-29T00:00:00"/>
    <s v=""/>
    <n v="102915"/>
    <n v="15"/>
    <d v="2026-10-08T00:00:00"/>
    <n v="0"/>
  </r>
  <r>
    <x v="0"/>
    <s v=""/>
    <s v="기초추가"/>
    <s v=""/>
    <s v=""/>
    <x v="588"/>
    <s v="RA-05V-0501]BRK ROT CAS-A"/>
    <n v="21"/>
    <s v=""/>
    <x v="15"/>
    <d v="2026-10-08T00:00:00"/>
    <s v=""/>
    <n v="102915"/>
    <n v="21"/>
    <d v="2026-10-08T00:00:00"/>
    <n v="0"/>
  </r>
  <r>
    <x v="0"/>
    <s v=""/>
    <s v="입고"/>
    <s v="대영하네스"/>
    <s v="유영국"/>
    <x v="342"/>
    <s v="RA-10-2]PRIME CABLE ASS’Y"/>
    <n v="120"/>
    <s v=""/>
    <x v="9"/>
    <d v="2026-10-01T00:00:00"/>
    <s v=""/>
    <n v="102915"/>
    <n v="20"/>
    <d v="2026-10-08T00:00:00"/>
    <n v="100"/>
  </r>
  <r>
    <x v="0"/>
    <s v=""/>
    <s v=""/>
    <s v=""/>
    <s v=""/>
    <x v="410"/>
    <s v="RA-05V-0513]BRK LED PCB"/>
    <n v="185"/>
    <s v=""/>
    <x v="175"/>
    <d v="2026-09-17T00:00:00"/>
    <s v=""/>
    <n v="102915"/>
    <n v="20"/>
    <d v="2026-10-08T00:00:00"/>
    <n v="165"/>
  </r>
  <r>
    <x v="0"/>
    <s v=""/>
    <s v=""/>
    <s v=""/>
    <s v=""/>
    <x v="428"/>
    <s v="RA-05A-6004]Bd ASSY'-Aux MCU"/>
    <n v="206"/>
    <s v=""/>
    <x v="182"/>
    <d v="2026-09-17T00:00:00"/>
    <s v=""/>
    <n v="102915"/>
    <n v="14"/>
    <d v="2026-10-08T00:00:00"/>
    <n v="192"/>
  </r>
  <r>
    <x v="0"/>
    <s v=""/>
    <s v=""/>
    <s v=""/>
    <s v=""/>
    <x v="331"/>
    <s v="RA-11-34_2]SUB MOT DET(V)"/>
    <n v="302"/>
    <s v=""/>
    <x v="153"/>
    <d v="2026-09-15T00:00:00"/>
    <s v=""/>
    <n v="102915"/>
    <n v="20"/>
    <d v="2026-10-08T00:00:00"/>
    <n v="282"/>
  </r>
  <r>
    <x v="0"/>
    <s v=""/>
    <s v=""/>
    <s v=""/>
    <s v=""/>
    <x v="586"/>
    <s v="RA-1-11]DC POWER HUB"/>
    <n v="3"/>
    <s v=""/>
    <x v="184"/>
    <d v="2026-09-29T00:00:00"/>
    <s v=""/>
    <n v="102916"/>
    <n v="3"/>
    <d v="2026-10-07T00:00:00"/>
    <n v="0"/>
  </r>
  <r>
    <x v="0"/>
    <s v=""/>
    <s v=""/>
    <s v=""/>
    <s v=""/>
    <x v="535"/>
    <s v="RA-02M-0395]PIN VERT POSITION"/>
    <n v="6"/>
    <s v=""/>
    <x v="185"/>
    <d v="2026-09-29T00:00:00"/>
    <s v=""/>
    <n v="102916"/>
    <n v="6"/>
    <d v="2026-10-07T00:00:00"/>
    <n v="0"/>
  </r>
  <r>
    <x v="0"/>
    <s v=""/>
    <s v=""/>
    <s v=""/>
    <s v=""/>
    <x v="589"/>
    <s v="RA-05V-2654]BRK CAS ROT BOT"/>
    <n v="9"/>
    <s v=""/>
    <x v="175"/>
    <d v="2026-09-29T00:00:00"/>
    <s v=""/>
    <n v="102916"/>
    <n v="9"/>
    <d v="2026-10-07T00:00:00"/>
    <n v="0"/>
  </r>
  <r>
    <x v="0"/>
    <s v=""/>
    <s v=""/>
    <s v=""/>
    <s v=""/>
    <x v="466"/>
    <s v="RA-1-5]AC POWER SMPS-1"/>
    <n v="10"/>
    <s v=""/>
    <x v="184"/>
    <d v="2026-09-29T00:00:00"/>
    <s v=""/>
    <n v="102916"/>
    <n v="10"/>
    <d v="2026-10-07T00:00:00"/>
    <n v="0"/>
  </r>
  <r>
    <x v="0"/>
    <s v=""/>
    <s v=""/>
    <s v=""/>
    <s v=""/>
    <x v="157"/>
    <s v="RA-11-9]DC POWER MOT-A"/>
    <n v="42"/>
    <s v=""/>
    <x v="9"/>
    <d v="2026-09-29T00:00:00"/>
    <s v=""/>
    <n v="102916"/>
    <n v="20"/>
    <d v="2026-10-07T00:00:00"/>
    <n v="22"/>
  </r>
  <r>
    <x v="0"/>
    <s v=""/>
    <s v=""/>
    <s v=""/>
    <s v=""/>
    <x v="88"/>
    <s v="RA-07M-2786]PLT DET SNSR (IR)"/>
    <n v="50"/>
    <s v=""/>
    <x v="67"/>
    <d v="2026-09-29T00:00:00"/>
    <s v=""/>
    <n v="102916"/>
    <n v="40"/>
    <d v="2026-10-07T00:00:00"/>
    <n v="10"/>
  </r>
  <r>
    <x v="0"/>
    <s v=""/>
    <s v=""/>
    <s v=""/>
    <s v=""/>
    <x v="235"/>
    <s v="RA-7-5]LAN THU"/>
    <n v="66"/>
    <s v=""/>
    <x v="123"/>
    <d v="2026-09-29T00:00:00"/>
    <s v=""/>
    <n v="102916"/>
    <n v="20"/>
    <d v="2026-10-07T00:00:00"/>
    <n v="46"/>
  </r>
  <r>
    <x v="0"/>
    <s v=""/>
    <s v=""/>
    <s v=""/>
    <s v=""/>
    <x v="252"/>
    <s v="RA-04V-1109]BRK ARM RIGID L"/>
    <n v="70"/>
    <s v=""/>
    <x v="128"/>
    <d v="2026-09-29T00:00:00"/>
    <s v=""/>
    <n v="102916"/>
    <n v="20"/>
    <d v="2026-10-07T00:00:00"/>
    <n v="50"/>
  </r>
  <r>
    <x v="0"/>
    <s v=""/>
    <s v=""/>
    <s v=""/>
    <s v=""/>
    <x v="253"/>
    <s v="RA-04V-1108]BRK ARM RIGID R"/>
    <n v="70"/>
    <s v=""/>
    <x v="128"/>
    <d v="2026-09-29T00:00:00"/>
    <s v=""/>
    <n v="102916"/>
    <n v="20"/>
    <d v="2026-10-07T00:00:00"/>
    <n v="50"/>
  </r>
  <r>
    <x v="0"/>
    <s v=""/>
    <s v=""/>
    <s v=""/>
    <s v=""/>
    <x v="262"/>
    <s v="RA-3-5]INDICATOR"/>
    <n v="75"/>
    <s v=""/>
    <x v="130"/>
    <d v="2026-09-29T00:00:00"/>
    <s v=""/>
    <n v="102916"/>
    <n v="20"/>
    <d v="2026-10-07T00:00:00"/>
    <n v="55"/>
  </r>
  <r>
    <x v="0"/>
    <s v=""/>
    <s v=""/>
    <s v=""/>
    <s v=""/>
    <x v="278"/>
    <s v="RA-9-8]SERIAL POWER LS 1"/>
    <n v="84"/>
    <s v=""/>
    <x v="137"/>
    <d v="2026-09-29T00:00:00"/>
    <s v=""/>
    <n v="102916"/>
    <n v="20"/>
    <d v="2026-10-07T00:00:00"/>
    <n v="64"/>
  </r>
  <r>
    <x v="0"/>
    <s v=""/>
    <s v=""/>
    <s v=""/>
    <s v=""/>
    <x v="264"/>
    <s v="RA-06A-5004]Bd ASSY'-Indicator Bd"/>
    <n v="96"/>
    <s v=""/>
    <x v="131"/>
    <d v="2026-09-29T00:00:00"/>
    <s v=""/>
    <n v="102916"/>
    <n v="40"/>
    <d v="2026-10-07T00:00:00"/>
    <n v="56"/>
  </r>
  <r>
    <x v="0"/>
    <s v=""/>
    <s v=""/>
    <s v=""/>
    <s v=""/>
    <x v="296"/>
    <s v="RA-02T-0045]CAS VERT SUB BOT"/>
    <n v="100"/>
    <s v=""/>
    <x v="27"/>
    <d v="2026-09-18T00:00:00"/>
    <s v=""/>
    <n v="102916"/>
    <n v="20"/>
    <d v="2026-10-07T00:00:00"/>
    <n v="80"/>
  </r>
  <r>
    <x v="0"/>
    <s v=""/>
    <s v=""/>
    <s v=""/>
    <s v=""/>
    <x v="299"/>
    <s v="RA-05T-0210]CAS ROT TOP SUB"/>
    <n v="103"/>
    <s v=""/>
    <x v="27"/>
    <d v="2026-09-29T00:00:00"/>
    <s v=""/>
    <n v="102916"/>
    <n v="20"/>
    <d v="2026-10-07T00:00:00"/>
    <n v="83"/>
  </r>
  <r>
    <x v="0"/>
    <s v=""/>
    <s v=""/>
    <s v=""/>
    <s v=""/>
    <x v="374"/>
    <s v="RA-3-3A]DCM CONTROL-A"/>
    <n v="147"/>
    <s v=""/>
    <x v="9"/>
    <d v="2026-09-29T00:00:00"/>
    <s v=""/>
    <n v="102916"/>
    <n v="20"/>
    <d v="2026-10-07T00:00:00"/>
    <n v="127"/>
  </r>
  <r>
    <x v="0"/>
    <s v=""/>
    <s v=""/>
    <s v=""/>
    <s v=""/>
    <x v="379"/>
    <s v="RA-1-12]DC POWER SMPS CONN"/>
    <n v="150"/>
    <s v=""/>
    <x v="0"/>
    <d v="2026-09-29T00:00:00"/>
    <s v=""/>
    <n v="102916"/>
    <n v="20"/>
    <d v="2026-10-07T00:00:00"/>
    <n v="130"/>
  </r>
  <r>
    <x v="0"/>
    <s v=""/>
    <s v=""/>
    <s v=""/>
    <s v=""/>
    <x v="382"/>
    <s v="RA-2-9]ACT 2nd LIMIT"/>
    <n v="152"/>
    <s v=""/>
    <x v="0"/>
    <d v="2026-09-29T00:00:00"/>
    <s v=""/>
    <n v="102916"/>
    <n v="20"/>
    <d v="2026-10-07T00:00:00"/>
    <n v="132"/>
  </r>
  <r>
    <x v="0"/>
    <s v=""/>
    <s v=""/>
    <s v=""/>
    <s v=""/>
    <x v="388"/>
    <s v="RA-8-4]AC POWER CEPH"/>
    <n v="155"/>
    <s v=""/>
    <x v="9"/>
    <d v="2026-09-29T00:00:00"/>
    <s v=""/>
    <n v="102916"/>
    <n v="20"/>
    <d v="2026-10-07T00:00:00"/>
    <n v="135"/>
  </r>
  <r>
    <x v="0"/>
    <s v=""/>
    <s v=""/>
    <s v=""/>
    <s v=""/>
    <x v="395"/>
    <s v="RA-5-8]EARTH CTRL SMPS"/>
    <n v="166"/>
    <s v=""/>
    <x v="30"/>
    <d v="2026-09-29T00:00:00"/>
    <s v=""/>
    <n v="102916"/>
    <n v="20"/>
    <d v="2026-10-07T00:00:00"/>
    <n v="146"/>
  </r>
  <r>
    <x v="0"/>
    <s v=""/>
    <s v=""/>
    <s v=""/>
    <s v=""/>
    <x v="403"/>
    <s v="RA-2-4]SERIAL POWER THU"/>
    <n v="174"/>
    <s v=""/>
    <x v="0"/>
    <d v="2026-09-29T00:00:00"/>
    <s v=""/>
    <n v="102916"/>
    <n v="20"/>
    <d v="2026-10-07T00:00:00"/>
    <n v="154"/>
  </r>
  <r>
    <x v="0"/>
    <s v=""/>
    <s v=""/>
    <s v=""/>
    <s v=""/>
    <x v="445"/>
    <s v="RA-05V-0199]BRK PXD-200CT DRV PCB R"/>
    <n v="249"/>
    <s v=""/>
    <x v="186"/>
    <d v="2026-09-29T00:00:00"/>
    <s v=""/>
    <n v="102916"/>
    <n v="20"/>
    <d v="2026-10-07T00:00:00"/>
    <n v="229"/>
  </r>
  <r>
    <x v="0"/>
    <s v=""/>
    <s v=""/>
    <s v=""/>
    <s v=""/>
    <x v="451"/>
    <s v="RA-05V-0297]BRK PXD-200CT DRV PCB L"/>
    <n v="254"/>
    <s v=""/>
    <x v="186"/>
    <d v="2026-09-29T00:00:00"/>
    <s v=""/>
    <n v="102916"/>
    <n v="20"/>
    <d v="2026-10-07T00:00:00"/>
    <n v="234"/>
  </r>
  <r>
    <x v="0"/>
    <s v=""/>
    <s v=""/>
    <s v=""/>
    <s v=""/>
    <x v="455"/>
    <s v="RA-5-10]EARTH MOT SMPS(RPS)"/>
    <n v="275"/>
    <s v=""/>
    <x v="30"/>
    <d v="2026-09-29T00:00:00"/>
    <s v=""/>
    <n v="102916"/>
    <n v="20"/>
    <d v="2026-10-07T00:00:00"/>
    <n v="255"/>
  </r>
  <r>
    <x v="0"/>
    <s v=""/>
    <s v="입고"/>
    <s v="대영하네스"/>
    <s v="유영국"/>
    <x v="418"/>
    <s v="RA-10-1]AC CABLE ASS’Y"/>
    <n v="300"/>
    <s v=""/>
    <x v="9"/>
    <d v="2026-10-01T00:00:00"/>
    <s v=""/>
    <n v="102916"/>
    <n v="20"/>
    <d v="2026-10-07T00:00:00"/>
    <n v="280"/>
  </r>
  <r>
    <x v="0"/>
    <s v=""/>
    <s v="입고"/>
    <s v="대영하네스"/>
    <s v="유영국"/>
    <x v="466"/>
    <s v="RA-1-5]AC POWER SMPS-1"/>
    <n v="350"/>
    <s v=""/>
    <x v="184"/>
    <d v="2026-10-01T00:00:00"/>
    <s v=""/>
    <n v="102916"/>
    <n v="10"/>
    <d v="2026-10-07T00:00:00"/>
    <n v="340"/>
  </r>
  <r>
    <x v="0"/>
    <s v=""/>
    <s v="입고"/>
    <s v="대영하네스"/>
    <s v="유영국"/>
    <x v="473"/>
    <s v="RA-3-6]INDICATOR CONTROL"/>
    <n v="400"/>
    <s v=""/>
    <x v="130"/>
    <d v="2026-10-01T00:00:00"/>
    <s v=""/>
    <n v="102916"/>
    <n v="20"/>
    <d v="2026-10-07T00:00:00"/>
    <n v="380"/>
  </r>
  <r>
    <x v="0"/>
    <s v=""/>
    <s v=""/>
    <s v=""/>
    <s v=""/>
    <x v="487"/>
    <s v="RA-04T-2524]CAS CHINREST UPPER (A+)"/>
    <n v="474"/>
    <s v=""/>
    <x v="27"/>
    <d v="2026-09-29T00:00:00"/>
    <s v=""/>
    <n v="102916"/>
    <n v="20"/>
    <d v="2026-10-07T00:00:00"/>
    <n v="454"/>
  </r>
  <r>
    <x v="0"/>
    <s v=""/>
    <s v=""/>
    <s v=""/>
    <s v=""/>
    <x v="577"/>
    <s v="RA-9-12]SCEPH LAN"/>
    <n v="26"/>
    <s v=""/>
    <x v="217"/>
    <d v="2026-09-10T00:00:00"/>
    <s v=""/>
    <n v="102919"/>
    <n v="26"/>
    <d v="2026-10-06T00:00:00"/>
    <n v="0"/>
  </r>
  <r>
    <x v="0"/>
    <s v=""/>
    <s v="입고"/>
    <s v=""/>
    <s v=""/>
    <x v="577"/>
    <s v="RA-9-12]SCEPH LAN"/>
    <n v="50"/>
    <s v=""/>
    <x v="217"/>
    <d v="2026-09-03T00:00:00"/>
    <s v=""/>
    <n v="102919"/>
    <n v="4"/>
    <d v="2026-10-06T00:00:00"/>
    <n v="46"/>
  </r>
  <r>
    <x v="0"/>
    <s v=""/>
    <s v=""/>
    <s v=""/>
    <s v=""/>
    <x v="11"/>
    <s v="RA-5-2_2]EARTH CEPH"/>
    <n v="121"/>
    <s v=""/>
    <x v="9"/>
    <d v="2026-09-14T00:00:00"/>
    <s v=""/>
    <n v="102919"/>
    <n v="30"/>
    <d v="2026-10-06T00:00:00"/>
    <n v="91"/>
  </r>
  <r>
    <x v="0"/>
    <s v=""/>
    <s v=""/>
    <s v=""/>
    <s v=""/>
    <x v="578"/>
    <s v="RA-08M-0708]RING EARLOD"/>
    <n v="592"/>
    <s v=""/>
    <x v="138"/>
    <d v="2026-09-29T00:00:00"/>
    <s v=""/>
    <n v="102919"/>
    <n v="30"/>
    <d v="2026-10-06T00:00:00"/>
    <n v="562"/>
  </r>
  <r>
    <x v="0"/>
    <s v=""/>
    <s v=""/>
    <s v=""/>
    <s v=""/>
    <x v="579"/>
    <s v="RA-08M-0707]CAP EARLOD"/>
    <n v="708"/>
    <s v=""/>
    <x v="138"/>
    <d v="2026-09-29T00:00:00"/>
    <s v=""/>
    <n v="102919"/>
    <n v="30"/>
    <d v="2026-10-06T00:00:00"/>
    <n v="678"/>
  </r>
  <r>
    <x v="0"/>
    <s v=""/>
    <s v=""/>
    <s v=""/>
    <s v=""/>
    <x v="580"/>
    <s v="RA-08T-1466]CAS CEPH EAR-ROD"/>
    <n v="325"/>
    <s v=""/>
    <x v="27"/>
    <d v="2026-09-29T00:00:00"/>
    <s v=""/>
    <n v="102919"/>
    <n v="60"/>
    <d v="2026-10-06T00:00:00"/>
    <n v="265"/>
  </r>
  <r>
    <x v="0"/>
    <s v=""/>
    <s v=""/>
    <s v=""/>
    <s v=""/>
    <x v="63"/>
    <s v="RA-06A-2761]ASM COL MOVING (A+) (VN)"/>
    <n v="3"/>
    <s v=""/>
    <x v="25"/>
    <d v="2026-09-30T00:00:00"/>
    <s v=""/>
    <n v="102925"/>
    <n v="3"/>
    <d v="2026-10-06T00:00:00"/>
    <n v="0"/>
  </r>
  <r>
    <x v="0"/>
    <s v=""/>
    <s v="기초추가"/>
    <s v=""/>
    <s v=""/>
    <x v="607"/>
    <s v="RA-07V-2788]BRK CAS DET LWR (IR)"/>
    <n v="7"/>
    <s v=""/>
    <x v="139"/>
    <d v="2026-09-11T00:00:00"/>
    <s v=""/>
    <n v="102925"/>
    <n v="7"/>
    <d v="2026-10-06T00:00:00"/>
    <n v="0"/>
  </r>
  <r>
    <x v="0"/>
    <s v=""/>
    <s v=""/>
    <s v=""/>
    <s v=""/>
    <x v="607"/>
    <s v="RA-07V-2788]BRK CAS DET LWR (IR)"/>
    <n v="13"/>
    <s v=""/>
    <x v="139"/>
    <d v="2026-09-29T00:00:00"/>
    <s v=""/>
    <n v="102925"/>
    <n v="13"/>
    <d v="2026-10-06T00:00:00"/>
    <n v="0"/>
  </r>
  <r>
    <x v="0"/>
    <s v=""/>
    <s v=""/>
    <s v=""/>
    <s v=""/>
    <x v="375"/>
    <s v="RA-11-22]Fcol MOT Cable C"/>
    <n v="18"/>
    <s v=""/>
    <x v="109"/>
    <d v="2026-09-30T00:00:00"/>
    <s v=""/>
    <n v="102925"/>
    <n v="18"/>
    <d v="2026-10-06T00:00:00"/>
    <n v="0"/>
  </r>
  <r>
    <x v="0"/>
    <s v=""/>
    <s v=""/>
    <s v=""/>
    <s v=""/>
    <x v="380"/>
    <s v="RA-11-21]Fcol MOT Cable B"/>
    <n v="20"/>
    <s v=""/>
    <x v="96"/>
    <d v="2026-09-30T00:00:00"/>
    <s v=""/>
    <n v="102925"/>
    <n v="20"/>
    <d v="2026-10-06T00:00:00"/>
    <n v="0"/>
  </r>
  <r>
    <x v="0"/>
    <s v=""/>
    <s v=""/>
    <s v=""/>
    <s v=""/>
    <x v="38"/>
    <s v="RA-5-4]EARTH ROT TO TUBE"/>
    <n v="21"/>
    <s v=""/>
    <x v="30"/>
    <d v="2026-09-30T00:00:00"/>
    <s v=""/>
    <n v="102925"/>
    <n v="20"/>
    <d v="2026-10-06T00:00:00"/>
    <n v="1"/>
  </r>
  <r>
    <x v="0"/>
    <s v=""/>
    <s v="입고"/>
    <s v="Bach tung"/>
    <s v="유영국"/>
    <x v="63"/>
    <s v="RA-06A-2761]ASM COL MOVING (A+) (VN)"/>
    <n v="24"/>
    <s v=""/>
    <x v="25"/>
    <d v="2026-10-01T00:00:00"/>
    <s v=""/>
    <n v="102925"/>
    <n v="17"/>
    <d v="2026-10-06T00:00:00"/>
    <n v="7"/>
  </r>
  <r>
    <x v="0"/>
    <s v=""/>
    <s v=""/>
    <s v=""/>
    <s v=""/>
    <x v="72"/>
    <s v="RA-06M-0520]HEATSINK"/>
    <n v="28"/>
    <s v=""/>
    <x v="55"/>
    <d v="2026-10-08T00:00:00"/>
    <s v=""/>
    <n v="102925"/>
    <n v="20"/>
    <d v="2026-10-06T00:00:00"/>
    <n v="8"/>
  </r>
  <r>
    <x v="0"/>
    <s v=""/>
    <s v=""/>
    <s v=""/>
    <s v=""/>
    <x v="103"/>
    <s v="RA-07V-2789]PLT WEIGHT DET (IR)"/>
    <n v="33"/>
    <s v=""/>
    <x v="73"/>
    <d v="2026-09-29T00:00:00"/>
    <s v=""/>
    <n v="102925"/>
    <n v="20"/>
    <d v="2026-10-06T00:00:00"/>
    <n v="13"/>
  </r>
  <r>
    <x v="0"/>
    <s v=""/>
    <s v=""/>
    <s v=""/>
    <s v=""/>
    <x v="165"/>
    <s v="RA-11-19]LED Power Cable"/>
    <n v="43"/>
    <s v=""/>
    <x v="96"/>
    <d v="2026-09-30T00:00:00"/>
    <s v=""/>
    <n v="102925"/>
    <n v="20"/>
    <d v="2026-10-06T00:00:00"/>
    <n v="23"/>
  </r>
  <r>
    <x v="0"/>
    <s v=""/>
    <s v=""/>
    <s v=""/>
    <s v=""/>
    <x v="195"/>
    <s v="RA-11-23]Fcol MOT Cable D"/>
    <n v="53"/>
    <s v=""/>
    <x v="109"/>
    <d v="2026-09-30T00:00:00"/>
    <s v=""/>
    <n v="102925"/>
    <n v="20"/>
    <d v="2026-10-06T00:00:00"/>
    <n v="33"/>
  </r>
  <r>
    <x v="0"/>
    <s v=""/>
    <s v=""/>
    <s v=""/>
    <s v=""/>
    <x v="197"/>
    <s v="RA-07V-2781]PLT Bas DET (IR)"/>
    <n v="55"/>
    <s v=""/>
    <x v="11"/>
    <d v="2026-09-29T00:00:00"/>
    <s v=""/>
    <n v="102925"/>
    <n v="20"/>
    <d v="2026-10-06T00:00:00"/>
    <n v="35"/>
  </r>
  <r>
    <x v="0"/>
    <s v=""/>
    <s v=""/>
    <s v=""/>
    <s v=""/>
    <x v="213"/>
    <s v="RA-11-2]AUX MCU to FCOL"/>
    <n v="60"/>
    <s v=""/>
    <x v="116"/>
    <d v="2026-09-30T00:00:00"/>
    <s v=""/>
    <n v="102925"/>
    <n v="20"/>
    <d v="2026-10-06T00:00:00"/>
    <n v="40"/>
  </r>
  <r>
    <x v="0"/>
    <s v=""/>
    <s v=""/>
    <s v=""/>
    <s v=""/>
    <x v="231"/>
    <s v="RA-11-20]Fcol MOT Cable A"/>
    <n v="65"/>
    <s v=""/>
    <x v="96"/>
    <d v="2026-09-30T00:00:00"/>
    <s v=""/>
    <n v="102925"/>
    <n v="20"/>
    <d v="2026-10-06T00:00:00"/>
    <n v="45"/>
  </r>
  <r>
    <x v="0"/>
    <s v=""/>
    <s v=""/>
    <s v=""/>
    <s v=""/>
    <x v="39"/>
    <s v="RA-06A-2139]ASM BRK FAN SUP (A+)"/>
    <n v="67"/>
    <s v=""/>
    <x v="31"/>
    <d v="2026-09-29T00:00:00"/>
    <s v=""/>
    <n v="102925"/>
    <n v="20"/>
    <d v="2026-10-06T00:00:00"/>
    <n v="47"/>
  </r>
  <r>
    <x v="0"/>
    <s v=""/>
    <s v=""/>
    <s v=""/>
    <s v=""/>
    <x v="254"/>
    <s v="RA-07S-1653]LM SET(MGN9C-2-240) (VA)"/>
    <n v="70"/>
    <s v=""/>
    <x v="129"/>
    <d v="2026-09-29T00:00:00"/>
    <s v=""/>
    <n v="102925"/>
    <n v="20"/>
    <d v="2026-10-06T00:00:00"/>
    <n v="50"/>
  </r>
  <r>
    <x v="0"/>
    <s v=""/>
    <s v=""/>
    <s v=""/>
    <s v=""/>
    <x v="281"/>
    <s v="RA-07V-1661]BRK PHOtSNSR (VA)"/>
    <n v="86"/>
    <s v=""/>
    <x v="139"/>
    <d v="2026-09-29T00:00:00"/>
    <s v=""/>
    <n v="102925"/>
    <n v="20"/>
    <d v="2026-10-06T00:00:00"/>
    <n v="66"/>
  </r>
  <r>
    <x v="0"/>
    <s v=""/>
    <s v=""/>
    <s v=""/>
    <s v=""/>
    <x v="313"/>
    <s v="RA-06A-2143]ASM TUBE TNK SUP (A+)"/>
    <n v="112"/>
    <s v=""/>
    <x v="126"/>
    <d v="2026-09-29T00:00:00"/>
    <s v=""/>
    <n v="102925"/>
    <n v="20"/>
    <d v="2026-10-06T00:00:00"/>
    <n v="92"/>
  </r>
  <r>
    <x v="0"/>
    <s v=""/>
    <s v=""/>
    <s v=""/>
    <s v=""/>
    <x v="320"/>
    <s v="RA-11-11]DC POWER MOT-C"/>
    <n v="115"/>
    <s v=""/>
    <x v="127"/>
    <d v="2026-09-30T00:00:00"/>
    <s v=""/>
    <n v="102925"/>
    <n v="20"/>
    <d v="2026-10-06T00:00:00"/>
    <n v="95"/>
  </r>
  <r>
    <x v="0"/>
    <s v=""/>
    <s v=""/>
    <s v=""/>
    <s v=""/>
    <x v="328"/>
    <s v="RA-06V-2142]BRK TUBE CAS (A+)"/>
    <n v="118"/>
    <s v=""/>
    <x v="7"/>
    <d v="2026-09-29T00:00:00"/>
    <s v=""/>
    <n v="102925"/>
    <n v="20"/>
    <d v="2026-10-06T00:00:00"/>
    <n v="98"/>
  </r>
  <r>
    <x v="0"/>
    <s v=""/>
    <s v=""/>
    <s v=""/>
    <s v=""/>
    <x v="338"/>
    <s v="RA-07S-1668]MICROMTR HEAD (VA)"/>
    <n v="120"/>
    <s v=""/>
    <x v="129"/>
    <d v="2026-09-30T00:00:00"/>
    <s v=""/>
    <n v="102925"/>
    <n v="20"/>
    <d v="2026-10-06T00:00:00"/>
    <n v="100"/>
  </r>
  <r>
    <x v="0"/>
    <s v=""/>
    <s v=""/>
    <s v=""/>
    <s v=""/>
    <x v="339"/>
    <s v="RA-07V-2791]CVR DET PCB (IR)"/>
    <n v="120"/>
    <s v=""/>
    <x v="157"/>
    <d v="2026-09-29T00:00:00"/>
    <s v=""/>
    <n v="102925"/>
    <n v="20"/>
    <d v="2026-10-06T00:00:00"/>
    <n v="100"/>
  </r>
  <r>
    <x v="0"/>
    <s v=""/>
    <s v=""/>
    <s v=""/>
    <s v=""/>
    <x v="340"/>
    <s v="RA-07V-2790]PLT SPACER DET (IR)"/>
    <n v="120"/>
    <s v=""/>
    <x v="157"/>
    <d v="2026-09-29T00:00:00"/>
    <s v=""/>
    <n v="102925"/>
    <n v="20"/>
    <d v="2026-10-06T00:00:00"/>
    <n v="100"/>
  </r>
  <r>
    <x v="0"/>
    <s v=""/>
    <s v=""/>
    <s v=""/>
    <s v=""/>
    <x v="349"/>
    <s v="RA-07A-1777]ASM SCREW MOVING DET (VA)"/>
    <n v="125"/>
    <s v=""/>
    <x v="67"/>
    <d v="2026-09-22T00:00:00"/>
    <s v=""/>
    <n v="102925"/>
    <n v="20"/>
    <d v="2026-10-06T00:00:00"/>
    <n v="105"/>
  </r>
  <r>
    <x v="0"/>
    <s v=""/>
    <s v=""/>
    <s v=""/>
    <s v=""/>
    <x v="8"/>
    <s v="RA-06M-0243]BLK TUBE TILT LIMIT"/>
    <n v="126"/>
    <s v=""/>
    <x v="7"/>
    <d v="2026-09-30T00:00:00"/>
    <s v=""/>
    <n v="102925"/>
    <n v="14"/>
    <d v="2026-10-06T00:00:00"/>
    <n v="112"/>
  </r>
  <r>
    <x v="0"/>
    <s v=""/>
    <s v="입고"/>
    <s v="대영하네스"/>
    <s v="유영국"/>
    <x v="375"/>
    <s v="RA-11-22]Fcol MOT Cable C"/>
    <n v="129"/>
    <s v=""/>
    <x v="109"/>
    <d v="2026-10-01T00:00:00"/>
    <s v=""/>
    <n v="102925"/>
    <n v="2"/>
    <d v="2026-10-06T00:00:00"/>
    <n v="127"/>
  </r>
  <r>
    <x v="0"/>
    <s v=""/>
    <s v=""/>
    <s v=""/>
    <s v=""/>
    <x v="358"/>
    <s v="RA-07M-1666]BLK STOPPER MICROMTR HEAD(VA"/>
    <n v="134"/>
    <s v=""/>
    <x v="158"/>
    <d v="2026-09-29T00:00:00"/>
    <s v=""/>
    <n v="102925"/>
    <n v="20"/>
    <d v="2026-10-06T00:00:00"/>
    <n v="114"/>
  </r>
  <r>
    <x v="0"/>
    <s v=""/>
    <s v=""/>
    <s v=""/>
    <s v=""/>
    <x v="360"/>
    <s v="RA-07V-2782]CVR DET MOT LINKER (IR)"/>
    <n v="135"/>
    <s v=""/>
    <x v="139"/>
    <d v="2026-09-29T00:00:00"/>
    <s v=""/>
    <n v="102925"/>
    <n v="20"/>
    <d v="2026-10-06T00:00:00"/>
    <n v="115"/>
  </r>
  <r>
    <x v="0"/>
    <s v=""/>
    <s v=""/>
    <s v=""/>
    <s v=""/>
    <x v="368"/>
    <s v="RA-06M-2085]BLK FIX COL LWR(A+)"/>
    <n v="139"/>
    <s v=""/>
    <x v="4"/>
    <d v="2026-09-29T00:00:00"/>
    <s v=""/>
    <n v="102925"/>
    <n v="20"/>
    <d v="2026-10-06T00:00:00"/>
    <n v="119"/>
  </r>
  <r>
    <x v="0"/>
    <s v=""/>
    <s v=""/>
    <s v=""/>
    <s v=""/>
    <x v="341"/>
    <s v="RA-07M-1655]COL B-Ring GUIDE (VA)"/>
    <n v="140"/>
    <s v=""/>
    <x v="158"/>
    <d v="2026-09-29T00:00:00"/>
    <s v=""/>
    <n v="102925"/>
    <n v="40"/>
    <d v="2026-10-06T00:00:00"/>
    <n v="100"/>
  </r>
  <r>
    <x v="0"/>
    <s v=""/>
    <s v=""/>
    <s v=""/>
    <s v=""/>
    <x v="389"/>
    <s v="RA-03S-6009A]A2K_LBM01-370"/>
    <n v="159"/>
    <s v=""/>
    <x v="171"/>
    <d v="2026-09-30T00:00:00"/>
    <s v=""/>
    <n v="102925"/>
    <n v="20"/>
    <d v="2026-10-06T00:00:00"/>
    <n v="139"/>
  </r>
  <r>
    <x v="0"/>
    <s v=""/>
    <s v=""/>
    <s v=""/>
    <s v=""/>
    <x v="400"/>
    <s v="RA-07V-2787]BRK DET PCB (IR)"/>
    <n v="170"/>
    <s v=""/>
    <x v="139"/>
    <d v="2026-09-29T00:00:00"/>
    <s v=""/>
    <n v="102925"/>
    <n v="20"/>
    <d v="2026-10-06T00:00:00"/>
    <n v="150"/>
  </r>
  <r>
    <x v="0"/>
    <s v=""/>
    <s v=""/>
    <s v=""/>
    <s v=""/>
    <x v="401"/>
    <s v="RS-02S-5135]PHOtSNSR-EE-SX671A"/>
    <n v="170"/>
    <s v=""/>
    <x v="8"/>
    <d v="2026-09-29T00:00:00"/>
    <s v=""/>
    <n v="102925"/>
    <n v="20"/>
    <d v="2026-10-06T00:00:00"/>
    <n v="150"/>
  </r>
  <r>
    <x v="0"/>
    <s v=""/>
    <s v=""/>
    <s v=""/>
    <s v=""/>
    <x v="405"/>
    <s v="RA-07S-1654]LM RAIL SET (MGN9C-125L (VA)"/>
    <n v="181"/>
    <s v=""/>
    <x v="67"/>
    <d v="2026-09-29T00:00:00"/>
    <s v=""/>
    <n v="102925"/>
    <n v="20"/>
    <d v="2026-10-06T00:00:00"/>
    <n v="161"/>
  </r>
  <r>
    <x v="0"/>
    <s v=""/>
    <s v=""/>
    <s v=""/>
    <s v=""/>
    <x v="407"/>
    <s v="RA-06V-2138]BRK COL Bd (A+)"/>
    <n v="182"/>
    <s v=""/>
    <x v="168"/>
    <d v="2026-09-30T00:00:00"/>
    <s v=""/>
    <n v="102925"/>
    <n v="20"/>
    <d v="2026-10-06T00:00:00"/>
    <n v="162"/>
  </r>
  <r>
    <x v="0"/>
    <s v=""/>
    <s v=""/>
    <s v=""/>
    <s v=""/>
    <x v="409"/>
    <s v="RA-06M-2084]BLK FIX COL UPPER(A+)"/>
    <n v="184"/>
    <s v=""/>
    <x v="4"/>
    <d v="2026-09-29T00:00:00"/>
    <s v=""/>
    <n v="102925"/>
    <n v="20"/>
    <d v="2026-10-06T00:00:00"/>
    <n v="164"/>
  </r>
  <r>
    <x v="0"/>
    <s v=""/>
    <s v=""/>
    <s v=""/>
    <s v=""/>
    <x v="417"/>
    <s v="RA-06V-2140]BRK TUBE CAS FRONT (A+)"/>
    <n v="197"/>
    <s v=""/>
    <x v="149"/>
    <d v="2026-09-29T00:00:00"/>
    <s v=""/>
    <n v="102925"/>
    <n v="20"/>
    <d v="2026-10-06T00:00:00"/>
    <n v="177"/>
  </r>
  <r>
    <x v="0"/>
    <s v=""/>
    <s v=""/>
    <s v=""/>
    <s v=""/>
    <x v="429"/>
    <s v="RA-07V-2784]PLT FIX DET (IR)"/>
    <n v="213"/>
    <s v=""/>
    <x v="73"/>
    <d v="2026-09-29T00:00:00"/>
    <s v=""/>
    <n v="102925"/>
    <n v="20"/>
    <d v="2026-10-06T00:00:00"/>
    <n v="193"/>
  </r>
  <r>
    <x v="0"/>
    <s v=""/>
    <s v=""/>
    <s v=""/>
    <s v=""/>
    <x v="432"/>
    <s v="RA-06S-0214]COUPLING DISK"/>
    <n v="221"/>
    <s v=""/>
    <x v="114"/>
    <d v="2026-09-29T00:00:00"/>
    <s v=""/>
    <n v="102925"/>
    <n v="20"/>
    <d v="2026-10-06T00:00:00"/>
    <n v="201"/>
  </r>
  <r>
    <x v="0"/>
    <s v=""/>
    <s v=""/>
    <s v=""/>
    <s v=""/>
    <x v="438"/>
    <s v="RA-06V-2141]BRK TUBE CAS REAR (A+)"/>
    <n v="240"/>
    <s v=""/>
    <x v="149"/>
    <d v="2026-09-29T00:00:00"/>
    <s v=""/>
    <n v="102925"/>
    <n v="20"/>
    <d v="2026-10-06T00:00:00"/>
    <n v="220"/>
  </r>
  <r>
    <x v="0"/>
    <s v=""/>
    <s v=""/>
    <s v=""/>
    <s v=""/>
    <x v="439"/>
    <s v="RA-07M-3434]BLK MICROMTR HEAD (ST)"/>
    <n v="241"/>
    <s v=""/>
    <x v="124"/>
    <d v="2026-09-30T00:00:00"/>
    <s v=""/>
    <n v="102925"/>
    <n v="20"/>
    <d v="2026-10-06T00:00:00"/>
    <n v="221"/>
  </r>
  <r>
    <x v="0"/>
    <s v=""/>
    <s v=""/>
    <s v=""/>
    <s v=""/>
    <x v="440"/>
    <s v="RA-07V-2785]PLT ADJUST DET (IR)"/>
    <n v="243"/>
    <s v=""/>
    <x v="73"/>
    <d v="2026-09-29T00:00:00"/>
    <s v=""/>
    <n v="102925"/>
    <n v="20"/>
    <d v="2026-10-06T00:00:00"/>
    <n v="223"/>
  </r>
  <r>
    <x v="0"/>
    <s v=""/>
    <s v=""/>
    <s v=""/>
    <s v=""/>
    <x v="442"/>
    <s v="RA-06A-2745]SHAFT BRASS COL (A+) (VN)"/>
    <n v="244"/>
    <s v=""/>
    <x v="108"/>
    <d v="2026-09-29T00:00:00"/>
    <s v=""/>
    <n v="102925"/>
    <n v="20"/>
    <d v="2026-10-06T00:00:00"/>
    <n v="224"/>
  </r>
  <r>
    <x v="0"/>
    <s v=""/>
    <s v=""/>
    <s v=""/>
    <s v=""/>
    <x v="10"/>
    <s v="RA-06S-5018]MICRO SWITCH"/>
    <n v="260"/>
    <s v=""/>
    <x v="8"/>
    <d v="2026-09-21T00:00:00"/>
    <s v=""/>
    <n v="102925"/>
    <n v="40"/>
    <d v="2026-10-06T00:00:00"/>
    <n v="220"/>
  </r>
  <r>
    <x v="0"/>
    <s v=""/>
    <s v=""/>
    <s v=""/>
    <s v=""/>
    <x v="454"/>
    <s v="RA-07M-2783]BLK MOT HOUSING (IR)"/>
    <n v="267"/>
    <s v=""/>
    <x v="158"/>
    <d v="2026-09-29T00:00:00"/>
    <s v=""/>
    <n v="102925"/>
    <n v="20"/>
    <d v="2026-10-06T00:00:00"/>
    <n v="247"/>
  </r>
  <r>
    <x v="0"/>
    <s v=""/>
    <s v=""/>
    <s v=""/>
    <s v=""/>
    <x v="435"/>
    <s v="RA-1-8B]AC POWER PFC CONNECT"/>
    <n v="272"/>
    <s v=""/>
    <x v="184"/>
    <d v="2026-10-08T00:00:00"/>
    <s v=""/>
    <n v="102925"/>
    <n v="20"/>
    <d v="2026-10-06T00:00:00"/>
    <n v="252"/>
  </r>
  <r>
    <x v="0"/>
    <s v=""/>
    <s v=""/>
    <s v=""/>
    <s v=""/>
    <x v="1"/>
    <s v="RA-06M-0432]FLANGE TUBE TILT SHAFT B"/>
    <n v="279"/>
    <s v=""/>
    <x v="1"/>
    <d v="2026-09-21T00:00:00"/>
    <s v=""/>
    <n v="102925"/>
    <n v="20"/>
    <d v="2026-10-06T00:00:00"/>
    <n v="259"/>
  </r>
  <r>
    <x v="0"/>
    <s v=""/>
    <s v=""/>
    <s v=""/>
    <s v=""/>
    <x v="457"/>
    <s v="RA-07V-1669]PLT PHOTSNSR (VA)"/>
    <n v="283"/>
    <s v=""/>
    <x v="139"/>
    <d v="2026-09-29T00:00:00"/>
    <s v=""/>
    <n v="102925"/>
    <n v="20"/>
    <d v="2026-10-06T00:00:00"/>
    <n v="263"/>
  </r>
  <r>
    <x v="0"/>
    <s v=""/>
    <s v=""/>
    <s v=""/>
    <s v=""/>
    <x v="460"/>
    <s v="RA-06A-6006]Bd ASSY'-Fcol MCU"/>
    <n v="296"/>
    <s v=""/>
    <x v="189"/>
    <d v="2026-09-30T00:00:00"/>
    <s v=""/>
    <n v="102925"/>
    <n v="20"/>
    <d v="2026-10-06T00:00:00"/>
    <n v="276"/>
  </r>
  <r>
    <x v="0"/>
    <s v=""/>
    <s v=""/>
    <s v=""/>
    <s v=""/>
    <x v="462"/>
    <s v="RA-04S-0977]SPRING CEPH AND ARM"/>
    <n v="299"/>
    <s v=""/>
    <x v="117"/>
    <d v="2026-09-30T00:00:00"/>
    <s v=""/>
    <n v="102925"/>
    <n v="20"/>
    <d v="2026-10-06T00:00:00"/>
    <n v="279"/>
  </r>
  <r>
    <x v="0"/>
    <s v=""/>
    <s v=""/>
    <s v=""/>
    <s v=""/>
    <x v="3"/>
    <s v="RA-06V-0242]BRK TUBE TILT MICRO SW"/>
    <n v="337"/>
    <s v=""/>
    <x v="3"/>
    <d v="2026-09-21T00:00:00"/>
    <s v=""/>
    <n v="102925"/>
    <n v="20"/>
    <d v="2026-10-06T00:00:00"/>
    <n v="317"/>
  </r>
  <r>
    <x v="0"/>
    <s v=""/>
    <s v=""/>
    <s v=""/>
    <s v=""/>
    <x v="7"/>
    <s v="RA-06S-5091] DC motor(HDSG56-3448C-615)"/>
    <n v="344"/>
    <s v=""/>
    <x v="6"/>
    <d v="2026-09-21T00:00:00"/>
    <s v=""/>
    <n v="102925"/>
    <n v="20"/>
    <d v="2026-10-06T00:00:00"/>
    <n v="324"/>
  </r>
  <r>
    <x v="0"/>
    <s v=""/>
    <s v=""/>
    <s v=""/>
    <s v=""/>
    <x v="9"/>
    <s v="RA-06M-0244]PIN TUBE TILT LIMIT"/>
    <n v="374"/>
    <s v=""/>
    <x v="7"/>
    <d v="2026-09-21T00:00:00"/>
    <s v=""/>
    <n v="102925"/>
    <n v="40"/>
    <d v="2026-10-06T00:00:00"/>
    <n v="334"/>
  </r>
  <r>
    <x v="0"/>
    <s v=""/>
    <s v=""/>
    <s v=""/>
    <s v=""/>
    <x v="5"/>
    <s v="RA-06V-3253]HLDR DC GEARED MOT (M+)"/>
    <n v="389"/>
    <s v=""/>
    <x v="4"/>
    <d v="2026-09-21T00:00:00"/>
    <s v=""/>
    <n v="102925"/>
    <n v="20"/>
    <d v="2026-10-06T00:00:00"/>
    <n v="369"/>
  </r>
  <r>
    <x v="0"/>
    <s v=""/>
    <s v=""/>
    <s v=""/>
    <s v=""/>
    <x v="421"/>
    <s v="RA-5-5]EARTH ROT TO PFC"/>
    <n v="406"/>
    <s v=""/>
    <x v="30"/>
    <d v="2026-10-08T00:00:00"/>
    <s v=""/>
    <n v="102925"/>
    <n v="20"/>
    <d v="2026-10-06T00:00:00"/>
    <n v="386"/>
  </r>
  <r>
    <x v="0"/>
    <s v=""/>
    <s v=""/>
    <s v=""/>
    <s v=""/>
    <x v="0"/>
    <s v="RA-3-3B]DCM CONTROL-B"/>
    <n v="432"/>
    <s v=""/>
    <x v="0"/>
    <d v="2026-09-21T00:00:00"/>
    <s v=""/>
    <n v="102925"/>
    <n v="20"/>
    <d v="2026-10-06T00:00:00"/>
    <n v="412"/>
  </r>
  <r>
    <x v="0"/>
    <s v=""/>
    <s v=""/>
    <s v=""/>
    <s v=""/>
    <x v="246"/>
    <s v="RA-07S-5019]STEP MOT-KH42KM2-901"/>
    <n v="439"/>
    <s v=""/>
    <x v="6"/>
    <d v="2026-09-29T00:00:00"/>
    <s v=""/>
    <n v="102925"/>
    <n v="20"/>
    <d v="2026-10-06T00:00:00"/>
    <n v="419"/>
  </r>
  <r>
    <x v="0"/>
    <s v=""/>
    <s v=""/>
    <s v=""/>
    <s v=""/>
    <x v="2"/>
    <s v="RA-06V-0241]GUIDE TUBE TILT MICRO SW"/>
    <n v="521"/>
    <s v=""/>
    <x v="2"/>
    <d v="2026-09-21T00:00:00"/>
    <s v=""/>
    <n v="102925"/>
    <n v="20"/>
    <d v="2026-10-06T00:00:00"/>
    <n v="501"/>
  </r>
  <r>
    <x v="0"/>
    <s v=""/>
    <s v=""/>
    <s v=""/>
    <s v=""/>
    <x v="498"/>
    <s v="RA-07M-1658]BLK DET MOT LINKER (VA)"/>
    <n v="550"/>
    <s v=""/>
    <x v="158"/>
    <d v="2026-09-29T00:00:00"/>
    <s v=""/>
    <n v="102925"/>
    <n v="20"/>
    <d v="2026-10-06T00:00:00"/>
    <n v="530"/>
  </r>
  <r>
    <x v="0"/>
    <s v=""/>
    <s v=""/>
    <s v=""/>
    <s v=""/>
    <x v="4"/>
    <s v="RA-06V-0866]BRK TUBE TILT MICRO SW"/>
    <n v="631"/>
    <s v=""/>
    <x v="3"/>
    <d v="2026-09-21T00:00:00"/>
    <s v=""/>
    <n v="102925"/>
    <n v="20"/>
    <d v="2026-10-06T00:00:00"/>
    <n v="611"/>
  </r>
  <r>
    <x v="0"/>
    <s v=""/>
    <s v=""/>
    <s v=""/>
    <s v=""/>
    <x v="6"/>
    <s v="RA-06A-5005]Bd ASSY'-DC MOT Bd"/>
    <n v="684"/>
    <s v=""/>
    <x v="5"/>
    <d v="2026-09-21T00:00:00"/>
    <s v=""/>
    <n v="102925"/>
    <n v="20"/>
    <d v="2026-10-06T00:00:00"/>
    <n v="664"/>
  </r>
  <r>
    <x v="0"/>
    <s v=""/>
    <s v=""/>
    <s v=""/>
    <s v=""/>
    <x v="606"/>
    <s v="RA-05V-0186]BRK CAS ROT TOP"/>
    <n v="41"/>
    <s v=""/>
    <x v="15"/>
    <d v="2026-09-23T00:00:00"/>
    <s v=""/>
    <n v="102926"/>
    <n v="17"/>
    <d v="2026-10-07T00:00:00"/>
    <n v="24"/>
  </r>
  <r>
    <x v="0"/>
    <s v=""/>
    <s v=""/>
    <s v=""/>
    <s v=""/>
    <x v="552"/>
    <s v="RA-03A-0287]ASM LEVER HORIZONTAL LASER"/>
    <n v="58"/>
    <s v=""/>
    <x v="150"/>
    <d v="2026-09-30T00:00:00"/>
    <s v=""/>
    <n v="102926"/>
    <n v="20"/>
    <d v="2026-10-07T00:00:00"/>
    <n v="38"/>
  </r>
  <r>
    <x v="0"/>
    <s v=""/>
    <s v=""/>
    <s v=""/>
    <s v=""/>
    <x v="217"/>
    <s v="RA-09V-2419]PLT PHNT (VA+)"/>
    <n v="61"/>
    <s v=""/>
    <x v="43"/>
    <d v="2026-09-30T00:00:00"/>
    <s v=""/>
    <n v="102926"/>
    <n v="20"/>
    <d v="2026-10-07T00:00:00"/>
    <n v="41"/>
  </r>
  <r>
    <x v="0"/>
    <s v=""/>
    <s v="입고"/>
    <s v="MTS"/>
    <s v="유영국"/>
    <x v="550"/>
    <s v="RA-05V-2559]CVR SUB MCU"/>
    <n v="80"/>
    <s v=""/>
    <x v="214"/>
    <d v="2026-09-15T00:00:00"/>
    <s v=""/>
    <n v="102926"/>
    <n v="20"/>
    <d v="2026-10-07T00:00:00"/>
    <n v="60"/>
  </r>
  <r>
    <x v="0"/>
    <s v=""/>
    <s v=""/>
    <s v=""/>
    <s v=""/>
    <x v="293"/>
    <s v="RA-07M-2497]CVR CT DET FRONT (A+ ODD)"/>
    <n v="94"/>
    <s v=""/>
    <x v="142"/>
    <d v="2026-09-30T00:00:00"/>
    <s v=""/>
    <n v="102926"/>
    <n v="20"/>
    <d v="2026-10-07T00:00:00"/>
    <n v="74"/>
  </r>
  <r>
    <x v="0"/>
    <s v=""/>
    <s v=""/>
    <s v=""/>
    <s v=""/>
    <x v="553"/>
    <s v="RA-7-3]LAN PC"/>
    <n v="141"/>
    <s v=""/>
    <x v="9"/>
    <d v="2026-09-30T00:00:00"/>
    <s v=""/>
    <n v="102926"/>
    <n v="20"/>
    <d v="2026-10-07T00:00:00"/>
    <n v="121"/>
  </r>
  <r>
    <x v="0"/>
    <s v=""/>
    <s v=""/>
    <s v=""/>
    <s v=""/>
    <x v="376"/>
    <s v="RA-06T-2144]DECO WINDOW COL"/>
    <n v="148"/>
    <s v=""/>
    <x v="167"/>
    <d v="2026-09-30T00:00:00"/>
    <s v=""/>
    <n v="102926"/>
    <n v="20"/>
    <d v="2026-10-07T00:00:00"/>
    <n v="128"/>
  </r>
  <r>
    <x v="0"/>
    <s v=""/>
    <s v=""/>
    <s v=""/>
    <s v=""/>
    <x v="387"/>
    <s v="RA-03M-2064]PLT MIRROR (A+)"/>
    <n v="154"/>
    <s v=""/>
    <x v="170"/>
    <d v="2026-09-30T00:00:00"/>
    <s v=""/>
    <n v="102926"/>
    <n v="20"/>
    <d v="2026-10-07T00:00:00"/>
    <n v="134"/>
  </r>
  <r>
    <x v="0"/>
    <s v=""/>
    <s v=""/>
    <s v=""/>
    <s v=""/>
    <x v="554"/>
    <s v="RA-04T-0144]CAS CHINREST BOT"/>
    <n v="236"/>
    <s v=""/>
    <x v="27"/>
    <d v="2026-09-30T00:00:00"/>
    <s v=""/>
    <n v="102926"/>
    <n v="20"/>
    <d v="2026-10-07T00:00:00"/>
    <n v="216"/>
  </r>
  <r>
    <x v="0"/>
    <s v=""/>
    <s v=""/>
    <s v=""/>
    <s v=""/>
    <x v="431"/>
    <s v="RA-09M-2269]SCREW FIX PHNT (A+)"/>
    <n v="280"/>
    <s v=""/>
    <x v="15"/>
    <d v="2026-09-22T00:00:00"/>
    <s v=""/>
    <n v="102926"/>
    <n v="80"/>
    <d v="2026-10-07T00:00:00"/>
    <n v="200"/>
  </r>
  <r>
    <x v="0"/>
    <s v=""/>
    <s v=""/>
    <s v=""/>
    <s v=""/>
    <x v="459"/>
    <s v="RA-06M-2299]PLT MIRROR TUBE CAS R (A+)"/>
    <n v="294"/>
    <s v=""/>
    <x v="167"/>
    <d v="2026-09-30T00:00:00"/>
    <s v=""/>
    <n v="102926"/>
    <n v="20"/>
    <d v="2026-10-07T00:00:00"/>
    <n v="274"/>
  </r>
  <r>
    <x v="0"/>
    <s v=""/>
    <s v=""/>
    <s v=""/>
    <s v=""/>
    <x v="469"/>
    <s v="RA-06M-2298]PLT MIRROR TUBE CAS L (A+)"/>
    <n v="378"/>
    <s v=""/>
    <x v="167"/>
    <d v="2026-09-30T00:00:00"/>
    <s v=""/>
    <n v="102926"/>
    <n v="20"/>
    <d v="2026-10-07T00:00:00"/>
    <n v="358"/>
  </r>
  <r>
    <x v="0"/>
    <s v=""/>
    <s v=""/>
    <s v=""/>
    <s v=""/>
    <x v="555"/>
    <s v="RA-05T-0207]CAS ROT BOT DECO"/>
    <n v="388"/>
    <s v=""/>
    <x v="178"/>
    <d v="2026-09-30T00:00:00"/>
    <s v=""/>
    <n v="102926"/>
    <n v="20"/>
    <d v="2026-10-07T00:00:00"/>
    <n v="368"/>
  </r>
  <r>
    <x v="0"/>
    <s v=""/>
    <s v=""/>
    <s v=""/>
    <s v=""/>
    <x v="482"/>
    <s v="RA-06V-0249]HLDR CAS TUBE TNK REAR"/>
    <n v="450"/>
    <s v=""/>
    <x v="15"/>
    <d v="2026-09-30T00:00:00"/>
    <s v=""/>
    <n v="102926"/>
    <n v="40"/>
    <d v="2026-10-07T00:00:00"/>
    <n v="410"/>
  </r>
  <r>
    <x v="0"/>
    <s v=""/>
    <s v=""/>
    <s v=""/>
    <s v=""/>
    <x v="568"/>
    <s v="RA-03V-0054]HLDR CAS CLMN BODY LWR 1"/>
    <n v="5"/>
    <s v=""/>
    <x v="171"/>
    <d v="2026-09-17T00:00:00"/>
    <s v=""/>
    <n v="102928"/>
    <n v="5"/>
    <d v="2026-10-07T00:00:00"/>
    <n v="0"/>
  </r>
  <r>
    <x v="0"/>
    <s v=""/>
    <s v=""/>
    <s v=""/>
    <s v=""/>
    <x v="570"/>
    <s v="RA-02T-2182]CAS VERT UPPER (A+)"/>
    <n v="8"/>
    <s v=""/>
    <x v="10"/>
    <d v="2026-09-17T00:00:00"/>
    <s v=""/>
    <n v="102928"/>
    <n v="8"/>
    <d v="2026-10-07T00:00:00"/>
    <n v="0"/>
  </r>
  <r>
    <x v="0"/>
    <s v=""/>
    <s v=""/>
    <s v=""/>
    <s v=""/>
    <x v="97"/>
    <s v="RA-04A-2296]ASM HANDLE (A+)"/>
    <n v="31"/>
    <s v=""/>
    <x v="55"/>
    <d v="2026-09-17T00:00:00"/>
    <s v=""/>
    <n v="102928"/>
    <n v="20"/>
    <d v="2026-10-07T00:00:00"/>
    <n v="11"/>
  </r>
  <r>
    <x v="0"/>
    <s v=""/>
    <s v=""/>
    <s v=""/>
    <s v=""/>
    <x v="561"/>
    <s v="RA-09A-0967]ASM EXPOSURE SW"/>
    <n v="50"/>
    <s v=""/>
    <x v="183"/>
    <d v="2026-09-23T00:00:00"/>
    <s v=""/>
    <n v="102928"/>
    <n v="20"/>
    <d v="2026-10-07T00:00:00"/>
    <n v="30"/>
  </r>
  <r>
    <x v="0"/>
    <s v=""/>
    <s v=""/>
    <s v=""/>
    <s v=""/>
    <x v="567"/>
    <s v="RA-03V-0055]HLDR CAS CLMN BODY LWR 2"/>
    <n v="58"/>
    <s v=""/>
    <x v="171"/>
    <d v="2026-09-17T00:00:00"/>
    <s v=""/>
    <n v="102928"/>
    <n v="20"/>
    <d v="2026-10-07T00:00:00"/>
    <n v="38"/>
  </r>
  <r>
    <x v="0"/>
    <s v=""/>
    <s v=""/>
    <s v=""/>
    <s v=""/>
    <x v="140"/>
    <s v="RA-09M-1133]PIN GUIDE BITE"/>
    <n v="60"/>
    <s v=""/>
    <x v="17"/>
    <d v="2026-09-17T00:00:00"/>
    <s v=""/>
    <n v="102928"/>
    <n v="40"/>
    <d v="2026-10-07T00:00:00"/>
    <n v="20"/>
  </r>
  <r>
    <x v="0"/>
    <s v=""/>
    <s v=""/>
    <s v=""/>
    <s v=""/>
    <x v="13"/>
    <s v="RA-03A-0314]ASM CAS CLMN LWR (R)"/>
    <n v="67"/>
    <s v=""/>
    <x v="10"/>
    <d v="2026-09-17T00:00:00"/>
    <s v=""/>
    <n v="102928"/>
    <n v="20"/>
    <d v="2026-10-07T00:00:00"/>
    <n v="47"/>
  </r>
  <r>
    <x v="0"/>
    <s v=""/>
    <s v=""/>
    <s v=""/>
    <s v=""/>
    <x v="572"/>
    <s v="RA-09T-2534]CAS CT HEADREST (A+)"/>
    <n v="71"/>
    <s v=""/>
    <x v="27"/>
    <d v="2026-09-17T00:00:00"/>
    <s v=""/>
    <n v="102928"/>
    <n v="40"/>
    <d v="2026-10-07T00:00:00"/>
    <n v="31"/>
  </r>
  <r>
    <x v="0"/>
    <s v=""/>
    <s v=""/>
    <s v=""/>
    <s v=""/>
    <x v="559"/>
    <s v="RA-09A-2729]ASM COMPONENT SUB-1"/>
    <n v="75"/>
    <s v=""/>
    <x v="33"/>
    <d v="2026-09-17T00:00:00"/>
    <s v=""/>
    <n v="102928"/>
    <n v="20"/>
    <d v="2026-10-07T00:00:00"/>
    <n v="55"/>
  </r>
  <r>
    <x v="0"/>
    <s v=""/>
    <s v="입고"/>
    <s v="MTS"/>
    <s v="유영국"/>
    <x v="568"/>
    <s v="RA-03V-0054]HLDR CAS CLMN BODY LWR 1"/>
    <n v="100"/>
    <s v=""/>
    <x v="171"/>
    <d v="2026-09-15T00:00:00"/>
    <s v=""/>
    <n v="102928"/>
    <n v="15"/>
    <d v="2026-10-07T00:00:00"/>
    <n v="85"/>
  </r>
  <r>
    <x v="0"/>
    <s v=""/>
    <s v="입고"/>
    <s v="진광"/>
    <s v="장동은"/>
    <x v="570"/>
    <s v="RA-02T-2182]CAS VERT UPPER (A+)"/>
    <n v="100"/>
    <s v=""/>
    <x v="10"/>
    <d v="2026-09-14T00:00:00"/>
    <s v=""/>
    <n v="102928"/>
    <n v="12"/>
    <d v="2026-10-07T00:00:00"/>
    <n v="88"/>
  </r>
  <r>
    <x v="0"/>
    <s v=""/>
    <s v=""/>
    <s v=""/>
    <s v=""/>
    <x v="14"/>
    <s v="RA-09A-2754]ASM CT HEADREST (A+) (VN)"/>
    <n v="114"/>
    <s v=""/>
    <x v="11"/>
    <d v="2026-09-17T00:00:00"/>
    <s v=""/>
    <n v="102928"/>
    <n v="20"/>
    <d v="2026-10-07T00:00:00"/>
    <n v="94"/>
  </r>
  <r>
    <x v="0"/>
    <s v=""/>
    <s v=""/>
    <s v=""/>
    <s v=""/>
    <x v="563"/>
    <s v="RA-09A-0345]ASM REMOTE CONTROL"/>
    <n v="133"/>
    <s v=""/>
    <x v="17"/>
    <d v="2026-09-17T00:00:00"/>
    <s v=""/>
    <n v="102928"/>
    <n v="20"/>
    <d v="2026-10-07T00:00:00"/>
    <n v="113"/>
  </r>
  <r>
    <x v="0"/>
    <s v=""/>
    <s v=""/>
    <s v=""/>
    <s v=""/>
    <x v="560"/>
    <s v="RA-09A-2730]ASM COMPONENT SUB-2"/>
    <n v="153"/>
    <s v=""/>
    <x v="33"/>
    <d v="2026-09-17T00:00:00"/>
    <s v=""/>
    <n v="102928"/>
    <n v="20"/>
    <d v="2026-10-07T00:00:00"/>
    <n v="133"/>
  </r>
  <r>
    <x v="0"/>
    <s v=""/>
    <s v=""/>
    <s v=""/>
    <s v=""/>
    <x v="12"/>
    <s v="RA-03A-0315]ASM CAS CLMN LWR (L)"/>
    <n v="179"/>
    <s v=""/>
    <x v="10"/>
    <d v="2026-09-17T00:00:00"/>
    <s v=""/>
    <n v="102928"/>
    <n v="20"/>
    <d v="2026-10-07T00:00:00"/>
    <n v="159"/>
  </r>
  <r>
    <x v="0"/>
    <s v=""/>
    <s v=""/>
    <s v=""/>
    <s v=""/>
    <x v="571"/>
    <s v="RA-5-7]EARTH SHAFT TO WALL"/>
    <n v="180"/>
    <s v=""/>
    <x v="9"/>
    <d v="2026-09-17T00:00:00"/>
    <s v=""/>
    <n v="102928"/>
    <n v="20"/>
    <d v="2026-10-07T00:00:00"/>
    <n v="160"/>
  </r>
  <r>
    <x v="0"/>
    <s v=""/>
    <s v=""/>
    <s v=""/>
    <s v=""/>
    <x v="15"/>
    <s v="RA-5-6]EARTH SHAFT TO PC"/>
    <n v="189"/>
    <s v=""/>
    <x v="9"/>
    <d v="2026-09-17T00:00:00"/>
    <s v=""/>
    <n v="102928"/>
    <n v="20"/>
    <d v="2026-10-07T00:00:00"/>
    <n v="169"/>
  </r>
  <r>
    <x v="0"/>
    <s v=""/>
    <s v=""/>
    <s v=""/>
    <s v=""/>
    <x v="573"/>
    <s v="RA-09T-0344]KNOB CEPH ADJUST"/>
    <n v="192"/>
    <s v=""/>
    <x v="178"/>
    <d v="2026-09-17T00:00:00"/>
    <s v=""/>
    <n v="102928"/>
    <n v="40"/>
    <d v="2026-10-07T00:00:00"/>
    <n v="152"/>
  </r>
  <r>
    <x v="0"/>
    <s v=""/>
    <s v=""/>
    <s v=""/>
    <s v=""/>
    <x v="427"/>
    <s v="RA-09M-1134]BLK GUIDE BITE"/>
    <n v="209"/>
    <s v=""/>
    <x v="17"/>
    <d v="2026-09-17T00:00:00"/>
    <s v=""/>
    <n v="102928"/>
    <n v="20"/>
    <d v="2026-10-07T00:00:00"/>
    <n v="189"/>
  </r>
  <r>
    <x v="0"/>
    <s v=""/>
    <s v=""/>
    <s v=""/>
    <s v=""/>
    <x v="569"/>
    <s v="RA-04T-1707]CAS MONITOR DECO"/>
    <n v="216"/>
    <s v=""/>
    <x v="178"/>
    <d v="2026-10-07T00:00:00"/>
    <s v=""/>
    <n v="102928"/>
    <n v="20"/>
    <d v="2026-10-07T00:00:00"/>
    <n v="196"/>
  </r>
  <r>
    <x v="0"/>
    <s v=""/>
    <s v="입고"/>
    <s v="진광"/>
    <s v="장동은"/>
    <x v="565"/>
    <s v="RA-01T-1790]CAS MAIN Bas FRONT"/>
    <n v="250"/>
    <s v=""/>
    <x v="10"/>
    <d v="2026-09-28T00:00:00"/>
    <s v=""/>
    <n v="102928"/>
    <n v="20"/>
    <d v="2026-10-07T00:00:00"/>
    <n v="230"/>
  </r>
  <r>
    <x v="0"/>
    <s v=""/>
    <s v=""/>
    <s v=""/>
    <s v=""/>
    <x v="564"/>
    <s v="RA-01T-1791]CAS MAIN Bas REAR"/>
    <n v="378"/>
    <s v=""/>
    <x v="10"/>
    <d v="2026-09-17T00:00:00"/>
    <s v=""/>
    <n v="102928"/>
    <n v="20"/>
    <d v="2026-10-07T00:00:00"/>
    <n v="358"/>
  </r>
  <r>
    <x v="0"/>
    <s v=""/>
    <s v=""/>
    <s v=""/>
    <s v=""/>
    <x v="480"/>
    <s v="RA-09T-1184]CAS CHINREST"/>
    <n v="429"/>
    <s v=""/>
    <x v="27"/>
    <d v="2026-09-17T00:00:00"/>
    <s v=""/>
    <n v="102928"/>
    <n v="20"/>
    <d v="2026-10-07T00:00:00"/>
    <n v="409"/>
  </r>
  <r>
    <x v="0"/>
    <s v=""/>
    <s v=""/>
    <s v=""/>
    <s v=""/>
    <x v="566"/>
    <s v="RA-03T-0072]CAS CLMN BODY REAR"/>
    <n v="526"/>
    <s v=""/>
    <x v="10"/>
    <d v="2026-09-17T00:00:00"/>
    <s v=""/>
    <n v="102928"/>
    <n v="20"/>
    <d v="2026-10-07T00:00:00"/>
    <n v="506"/>
  </r>
  <r>
    <x v="0"/>
    <s v=""/>
    <s v=""/>
    <s v=""/>
    <s v=""/>
    <x v="562"/>
    <s v="RA-09T-0733]CAS S.W HLDR"/>
    <n v="627"/>
    <s v=""/>
    <x v="178"/>
    <d v="2026-09-23T00:00:00"/>
    <s v=""/>
    <n v="102928"/>
    <n v="20"/>
    <d v="2026-10-07T00:00:00"/>
    <n v="607"/>
  </r>
  <r>
    <x v="0"/>
    <s v=""/>
    <s v="입고"/>
    <s v="A&amp;T"/>
    <s v="장동은"/>
    <x v="17"/>
    <s v="RE-03A-1030]ASM COLUMN MODULE"/>
    <n v="18"/>
    <s v=""/>
    <x v="13"/>
    <d v="2026-10-06T00:00:00"/>
    <s v=""/>
    <n v="102952"/>
    <n v="1"/>
    <d v="2026-10-06T00:00:00"/>
    <n v="17"/>
  </r>
  <r>
    <x v="0"/>
    <s v=""/>
    <s v=""/>
    <s v=""/>
    <s v=""/>
    <x v="575"/>
    <s v="RE-03T-0307]CAS CLMN REAR L"/>
    <n v="113"/>
    <s v=""/>
    <x v="216"/>
    <d v="2026-10-12T00:00:00"/>
    <s v=""/>
    <n v="102956"/>
    <n v="7"/>
    <d v="2026-10-02T00:00:00"/>
    <n v="106"/>
  </r>
  <r>
    <x v="0"/>
    <s v=""/>
    <s v=""/>
    <s v=""/>
    <s v=""/>
    <x v="576"/>
    <s v="RE-03T-0308]CAS CLMN REAR R"/>
    <n v="27"/>
    <s v=""/>
    <x v="216"/>
    <d v="2026-10-12T00:00:00"/>
    <s v=""/>
    <n v="102956"/>
    <n v="7"/>
    <d v="2026-10-02T00:00:00"/>
    <n v="20"/>
  </r>
  <r>
    <x v="0"/>
    <s v=""/>
    <s v="입고"/>
    <s v="대영하네스"/>
    <s v="유영국"/>
    <x v="395"/>
    <s v="RA-5-8]EARTH CTRL SMPS"/>
    <n v="300"/>
    <s v=""/>
    <x v="30"/>
    <d v="2026-10-01T00:00:00"/>
    <s v=""/>
    <n v="103215"/>
    <n v="5"/>
    <d v="2026-10-06T00:00:00"/>
    <n v="295"/>
  </r>
  <r>
    <x v="0"/>
    <s v=""/>
    <s v=""/>
    <s v=""/>
    <s v=""/>
    <x v="441"/>
    <s v="RA-02S-2278]TIMMING BELT"/>
    <n v="225"/>
    <s v=""/>
    <x v="185"/>
    <d v="2026-10-07T00:00:00"/>
    <s v=""/>
    <n v="103222"/>
    <n v="1"/>
    <d v="2026-10-06T00:00:00"/>
    <n v="224"/>
  </r>
  <r>
    <x v="0"/>
    <s v=""/>
    <s v=""/>
    <s v=""/>
    <s v=""/>
    <x v="69"/>
    <s v="RF-01H-5054]DLP Power harness"/>
    <n v="9"/>
    <s v=""/>
    <x v="53"/>
    <d v="2026-09-22T00:00:00"/>
    <s v=""/>
    <n v="103223"/>
    <n v="1"/>
    <d v="2026-10-06T00:00:00"/>
    <n v="8"/>
  </r>
  <r>
    <x v="0"/>
    <s v=""/>
    <s v="반납"/>
    <s v=""/>
    <s v=""/>
    <x v="79"/>
    <s v="RD-00S-5201]USB A to B Cable"/>
    <n v="11"/>
    <s v=""/>
    <x v="60"/>
    <d v="2026-09-22T00:00:00"/>
    <s v=""/>
    <n v="103223"/>
    <n v="2"/>
    <d v="2026-10-06T00:00:00"/>
    <n v="9"/>
  </r>
  <r>
    <x v="0"/>
    <s v=""/>
    <s v="반납"/>
    <s v=""/>
    <s v=""/>
    <x v="99"/>
    <s v="RF-01T-0353]WINDOW LED"/>
    <n v="13"/>
    <s v=""/>
    <x v="59"/>
    <d v="2026-09-22T00:00:00"/>
    <s v=""/>
    <n v="103223"/>
    <n v="1"/>
    <d v="2026-10-06T00:00:00"/>
    <n v="12"/>
  </r>
  <r>
    <x v="0"/>
    <s v=""/>
    <s v="반납"/>
    <s v=""/>
    <s v=""/>
    <x v="120"/>
    <s v="RF-01T-0241]CAL Bas UPPER"/>
    <n v="18"/>
    <s v=""/>
    <x v="32"/>
    <d v="2026-09-22T00:00:00"/>
    <s v=""/>
    <n v="103223"/>
    <n v="1"/>
    <d v="2026-10-06T00:00:00"/>
    <n v="17"/>
  </r>
  <r>
    <x v="0"/>
    <s v=""/>
    <s v=""/>
    <s v=""/>
    <s v=""/>
    <x v="127"/>
    <s v="RF-01M-0200]MIRROR PLT"/>
    <n v="19"/>
    <s v=""/>
    <x v="82"/>
    <d v="2026-09-22T00:00:00"/>
    <s v=""/>
    <n v="103223"/>
    <n v="1"/>
    <d v="2026-10-06T00:00:00"/>
    <n v="18"/>
  </r>
  <r>
    <x v="0"/>
    <s v=""/>
    <s v=""/>
    <s v=""/>
    <s v=""/>
    <x v="85"/>
    <s v="RF-01S-5086]TEETH CAM"/>
    <n v="26"/>
    <s v=""/>
    <x v="66"/>
    <d v="2026-09-22T00:00:00"/>
    <s v=""/>
    <n v="103223"/>
    <n v="1"/>
    <d v="2026-10-06T00:00:00"/>
    <n v="25"/>
  </r>
  <r>
    <x v="0"/>
    <s v=""/>
    <s v="입고"/>
    <s v="하이크로봇"/>
    <s v="장동은"/>
    <x v="207"/>
    <s v="RF-01S-5093]CAM Cable_TEETH_R"/>
    <n v="50"/>
    <s v=""/>
    <x v="66"/>
    <d v="2026-09-28T00:00:00"/>
    <s v=""/>
    <n v="103223"/>
    <n v="1"/>
    <d v="2026-10-06T00:00:00"/>
    <n v="49"/>
  </r>
  <r>
    <x v="0"/>
    <s v=""/>
    <s v=""/>
    <s v=""/>
    <s v=""/>
    <x v="408"/>
    <s v="RF-01T-0351]WINDOW LED B"/>
    <n v="185"/>
    <s v=""/>
    <x v="59"/>
    <d v="2026-09-22T00:00:00"/>
    <s v=""/>
    <n v="103223"/>
    <n v="1"/>
    <d v="2026-10-06T00:00:00"/>
    <n v="184"/>
  </r>
  <r>
    <x v="0"/>
    <s v=""/>
    <s v="입고"/>
    <s v="A&amp;T"/>
    <s v="장동은"/>
    <x v="107"/>
    <s v="RE-02A-1020]ASM VERTICAL MODULE"/>
    <n v="1"/>
    <s v=""/>
    <x v="13"/>
    <d v="2026-09-16T00:00:00"/>
    <s v=""/>
    <n v="103227"/>
    <n v="1"/>
    <d v="2026-10-07T00:00:00"/>
    <n v="0"/>
  </r>
  <r>
    <x v="0"/>
    <s v=""/>
    <s v="입고"/>
    <s v="A&amp;T"/>
    <s v="장동은"/>
    <x v="121"/>
    <s v="RE-05A-1050]ASM ROTATOR MODULE"/>
    <n v="6"/>
    <s v=""/>
    <x v="13"/>
    <d v="2026-10-06T00:00:00"/>
    <s v=""/>
    <n v="103227"/>
    <n v="6"/>
    <d v="2026-10-07T00:00:00"/>
    <n v="0"/>
  </r>
  <r>
    <x v="0"/>
    <s v=""/>
    <s v="입고"/>
    <s v="A&amp;T"/>
    <s v="장동은"/>
    <x v="121"/>
    <s v="RE-05A-1050]ASM ROTATOR MODULE"/>
    <n v="6"/>
    <s v=""/>
    <x v="13"/>
    <d v="2026-09-14T00:00:00"/>
    <s v=""/>
    <n v="103227"/>
    <n v="6"/>
    <d v="2026-10-07T00:00:00"/>
    <n v="0"/>
  </r>
  <r>
    <x v="0"/>
    <s v=""/>
    <s v=""/>
    <s v=""/>
    <s v=""/>
    <x v="121"/>
    <s v="RE-05A-1050]ASM ROTATOR MODULE"/>
    <n v="7"/>
    <s v=""/>
    <x v="13"/>
    <d v="2026-09-22T00:00:00"/>
    <s v=""/>
    <n v="103227"/>
    <n v="7"/>
    <d v="2026-10-07T00:00:00"/>
    <n v="0"/>
  </r>
  <r>
    <x v="0"/>
    <s v=""/>
    <s v="입고"/>
    <s v="A&amp;T"/>
    <s v="장동은"/>
    <x v="107"/>
    <s v="RE-02A-1020]ASM VERTICAL MODULE"/>
    <n v="14"/>
    <s v=""/>
    <x v="13"/>
    <d v="2026-09-16T00:00:00"/>
    <s v=""/>
    <n v="103227"/>
    <n v="14"/>
    <d v="2026-10-07T00:00:00"/>
    <n v="0"/>
  </r>
  <r>
    <x v="0"/>
    <s v=""/>
    <s v="입고"/>
    <s v="A&amp;T"/>
    <s v="장동은"/>
    <x v="121"/>
    <s v="RE-05A-1050]ASM ROTATOR MODULE"/>
    <n v="14"/>
    <s v=""/>
    <x v="13"/>
    <d v="2026-09-16T00:00:00"/>
    <s v=""/>
    <n v="103227"/>
    <n v="14"/>
    <d v="2026-10-07T00:00:00"/>
    <n v="0"/>
  </r>
  <r>
    <x v="0"/>
    <s v=""/>
    <s v="입고"/>
    <s v="A&amp;T"/>
    <s v="장동은"/>
    <x v="121"/>
    <s v="RE-05A-1050]ASM ROTATOR MODULE"/>
    <n v="24"/>
    <s v=""/>
    <x v="13"/>
    <d v="2026-10-01T00:00:00"/>
    <s v=""/>
    <n v="103227"/>
    <n v="7"/>
    <d v="2026-10-07T00:00:00"/>
    <n v="17"/>
  </r>
  <r>
    <x v="0"/>
    <s v=""/>
    <s v="입고"/>
    <s v="A&amp;T"/>
    <s v="장동은"/>
    <x v="107"/>
    <s v="RE-02A-1020]ASM VERTICAL MODULE"/>
    <n v="30"/>
    <s v=""/>
    <x v="13"/>
    <d v="2026-10-07T00:00:00"/>
    <s v=""/>
    <n v="103227"/>
    <n v="15"/>
    <d v="2026-10-07T00:00:00"/>
    <n v="15"/>
  </r>
  <r>
    <x v="0"/>
    <s v=""/>
    <s v="입고"/>
    <s v="아이온세미"/>
    <s v="장동은"/>
    <x v="37"/>
    <s v="RE-05B-5101]eSUB Bd"/>
    <n v="50"/>
    <s v=""/>
    <x v="29"/>
    <d v="2026-09-30T00:00:00"/>
    <s v=""/>
    <n v="103227"/>
    <n v="40"/>
    <d v="2026-10-07T00:00:00"/>
    <n v="10"/>
  </r>
  <r>
    <x v="0"/>
    <s v=""/>
    <s v="입고"/>
    <s v="A&amp;T"/>
    <s v="장동은"/>
    <x v="591"/>
    <s v="RE-07A-1070]ASM DETECTOR MODULE"/>
    <n v="3"/>
    <s v=""/>
    <x v="13"/>
    <d v="2026-10-06T00:00:00"/>
    <s v=""/>
    <n v="103228"/>
    <n v="3"/>
    <d v="2026-10-08T00:00:00"/>
    <n v="0"/>
  </r>
  <r>
    <x v="0"/>
    <s v=""/>
    <s v="입고"/>
    <s v="A&amp;T"/>
    <s v="장동은"/>
    <x v="591"/>
    <s v="RE-07A-1070]ASM DETECTOR MODULE"/>
    <n v="6"/>
    <s v=""/>
    <x v="13"/>
    <d v="2026-10-01T00:00:00"/>
    <s v=""/>
    <n v="103228"/>
    <n v="6"/>
    <d v="2026-10-08T00:00:00"/>
    <n v="0"/>
  </r>
  <r>
    <x v="0"/>
    <s v=""/>
    <s v="입고"/>
    <s v="A&amp;T"/>
    <s v="장동은"/>
    <x v="591"/>
    <s v="RE-07A-1070]ASM DETECTOR MODULE"/>
    <n v="6"/>
    <s v=""/>
    <x v="13"/>
    <d v="2026-09-30T00:00:00"/>
    <s v=""/>
    <n v="103228"/>
    <n v="6"/>
    <d v="2026-10-08T00:00:00"/>
    <n v="0"/>
  </r>
  <r>
    <x v="0"/>
    <s v=""/>
    <s v="입고"/>
    <s v="A&amp;T"/>
    <s v="장동은"/>
    <x v="70"/>
    <s v="RE-06A-0601]ASM COLLIMATOR MODULE"/>
    <n v="10"/>
    <s v=""/>
    <x v="13"/>
    <d v="2026-10-01T00:00:00"/>
    <s v=""/>
    <n v="103228"/>
    <n v="2"/>
    <d v="2026-10-08T00:00:00"/>
    <n v="8"/>
  </r>
  <r>
    <x v="0"/>
    <s v=""/>
    <s v=""/>
    <s v=""/>
    <s v=""/>
    <x v="592"/>
    <s v="RE-06A-0625]ASM TUBE FAN"/>
    <n v="10"/>
    <s v=""/>
    <x v="222"/>
    <d v="2026-09-22T00:00:00"/>
    <s v=""/>
    <n v="103228"/>
    <n v="10"/>
    <d v="2026-10-08T00:00:00"/>
    <n v="0"/>
  </r>
  <r>
    <x v="0"/>
    <s v=""/>
    <s v="입고"/>
    <s v="A&amp;T"/>
    <s v="장동은"/>
    <x v="591"/>
    <s v="RE-07A-1070]ASM DETECTOR MODULE"/>
    <n v="24"/>
    <s v=""/>
    <x v="13"/>
    <d v="2026-09-30T00:00:00"/>
    <s v=""/>
    <n v="103228"/>
    <n v="24"/>
    <d v="2026-10-08T00:00:00"/>
    <n v="0"/>
  </r>
  <r>
    <x v="0"/>
    <s v=""/>
    <s v=""/>
    <s v=""/>
    <s v=""/>
    <x v="311"/>
    <s v="RE-06V-0608]BRK COL LWR"/>
    <n v="30"/>
    <s v=""/>
    <x v="147"/>
    <d v="2026-09-22T00:00:00"/>
    <s v=""/>
    <n v="103228"/>
    <n v="30"/>
    <d v="2026-10-08T00:00:00"/>
    <n v="0"/>
  </r>
  <r>
    <x v="0"/>
    <s v=""/>
    <s v=""/>
    <s v=""/>
    <s v=""/>
    <x v="70"/>
    <s v="RE-06A-0601]ASM COLLIMATOR MODULE"/>
    <n v="38"/>
    <s v=""/>
    <x v="13"/>
    <d v="2026-09-22T00:00:00"/>
    <s v=""/>
    <n v="103228"/>
    <n v="38"/>
    <d v="2026-10-08T00:00:00"/>
    <n v="0"/>
  </r>
  <r>
    <x v="0"/>
    <s v=""/>
    <s v=""/>
    <s v=""/>
    <s v=""/>
    <x v="80"/>
    <s v="RE-06A-0630]ASM TUBE SHAFT BRASS"/>
    <n v="49"/>
    <s v=""/>
    <x v="61"/>
    <d v="2026-09-22T00:00:00"/>
    <s v=""/>
    <n v="103228"/>
    <n v="40"/>
    <d v="2026-10-08T00:00:00"/>
    <n v="9"/>
  </r>
  <r>
    <x v="0"/>
    <s v=""/>
    <s v=""/>
    <s v=""/>
    <s v=""/>
    <x v="81"/>
    <s v="RE-06H-5048]LASER H [LBM01-300]"/>
    <n v="49"/>
    <s v=""/>
    <x v="62"/>
    <d v="2026-09-22T00:00:00"/>
    <s v=""/>
    <n v="103228"/>
    <n v="40"/>
    <d v="2026-10-08T00:00:00"/>
    <n v="9"/>
  </r>
  <r>
    <x v="0"/>
    <s v=""/>
    <s v="입고"/>
    <s v="우주정공"/>
    <s v="조영우"/>
    <x v="311"/>
    <s v="RE-06V-0608]BRK COL LWR"/>
    <n v="100"/>
    <s v=""/>
    <x v="147"/>
    <d v="2026-09-28T00:00:00"/>
    <s v=""/>
    <n v="103228"/>
    <n v="10"/>
    <d v="2026-10-08T00:00:00"/>
    <n v="90"/>
  </r>
  <r>
    <x v="0"/>
    <s v=""/>
    <s v=""/>
    <s v=""/>
    <s v=""/>
    <x v="533"/>
    <s v="RE-05H-5065_1]Earth ROT to TNK"/>
    <n v="97"/>
    <s v=""/>
    <x v="208"/>
    <d v="2026-10-12T00:00:00"/>
    <s v=""/>
    <n v="103229"/>
    <n v="40"/>
    <d v="2026-10-12T00:00:00"/>
    <n v="57"/>
  </r>
  <r>
    <x v="0"/>
    <s v=""/>
    <s v=""/>
    <s v=""/>
    <s v=""/>
    <x v="540"/>
    <s v="RE-02B-5105]eINDICATOR Bd"/>
    <n v="62"/>
    <s v=""/>
    <x v="213"/>
    <d v="2026-10-08T00:00:00"/>
    <s v=""/>
    <n v="103229"/>
    <n v="40"/>
    <d v="2026-10-12T00:00:00"/>
    <n v="22"/>
  </r>
  <r>
    <x v="0"/>
    <s v=""/>
    <s v=""/>
    <s v=""/>
    <s v=""/>
    <x v="534"/>
    <s v="RE-02T-0246]CAS LED"/>
    <n v="24"/>
    <s v=""/>
    <x v="209"/>
    <d v="2026-09-22T00:00:00"/>
    <s v=""/>
    <n v="103229"/>
    <n v="24"/>
    <d v="2026-10-12T00:00:00"/>
    <n v="0"/>
  </r>
  <r>
    <x v="0"/>
    <s v=""/>
    <s v="입고"/>
    <s v="진광"/>
    <s v="장동은"/>
    <x v="534"/>
    <s v="RE-02T-0246]CAS LED"/>
    <n v="200"/>
    <s v=""/>
    <x v="209"/>
    <d v="2026-09-23T00:00:00"/>
    <s v=""/>
    <n v="103229"/>
    <n v="16"/>
    <d v="2026-10-12T00:00:00"/>
    <n v="184"/>
  </r>
  <r>
    <x v="0"/>
    <s v=""/>
    <s v="입고"/>
    <s v="정호기공"/>
    <s v="유영국"/>
    <x v="535"/>
    <s v="RA-02M-0395]PIN VERT POSITION"/>
    <n v="150"/>
    <s v=""/>
    <x v="185"/>
    <d v="2026-10-07T00:00:00"/>
    <s v=""/>
    <n v="103229"/>
    <n v="40"/>
    <d v="2026-10-12T00:00:00"/>
    <n v="110"/>
  </r>
  <r>
    <x v="0"/>
    <s v=""/>
    <s v=""/>
    <s v=""/>
    <s v=""/>
    <x v="536"/>
    <s v="RE-04T-0436]CAS CHINREST BOT"/>
    <n v="47"/>
    <s v=""/>
    <x v="16"/>
    <d v="2026-09-22T00:00:00"/>
    <s v=""/>
    <n v="103229"/>
    <n v="40"/>
    <d v="2026-10-12T00:00:00"/>
    <n v="7"/>
  </r>
  <r>
    <x v="0"/>
    <s v=""/>
    <s v=""/>
    <s v=""/>
    <s v=""/>
    <x v="18"/>
    <s v="RE-05A-0512]ASM ROTATOR WEIGH"/>
    <n v="60"/>
    <s v=""/>
    <x v="14"/>
    <d v="2026-09-22T00:00:00"/>
    <s v=""/>
    <n v="103229"/>
    <n v="40"/>
    <d v="2026-10-12T00:00:00"/>
    <n v="20"/>
  </r>
  <r>
    <x v="0"/>
    <s v=""/>
    <s v=""/>
    <s v=""/>
    <s v=""/>
    <x v="537"/>
    <s v="RE-05H-5049_1]LASER_H Extend"/>
    <n v="106"/>
    <s v=""/>
    <x v="210"/>
    <d v="2026-10-08T00:00:00"/>
    <s v=""/>
    <n v="103229"/>
    <n v="40"/>
    <d v="2026-10-12T00:00:00"/>
    <n v="66"/>
  </r>
  <r>
    <x v="0"/>
    <s v=""/>
    <s v="입고"/>
    <s v="에이투케이"/>
    <s v="유영국"/>
    <x v="538"/>
    <s v="RE-05H-5030_1]TILT SIGNAL"/>
    <n v="150"/>
    <s v=""/>
    <x v="211"/>
    <d v="2026-10-12T00:00:00"/>
    <s v=""/>
    <n v="103229"/>
    <n v="40"/>
    <d v="2026-10-12T00:00:00"/>
    <n v="110"/>
  </r>
  <r>
    <x v="0"/>
    <s v=""/>
    <s v="입고"/>
    <s v="진광"/>
    <s v="장동은"/>
    <x v="539"/>
    <s v="RE-04T-0434]CAS ARM BOT"/>
    <n v="200"/>
    <s v=""/>
    <x v="212"/>
    <d v="2026-09-28T00:00:00"/>
    <s v=""/>
    <n v="103229"/>
    <n v="30"/>
    <d v="2026-10-12T00:00:00"/>
    <n v="170"/>
  </r>
  <r>
    <x v="0"/>
    <s v=""/>
    <s v=""/>
    <s v=""/>
    <s v=""/>
    <x v="539"/>
    <s v="RE-04T-0434]CAS ARM BOT"/>
    <n v="10"/>
    <s v=""/>
    <x v="212"/>
    <d v="2026-09-22T00:00:00"/>
    <s v=""/>
    <n v="103229"/>
    <n v="10"/>
    <d v="2026-10-12T00:00:00"/>
    <n v="0"/>
  </r>
  <r>
    <x v="0"/>
    <s v=""/>
    <s v=""/>
    <s v=""/>
    <s v=""/>
    <x v="604"/>
    <s v="RE-07M-0711_B]PLT DET SNSR (IR)"/>
    <n v="79"/>
    <s v=""/>
    <x v="229"/>
    <d v="2026-09-22T00:00:00"/>
    <s v=""/>
    <n v="103229"/>
    <n v="79"/>
    <d v="2026-10-12T00:00:00"/>
    <n v="0"/>
  </r>
  <r>
    <x v="0"/>
    <s v=""/>
    <s v=""/>
    <s v=""/>
    <s v=""/>
    <x v="19"/>
    <s v="RE-01T-0104]RUBBER CAP DECO"/>
    <n v="1600"/>
    <s v=""/>
    <x v="15"/>
    <d v="2026-09-22T00:00:00"/>
    <s v=""/>
    <n v="103230"/>
    <n v="880"/>
    <d v="2026-10-12T00:00:00"/>
    <n v="720"/>
  </r>
  <r>
    <x v="0"/>
    <s v=""/>
    <s v=""/>
    <s v=""/>
    <s v=""/>
    <x v="594"/>
    <s v="RE-07M-0717]CVR DET FRONT"/>
    <n v="32"/>
    <s v=""/>
    <x v="224"/>
    <d v="2026-09-22T00:00:00"/>
    <s v=""/>
    <n v="103230"/>
    <n v="32"/>
    <d v="2026-10-12T00:00:00"/>
    <n v="0"/>
  </r>
  <r>
    <x v="0"/>
    <s v=""/>
    <s v=""/>
    <s v=""/>
    <s v=""/>
    <x v="595"/>
    <s v="RA-06M-1105]DECO WINDOW COL"/>
    <n v="3"/>
    <s v=""/>
    <x v="167"/>
    <d v="2026-09-15T00:00:00"/>
    <s v=""/>
    <n v="103230"/>
    <n v="3"/>
    <d v="2026-10-12T00:00:00"/>
    <n v="0"/>
  </r>
  <r>
    <x v="0"/>
    <s v=""/>
    <s v=""/>
    <s v=""/>
    <s v=""/>
    <x v="593"/>
    <s v="RE-06M-0636]DECO HORIZONTAL LASER"/>
    <n v="29"/>
    <s v=""/>
    <x v="223"/>
    <d v="2026-09-22T00:00:00"/>
    <s v=""/>
    <n v="103230"/>
    <n v="29"/>
    <d v="2026-10-12T00:00:00"/>
    <n v="0"/>
  </r>
  <r>
    <x v="0"/>
    <s v=""/>
    <s v=""/>
    <s v=""/>
    <s v=""/>
    <x v="553"/>
    <s v="RA-7-3]LAN PC"/>
    <n v="121"/>
    <s v=""/>
    <x v="9"/>
    <d v="2026-10-07T00:00:00"/>
    <s v=""/>
    <n v="103230"/>
    <n v="40"/>
    <d v="2026-10-12T00:00:00"/>
    <n v="81"/>
  </r>
  <r>
    <x v="0"/>
    <s v=""/>
    <s v=""/>
    <s v=""/>
    <s v=""/>
    <x v="532"/>
    <s v="RE-04M-0438]DECO CANINE WINDOW"/>
    <n v="93"/>
    <s v=""/>
    <x v="207"/>
    <d v="2026-09-22T00:00:00"/>
    <s v=""/>
    <n v="103230"/>
    <n v="40"/>
    <d v="2026-10-12T00:00:00"/>
    <n v="53"/>
  </r>
  <r>
    <x v="0"/>
    <s v=""/>
    <s v=""/>
    <s v=""/>
    <s v=""/>
    <x v="528"/>
    <s v=""/>
    <n v="13"/>
    <s v=""/>
    <x v="18"/>
    <d v="2026-09-23T00:00:00"/>
    <s v=""/>
    <n v="103231"/>
    <n v="13"/>
    <d v="2026-10-12T00:00:00"/>
    <n v="0"/>
  </r>
  <r>
    <x v="0"/>
    <s v=""/>
    <s v=""/>
    <s v=""/>
    <s v=""/>
    <x v="597"/>
    <s v="RE-09S-0909]STK FOOT"/>
    <n v="14"/>
    <s v=""/>
    <x v="204"/>
    <d v="2026-09-23T00:00:00"/>
    <s v=""/>
    <n v="103231"/>
    <n v="6"/>
    <d v="2026-10-12T00:00:00"/>
    <n v="8"/>
  </r>
  <r>
    <x v="0"/>
    <s v=""/>
    <s v=""/>
    <s v=""/>
    <s v=""/>
    <x v="575"/>
    <s v="RE-03T-0307]CAS CLMN REAR L"/>
    <n v="20"/>
    <s v=""/>
    <x v="216"/>
    <d v="2026-09-28T00:00:00"/>
    <s v=""/>
    <n v="103231"/>
    <n v="20"/>
    <d v="2026-10-12T00:00:00"/>
    <n v="0"/>
  </r>
  <r>
    <x v="0"/>
    <s v=""/>
    <s v=""/>
    <s v=""/>
    <s v=""/>
    <x v="23"/>
    <s v="RE-04T-0453]CAP HANDLE B"/>
    <n v="25"/>
    <s v=""/>
    <x v="19"/>
    <d v="2026-09-23T00:00:00"/>
    <s v=""/>
    <n v="103231"/>
    <n v="25"/>
    <d v="2026-10-12T00:00:00"/>
    <n v="0"/>
  </r>
  <r>
    <x v="0"/>
    <s v=""/>
    <s v=""/>
    <s v=""/>
    <s v=""/>
    <x v="598"/>
    <s v="RE-03T-0306]CAS CLMN FRONT"/>
    <n v="29"/>
    <s v=""/>
    <x v="226"/>
    <d v="2026-09-23T00:00:00"/>
    <s v=""/>
    <n v="103231"/>
    <n v="19"/>
    <d v="2026-10-12T00:00:00"/>
    <n v="10"/>
  </r>
  <r>
    <x v="0"/>
    <s v=""/>
    <s v=""/>
    <s v=""/>
    <s v=""/>
    <x v="561"/>
    <s v="RA-09A-0967]ASM EXPOSURE SW"/>
    <n v="30"/>
    <s v=""/>
    <x v="183"/>
    <d v="2026-10-07T00:00:00"/>
    <s v=""/>
    <n v="103231"/>
    <n v="30"/>
    <d v="2026-10-12T00:00:00"/>
    <n v="0"/>
  </r>
  <r>
    <x v="0"/>
    <s v=""/>
    <s v=""/>
    <s v=""/>
    <s v=""/>
    <x v="599"/>
    <s v="RE-01T-0103]CAS MAIN Bas R"/>
    <n v="31"/>
    <s v=""/>
    <x v="227"/>
    <d v="2026-09-23T00:00:00"/>
    <s v=""/>
    <n v="103231"/>
    <n v="11"/>
    <d v="2026-10-12T00:00:00"/>
    <n v="20"/>
  </r>
  <r>
    <x v="0"/>
    <s v=""/>
    <s v=""/>
    <s v=""/>
    <s v=""/>
    <x v="600"/>
    <s v="RE-01T-0102]CAS MAIN Bas L"/>
    <n v="33"/>
    <s v=""/>
    <x v="228"/>
    <d v="2026-09-23T00:00:00"/>
    <s v=""/>
    <n v="103231"/>
    <n v="13"/>
    <d v="2026-10-12T00:00:00"/>
    <n v="20"/>
  </r>
  <r>
    <x v="0"/>
    <s v=""/>
    <s v=""/>
    <s v=""/>
    <s v=""/>
    <x v="601"/>
    <s v="RE-09S-0908]FOOT STK JIG"/>
    <n v="36"/>
    <s v=""/>
    <x v="204"/>
    <d v="2026-09-23T00:00:00"/>
    <s v=""/>
    <n v="103231"/>
    <n v="28"/>
    <d v="2026-10-12T00:00:00"/>
    <n v="8"/>
  </r>
  <r>
    <x v="0"/>
    <s v=""/>
    <s v=""/>
    <s v=""/>
    <s v=""/>
    <x v="22"/>
    <s v="RE-02T-0247]CAS VERT TOP"/>
    <n v="36"/>
    <s v=""/>
    <x v="18"/>
    <d v="2026-09-23T00:00:00"/>
    <s v=""/>
    <n v="103231"/>
    <n v="36"/>
    <d v="2026-10-12T00:00:00"/>
    <n v="0"/>
  </r>
  <r>
    <x v="0"/>
    <s v=""/>
    <s v=""/>
    <s v=""/>
    <s v=""/>
    <x v="576"/>
    <s v="RE-03T-0308]CAS CLMN REAR R"/>
    <n v="43"/>
    <s v=""/>
    <x v="216"/>
    <d v="2026-09-28T00:00:00"/>
    <s v=""/>
    <n v="103231"/>
    <n v="40"/>
    <d v="2026-10-12T00:00:00"/>
    <n v="3"/>
  </r>
  <r>
    <x v="0"/>
    <s v=""/>
    <s v="입고"/>
    <s v="진광"/>
    <s v="장동은"/>
    <x v="22"/>
    <s v="RE-02T-0247]CAS VERT TOP"/>
    <n v="52"/>
    <s v=""/>
    <x v="18"/>
    <d v="2026-10-01T00:00:00"/>
    <s v=""/>
    <n v="103231"/>
    <n v="4"/>
    <d v="2026-10-12T00:00:00"/>
    <n v="48"/>
  </r>
  <r>
    <x v="0"/>
    <s v=""/>
    <s v=""/>
    <s v=""/>
    <s v=""/>
    <x v="518"/>
    <s v="RE-09T-0904]CAS TMJREST"/>
    <n v="55"/>
    <s v=""/>
    <x v="16"/>
    <d v="2026-09-23T00:00:00"/>
    <s v=""/>
    <n v="103231"/>
    <n v="40"/>
    <d v="2026-10-12T00:00:00"/>
    <n v="15"/>
  </r>
  <r>
    <x v="0"/>
    <s v=""/>
    <s v=""/>
    <s v=""/>
    <s v=""/>
    <x v="523"/>
    <s v="RE-09T-0901]CAS CHINREST"/>
    <n v="81"/>
    <s v=""/>
    <x v="16"/>
    <d v="2026-09-23T00:00:00"/>
    <s v=""/>
    <n v="103231"/>
    <n v="40"/>
    <d v="2026-10-12T00:00:00"/>
    <n v="41"/>
  </r>
  <r>
    <x v="0"/>
    <s v=""/>
    <s v=""/>
    <s v=""/>
    <s v=""/>
    <x v="430"/>
    <s v="RE-04T-0452]CAP HANDLE A"/>
    <n v="87"/>
    <s v=""/>
    <x v="19"/>
    <d v="2026-09-28T00:00:00"/>
    <s v=""/>
    <n v="103231"/>
    <n v="87"/>
    <d v="2026-10-12T00:00:00"/>
    <n v="0"/>
  </r>
  <r>
    <x v="0"/>
    <s v=""/>
    <s v=""/>
    <s v=""/>
    <s v=""/>
    <x v="20"/>
    <s v="RE-09T-0902]CAS CHINREST LOW"/>
    <n v="88"/>
    <s v=""/>
    <x v="16"/>
    <d v="2026-09-23T00:00:00"/>
    <s v=""/>
    <n v="103231"/>
    <n v="40"/>
    <d v="2026-10-12T00:00:00"/>
    <n v="48"/>
  </r>
  <r>
    <x v="0"/>
    <s v=""/>
    <s v=""/>
    <s v=""/>
    <s v=""/>
    <x v="21"/>
    <s v="RA-09S-0389]CVR BITE BLK VINYL CVR"/>
    <n v="92"/>
    <s v=""/>
    <x v="17"/>
    <d v="2026-09-23T00:00:00"/>
    <s v=""/>
    <n v="103231"/>
    <n v="40"/>
    <d v="2026-10-12T00:00:00"/>
    <n v="52"/>
  </r>
  <r>
    <x v="0"/>
    <s v=""/>
    <s v="입고"/>
    <s v="진광"/>
    <s v="장동은"/>
    <x v="528"/>
    <s v=""/>
    <n v="100"/>
    <s v=""/>
    <x v="18"/>
    <d v="2026-09-14T00:00:00"/>
    <s v=""/>
    <n v="103231"/>
    <n v="27"/>
    <d v="2026-10-12T00:00:00"/>
    <n v="73"/>
  </r>
  <r>
    <x v="0"/>
    <s v=""/>
    <s v="입고"/>
    <s v="진광"/>
    <s v="장동은"/>
    <x v="575"/>
    <s v="RE-03T-0307]CAS CLMN REAR L"/>
    <n v="156"/>
    <s v=""/>
    <x v="216"/>
    <d v="2026-09-23T00:00:00"/>
    <s v=""/>
    <n v="103231"/>
    <n v="20"/>
    <d v="2026-10-12T00:00:00"/>
    <n v="136"/>
  </r>
  <r>
    <x v="0"/>
    <s v=""/>
    <s v=""/>
    <s v=""/>
    <s v=""/>
    <x v="529"/>
    <s v="RA-09T-1132]CAS EDENTULOUS GUIDE"/>
    <n v="246"/>
    <s v=""/>
    <x v="205"/>
    <d v="2026-09-23T00:00:00"/>
    <s v=""/>
    <n v="103231"/>
    <n v="40"/>
    <d v="2026-10-12T00:00:00"/>
    <n v="206"/>
  </r>
  <r>
    <x v="0"/>
    <s v=""/>
    <s v="입고"/>
    <s v="Bach tung"/>
    <s v="유영국"/>
    <x v="561"/>
    <s v="RA-09A-0967]ASM EXPOSURE SW"/>
    <n v="250"/>
    <s v=""/>
    <x v="183"/>
    <d v="2026-10-01T00:00:00"/>
    <s v=""/>
    <n v="103231"/>
    <n v="10"/>
    <d v="2026-10-12T00:00:00"/>
    <n v="240"/>
  </r>
  <r>
    <x v="0"/>
    <s v=""/>
    <s v=""/>
    <s v=""/>
    <s v=""/>
    <x v="517"/>
    <s v="RE-04T-0440]CAP HEADREST KNOB"/>
    <n v="286"/>
    <s v=""/>
    <x v="19"/>
    <d v="2026-09-23T00:00:00"/>
    <s v=""/>
    <n v="103231"/>
    <n v="40"/>
    <d v="2026-10-12T00:00:00"/>
    <n v="246"/>
  </r>
  <r>
    <x v="0"/>
    <s v=""/>
    <s v="입고"/>
    <s v="진광"/>
    <s v="장동은"/>
    <x v="430"/>
    <s v="RE-04T-0452]CAP HANDLE A"/>
    <n v="310"/>
    <s v=""/>
    <x v="19"/>
    <d v="2026-09-21T00:00:00"/>
    <s v=""/>
    <n v="103231"/>
    <n v="113"/>
    <d v="2026-10-12T00:00:00"/>
    <n v="197"/>
  </r>
  <r>
    <x v="0"/>
    <s v=""/>
    <s v=""/>
    <s v=""/>
    <s v=""/>
    <x v="531"/>
    <s v="RA-09T-1183]BLK BITE"/>
    <n v="329"/>
    <s v=""/>
    <x v="205"/>
    <d v="2026-09-23T00:00:00"/>
    <s v=""/>
    <n v="103231"/>
    <n v="200"/>
    <d v="2026-10-12T00:00:00"/>
    <n v="129"/>
  </r>
  <r>
    <x v="0"/>
    <s v=""/>
    <s v=""/>
    <s v=""/>
    <s v=""/>
    <x v="562"/>
    <s v="RA-09T-0733]CAS S.W HLDR"/>
    <n v="607"/>
    <s v=""/>
    <x v="178"/>
    <d v="2026-10-07T00:00:00"/>
    <s v=""/>
    <n v="103231"/>
    <n v="40"/>
    <d v="2026-10-12T00:00:00"/>
    <n v="567"/>
  </r>
  <r>
    <x v="0"/>
    <s v=""/>
    <s v="입고"/>
    <s v="진광"/>
    <s v="장동은"/>
    <x v="23"/>
    <s v="RE-04T-0453]CAP HANDLE B"/>
    <n v="620"/>
    <s v=""/>
    <x v="19"/>
    <d v="2026-09-21T00:00:00"/>
    <s v=""/>
    <n v="103231"/>
    <n v="95"/>
    <d v="2026-10-12T00:00:00"/>
    <n v="525"/>
  </r>
  <r>
    <x v="0"/>
    <s v=""/>
    <s v=""/>
    <s v=""/>
    <s v=""/>
    <x v="128"/>
    <s v="RA-03V-1639]PLT ELECT COMPONENT (VA)"/>
    <n v="28"/>
    <s v=""/>
    <x v="83"/>
    <d v="2026-10-06T00:00:00"/>
    <s v=""/>
    <n v="103233"/>
    <n v="10"/>
    <d v="2026-10-13T00:00:00"/>
    <n v="18"/>
  </r>
  <r>
    <x v="0"/>
    <s v=""/>
    <s v=""/>
    <s v=""/>
    <s v=""/>
    <x v="177"/>
    <s v="RA-04A-2748]ASM ARM SUB (A+) (VN)"/>
    <n v="37"/>
    <s v=""/>
    <x v="33"/>
    <d v="2026-09-30T00:00:00"/>
    <s v=""/>
    <n v="103233"/>
    <n v="10"/>
    <d v="2026-10-13T00:00:00"/>
    <n v="27"/>
  </r>
  <r>
    <x v="0"/>
    <s v=""/>
    <s v=""/>
    <s v=""/>
    <s v=""/>
    <x v="193"/>
    <s v="RA-04V-0117] ARM MONITOR"/>
    <n v="42"/>
    <s v=""/>
    <x v="108"/>
    <d v="2026-10-06T00:00:00"/>
    <s v=""/>
    <n v="103233"/>
    <n v="10"/>
    <d v="2026-10-13T00:00:00"/>
    <n v="32"/>
  </r>
  <r>
    <x v="0"/>
    <s v=""/>
    <s v=""/>
    <s v=""/>
    <s v=""/>
    <x v="198"/>
    <s v="RA-03S-6045]SMPS-RPS-200-24V"/>
    <n v="45"/>
    <s v=""/>
    <x v="110"/>
    <d v="2026-10-06T00:00:00"/>
    <s v=""/>
    <n v="103233"/>
    <n v="10"/>
    <d v="2026-10-13T00:00:00"/>
    <n v="35"/>
  </r>
  <r>
    <x v="0"/>
    <s v=""/>
    <s v=""/>
    <s v=""/>
    <s v=""/>
    <x v="214"/>
    <s v="RA-04S-5174]THU Cable Ass'y"/>
    <n v="47"/>
    <s v=""/>
    <x v="117"/>
    <d v="2026-10-06T00:00:00"/>
    <s v=""/>
    <n v="103233"/>
    <n v="7"/>
    <d v="2026-10-13T00:00:00"/>
    <n v="40"/>
  </r>
  <r>
    <x v="0"/>
    <s v=""/>
    <s v=""/>
    <s v=""/>
    <s v=""/>
    <x v="221"/>
    <s v="RA-04V-1709]BRK THU Bd"/>
    <n v="53"/>
    <s v=""/>
    <x v="118"/>
    <d v="2026-10-06T00:00:00"/>
    <s v=""/>
    <n v="103233"/>
    <n v="10"/>
    <d v="2026-10-13T00:00:00"/>
    <n v="43"/>
  </r>
  <r>
    <x v="0"/>
    <s v=""/>
    <s v=""/>
    <s v=""/>
    <s v=""/>
    <x v="232"/>
    <s v="RA-03S-5176]NOISE FILTER RSHN2016"/>
    <n v="55"/>
    <s v=""/>
    <x v="110"/>
    <d v="2026-10-06T00:00:00"/>
    <s v=""/>
    <n v="103233"/>
    <n v="10"/>
    <d v="2026-10-13T00:00:00"/>
    <n v="45"/>
  </r>
  <r>
    <x v="0"/>
    <s v=""/>
    <s v=""/>
    <s v=""/>
    <s v=""/>
    <x v="239"/>
    <s v="RA-03S-5013]Mgnet CONTECTOR-LP1K0910BD"/>
    <n v="57"/>
    <s v=""/>
    <x v="125"/>
    <d v="2026-10-06T00:00:00"/>
    <s v=""/>
    <n v="103233"/>
    <n v="10"/>
    <d v="2026-10-13T00:00:00"/>
    <n v="47"/>
  </r>
  <r>
    <x v="0"/>
    <s v=""/>
    <s v=""/>
    <s v=""/>
    <s v=""/>
    <x v="245"/>
    <s v="RA-04A-1926]ASM CHINREST SUB"/>
    <n v="66"/>
    <s v=""/>
    <x v="104"/>
    <d v="2026-10-06T00:00:00"/>
    <s v=""/>
    <n v="103233"/>
    <n v="10"/>
    <d v="2026-10-13T00:00:00"/>
    <n v="56"/>
  </r>
  <r>
    <x v="0"/>
    <s v=""/>
    <s v=""/>
    <s v=""/>
    <s v=""/>
    <x v="273"/>
    <s v="RA-04M-1339]BLK HEADREST FIX BAR-R"/>
    <n v="71"/>
    <s v=""/>
    <x v="134"/>
    <d v="2026-10-06T00:00:00"/>
    <s v=""/>
    <n v="103233"/>
    <n v="10"/>
    <d v="2026-10-13T00:00:00"/>
    <n v="61"/>
  </r>
  <r>
    <x v="0"/>
    <s v=""/>
    <s v=""/>
    <s v=""/>
    <s v=""/>
    <x v="294"/>
    <s v="RA-03S-5180A]A2K_LBM01-570"/>
    <n v="86"/>
    <s v=""/>
    <x v="74"/>
    <d v="2026-10-06T00:00:00"/>
    <s v=""/>
    <n v="103233"/>
    <n v="10"/>
    <d v="2026-10-13T00:00:00"/>
    <n v="76"/>
  </r>
  <r>
    <x v="0"/>
    <s v=""/>
    <s v=""/>
    <s v=""/>
    <s v=""/>
    <x v="295"/>
    <s v="RA-03S-6025]LBM-RAY01"/>
    <n v="86"/>
    <s v=""/>
    <x v="74"/>
    <d v="2026-10-06T00:00:00"/>
    <s v=""/>
    <n v="103233"/>
    <n v="10"/>
    <d v="2026-10-13T00:00:00"/>
    <n v="76"/>
  </r>
  <r>
    <x v="0"/>
    <s v=""/>
    <s v=""/>
    <s v=""/>
    <s v=""/>
    <x v="323"/>
    <s v="RA-04A-0899]ASM LCD M101NWT2 R1"/>
    <n v="106"/>
    <s v=""/>
    <x v="94"/>
    <d v="2026-10-06T00:00:00"/>
    <s v=""/>
    <n v="103233"/>
    <n v="10"/>
    <d v="2026-10-13T00:00:00"/>
    <n v="96"/>
  </r>
  <r>
    <x v="0"/>
    <s v=""/>
    <s v=""/>
    <s v=""/>
    <s v=""/>
    <x v="321"/>
    <s v="RA-04S-0121]HINGE SET"/>
    <n v="115"/>
    <s v=""/>
    <x v="150"/>
    <d v="2026-10-06T00:00:00"/>
    <s v=""/>
    <n v="103233"/>
    <n v="20"/>
    <d v="2026-10-13T00:00:00"/>
    <n v="95"/>
  </r>
  <r>
    <x v="0"/>
    <s v=""/>
    <s v=""/>
    <s v=""/>
    <s v=""/>
    <x v="351"/>
    <s v="RA-03M-2193]CVR PROT (A+)"/>
    <n v="116"/>
    <s v=""/>
    <x v="74"/>
    <d v="2026-10-06T00:00:00"/>
    <s v=""/>
    <n v="103233"/>
    <n v="10"/>
    <d v="2026-10-13T00:00:00"/>
    <n v="106"/>
  </r>
  <r>
    <x v="0"/>
    <s v=""/>
    <s v=""/>
    <s v=""/>
    <s v=""/>
    <x v="355"/>
    <s v="RA-04M-1338]BLK HEADREST FIX BAR-L"/>
    <n v="121"/>
    <s v=""/>
    <x v="134"/>
    <d v="2026-10-06T00:00:00"/>
    <s v=""/>
    <n v="103233"/>
    <n v="10"/>
    <d v="2026-10-13T00:00:00"/>
    <n v="111"/>
  </r>
  <r>
    <x v="0"/>
    <s v=""/>
    <s v=""/>
    <s v=""/>
    <s v=""/>
    <x v="352"/>
    <s v="RA-04V-0118]BRK MONITOR HINGE"/>
    <n v="126"/>
    <s v=""/>
    <x v="160"/>
    <d v="2026-10-06T00:00:00"/>
    <s v=""/>
    <n v="103233"/>
    <n v="20"/>
    <d v="2026-10-13T00:00:00"/>
    <n v="106"/>
  </r>
  <r>
    <x v="0"/>
    <s v=""/>
    <s v=""/>
    <s v=""/>
    <s v=""/>
    <x v="369"/>
    <s v="RA-04V-1708]CVR THU Bd"/>
    <n v="130"/>
    <s v=""/>
    <x v="165"/>
    <d v="2026-10-06T00:00:00"/>
    <s v=""/>
    <n v="103233"/>
    <n v="10"/>
    <d v="2026-10-13T00:00:00"/>
    <n v="120"/>
  </r>
  <r>
    <x v="0"/>
    <s v=""/>
    <s v=""/>
    <s v=""/>
    <s v=""/>
    <x v="391"/>
    <s v="RA-03A-6012]Bd ASSY'-ACT Bd(A/A+)"/>
    <n v="150"/>
    <s v=""/>
    <x v="172"/>
    <d v="2026-10-06T00:00:00"/>
    <s v=""/>
    <n v="103233"/>
    <n v="10"/>
    <d v="2026-10-13T00:00:00"/>
    <n v="140"/>
  </r>
  <r>
    <x v="0"/>
    <s v=""/>
    <s v=""/>
    <s v=""/>
    <s v=""/>
    <x v="424"/>
    <s v="RA-03T-1992]HLDR LASER BEAM V"/>
    <n v="195"/>
    <s v=""/>
    <x v="74"/>
    <d v="2026-10-06T00:00:00"/>
    <s v=""/>
    <n v="103233"/>
    <n v="10"/>
    <d v="2026-10-13T00:00:00"/>
    <n v="185"/>
  </r>
  <r>
    <x v="0"/>
    <s v=""/>
    <s v=""/>
    <s v=""/>
    <s v=""/>
    <x v="425"/>
    <s v="RA-03A-6016A]BD ASSY'-AC FUSE BLK"/>
    <n v="196"/>
    <s v=""/>
    <x v="181"/>
    <d v="2026-10-06T00:00:00"/>
    <s v=""/>
    <n v="103233"/>
    <n v="10"/>
    <d v="2026-10-13T00:00:00"/>
    <n v="186"/>
  </r>
  <r>
    <x v="0"/>
    <s v=""/>
    <s v=""/>
    <s v=""/>
    <s v=""/>
    <x v="181"/>
    <s v="RA-03A-0050_I]ASM HORIZONTAL LASER BEAM"/>
    <n v="224"/>
    <s v=""/>
    <x v="104"/>
    <d v="2026-10-06T00:00:00"/>
    <s v=""/>
    <n v="103233"/>
    <n v="10"/>
    <d v="2026-10-13T00:00:00"/>
    <n v="214"/>
  </r>
  <r>
    <x v="0"/>
    <s v=""/>
    <s v=""/>
    <s v=""/>
    <s v=""/>
    <x v="444"/>
    <s v="RA-04M-2399]GUIDE BITE BLK A (A+)"/>
    <n v="238"/>
    <s v=""/>
    <x v="128"/>
    <d v="2026-10-06T00:00:00"/>
    <s v=""/>
    <n v="103233"/>
    <n v="10"/>
    <d v="2026-10-13T00:00:00"/>
    <n v="228"/>
  </r>
  <r>
    <x v="0"/>
    <s v=""/>
    <s v=""/>
    <s v=""/>
    <s v=""/>
    <x v="446"/>
    <s v="RA-1-1_2]AC POWER FUSE TO NF2"/>
    <n v="239"/>
    <s v=""/>
    <x v="184"/>
    <d v="2026-10-06T00:00:00"/>
    <s v=""/>
    <n v="103233"/>
    <n v="10"/>
    <d v="2026-10-13T00:00:00"/>
    <n v="229"/>
  </r>
  <r>
    <x v="0"/>
    <s v=""/>
    <s v=""/>
    <s v=""/>
    <s v=""/>
    <x v="465"/>
    <s v="RA-03A-6046]SMPS CONN B/D"/>
    <n v="314"/>
    <s v=""/>
    <x v="111"/>
    <d v="2026-10-06T00:00:00"/>
    <s v=""/>
    <n v="103233"/>
    <n v="10"/>
    <d v="2026-10-13T00:00:00"/>
    <n v="304"/>
  </r>
  <r>
    <x v="0"/>
    <s v=""/>
    <s v=""/>
    <s v=""/>
    <s v=""/>
    <x v="452"/>
    <s v="RA-1-2_2]AC POWER FUSE TO NF1"/>
    <n v="500"/>
    <s v=""/>
    <x v="184"/>
    <d v="2026-10-06T00:00:00"/>
    <s v=""/>
    <n v="103233"/>
    <n v="10"/>
    <d v="2026-10-13T00:00:00"/>
    <n v="490"/>
  </r>
  <r>
    <x v="0"/>
    <s v=""/>
    <s v=""/>
    <s v=""/>
    <s v=""/>
    <x v="503"/>
    <s v="RA-03M-0063]GUIDE PIN 2"/>
    <n v="642"/>
    <s v=""/>
    <x v="163"/>
    <d v="2026-10-06T00:00:00"/>
    <s v=""/>
    <n v="103233"/>
    <n v="20"/>
    <d v="2026-10-13T00:00:00"/>
    <n v="622"/>
  </r>
  <r>
    <x v="0"/>
    <s v=""/>
    <s v=""/>
    <s v=""/>
    <s v=""/>
    <x v="270"/>
    <s v="RA-09A-1940]ASM REMOTE(α)"/>
    <n v="65"/>
    <s v=""/>
    <x v="133"/>
    <d v="2026-09-29T00:00:00"/>
    <s v=""/>
    <n v="103699"/>
    <n v="5"/>
    <d v="2026-10-08T00:00:00"/>
    <n v="60"/>
  </r>
  <r>
    <x v="0"/>
    <s v=""/>
    <s v=""/>
    <s v=""/>
    <s v=""/>
    <x v="569"/>
    <s v="RA-04T-1707]CAS MONITOR DECO"/>
    <n v="246"/>
    <s v=""/>
    <x v="178"/>
    <d v="2026-09-29T00:00:00"/>
    <s v=""/>
    <n v="103703"/>
    <n v="30"/>
    <d v="2026-10-07T00:00:00"/>
    <n v="216"/>
  </r>
  <r>
    <x v="0"/>
    <s v=""/>
    <s v="입고"/>
    <s v="하이크로봇"/>
    <s v="장동은"/>
    <x v="45"/>
    <s v="RF-01S-5085]FACE CAM"/>
    <n v="12"/>
    <s v=""/>
    <x v="36"/>
    <d v="2026-10-06T00:00:00"/>
    <s v=""/>
    <n v="103708"/>
    <n v="10"/>
    <d v="2026-10-07T00:00:00"/>
    <n v="2"/>
  </r>
  <r>
    <x v="0"/>
    <s v=""/>
    <s v=""/>
    <s v=""/>
    <s v=""/>
    <x v="441"/>
    <s v="RA-02S-2278]TIMMING BELT"/>
    <n v="255"/>
    <s v=""/>
    <x v="185"/>
    <d v="2026-09-28T00:00:00"/>
    <s v=""/>
    <n v="103708"/>
    <n v="30"/>
    <d v="2026-10-07T00:00:00"/>
    <n v="225"/>
  </r>
  <r>
    <x v="0"/>
    <s v=""/>
    <s v=""/>
    <s v=""/>
    <s v=""/>
    <x v="435"/>
    <s v="RA-1-8B]AC POWER PFC CONNECT"/>
    <n v="342"/>
    <s v=""/>
    <x v="184"/>
    <d v="2026-09-30T00:00:00"/>
    <s v=""/>
    <n v="103712"/>
    <n v="70"/>
    <d v="2026-10-08T00:00:00"/>
    <n v="272"/>
  </r>
  <r>
    <x v="0"/>
    <s v=""/>
    <s v=""/>
    <s v=""/>
    <s v=""/>
    <x v="421"/>
    <s v="RA-5-5]EARTH ROT TO PFC"/>
    <n v="476"/>
    <s v=""/>
    <x v="30"/>
    <d v="2026-09-30T00:00:00"/>
    <s v=""/>
    <n v="103712"/>
    <n v="70"/>
    <d v="2026-10-08T00:00:00"/>
    <n v="406"/>
  </r>
  <r>
    <x v="0"/>
    <s v=""/>
    <s v="입고"/>
    <s v="다유"/>
    <s v="유영국"/>
    <x v="31"/>
    <s v="RA-03V-0062]PLT CLMN BODY (LWR)"/>
    <n v="50"/>
    <s v=""/>
    <x v="24"/>
    <d v="2026-09-22T00:00:00"/>
    <s v=""/>
    <n v="103718"/>
    <n v="50"/>
    <d v="2026-10-07T00:00:00"/>
    <n v="0"/>
  </r>
  <r>
    <x v="0"/>
    <s v=""/>
    <s v=""/>
    <s v=""/>
    <s v=""/>
    <x v="72"/>
    <s v="RA-06M-0520]HEATSINK"/>
    <n v="45"/>
    <s v=""/>
    <x v="55"/>
    <d v="2026-09-30T00:00:00"/>
    <s v=""/>
    <n v="103724"/>
    <n v="17"/>
    <d v="2026-10-08T00:00:00"/>
    <n v="28"/>
  </r>
  <r>
    <x v="0"/>
    <s v=""/>
    <s v=""/>
    <s v=""/>
    <s v=""/>
    <x v="478"/>
    <s v="RA-02A-2008]ASM B-Ring ROT Mdl (A+)"/>
    <n v="406"/>
    <s v=""/>
    <x v="11"/>
    <d v="2026-09-28T00:00:00"/>
    <s v=""/>
    <n v="103965"/>
    <n v="10"/>
    <d v="2026-10-08T00:00:00"/>
    <n v="396"/>
  </r>
  <r>
    <x v="0"/>
    <s v=""/>
    <s v=""/>
    <s v=""/>
    <s v=""/>
    <x v="540"/>
    <s v="RE-02B-5105]eINDICATOR Bd"/>
    <n v="66"/>
    <s v=""/>
    <x v="213"/>
    <d v="2026-09-18T00:00:00"/>
    <s v=""/>
    <n v="103971"/>
    <n v="4"/>
    <d v="2026-10-08T00:00:00"/>
    <n v="62"/>
  </r>
  <r>
    <x v="0"/>
    <s v=""/>
    <s v="입고"/>
    <s v="A&amp;T"/>
    <s v="장동은"/>
    <x v="556"/>
    <s v="ASM ROTATOR"/>
    <n v="18"/>
    <s v=""/>
    <x v="33"/>
    <d v="2026-10-01T00:00:00"/>
    <s v=""/>
    <n v="104212"/>
    <n v="18"/>
    <d v="2026-10-08T00:00:00"/>
    <n v="0"/>
  </r>
  <r>
    <x v="0"/>
    <s v=""/>
    <s v="입고"/>
    <s v="A&amp;T"/>
    <s v="장동은"/>
    <x v="556"/>
    <s v="ASM ROTATOR"/>
    <n v="58"/>
    <s v=""/>
    <x v="33"/>
    <d v="2026-10-06T00:00:00"/>
    <s v=""/>
    <n v="104212"/>
    <n v="58"/>
    <d v="2026-10-08T00:00:00"/>
    <n v="0"/>
  </r>
  <r>
    <x v="0"/>
    <s v=""/>
    <s v=""/>
    <s v=""/>
    <s v=""/>
    <x v="540"/>
    <s v="RE-02B-5105]eINDICATOR Bd"/>
    <n v="22"/>
    <s v=""/>
    <x v="213"/>
    <d v="2026-10-12T00:00:00"/>
    <s v=""/>
    <n v="104224"/>
    <n v="2"/>
    <d v="2026-10-12T00:00:00"/>
    <n v="20"/>
  </r>
  <r>
    <x v="0"/>
    <s v=""/>
    <s v=""/>
    <s v=""/>
    <s v=""/>
    <x v="517"/>
    <s v="RE-04T-0440]CAP HEADREST KNOB"/>
    <n v="246"/>
    <s v=""/>
    <x v="19"/>
    <d v="2026-10-12T00:00:00"/>
    <s v=""/>
    <n v="104753"/>
    <n v="4"/>
    <d v="2026-10-12T00:00:00"/>
    <n v="242"/>
  </r>
  <r>
    <x v="0"/>
    <s v=""/>
    <s v=""/>
    <s v=""/>
    <s v=""/>
    <x v="20"/>
    <s v="RE-09T-0902]CAS CHINREST LOW"/>
    <n v="48"/>
    <s v=""/>
    <x v="16"/>
    <d v="2026-10-12T00:00:00"/>
    <s v=""/>
    <n v="104753"/>
    <n v="4"/>
    <d v="2026-10-12T00:00:00"/>
    <n v="44"/>
  </r>
  <r>
    <x v="0"/>
    <s v=""/>
    <s v=""/>
    <s v=""/>
    <s v=""/>
    <x v="518"/>
    <s v="RE-09T-0904]CAS TMJREST"/>
    <n v="15"/>
    <s v=""/>
    <x v="16"/>
    <d v="2026-10-12T00:00:00"/>
    <s v=""/>
    <n v="104753"/>
    <n v="6"/>
    <d v="2026-10-12T00:00:00"/>
    <n v="9"/>
  </r>
  <r>
    <x v="0"/>
    <s v=""/>
    <s v=""/>
    <s v=""/>
    <s v=""/>
    <x v="519"/>
    <s v="RE-04T-0419]CAS HANDLE REAR"/>
    <n v="34"/>
    <s v=""/>
    <x v="203"/>
    <d v="2026-09-23T00:00:00"/>
    <s v=""/>
    <n v="104753"/>
    <n v="6"/>
    <d v="2026-10-12T00:00:00"/>
    <n v="28"/>
  </r>
  <r>
    <x v="0"/>
    <s v=""/>
    <s v=""/>
    <s v=""/>
    <s v=""/>
    <x v="520"/>
    <s v="RE-04T-0416]CAS HANDLE FRONT"/>
    <n v="34"/>
    <s v=""/>
    <x v="203"/>
    <d v="2026-09-23T00:00:00"/>
    <s v=""/>
    <n v="104753"/>
    <n v="6"/>
    <d v="2026-10-12T00:00:00"/>
    <n v="28"/>
  </r>
  <r>
    <x v="0"/>
    <s v=""/>
    <s v=""/>
    <s v=""/>
    <s v=""/>
    <x v="521"/>
    <s v="RE-04V-0418]PLT HANDLE REAR"/>
    <n v="198"/>
    <s v=""/>
    <x v="14"/>
    <d v="2026-09-23T00:00:00"/>
    <s v=""/>
    <n v="104753"/>
    <n v="6"/>
    <d v="2026-10-12T00:00:00"/>
    <n v="192"/>
  </r>
  <r>
    <x v="0"/>
    <s v=""/>
    <s v=""/>
    <s v=""/>
    <s v=""/>
    <x v="522"/>
    <s v="RE-04V-0417]PLT HANDLE FRONT"/>
    <n v="198"/>
    <s v=""/>
    <x v="14"/>
    <d v="2026-09-23T00:00:00"/>
    <s v=""/>
    <n v="104753"/>
    <n v="6"/>
    <d v="2026-10-12T00:00:00"/>
    <n v="192"/>
  </r>
  <r>
    <x v="0"/>
    <s v=""/>
    <s v=""/>
    <s v=""/>
    <s v=""/>
    <x v="596"/>
    <s v="RE-03T-0309]CAS CLMN DECO"/>
    <n v="6"/>
    <s v=""/>
    <x v="225"/>
    <d v="2026-09-23T00:00:00"/>
    <s v=""/>
    <n v="104753"/>
    <n v="6"/>
    <d v="2026-10-12T00:00:00"/>
    <n v="0"/>
  </r>
  <r>
    <x v="0"/>
    <s v=""/>
    <s v=""/>
    <s v=""/>
    <s v=""/>
    <x v="523"/>
    <s v="RE-09T-0901]CAS CHINREST"/>
    <n v="41"/>
    <s v=""/>
    <x v="16"/>
    <d v="2026-10-12T00:00:00"/>
    <s v=""/>
    <n v="104753"/>
    <n v="6"/>
    <d v="2026-10-12T00:00:00"/>
    <n v="35"/>
  </r>
  <r>
    <x v="0"/>
    <s v=""/>
    <s v=""/>
    <s v=""/>
    <s v=""/>
    <x v="21"/>
    <s v="RA-09S-0389]CVR BITE BLK VINYL CVR"/>
    <n v="52"/>
    <s v=""/>
    <x v="17"/>
    <d v="2026-10-12T00:00:00"/>
    <s v=""/>
    <n v="104753"/>
    <n v="8"/>
    <d v="2026-10-12T00:00:00"/>
    <n v="44"/>
  </r>
  <r>
    <x v="0"/>
    <s v=""/>
    <s v=""/>
    <s v=""/>
    <s v=""/>
    <x v="524"/>
    <s v="RE-09S-0921]STK MAGNET RED"/>
    <n v="155"/>
    <s v=""/>
    <x v="204"/>
    <d v="2026-09-23T00:00:00"/>
    <s v=""/>
    <n v="104753"/>
    <n v="8"/>
    <d v="2026-10-12T00:00:00"/>
    <n v="147"/>
  </r>
  <r>
    <x v="0"/>
    <s v=""/>
    <s v=""/>
    <s v=""/>
    <s v=""/>
    <x v="525"/>
    <s v="RE-09T-0905]CAS TEMPLE SUP L"/>
    <n v="46"/>
    <s v=""/>
    <x v="16"/>
    <d v="2026-09-23T00:00:00"/>
    <s v=""/>
    <n v="104753"/>
    <n v="8"/>
    <d v="2026-10-12T00:00:00"/>
    <n v="38"/>
  </r>
  <r>
    <x v="0"/>
    <s v=""/>
    <s v=""/>
    <s v=""/>
    <s v=""/>
    <x v="526"/>
    <s v="RE-09S-0922]STK MAGNET BLUE"/>
    <n v="150"/>
    <s v=""/>
    <x v="204"/>
    <d v="2026-09-23T00:00:00"/>
    <s v=""/>
    <n v="104753"/>
    <n v="8"/>
    <d v="2026-10-12T00:00:00"/>
    <n v="142"/>
  </r>
  <r>
    <x v="0"/>
    <s v=""/>
    <s v=""/>
    <s v=""/>
    <s v=""/>
    <x v="527"/>
    <s v="RE-09T-0906]CAS TEMPLE SUP R"/>
    <n v="45"/>
    <s v=""/>
    <x v="16"/>
    <d v="2026-09-23T00:00:00"/>
    <s v=""/>
    <n v="104753"/>
    <n v="8"/>
    <d v="2026-10-12T00:00:00"/>
    <n v="37"/>
  </r>
  <r>
    <x v="0"/>
    <s v=""/>
    <s v=""/>
    <s v=""/>
    <s v=""/>
    <x v="597"/>
    <s v="RE-09S-0909]STK FOOT"/>
    <n v="8"/>
    <s v=""/>
    <x v="204"/>
    <d v="2026-10-12T00:00:00"/>
    <s v=""/>
    <n v="104753"/>
    <n v="8"/>
    <d v="2026-10-12T00:00:00"/>
    <n v="0"/>
  </r>
  <r>
    <x v="0"/>
    <s v=""/>
    <s v=""/>
    <s v=""/>
    <s v=""/>
    <x v="601"/>
    <s v="RE-09S-0908]FOOT STK JIG"/>
    <n v="8"/>
    <s v=""/>
    <x v="204"/>
    <d v="2026-10-12T00:00:00"/>
    <s v=""/>
    <n v="104753"/>
    <n v="8"/>
    <d v="2026-10-12T00:00:00"/>
    <n v="0"/>
  </r>
  <r>
    <x v="0"/>
    <s v=""/>
    <s v=""/>
    <s v=""/>
    <s v=""/>
    <x v="528"/>
    <s v=""/>
    <n v="73"/>
    <s v=""/>
    <x v="18"/>
    <d v="2026-10-12T00:00:00"/>
    <s v=""/>
    <n v="104753"/>
    <n v="8"/>
    <d v="2026-10-12T00:00:00"/>
    <n v="65"/>
  </r>
  <r>
    <x v="0"/>
    <s v=""/>
    <s v=""/>
    <s v=""/>
    <s v=""/>
    <x v="529"/>
    <s v="RA-09T-1132]CAS EDENTULOUS GUIDE"/>
    <n v="206"/>
    <s v=""/>
    <x v="205"/>
    <d v="2026-10-12T00:00:00"/>
    <s v=""/>
    <n v="104753"/>
    <n v="8"/>
    <d v="2026-10-12T00:00:00"/>
    <n v="198"/>
  </r>
  <r>
    <x v="0"/>
    <s v=""/>
    <s v=""/>
    <s v=""/>
    <s v=""/>
    <x v="598"/>
    <s v="RE-03T-0306]CAS CLMN FRONT"/>
    <n v="10"/>
    <s v=""/>
    <x v="226"/>
    <d v="2026-10-12T00:00:00"/>
    <s v=""/>
    <n v="104753"/>
    <n v="10"/>
    <d v="2026-10-12T00:00:00"/>
    <n v="0"/>
  </r>
  <r>
    <x v="0"/>
    <s v=""/>
    <s v=""/>
    <s v=""/>
    <s v=""/>
    <x v="22"/>
    <s v="RE-02T-0247]CAS VERT TOP"/>
    <n v="48"/>
    <s v=""/>
    <x v="18"/>
    <d v="2026-10-12T00:00:00"/>
    <s v=""/>
    <n v="104753"/>
    <n v="10"/>
    <d v="2026-10-12T00:00:00"/>
    <n v="38"/>
  </r>
  <r>
    <x v="0"/>
    <s v=""/>
    <s v=""/>
    <s v=""/>
    <s v=""/>
    <x v="530"/>
    <s v="RE-09S-0907]MAGNET TEMPLE SUP 15_8"/>
    <n v="10"/>
    <s v=""/>
    <x v="206"/>
    <d v="2026-09-23T00:00:00"/>
    <s v=""/>
    <n v="104753"/>
    <n v="10"/>
    <d v="2026-10-12T00:00:00"/>
    <n v="0"/>
  </r>
  <r>
    <x v="0"/>
    <s v=""/>
    <s v="입고"/>
    <s v="플랜피뎀"/>
    <s v="유영국"/>
    <x v="530"/>
    <s v="RE-09S-0907]MAGNET TEMPLE SUP 15_8"/>
    <n v="100"/>
    <s v=""/>
    <x v="206"/>
    <d v="2026-10-02T00:00:00"/>
    <s v=""/>
    <n v="104753"/>
    <n v="6"/>
    <d v="2026-10-12T00:00:00"/>
    <n v="94"/>
  </r>
  <r>
    <x v="0"/>
    <s v=""/>
    <s v=""/>
    <s v=""/>
    <s v=""/>
    <x v="23"/>
    <s v="RE-04T-0453]CAP HANDLE B"/>
    <n v="525"/>
    <s v=""/>
    <x v="19"/>
    <d v="2026-10-12T00:00:00"/>
    <s v=""/>
    <n v="104753"/>
    <n v="18"/>
    <d v="2026-10-12T00:00:00"/>
    <n v="507"/>
  </r>
  <r>
    <x v="0"/>
    <s v=""/>
    <s v=""/>
    <s v=""/>
    <s v=""/>
    <x v="599"/>
    <s v="RE-01T-0103]CAS MAIN Bas R"/>
    <n v="20"/>
    <s v=""/>
    <x v="227"/>
    <d v="2026-10-12T00:00:00"/>
    <s v=""/>
    <n v="104753"/>
    <n v="20"/>
    <d v="2026-10-12T00:00:00"/>
    <n v="0"/>
  </r>
  <r>
    <x v="0"/>
    <s v=""/>
    <s v=""/>
    <s v=""/>
    <s v=""/>
    <x v="600"/>
    <s v="RE-01T-0102]CAS MAIN Bas L"/>
    <n v="20"/>
    <s v=""/>
    <x v="228"/>
    <d v="2026-10-12T00:00:00"/>
    <s v=""/>
    <n v="104753"/>
    <n v="20"/>
    <d v="2026-10-12T00:00:00"/>
    <n v="0"/>
  </r>
  <r>
    <x v="0"/>
    <s v=""/>
    <s v=""/>
    <s v=""/>
    <s v=""/>
    <x v="576"/>
    <s v="RE-03T-0308]CAS CLMN REAR R"/>
    <n v="3"/>
    <s v=""/>
    <x v="216"/>
    <d v="2026-10-12T00:00:00"/>
    <s v=""/>
    <n v="104753"/>
    <n v="3"/>
    <d v="2026-10-12T00:00:00"/>
    <n v="0"/>
  </r>
  <r>
    <x v="0"/>
    <s v=""/>
    <s v="입고"/>
    <s v="진광"/>
    <s v="장동은"/>
    <x v="576"/>
    <s v="RE-03T-0308]CAS CLMN REAR R"/>
    <n v="50"/>
    <s v=""/>
    <x v="216"/>
    <d v="2026-09-23T00:00:00"/>
    <s v=""/>
    <n v="104753"/>
    <n v="23"/>
    <d v="2026-10-12T00:00:00"/>
    <n v="27"/>
  </r>
  <r>
    <x v="0"/>
    <s v=""/>
    <s v=""/>
    <s v=""/>
    <s v=""/>
    <x v="575"/>
    <s v="RE-03T-0307]CAS CLMN REAR L"/>
    <n v="136"/>
    <s v=""/>
    <x v="216"/>
    <d v="2026-10-12T00:00:00"/>
    <s v=""/>
    <n v="104753"/>
    <n v="23"/>
    <d v="2026-10-12T00:00:00"/>
    <n v="113"/>
  </r>
  <r>
    <x v="0"/>
    <s v=""/>
    <s v=""/>
    <s v=""/>
    <s v=""/>
    <x v="531"/>
    <s v="RA-09T-1183]BLK BITE"/>
    <n v="129"/>
    <s v=""/>
    <x v="205"/>
    <d v="2026-10-12T00:00:00"/>
    <s v=""/>
    <n v="104753"/>
    <n v="30"/>
    <d v="2026-10-12T00:00:00"/>
    <n v="99"/>
  </r>
  <r>
    <x v="0"/>
    <s v=""/>
    <s v=""/>
    <s v=""/>
    <s v=""/>
    <x v="561"/>
    <s v="RA-09A-0967]ASM EXPOSURE SW"/>
    <n v="240"/>
    <s v=""/>
    <x v="183"/>
    <d v="2026-10-12T00:00:00"/>
    <s v=""/>
    <n v="104753"/>
    <n v="30"/>
    <d v="2026-10-12T00:00:00"/>
    <n v="210"/>
  </r>
  <r>
    <x v="0"/>
    <s v=""/>
    <s v=""/>
    <s v=""/>
    <s v=""/>
    <x v="606"/>
    <s v="RA-05V-0186]BRK CAS ROT TOP"/>
    <n v="141"/>
    <s v=""/>
    <x v="15"/>
    <d v="2026-09-30T00:00:00"/>
    <s v=""/>
    <s v="사급"/>
    <n v="100"/>
    <d v="2026-09-23T00:00:00"/>
    <n v="41"/>
  </r>
  <r>
    <x v="0"/>
    <s v=""/>
    <s v="입고"/>
    <s v=""/>
    <s v=""/>
    <x v="423"/>
    <s v="RF-01T-0160_C]Bas BOT LWR"/>
    <n v="200"/>
    <s v=""/>
    <x v="180"/>
    <d v="2026-07-31T00:00:00"/>
    <s v=""/>
    <s v="사급"/>
    <n v="200"/>
    <d v="2026-07-31T00:00:00"/>
    <n v="0"/>
  </r>
  <r>
    <x v="0"/>
    <s v=""/>
    <s v="입고"/>
    <s v=""/>
    <s v=""/>
    <x v="414"/>
    <s v="RF-01T-0161]Bas BOT UPPER"/>
    <n v="200"/>
    <s v=""/>
    <x v="177"/>
    <d v="2026-07-31T00:00:00"/>
    <s v=""/>
    <s v="사급"/>
    <n v="200"/>
    <d v="2026-07-31T00:00:00"/>
    <n v="0"/>
  </r>
  <r>
    <x v="0"/>
    <s v=""/>
    <s v="기초"/>
    <s v=""/>
    <s v=""/>
    <x v="515"/>
    <s v="RA-04V-0110]BRK CAS ARM BOT (REAR)"/>
    <n v="2071"/>
    <s v=""/>
    <x v="15"/>
    <d v="2026-09-11T00:00:00"/>
    <s v=""/>
    <s v="사급"/>
    <n v="1000"/>
    <d v="2026-09-23T00:00:00"/>
    <n v="1071"/>
  </r>
  <r>
    <x v="1"/>
    <s v=""/>
    <s v=""/>
    <s v=""/>
    <s v=""/>
    <x v="0"/>
    <s v="RA-3-3B]DCM CONTROL-B"/>
    <n v="382"/>
    <s v=""/>
    <x v="0"/>
    <d v="2026-10-02T00:00:00"/>
    <s v=""/>
    <s v=""/>
    <s v=""/>
    <s v=""/>
    <n v="382"/>
  </r>
  <r>
    <x v="1"/>
    <s v=""/>
    <s v=""/>
    <s v=""/>
    <s v=""/>
    <x v="1"/>
    <s v="RA-06M-0432]FLANGE TUBE TILT SHAFT B"/>
    <n v="229"/>
    <s v=""/>
    <x v="1"/>
    <d v="2026-10-02T00:00:00"/>
    <s v=""/>
    <s v=""/>
    <s v=""/>
    <s v=""/>
    <n v="229"/>
  </r>
  <r>
    <x v="1"/>
    <s v=""/>
    <s v=""/>
    <s v=""/>
    <s v=""/>
    <x v="2"/>
    <s v="RA-06V-0241]GUIDE TUBE TILT MICRO SW"/>
    <n v="471"/>
    <s v=""/>
    <x v="2"/>
    <d v="2026-10-02T00:00:00"/>
    <s v=""/>
    <s v=""/>
    <s v=""/>
    <s v=""/>
    <n v="471"/>
  </r>
  <r>
    <x v="1"/>
    <s v=""/>
    <s v=""/>
    <s v=""/>
    <s v=""/>
    <x v="3"/>
    <s v="RA-06V-0242]BRK TUBE TILT MICRO SW"/>
    <n v="287"/>
    <s v=""/>
    <x v="3"/>
    <d v="2026-10-02T00:00:00"/>
    <s v=""/>
    <s v=""/>
    <s v=""/>
    <s v=""/>
    <n v="287"/>
  </r>
  <r>
    <x v="1"/>
    <s v=""/>
    <s v=""/>
    <s v=""/>
    <s v=""/>
    <x v="4"/>
    <s v="RA-06V-0866]BRK TUBE TILT MICRO SW"/>
    <n v="581"/>
    <s v=""/>
    <x v="3"/>
    <d v="2026-10-02T00:00:00"/>
    <s v=""/>
    <s v=""/>
    <s v=""/>
    <s v=""/>
    <n v="581"/>
  </r>
  <r>
    <x v="1"/>
    <s v=""/>
    <s v=""/>
    <s v=""/>
    <s v=""/>
    <x v="5"/>
    <s v="RA-06V-3253]HLDR DC GEARED MOT (M+)"/>
    <n v="339"/>
    <s v=""/>
    <x v="4"/>
    <d v="2026-10-02T00:00:00"/>
    <s v=""/>
    <s v=""/>
    <s v=""/>
    <s v=""/>
    <n v="339"/>
  </r>
  <r>
    <x v="1"/>
    <s v=""/>
    <s v=""/>
    <s v=""/>
    <s v=""/>
    <x v="6"/>
    <s v="RA-06A-5005]Bd ASSY'-DC MOT Bd"/>
    <n v="634"/>
    <s v=""/>
    <x v="5"/>
    <d v="2026-10-02T00:00:00"/>
    <s v=""/>
    <s v=""/>
    <s v=""/>
    <s v=""/>
    <n v="634"/>
  </r>
  <r>
    <x v="1"/>
    <s v=""/>
    <s v=""/>
    <s v=""/>
    <s v=""/>
    <x v="7"/>
    <s v="RA-06S-5091] DC motor(HDSG56-3448C-615)"/>
    <n v="294"/>
    <s v=""/>
    <x v="6"/>
    <d v="2026-10-02T00:00:00"/>
    <s v=""/>
    <s v=""/>
    <s v=""/>
    <s v=""/>
    <n v="294"/>
  </r>
  <r>
    <x v="1"/>
    <s v=""/>
    <s v=""/>
    <s v=""/>
    <s v=""/>
    <x v="8"/>
    <s v="RA-06M-0243]BLK TUBE TILT LIMIT"/>
    <n v="52"/>
    <s v=""/>
    <x v="7"/>
    <d v="2026-10-02T00:00:00"/>
    <s v=""/>
    <s v=""/>
    <s v=""/>
    <s v=""/>
    <n v="52"/>
  </r>
  <r>
    <x v="1"/>
    <s v=""/>
    <s v=""/>
    <s v=""/>
    <s v=""/>
    <x v="9"/>
    <s v="RA-06M-0244]PIN TUBE TILT LIMIT"/>
    <n v="274"/>
    <s v=""/>
    <x v="7"/>
    <d v="2026-10-02T00:00:00"/>
    <s v=""/>
    <s v=""/>
    <s v=""/>
    <s v=""/>
    <n v="274"/>
  </r>
  <r>
    <x v="1"/>
    <s v=""/>
    <s v=""/>
    <s v=""/>
    <s v=""/>
    <x v="10"/>
    <s v="RA-06S-5018]MICRO SWITCH"/>
    <n v="160"/>
    <s v=""/>
    <x v="8"/>
    <d v="2026-10-02T00:00:00"/>
    <s v=""/>
    <s v=""/>
    <s v=""/>
    <s v=""/>
    <n v="16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2"/>
    <s v=""/>
    <s v=""/>
    <s v=""/>
    <s v=""/>
    <x v="609"/>
    <s v=""/>
    <n v="0"/>
    <s v=""/>
    <x v="50"/>
    <s v=""/>
    <s v=""/>
    <s v=""/>
    <s v=""/>
    <s v=""/>
    <n v="0"/>
  </r>
  <r>
    <x v="3"/>
    <m/>
    <m/>
    <m/>
    <m/>
    <x v="610"/>
    <m/>
    <m/>
    <m/>
    <x v="23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A2D91-44CB-4127-8AA7-430DB885A9BE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gridDropZones="1" multipleFieldFilters="0">
  <location ref="A3:C587" firstHeaderRow="2" firstDataRow="2" firstDataCol="2" rowPageCount="1" colPageCount="1"/>
  <pivotFields count="16">
    <pivotField axis="axisPage" compact="0" outline="0" multipleItemSelectionAllowed="1" showAll="0">
      <items count="5">
        <item x="1"/>
        <item h="1" x="0"/>
        <item h="1" x="3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800">
        <item sd="0" x="335"/>
        <item m="1" x="752"/>
        <item sd="0" m="1" x="688"/>
        <item sd="0" x="565"/>
        <item sd="0" x="564"/>
        <item sd="0" m="1" x="746"/>
        <item sd="0" x="478"/>
        <item sd="0" x="353"/>
        <item sd="0" x="363"/>
        <item sd="0" x="436"/>
        <item sd="0" x="367"/>
        <item sd="0" x="337"/>
        <item sd="0" x="354"/>
        <item sd="0" x="365"/>
        <item sd="0" x="24"/>
        <item sd="0" x="535"/>
        <item sd="0" x="168"/>
        <item sd="0" x="378"/>
        <item sd="0" x="490"/>
        <item sd="0" x="508"/>
        <item sd="0" x="496"/>
        <item sd="0" m="1" x="786"/>
        <item sd="0" x="443"/>
        <item sd="0" x="98"/>
        <item sd="0" x="608"/>
        <item sd="0" x="453"/>
        <item sd="0" x="441"/>
        <item sd="0" x="511"/>
        <item sd="0" x="296"/>
        <item sd="0" x="570"/>
        <item sd="0" m="1" x="765"/>
        <item sd="0" x="219"/>
        <item sd="0" x="247"/>
        <item sd="0" m="1" x="648"/>
        <item sd="0" x="476"/>
        <item sd="0" x="491"/>
        <item sd="0" x="488"/>
        <item sd="0" x="456"/>
        <item sd="0" x="477"/>
        <item sd="0" x="396"/>
        <item sd="0" x="484"/>
        <item sd="0" x="481"/>
        <item sd="0" m="1" x="659"/>
        <item sd="0" x="447"/>
        <item sd="0" x="489"/>
        <item sd="0" x="181"/>
        <item x="552"/>
        <item sd="0" x="13"/>
        <item sd="0" x="12"/>
        <item sd="0" m="1" x="732"/>
        <item sd="0" m="1" x="692"/>
        <item sd="0" x="465"/>
        <item sd="0" x="387"/>
        <item sd="0" x="351"/>
        <item sd="0" m="1" x="749"/>
        <item sd="0" m="1" x="717"/>
        <item sd="0" x="239"/>
        <item sd="0" x="232"/>
        <item sd="0" m="1" x="695"/>
        <item sd="0" m="1" x="675"/>
        <item sd="0" x="389"/>
        <item sd="0" x="295"/>
        <item x="198"/>
        <item sd="0" m="1" x="678"/>
        <item sd="0" x="566"/>
        <item x="115"/>
        <item sd="0" x="424"/>
        <item sd="0" x="237"/>
        <item sd="0" x="191"/>
        <item sd="0" x="568"/>
        <item x="567"/>
        <item sd="0" x="31"/>
        <item sd="0" x="128"/>
        <item sd="0" x="357"/>
        <item sd="0" x="211"/>
        <item sd="0" x="361"/>
        <item sd="0" m="1" x="740"/>
        <item sd="0" x="245"/>
        <item sd="0" x="97"/>
        <item sd="0" x="177"/>
        <item sd="0" m="1" x="663"/>
        <item sd="0" x="172"/>
        <item sd="0" m="1" x="707"/>
        <item sd="0" x="355"/>
        <item sd="0" x="273"/>
        <item sd="0" x="444"/>
        <item sd="0" m="1" x="699"/>
        <item sd="0" m="1" x="701"/>
        <item sd="0" m="1" x="703"/>
        <item sd="0" m="1" x="747"/>
        <item sd="0" m="1" x="702"/>
        <item sd="0" m="1" x="697"/>
        <item sd="0" m="1" x="696"/>
        <item sd="0" x="321"/>
        <item sd="0" x="462"/>
        <item sd="0" m="1" x="705"/>
        <item sd="0" m="1" x="700"/>
        <item sd="0" m="1" x="706"/>
        <item sd="0" x="104"/>
        <item sd="0" x="214"/>
        <item sd="0" m="1" x="742"/>
        <item sd="0" x="554"/>
        <item sd="0" m="1" x="744"/>
        <item sd="0" x="569"/>
        <item sd="0" x="487"/>
        <item sd="0" m="1" x="698"/>
        <item sd="0" m="1" x="708"/>
        <item sd="0" x="215"/>
        <item sd="0" x="193"/>
        <item sd="0" x="352"/>
        <item sd="0" x="253"/>
        <item sd="0" x="252"/>
        <item sd="0" x="369"/>
        <item x="221"/>
        <item sd="0" x="167"/>
        <item sd="0" m="1" x="704"/>
        <item sd="0" m="1" x="738"/>
        <item sd="0" m="1" x="734"/>
        <item sd="0" m="1" x="736"/>
        <item sd="0" x="556"/>
        <item sd="0" m="1" x="657"/>
        <item sd="0" m="1" x="799"/>
        <item sd="0" x="587"/>
        <item sd="0" x="555"/>
        <item sd="0" x="299"/>
        <item sd="0" x="196"/>
        <item sd="0" x="606"/>
        <item sd="0" x="445"/>
        <item sd="0" x="451"/>
        <item sd="0" x="588"/>
        <item sd="0" x="410"/>
        <item sd="0" x="346"/>
        <item sd="0" x="550"/>
        <item sd="0" x="276"/>
        <item sd="0" x="605"/>
        <item sd="0" x="589"/>
        <item sd="0" x="305"/>
        <item sd="0" m="1" x="656"/>
        <item sd="0" x="39"/>
        <item sd="0" x="313"/>
        <item x="442"/>
        <item sd="0" x="33"/>
        <item sd="0" x="63"/>
        <item sd="0" x="250"/>
        <item sd="0" x="264"/>
        <item sd="0" x="467"/>
        <item sd="0" x="72"/>
        <item sd="0" x="595"/>
        <item sd="0" x="433"/>
        <item sd="0" x="409"/>
        <item sd="0" x="368"/>
        <item sd="0" x="469"/>
        <item sd="0" x="459"/>
        <item sd="0" m="1" x="777"/>
        <item sd="0" m="1" x="778"/>
        <item sd="0" x="283"/>
        <item sd="0" m="1" x="748"/>
        <item sd="0" m="1" x="797"/>
        <item sd="0" m="1" x="798"/>
        <item sd="0" x="384"/>
        <item sd="0" x="432"/>
        <item sd="0" x="10"/>
        <item sd="0" x="7"/>
        <item sd="0" x="402"/>
        <item x="513"/>
        <item sd="0" m="1" x="783"/>
        <item sd="0" m="1" x="739"/>
        <item sd="0" x="376"/>
        <item sd="0" m="1" x="741"/>
        <item sd="0" x="194"/>
        <item sd="0" x="482"/>
        <item sd="0" x="386"/>
        <item sd="0" x="461"/>
        <item sd="0" x="420"/>
        <item sd="0" m="1" x="637"/>
        <item sd="0" x="393"/>
        <item sd="0" x="505"/>
        <item sd="0" x="350"/>
        <item sd="0" x="319"/>
        <item sd="0" x="417"/>
        <item sd="0" x="438"/>
        <item sd="0" x="328"/>
        <item sd="0" m="1" x="638"/>
        <item sd="0" x="468"/>
        <item sd="0" m="1" x="650"/>
        <item sd="0" m="1" x="635"/>
        <item sd="0" m="1" x="636"/>
        <item sd="0" x="434"/>
        <item sd="0" x="359"/>
        <item x="349"/>
        <item sd="0" m="1" x="709"/>
        <item sd="0" m="1" x="728"/>
        <item sd="0" m="1" x="730"/>
        <item sd="0" m="1" x="729"/>
        <item sd="0" m="1" x="634"/>
        <item sd="0" m="1" x="631"/>
        <item sd="0" x="341"/>
        <item x="498"/>
        <item sd="0" x="358"/>
        <item sd="0" x="293"/>
        <item sd="0" x="454"/>
        <item x="88"/>
        <item sd="0" m="1" x="714"/>
        <item sd="0" x="439"/>
        <item sd="0" x="254"/>
        <item sd="0" x="405"/>
        <item sd="0" x="338"/>
        <item sd="0" x="246"/>
        <item sd="0" m="1" x="612"/>
        <item sd="0" m="1" x="718"/>
        <item sd="0" m="1" x="694"/>
        <item sd="0" m="1" x="735"/>
        <item sd="0" x="209"/>
        <item sd="0" x="201"/>
        <item x="457"/>
        <item sd="0" x="310"/>
        <item sd="0" x="197"/>
        <item x="360"/>
        <item sd="0" x="429"/>
        <item sd="0" x="440"/>
        <item x="400"/>
        <item sd="0" x="607"/>
        <item sd="0" x="103"/>
        <item sd="0" x="340"/>
        <item sd="0" x="339"/>
        <item sd="0" m="1" x="743"/>
        <item sd="0" x="485"/>
        <item sd="0" m="1" x="726"/>
        <item sd="0" m="1" x="664"/>
        <item sd="0" m="1" x="745"/>
        <item sd="0" m="1" x="655"/>
        <item sd="0" m="1" x="725"/>
        <item sd="0" m="1" x="715"/>
        <item sd="0" m="1" x="674"/>
        <item sd="0" m="1" x="665"/>
        <item sd="0" m="1" x="720"/>
        <item sd="0" m="1" x="613"/>
        <item sd="0" x="542"/>
        <item sd="0" m="1" x="763"/>
        <item sd="0" x="579"/>
        <item sd="0" x="578"/>
        <item sd="0" x="546"/>
        <item sd="0" m="1" x="630"/>
        <item sd="0" m="1" x="772"/>
        <item sd="0" m="1" x="628"/>
        <item sd="0" m="1" x="737"/>
        <item sd="0" m="1" x="733"/>
        <item sd="0" x="580"/>
        <item sd="0" m="1" x="673"/>
        <item sd="0" m="1" x="647"/>
        <item m="1" x="764"/>
        <item sd="0" m="1" x="710"/>
        <item sd="0" m="1" x="724"/>
        <item sd="0" m="1" x="751"/>
        <item sd="0" m="1" x="750"/>
        <item sd="0" m="1" x="713"/>
        <item sd="0" m="1" x="723"/>
        <item sd="0" x="563"/>
        <item sd="0" x="561"/>
        <item sd="0" m="1" x="693"/>
        <item sd="0" x="559"/>
        <item sd="0" x="14"/>
        <item sd="0" m="1" x="727"/>
        <item sd="0" x="140"/>
        <item sd="0" x="427"/>
        <item sd="0" x="431"/>
        <item sd="0" x="574"/>
        <item sd="0" x="21"/>
        <item sd="0" m="1" x="712"/>
        <item sd="0" m="1" x="676"/>
        <item sd="0" m="1" x="711"/>
        <item sd="0" m="1" x="611"/>
        <item sd="0" m="1" x="614"/>
        <item sd="0" x="573"/>
        <item sd="0" x="562"/>
        <item sd="0" x="529"/>
        <item sd="0" x="531"/>
        <item sd="0" x="480"/>
        <item sd="0" x="572"/>
        <item sd="0" m="1" x="639"/>
        <item sd="0" x="216"/>
        <item sd="0" x="217"/>
        <item sd="0" x="551"/>
        <item sd="0" x="418"/>
        <item sd="0" x="342"/>
        <item sd="0" x="586"/>
        <item sd="0" x="320"/>
        <item sd="0" x="165"/>
        <item sd="0" x="379"/>
        <item sd="0" x="231"/>
        <item sd="0" x="380"/>
        <item sd="0" x="375"/>
        <item sd="0" x="195"/>
        <item sd="0" x="331"/>
        <item sd="0" x="157"/>
        <item sd="0" x="315"/>
        <item sd="0" x="466"/>
        <item sd="0" m="1" x="784"/>
        <item sd="0" m="1" x="785"/>
        <item sd="0" x="435"/>
        <item sd="0" x="403"/>
        <item sd="0" x="382"/>
        <item sd="0" x="374"/>
        <item sd="0" x="262"/>
        <item sd="0" x="473"/>
        <item sd="0" m="1" x="658"/>
        <item sd="0" x="142"/>
        <item sd="0" x="455"/>
        <item sd="0" x="421"/>
        <item sd="0" x="15"/>
        <item sd="0" x="571"/>
        <item sd="0" x="395"/>
        <item sd="0" x="406"/>
        <item sd="0" x="553"/>
        <item sd="0" x="235"/>
        <item sd="0" x="388"/>
        <item sd="0" x="474"/>
        <item sd="0" m="1" x="719"/>
        <item sd="0" m="1" x="721"/>
        <item sd="0" x="577"/>
        <item sd="0" m="1" x="722"/>
        <item sd="0" x="278"/>
        <item sd="0" m="1" x="787"/>
        <item sd="0" m="1" x="775"/>
        <item sd="0" m="1" x="776"/>
        <item sd="0" m="1" x="774"/>
        <item sd="0" m="1" x="773"/>
        <item sd="0" m="1" x="767"/>
        <item sd="0" m="1" x="769"/>
        <item sd="0" m="1" x="768"/>
        <item sd="0" m="1" x="770"/>
        <item sd="0" m="1" x="771"/>
        <item sd="0" m="1" x="766"/>
        <item sd="0" x="600"/>
        <item sd="0" x="599"/>
        <item x="107"/>
        <item sd="0" x="22"/>
        <item sd="0" x="17"/>
        <item sd="0" m="1" x="782"/>
        <item sd="0" x="598"/>
        <item sd="0" x="575"/>
        <item sd="0" x="576"/>
        <item sd="0" x="596"/>
        <item sd="0" x="528"/>
        <item sd="0" x="44"/>
        <item sd="0" x="590"/>
        <item sd="0" x="520"/>
        <item sd="0" x="519"/>
        <item sd="0" m="1" x="791"/>
        <item sd="0" x="54"/>
        <item sd="0" x="517"/>
        <item sd="0" x="430"/>
        <item sd="0" x="23"/>
        <item sd="0" x="522"/>
        <item sd="0" x="521"/>
        <item sd="0" x="121"/>
        <item sd="0" x="37"/>
        <item sd="0" m="1" x="666"/>
        <item sd="0" m="1" x="679"/>
        <item sd="0" m="1" x="632"/>
        <item sd="0" m="1" x="788"/>
        <item sd="0" m="1" x="792"/>
        <item sd="0" m="1" x="649"/>
        <item sd="0" m="1" x="671"/>
        <item sd="0" x="70"/>
        <item sd="0" x="592"/>
        <item sd="0" x="80"/>
        <item sd="0" x="81"/>
        <item sd="0" m="1" x="731"/>
        <item sd="0" m="1" x="685"/>
        <item sd="0" m="1" x="684"/>
        <item sd="0" m="1" x="682"/>
        <item sd="0" m="1" x="683"/>
        <item sd="0" m="1" x="680"/>
        <item sd="0" m="1" x="681"/>
        <item sd="0" x="593"/>
        <item sd="0" x="311"/>
        <item sd="0" x="332"/>
        <item sd="0" x="591"/>
        <item sd="0" m="1" x="667"/>
        <item sd="0" m="1" x="677"/>
        <item sd="0" m="1" x="793"/>
        <item sd="0" x="530"/>
        <item sd="0" x="601"/>
        <item sd="0" x="597"/>
        <item sd="0" x="524"/>
        <item sd="0" x="526"/>
        <item sd="0" x="523"/>
        <item sd="0" x="20"/>
        <item sd="0" x="518"/>
        <item sd="0" x="525"/>
        <item sd="0" x="527"/>
        <item sd="0" m="1" x="627"/>
        <item sd="0" m="1" x="626"/>
        <item sd="0" m="1" x="689"/>
        <item x="127"/>
        <item sd="0" x="426"/>
        <item sd="0" m="1" x="623"/>
        <item sd="0" m="1" x="624"/>
        <item sd="0" m="1" x="625"/>
        <item x="46"/>
        <item x="204"/>
        <item x="45"/>
        <item sd="0" x="85"/>
        <item x="58"/>
        <item x="583"/>
        <item x="207"/>
        <item sd="0" x="119"/>
        <item x="42"/>
        <item sd="0" x="112"/>
        <item sd="0" x="171"/>
        <item sd="0" m="1" x="668"/>
        <item sd="0" m="1" x="662"/>
        <item sd="0" m="1" x="661"/>
        <item sd="0" m="1" x="794"/>
        <item sd="0" m="1" x="716"/>
        <item sd="0" m="1" x="779"/>
        <item sd="0" m="1" x="795"/>
        <item sd="0" m="1" x="669"/>
        <item sd="0" m="1" x="780"/>
        <item sd="0" m="1" x="781"/>
        <item sd="0" m="1" x="796"/>
        <item sd="0" m="1" x="660"/>
        <item sd="0" m="1" x="629"/>
        <item sd="0" m="1" x="670"/>
        <item sd="0" m="1" x="690"/>
        <item sd="0" m="1" x="672"/>
        <item sd="0" m="1" x="691"/>
        <item x="176"/>
        <item sd="0" m="1" x="686"/>
        <item sd="0" m="1" x="687"/>
        <item sd="0" m="1" x="633"/>
        <item sd="0" m="1" x="790"/>
        <item sd="0" m="1" x="620"/>
        <item sd="0" m="1" x="621"/>
        <item sd="0" m="1" x="618"/>
        <item sd="0" m="1" x="622"/>
        <item sd="0" m="1" x="617"/>
        <item sd="0" m="1" x="619"/>
        <item sd="0" m="1" x="616"/>
        <item m="1" x="753"/>
        <item sd="0" m="1" x="615"/>
        <item m="1" x="754"/>
        <item m="1" x="755"/>
        <item m="1" x="756"/>
        <item m="1" x="757"/>
        <item sd="0" m="1" x="640"/>
        <item sd="0" m="1" x="641"/>
        <item sd="0" m="1" x="789"/>
        <item sd="0" m="1" x="646"/>
        <item sd="0" m="1" x="642"/>
        <item sd="0" m="1" x="645"/>
        <item sd="0" m="1" x="644"/>
        <item sd="0" m="1" x="643"/>
        <item sd="0" m="1" x="654"/>
        <item sd="0" m="1" x="653"/>
        <item sd="0" m="1" x="652"/>
        <item sd="0" m="1" x="651"/>
        <item m="1" x="762"/>
        <item m="1" x="760"/>
        <item m="1" x="761"/>
        <item m="1" x="758"/>
        <item m="1" x="759"/>
        <item sd="0" x="401"/>
        <item x="610"/>
        <item x="126"/>
        <item x="91"/>
        <item x="180"/>
        <item x="43"/>
        <item x="87"/>
        <item x="36"/>
        <item x="162"/>
        <item x="153"/>
        <item x="423"/>
        <item x="437"/>
        <item x="154"/>
        <item x="188"/>
        <item x="202"/>
        <item x="203"/>
        <item x="83"/>
        <item x="414"/>
        <item x="175"/>
        <item x="163"/>
        <item x="308"/>
        <item x="49"/>
        <item x="139"/>
        <item x="155"/>
        <item x="66"/>
        <item x="94"/>
        <item x="199"/>
        <item x="212"/>
        <item x="59"/>
        <item x="67"/>
        <item x="69"/>
        <item x="274"/>
        <item x="404"/>
        <item x="76"/>
        <item x="149"/>
        <item x="73"/>
        <item x="144"/>
        <item x="113"/>
        <item x="50"/>
        <item x="123"/>
        <item x="40"/>
        <item x="102"/>
        <item x="233"/>
        <item x="75"/>
        <item x="124"/>
        <item x="71"/>
        <item x="86"/>
        <item x="327"/>
        <item x="92"/>
        <item x="99"/>
        <item x="78"/>
        <item x="218"/>
        <item x="419"/>
        <item x="222"/>
        <item x="74"/>
        <item x="120"/>
        <item x="117"/>
        <item x="408"/>
        <item x="292"/>
        <item x="89"/>
        <item x="101"/>
        <item x="156"/>
        <item x="164"/>
        <item x="135"/>
        <item x="114"/>
        <item x="125"/>
        <item x="582"/>
        <item x="220"/>
        <item x="282"/>
        <item x="93"/>
        <item x="79"/>
        <item x="133"/>
        <item x="29"/>
        <item x="25"/>
        <item x="26"/>
        <item x="27"/>
        <item x="28"/>
        <item x="30"/>
        <item x="35"/>
        <item x="16"/>
        <item x="47"/>
        <item x="55"/>
        <item x="56"/>
        <item x="61"/>
        <item x="62"/>
        <item x="64"/>
        <item x="65"/>
        <item x="82"/>
        <item x="100"/>
        <item x="105"/>
        <item x="106"/>
        <item x="108"/>
        <item x="109"/>
        <item x="110"/>
        <item x="111"/>
        <item x="116"/>
        <item x="122"/>
        <item x="129"/>
        <item x="130"/>
        <item x="131"/>
        <item x="132"/>
        <item x="134"/>
        <item x="143"/>
        <item x="150"/>
        <item x="151"/>
        <item x="158"/>
        <item x="173"/>
        <item x="544"/>
        <item x="223"/>
        <item x="236"/>
        <item x="230"/>
        <item x="279"/>
        <item x="304"/>
        <item x="309"/>
        <item x="317"/>
        <item x="324"/>
        <item x="325"/>
        <item x="543"/>
        <item x="329"/>
        <item x="343"/>
        <item x="362"/>
        <item x="11"/>
        <item x="381"/>
        <item x="541"/>
        <item x="415"/>
        <item x="549"/>
        <item x="448"/>
        <item x="547"/>
        <item x="545"/>
        <item x="0"/>
        <item x="514"/>
        <item x="548"/>
        <item x="584"/>
        <item x="585"/>
        <item x="1"/>
        <item x="2"/>
        <item x="3"/>
        <item x="4"/>
        <item x="5"/>
        <item x="6"/>
        <item x="8"/>
        <item x="9"/>
        <item x="18"/>
        <item x="19"/>
        <item x="32"/>
        <item x="34"/>
        <item x="38"/>
        <item x="41"/>
        <item x="48"/>
        <item x="51"/>
        <item x="52"/>
        <item x="53"/>
        <item x="57"/>
        <item x="60"/>
        <item x="68"/>
        <item x="77"/>
        <item x="84"/>
        <item x="90"/>
        <item x="95"/>
        <item x="96"/>
        <item x="118"/>
        <item x="136"/>
        <item x="137"/>
        <item x="138"/>
        <item x="141"/>
        <item x="145"/>
        <item x="146"/>
        <item x="147"/>
        <item x="148"/>
        <item x="152"/>
        <item x="159"/>
        <item x="160"/>
        <item x="161"/>
        <item x="166"/>
        <item x="169"/>
        <item x="170"/>
        <item x="174"/>
        <item x="178"/>
        <item x="179"/>
        <item x="182"/>
        <item x="183"/>
        <item x="184"/>
        <item x="185"/>
        <item x="186"/>
        <item x="187"/>
        <item x="189"/>
        <item x="190"/>
        <item x="192"/>
        <item x="200"/>
        <item x="205"/>
        <item x="206"/>
        <item x="208"/>
        <item x="210"/>
        <item x="213"/>
        <item x="224"/>
        <item x="225"/>
        <item x="226"/>
        <item x="227"/>
        <item x="228"/>
        <item x="229"/>
        <item x="234"/>
        <item x="238"/>
        <item x="240"/>
        <item x="241"/>
        <item x="242"/>
        <item x="243"/>
        <item x="244"/>
        <item x="248"/>
        <item x="249"/>
        <item x="251"/>
        <item x="255"/>
        <item x="256"/>
        <item x="257"/>
        <item x="258"/>
        <item x="259"/>
        <item x="260"/>
        <item x="261"/>
        <item x="263"/>
        <item x="265"/>
        <item x="266"/>
        <item x="267"/>
        <item x="268"/>
        <item x="269"/>
        <item x="270"/>
        <item x="271"/>
        <item x="272"/>
        <item x="275"/>
        <item x="277"/>
        <item x="280"/>
        <item x="281"/>
        <item x="284"/>
        <item x="285"/>
        <item x="286"/>
        <item x="287"/>
        <item x="288"/>
        <item x="289"/>
        <item x="290"/>
        <item x="291"/>
        <item x="294"/>
        <item x="297"/>
        <item x="298"/>
        <item x="300"/>
        <item x="301"/>
        <item x="302"/>
        <item x="303"/>
        <item x="306"/>
        <item x="307"/>
        <item x="312"/>
        <item x="314"/>
        <item x="316"/>
        <item x="318"/>
        <item x="322"/>
        <item x="323"/>
        <item x="326"/>
        <item x="330"/>
        <item x="333"/>
        <item x="334"/>
        <item x="336"/>
        <item x="344"/>
        <item x="345"/>
        <item x="347"/>
        <item x="348"/>
        <item x="356"/>
        <item x="364"/>
        <item x="366"/>
        <item x="370"/>
        <item x="371"/>
        <item x="372"/>
        <item x="373"/>
        <item x="377"/>
        <item x="383"/>
        <item x="385"/>
        <item x="390"/>
        <item x="391"/>
        <item x="392"/>
        <item x="394"/>
        <item x="397"/>
        <item x="398"/>
        <item x="399"/>
        <item x="407"/>
        <item x="411"/>
        <item x="412"/>
        <item x="413"/>
        <item x="416"/>
        <item x="422"/>
        <item x="425"/>
        <item x="428"/>
        <item x="446"/>
        <item x="449"/>
        <item x="450"/>
        <item x="452"/>
        <item x="458"/>
        <item x="460"/>
        <item x="463"/>
        <item x="464"/>
        <item x="470"/>
        <item x="471"/>
        <item x="472"/>
        <item x="475"/>
        <item x="479"/>
        <item x="483"/>
        <item x="486"/>
        <item x="492"/>
        <item x="493"/>
        <item x="494"/>
        <item x="495"/>
        <item x="497"/>
        <item x="499"/>
        <item x="500"/>
        <item x="501"/>
        <item x="502"/>
        <item x="503"/>
        <item x="504"/>
        <item x="506"/>
        <item x="507"/>
        <item x="509"/>
        <item x="510"/>
        <item x="512"/>
        <item x="515"/>
        <item x="516"/>
        <item x="532"/>
        <item x="533"/>
        <item x="534"/>
        <item x="536"/>
        <item x="537"/>
        <item x="538"/>
        <item x="539"/>
        <item x="540"/>
        <item x="557"/>
        <item x="558"/>
        <item x="560"/>
        <item x="581"/>
        <item x="594"/>
        <item x="602"/>
        <item x="603"/>
        <item x="604"/>
        <item x="609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236">
        <item m="1" x="234"/>
        <item m="1" x="233"/>
        <item x="231"/>
        <item x="81"/>
        <item x="103"/>
        <item x="35"/>
        <item x="28"/>
        <item x="94"/>
        <item x="82"/>
        <item x="89"/>
        <item x="36"/>
        <item x="180"/>
        <item x="90"/>
        <item x="79"/>
        <item x="53"/>
        <item x="64"/>
        <item x="177"/>
        <item x="101"/>
        <item x="95"/>
        <item x="60"/>
        <item x="99"/>
        <item x="77"/>
        <item x="80"/>
        <item x="51"/>
        <item x="56"/>
        <item x="45"/>
        <item x="112"/>
        <item x="115"/>
        <item x="46"/>
        <item x="57"/>
        <item x="34"/>
        <item x="32"/>
        <item x="54"/>
        <item x="66"/>
        <item x="69"/>
        <item x="37"/>
        <item x="59"/>
        <item x="179"/>
        <item x="119"/>
        <item x="141"/>
        <item x="91"/>
        <item x="78"/>
        <item x="219"/>
        <item x="70"/>
        <item x="102"/>
        <item x="52"/>
        <item x="23"/>
        <item x="21"/>
        <item x="22"/>
        <item x="27"/>
        <item x="12"/>
        <item x="38"/>
        <item x="48"/>
        <item x="49"/>
        <item m="1" x="232"/>
        <item x="63"/>
        <item x="75"/>
        <item x="76"/>
        <item x="84"/>
        <item x="217"/>
        <item x="85"/>
        <item x="88"/>
        <item x="120"/>
        <item x="121"/>
        <item x="138"/>
        <item x="10"/>
        <item x="146"/>
        <item x="142"/>
        <item x="151"/>
        <item x="152"/>
        <item x="9"/>
        <item x="169"/>
        <item x="178"/>
        <item x="117"/>
        <item x="0"/>
        <item x="220"/>
        <item x="1"/>
        <item x="2"/>
        <item x="3"/>
        <item x="4"/>
        <item x="5"/>
        <item x="6"/>
        <item x="7"/>
        <item x="8"/>
        <item x="11"/>
        <item x="13"/>
        <item x="14"/>
        <item x="15"/>
        <item x="16"/>
        <item x="17"/>
        <item x="18"/>
        <item x="19"/>
        <item x="20"/>
        <item x="24"/>
        <item x="25"/>
        <item x="26"/>
        <item x="29"/>
        <item x="30"/>
        <item x="31"/>
        <item x="33"/>
        <item x="39"/>
        <item x="40"/>
        <item x="41"/>
        <item x="42"/>
        <item x="43"/>
        <item x="44"/>
        <item x="47"/>
        <item x="50"/>
        <item x="55"/>
        <item x="58"/>
        <item x="61"/>
        <item x="62"/>
        <item x="65"/>
        <item x="67"/>
        <item x="68"/>
        <item x="71"/>
        <item x="72"/>
        <item x="73"/>
        <item x="74"/>
        <item x="83"/>
        <item x="86"/>
        <item x="87"/>
        <item x="92"/>
        <item x="93"/>
        <item x="96"/>
        <item x="97"/>
        <item x="98"/>
        <item x="100"/>
        <item x="104"/>
        <item x="105"/>
        <item x="106"/>
        <item x="107"/>
        <item x="108"/>
        <item x="109"/>
        <item x="110"/>
        <item x="111"/>
        <item x="113"/>
        <item x="114"/>
        <item x="116"/>
        <item x="118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3"/>
        <item x="144"/>
        <item x="145"/>
        <item x="147"/>
        <item x="148"/>
        <item x="149"/>
        <item x="15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8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9"/>
  </rowFields>
  <rowItems count="583">
    <i>
      <x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5"/>
    </i>
    <i>
      <x v="26"/>
    </i>
    <i>
      <x v="27"/>
    </i>
    <i>
      <x v="28"/>
    </i>
    <i>
      <x v="29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  <x v="164"/>
    </i>
    <i>
      <x v="47"/>
    </i>
    <i>
      <x v="48"/>
    </i>
    <i>
      <x v="51"/>
    </i>
    <i>
      <x v="52"/>
    </i>
    <i>
      <x v="53"/>
    </i>
    <i>
      <x v="56"/>
    </i>
    <i>
      <x v="57"/>
    </i>
    <i>
      <x v="60"/>
    </i>
    <i>
      <x v="61"/>
    </i>
    <i>
      <x v="62"/>
      <x v="134"/>
    </i>
    <i>
      <x v="64"/>
    </i>
    <i>
      <x v="65"/>
      <x v="49"/>
    </i>
    <i>
      <x v="66"/>
    </i>
    <i>
      <x v="67"/>
    </i>
    <i>
      <x v="68"/>
    </i>
    <i>
      <x v="69"/>
    </i>
    <i>
      <x v="70"/>
      <x v="182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1"/>
    </i>
    <i>
      <x v="83"/>
    </i>
    <i>
      <x v="84"/>
    </i>
    <i>
      <x v="85"/>
    </i>
    <i>
      <x v="93"/>
    </i>
    <i>
      <x v="94"/>
    </i>
    <i>
      <x v="98"/>
    </i>
    <i>
      <x v="99"/>
    </i>
    <i>
      <x v="101"/>
    </i>
    <i>
      <x v="103"/>
    </i>
    <i>
      <x v="104"/>
    </i>
    <i>
      <x v="107"/>
    </i>
    <i>
      <x v="108"/>
    </i>
    <i>
      <x v="109"/>
    </i>
    <i>
      <x v="110"/>
    </i>
    <i>
      <x v="111"/>
    </i>
    <i>
      <x v="112"/>
    </i>
    <i>
      <x v="113"/>
      <x v="139"/>
    </i>
    <i>
      <x v="114"/>
    </i>
    <i>
      <x v="119"/>
    </i>
    <i>
      <x v="123"/>
    </i>
    <i>
      <x v="124"/>
    </i>
    <i>
      <x v="125"/>
    </i>
    <i>
      <x v="127"/>
    </i>
    <i>
      <x v="128"/>
    </i>
    <i>
      <x v="130"/>
    </i>
    <i>
      <x v="131"/>
    </i>
    <i>
      <x v="132"/>
    </i>
    <i>
      <x v="133"/>
    </i>
    <i>
      <x v="136"/>
    </i>
    <i>
      <x v="138"/>
    </i>
    <i>
      <x v="139"/>
    </i>
    <i>
      <x v="140"/>
      <x v="132"/>
    </i>
    <i>
      <x v="141"/>
    </i>
    <i>
      <x v="142"/>
    </i>
    <i>
      <x v="143"/>
    </i>
    <i>
      <x v="144"/>
    </i>
    <i>
      <x v="145"/>
    </i>
    <i>
      <x v="146"/>
    </i>
    <i>
      <x v="148"/>
    </i>
    <i>
      <x v="149"/>
    </i>
    <i>
      <x v="150"/>
    </i>
    <i>
      <x v="151"/>
    </i>
    <i>
      <x v="152"/>
    </i>
    <i>
      <x v="155"/>
    </i>
    <i>
      <x v="159"/>
    </i>
    <i>
      <x v="160"/>
    </i>
    <i>
      <x v="161"/>
    </i>
    <i>
      <x v="162"/>
    </i>
    <i>
      <x v="163"/>
    </i>
    <i>
      <x v="164"/>
      <x v="49"/>
    </i>
    <i>
      <x v="167"/>
    </i>
    <i>
      <x v="169"/>
    </i>
    <i>
      <x v="170"/>
    </i>
    <i>
      <x v="171"/>
    </i>
    <i>
      <x v="172"/>
    </i>
    <i>
      <x v="173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3"/>
    </i>
    <i>
      <x v="187"/>
    </i>
    <i>
      <x v="188"/>
    </i>
    <i>
      <x v="189"/>
      <x v="113"/>
    </i>
    <i>
      <x v="196"/>
    </i>
    <i>
      <x v="197"/>
      <x v="170"/>
    </i>
    <i>
      <x v="198"/>
    </i>
    <i>
      <x v="199"/>
    </i>
    <i>
      <x v="200"/>
    </i>
    <i>
      <x v="201"/>
      <x v="113"/>
    </i>
    <i>
      <x v="203"/>
    </i>
    <i>
      <x v="204"/>
    </i>
    <i>
      <x v="205"/>
    </i>
    <i>
      <x v="206"/>
    </i>
    <i>
      <x v="207"/>
    </i>
    <i>
      <x v="212"/>
    </i>
    <i>
      <x v="213"/>
    </i>
    <i>
      <x v="214"/>
      <x v="156"/>
    </i>
    <i>
      <x v="215"/>
    </i>
    <i>
      <x v="216"/>
    </i>
    <i>
      <x v="217"/>
      <x v="156"/>
    </i>
    <i>
      <x v="218"/>
    </i>
    <i>
      <x v="219"/>
    </i>
    <i>
      <x v="220"/>
      <x v="156"/>
    </i>
    <i>
      <x v="222"/>
    </i>
    <i>
      <x v="223"/>
    </i>
    <i>
      <x v="224"/>
    </i>
    <i>
      <x v="226"/>
    </i>
    <i>
      <x v="237"/>
    </i>
    <i>
      <x v="239"/>
    </i>
    <i>
      <x v="240"/>
    </i>
    <i>
      <x v="241"/>
    </i>
    <i>
      <x v="247"/>
    </i>
    <i>
      <x v="257"/>
    </i>
    <i>
      <x v="258"/>
    </i>
    <i>
      <x v="260"/>
    </i>
    <i>
      <x v="261"/>
    </i>
    <i>
      <x v="263"/>
    </i>
    <i>
      <x v="264"/>
    </i>
    <i>
      <x v="265"/>
    </i>
    <i>
      <x v="266"/>
    </i>
    <i>
      <x v="267"/>
    </i>
    <i>
      <x v="273"/>
    </i>
    <i>
      <x v="274"/>
    </i>
    <i>
      <x v="275"/>
    </i>
    <i>
      <x v="276"/>
    </i>
    <i>
      <x v="277"/>
    </i>
    <i>
      <x v="278"/>
    </i>
    <i>
      <x v="280"/>
    </i>
    <i>
      <x v="281"/>
    </i>
    <i>
      <x v="282"/>
    </i>
    <i>
      <x v="283"/>
    </i>
    <i>
      <x v="284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9"/>
    </i>
    <i>
      <x v="300"/>
    </i>
    <i>
      <x v="301"/>
    </i>
    <i>
      <x v="302"/>
    </i>
    <i>
      <x v="303"/>
    </i>
    <i>
      <x v="304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9"/>
    </i>
    <i>
      <x v="321"/>
    </i>
    <i>
      <x v="335"/>
      <x v="85"/>
    </i>
    <i>
      <x v="336"/>
    </i>
    <i>
      <x v="337"/>
    </i>
    <i>
      <x v="340"/>
    </i>
    <i>
      <x v="341"/>
    </i>
    <i>
      <x v="343"/>
    </i>
    <i>
      <x v="344"/>
    </i>
    <i>
      <x v="346"/>
    </i>
    <i>
      <x v="347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64"/>
    </i>
    <i>
      <x v="366"/>
    </i>
    <i>
      <x v="367"/>
    </i>
    <i>
      <x v="376"/>
    </i>
    <i>
      <x v="377"/>
    </i>
    <i>
      <x v="382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5"/>
      <x v="8"/>
    </i>
    <i>
      <x v="396"/>
    </i>
    <i>
      <x v="400"/>
      <x v="35"/>
    </i>
    <i>
      <x v="401"/>
      <x v="26"/>
    </i>
    <i>
      <x v="402"/>
      <x v="10"/>
    </i>
    <i>
      <x v="403"/>
    </i>
    <i>
      <x v="404"/>
      <x v="25"/>
    </i>
    <i>
      <x v="406"/>
      <x v="33"/>
    </i>
    <i>
      <x v="407"/>
    </i>
    <i>
      <x v="408"/>
      <x v="30"/>
    </i>
    <i>
      <x v="409"/>
    </i>
    <i>
      <x v="410"/>
    </i>
    <i>
      <x v="428"/>
      <x v="44"/>
    </i>
    <i>
      <x v="463"/>
    </i>
    <i>
      <x v="465"/>
      <x v="3"/>
    </i>
    <i>
      <x v="466"/>
      <x v="30"/>
    </i>
    <i>
      <x v="467"/>
      <x v="4"/>
    </i>
    <i>
      <x v="468"/>
      <x v="5"/>
    </i>
    <i>
      <x v="469"/>
      <x v="5"/>
    </i>
    <i>
      <x v="470"/>
      <x v="6"/>
    </i>
    <i>
      <x v="471"/>
      <x v="7"/>
    </i>
    <i>
      <x v="472"/>
      <x v="9"/>
    </i>
    <i>
      <x v="473"/>
      <x v="11"/>
    </i>
    <i>
      <x v="474"/>
      <x v="9"/>
    </i>
    <i>
      <x v="475"/>
      <x v="12"/>
    </i>
    <i>
      <x v="476"/>
      <x v="13"/>
    </i>
    <i>
      <x v="477"/>
      <x v="13"/>
    </i>
    <i>
      <x v="478"/>
      <x v="14"/>
    </i>
    <i>
      <x v="479"/>
      <x v="15"/>
    </i>
    <i>
      <x v="480"/>
      <x v="16"/>
    </i>
    <i>
      <x v="481"/>
      <x v="17"/>
    </i>
    <i>
      <x v="482"/>
      <x v="18"/>
    </i>
    <i>
      <x v="483"/>
      <x v="19"/>
    </i>
    <i>
      <x v="484"/>
      <x v="101"/>
    </i>
    <i>
      <x v="485"/>
      <x v="21"/>
    </i>
    <i>
      <x v="486"/>
      <x v="22"/>
    </i>
    <i>
      <x v="487"/>
      <x v="23"/>
    </i>
    <i>
      <x v="488"/>
      <x v="24"/>
    </i>
    <i>
      <x v="489"/>
      <x v="3"/>
    </i>
    <i>
      <x v="490"/>
      <x v="27"/>
    </i>
    <i>
      <x v="491"/>
      <x v="28"/>
    </i>
    <i>
      <x v="492"/>
      <x v="45"/>
    </i>
    <i>
      <x v="493"/>
      <x v="14"/>
    </i>
    <i>
      <x v="494"/>
      <x v="14"/>
    </i>
    <i>
      <x v="495"/>
      <x v="9"/>
    </i>
    <i>
      <x v="496"/>
      <x v="29"/>
    </i>
    <i>
      <x v="497"/>
      <x v="30"/>
    </i>
    <i>
      <x v="498"/>
      <x v="14"/>
    </i>
    <i>
      <x v="499"/>
      <x v="14"/>
    </i>
    <i>
      <x v="500"/>
      <x v="31"/>
    </i>
    <i>
      <x v="501"/>
      <x v="6"/>
    </i>
    <i>
      <x v="502"/>
      <x v="31"/>
    </i>
    <i>
      <x v="503"/>
      <x v="31"/>
    </i>
    <i>
      <x v="504"/>
      <x v="15"/>
    </i>
    <i>
      <x v="505"/>
      <x v="32"/>
    </i>
    <i>
      <x v="506"/>
      <x v="32"/>
    </i>
    <i>
      <x v="507"/>
      <x v="33"/>
    </i>
    <i>
      <x v="508"/>
      <x v="32"/>
    </i>
    <i>
      <x v="509"/>
      <x v="25"/>
    </i>
    <i>
      <x v="510"/>
      <x v="24"/>
    </i>
    <i>
      <x v="511"/>
      <x v="34"/>
    </i>
    <i>
      <x v="512"/>
      <x v="36"/>
    </i>
    <i>
      <x v="513"/>
      <x v="36"/>
    </i>
    <i>
      <x v="514"/>
      <x v="28"/>
    </i>
    <i>
      <x v="515"/>
      <x v="37"/>
    </i>
    <i>
      <x v="516"/>
      <x v="38"/>
    </i>
    <i>
      <x v="517"/>
      <x v="24"/>
    </i>
    <i>
      <x v="518"/>
      <x v="31"/>
    </i>
    <i>
      <x v="519"/>
      <x v="13"/>
    </i>
    <i>
      <x v="520"/>
      <x v="36"/>
    </i>
    <i>
      <x v="521"/>
      <x v="39"/>
    </i>
    <i>
      <x v="522"/>
      <x v="36"/>
    </i>
    <i>
      <x v="523"/>
      <x v="15"/>
    </i>
    <i>
      <x v="524"/>
      <x v="40"/>
    </i>
    <i>
      <x v="525"/>
      <x v="36"/>
    </i>
    <i>
      <x v="526"/>
      <x v="15"/>
    </i>
    <i>
      <x v="527"/>
      <x v="41"/>
    </i>
    <i>
      <x v="528"/>
      <x v="22"/>
    </i>
    <i>
      <x v="530"/>
      <x v="9"/>
    </i>
    <i>
      <x v="531"/>
      <x v="19"/>
    </i>
    <i>
      <x v="532"/>
      <x v="43"/>
    </i>
    <i>
      <x v="533"/>
      <x v="19"/>
    </i>
    <i>
      <x v="534"/>
      <x v="33"/>
    </i>
    <i>
      <x v="535"/>
      <x v="46"/>
    </i>
    <i>
      <x v="536"/>
      <x v="47"/>
    </i>
    <i>
      <x v="537"/>
      <x v="48"/>
    </i>
    <i>
      <x v="538"/>
      <x v="48"/>
    </i>
    <i>
      <x v="539"/>
      <x v="48"/>
    </i>
    <i>
      <x v="540"/>
      <x v="47"/>
    </i>
    <i>
      <x v="541"/>
      <x v="49"/>
    </i>
    <i>
      <x v="542"/>
      <x v="50"/>
    </i>
    <i>
      <x v="543"/>
      <x v="51"/>
    </i>
    <i>
      <x v="544"/>
      <x v="48"/>
    </i>
    <i>
      <x v="545"/>
      <x v="48"/>
    </i>
    <i>
      <x v="546"/>
      <x v="52"/>
    </i>
    <i>
      <x v="547"/>
      <x v="53"/>
    </i>
    <i>
      <x v="548"/>
      <x v="107"/>
    </i>
    <i>
      <x v="549"/>
      <x v="51"/>
    </i>
    <i>
      <x v="550"/>
      <x v="55"/>
    </i>
    <i>
      <x v="551"/>
      <x v="52"/>
    </i>
    <i>
      <x v="552"/>
      <x v="56"/>
    </i>
    <i>
      <x v="553"/>
      <x v="52"/>
    </i>
    <i>
      <x v="554"/>
      <x v="56"/>
    </i>
    <i>
      <x v="555"/>
      <x v="52"/>
    </i>
    <i>
      <x v="556"/>
      <x v="52"/>
    </i>
    <i>
      <x v="557"/>
      <x v="57"/>
    </i>
    <i>
      <x v="558"/>
      <x v="56"/>
    </i>
    <i>
      <x v="559"/>
      <x v="57"/>
    </i>
    <i>
      <x v="560"/>
      <x v="58"/>
    </i>
    <i>
      <x v="561"/>
      <x v="56"/>
    </i>
    <i>
      <x v="562"/>
      <x v="52"/>
    </i>
    <i>
      <x v="563"/>
      <x v="57"/>
    </i>
    <i>
      <x v="564"/>
      <x v="60"/>
    </i>
    <i>
      <x v="565"/>
      <x v="52"/>
    </i>
    <i>
      <x v="566"/>
      <x v="61"/>
    </i>
    <i>
      <x v="567"/>
      <x v="56"/>
    </i>
    <i>
      <x v="568"/>
      <x v="56"/>
    </i>
    <i>
      <x v="569"/>
      <x v="60"/>
    </i>
    <i>
      <x v="570"/>
      <x v="60"/>
    </i>
    <i>
      <x v="571"/>
      <x v="62"/>
    </i>
    <i>
      <x v="572"/>
      <x v="61"/>
    </i>
    <i>
      <x v="573"/>
      <x v="63"/>
    </i>
    <i>
      <x v="574"/>
      <x v="64"/>
    </i>
    <i>
      <x v="575"/>
      <x v="65"/>
    </i>
    <i>
      <x v="576"/>
      <x v="66"/>
    </i>
    <i>
      <x v="577"/>
      <x v="67"/>
    </i>
    <i>
      <x v="578"/>
      <x v="66"/>
    </i>
    <i>
      <x v="579"/>
      <x v="68"/>
    </i>
    <i>
      <x v="580"/>
      <x v="50"/>
    </i>
    <i>
      <x v="581"/>
      <x v="69"/>
    </i>
    <i>
      <x v="582"/>
      <x v="66"/>
    </i>
    <i>
      <x v="583"/>
      <x v="48"/>
    </i>
    <i>
      <x v="584"/>
      <x v="70"/>
    </i>
    <i>
      <x v="585"/>
      <x v="71"/>
    </i>
    <i>
      <x v="586"/>
      <x v="48"/>
    </i>
    <i>
      <x v="587"/>
      <x v="72"/>
    </i>
    <i>
      <x v="588"/>
      <x v="50"/>
    </i>
    <i>
      <x v="589"/>
      <x v="63"/>
    </i>
    <i>
      <x v="590"/>
      <x v="50"/>
    </i>
    <i>
      <x v="591"/>
      <x v="49"/>
    </i>
    <i>
      <x v="592"/>
      <x v="74"/>
    </i>
    <i>
      <x v="593"/>
      <x v="62"/>
    </i>
    <i>
      <x v="594"/>
      <x v="50"/>
    </i>
    <i>
      <x v="597"/>
      <x v="76"/>
    </i>
    <i>
      <x v="598"/>
      <x v="77"/>
    </i>
    <i>
      <x v="599"/>
      <x v="78"/>
    </i>
    <i>
      <x v="600"/>
      <x v="78"/>
    </i>
    <i>
      <x v="601"/>
      <x v="79"/>
    </i>
    <i>
      <x v="602"/>
      <x v="80"/>
    </i>
    <i>
      <x v="603"/>
      <x v="82"/>
    </i>
    <i>
      <x v="604"/>
      <x v="82"/>
    </i>
    <i>
      <x v="605"/>
      <x v="86"/>
    </i>
    <i>
      <x v="606"/>
      <x v="87"/>
    </i>
    <i>
      <x v="607"/>
      <x v="92"/>
    </i>
    <i>
      <x v="608"/>
      <x v="95"/>
    </i>
    <i>
      <x v="609"/>
      <x v="97"/>
    </i>
    <i>
      <x v="610"/>
      <x v="99"/>
    </i>
    <i>
      <x v="611"/>
      <x v="100"/>
    </i>
    <i>
      <x v="612"/>
      <x v="102"/>
    </i>
    <i>
      <x v="613"/>
      <x v="103"/>
    </i>
    <i>
      <x v="614"/>
      <x v="104"/>
    </i>
    <i>
      <x v="615"/>
      <x v="105"/>
    </i>
    <i>
      <x v="616"/>
      <x v="106"/>
    </i>
    <i>
      <x v="617"/>
      <x v="90"/>
    </i>
    <i>
      <x v="618"/>
      <x v="109"/>
    </i>
    <i>
      <x v="619"/>
      <x v="112"/>
    </i>
    <i>
      <x v="620"/>
      <x v="114"/>
    </i>
    <i>
      <x v="621"/>
      <x v="90"/>
    </i>
    <i>
      <x v="622"/>
      <x v="115"/>
    </i>
    <i>
      <x v="623"/>
      <x v="95"/>
    </i>
    <i>
      <x v="624"/>
      <x v="102"/>
    </i>
    <i>
      <x v="625"/>
      <x v="102"/>
    </i>
    <i>
      <x v="626"/>
      <x v="103"/>
    </i>
    <i>
      <x v="627"/>
      <x v="81"/>
    </i>
    <i>
      <x v="628"/>
      <x v="120"/>
    </i>
    <i>
      <x v="629"/>
      <x v="103"/>
    </i>
    <i>
      <x v="630"/>
      <x v="121"/>
    </i>
    <i>
      <x v="631"/>
      <x v="121"/>
    </i>
    <i>
      <x v="632"/>
      <x v="103"/>
    </i>
    <i>
      <x v="633"/>
      <x v="102"/>
    </i>
    <i>
      <x v="634"/>
      <x v="122"/>
    </i>
    <i>
      <x v="635"/>
      <x v="123"/>
    </i>
    <i>
      <x v="636"/>
      <x v="102"/>
    </i>
    <i>
      <x v="637"/>
      <x v="126"/>
    </i>
    <i>
      <x v="638"/>
      <x v="126"/>
    </i>
    <i>
      <x v="639"/>
      <x v="120"/>
    </i>
    <i>
      <x v="640"/>
      <x v="103"/>
    </i>
    <i>
      <x v="641"/>
      <x v="126"/>
    </i>
    <i>
      <x v="642"/>
      <x v="95"/>
    </i>
    <i>
      <x v="643"/>
      <x v="129"/>
    </i>
    <i>
      <x v="644"/>
      <x v="130"/>
    </i>
    <i>
      <x v="645"/>
      <x v="103"/>
    </i>
    <i>
      <x v="646"/>
      <x v="129"/>
    </i>
    <i>
      <x v="647"/>
      <x v="131"/>
    </i>
    <i>
      <x v="648"/>
      <x v="120"/>
    </i>
    <i>
      <x v="649"/>
      <x v="131"/>
    </i>
    <i>
      <x v="650"/>
      <x v="114"/>
    </i>
    <i>
      <x v="651"/>
      <x v="135"/>
    </i>
    <i>
      <x v="652"/>
      <x v="103"/>
    </i>
    <i>
      <x v="653"/>
      <x v="136"/>
    </i>
    <i>
      <x v="654"/>
      <x v="137"/>
    </i>
    <i>
      <x v="655"/>
      <x v="120"/>
    </i>
    <i>
      <x v="656"/>
      <x v="138"/>
    </i>
    <i>
      <x v="657"/>
      <x v="126"/>
    </i>
    <i>
      <x v="658"/>
      <x v="120"/>
    </i>
    <i>
      <x v="659"/>
      <x v="120"/>
    </i>
    <i>
      <x v="660"/>
      <x v="120"/>
    </i>
    <i>
      <x v="661"/>
      <x v="99"/>
    </i>
    <i>
      <x v="662"/>
      <x v="120"/>
    </i>
    <i>
      <x v="663"/>
      <x v="140"/>
    </i>
    <i>
      <x v="664"/>
      <x v="142"/>
    </i>
    <i>
      <x v="665"/>
      <x v="120"/>
    </i>
    <i>
      <x v="666"/>
      <x v="103"/>
    </i>
    <i>
      <x v="667"/>
      <x v="120"/>
    </i>
    <i>
      <x v="668"/>
      <x v="120"/>
    </i>
    <i>
      <x v="669"/>
      <x v="114"/>
    </i>
    <i>
      <x v="670"/>
      <x v="120"/>
    </i>
    <i>
      <x v="671"/>
      <x v="120"/>
    </i>
    <i>
      <x v="672"/>
      <x v="145"/>
    </i>
    <i>
      <x v="673"/>
      <x v="120"/>
    </i>
    <i>
      <x v="674"/>
      <x v="120"/>
    </i>
    <i>
      <x v="675"/>
      <x v="120"/>
    </i>
    <i>
      <x v="676"/>
      <x v="120"/>
    </i>
    <i>
      <x v="677"/>
      <x v="120"/>
    </i>
    <i>
      <x v="678"/>
      <x v="121"/>
    </i>
    <i>
      <x v="679"/>
      <x v="120"/>
    </i>
    <i>
      <x v="680"/>
      <x v="120"/>
    </i>
    <i>
      <x v="681"/>
      <x v="82"/>
    </i>
    <i>
      <x v="682"/>
      <x v="120"/>
    </i>
    <i>
      <x v="683"/>
      <x v="129"/>
    </i>
    <i>
      <x v="684"/>
      <x v="150"/>
    </i>
    <i>
      <x v="685"/>
      <x v="109"/>
    </i>
    <i>
      <x v="686"/>
      <x v="151"/>
    </i>
    <i>
      <x v="687"/>
      <x v="120"/>
    </i>
    <i>
      <x v="688"/>
      <x v="120"/>
    </i>
    <i>
      <x v="689"/>
      <x v="153"/>
    </i>
    <i>
      <x v="690"/>
      <x v="150"/>
    </i>
    <i>
      <x v="691"/>
      <x v="120"/>
    </i>
    <i>
      <x v="692"/>
      <x v="156"/>
    </i>
    <i>
      <x v="693"/>
      <x v="126"/>
    </i>
    <i>
      <x v="694"/>
      <x v="118"/>
    </i>
    <i>
      <x v="695"/>
      <x v="103"/>
    </i>
    <i>
      <x v="696"/>
      <x v="157"/>
    </i>
    <i>
      <x v="697"/>
      <x v="99"/>
    </i>
    <i>
      <x v="698"/>
      <x v="136"/>
    </i>
    <i>
      <x v="699"/>
      <x v="150"/>
    </i>
    <i>
      <x v="700"/>
      <x v="114"/>
    </i>
    <i>
      <x v="701"/>
      <x v="118"/>
    </i>
    <i>
      <x v="702"/>
      <x v="120"/>
    </i>
    <i>
      <x v="703"/>
      <x v="158"/>
    </i>
    <i>
      <x v="704"/>
      <x v="102"/>
    </i>
    <i>
      <x v="705"/>
      <x v="159"/>
    </i>
    <i>
      <x v="706"/>
      <x v="150"/>
    </i>
    <i>
      <x v="707"/>
      <x v="160"/>
    </i>
    <i>
      <x v="708"/>
      <x v="158"/>
    </i>
    <i>
      <x v="709"/>
      <x v="120"/>
    </i>
    <i>
      <x v="710"/>
      <x v="106"/>
    </i>
    <i>
      <x v="711"/>
      <x v="162"/>
    </i>
    <i>
      <x v="712"/>
      <x v="104"/>
    </i>
    <i>
      <x v="713"/>
      <x v="162"/>
    </i>
    <i>
      <x v="714"/>
      <x v="162"/>
    </i>
    <i>
      <x v="715"/>
      <x v="7"/>
    </i>
    <i>
      <x v="716"/>
      <x v="162"/>
    </i>
    <i>
      <x v="717"/>
      <x v="162"/>
    </i>
    <i>
      <x v="718"/>
      <x v="167"/>
    </i>
    <i>
      <x v="719"/>
      <x v="70"/>
    </i>
    <i>
      <x v="720"/>
      <x v="168"/>
    </i>
    <i>
      <x v="721"/>
      <x v="171"/>
    </i>
    <i>
      <x v="722"/>
      <x v="131"/>
    </i>
    <i>
      <x v="723"/>
      <x v="126"/>
    </i>
    <i>
      <x v="724"/>
      <x v="135"/>
    </i>
    <i>
      <x v="725"/>
      <x v="99"/>
    </i>
    <i>
      <x v="726"/>
      <x v="144"/>
    </i>
    <i>
      <x v="727"/>
      <x v="99"/>
    </i>
    <i>
      <x v="728"/>
      <x v="114"/>
    </i>
    <i>
      <x v="729"/>
      <x v="178"/>
    </i>
    <i>
      <x v="730"/>
      <x v="89"/>
    </i>
    <i>
      <x v="731"/>
      <x v="109"/>
    </i>
    <i>
      <x v="732"/>
      <x v="180"/>
    </i>
    <i>
      <x v="733"/>
      <x v="121"/>
    </i>
    <i>
      <x v="734"/>
      <x v="121"/>
    </i>
    <i>
      <x v="735"/>
      <x v="103"/>
    </i>
    <i>
      <x v="736"/>
      <x v="183"/>
    </i>
    <i>
      <x v="737"/>
      <x v="153"/>
    </i>
    <i>
      <x v="738"/>
      <x v="132"/>
    </i>
    <i>
      <x v="739"/>
      <x v="185"/>
    </i>
    <i>
      <x v="740"/>
      <x v="145"/>
    </i>
    <i>
      <x v="741"/>
      <x v="70"/>
    </i>
    <i>
      <x v="742"/>
      <x v="180"/>
    </i>
    <i>
      <x v="743"/>
      <x v="114"/>
    </i>
    <i>
      <x v="744"/>
      <x v="121"/>
    </i>
    <i>
      <x v="745"/>
      <x v="187"/>
    </i>
    <i>
      <x v="746"/>
      <x v="102"/>
    </i>
    <i>
      <x v="747"/>
      <x v="121"/>
    </i>
    <i>
      <x v="748"/>
      <x v="188"/>
    </i>
    <i>
      <x v="749"/>
      <x v="189"/>
    </i>
    <i>
      <x v="750"/>
      <x v="191"/>
    </i>
    <i>
      <x v="751"/>
      <x v="132"/>
    </i>
    <i>
      <x v="752"/>
      <x v="153"/>
    </i>
    <i>
      <x v="753"/>
      <x v="191"/>
    </i>
    <i>
      <x v="754"/>
      <x v="106"/>
    </i>
    <i>
      <x v="755"/>
      <x v="196"/>
    </i>
    <i>
      <x v="756"/>
      <x v="197"/>
    </i>
    <i>
      <x v="757"/>
      <x v="146"/>
    </i>
    <i>
      <x v="758"/>
      <x v="126"/>
    </i>
    <i>
      <x v="759"/>
      <x v="120"/>
    </i>
    <i>
      <x v="760"/>
      <x v="175"/>
    </i>
    <i>
      <x v="761"/>
      <x v="165"/>
    </i>
    <i>
      <x v="762"/>
      <x v="184"/>
    </i>
    <i>
      <x v="763"/>
      <x v="199"/>
    </i>
    <i>
      <x v="764"/>
      <x v="201"/>
    </i>
    <i>
      <x v="765"/>
      <x v="203"/>
    </i>
    <i>
      <x v="766"/>
      <x v="122"/>
    </i>
    <i>
      <x v="767"/>
      <x v="184"/>
    </i>
    <i>
      <x v="768"/>
      <x v="89"/>
    </i>
    <i>
      <x v="769"/>
      <x v="205"/>
    </i>
    <i>
      <x v="770"/>
      <x v="70"/>
    </i>
    <i>
      <x v="771"/>
      <x v="141"/>
    </i>
    <i>
      <x v="772"/>
      <x v="195"/>
    </i>
    <i>
      <x v="773"/>
      <x v="206"/>
    </i>
    <i>
      <x v="774"/>
      <x v="175"/>
    </i>
    <i>
      <x v="775"/>
      <x v="207"/>
    </i>
    <i>
      <x v="776"/>
      <x v="208"/>
    </i>
    <i>
      <x v="777"/>
      <x v="208"/>
    </i>
    <i>
      <x v="778"/>
      <x v="209"/>
    </i>
    <i>
      <x v="779"/>
      <x v="49"/>
    </i>
    <i>
      <x v="780"/>
      <x v="70"/>
    </i>
    <i>
      <x v="781"/>
      <x v="87"/>
    </i>
    <i>
      <x v="782"/>
      <x v="204"/>
    </i>
    <i>
      <x v="783"/>
      <x v="214"/>
    </i>
    <i>
      <x v="784"/>
      <x v="215"/>
    </i>
    <i>
      <x v="785"/>
      <x v="216"/>
    </i>
    <i>
      <x v="786"/>
      <x v="88"/>
    </i>
    <i>
      <x v="787"/>
      <x v="217"/>
    </i>
    <i>
      <x v="788"/>
      <x v="218"/>
    </i>
    <i>
      <x v="789"/>
      <x v="219"/>
    </i>
    <i>
      <x v="790"/>
      <x v="220"/>
    </i>
    <i>
      <x v="791"/>
      <x v="105"/>
    </i>
    <i>
      <x v="792"/>
      <x v="105"/>
    </i>
    <i>
      <x v="793"/>
      <x v="99"/>
    </i>
    <i>
      <x v="794"/>
      <x v="224"/>
    </i>
    <i t="grand">
      <x/>
    </i>
  </rowItems>
  <colItems count="1">
    <i/>
  </colItems>
  <pageFields count="1">
    <pageField fld="0" hier="-1"/>
  </pageFields>
  <dataFields count="1">
    <dataField name="합계 : 수량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52E933E-4888-4448-8C6D-FD0303DB2539}" autoFormatId="16" applyNumberFormats="0" applyBorderFormats="0" applyFontFormats="0" applyPatternFormats="0" applyAlignmentFormats="0" applyWidthHeightFormats="0">
  <queryTableRefresh nextId="21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5FE9C-DB8D-49D4-A23E-DCB32FDA8994}" name="입출고현황" displayName="입출고현황" ref="A1:S2776" tableType="queryTable" totalsRowShown="0">
  <autoFilter ref="A1:S2776" xr:uid="{1915FE9C-DB8D-49D4-A23E-DCB32FDA8994}"/>
  <tableColumns count="19">
    <tableColumn id="1" xr3:uid="{94560DC3-291C-49EE-87D8-E063AB3A3551}" uniqueName="1" name="Column1" queryTableFieldId="1"/>
    <tableColumn id="2" xr3:uid="{89088868-A6A4-4777-BE99-93FDC5D2C923}" uniqueName="2" name="Column2" queryTableFieldId="2" dataDxfId="12"/>
    <tableColumn id="3" xr3:uid="{B07DB180-4DF6-4389-AA87-7E972238C1AD}" uniqueName="3" name="Column3" queryTableFieldId="3" dataDxfId="11"/>
    <tableColumn id="4" xr3:uid="{55E940D1-813D-4F94-9BFC-9B0B82591FDC}" uniqueName="4" name="Column4" queryTableFieldId="4" dataDxfId="10"/>
    <tableColumn id="5" xr3:uid="{F5AC7EDF-3873-4494-91E4-A0930F2C82E5}" uniqueName="5" name="Column5" queryTableFieldId="5" dataDxfId="9"/>
    <tableColumn id="6" xr3:uid="{8FD550D7-E08A-44F2-82CA-92CDF48C4D15}" uniqueName="6" name="Column6" queryTableFieldId="6" dataDxfId="8"/>
    <tableColumn id="7" xr3:uid="{109838AD-56D7-4039-9AC4-B954998324C0}" uniqueName="7" name="Column7" queryTableFieldId="7" dataDxfId="7"/>
    <tableColumn id="8" xr3:uid="{1F618BAE-39EA-453D-9AF8-8C9F056A29E4}" uniqueName="8" name="Column8" queryTableFieldId="8"/>
    <tableColumn id="9" xr3:uid="{32D2639F-5294-46D3-BC97-BCFF28CD4369}" uniqueName="9" name="Column9" queryTableFieldId="9"/>
    <tableColumn id="10" xr3:uid="{C9D91A88-7543-469A-8D21-85613A6E0D2B}" uniqueName="10" name="Column10" queryTableFieldId="10" dataDxfId="6"/>
    <tableColumn id="11" xr3:uid="{45773FD9-7273-4FC5-B26C-EBA00FA909E6}" uniqueName="11" name="Column11" queryTableFieldId="11" dataDxfId="5"/>
    <tableColumn id="12" xr3:uid="{AB2F9DCE-4EFE-4E5D-959F-CED4D5C1153B}" uniqueName="12" name="Column12" queryTableFieldId="12"/>
    <tableColumn id="13" xr3:uid="{7828A650-AA5A-4B8C-B442-378325E4F3A3}" uniqueName="13" name="Column13" queryTableFieldId="13" dataDxfId="4"/>
    <tableColumn id="14" xr3:uid="{AD761B79-CA38-42FD-A8AF-38C613B32EC4}" uniqueName="14" name="Column14" queryTableFieldId="14"/>
    <tableColumn id="15" xr3:uid="{57318549-45DF-4D0F-9DD5-36BC10C3CE52}" uniqueName="15" name="Column15" queryTableFieldId="15"/>
    <tableColumn id="16" xr3:uid="{80C15899-C4C5-4F9A-80A3-01F5B158A875}" uniqueName="16" name="Column16" queryTableFieldId="16"/>
    <tableColumn id="17" xr3:uid="{3BF15E36-BFB0-4D39-AB63-C6FD160441C0}" uniqueName="17" name="Column17" queryTableFieldId="17"/>
    <tableColumn id="18" xr3:uid="{FB877331-A8AC-43F0-838B-CEB4F1EA72ED}" uniqueName="18" name="Column18" queryTableFieldId="18"/>
    <tableColumn id="19" xr3:uid="{01C53F65-6C2A-4D11-9996-90A3067AB577}" uniqueName="19" name="Column19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90DA-A791-4D67-9DD6-53542C56E592}">
  <sheetPr>
    <pageSetUpPr fitToPage="1"/>
  </sheetPr>
  <dimension ref="B1:U2198"/>
  <sheetViews>
    <sheetView workbookViewId="0">
      <pane ySplit="6" topLeftCell="A7" activePane="bottomLeft" state="frozen"/>
      <selection pane="bottomLeft" activeCell="H311" sqref="H311"/>
    </sheetView>
  </sheetViews>
  <sheetFormatPr defaultColWidth="9" defaultRowHeight="15.6" x14ac:dyDescent="0.4"/>
  <cols>
    <col min="1" max="1" width="2.69921875" style="1" customWidth="1"/>
    <col min="2" max="2" width="5.09765625" style="1" customWidth="1"/>
    <col min="3" max="3" width="9.19921875" style="4" bestFit="1" customWidth="1"/>
    <col min="4" max="4" width="9.19921875" style="4" customWidth="1"/>
    <col min="5" max="5" width="9.59765625" style="4" bestFit="1" customWidth="1"/>
    <col min="6" max="6" width="9.59765625" style="4" customWidth="1"/>
    <col min="7" max="7" width="11.09765625" style="4" bestFit="1" customWidth="1"/>
    <col min="8" max="8" width="13.09765625" style="4" bestFit="1" customWidth="1"/>
    <col min="9" max="9" width="19.796875" style="17" customWidth="1"/>
    <col min="10" max="10" width="9.19921875" style="4" bestFit="1" customWidth="1"/>
    <col min="11" max="11" width="9.19921875" style="4" customWidth="1"/>
    <col min="12" max="12" width="9.19921875" style="4" bestFit="1" customWidth="1"/>
    <col min="13" max="13" width="11.09765625" style="18" bestFit="1" customWidth="1"/>
    <col min="14" max="14" width="11.09765625" style="4" bestFit="1" customWidth="1"/>
    <col min="15" max="16" width="13" style="4" bestFit="1" customWidth="1"/>
    <col min="17" max="17" width="11.09765625" style="18" bestFit="1" customWidth="1"/>
    <col min="18" max="18" width="9" style="4"/>
    <col min="19" max="16384" width="9" style="1"/>
  </cols>
  <sheetData>
    <row r="1" spans="2:21" x14ac:dyDescent="0.4">
      <c r="U1" s="9"/>
    </row>
    <row r="2" spans="2:21" ht="30" x14ac:dyDescent="0.4">
      <c r="B2" s="3" t="s">
        <v>4552</v>
      </c>
      <c r="U2" s="9"/>
    </row>
    <row r="3" spans="2:21" ht="16.5" customHeight="1" x14ac:dyDescent="0.4">
      <c r="B3" s="3"/>
      <c r="J3" s="2" t="s">
        <v>4556</v>
      </c>
      <c r="P3" s="2" t="s">
        <v>15</v>
      </c>
      <c r="U3" s="9"/>
    </row>
    <row r="4" spans="2:21" x14ac:dyDescent="0.4">
      <c r="J4" s="27">
        <f>SUBTOTAL(9,J7:J1048576)</f>
        <v>42063</v>
      </c>
      <c r="P4" s="26">
        <f>SUBTOTAL(9,P7:P1048576)</f>
        <v>4970</v>
      </c>
      <c r="U4" s="9"/>
    </row>
    <row r="5" spans="2:21" ht="19.2" x14ac:dyDescent="0.4">
      <c r="B5" s="54" t="s">
        <v>18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5" t="s">
        <v>14</v>
      </c>
      <c r="O5" s="55"/>
      <c r="P5" s="55"/>
      <c r="Q5" s="55"/>
      <c r="R5" s="13"/>
    </row>
    <row r="6" spans="2:21" ht="19.2" x14ac:dyDescent="0.4">
      <c r="B6" s="8" t="s">
        <v>17</v>
      </c>
      <c r="C6" s="8" t="s">
        <v>0</v>
      </c>
      <c r="D6" s="8" t="s">
        <v>4692</v>
      </c>
      <c r="E6" s="8" t="s">
        <v>1</v>
      </c>
      <c r="F6" s="8" t="s">
        <v>4575</v>
      </c>
      <c r="G6" s="8" t="s">
        <v>6</v>
      </c>
      <c r="H6" s="8" t="s">
        <v>2</v>
      </c>
      <c r="I6" s="8" t="s">
        <v>3</v>
      </c>
      <c r="J6" s="8" t="s">
        <v>4</v>
      </c>
      <c r="K6" s="8" t="s">
        <v>4600</v>
      </c>
      <c r="L6" s="8" t="s">
        <v>9</v>
      </c>
      <c r="M6" s="20" t="s">
        <v>5</v>
      </c>
      <c r="N6" s="6" t="s">
        <v>6</v>
      </c>
      <c r="O6" s="6" t="s">
        <v>11</v>
      </c>
      <c r="P6" s="6" t="s">
        <v>15</v>
      </c>
      <c r="Q6" s="19" t="s">
        <v>12</v>
      </c>
      <c r="R6" s="7" t="s">
        <v>13</v>
      </c>
    </row>
    <row r="7" spans="2:21" x14ac:dyDescent="0.35">
      <c r="B7" s="9">
        <v>261</v>
      </c>
      <c r="C7" s="9" t="s">
        <v>4732</v>
      </c>
      <c r="D7" s="9"/>
      <c r="E7" s="9" t="s">
        <v>4746</v>
      </c>
      <c r="F7" s="9"/>
      <c r="G7" s="9"/>
      <c r="H7" s="9" t="s">
        <v>2178</v>
      </c>
      <c r="I7" s="11" t="str">
        <f>VLOOKUP(H7,위치!B:C,2,0)</f>
        <v>RA-08M-1887]FRM Bas CEPH (VW)</v>
      </c>
      <c r="J7" s="9">
        <v>0</v>
      </c>
      <c r="K7" s="9"/>
      <c r="L7" s="9" t="str">
        <f>VLOOKUP(H7,위치!B:D,3,0)</f>
        <v>E4-2</v>
      </c>
      <c r="M7" s="12">
        <v>46232</v>
      </c>
      <c r="N7" s="5"/>
      <c r="O7" s="5"/>
      <c r="P7" s="5"/>
      <c r="Q7" s="14"/>
      <c r="R7" s="15">
        <f t="shared" ref="R7:R70" si="0">J7-P7</f>
        <v>0</v>
      </c>
    </row>
    <row r="8" spans="2:21" x14ac:dyDescent="0.35">
      <c r="B8" s="9">
        <v>195</v>
      </c>
      <c r="C8" s="9" t="s">
        <v>4732</v>
      </c>
      <c r="D8" s="9"/>
      <c r="E8" s="9" t="s">
        <v>4746</v>
      </c>
      <c r="F8" s="9"/>
      <c r="G8" s="9"/>
      <c r="H8" s="9" t="s">
        <v>2195</v>
      </c>
      <c r="I8" s="11" t="str">
        <f>VLOOKUP(H8,위치!B:C,2,0)</f>
        <v>RA-08M-2677]DRUM SCAN CEPH HEADREST (VW)</v>
      </c>
      <c r="J8" s="9">
        <v>0</v>
      </c>
      <c r="K8" s="9"/>
      <c r="L8" s="9" t="str">
        <f>VLOOKUP(H8,위치!B:D,3,0)</f>
        <v>E2-2</v>
      </c>
      <c r="M8" s="12">
        <v>46232</v>
      </c>
      <c r="N8" s="5"/>
      <c r="O8" s="5"/>
      <c r="P8" s="5"/>
      <c r="Q8" s="14"/>
      <c r="R8" s="15">
        <f t="shared" si="0"/>
        <v>0</v>
      </c>
    </row>
    <row r="9" spans="2:21" x14ac:dyDescent="0.35">
      <c r="B9" s="9">
        <v>196</v>
      </c>
      <c r="C9" s="9" t="s">
        <v>4732</v>
      </c>
      <c r="D9" s="9"/>
      <c r="E9" s="9" t="s">
        <v>4746</v>
      </c>
      <c r="F9" s="9"/>
      <c r="G9" s="9"/>
      <c r="H9" s="9" t="s">
        <v>2197</v>
      </c>
      <c r="I9" s="11" t="str">
        <f>VLOOKUP(H9,위치!B:C,2,0)</f>
        <v>RA-08M-2679]SHAFT CEPH AXIS BODY (VW)</v>
      </c>
      <c r="J9" s="9">
        <v>0</v>
      </c>
      <c r="K9" s="9"/>
      <c r="L9" s="9" t="str">
        <f>VLOOKUP(H9,위치!B:D,3,0)</f>
        <v>E1-2</v>
      </c>
      <c r="M9" s="12">
        <v>46232</v>
      </c>
      <c r="N9" s="5"/>
      <c r="O9" s="5"/>
      <c r="P9" s="5"/>
      <c r="Q9" s="14"/>
      <c r="R9" s="15">
        <f t="shared" si="0"/>
        <v>0</v>
      </c>
    </row>
    <row r="10" spans="2:21" x14ac:dyDescent="0.35">
      <c r="B10" s="9">
        <v>197</v>
      </c>
      <c r="C10" s="9" t="s">
        <v>4732</v>
      </c>
      <c r="D10" s="9"/>
      <c r="E10" s="9" t="s">
        <v>4746</v>
      </c>
      <c r="F10" s="9"/>
      <c r="G10" s="9"/>
      <c r="H10" s="9" t="s">
        <v>2199</v>
      </c>
      <c r="I10" s="11" t="str">
        <f>VLOOKUP(H10,위치!B:C,2,0)</f>
        <v>RA-08M-2705]BLK CEPH AXIS BODY TOP (VW)</v>
      </c>
      <c r="J10" s="9">
        <v>0</v>
      </c>
      <c r="K10" s="9"/>
      <c r="L10" s="9" t="str">
        <f>VLOOKUP(H10,위치!B:D,3,0)</f>
        <v>E1-2</v>
      </c>
      <c r="M10" s="12">
        <v>46232</v>
      </c>
      <c r="N10" s="5"/>
      <c r="O10" s="5"/>
      <c r="P10" s="5"/>
      <c r="Q10" s="14"/>
      <c r="R10" s="15">
        <f t="shared" si="0"/>
        <v>0</v>
      </c>
    </row>
    <row r="11" spans="2:21" x14ac:dyDescent="0.35">
      <c r="B11" s="9">
        <v>199</v>
      </c>
      <c r="C11" s="9" t="s">
        <v>4732</v>
      </c>
      <c r="D11" s="9"/>
      <c r="E11" s="9" t="s">
        <v>4746</v>
      </c>
      <c r="F11" s="9"/>
      <c r="G11" s="9"/>
      <c r="H11" s="9" t="s">
        <v>2203</v>
      </c>
      <c r="I11" s="11" t="str">
        <f>VLOOKUP(H11,위치!B:C,2,0)</f>
        <v>RA-08M-2707]BLK CEPH AXIS BODY REAR (VW)</v>
      </c>
      <c r="J11" s="9">
        <v>0</v>
      </c>
      <c r="K11" s="9"/>
      <c r="L11" s="9" t="str">
        <f>VLOOKUP(H11,위치!B:D,3,0)</f>
        <v>E1-2</v>
      </c>
      <c r="M11" s="12">
        <v>46232</v>
      </c>
      <c r="N11" s="5"/>
      <c r="O11" s="5"/>
      <c r="P11" s="5"/>
      <c r="Q11" s="14"/>
      <c r="R11" s="15">
        <f t="shared" si="0"/>
        <v>0</v>
      </c>
    </row>
    <row r="12" spans="2:21" x14ac:dyDescent="0.35">
      <c r="B12" s="9">
        <v>263</v>
      </c>
      <c r="C12" s="9" t="s">
        <v>4732</v>
      </c>
      <c r="D12" s="9"/>
      <c r="E12" s="9" t="s">
        <v>4746</v>
      </c>
      <c r="F12" s="9"/>
      <c r="G12" s="9"/>
      <c r="H12" s="9" t="s">
        <v>2193</v>
      </c>
      <c r="I12" s="11" t="str">
        <f>VLOOKUP(H12,위치!B:C,2,0)</f>
        <v>RA-08M-2673]BRK CEPH AXIS BODY (VW)</v>
      </c>
      <c r="J12" s="9">
        <v>0</v>
      </c>
      <c r="K12" s="9"/>
      <c r="L12" s="9" t="str">
        <f>VLOOKUP(H12,위치!B:D,3,0)</f>
        <v>E2-2</v>
      </c>
      <c r="M12" s="12">
        <v>46232</v>
      </c>
      <c r="N12" s="5"/>
      <c r="O12" s="5"/>
      <c r="P12" s="5"/>
      <c r="Q12" s="14"/>
      <c r="R12" s="15">
        <f t="shared" si="0"/>
        <v>0</v>
      </c>
    </row>
    <row r="13" spans="2:21" x14ac:dyDescent="0.35">
      <c r="B13" s="9">
        <v>169</v>
      </c>
      <c r="C13" s="9" t="s">
        <v>4732</v>
      </c>
      <c r="D13" s="9"/>
      <c r="E13" s="9"/>
      <c r="F13" s="9"/>
      <c r="G13" s="9"/>
      <c r="H13" s="9" t="s">
        <v>3806</v>
      </c>
      <c r="I13" s="11" t="str">
        <f>VLOOKUP(H13,위치!B:C,2,0)</f>
        <v>RF-01B-5073]DMD FPC Cable</v>
      </c>
      <c r="J13" s="9">
        <v>1</v>
      </c>
      <c r="K13" s="9"/>
      <c r="L13" s="9" t="str">
        <f>VLOOKUP(H13,위치!B:D,3,0)</f>
        <v>A5-3</v>
      </c>
      <c r="M13" s="12">
        <v>46226</v>
      </c>
      <c r="N13" s="5"/>
      <c r="O13" s="5"/>
      <c r="P13" s="5"/>
      <c r="Q13" s="14"/>
      <c r="R13" s="15">
        <f t="shared" si="0"/>
        <v>1</v>
      </c>
    </row>
    <row r="14" spans="2:21" x14ac:dyDescent="0.35">
      <c r="B14" s="9">
        <v>306</v>
      </c>
      <c r="C14" s="9" t="s">
        <v>4732</v>
      </c>
      <c r="D14" s="9"/>
      <c r="E14" s="9"/>
      <c r="F14" s="9"/>
      <c r="G14" s="9"/>
      <c r="H14" s="9" t="s">
        <v>4646</v>
      </c>
      <c r="I14" s="11">
        <f>VLOOKUP(H14,위치!B:C,2,0)</f>
        <v>0</v>
      </c>
      <c r="J14" s="9">
        <v>1</v>
      </c>
      <c r="K14" s="9"/>
      <c r="L14" s="9" t="str">
        <f>VLOOKUP(H14,위치!B:D,3,0)</f>
        <v>S</v>
      </c>
      <c r="M14" s="12">
        <v>46232</v>
      </c>
      <c r="N14" s="5"/>
      <c r="O14" s="5"/>
      <c r="P14" s="5"/>
      <c r="Q14" s="14"/>
      <c r="R14" s="15">
        <f t="shared" si="0"/>
        <v>1</v>
      </c>
    </row>
    <row r="15" spans="2:21" x14ac:dyDescent="0.35">
      <c r="B15" s="9">
        <v>311</v>
      </c>
      <c r="C15" s="9" t="s">
        <v>4732</v>
      </c>
      <c r="D15" s="9"/>
      <c r="E15" s="9"/>
      <c r="F15" s="9"/>
      <c r="G15" s="9"/>
      <c r="H15" s="9" t="s">
        <v>2132</v>
      </c>
      <c r="I15" s="11" t="str">
        <f>VLOOKUP(H15,위치!B:C,2,0)</f>
        <v>RA-08M-0623]PIN STOPPER</v>
      </c>
      <c r="J15" s="9">
        <v>1</v>
      </c>
      <c r="K15" s="9"/>
      <c r="L15" s="9" t="str">
        <f>VLOOKUP(H15,위치!B:D,3,0)</f>
        <v>E2-1</v>
      </c>
      <c r="M15" s="12">
        <v>46232</v>
      </c>
      <c r="N15" s="5"/>
      <c r="O15" s="5"/>
      <c r="P15" s="5"/>
      <c r="Q15" s="14"/>
      <c r="R15" s="15">
        <f t="shared" si="0"/>
        <v>1</v>
      </c>
    </row>
    <row r="16" spans="2:21" x14ac:dyDescent="0.35">
      <c r="B16" s="9">
        <v>188</v>
      </c>
      <c r="C16" s="9" t="s">
        <v>4732</v>
      </c>
      <c r="D16" s="9"/>
      <c r="E16" s="9"/>
      <c r="F16" s="9"/>
      <c r="G16" s="9"/>
      <c r="H16" s="9" t="s">
        <v>3822</v>
      </c>
      <c r="I16" s="11" t="str">
        <f>VLOOKUP(H16,위치!B:C,2,0)</f>
        <v>RF-01H-5052]USB TO SBC HARNESS</v>
      </c>
      <c r="J16" s="9">
        <v>2</v>
      </c>
      <c r="K16" s="9"/>
      <c r="L16" s="9" t="str">
        <f>VLOOKUP(H16,위치!B:D,3,0)</f>
        <v>3S3-4</v>
      </c>
      <c r="M16" s="12">
        <v>46230</v>
      </c>
      <c r="N16" s="5"/>
      <c r="O16" s="5"/>
      <c r="P16" s="5"/>
      <c r="Q16" s="14"/>
      <c r="R16" s="15">
        <f t="shared" si="0"/>
        <v>2</v>
      </c>
    </row>
    <row r="17" spans="2:18" x14ac:dyDescent="0.35">
      <c r="B17" s="9">
        <v>190</v>
      </c>
      <c r="C17" s="9" t="s">
        <v>4732</v>
      </c>
      <c r="D17" s="9"/>
      <c r="E17" s="9"/>
      <c r="F17" s="9"/>
      <c r="G17" s="9"/>
      <c r="H17" s="9" t="s">
        <v>3827</v>
      </c>
      <c r="I17" s="11" t="str">
        <f>VLOOKUP(H17,위치!B:C,2,0)</f>
        <v>RF-01H-5054]DLP Power harness</v>
      </c>
      <c r="J17" s="9">
        <v>2</v>
      </c>
      <c r="K17" s="9"/>
      <c r="L17" s="9" t="str">
        <f>VLOOKUP(H17,위치!B:D,3,0)</f>
        <v>3S3-4</v>
      </c>
      <c r="M17" s="12">
        <v>46230</v>
      </c>
      <c r="N17" s="5"/>
      <c r="O17" s="5"/>
      <c r="P17" s="5"/>
      <c r="Q17" s="14"/>
      <c r="R17" s="15">
        <f t="shared" si="0"/>
        <v>2</v>
      </c>
    </row>
    <row r="18" spans="2:18" x14ac:dyDescent="0.35">
      <c r="B18" s="9">
        <v>153</v>
      </c>
      <c r="C18" s="9" t="s">
        <v>4732</v>
      </c>
      <c r="D18" s="9"/>
      <c r="E18" s="9"/>
      <c r="F18" s="9"/>
      <c r="G18" s="9"/>
      <c r="H18" s="9" t="s">
        <v>3851</v>
      </c>
      <c r="I18" s="11" t="str">
        <f>VLOOKUP(H18,위치!B:C,2,0)</f>
        <v>RF-01H-5069]LED_Bottom harness</v>
      </c>
      <c r="J18" s="9">
        <v>3</v>
      </c>
      <c r="K18" s="9"/>
      <c r="L18" s="9" t="str">
        <f>VLOOKUP(H18,위치!B:D,3,0)</f>
        <v>3S3-5</v>
      </c>
      <c r="M18" s="12">
        <v>46224</v>
      </c>
      <c r="N18" s="5"/>
      <c r="O18" s="5"/>
      <c r="P18" s="5"/>
      <c r="Q18" s="14"/>
      <c r="R18" s="15">
        <f t="shared" si="0"/>
        <v>3</v>
      </c>
    </row>
    <row r="19" spans="2:18" x14ac:dyDescent="0.35">
      <c r="B19" s="9">
        <v>191</v>
      </c>
      <c r="C19" s="9" t="s">
        <v>4732</v>
      </c>
      <c r="D19" s="9"/>
      <c r="E19" s="9"/>
      <c r="F19" s="9"/>
      <c r="G19" s="9"/>
      <c r="H19" s="9" t="s">
        <v>3829</v>
      </c>
      <c r="I19" s="11" t="str">
        <f>VLOOKUP(H19,위치!B:C,2,0)</f>
        <v>RF-01H-5055]LED Power harness</v>
      </c>
      <c r="J19" s="9">
        <v>3</v>
      </c>
      <c r="K19" s="9"/>
      <c r="L19" s="9" t="str">
        <f>VLOOKUP(H19,위치!B:D,3,0)</f>
        <v>3S3-4</v>
      </c>
      <c r="M19" s="12">
        <v>46230</v>
      </c>
      <c r="N19" s="5"/>
      <c r="O19" s="5"/>
      <c r="P19" s="5"/>
      <c r="Q19" s="14"/>
      <c r="R19" s="15">
        <f t="shared" si="0"/>
        <v>3</v>
      </c>
    </row>
    <row r="20" spans="2:18" x14ac:dyDescent="0.35">
      <c r="B20" s="9">
        <v>300</v>
      </c>
      <c r="C20" s="9" t="s">
        <v>4732</v>
      </c>
      <c r="D20" s="9"/>
      <c r="E20" s="9"/>
      <c r="F20" s="9"/>
      <c r="G20" s="9"/>
      <c r="H20" s="9" t="s">
        <v>2084</v>
      </c>
      <c r="I20" s="11" t="str">
        <f>VLOOKUP(H20,위치!B:C,2,0)</f>
        <v>RA-08A-0611]ASM EARLOD Mdl</v>
      </c>
      <c r="J20" s="9">
        <v>3</v>
      </c>
      <c r="K20" s="9"/>
      <c r="L20" s="9" t="str">
        <f>VLOOKUP(H20,위치!B:D,3,0)</f>
        <v>E1-6</v>
      </c>
      <c r="M20" s="12">
        <v>46232</v>
      </c>
      <c r="N20" s="5"/>
      <c r="O20" s="5"/>
      <c r="P20" s="5"/>
      <c r="Q20" s="14"/>
      <c r="R20" s="15">
        <f t="shared" si="0"/>
        <v>3</v>
      </c>
    </row>
    <row r="21" spans="2:18" x14ac:dyDescent="0.35">
      <c r="B21" s="9">
        <v>157</v>
      </c>
      <c r="C21" s="9" t="s">
        <v>4732</v>
      </c>
      <c r="D21" s="9"/>
      <c r="E21" s="9"/>
      <c r="F21" s="9"/>
      <c r="G21" s="9"/>
      <c r="H21" s="9" t="s">
        <v>4008</v>
      </c>
      <c r="I21" s="11" t="str">
        <f>VLOOKUP(H21,위치!B:C,2,0)</f>
        <v>RF-01T-0354]CAMERA CASE L</v>
      </c>
      <c r="J21" s="9">
        <v>4</v>
      </c>
      <c r="K21" s="9"/>
      <c r="L21" s="9" t="str">
        <f>VLOOKUP(H21,위치!B:D,3,0)</f>
        <v>3E9</v>
      </c>
      <c r="M21" s="12">
        <v>46224</v>
      </c>
      <c r="N21" s="5"/>
      <c r="O21" s="5"/>
      <c r="P21" s="5"/>
      <c r="Q21" s="14"/>
      <c r="R21" s="15">
        <f t="shared" si="0"/>
        <v>4</v>
      </c>
    </row>
    <row r="22" spans="2:18" x14ac:dyDescent="0.35">
      <c r="B22" s="9">
        <v>189</v>
      </c>
      <c r="C22" s="9" t="s">
        <v>4732</v>
      </c>
      <c r="D22" s="9"/>
      <c r="E22" s="9"/>
      <c r="F22" s="9"/>
      <c r="G22" s="9"/>
      <c r="H22" s="9" t="s">
        <v>3825</v>
      </c>
      <c r="I22" s="11" t="str">
        <f>VLOOKUP(H22,위치!B:C,2,0)</f>
        <v>RF-01H-5053]USB to PC harness</v>
      </c>
      <c r="J22" s="9">
        <v>5</v>
      </c>
      <c r="K22" s="9"/>
      <c r="L22" s="9" t="str">
        <f>VLOOKUP(H22,위치!B:D,3,0)</f>
        <v>3S3-4</v>
      </c>
      <c r="M22" s="12">
        <v>46230</v>
      </c>
      <c r="N22" s="5"/>
      <c r="O22" s="5"/>
      <c r="P22" s="5"/>
      <c r="Q22" s="14"/>
      <c r="R22" s="15">
        <f t="shared" si="0"/>
        <v>5</v>
      </c>
    </row>
    <row r="23" spans="2:18" x14ac:dyDescent="0.35">
      <c r="B23" s="9">
        <v>193</v>
      </c>
      <c r="C23" s="9" t="s">
        <v>4732</v>
      </c>
      <c r="D23" s="9"/>
      <c r="E23" s="9"/>
      <c r="F23" s="9"/>
      <c r="G23" s="9"/>
      <c r="H23" s="9" t="s">
        <v>3847</v>
      </c>
      <c r="I23" s="11" t="str">
        <f>VLOOKUP(H23,위치!B:C,2,0)</f>
        <v>RF-01H-5067]LED_Right harness</v>
      </c>
      <c r="J23" s="9">
        <v>5</v>
      </c>
      <c r="K23" s="9"/>
      <c r="L23" s="9" t="str">
        <f>VLOOKUP(H23,위치!B:D,3,0)</f>
        <v>3S3-5</v>
      </c>
      <c r="M23" s="12">
        <v>46230</v>
      </c>
      <c r="N23" s="5"/>
      <c r="O23" s="5"/>
      <c r="P23" s="5"/>
      <c r="Q23" s="14"/>
      <c r="R23" s="15">
        <f t="shared" si="0"/>
        <v>5</v>
      </c>
    </row>
    <row r="24" spans="2:18" x14ac:dyDescent="0.35">
      <c r="B24" s="9">
        <v>194</v>
      </c>
      <c r="C24" s="9" t="s">
        <v>4732</v>
      </c>
      <c r="D24" s="9"/>
      <c r="E24" s="9"/>
      <c r="F24" s="9"/>
      <c r="G24" s="9"/>
      <c r="H24" s="9" t="s">
        <v>3860</v>
      </c>
      <c r="I24" s="11" t="str">
        <f>VLOOKUP(H24,위치!B:C,2,0)</f>
        <v>RF-01H-5075] USB to Cal kit harness</v>
      </c>
      <c r="J24" s="9">
        <v>5</v>
      </c>
      <c r="K24" s="9"/>
      <c r="L24" s="9" t="str">
        <f>VLOOKUP(H24,위치!B:D,3,0)</f>
        <v>3S3-6</v>
      </c>
      <c r="M24" s="12">
        <v>46230</v>
      </c>
      <c r="N24" s="5"/>
      <c r="O24" s="5"/>
      <c r="P24" s="5"/>
      <c r="Q24" s="14"/>
      <c r="R24" s="15">
        <f t="shared" si="0"/>
        <v>5</v>
      </c>
    </row>
    <row r="25" spans="2:18" x14ac:dyDescent="0.35">
      <c r="B25" s="9">
        <v>117</v>
      </c>
      <c r="C25" s="9" t="s">
        <v>4732</v>
      </c>
      <c r="D25" s="9"/>
      <c r="E25" s="9"/>
      <c r="F25" s="9"/>
      <c r="G25" s="9"/>
      <c r="H25" s="9" t="s">
        <v>3804</v>
      </c>
      <c r="I25" s="11" t="str">
        <f>VLOOKUP(H25,위치!B:C,2,0)</f>
        <v>RF-01B-5040]MAIN Bd</v>
      </c>
      <c r="J25" s="9">
        <v>6</v>
      </c>
      <c r="K25" s="9"/>
      <c r="L25" s="9" t="str">
        <f>VLOOKUP(H25,위치!B:D,3,0)</f>
        <v>A5-4</v>
      </c>
      <c r="M25" s="12">
        <v>46224</v>
      </c>
      <c r="N25" s="5"/>
      <c r="O25" s="5"/>
      <c r="P25" s="5"/>
      <c r="Q25" s="14"/>
      <c r="R25" s="15">
        <f t="shared" si="0"/>
        <v>6</v>
      </c>
    </row>
    <row r="26" spans="2:18" x14ac:dyDescent="0.35">
      <c r="B26" s="9">
        <v>192</v>
      </c>
      <c r="C26" s="9" t="s">
        <v>4732</v>
      </c>
      <c r="D26" s="9"/>
      <c r="E26" s="9"/>
      <c r="F26" s="9"/>
      <c r="G26" s="9"/>
      <c r="H26" s="9" t="s">
        <v>3831</v>
      </c>
      <c r="I26" s="11" t="str">
        <f>VLOOKUP(H26,위치!B:C,2,0)</f>
        <v>RF-01H-5056]LED PWM harness</v>
      </c>
      <c r="J26" s="9">
        <v>6</v>
      </c>
      <c r="K26" s="9"/>
      <c r="L26" s="9" t="str">
        <f>VLOOKUP(H26,위치!B:D,3,0)</f>
        <v>3S3-4</v>
      </c>
      <c r="M26" s="12">
        <v>46230</v>
      </c>
      <c r="N26" s="5"/>
      <c r="O26" s="5"/>
      <c r="P26" s="5"/>
      <c r="Q26" s="14"/>
      <c r="R26" s="15">
        <f t="shared" si="0"/>
        <v>6</v>
      </c>
    </row>
    <row r="27" spans="2:18" x14ac:dyDescent="0.35">
      <c r="B27" s="9">
        <v>264</v>
      </c>
      <c r="C27" s="9" t="s">
        <v>4732</v>
      </c>
      <c r="D27" s="9"/>
      <c r="E27" s="9"/>
      <c r="F27" s="9"/>
      <c r="G27" s="9"/>
      <c r="H27" s="9" t="s">
        <v>2201</v>
      </c>
      <c r="I27" s="11" t="str">
        <f>VLOOKUP(H27,위치!B:C,2,0)</f>
        <v>RA-08M-2706]BLK CEPH AXIS BODY FRONT(VW</v>
      </c>
      <c r="J27" s="9">
        <v>6</v>
      </c>
      <c r="K27" s="9"/>
      <c r="L27" s="9" t="str">
        <f>VLOOKUP(H27,위치!B:D,3,0)</f>
        <v>E1-2</v>
      </c>
      <c r="M27" s="12">
        <v>46232</v>
      </c>
      <c r="N27" s="5"/>
      <c r="O27" s="5"/>
      <c r="P27" s="5"/>
      <c r="Q27" s="14"/>
      <c r="R27" s="15">
        <f t="shared" si="0"/>
        <v>6</v>
      </c>
    </row>
    <row r="28" spans="2:18" x14ac:dyDescent="0.35">
      <c r="B28" s="9">
        <v>265</v>
      </c>
      <c r="C28" s="9" t="s">
        <v>4732</v>
      </c>
      <c r="D28" s="9"/>
      <c r="E28" s="9"/>
      <c r="F28" s="9"/>
      <c r="G28" s="9"/>
      <c r="H28" s="9" t="s">
        <v>2205</v>
      </c>
      <c r="I28" s="11" t="str">
        <f>VLOOKUP(H28,위치!B:C,2,0)</f>
        <v>RA-08M-2708]SHAFT CEPH AXIS BODY (VW)</v>
      </c>
      <c r="J28" s="9">
        <v>6</v>
      </c>
      <c r="K28" s="9"/>
      <c r="L28" s="9" t="str">
        <f>VLOOKUP(H28,위치!B:D,3,0)</f>
        <v>E1-2</v>
      </c>
      <c r="M28" s="12">
        <v>46232</v>
      </c>
      <c r="N28" s="5"/>
      <c r="O28" s="5"/>
      <c r="P28" s="5"/>
      <c r="Q28" s="14"/>
      <c r="R28" s="15">
        <f t="shared" si="0"/>
        <v>6</v>
      </c>
    </row>
    <row r="29" spans="2:18" x14ac:dyDescent="0.35">
      <c r="B29" s="9">
        <v>283</v>
      </c>
      <c r="C29" s="9" t="s">
        <v>4732</v>
      </c>
      <c r="D29" s="9"/>
      <c r="E29" s="9"/>
      <c r="F29" s="9"/>
      <c r="G29" s="9"/>
      <c r="H29" s="9" t="s">
        <v>2395</v>
      </c>
      <c r="I29" s="11" t="str">
        <f>VLOOKUP(H29,위치!B:C,2,0)</f>
        <v>RA-08V-2680]TILT ARM HINGE (VW)</v>
      </c>
      <c r="J29" s="9">
        <v>7</v>
      </c>
      <c r="K29" s="9"/>
      <c r="L29" s="9" t="str">
        <f>VLOOKUP(H29,위치!B:D,3,0)</f>
        <v>E1-5</v>
      </c>
      <c r="M29" s="12">
        <v>46232</v>
      </c>
      <c r="N29" s="5"/>
      <c r="O29" s="5"/>
      <c r="P29" s="5"/>
      <c r="Q29" s="14"/>
      <c r="R29" s="15">
        <f t="shared" si="0"/>
        <v>7</v>
      </c>
    </row>
    <row r="30" spans="2:18" x14ac:dyDescent="0.35">
      <c r="B30" s="9">
        <v>318</v>
      </c>
      <c r="C30" s="9" t="s">
        <v>4732</v>
      </c>
      <c r="D30" s="9"/>
      <c r="E30" s="9"/>
      <c r="F30" s="9"/>
      <c r="G30" s="9"/>
      <c r="H30" s="9" t="s">
        <v>2190</v>
      </c>
      <c r="I30" s="11" t="str">
        <f>VLOOKUP(H30,위치!B:C,2,0)</f>
        <v>RA-08M-2670]ARM CEPH BODY (VW)</v>
      </c>
      <c r="J30" s="9">
        <v>7</v>
      </c>
      <c r="K30" s="9"/>
      <c r="L30" s="9" t="str">
        <f>VLOOKUP(H30,위치!B:D,3,0)</f>
        <v>E4-4</v>
      </c>
      <c r="M30" s="12">
        <v>46232</v>
      </c>
      <c r="N30" s="5"/>
      <c r="O30" s="5"/>
      <c r="P30" s="5"/>
      <c r="Q30" s="14"/>
      <c r="R30" s="15">
        <f t="shared" si="0"/>
        <v>7</v>
      </c>
    </row>
    <row r="31" spans="2:18" x14ac:dyDescent="0.35">
      <c r="B31" s="9">
        <v>98</v>
      </c>
      <c r="C31" s="9" t="s">
        <v>4732</v>
      </c>
      <c r="D31" s="9"/>
      <c r="E31" s="9"/>
      <c r="F31" s="9"/>
      <c r="G31" s="9"/>
      <c r="H31" s="9" t="s">
        <v>3856</v>
      </c>
      <c r="I31" s="11" t="str">
        <f>VLOOKUP(H31,위치!B:C,2,0)</f>
        <v>RF-01H-5071]SBC LAN Cable</v>
      </c>
      <c r="J31" s="9">
        <v>8</v>
      </c>
      <c r="K31" s="9"/>
      <c r="L31" s="9" t="str">
        <f>VLOOKUP(H31,위치!B:D,3,0)</f>
        <v>3S3-6</v>
      </c>
      <c r="M31" s="12">
        <v>46224</v>
      </c>
      <c r="N31" s="5"/>
      <c r="O31" s="5"/>
      <c r="P31" s="5"/>
      <c r="Q31" s="14"/>
      <c r="R31" s="15">
        <f t="shared" si="0"/>
        <v>8</v>
      </c>
    </row>
    <row r="32" spans="2:18" x14ac:dyDescent="0.35">
      <c r="B32" s="9">
        <v>302</v>
      </c>
      <c r="C32" s="9" t="s">
        <v>4732</v>
      </c>
      <c r="D32" s="9"/>
      <c r="E32" s="9"/>
      <c r="F32" s="9"/>
      <c r="G32" s="9"/>
      <c r="H32" s="9" t="s">
        <v>4844</v>
      </c>
      <c r="I32" s="11">
        <f>VLOOKUP(H32,위치!B:C,2,0)</f>
        <v>0</v>
      </c>
      <c r="J32" s="9">
        <v>8</v>
      </c>
      <c r="K32" s="9"/>
      <c r="L32" s="9">
        <f>VLOOKUP(H32,위치!B:D,3,0)</f>
        <v>0</v>
      </c>
      <c r="M32" s="12">
        <v>46232</v>
      </c>
      <c r="N32" s="5"/>
      <c r="O32" s="5"/>
      <c r="P32" s="5"/>
      <c r="Q32" s="14"/>
      <c r="R32" s="15">
        <f t="shared" si="0"/>
        <v>8</v>
      </c>
    </row>
    <row r="33" spans="2:18" x14ac:dyDescent="0.35">
      <c r="B33" s="9">
        <v>303</v>
      </c>
      <c r="C33" s="9" t="s">
        <v>4732</v>
      </c>
      <c r="D33" s="9"/>
      <c r="E33" s="9"/>
      <c r="F33" s="9"/>
      <c r="G33" s="9"/>
      <c r="H33" s="9" t="s">
        <v>2089</v>
      </c>
      <c r="I33" s="11" t="str">
        <f>VLOOKUP(H33,위치!B:C,2,0)</f>
        <v>RA-08A-0745]ASM OC EARLOD L</v>
      </c>
      <c r="J33" s="9">
        <v>8</v>
      </c>
      <c r="K33" s="9"/>
      <c r="L33" s="9" t="str">
        <f>VLOOKUP(H33,위치!B:D,3,0)</f>
        <v>E1-6</v>
      </c>
      <c r="M33" s="12">
        <v>46232</v>
      </c>
      <c r="N33" s="5"/>
      <c r="O33" s="5"/>
      <c r="P33" s="5"/>
      <c r="Q33" s="14"/>
      <c r="R33" s="15">
        <f t="shared" si="0"/>
        <v>8</v>
      </c>
    </row>
    <row r="34" spans="2:18" x14ac:dyDescent="0.35">
      <c r="B34" s="9">
        <v>123</v>
      </c>
      <c r="C34" s="9" t="s">
        <v>4732</v>
      </c>
      <c r="D34" s="9"/>
      <c r="E34" s="9"/>
      <c r="F34" s="9"/>
      <c r="G34" s="9"/>
      <c r="H34" s="9" t="s">
        <v>4034</v>
      </c>
      <c r="I34" s="11" t="str">
        <f>VLOOKUP(H34,위치!B:C,2,0)</f>
        <v>RF-10A-2086]ASM JETSON NANO</v>
      </c>
      <c r="J34" s="9">
        <v>9</v>
      </c>
      <c r="K34" s="9"/>
      <c r="L34" s="9" t="str">
        <f>VLOOKUP(H34,위치!B:D,3,0)</f>
        <v>A6-3</v>
      </c>
      <c r="M34" s="12">
        <v>46224</v>
      </c>
      <c r="N34" s="5"/>
      <c r="O34" s="5"/>
      <c r="P34" s="5"/>
      <c r="Q34" s="14"/>
      <c r="R34" s="15">
        <f t="shared" si="0"/>
        <v>9</v>
      </c>
    </row>
    <row r="35" spans="2:18" x14ac:dyDescent="0.35">
      <c r="B35" s="9">
        <v>134</v>
      </c>
      <c r="C35" s="9" t="s">
        <v>4732</v>
      </c>
      <c r="D35" s="9"/>
      <c r="E35" s="9"/>
      <c r="F35" s="9"/>
      <c r="G35" s="9"/>
      <c r="H35" s="9" t="s">
        <v>4735</v>
      </c>
      <c r="I35" s="11">
        <f>VLOOKUP(H35,위치!B:C,2,0)</f>
        <v>0</v>
      </c>
      <c r="J35" s="9">
        <v>10</v>
      </c>
      <c r="K35" s="9"/>
      <c r="L35" s="9" t="str">
        <f>VLOOKUP(H35,위치!B:D,3,0)</f>
        <v>3F10</v>
      </c>
      <c r="M35" s="12">
        <v>46224</v>
      </c>
      <c r="N35" s="5"/>
      <c r="O35" s="5"/>
      <c r="P35" s="5"/>
      <c r="Q35" s="14"/>
      <c r="R35" s="15">
        <f t="shared" si="0"/>
        <v>10</v>
      </c>
    </row>
    <row r="36" spans="2:18" x14ac:dyDescent="0.35">
      <c r="B36" s="9">
        <v>320</v>
      </c>
      <c r="C36" s="9" t="s">
        <v>4732</v>
      </c>
      <c r="D36" s="9"/>
      <c r="E36" s="9"/>
      <c r="F36" s="9"/>
      <c r="G36" s="9"/>
      <c r="H36" s="9" t="s">
        <v>40</v>
      </c>
      <c r="I36" s="11" t="str">
        <f>VLOOKUP(H36,위치!B:C,2,0)</f>
        <v>C16-6808ZZ]BALL B-Ring</v>
      </c>
      <c r="J36" s="9">
        <v>10</v>
      </c>
      <c r="K36" s="9"/>
      <c r="L36" s="9" t="str">
        <f>VLOOKUP(H36,위치!B:D,3,0)</f>
        <v>3M1-4</v>
      </c>
      <c r="M36" s="12">
        <v>46232</v>
      </c>
      <c r="N36" s="5"/>
      <c r="O36" s="5"/>
      <c r="P36" s="5"/>
      <c r="Q36" s="14"/>
      <c r="R36" s="15">
        <f t="shared" si="0"/>
        <v>10</v>
      </c>
    </row>
    <row r="37" spans="2:18" x14ac:dyDescent="0.35">
      <c r="B37" s="9">
        <v>143</v>
      </c>
      <c r="C37" s="9" t="s">
        <v>4732</v>
      </c>
      <c r="D37" s="9"/>
      <c r="E37" s="9"/>
      <c r="F37" s="9"/>
      <c r="G37" s="9"/>
      <c r="H37" s="9" t="s">
        <v>4010</v>
      </c>
      <c r="I37" s="11" t="str">
        <f>VLOOKUP(H37,위치!B:C,2,0)</f>
        <v>RF-01T-0355]CAMERA CASE R</v>
      </c>
      <c r="J37" s="21">
        <v>13</v>
      </c>
      <c r="K37" s="21"/>
      <c r="L37" s="9" t="str">
        <f>VLOOKUP(H37,위치!B:D,3,0)</f>
        <v>3E9</v>
      </c>
      <c r="M37" s="12">
        <v>46224</v>
      </c>
      <c r="N37" s="5"/>
      <c r="O37" s="5"/>
      <c r="P37" s="5"/>
      <c r="Q37" s="14"/>
      <c r="R37" s="15">
        <f t="shared" si="0"/>
        <v>13</v>
      </c>
    </row>
    <row r="38" spans="2:18" x14ac:dyDescent="0.35">
      <c r="B38" s="9">
        <v>326</v>
      </c>
      <c r="C38" s="9" t="s">
        <v>4732</v>
      </c>
      <c r="D38" s="9"/>
      <c r="E38" s="9"/>
      <c r="F38" s="9"/>
      <c r="G38" s="9"/>
      <c r="H38" s="9" t="s">
        <v>2387</v>
      </c>
      <c r="I38" s="11" t="str">
        <f>VLOOKUP(H38,위치!B:C,2,0)</f>
        <v>RA-08V-2671]BRK ROT CAS BRIDGE A (VW)</v>
      </c>
      <c r="J38" s="9">
        <v>13</v>
      </c>
      <c r="K38" s="9"/>
      <c r="L38" s="9" t="str">
        <f>VLOOKUP(H38,위치!B:D,3,0)</f>
        <v>E1-5</v>
      </c>
      <c r="M38" s="12">
        <v>46232</v>
      </c>
      <c r="N38" s="5"/>
      <c r="O38" s="5"/>
      <c r="P38" s="5"/>
      <c r="Q38" s="14"/>
      <c r="R38" s="15">
        <f t="shared" si="0"/>
        <v>13</v>
      </c>
    </row>
    <row r="39" spans="2:18" x14ac:dyDescent="0.35">
      <c r="B39" s="9">
        <v>276</v>
      </c>
      <c r="C39" s="9" t="s">
        <v>4732</v>
      </c>
      <c r="D39" s="9"/>
      <c r="E39" s="9"/>
      <c r="F39" s="9"/>
      <c r="G39" s="9"/>
      <c r="H39" s="9" t="s">
        <v>2377</v>
      </c>
      <c r="I39" s="11" t="str">
        <f>VLOOKUP(H39,위치!B:C,2,0)</f>
        <v>RA-08V-2663]HOOK CAS CEPH SNSR (L)</v>
      </c>
      <c r="J39" s="9">
        <v>15</v>
      </c>
      <c r="K39" s="9"/>
      <c r="L39" s="9" t="str">
        <f>VLOOKUP(H39,위치!B:D,3,0)</f>
        <v>E2-5</v>
      </c>
      <c r="M39" s="12">
        <v>46232</v>
      </c>
      <c r="N39" s="5"/>
      <c r="O39" s="5"/>
      <c r="P39" s="5"/>
      <c r="Q39" s="14"/>
      <c r="R39" s="15">
        <f t="shared" si="0"/>
        <v>15</v>
      </c>
    </row>
    <row r="40" spans="2:18" x14ac:dyDescent="0.35">
      <c r="B40" s="9">
        <v>284</v>
      </c>
      <c r="C40" s="9" t="s">
        <v>4732</v>
      </c>
      <c r="D40" s="9"/>
      <c r="E40" s="9"/>
      <c r="F40" s="9"/>
      <c r="G40" s="9"/>
      <c r="H40" s="9" t="s">
        <v>2397</v>
      </c>
      <c r="I40" s="11" t="str">
        <f>VLOOKUP(H40,위치!B:C,2,0)</f>
        <v>RA-08V-2681]PLT STOPPER GUIDE (VW)</v>
      </c>
      <c r="J40" s="9">
        <v>15</v>
      </c>
      <c r="K40" s="9"/>
      <c r="L40" s="9" t="str">
        <f>VLOOKUP(H40,위치!B:D,3,0)</f>
        <v>E1-5</v>
      </c>
      <c r="M40" s="12">
        <v>46232</v>
      </c>
      <c r="N40" s="5"/>
      <c r="O40" s="5"/>
      <c r="P40" s="5"/>
      <c r="Q40" s="14"/>
      <c r="R40" s="15">
        <f t="shared" si="0"/>
        <v>15</v>
      </c>
    </row>
    <row r="41" spans="2:18" x14ac:dyDescent="0.35">
      <c r="B41" s="9">
        <v>277</v>
      </c>
      <c r="C41" s="9" t="s">
        <v>4732</v>
      </c>
      <c r="D41" s="9"/>
      <c r="E41" s="9"/>
      <c r="F41" s="9"/>
      <c r="G41" s="9"/>
      <c r="H41" s="9" t="s">
        <v>2381</v>
      </c>
      <c r="I41" s="11" t="str">
        <f>VLOOKUP(H41,위치!B:C,2,0)</f>
        <v>RA-08V-2665]BRK PUSH VIEWORKS POWER</v>
      </c>
      <c r="J41" s="9">
        <v>16</v>
      </c>
      <c r="K41" s="9"/>
      <c r="L41" s="9" t="str">
        <f>VLOOKUP(H41,위치!B:D,3,0)</f>
        <v>E2-5</v>
      </c>
      <c r="M41" s="12">
        <v>46232</v>
      </c>
      <c r="N41" s="5"/>
      <c r="O41" s="5"/>
      <c r="P41" s="5"/>
      <c r="Q41" s="14"/>
      <c r="R41" s="15">
        <f t="shared" si="0"/>
        <v>16</v>
      </c>
    </row>
    <row r="42" spans="2:18" x14ac:dyDescent="0.35">
      <c r="B42" s="9">
        <v>280</v>
      </c>
      <c r="C42" s="9" t="s">
        <v>4732</v>
      </c>
      <c r="D42" s="9"/>
      <c r="E42" s="9"/>
      <c r="F42" s="9"/>
      <c r="G42" s="9"/>
      <c r="H42" s="9" t="s">
        <v>2389</v>
      </c>
      <c r="I42" s="11" t="str">
        <f>VLOOKUP(H42,위치!B:C,2,0)</f>
        <v>RA-08V-2672]BRK SCAN CEPH BOT (VW)</v>
      </c>
      <c r="J42" s="9">
        <v>16</v>
      </c>
      <c r="K42" s="9"/>
      <c r="L42" s="9" t="str">
        <f>VLOOKUP(H42,위치!B:D,3,0)</f>
        <v>E1-5</v>
      </c>
      <c r="M42" s="12">
        <v>46232</v>
      </c>
      <c r="N42" s="5"/>
      <c r="O42" s="5"/>
      <c r="P42" s="5"/>
      <c r="Q42" s="14"/>
      <c r="R42" s="15">
        <f t="shared" si="0"/>
        <v>16</v>
      </c>
    </row>
    <row r="43" spans="2:18" x14ac:dyDescent="0.35">
      <c r="B43" s="9">
        <v>282</v>
      </c>
      <c r="C43" s="9" t="s">
        <v>4732</v>
      </c>
      <c r="D43" s="9"/>
      <c r="E43" s="9"/>
      <c r="F43" s="9"/>
      <c r="G43" s="9"/>
      <c r="H43" s="9" t="s">
        <v>2393</v>
      </c>
      <c r="I43" s="11" t="str">
        <f>VLOOKUP(H43,위치!B:C,2,0)</f>
        <v>RA-08V-2678]PLT DRUM MOUNT HEADREST (VW)</v>
      </c>
      <c r="J43" s="9">
        <v>16</v>
      </c>
      <c r="K43" s="9"/>
      <c r="L43" s="9" t="str">
        <f>VLOOKUP(H43,위치!B:D,3,0)</f>
        <v>E1-5</v>
      </c>
      <c r="M43" s="12">
        <v>46232</v>
      </c>
      <c r="N43" s="5"/>
      <c r="O43" s="5"/>
      <c r="P43" s="5"/>
      <c r="Q43" s="14"/>
      <c r="R43" s="15">
        <f t="shared" si="0"/>
        <v>16</v>
      </c>
    </row>
    <row r="44" spans="2:18" x14ac:dyDescent="0.35">
      <c r="B44" s="9">
        <v>287</v>
      </c>
      <c r="C44" s="9" t="s">
        <v>4732</v>
      </c>
      <c r="D44" s="9"/>
      <c r="E44" s="9"/>
      <c r="F44" s="9"/>
      <c r="G44" s="9"/>
      <c r="H44" s="9" t="s">
        <v>2404</v>
      </c>
      <c r="I44" s="11" t="str">
        <f>VLOOKUP(H44,위치!B:C,2,0)</f>
        <v>RA-08V-2691]HLDR CAS CEPH SNSR BOT (VW)</v>
      </c>
      <c r="J44" s="9">
        <v>16</v>
      </c>
      <c r="K44" s="9"/>
      <c r="L44" s="9" t="str">
        <f>VLOOKUP(H44,위치!B:D,3,0)</f>
        <v>E2-6</v>
      </c>
      <c r="M44" s="12">
        <v>46232</v>
      </c>
      <c r="N44" s="5"/>
      <c r="O44" s="5"/>
      <c r="P44" s="5"/>
      <c r="Q44" s="14"/>
      <c r="R44" s="15">
        <f t="shared" si="0"/>
        <v>16</v>
      </c>
    </row>
    <row r="45" spans="2:18" x14ac:dyDescent="0.35">
      <c r="B45" s="9">
        <v>274</v>
      </c>
      <c r="C45" s="9" t="s">
        <v>4732</v>
      </c>
      <c r="D45" s="9"/>
      <c r="E45" s="9"/>
      <c r="F45" s="9"/>
      <c r="G45" s="9"/>
      <c r="H45" s="9" t="s">
        <v>2369</v>
      </c>
      <c r="I45" s="11" t="str">
        <f>VLOOKUP(H45,위치!B:C,2,0)</f>
        <v>RA-08V-1872]BLK MOUNT OCG SNSR (VW)</v>
      </c>
      <c r="J45" s="9">
        <v>17</v>
      </c>
      <c r="K45" s="9"/>
      <c r="L45" s="9" t="str">
        <f>VLOOKUP(H45,위치!B:D,3,0)</f>
        <v>E2-5</v>
      </c>
      <c r="M45" s="12">
        <v>46232</v>
      </c>
      <c r="N45" s="5"/>
      <c r="O45" s="5"/>
      <c r="P45" s="5"/>
      <c r="Q45" s="14"/>
      <c r="R45" s="15">
        <f t="shared" si="0"/>
        <v>17</v>
      </c>
    </row>
    <row r="46" spans="2:18" x14ac:dyDescent="0.35">
      <c r="B46" s="9">
        <v>286</v>
      </c>
      <c r="C46" s="9" t="s">
        <v>4732</v>
      </c>
      <c r="D46" s="9"/>
      <c r="E46" s="9"/>
      <c r="F46" s="9"/>
      <c r="G46" s="9"/>
      <c r="H46" s="9" t="s">
        <v>2402</v>
      </c>
      <c r="I46" s="11" t="str">
        <f>VLOOKUP(H46,위치!B:C,2,0)</f>
        <v>RA-08V-2688]SPACER WASHER HEADREST (VW)</v>
      </c>
      <c r="J46" s="9">
        <v>18</v>
      </c>
      <c r="K46" s="9"/>
      <c r="L46" s="9" t="str">
        <f>VLOOKUP(H46,위치!B:D,3,0)</f>
        <v>E2-6</v>
      </c>
      <c r="M46" s="12">
        <v>46232</v>
      </c>
      <c r="N46" s="5"/>
      <c r="O46" s="5"/>
      <c r="P46" s="5"/>
      <c r="Q46" s="14"/>
      <c r="R46" s="15">
        <f t="shared" si="0"/>
        <v>18</v>
      </c>
    </row>
    <row r="47" spans="2:18" x14ac:dyDescent="0.35">
      <c r="B47" s="9">
        <v>272</v>
      </c>
      <c r="C47" s="9" t="s">
        <v>4732</v>
      </c>
      <c r="D47" s="9"/>
      <c r="E47" s="9"/>
      <c r="F47" s="9"/>
      <c r="G47" s="9"/>
      <c r="H47" s="9" t="s">
        <v>2318</v>
      </c>
      <c r="I47" s="11" t="str">
        <f>VLOOKUP(H47,위치!B:C,2,0)</f>
        <v>RA-08V-0737]CVR OC HEADREST BOT</v>
      </c>
      <c r="J47" s="9">
        <v>19</v>
      </c>
      <c r="K47" s="9"/>
      <c r="L47" s="9" t="str">
        <f>VLOOKUP(H47,위치!B:D,3,0)</f>
        <v>F1</v>
      </c>
      <c r="M47" s="12">
        <v>46232</v>
      </c>
      <c r="N47" s="5"/>
      <c r="O47" s="5"/>
      <c r="P47" s="5"/>
      <c r="Q47" s="14"/>
      <c r="R47" s="15">
        <f t="shared" si="0"/>
        <v>19</v>
      </c>
    </row>
    <row r="48" spans="2:18" x14ac:dyDescent="0.35">
      <c r="B48" s="9">
        <v>275</v>
      </c>
      <c r="C48" s="9" t="s">
        <v>4732</v>
      </c>
      <c r="D48" s="9"/>
      <c r="E48" s="9"/>
      <c r="F48" s="9"/>
      <c r="G48" s="9"/>
      <c r="H48" s="9" t="s">
        <v>2375</v>
      </c>
      <c r="I48" s="11" t="str">
        <f>VLOOKUP(H48,위치!B:C,2,0)</f>
        <v>RA-08V-2662]HOOK CAS CEPH SNSR (R)</v>
      </c>
      <c r="J48" s="9">
        <v>19</v>
      </c>
      <c r="K48" s="9"/>
      <c r="L48" s="9" t="str">
        <f>VLOOKUP(H48,위치!B:D,3,0)</f>
        <v>E2-5</v>
      </c>
      <c r="M48" s="12">
        <v>46232</v>
      </c>
      <c r="N48" s="5"/>
      <c r="O48" s="5"/>
      <c r="P48" s="5"/>
      <c r="Q48" s="14"/>
      <c r="R48" s="15">
        <f t="shared" si="0"/>
        <v>19</v>
      </c>
    </row>
    <row r="49" spans="2:18" x14ac:dyDescent="0.35">
      <c r="B49" s="9">
        <v>279</v>
      </c>
      <c r="C49" s="9" t="s">
        <v>4732</v>
      </c>
      <c r="D49" s="9"/>
      <c r="E49" s="9"/>
      <c r="F49" s="9"/>
      <c r="G49" s="9"/>
      <c r="H49" s="9" t="s">
        <v>2385</v>
      </c>
      <c r="I49" s="11" t="str">
        <f>VLOOKUP(H49,위치!B:C,2,0)</f>
        <v>RA-08V-2667]BRK EARLOD FIX B (VW)</v>
      </c>
      <c r="J49" s="9">
        <v>19</v>
      </c>
      <c r="K49" s="9"/>
      <c r="L49" s="9" t="str">
        <f>VLOOKUP(H49,위치!B:D,3,0)</f>
        <v>E1-5</v>
      </c>
      <c r="M49" s="12">
        <v>46232</v>
      </c>
      <c r="N49" s="5"/>
      <c r="O49" s="5"/>
      <c r="P49" s="5"/>
      <c r="Q49" s="14"/>
      <c r="R49" s="15">
        <f t="shared" si="0"/>
        <v>19</v>
      </c>
    </row>
    <row r="50" spans="2:18" x14ac:dyDescent="0.35">
      <c r="B50" s="9">
        <v>285</v>
      </c>
      <c r="C50" s="9" t="s">
        <v>4732</v>
      </c>
      <c r="D50" s="9"/>
      <c r="E50" s="9"/>
      <c r="F50" s="9"/>
      <c r="G50" s="9"/>
      <c r="H50" s="9" t="s">
        <v>2399</v>
      </c>
      <c r="I50" s="11" t="str">
        <f>VLOOKUP(H50,위치!B:C,2,0)</f>
        <v>RA-08V-2683]PLT CEPH ARM FIX (VW)</v>
      </c>
      <c r="J50" s="9">
        <v>19</v>
      </c>
      <c r="K50" s="9"/>
      <c r="L50" s="9" t="str">
        <f>VLOOKUP(H50,위치!B:D,3,0)</f>
        <v>E2-6</v>
      </c>
      <c r="M50" s="12">
        <v>46232</v>
      </c>
      <c r="N50" s="5"/>
      <c r="O50" s="5"/>
      <c r="P50" s="5"/>
      <c r="Q50" s="14"/>
      <c r="R50" s="15">
        <f t="shared" si="0"/>
        <v>19</v>
      </c>
    </row>
    <row r="51" spans="2:18" x14ac:dyDescent="0.35">
      <c r="B51" s="9">
        <v>296</v>
      </c>
      <c r="C51" s="9" t="s">
        <v>4732</v>
      </c>
      <c r="D51" s="9"/>
      <c r="E51" s="9"/>
      <c r="F51" s="9"/>
      <c r="G51" s="9"/>
      <c r="H51" s="9" t="s">
        <v>2857</v>
      </c>
      <c r="I51" s="11" t="str">
        <f>VLOOKUP(H51,위치!B:C,2,0)</f>
        <v>RA-9-12]SCEPH LAN</v>
      </c>
      <c r="J51" s="9">
        <v>19</v>
      </c>
      <c r="K51" s="9"/>
      <c r="L51" s="9" t="str">
        <f>VLOOKUP(H51,위치!B:D,3,0)</f>
        <v>G3-4</v>
      </c>
      <c r="M51" s="12">
        <v>46232</v>
      </c>
      <c r="N51" s="5"/>
      <c r="O51" s="5"/>
      <c r="P51" s="5"/>
      <c r="Q51" s="14"/>
      <c r="R51" s="15">
        <f t="shared" si="0"/>
        <v>19</v>
      </c>
    </row>
    <row r="52" spans="2:18" x14ac:dyDescent="0.35">
      <c r="B52" s="9">
        <v>273</v>
      </c>
      <c r="C52" s="9" t="s">
        <v>4732</v>
      </c>
      <c r="D52" s="9"/>
      <c r="E52" s="9"/>
      <c r="F52" s="9"/>
      <c r="G52" s="9"/>
      <c r="H52" s="9" t="s">
        <v>2322</v>
      </c>
      <c r="I52" s="11" t="str">
        <f>VLOOKUP(H52,위치!B:C,2,0)</f>
        <v>RA-08V-0974]BRK WIRE MOUNT</v>
      </c>
      <c r="J52" s="9">
        <v>20</v>
      </c>
      <c r="K52" s="9"/>
      <c r="L52" s="9" t="str">
        <f>VLOOKUP(H52,위치!B:D,3,0)</f>
        <v>E1-3</v>
      </c>
      <c r="M52" s="12">
        <v>46232</v>
      </c>
      <c r="N52" s="5"/>
      <c r="O52" s="5"/>
      <c r="P52" s="5"/>
      <c r="Q52" s="14"/>
      <c r="R52" s="15">
        <f t="shared" si="0"/>
        <v>20</v>
      </c>
    </row>
    <row r="53" spans="2:18" x14ac:dyDescent="0.35">
      <c r="B53" s="9">
        <v>281</v>
      </c>
      <c r="C53" s="9" t="s">
        <v>4732</v>
      </c>
      <c r="D53" s="9"/>
      <c r="E53" s="9"/>
      <c r="F53" s="9"/>
      <c r="G53" s="9"/>
      <c r="H53" s="9" t="s">
        <v>2391</v>
      </c>
      <c r="I53" s="11" t="str">
        <f>VLOOKUP(H53,위치!B:C,2,0)</f>
        <v>RA-08V-2676]BRK MOUNT CEPH ARM (VW)</v>
      </c>
      <c r="J53" s="9">
        <v>21</v>
      </c>
      <c r="K53" s="9"/>
      <c r="L53" s="9" t="str">
        <f>VLOOKUP(H53,위치!B:D,3,0)</f>
        <v>E1-5</v>
      </c>
      <c r="M53" s="12">
        <v>46232</v>
      </c>
      <c r="N53" s="5"/>
      <c r="O53" s="5"/>
      <c r="P53" s="5"/>
      <c r="Q53" s="14"/>
      <c r="R53" s="15">
        <f t="shared" si="0"/>
        <v>21</v>
      </c>
    </row>
    <row r="54" spans="2:18" x14ac:dyDescent="0.35">
      <c r="B54" s="9">
        <v>309</v>
      </c>
      <c r="C54" s="9" t="s">
        <v>4732</v>
      </c>
      <c r="D54" s="9"/>
      <c r="E54" s="9"/>
      <c r="F54" s="9"/>
      <c r="G54" s="9"/>
      <c r="H54" s="9" t="s">
        <v>4648</v>
      </c>
      <c r="I54" s="11">
        <f>VLOOKUP(H54,위치!B:C,2,0)</f>
        <v>0</v>
      </c>
      <c r="J54" s="9">
        <v>22</v>
      </c>
      <c r="K54" s="9"/>
      <c r="L54" s="9" t="str">
        <f>VLOOKUP(H54,위치!B:D,3,0)</f>
        <v>1층</v>
      </c>
      <c r="M54" s="12">
        <v>46232</v>
      </c>
      <c r="N54" s="5"/>
      <c r="O54" s="5"/>
      <c r="P54" s="5"/>
      <c r="Q54" s="14"/>
      <c r="R54" s="15">
        <f t="shared" si="0"/>
        <v>22</v>
      </c>
    </row>
    <row r="55" spans="2:18" x14ac:dyDescent="0.35">
      <c r="B55" s="9">
        <v>319</v>
      </c>
      <c r="C55" s="9" t="s">
        <v>4732</v>
      </c>
      <c r="D55" s="9"/>
      <c r="E55" s="9"/>
      <c r="F55" s="9"/>
      <c r="G55" s="9"/>
      <c r="H55" s="9" t="s">
        <v>2379</v>
      </c>
      <c r="I55" s="11" t="str">
        <f>VLOOKUP(H55,위치!B:C,2,0)</f>
        <v>RA-08V-2664]HLDR CAS CEPH SNSR (RL) (VW)</v>
      </c>
      <c r="J55" s="9">
        <v>22</v>
      </c>
      <c r="K55" s="9"/>
      <c r="L55" s="9" t="str">
        <f>VLOOKUP(H55,위치!B:D,3,0)</f>
        <v>E2-5</v>
      </c>
      <c r="M55" s="12">
        <v>46232</v>
      </c>
      <c r="N55" s="5"/>
      <c r="O55" s="5"/>
      <c r="P55" s="5"/>
      <c r="Q55" s="14"/>
      <c r="R55" s="15">
        <f t="shared" si="0"/>
        <v>22</v>
      </c>
    </row>
    <row r="56" spans="2:18" x14ac:dyDescent="0.35">
      <c r="B56" s="9">
        <v>278</v>
      </c>
      <c r="C56" s="9" t="s">
        <v>4732</v>
      </c>
      <c r="D56" s="9"/>
      <c r="E56" s="9"/>
      <c r="F56" s="9"/>
      <c r="G56" s="9"/>
      <c r="H56" s="9" t="s">
        <v>2383</v>
      </c>
      <c r="I56" s="11" t="str">
        <f>VLOOKUP(H56,위치!B:C,2,0)</f>
        <v>RA-08V-2666]BRK EARLOD FIX A (VW)</v>
      </c>
      <c r="J56" s="9">
        <v>23</v>
      </c>
      <c r="K56" s="9"/>
      <c r="L56" s="9" t="str">
        <f>VLOOKUP(H56,위치!B:D,3,0)</f>
        <v>E2-5</v>
      </c>
      <c r="M56" s="12">
        <v>46232</v>
      </c>
      <c r="N56" s="5"/>
      <c r="O56" s="5"/>
      <c r="P56" s="5"/>
      <c r="Q56" s="14"/>
      <c r="R56" s="15">
        <f t="shared" si="0"/>
        <v>23</v>
      </c>
    </row>
    <row r="57" spans="2:18" x14ac:dyDescent="0.35">
      <c r="B57" s="9">
        <v>173</v>
      </c>
      <c r="C57" s="9" t="s">
        <v>4732</v>
      </c>
      <c r="D57" s="9"/>
      <c r="E57" s="9"/>
      <c r="F57" s="9"/>
      <c r="G57" s="9"/>
      <c r="H57" s="9" t="s">
        <v>4006</v>
      </c>
      <c r="I57" s="11" t="str">
        <f>VLOOKUP(H57,위치!B:C,2,0)</f>
        <v>RF-01T-0353]WINDOW LED</v>
      </c>
      <c r="J57" s="9">
        <v>25</v>
      </c>
      <c r="K57" s="9"/>
      <c r="L57" s="9" t="str">
        <f>VLOOKUP(H57,위치!B:D,3,0)</f>
        <v>3E9</v>
      </c>
      <c r="M57" s="12">
        <v>46226</v>
      </c>
      <c r="N57" s="5"/>
      <c r="O57" s="5"/>
      <c r="P57" s="5"/>
      <c r="Q57" s="14"/>
      <c r="R57" s="15">
        <f t="shared" si="0"/>
        <v>25</v>
      </c>
    </row>
    <row r="58" spans="2:18" x14ac:dyDescent="0.35">
      <c r="B58" s="9">
        <v>116</v>
      </c>
      <c r="C58" s="9" t="s">
        <v>4732</v>
      </c>
      <c r="D58" s="9"/>
      <c r="E58" s="9"/>
      <c r="F58" s="9"/>
      <c r="G58" s="9"/>
      <c r="H58" s="9" t="s">
        <v>3912</v>
      </c>
      <c r="I58" s="11" t="str">
        <f>VLOOKUP(H58,위치!B:C,2,0)</f>
        <v>RF-01S-5046]DLP ENGINE</v>
      </c>
      <c r="J58" s="9">
        <v>26</v>
      </c>
      <c r="K58" s="9"/>
      <c r="L58" s="9" t="str">
        <f>VLOOKUP(H58,위치!B:D,3,0)</f>
        <v>3C7</v>
      </c>
      <c r="M58" s="12">
        <v>46224</v>
      </c>
      <c r="N58" s="5"/>
      <c r="O58" s="5"/>
      <c r="P58" s="5"/>
      <c r="Q58" s="14"/>
      <c r="R58" s="15">
        <f t="shared" si="0"/>
        <v>26</v>
      </c>
    </row>
    <row r="59" spans="2:18" x14ac:dyDescent="0.35">
      <c r="B59" s="9">
        <v>269</v>
      </c>
      <c r="C59" s="9" t="s">
        <v>4732</v>
      </c>
      <c r="D59" s="9"/>
      <c r="E59" s="9"/>
      <c r="F59" s="9"/>
      <c r="G59" s="9"/>
      <c r="H59" s="9" t="s">
        <v>2305</v>
      </c>
      <c r="I59" s="11" t="str">
        <f>VLOOKUP(H59,위치!B:C,2,0)</f>
        <v>RA-08V-0604]STOPPER SCAN CEPH</v>
      </c>
      <c r="J59" s="9">
        <v>26</v>
      </c>
      <c r="K59" s="9"/>
      <c r="L59" s="9" t="str">
        <f>VLOOKUP(H59,위치!B:D,3,0)</f>
        <v>E1-3</v>
      </c>
      <c r="M59" s="12">
        <v>46232</v>
      </c>
      <c r="N59" s="5"/>
      <c r="O59" s="5"/>
      <c r="P59" s="5"/>
      <c r="Q59" s="14"/>
      <c r="R59" s="15">
        <f t="shared" si="0"/>
        <v>26</v>
      </c>
    </row>
    <row r="60" spans="2:18" x14ac:dyDescent="0.35">
      <c r="B60" s="9">
        <v>271</v>
      </c>
      <c r="C60" s="9" t="s">
        <v>4732</v>
      </c>
      <c r="D60" s="9"/>
      <c r="E60" s="9"/>
      <c r="F60" s="9"/>
      <c r="G60" s="9"/>
      <c r="H60" s="9" t="s">
        <v>2307</v>
      </c>
      <c r="I60" s="11" t="str">
        <f>VLOOKUP(H60,위치!B:C,2,0)</f>
        <v>RA-08V-0621]PLT WASHER FIX</v>
      </c>
      <c r="J60" s="9">
        <v>26</v>
      </c>
      <c r="K60" s="9"/>
      <c r="L60" s="9" t="str">
        <f>VLOOKUP(H60,위치!B:D,3,0)</f>
        <v>E1-3</v>
      </c>
      <c r="M60" s="12">
        <v>46232</v>
      </c>
      <c r="N60" s="5"/>
      <c r="O60" s="5"/>
      <c r="P60" s="5"/>
      <c r="Q60" s="14"/>
      <c r="R60" s="15">
        <f t="shared" si="0"/>
        <v>26</v>
      </c>
    </row>
    <row r="61" spans="2:18" x14ac:dyDescent="0.35">
      <c r="B61" s="9">
        <v>145</v>
      </c>
      <c r="C61" s="9" t="s">
        <v>4732</v>
      </c>
      <c r="D61" s="9"/>
      <c r="E61" s="9"/>
      <c r="F61" s="9"/>
      <c r="G61" s="9"/>
      <c r="H61" s="9" t="s">
        <v>3960</v>
      </c>
      <c r="I61" s="11" t="str">
        <f>VLOOKUP(H61,위치!B:C,2,0)</f>
        <v>RF-01T-0171]ARM CVR REAR R</v>
      </c>
      <c r="J61" s="21">
        <v>33</v>
      </c>
      <c r="K61" s="21"/>
      <c r="L61" s="9" t="str">
        <f>VLOOKUP(H61,위치!B:D,3,0)</f>
        <v>3B4</v>
      </c>
      <c r="M61" s="12">
        <v>46224</v>
      </c>
      <c r="N61" s="5"/>
      <c r="O61" s="5"/>
      <c r="P61" s="5"/>
      <c r="Q61" s="14"/>
      <c r="R61" s="15">
        <f t="shared" si="0"/>
        <v>33</v>
      </c>
    </row>
    <row r="62" spans="2:18" x14ac:dyDescent="0.35">
      <c r="B62" s="9">
        <v>112</v>
      </c>
      <c r="C62" s="9" t="s">
        <v>4732</v>
      </c>
      <c r="D62" s="9"/>
      <c r="E62" s="9"/>
      <c r="F62" s="9"/>
      <c r="G62" s="9"/>
      <c r="H62" s="9" t="s">
        <v>3915</v>
      </c>
      <c r="I62" s="11" t="str">
        <f>VLOOKUP(H62,위치!B:C,2,0)</f>
        <v>RF-01S-5049]Face Lens</v>
      </c>
      <c r="J62" s="9">
        <v>40</v>
      </c>
      <c r="K62" s="9"/>
      <c r="L62" s="9" t="str">
        <f>VLOOKUP(H62,위치!B:D,3,0)</f>
        <v>3L4-2</v>
      </c>
      <c r="M62" s="12">
        <v>46224</v>
      </c>
      <c r="N62" s="5"/>
      <c r="O62" s="5"/>
      <c r="P62" s="5"/>
      <c r="Q62" s="14"/>
      <c r="R62" s="15">
        <f t="shared" si="0"/>
        <v>40</v>
      </c>
    </row>
    <row r="63" spans="2:18" x14ac:dyDescent="0.35">
      <c r="B63" s="9">
        <v>94</v>
      </c>
      <c r="C63" s="9" t="s">
        <v>4732</v>
      </c>
      <c r="D63" s="9"/>
      <c r="E63" s="9"/>
      <c r="F63" s="9"/>
      <c r="G63" s="9"/>
      <c r="H63" s="9" t="s">
        <v>4733</v>
      </c>
      <c r="I63" s="11" t="str">
        <f>VLOOKUP(H63,위치!B:C,2,0)</f>
        <v>RF-01T-0160_C]Bas BOT LWR</v>
      </c>
      <c r="J63" s="9">
        <v>45</v>
      </c>
      <c r="K63" s="9"/>
      <c r="L63" s="9" t="str">
        <f>VLOOKUP(H63,위치!B:D,3,0)</f>
        <v>3B6</v>
      </c>
      <c r="M63" s="12">
        <v>46224</v>
      </c>
      <c r="N63" s="5"/>
      <c r="O63" s="5"/>
      <c r="P63" s="5"/>
      <c r="Q63" s="14"/>
      <c r="R63" s="15">
        <f t="shared" si="0"/>
        <v>45</v>
      </c>
    </row>
    <row r="64" spans="2:18" x14ac:dyDescent="0.35">
      <c r="B64" s="9">
        <v>109</v>
      </c>
      <c r="C64" s="9" t="s">
        <v>4732</v>
      </c>
      <c r="D64" s="9"/>
      <c r="E64" s="9"/>
      <c r="F64" s="9"/>
      <c r="G64" s="9"/>
      <c r="H64" s="9" t="s">
        <v>4060</v>
      </c>
      <c r="I64" s="11" t="str">
        <f>VLOOKUP(H64,위치!B:C,2,0)</f>
        <v>MODULE ARM RIGHT</v>
      </c>
      <c r="J64" s="9">
        <v>45</v>
      </c>
      <c r="K64" s="9"/>
      <c r="L64" s="9" t="str">
        <f>VLOOKUP(H64,위치!B:D,3,0)</f>
        <v>3C6</v>
      </c>
      <c r="M64" s="12">
        <v>46224</v>
      </c>
      <c r="N64" s="5"/>
      <c r="O64" s="5"/>
      <c r="P64" s="5"/>
      <c r="Q64" s="14"/>
      <c r="R64" s="15">
        <f t="shared" si="0"/>
        <v>45</v>
      </c>
    </row>
    <row r="65" spans="2:18" x14ac:dyDescent="0.35">
      <c r="B65" s="9">
        <v>131</v>
      </c>
      <c r="C65" s="9" t="s">
        <v>4732</v>
      </c>
      <c r="D65" s="9"/>
      <c r="E65" s="9"/>
      <c r="F65" s="9"/>
      <c r="G65" s="9"/>
      <c r="H65" s="9" t="s">
        <v>3849</v>
      </c>
      <c r="I65" s="11" t="str">
        <f>VLOOKUP(H65,위치!B:C,2,0)</f>
        <v>RF-01H-5068]LED_Left harness</v>
      </c>
      <c r="J65" s="9">
        <v>45</v>
      </c>
      <c r="K65" s="9"/>
      <c r="L65" s="9" t="str">
        <f>VLOOKUP(H65,위치!B:D,3,0)</f>
        <v>3S3-5</v>
      </c>
      <c r="M65" s="12">
        <v>46224</v>
      </c>
      <c r="N65" s="5"/>
      <c r="O65" s="5"/>
      <c r="P65" s="5"/>
      <c r="Q65" s="14"/>
      <c r="R65" s="15">
        <f t="shared" si="0"/>
        <v>45</v>
      </c>
    </row>
    <row r="66" spans="2:18" x14ac:dyDescent="0.35">
      <c r="B66" s="9">
        <v>140</v>
      </c>
      <c r="C66" s="9" t="s">
        <v>4732</v>
      </c>
      <c r="D66" s="9"/>
      <c r="E66" s="9"/>
      <c r="F66" s="9"/>
      <c r="G66" s="9"/>
      <c r="H66" s="9" t="s">
        <v>3939</v>
      </c>
      <c r="I66" s="11" t="str">
        <f>VLOOKUP(H66,위치!B:C,2,0)</f>
        <v>RF-01S-5093]CAM Cable_TEETH_R</v>
      </c>
      <c r="J66" s="9">
        <v>45</v>
      </c>
      <c r="K66" s="9"/>
      <c r="L66" s="9" t="str">
        <f>VLOOKUP(H66,위치!B:D,3,0)</f>
        <v>3F10</v>
      </c>
      <c r="M66" s="12">
        <v>46224</v>
      </c>
      <c r="N66" s="5"/>
      <c r="O66" s="5"/>
      <c r="P66" s="5"/>
      <c r="Q66" s="14"/>
      <c r="R66" s="15">
        <f t="shared" si="0"/>
        <v>45</v>
      </c>
    </row>
    <row r="67" spans="2:18" x14ac:dyDescent="0.35">
      <c r="B67" s="9">
        <v>293</v>
      </c>
      <c r="C67" s="9" t="s">
        <v>4732</v>
      </c>
      <c r="D67" s="9"/>
      <c r="E67" s="9"/>
      <c r="F67" s="9"/>
      <c r="G67" s="9"/>
      <c r="H67" s="9" t="s">
        <v>51</v>
      </c>
      <c r="I67" s="11" t="str">
        <f>VLOOKUP(H67,위치!B:C,2,0)</f>
        <v>C16-MF128ZZS]BALL B-Ring</v>
      </c>
      <c r="J67" s="9">
        <v>45</v>
      </c>
      <c r="K67" s="9"/>
      <c r="L67" s="9" t="str">
        <f>VLOOKUP(H67,위치!B:D,3,0)</f>
        <v>C1-1</v>
      </c>
      <c r="M67" s="12">
        <v>46232</v>
      </c>
      <c r="N67" s="5"/>
      <c r="O67" s="5"/>
      <c r="P67" s="5"/>
      <c r="Q67" s="14"/>
      <c r="R67" s="15">
        <f t="shared" si="0"/>
        <v>45</v>
      </c>
    </row>
    <row r="68" spans="2:18" x14ac:dyDescent="0.35">
      <c r="B68" s="9">
        <v>305</v>
      </c>
      <c r="C68" s="9" t="s">
        <v>4732</v>
      </c>
      <c r="D68" s="9"/>
      <c r="E68" s="9"/>
      <c r="F68" s="9"/>
      <c r="G68" s="9"/>
      <c r="H68" s="9" t="s">
        <v>4644</v>
      </c>
      <c r="I68" s="11">
        <f>VLOOKUP(H68,위치!B:C,2,0)</f>
        <v>0</v>
      </c>
      <c r="J68" s="9">
        <v>47</v>
      </c>
      <c r="K68" s="9"/>
      <c r="L68" s="9" t="str">
        <f>VLOOKUP(H68,위치!B:D,3,0)</f>
        <v>1층</v>
      </c>
      <c r="M68" s="12">
        <v>46232</v>
      </c>
      <c r="N68" s="5"/>
      <c r="O68" s="5"/>
      <c r="P68" s="5"/>
      <c r="Q68" s="14"/>
      <c r="R68" s="15">
        <f t="shared" si="0"/>
        <v>47</v>
      </c>
    </row>
    <row r="69" spans="2:18" x14ac:dyDescent="0.35">
      <c r="B69" s="9">
        <v>115</v>
      </c>
      <c r="C69" s="9" t="s">
        <v>4732</v>
      </c>
      <c r="D69" s="9"/>
      <c r="E69" s="9"/>
      <c r="F69" s="9"/>
      <c r="G69" s="9"/>
      <c r="H69" s="9" t="s">
        <v>3927</v>
      </c>
      <c r="I69" s="11" t="str">
        <f>VLOOKUP(H69,위치!B:C,2,0)</f>
        <v>RF-01S-5084]CAM Trigger_C harness</v>
      </c>
      <c r="J69" s="9">
        <v>48</v>
      </c>
      <c r="K69" s="9"/>
      <c r="L69" s="9" t="str">
        <f>VLOOKUP(H69,위치!B:D,3,0)</f>
        <v>3L3-2</v>
      </c>
      <c r="M69" s="12">
        <v>46224</v>
      </c>
      <c r="N69" s="5"/>
      <c r="O69" s="5"/>
      <c r="P69" s="5"/>
      <c r="Q69" s="14"/>
      <c r="R69" s="15">
        <f t="shared" si="0"/>
        <v>48</v>
      </c>
    </row>
    <row r="70" spans="2:18" x14ac:dyDescent="0.35">
      <c r="B70" s="9">
        <v>299</v>
      </c>
      <c r="C70" s="9" t="s">
        <v>4732</v>
      </c>
      <c r="D70" s="9"/>
      <c r="E70" s="9"/>
      <c r="F70" s="9"/>
      <c r="G70" s="9"/>
      <c r="H70" s="9" t="s">
        <v>2831</v>
      </c>
      <c r="I70" s="11" t="str">
        <f>VLOOKUP(H70,위치!B:C,2,0)</f>
        <v>RA-8-17]AC POWER OC(V)</v>
      </c>
      <c r="J70" s="9">
        <v>48</v>
      </c>
      <c r="K70" s="9"/>
      <c r="L70" s="9" t="str">
        <f>VLOOKUP(H70,위치!B:D,3,0)</f>
        <v>G2-3</v>
      </c>
      <c r="M70" s="12">
        <v>46232</v>
      </c>
      <c r="N70" s="5"/>
      <c r="O70" s="5"/>
      <c r="P70" s="5"/>
      <c r="Q70" s="14"/>
      <c r="R70" s="15">
        <f t="shared" si="0"/>
        <v>48</v>
      </c>
    </row>
    <row r="71" spans="2:18" x14ac:dyDescent="0.35">
      <c r="B71" s="9">
        <v>128</v>
      </c>
      <c r="C71" s="9" t="s">
        <v>4732</v>
      </c>
      <c r="D71" s="9"/>
      <c r="E71" s="9"/>
      <c r="F71" s="9"/>
      <c r="G71" s="9"/>
      <c r="H71" s="9" t="s">
        <v>3900</v>
      </c>
      <c r="I71" s="11" t="str">
        <f>VLOOKUP(H71,위치!B:C,2,0)</f>
        <v>RF-01M-0396]FRAME PIPE ALIGN</v>
      </c>
      <c r="J71" s="9">
        <v>49</v>
      </c>
      <c r="K71" s="9"/>
      <c r="L71" s="9" t="str">
        <f>VLOOKUP(H71,위치!B:D,3,0)</f>
        <v>3C10</v>
      </c>
      <c r="M71" s="12">
        <v>46224</v>
      </c>
      <c r="N71" s="5"/>
      <c r="O71" s="5"/>
      <c r="P71" s="5"/>
      <c r="Q71" s="14"/>
      <c r="R71" s="15">
        <f t="shared" ref="R71:R134" si="1">J71-P71</f>
        <v>49</v>
      </c>
    </row>
    <row r="72" spans="2:18" x14ac:dyDescent="0.35">
      <c r="B72" s="9">
        <v>159</v>
      </c>
      <c r="C72" s="9" t="s">
        <v>4732</v>
      </c>
      <c r="D72" s="9"/>
      <c r="E72" s="9"/>
      <c r="F72" s="9"/>
      <c r="G72" s="9"/>
      <c r="H72" s="9" t="s">
        <v>3963</v>
      </c>
      <c r="I72" s="11" t="str">
        <f>VLOOKUP(H72,위치!B:C,2,0)</f>
        <v>RF-01T-0172]ARM CVR REAR L</v>
      </c>
      <c r="J72" s="9">
        <v>49</v>
      </c>
      <c r="K72" s="9"/>
      <c r="L72" s="9" t="str">
        <f>VLOOKUP(H72,위치!B:D,3,0)</f>
        <v>3B5</v>
      </c>
      <c r="M72" s="12">
        <v>46224</v>
      </c>
      <c r="N72" s="5"/>
      <c r="O72" s="5"/>
      <c r="P72" s="5"/>
      <c r="Q72" s="14"/>
      <c r="R72" s="15">
        <f t="shared" si="1"/>
        <v>49</v>
      </c>
    </row>
    <row r="73" spans="2:18" x14ac:dyDescent="0.35">
      <c r="B73" s="9">
        <v>110</v>
      </c>
      <c r="C73" s="9" t="s">
        <v>4732</v>
      </c>
      <c r="D73" s="9"/>
      <c r="E73" s="9"/>
      <c r="F73" s="9"/>
      <c r="G73" s="9"/>
      <c r="H73" s="9" t="s">
        <v>4734</v>
      </c>
      <c r="I73" s="11">
        <f>VLOOKUP(H73,위치!B:C,2,0)</f>
        <v>0</v>
      </c>
      <c r="J73" s="9">
        <v>50</v>
      </c>
      <c r="K73" s="9"/>
      <c r="L73" s="9" t="str">
        <f>VLOOKUP(H73,위치!B:D,3,0)</f>
        <v>3I5</v>
      </c>
      <c r="M73" s="12">
        <v>46224</v>
      </c>
      <c r="N73" s="5"/>
      <c r="O73" s="5"/>
      <c r="P73" s="5"/>
      <c r="Q73" s="14"/>
      <c r="R73" s="15">
        <f t="shared" si="1"/>
        <v>50</v>
      </c>
    </row>
    <row r="74" spans="2:18" x14ac:dyDescent="0.35">
      <c r="B74" s="9">
        <v>180</v>
      </c>
      <c r="C74" s="9" t="s">
        <v>4732</v>
      </c>
      <c r="D74" s="9"/>
      <c r="E74" s="9"/>
      <c r="F74" s="9"/>
      <c r="G74" s="9"/>
      <c r="H74" s="9" t="s">
        <v>4048</v>
      </c>
      <c r="I74" s="11" t="str">
        <f>VLOOKUP(H74,위치!B:C,2,0)</f>
        <v>RF-20A-0280]MODULE DLP MCU BRACKET</v>
      </c>
      <c r="J74" s="9">
        <v>50</v>
      </c>
      <c r="K74" s="9"/>
      <c r="L74" s="9" t="str">
        <f>VLOOKUP(H74,위치!B:D,3,0)</f>
        <v>3F2</v>
      </c>
      <c r="M74" s="12">
        <v>46227</v>
      </c>
      <c r="N74" s="5"/>
      <c r="O74" s="5"/>
      <c r="P74" s="5"/>
      <c r="Q74" s="14"/>
      <c r="R74" s="15">
        <f t="shared" si="1"/>
        <v>50</v>
      </c>
    </row>
    <row r="75" spans="2:18" x14ac:dyDescent="0.35">
      <c r="B75" s="9">
        <v>130</v>
      </c>
      <c r="C75" s="9" t="s">
        <v>4732</v>
      </c>
      <c r="D75" s="9"/>
      <c r="E75" s="9"/>
      <c r="F75" s="9"/>
      <c r="G75" s="9"/>
      <c r="H75" s="9" t="s">
        <v>3904</v>
      </c>
      <c r="I75" s="11" t="str">
        <f>VLOOKUP(H75,위치!B:C,2,0)</f>
        <v>RF-01M-0398]COVER TOP</v>
      </c>
      <c r="J75" s="9">
        <v>52</v>
      </c>
      <c r="K75" s="9"/>
      <c r="L75" s="9" t="str">
        <f>VLOOKUP(H75,위치!B:D,3,0)</f>
        <v>3E5</v>
      </c>
      <c r="M75" s="12">
        <v>46224</v>
      </c>
      <c r="N75" s="5"/>
      <c r="O75" s="5"/>
      <c r="P75" s="5"/>
      <c r="Q75" s="14"/>
      <c r="R75" s="15">
        <f t="shared" si="1"/>
        <v>52</v>
      </c>
    </row>
    <row r="76" spans="2:18" x14ac:dyDescent="0.35">
      <c r="B76" s="9">
        <v>155</v>
      </c>
      <c r="C76" s="9" t="s">
        <v>4732</v>
      </c>
      <c r="D76" s="9"/>
      <c r="E76" s="9"/>
      <c r="F76" s="9"/>
      <c r="G76" s="9"/>
      <c r="H76" s="9" t="s">
        <v>4019</v>
      </c>
      <c r="I76" s="11" t="str">
        <f>VLOOKUP(H76,위치!B:C,2,0)</f>
        <v>RF-01V-0209]FRONT BRK TOP</v>
      </c>
      <c r="J76" s="9">
        <v>55</v>
      </c>
      <c r="K76" s="9"/>
      <c r="L76" s="9" t="str">
        <f>VLOOKUP(H76,위치!B:D,3,0)</f>
        <v>3L4-5</v>
      </c>
      <c r="M76" s="12">
        <v>46224</v>
      </c>
      <c r="N76" s="5"/>
      <c r="O76" s="5"/>
      <c r="P76" s="5"/>
      <c r="Q76" s="14"/>
      <c r="R76" s="15">
        <f t="shared" si="1"/>
        <v>55</v>
      </c>
    </row>
    <row r="77" spans="2:18" x14ac:dyDescent="0.35">
      <c r="B77" s="9">
        <v>156</v>
      </c>
      <c r="C77" s="9" t="s">
        <v>4732</v>
      </c>
      <c r="D77" s="9"/>
      <c r="E77" s="9"/>
      <c r="F77" s="9"/>
      <c r="G77" s="9"/>
      <c r="H77" s="9" t="s">
        <v>3937</v>
      </c>
      <c r="I77" s="11" t="str">
        <f>VLOOKUP(H77,위치!B:C,2,0)</f>
        <v>RF-01S-5090]CAM Cable_TEETH_L</v>
      </c>
      <c r="J77" s="9">
        <v>56</v>
      </c>
      <c r="K77" s="9"/>
      <c r="L77" s="9" t="str">
        <f>VLOOKUP(H77,위치!B:D,3,0)</f>
        <v>3F10</v>
      </c>
      <c r="M77" s="12">
        <v>46224</v>
      </c>
      <c r="N77" s="5"/>
      <c r="O77" s="5"/>
      <c r="P77" s="5"/>
      <c r="Q77" s="14"/>
      <c r="R77" s="15">
        <f t="shared" si="1"/>
        <v>56</v>
      </c>
    </row>
    <row r="78" spans="2:18" x14ac:dyDescent="0.35">
      <c r="B78" s="9">
        <v>93</v>
      </c>
      <c r="C78" s="9" t="s">
        <v>4732</v>
      </c>
      <c r="D78" s="9"/>
      <c r="E78" s="9"/>
      <c r="F78" s="9"/>
      <c r="G78" s="9"/>
      <c r="H78" s="9" t="s">
        <v>3929</v>
      </c>
      <c r="I78" s="11" t="str">
        <f>VLOOKUP(H78,위치!B:C,2,0)</f>
        <v>RF-01S-5085]FACE CAM</v>
      </c>
      <c r="J78" s="9">
        <v>57</v>
      </c>
      <c r="K78" s="9"/>
      <c r="L78" s="9" t="str">
        <f>VLOOKUP(H78,위치!B:D,3,0)</f>
        <v>3F9</v>
      </c>
      <c r="M78" s="12">
        <v>46224</v>
      </c>
      <c r="N78" s="5"/>
      <c r="O78" s="5"/>
      <c r="P78" s="5"/>
      <c r="Q78" s="14"/>
      <c r="R78" s="15">
        <f t="shared" si="1"/>
        <v>57</v>
      </c>
    </row>
    <row r="79" spans="2:18" x14ac:dyDescent="0.35">
      <c r="B79" s="9">
        <v>91</v>
      </c>
      <c r="C79" s="9" t="s">
        <v>4732</v>
      </c>
      <c r="D79" s="9"/>
      <c r="E79" s="9"/>
      <c r="F79" s="9"/>
      <c r="G79" s="9"/>
      <c r="H79" s="9" t="s">
        <v>3873</v>
      </c>
      <c r="I79" s="11" t="str">
        <f>VLOOKUP(H79,위치!B:C,2,0)</f>
        <v>RF-01M-0200]MIRROR PLT</v>
      </c>
      <c r="J79" s="9">
        <v>60</v>
      </c>
      <c r="K79" s="9"/>
      <c r="L79" s="9" t="str">
        <f>VLOOKUP(H79,위치!B:D,3,0)</f>
        <v>3L4-3</v>
      </c>
      <c r="M79" s="12">
        <v>46224</v>
      </c>
      <c r="N79" s="5"/>
      <c r="O79" s="5"/>
      <c r="P79" s="5"/>
      <c r="Q79" s="14"/>
      <c r="R79" s="15">
        <f t="shared" si="1"/>
        <v>60</v>
      </c>
    </row>
    <row r="80" spans="2:18" x14ac:dyDescent="0.35">
      <c r="B80" s="9">
        <v>150</v>
      </c>
      <c r="C80" s="9" t="s">
        <v>4732</v>
      </c>
      <c r="D80" s="9"/>
      <c r="E80" s="9"/>
      <c r="F80" s="9"/>
      <c r="G80" s="9"/>
      <c r="H80" s="9" t="s">
        <v>4001</v>
      </c>
      <c r="I80" s="11" t="str">
        <f>VLOOKUP(H80,위치!B:C,2,0)</f>
        <v>RF-01T-0351]WINDOW LED B</v>
      </c>
      <c r="J80" s="21">
        <v>62</v>
      </c>
      <c r="K80" s="21"/>
      <c r="L80" s="9" t="str">
        <f>VLOOKUP(H80,위치!B:D,3,0)</f>
        <v>3E9</v>
      </c>
      <c r="M80" s="12">
        <v>46224</v>
      </c>
      <c r="N80" s="5"/>
      <c r="O80" s="5"/>
      <c r="P80" s="5"/>
      <c r="Q80" s="14"/>
      <c r="R80" s="15">
        <f t="shared" si="1"/>
        <v>62</v>
      </c>
    </row>
    <row r="81" spans="2:18" x14ac:dyDescent="0.35">
      <c r="B81" s="9">
        <v>152</v>
      </c>
      <c r="C81" s="9" t="s">
        <v>4732</v>
      </c>
      <c r="D81" s="9"/>
      <c r="E81" s="9"/>
      <c r="F81" s="9"/>
      <c r="G81" s="9"/>
      <c r="H81" s="9" t="s">
        <v>4004</v>
      </c>
      <c r="I81" s="11" t="str">
        <f>VLOOKUP(H81,위치!B:C,2,0)</f>
        <v>RF-01T-0352]CAMERA CASE B</v>
      </c>
      <c r="J81" s="9">
        <v>65</v>
      </c>
      <c r="K81" s="9"/>
      <c r="L81" s="9" t="str">
        <f>VLOOKUP(H81,위치!B:D,3,0)</f>
        <v>3E9</v>
      </c>
      <c r="M81" s="12">
        <v>46224</v>
      </c>
      <c r="N81" s="5"/>
      <c r="O81" s="5"/>
      <c r="P81" s="5"/>
      <c r="Q81" s="14"/>
      <c r="R81" s="15">
        <f t="shared" si="1"/>
        <v>65</v>
      </c>
    </row>
    <row r="82" spans="2:18" x14ac:dyDescent="0.35">
      <c r="B82" s="9">
        <v>324</v>
      </c>
      <c r="C82" s="9" t="s">
        <v>4732</v>
      </c>
      <c r="D82" s="9"/>
      <c r="E82" s="9"/>
      <c r="F82" s="9"/>
      <c r="G82" s="9"/>
      <c r="H82" s="9" t="s">
        <v>2159</v>
      </c>
      <c r="I82" s="11" t="str">
        <f>VLOOKUP(H82,위치!B:C,2,0)</f>
        <v>RA-08M-1225]STRIPPER BOLT ROLLER</v>
      </c>
      <c r="J82" s="9">
        <v>66</v>
      </c>
      <c r="K82" s="9"/>
      <c r="L82" s="9" t="str">
        <f>VLOOKUP(H82,위치!B:D,3,0)</f>
        <v>E1-1</v>
      </c>
      <c r="M82" s="12">
        <v>46232</v>
      </c>
      <c r="N82" s="5"/>
      <c r="O82" s="5"/>
      <c r="P82" s="5"/>
      <c r="Q82" s="14"/>
      <c r="R82" s="15">
        <f t="shared" si="1"/>
        <v>66</v>
      </c>
    </row>
    <row r="83" spans="2:18" x14ac:dyDescent="0.35">
      <c r="B83" s="9">
        <v>84</v>
      </c>
      <c r="C83" s="9" t="s">
        <v>4732</v>
      </c>
      <c r="D83" s="9"/>
      <c r="E83" s="9"/>
      <c r="F83" s="9"/>
      <c r="G83" s="9"/>
      <c r="H83" s="10" t="s">
        <v>3885</v>
      </c>
      <c r="I83" s="11" t="str">
        <f>VLOOKUP(H83,위치!B:C,2,0)</f>
        <v>USB HOLDER FRONT</v>
      </c>
      <c r="J83" s="9">
        <v>72</v>
      </c>
      <c r="K83" s="9"/>
      <c r="L83" s="9" t="str">
        <f>VLOOKUP(H83,위치!B:D,3,0)</f>
        <v>3L4-4</v>
      </c>
      <c r="M83" s="12">
        <v>46224</v>
      </c>
      <c r="N83" s="5"/>
      <c r="O83" s="5"/>
      <c r="P83" s="5"/>
      <c r="Q83" s="14"/>
      <c r="R83" s="15">
        <f t="shared" si="1"/>
        <v>72</v>
      </c>
    </row>
    <row r="84" spans="2:18" x14ac:dyDescent="0.35">
      <c r="B84" s="9">
        <v>161</v>
      </c>
      <c r="C84" s="9" t="s">
        <v>4732</v>
      </c>
      <c r="D84" s="9"/>
      <c r="E84" s="9"/>
      <c r="F84" s="9"/>
      <c r="G84" s="9"/>
      <c r="H84" s="9" t="s">
        <v>3988</v>
      </c>
      <c r="I84" s="11" t="str">
        <f>VLOOKUP(H84,위치!B:C,2,0)</f>
        <v>RF-01T-0199]CVR REAR TOP</v>
      </c>
      <c r="J84" s="9">
        <v>73</v>
      </c>
      <c r="K84" s="9"/>
      <c r="L84" s="9" t="str">
        <f>VLOOKUP(H84,위치!B:D,3,0)</f>
        <v>3F5</v>
      </c>
      <c r="M84" s="12">
        <v>46224</v>
      </c>
      <c r="N84" s="5"/>
      <c r="O84" s="5"/>
      <c r="P84" s="5"/>
      <c r="Q84" s="14"/>
      <c r="R84" s="15">
        <f t="shared" si="1"/>
        <v>73</v>
      </c>
    </row>
    <row r="85" spans="2:18" x14ac:dyDescent="0.35">
      <c r="B85" s="9">
        <v>170</v>
      </c>
      <c r="C85" s="9" t="s">
        <v>4732</v>
      </c>
      <c r="D85" s="9"/>
      <c r="E85" s="9"/>
      <c r="F85" s="9"/>
      <c r="G85" s="9"/>
      <c r="H85" s="9" t="s">
        <v>3917</v>
      </c>
      <c r="I85" s="11" t="str">
        <f>VLOOKUP(H85,위치!B:C,2,0)</f>
        <v>RF-01S-5050]TEETH LENS</v>
      </c>
      <c r="J85" s="9">
        <v>73</v>
      </c>
      <c r="K85" s="9"/>
      <c r="L85" s="9" t="str">
        <f>VLOOKUP(H85,위치!B:D,3,0)</f>
        <v>3L4-2</v>
      </c>
      <c r="M85" s="12">
        <v>46226</v>
      </c>
      <c r="N85" s="5"/>
      <c r="O85" s="5"/>
      <c r="P85" s="5"/>
      <c r="Q85" s="14"/>
      <c r="R85" s="15">
        <f t="shared" si="1"/>
        <v>73</v>
      </c>
    </row>
    <row r="86" spans="2:18" x14ac:dyDescent="0.35">
      <c r="B86" s="9">
        <v>307</v>
      </c>
      <c r="C86" s="9" t="s">
        <v>4732</v>
      </c>
      <c r="D86" s="9"/>
      <c r="E86" s="9"/>
      <c r="F86" s="9"/>
      <c r="G86" s="9"/>
      <c r="H86" s="9" t="s">
        <v>4845</v>
      </c>
      <c r="I86" s="11" t="str">
        <f>VLOOKUP(H86,위치!B:C,2,0)</f>
        <v>RA-08T-0178]CAS CEPH SNSR BOT</v>
      </c>
      <c r="J86" s="9">
        <v>87</v>
      </c>
      <c r="K86" s="9"/>
      <c r="L86" s="9" t="str">
        <f>VLOOKUP(H86,위치!B:D,3,0)</f>
        <v>V</v>
      </c>
      <c r="M86" s="12">
        <v>46232</v>
      </c>
      <c r="N86" s="5"/>
      <c r="O86" s="5"/>
      <c r="P86" s="5"/>
      <c r="Q86" s="14"/>
      <c r="R86" s="15">
        <f t="shared" si="1"/>
        <v>87</v>
      </c>
    </row>
    <row r="87" spans="2:18" x14ac:dyDescent="0.35">
      <c r="B87" s="9">
        <v>267</v>
      </c>
      <c r="C87" s="9" t="s">
        <v>4732</v>
      </c>
      <c r="D87" s="9"/>
      <c r="E87" s="9"/>
      <c r="F87" s="9"/>
      <c r="G87" s="9"/>
      <c r="H87" s="9" t="s">
        <v>2286</v>
      </c>
      <c r="I87" s="11" t="str">
        <f>VLOOKUP(H87,위치!B:C,2,0)</f>
        <v>RA-08V-0173]DECO CEPH ARM</v>
      </c>
      <c r="J87" s="9">
        <v>90</v>
      </c>
      <c r="K87" s="9"/>
      <c r="L87" s="9" t="str">
        <f>VLOOKUP(H87,위치!B:D,3,0)</f>
        <v>E2-3</v>
      </c>
      <c r="M87" s="12">
        <v>46232</v>
      </c>
      <c r="N87" s="5"/>
      <c r="O87" s="5"/>
      <c r="P87" s="5"/>
      <c r="Q87" s="14"/>
      <c r="R87" s="15">
        <f t="shared" si="1"/>
        <v>90</v>
      </c>
    </row>
    <row r="88" spans="2:18" x14ac:dyDescent="0.35">
      <c r="B88" s="9">
        <v>86</v>
      </c>
      <c r="C88" s="9" t="s">
        <v>4732</v>
      </c>
      <c r="D88" s="9"/>
      <c r="E88" s="9"/>
      <c r="F88" s="9"/>
      <c r="G88" s="9"/>
      <c r="H88" s="9" t="s">
        <v>3982</v>
      </c>
      <c r="I88" s="11" t="str">
        <f>VLOOKUP(H88,위치!B:C,2,0)</f>
        <v>RF-01T-0190]CVR FRONT</v>
      </c>
      <c r="J88" s="9">
        <v>91</v>
      </c>
      <c r="K88" s="9"/>
      <c r="L88" s="9" t="str">
        <f>VLOOKUP(H88,위치!B:D,3,0)</f>
        <v>3F4</v>
      </c>
      <c r="M88" s="12">
        <v>46224</v>
      </c>
      <c r="N88" s="5"/>
      <c r="O88" s="5"/>
      <c r="P88" s="5"/>
      <c r="Q88" s="14"/>
      <c r="R88" s="15">
        <f t="shared" si="1"/>
        <v>91</v>
      </c>
    </row>
    <row r="89" spans="2:18" x14ac:dyDescent="0.35">
      <c r="B89" s="9">
        <v>107</v>
      </c>
      <c r="C89" s="9" t="s">
        <v>4732</v>
      </c>
      <c r="D89" s="9"/>
      <c r="E89" s="9"/>
      <c r="F89" s="9"/>
      <c r="G89" s="9"/>
      <c r="H89" s="9" t="s">
        <v>4063</v>
      </c>
      <c r="I89" s="11" t="str">
        <f>VLOOKUP(H89,위치!B:C,2,0)</f>
        <v>MODULE ARM LEFT</v>
      </c>
      <c r="J89" s="9">
        <v>93</v>
      </c>
      <c r="K89" s="9"/>
      <c r="L89" s="9" t="str">
        <f>VLOOKUP(H89,위치!B:D,3,0)</f>
        <v>3C6</v>
      </c>
      <c r="M89" s="12">
        <v>46224</v>
      </c>
      <c r="N89" s="5"/>
      <c r="O89" s="5"/>
      <c r="P89" s="5"/>
      <c r="Q89" s="14"/>
      <c r="R89" s="15">
        <f t="shared" si="1"/>
        <v>93</v>
      </c>
    </row>
    <row r="90" spans="2:18" x14ac:dyDescent="0.35">
      <c r="B90" s="9">
        <v>325</v>
      </c>
      <c r="C90" s="9" t="s">
        <v>4732</v>
      </c>
      <c r="D90" s="9"/>
      <c r="E90" s="9"/>
      <c r="F90" s="9"/>
      <c r="G90" s="9"/>
      <c r="H90" s="9" t="s">
        <v>2290</v>
      </c>
      <c r="I90" s="11" t="str">
        <f>VLOOKUP(H90,위치!B:C,2,0)</f>
        <v>RA-08V-0361]HLDR CAS CEPH SNSR BACK</v>
      </c>
      <c r="J90" s="9">
        <v>95</v>
      </c>
      <c r="K90" s="9"/>
      <c r="L90" s="9" t="str">
        <f>VLOOKUP(H90,위치!B:D,3,0)</f>
        <v>L2-3</v>
      </c>
      <c r="M90" s="12">
        <v>46232</v>
      </c>
      <c r="N90" s="5"/>
      <c r="O90" s="5"/>
      <c r="P90" s="5"/>
      <c r="Q90" s="14"/>
      <c r="R90" s="15">
        <f t="shared" si="1"/>
        <v>95</v>
      </c>
    </row>
    <row r="91" spans="2:18" x14ac:dyDescent="0.35">
      <c r="B91" s="9">
        <v>266</v>
      </c>
      <c r="C91" s="9" t="s">
        <v>4732</v>
      </c>
      <c r="D91" s="9"/>
      <c r="E91" s="9"/>
      <c r="F91" s="9"/>
      <c r="G91" s="9"/>
      <c r="H91" s="9" t="s">
        <v>2282</v>
      </c>
      <c r="I91" s="11" t="str">
        <f>VLOOKUP(H91,위치!B:C,2,0)</f>
        <v>RA-08V-0170]CVR MOUNT CEPH ARM</v>
      </c>
      <c r="J91" s="9">
        <v>97</v>
      </c>
      <c r="K91" s="9"/>
      <c r="L91" s="9" t="str">
        <f>VLOOKUP(H91,위치!B:D,3,0)</f>
        <v>E2-3</v>
      </c>
      <c r="M91" s="12">
        <v>46232</v>
      </c>
      <c r="N91" s="5"/>
      <c r="O91" s="5"/>
      <c r="P91" s="5"/>
      <c r="Q91" s="14"/>
      <c r="R91" s="15">
        <f t="shared" si="1"/>
        <v>97</v>
      </c>
    </row>
    <row r="92" spans="2:18" x14ac:dyDescent="0.35">
      <c r="B92" s="9">
        <v>288</v>
      </c>
      <c r="C92" s="9" t="s">
        <v>4732</v>
      </c>
      <c r="D92" s="9"/>
      <c r="E92" s="9"/>
      <c r="F92" s="9"/>
      <c r="G92" s="9"/>
      <c r="H92" s="9" t="s">
        <v>1624</v>
      </c>
      <c r="I92" s="11" t="str">
        <f>VLOOKUP(H92,위치!B:C,2,0)</f>
        <v>RA-06V-1509]BRK XTRUSION PB COL OCL</v>
      </c>
      <c r="J92" s="9">
        <v>97</v>
      </c>
      <c r="K92" s="9"/>
      <c r="L92" s="9" t="str">
        <f>VLOOKUP(H92,위치!B:D,3,0)</f>
        <v>H4-4</v>
      </c>
      <c r="M92" s="12">
        <v>46232</v>
      </c>
      <c r="N92" s="5"/>
      <c r="O92" s="5"/>
      <c r="P92" s="5"/>
      <c r="Q92" s="14"/>
      <c r="R92" s="15">
        <f t="shared" si="1"/>
        <v>97</v>
      </c>
    </row>
    <row r="93" spans="2:18" x14ac:dyDescent="0.35">
      <c r="B93" s="9">
        <v>270</v>
      </c>
      <c r="C93" s="9" t="s">
        <v>4732</v>
      </c>
      <c r="D93" s="9"/>
      <c r="E93" s="9"/>
      <c r="F93" s="9"/>
      <c r="G93" s="9"/>
      <c r="H93" s="9" t="s">
        <v>2128</v>
      </c>
      <c r="I93" s="11" t="str">
        <f>VLOOKUP(H93,위치!B:C,2,0)</f>
        <v>RA-08M-0620]PLT CEPH _4HEAD</v>
      </c>
      <c r="J93" s="9">
        <v>98</v>
      </c>
      <c r="K93" s="9"/>
      <c r="L93" s="9" t="str">
        <f>VLOOKUP(H93,위치!B:D,3,0)</f>
        <v>E2-1</v>
      </c>
      <c r="M93" s="12">
        <v>46232</v>
      </c>
      <c r="N93" s="5"/>
      <c r="O93" s="5"/>
      <c r="P93" s="5"/>
      <c r="Q93" s="14"/>
      <c r="R93" s="15">
        <f t="shared" si="1"/>
        <v>98</v>
      </c>
    </row>
    <row r="94" spans="2:18" x14ac:dyDescent="0.35">
      <c r="B94" s="9">
        <v>290</v>
      </c>
      <c r="C94" s="9" t="s">
        <v>4732</v>
      </c>
      <c r="D94" s="9"/>
      <c r="E94" s="9"/>
      <c r="F94" s="9"/>
      <c r="G94" s="9"/>
      <c r="H94" s="9" t="s">
        <v>2350</v>
      </c>
      <c r="I94" s="11" t="str">
        <f>VLOOKUP(H94,위치!B:C,2,0)</f>
        <v>RA-08V-1308]HLDR CAS CEPH SNSR BOT (SG)</v>
      </c>
      <c r="J94" s="9">
        <v>99</v>
      </c>
      <c r="K94" s="9"/>
      <c r="L94" s="9" t="str">
        <f>VLOOKUP(H94,위치!B:D,3,0)</f>
        <v>E1-4</v>
      </c>
      <c r="M94" s="12">
        <v>46232</v>
      </c>
      <c r="N94" s="5"/>
      <c r="O94" s="5"/>
      <c r="P94" s="5"/>
      <c r="Q94" s="14"/>
      <c r="R94" s="15">
        <f t="shared" si="1"/>
        <v>99</v>
      </c>
    </row>
    <row r="95" spans="2:18" x14ac:dyDescent="0.35">
      <c r="B95" s="9">
        <v>127</v>
      </c>
      <c r="C95" s="9" t="s">
        <v>4732</v>
      </c>
      <c r="D95" s="9"/>
      <c r="E95" s="9"/>
      <c r="F95" s="9"/>
      <c r="G95" s="9"/>
      <c r="H95" s="9" t="s">
        <v>3898</v>
      </c>
      <c r="I95" s="11" t="str">
        <f>VLOOKUP(H95,위치!B:C,2,0)</f>
        <v>RF-01M-0395]BLOCK BASE BOTTOM</v>
      </c>
      <c r="J95" s="9">
        <v>100</v>
      </c>
      <c r="K95" s="9"/>
      <c r="L95" s="9" t="str">
        <f>VLOOKUP(H95,위치!B:D,3,0)</f>
        <v>3E5</v>
      </c>
      <c r="M95" s="12">
        <v>46224</v>
      </c>
      <c r="N95" s="5"/>
      <c r="O95" s="5"/>
      <c r="P95" s="5"/>
      <c r="Q95" s="14"/>
      <c r="R95" s="15">
        <f t="shared" si="1"/>
        <v>100</v>
      </c>
    </row>
    <row r="96" spans="2:18" x14ac:dyDescent="0.35">
      <c r="B96" s="9">
        <v>151</v>
      </c>
      <c r="C96" s="9" t="s">
        <v>4732</v>
      </c>
      <c r="D96" s="9"/>
      <c r="E96" s="9"/>
      <c r="F96" s="9"/>
      <c r="G96" s="9"/>
      <c r="H96" s="9" t="s">
        <v>3798</v>
      </c>
      <c r="I96" s="11" t="str">
        <f>VLOOKUP(H96,위치!B:C,2,0)</f>
        <v>RF-01B-5038] BOTTOM LED BOARD</v>
      </c>
      <c r="J96" s="21">
        <v>100</v>
      </c>
      <c r="K96" s="21"/>
      <c r="L96" s="9" t="str">
        <f>VLOOKUP(H96,위치!B:D,3,0)</f>
        <v>A6-4</v>
      </c>
      <c r="M96" s="12">
        <v>46224</v>
      </c>
      <c r="N96" s="5"/>
      <c r="O96" s="5"/>
      <c r="P96" s="5"/>
      <c r="Q96" s="14"/>
      <c r="R96" s="15">
        <f t="shared" si="1"/>
        <v>100</v>
      </c>
    </row>
    <row r="97" spans="2:18" x14ac:dyDescent="0.35">
      <c r="B97" s="9">
        <v>89</v>
      </c>
      <c r="C97" s="9" t="s">
        <v>4732</v>
      </c>
      <c r="D97" s="9"/>
      <c r="E97" s="9"/>
      <c r="F97" s="9"/>
      <c r="G97" s="9"/>
      <c r="H97" s="9" t="s">
        <v>4017</v>
      </c>
      <c r="I97" s="11" t="str">
        <f>VLOOKUP(H97,위치!B:C,2,0)</f>
        <v>RF-01V-0208]FRONT FRM</v>
      </c>
      <c r="J97" s="9">
        <v>101</v>
      </c>
      <c r="K97" s="9"/>
      <c r="L97" s="9" t="str">
        <f>VLOOKUP(H97,위치!B:D,3,0)</f>
        <v>3C10</v>
      </c>
      <c r="M97" s="12">
        <v>46224</v>
      </c>
      <c r="N97" s="5"/>
      <c r="O97" s="5"/>
      <c r="P97" s="5"/>
      <c r="Q97" s="14"/>
      <c r="R97" s="15">
        <f t="shared" si="1"/>
        <v>101</v>
      </c>
    </row>
    <row r="98" spans="2:18" x14ac:dyDescent="0.35">
      <c r="B98" s="9">
        <v>268</v>
      </c>
      <c r="C98" s="9" t="s">
        <v>4732</v>
      </c>
      <c r="D98" s="9"/>
      <c r="E98" s="9"/>
      <c r="F98" s="9"/>
      <c r="G98" s="9"/>
      <c r="H98" s="9" t="s">
        <v>2288</v>
      </c>
      <c r="I98" s="11" t="str">
        <f>VLOOKUP(H98,위치!B:C,2,0)</f>
        <v>RA-08V-0181]BLK CEPH ARM FIX</v>
      </c>
      <c r="J98" s="9">
        <v>101</v>
      </c>
      <c r="K98" s="9"/>
      <c r="L98" s="9" t="str">
        <f>VLOOKUP(H98,위치!B:D,3,0)</f>
        <v>E2-3</v>
      </c>
      <c r="M98" s="12">
        <v>46232</v>
      </c>
      <c r="N98" s="5"/>
      <c r="O98" s="5"/>
      <c r="P98" s="5"/>
      <c r="Q98" s="14"/>
      <c r="R98" s="15">
        <f t="shared" si="1"/>
        <v>101</v>
      </c>
    </row>
    <row r="99" spans="2:18" x14ac:dyDescent="0.35">
      <c r="B99" s="9">
        <v>114</v>
      </c>
      <c r="C99" s="9" t="s">
        <v>4732</v>
      </c>
      <c r="D99" s="9"/>
      <c r="E99" s="9"/>
      <c r="F99" s="9"/>
      <c r="G99" s="9"/>
      <c r="H99" s="9" t="s">
        <v>3934</v>
      </c>
      <c r="I99" s="11" t="str">
        <f>VLOOKUP(H99,위치!B:C,2,0)</f>
        <v>RF-01S-5087]CAM Cable_Face</v>
      </c>
      <c r="J99" s="9">
        <v>108</v>
      </c>
      <c r="K99" s="9"/>
      <c r="L99" s="9" t="str">
        <f>VLOOKUP(H99,위치!B:D,3,0)</f>
        <v>3F1</v>
      </c>
      <c r="M99" s="12">
        <v>46224</v>
      </c>
      <c r="N99" s="5"/>
      <c r="O99" s="5"/>
      <c r="P99" s="5"/>
      <c r="Q99" s="14"/>
      <c r="R99" s="15">
        <f t="shared" si="1"/>
        <v>108</v>
      </c>
    </row>
    <row r="100" spans="2:18" x14ac:dyDescent="0.35">
      <c r="B100" s="9">
        <v>172</v>
      </c>
      <c r="C100" s="9" t="s">
        <v>4732</v>
      </c>
      <c r="D100" s="9"/>
      <c r="E100" s="9"/>
      <c r="F100" s="9"/>
      <c r="G100" s="9"/>
      <c r="H100" s="9" t="s">
        <v>3925</v>
      </c>
      <c r="I100" s="11" t="str">
        <f>VLOOKUP(H100,위치!B:C,2,0)</f>
        <v>RF-01S-5083]CAM Trigger_L-R harness</v>
      </c>
      <c r="J100" s="9">
        <v>108</v>
      </c>
      <c r="K100" s="9"/>
      <c r="L100" s="9" t="str">
        <f>VLOOKUP(H100,위치!B:D,3,0)</f>
        <v>3L3-3</v>
      </c>
      <c r="M100" s="12">
        <v>46226</v>
      </c>
      <c r="N100" s="5"/>
      <c r="O100" s="5"/>
      <c r="P100" s="5"/>
      <c r="Q100" s="14"/>
      <c r="R100" s="15">
        <f t="shared" si="1"/>
        <v>108</v>
      </c>
    </row>
    <row r="101" spans="2:18" x14ac:dyDescent="0.35">
      <c r="B101" s="9">
        <v>176</v>
      </c>
      <c r="C101" s="9" t="s">
        <v>4732</v>
      </c>
      <c r="D101" s="9"/>
      <c r="E101" s="9"/>
      <c r="F101" s="9"/>
      <c r="G101" s="9"/>
      <c r="H101" s="9" t="s">
        <v>4012</v>
      </c>
      <c r="I101" s="11" t="str">
        <f>VLOOKUP(H101,위치!B:C,2,0)</f>
        <v>RF-01T-0356]RUBBER CAP ARM</v>
      </c>
      <c r="J101" s="9">
        <v>109</v>
      </c>
      <c r="K101" s="9"/>
      <c r="L101" s="9" t="str">
        <f>VLOOKUP(H101,위치!B:D,3,0)</f>
        <v>3L4-2</v>
      </c>
      <c r="M101" s="12">
        <v>46226</v>
      </c>
      <c r="N101" s="5"/>
      <c r="O101" s="5"/>
      <c r="P101" s="5"/>
      <c r="Q101" s="14"/>
      <c r="R101" s="15">
        <f t="shared" si="1"/>
        <v>109</v>
      </c>
    </row>
    <row r="102" spans="2:18" x14ac:dyDescent="0.35">
      <c r="B102" s="9">
        <v>164</v>
      </c>
      <c r="C102" s="9" t="s">
        <v>4732</v>
      </c>
      <c r="D102" s="9"/>
      <c r="E102" s="9"/>
      <c r="F102" s="9"/>
      <c r="G102" s="9"/>
      <c r="H102" s="9" t="s">
        <v>4738</v>
      </c>
      <c r="I102" s="11">
        <f>VLOOKUP(H102,위치!B:C,2,0)</f>
        <v>0</v>
      </c>
      <c r="J102" s="9">
        <v>111</v>
      </c>
      <c r="K102" s="9"/>
      <c r="L102" s="9" t="str">
        <f>VLOOKUP(H102,위치!B:D,3,0)</f>
        <v>3B21</v>
      </c>
      <c r="M102" s="12">
        <v>46224</v>
      </c>
      <c r="N102" s="5"/>
      <c r="O102" s="5"/>
      <c r="P102" s="5"/>
      <c r="Q102" s="14"/>
      <c r="R102" s="15">
        <f t="shared" si="1"/>
        <v>111</v>
      </c>
    </row>
    <row r="103" spans="2:18" x14ac:dyDescent="0.35">
      <c r="B103" s="9">
        <v>323</v>
      </c>
      <c r="C103" s="9" t="s">
        <v>4732</v>
      </c>
      <c r="D103" s="9"/>
      <c r="E103" s="9"/>
      <c r="F103" s="9"/>
      <c r="G103" s="9"/>
      <c r="H103" s="9" t="s">
        <v>2152</v>
      </c>
      <c r="I103" s="11" t="str">
        <f>VLOOKUP(H103,위치!B:C,2,0)</f>
        <v>RA-08M-0975]SHAFT ROLLER AXIS</v>
      </c>
      <c r="J103" s="9">
        <v>117</v>
      </c>
      <c r="K103" s="9"/>
      <c r="L103" s="9" t="str">
        <f>VLOOKUP(H103,위치!B:D,3,0)</f>
        <v>E1-2</v>
      </c>
      <c r="M103" s="12">
        <v>46232</v>
      </c>
      <c r="N103" s="5"/>
      <c r="O103" s="5"/>
      <c r="P103" s="5"/>
      <c r="Q103" s="14"/>
      <c r="R103" s="15">
        <f t="shared" si="1"/>
        <v>117</v>
      </c>
    </row>
    <row r="104" spans="2:18" x14ac:dyDescent="0.35">
      <c r="B104" s="9">
        <v>165</v>
      </c>
      <c r="C104" s="9" t="s">
        <v>4732</v>
      </c>
      <c r="D104" s="9"/>
      <c r="E104" s="9"/>
      <c r="F104" s="9"/>
      <c r="G104" s="9"/>
      <c r="H104" s="9" t="s">
        <v>2907</v>
      </c>
      <c r="I104" s="11" t="str">
        <f>VLOOKUP(H104,위치!B:C,2,0)</f>
        <v>RD-00S-5201]USB A to B Cable</v>
      </c>
      <c r="J104" s="9">
        <v>120</v>
      </c>
      <c r="K104" s="9"/>
      <c r="L104" s="9" t="str">
        <f>VLOOKUP(H104,위치!B:D,3,0)</f>
        <v>3S3-2</v>
      </c>
      <c r="M104" s="12">
        <v>46224</v>
      </c>
      <c r="N104" s="5"/>
      <c r="O104" s="5"/>
      <c r="P104" s="5"/>
      <c r="Q104" s="14"/>
      <c r="R104" s="15">
        <f t="shared" si="1"/>
        <v>120</v>
      </c>
    </row>
    <row r="105" spans="2:18" x14ac:dyDescent="0.35">
      <c r="B105" s="9">
        <v>295</v>
      </c>
      <c r="C105" s="9" t="s">
        <v>4732</v>
      </c>
      <c r="D105" s="9"/>
      <c r="E105" s="9"/>
      <c r="F105" s="9"/>
      <c r="G105" s="9"/>
      <c r="H105" s="9" t="s">
        <v>4843</v>
      </c>
      <c r="I105" s="11" t="str">
        <f>VLOOKUP(H105,위치!B:C,2,0)</f>
        <v>RA-5-2_2]EARTH CEPH</v>
      </c>
      <c r="J105" s="9">
        <v>124</v>
      </c>
      <c r="K105" s="9"/>
      <c r="L105" s="9" t="str">
        <f>VLOOKUP(H105,위치!B:D,3,0)</f>
        <v>G4</v>
      </c>
      <c r="M105" s="12">
        <v>46232</v>
      </c>
      <c r="N105" s="5"/>
      <c r="O105" s="5"/>
      <c r="P105" s="5"/>
      <c r="Q105" s="14"/>
      <c r="R105" s="15">
        <f t="shared" si="1"/>
        <v>124</v>
      </c>
    </row>
    <row r="106" spans="2:18" x14ac:dyDescent="0.35">
      <c r="B106" s="9">
        <v>297</v>
      </c>
      <c r="C106" s="9" t="s">
        <v>4732</v>
      </c>
      <c r="D106" s="9"/>
      <c r="E106" s="9"/>
      <c r="F106" s="9"/>
      <c r="G106" s="9"/>
      <c r="H106" s="9" t="s">
        <v>2826</v>
      </c>
      <c r="I106" s="11" t="str">
        <f>VLOOKUP(H106,위치!B:C,2,0)</f>
        <v>RA-8-15]OCL SIGNAL(V)</v>
      </c>
      <c r="J106" s="9">
        <v>131</v>
      </c>
      <c r="K106" s="9"/>
      <c r="L106" s="9" t="str">
        <f>VLOOKUP(H106,위치!B:D,3,0)</f>
        <v>G3-3</v>
      </c>
      <c r="M106" s="12">
        <v>46232</v>
      </c>
      <c r="N106" s="5"/>
      <c r="O106" s="5"/>
      <c r="P106" s="5"/>
      <c r="Q106" s="14"/>
      <c r="R106" s="15">
        <f t="shared" si="1"/>
        <v>131</v>
      </c>
    </row>
    <row r="107" spans="2:18" x14ac:dyDescent="0.35">
      <c r="B107" s="9">
        <v>175</v>
      </c>
      <c r="C107" s="9" t="s">
        <v>4732</v>
      </c>
      <c r="D107" s="9"/>
      <c r="E107" s="9"/>
      <c r="F107" s="9"/>
      <c r="G107" s="9"/>
      <c r="H107" s="9" t="s">
        <v>3966</v>
      </c>
      <c r="I107" s="11" t="str">
        <f>VLOOKUP(H107,위치!B:C,2,0)</f>
        <v>RF-01T-0173]ARM CVR REAR DECO</v>
      </c>
      <c r="J107" s="9">
        <v>140</v>
      </c>
      <c r="K107" s="9"/>
      <c r="L107" s="9" t="str">
        <f>VLOOKUP(H107,위치!B:D,3,0)</f>
        <v>3B8</v>
      </c>
      <c r="M107" s="12">
        <v>46226</v>
      </c>
      <c r="N107" s="5"/>
      <c r="O107" s="5"/>
      <c r="P107" s="5"/>
      <c r="Q107" s="14"/>
      <c r="R107" s="15">
        <f t="shared" si="1"/>
        <v>140</v>
      </c>
    </row>
    <row r="108" spans="2:18" x14ac:dyDescent="0.35">
      <c r="B108" s="9">
        <v>174</v>
      </c>
      <c r="C108" s="9" t="s">
        <v>4732</v>
      </c>
      <c r="D108" s="9"/>
      <c r="E108" s="9"/>
      <c r="F108" s="9"/>
      <c r="G108" s="9"/>
      <c r="H108" s="9" t="s">
        <v>3795</v>
      </c>
      <c r="I108" s="11" t="str">
        <f>VLOOKUP(H108,위치!B:C,2,0)</f>
        <v>RF-01B-5037] LED SIDE BOARD_REV2</v>
      </c>
      <c r="J108" s="9">
        <v>158</v>
      </c>
      <c r="K108" s="9"/>
      <c r="L108" s="9" t="str">
        <f>VLOOKUP(H108,위치!B:D,3,0)</f>
        <v>A5-4</v>
      </c>
      <c r="M108" s="12">
        <v>46226</v>
      </c>
      <c r="N108" s="5"/>
      <c r="O108" s="5"/>
      <c r="P108" s="5"/>
      <c r="Q108" s="14"/>
      <c r="R108" s="15">
        <f t="shared" si="1"/>
        <v>158</v>
      </c>
    </row>
    <row r="109" spans="2:18" x14ac:dyDescent="0.35">
      <c r="B109" s="9">
        <v>87</v>
      </c>
      <c r="C109" s="9" t="s">
        <v>4732</v>
      </c>
      <c r="D109" s="9"/>
      <c r="E109" s="9"/>
      <c r="F109" s="9"/>
      <c r="G109" s="9"/>
      <c r="H109" s="9" t="s">
        <v>3999</v>
      </c>
      <c r="I109" s="11" t="str">
        <f>VLOOKUP(H109,위치!B:C,2,0)</f>
        <v>RF-01T-0255]CVR FRONT MID R</v>
      </c>
      <c r="J109" s="9">
        <v>159</v>
      </c>
      <c r="K109" s="9"/>
      <c r="L109" s="9" t="str">
        <f>VLOOKUP(H109,위치!B:D,3,0)</f>
        <v>3L3-1</v>
      </c>
      <c r="M109" s="12">
        <v>46224</v>
      </c>
      <c r="N109" s="5"/>
      <c r="O109" s="5"/>
      <c r="P109" s="5"/>
      <c r="Q109" s="14"/>
      <c r="R109" s="15">
        <f t="shared" si="1"/>
        <v>159</v>
      </c>
    </row>
    <row r="110" spans="2:18" x14ac:dyDescent="0.35">
      <c r="B110" s="9">
        <v>88</v>
      </c>
      <c r="C110" s="9" t="s">
        <v>4732</v>
      </c>
      <c r="D110" s="9"/>
      <c r="E110" s="9"/>
      <c r="F110" s="9"/>
      <c r="G110" s="9"/>
      <c r="H110" s="9" t="s">
        <v>3991</v>
      </c>
      <c r="I110" s="11" t="str">
        <f>VLOOKUP(H110,위치!B:C,2,0)</f>
        <v>RF-01T-0210]CVR FRONT MID L</v>
      </c>
      <c r="J110" s="9">
        <v>159</v>
      </c>
      <c r="K110" s="9"/>
      <c r="L110" s="9" t="str">
        <f>VLOOKUP(H110,위치!B:D,3,0)</f>
        <v>3L3-1</v>
      </c>
      <c r="M110" s="12">
        <v>46224</v>
      </c>
      <c r="N110" s="5"/>
      <c r="O110" s="5"/>
      <c r="P110" s="5"/>
      <c r="Q110" s="14"/>
      <c r="R110" s="15">
        <f t="shared" si="1"/>
        <v>159</v>
      </c>
    </row>
    <row r="111" spans="2:18" x14ac:dyDescent="0.35">
      <c r="B111" s="9">
        <v>132</v>
      </c>
      <c r="C111" s="9" t="s">
        <v>4732</v>
      </c>
      <c r="D111" s="9"/>
      <c r="E111" s="9"/>
      <c r="F111" s="9"/>
      <c r="G111" s="9"/>
      <c r="H111" s="9" t="s">
        <v>4045</v>
      </c>
      <c r="I111" s="11" t="str">
        <f>VLOOKUP(H111,위치!B:C,2,0)</f>
        <v>RF-20A-0279]Mdl DLP PLT</v>
      </c>
      <c r="J111" s="9">
        <v>165</v>
      </c>
      <c r="K111" s="9"/>
      <c r="L111" s="9" t="str">
        <f>VLOOKUP(H111,위치!B:D,3,0)</f>
        <v>3F2</v>
      </c>
      <c r="M111" s="12">
        <v>46224</v>
      </c>
      <c r="N111" s="5"/>
      <c r="O111" s="5"/>
      <c r="P111" s="5"/>
      <c r="Q111" s="14"/>
      <c r="R111" s="15">
        <f t="shared" si="1"/>
        <v>165</v>
      </c>
    </row>
    <row r="112" spans="2:18" x14ac:dyDescent="0.35">
      <c r="B112" s="9">
        <v>111</v>
      </c>
      <c r="C112" s="9" t="s">
        <v>4732</v>
      </c>
      <c r="D112" s="9"/>
      <c r="E112" s="9"/>
      <c r="F112" s="9"/>
      <c r="G112" s="9"/>
      <c r="H112" s="9" t="s">
        <v>4056</v>
      </c>
      <c r="I112" s="11" t="str">
        <f>VLOOKUP(H112,위치!B:C,2,0)</f>
        <v>MODULE BASE BOTTOM FRAME</v>
      </c>
      <c r="J112" s="9">
        <v>166</v>
      </c>
      <c r="K112" s="9"/>
      <c r="L112" s="9" t="str">
        <f>VLOOKUP(H112,위치!B:D,3,0)</f>
        <v>3F3</v>
      </c>
      <c r="M112" s="12">
        <v>46224</v>
      </c>
      <c r="N112" s="5"/>
      <c r="O112" s="5"/>
      <c r="P112" s="5"/>
      <c r="Q112" s="14"/>
      <c r="R112" s="15">
        <f t="shared" si="1"/>
        <v>166</v>
      </c>
    </row>
    <row r="113" spans="2:18" x14ac:dyDescent="0.35">
      <c r="B113" s="9">
        <v>316</v>
      </c>
      <c r="C113" s="9" t="s">
        <v>4732</v>
      </c>
      <c r="D113" s="9"/>
      <c r="E113" s="9"/>
      <c r="F113" s="9"/>
      <c r="G113" s="9"/>
      <c r="H113" s="9" t="s">
        <v>2150</v>
      </c>
      <c r="I113" s="11" t="str">
        <f>VLOOKUP(H113,위치!B:C,2,0)</f>
        <v>RA-08M-0738]BLK OC _4HEAD FIX</v>
      </c>
      <c r="J113" s="9">
        <v>176</v>
      </c>
      <c r="K113" s="9"/>
      <c r="L113" s="9" t="str">
        <f>VLOOKUP(H113,위치!B:D,3,0)</f>
        <v>E1-2</v>
      </c>
      <c r="M113" s="12">
        <v>46232</v>
      </c>
      <c r="N113" s="5"/>
      <c r="O113" s="5"/>
      <c r="P113" s="5"/>
      <c r="Q113" s="14"/>
      <c r="R113" s="15">
        <f t="shared" si="1"/>
        <v>176</v>
      </c>
    </row>
    <row r="114" spans="2:18" x14ac:dyDescent="0.35">
      <c r="B114" s="9">
        <v>122</v>
      </c>
      <c r="C114" s="9" t="s">
        <v>4732</v>
      </c>
      <c r="D114" s="9"/>
      <c r="E114" s="9"/>
      <c r="F114" s="9"/>
      <c r="G114" s="9"/>
      <c r="H114" s="9" t="s">
        <v>2923</v>
      </c>
      <c r="I114" s="11" t="str">
        <f>VLOOKUP(H114,위치!B:C,2,0)</f>
        <v>RD-01G-0502]SPONGE)UV SNSR</v>
      </c>
      <c r="J114" s="9">
        <v>177</v>
      </c>
      <c r="K114" s="9"/>
      <c r="L114" s="9" t="str">
        <f>VLOOKUP(H114,위치!B:D,3,0)</f>
        <v>3S3-1</v>
      </c>
      <c r="M114" s="12">
        <v>46224</v>
      </c>
      <c r="N114" s="5"/>
      <c r="O114" s="5"/>
      <c r="P114" s="5"/>
      <c r="Q114" s="14"/>
      <c r="R114" s="15">
        <f t="shared" si="1"/>
        <v>177</v>
      </c>
    </row>
    <row r="115" spans="2:18" x14ac:dyDescent="0.35">
      <c r="B115" s="9">
        <v>308</v>
      </c>
      <c r="C115" s="9" t="s">
        <v>4732</v>
      </c>
      <c r="D115" s="9"/>
      <c r="E115" s="9"/>
      <c r="F115" s="9"/>
      <c r="G115" s="9"/>
      <c r="H115" s="9" t="s">
        <v>2256</v>
      </c>
      <c r="I115" s="11" t="str">
        <f>VLOOKUP(H115,위치!B:C,2,0)</f>
        <v>RA-08T-2185]CAS CEPH _4HEAD</v>
      </c>
      <c r="J115" s="9">
        <v>177</v>
      </c>
      <c r="K115" s="9"/>
      <c r="L115" s="9" t="str">
        <f>VLOOKUP(H115,위치!B:D,3,0)</f>
        <v>R</v>
      </c>
      <c r="M115" s="12">
        <v>46232</v>
      </c>
      <c r="N115" s="5"/>
      <c r="O115" s="5"/>
      <c r="P115" s="5"/>
      <c r="Q115" s="14"/>
      <c r="R115" s="15">
        <f t="shared" si="1"/>
        <v>177</v>
      </c>
    </row>
    <row r="116" spans="2:18" x14ac:dyDescent="0.35">
      <c r="B116" s="9">
        <v>97</v>
      </c>
      <c r="C116" s="9" t="s">
        <v>4732</v>
      </c>
      <c r="D116" s="9"/>
      <c r="E116" s="9"/>
      <c r="F116" s="9"/>
      <c r="G116" s="9"/>
      <c r="H116" s="9" t="s">
        <v>3791</v>
      </c>
      <c r="I116" s="11" t="str">
        <f>VLOOKUP(H116,위치!B:C,2,0)</f>
        <v>RF-01B-5035]CONNECTOR Bd</v>
      </c>
      <c r="J116" s="9">
        <v>187</v>
      </c>
      <c r="K116" s="9"/>
      <c r="L116" s="9" t="str">
        <f>VLOOKUP(H116,위치!B:D,3,0)</f>
        <v>A4-3</v>
      </c>
      <c r="M116" s="12">
        <v>46224</v>
      </c>
      <c r="N116" s="5"/>
      <c r="O116" s="5"/>
      <c r="P116" s="5"/>
      <c r="Q116" s="14"/>
      <c r="R116" s="15">
        <f t="shared" si="1"/>
        <v>187</v>
      </c>
    </row>
    <row r="117" spans="2:18" x14ac:dyDescent="0.35">
      <c r="B117" s="9">
        <v>124</v>
      </c>
      <c r="C117" s="9" t="s">
        <v>4732</v>
      </c>
      <c r="D117" s="9"/>
      <c r="E117" s="9"/>
      <c r="F117" s="9"/>
      <c r="G117" s="9"/>
      <c r="H117" s="9" t="s">
        <v>4028</v>
      </c>
      <c r="I117" s="11" t="str">
        <f>VLOOKUP(H117,위치!B:C,2,0)</f>
        <v>RF-01V-0254]REAR CVR TOP BRK</v>
      </c>
      <c r="J117" s="9">
        <v>200</v>
      </c>
      <c r="K117" s="9"/>
      <c r="L117" s="9" t="str">
        <f>VLOOKUP(H117,위치!B:D,3,0)</f>
        <v>3L4-5</v>
      </c>
      <c r="M117" s="12">
        <v>46224</v>
      </c>
      <c r="N117" s="5"/>
      <c r="O117" s="5"/>
      <c r="P117" s="5"/>
      <c r="Q117" s="14"/>
      <c r="R117" s="15">
        <f t="shared" si="1"/>
        <v>200</v>
      </c>
    </row>
    <row r="118" spans="2:18" x14ac:dyDescent="0.35">
      <c r="B118" s="9">
        <v>154</v>
      </c>
      <c r="C118" s="9" t="s">
        <v>4732</v>
      </c>
      <c r="D118" s="9"/>
      <c r="E118" s="9"/>
      <c r="F118" s="9"/>
      <c r="G118" s="9"/>
      <c r="H118" s="9" t="s">
        <v>3801</v>
      </c>
      <c r="I118" s="11" t="str">
        <f>VLOOKUP(H118,위치!B:C,2,0)</f>
        <v>RF-01B-5039]POWER HUB Bd</v>
      </c>
      <c r="J118" s="9">
        <v>200</v>
      </c>
      <c r="K118" s="9"/>
      <c r="L118" s="9" t="str">
        <f>VLOOKUP(H118,위치!B:D,3,0)</f>
        <v>A3-4</v>
      </c>
      <c r="M118" s="12">
        <v>46224</v>
      </c>
      <c r="N118" s="5"/>
      <c r="O118" s="5"/>
      <c r="P118" s="5"/>
      <c r="Q118" s="14"/>
      <c r="R118" s="15">
        <f t="shared" si="1"/>
        <v>200</v>
      </c>
    </row>
    <row r="119" spans="2:18" x14ac:dyDescent="0.35">
      <c r="B119" s="9">
        <v>310</v>
      </c>
      <c r="C119" s="9" t="s">
        <v>4732</v>
      </c>
      <c r="D119" s="9"/>
      <c r="E119" s="9"/>
      <c r="F119" s="9"/>
      <c r="G119" s="9"/>
      <c r="H119" s="9" t="s">
        <v>2125</v>
      </c>
      <c r="I119" s="11" t="str">
        <f>VLOOKUP(H119,위치!B:C,2,0)</f>
        <v>RA-08M-0619]SHAFT _4HEAD FIX</v>
      </c>
      <c r="J119" s="9">
        <v>220</v>
      </c>
      <c r="K119" s="9"/>
      <c r="L119" s="9" t="str">
        <f>VLOOKUP(H119,위치!B:D,3,0)</f>
        <v>E2-1</v>
      </c>
      <c r="M119" s="12">
        <v>46232</v>
      </c>
      <c r="N119" s="5"/>
      <c r="O119" s="5"/>
      <c r="P119" s="5"/>
      <c r="Q119" s="14"/>
      <c r="R119" s="15">
        <f t="shared" si="1"/>
        <v>220</v>
      </c>
    </row>
    <row r="120" spans="2:18" x14ac:dyDescent="0.35">
      <c r="B120" s="9">
        <v>322</v>
      </c>
      <c r="C120" s="9" t="s">
        <v>4732</v>
      </c>
      <c r="D120" s="9"/>
      <c r="E120" s="9"/>
      <c r="F120" s="9"/>
      <c r="G120" s="9"/>
      <c r="H120" s="9" t="s">
        <v>2130</v>
      </c>
      <c r="I120" s="11" t="str">
        <f>VLOOKUP(H120,위치!B:C,2,0)</f>
        <v>RA-08M-0622]WASHER SCAN CEPH</v>
      </c>
      <c r="J120" s="9">
        <v>230</v>
      </c>
      <c r="K120" s="9"/>
      <c r="L120" s="9" t="str">
        <f>VLOOKUP(H120,위치!B:D,3,0)</f>
        <v>E2-1</v>
      </c>
      <c r="M120" s="12">
        <v>46232</v>
      </c>
      <c r="N120" s="5"/>
      <c r="O120" s="5"/>
      <c r="P120" s="5"/>
      <c r="Q120" s="14"/>
      <c r="R120" s="15">
        <f t="shared" si="1"/>
        <v>230</v>
      </c>
    </row>
    <row r="121" spans="2:18" x14ac:dyDescent="0.35">
      <c r="B121" s="9">
        <v>298</v>
      </c>
      <c r="C121" s="9" t="s">
        <v>4732</v>
      </c>
      <c r="D121" s="9"/>
      <c r="E121" s="9"/>
      <c r="F121" s="9"/>
      <c r="G121" s="9"/>
      <c r="H121" s="9" t="s">
        <v>2828</v>
      </c>
      <c r="I121" s="11" t="str">
        <f>VLOOKUP(H121,위치!B:C,2,0)</f>
        <v>RA-8-16]OCL INTERFACE(V)</v>
      </c>
      <c r="J121" s="9">
        <v>232</v>
      </c>
      <c r="K121" s="9"/>
      <c r="L121" s="9" t="str">
        <f>VLOOKUP(H121,위치!B:D,3,0)</f>
        <v>G2-3</v>
      </c>
      <c r="M121" s="12">
        <v>46232</v>
      </c>
      <c r="N121" s="5"/>
      <c r="O121" s="5"/>
      <c r="P121" s="5"/>
      <c r="Q121" s="14"/>
      <c r="R121" s="15">
        <f t="shared" si="1"/>
        <v>232</v>
      </c>
    </row>
    <row r="122" spans="2:18" x14ac:dyDescent="0.35">
      <c r="B122" s="9">
        <v>96</v>
      </c>
      <c r="C122" s="9" t="s">
        <v>4732</v>
      </c>
      <c r="D122" s="9"/>
      <c r="E122" s="9"/>
      <c r="F122" s="9"/>
      <c r="G122" s="9"/>
      <c r="H122" s="9" t="s">
        <v>3811</v>
      </c>
      <c r="I122" s="11" t="str">
        <f>VLOOKUP(H122,위치!B:C,2,0)</f>
        <v>RF-01G-0168]BOT RUBBER</v>
      </c>
      <c r="J122" s="9">
        <v>235</v>
      </c>
      <c r="K122" s="9"/>
      <c r="L122" s="9" t="str">
        <f>VLOOKUP(H122,위치!B:D,3,0)</f>
        <v>3S3-1</v>
      </c>
      <c r="M122" s="12">
        <v>46224</v>
      </c>
      <c r="N122" s="5"/>
      <c r="O122" s="5"/>
      <c r="P122" s="5"/>
      <c r="Q122" s="14"/>
      <c r="R122" s="15">
        <f t="shared" si="1"/>
        <v>235</v>
      </c>
    </row>
    <row r="123" spans="2:18" x14ac:dyDescent="0.35">
      <c r="B123" s="9">
        <v>113</v>
      </c>
      <c r="C123" s="9" t="s">
        <v>4732</v>
      </c>
      <c r="D123" s="9"/>
      <c r="E123" s="9"/>
      <c r="F123" s="9"/>
      <c r="G123" s="9"/>
      <c r="H123" s="9" t="s">
        <v>3889</v>
      </c>
      <c r="I123" s="11" t="str">
        <f>VLOOKUP(H123,위치!B:C,2,0)</f>
        <v>RF-01M-0269]FACE CAM BLK_HR</v>
      </c>
      <c r="J123" s="9">
        <v>244</v>
      </c>
      <c r="K123" s="9"/>
      <c r="L123" s="9" t="str">
        <f>VLOOKUP(H123,위치!B:D,3,0)</f>
        <v>3L4-4</v>
      </c>
      <c r="M123" s="12">
        <v>46224</v>
      </c>
      <c r="N123" s="5"/>
      <c r="O123" s="5"/>
      <c r="P123" s="5"/>
      <c r="Q123" s="14"/>
      <c r="R123" s="15">
        <f t="shared" si="1"/>
        <v>244</v>
      </c>
    </row>
    <row r="124" spans="2:18" x14ac:dyDescent="0.35">
      <c r="B124" s="9">
        <v>148</v>
      </c>
      <c r="C124" s="9" t="s">
        <v>4732</v>
      </c>
      <c r="D124" s="9"/>
      <c r="E124" s="9"/>
      <c r="F124" s="9"/>
      <c r="G124" s="9"/>
      <c r="H124" s="9" t="s">
        <v>3997</v>
      </c>
      <c r="I124" s="11" t="str">
        <f>VLOOKUP(H124,위치!B:C,2,0)</f>
        <v>RF-01T-0241]CAL Bas UPPER</v>
      </c>
      <c r="J124" s="21">
        <v>244</v>
      </c>
      <c r="K124" s="21"/>
      <c r="L124" s="9" t="str">
        <f>VLOOKUP(H124,위치!B:D,3,0)</f>
        <v>3E5</v>
      </c>
      <c r="M124" s="12">
        <v>46224</v>
      </c>
      <c r="N124" s="5"/>
      <c r="O124" s="5"/>
      <c r="P124" s="5"/>
      <c r="Q124" s="14"/>
      <c r="R124" s="15">
        <f t="shared" si="1"/>
        <v>244</v>
      </c>
    </row>
    <row r="125" spans="2:18" x14ac:dyDescent="0.35">
      <c r="B125" s="9">
        <v>317</v>
      </c>
      <c r="C125" s="9" t="s">
        <v>4732</v>
      </c>
      <c r="D125" s="9"/>
      <c r="E125" s="9"/>
      <c r="F125" s="9"/>
      <c r="G125" s="9"/>
      <c r="H125" s="9" t="s">
        <v>2155</v>
      </c>
      <c r="I125" s="11" t="str">
        <f>VLOOKUP(H125,위치!B:C,2,0)</f>
        <v>RA-08M-0976]CEPH SCALE BAR</v>
      </c>
      <c r="J125" s="9">
        <v>247</v>
      </c>
      <c r="K125" s="9"/>
      <c r="L125" s="9" t="str">
        <f>VLOOKUP(H125,위치!B:D,3,0)</f>
        <v>E1-1</v>
      </c>
      <c r="M125" s="12">
        <v>46232</v>
      </c>
      <c r="N125" s="5"/>
      <c r="O125" s="5"/>
      <c r="P125" s="5"/>
      <c r="Q125" s="14"/>
      <c r="R125" s="15">
        <f t="shared" si="1"/>
        <v>247</v>
      </c>
    </row>
    <row r="126" spans="2:18" x14ac:dyDescent="0.35">
      <c r="B126" s="9">
        <v>102</v>
      </c>
      <c r="C126" s="9" t="s">
        <v>4732</v>
      </c>
      <c r="D126" s="9"/>
      <c r="E126" s="9"/>
      <c r="F126" s="9"/>
      <c r="G126" s="9"/>
      <c r="H126" s="9" t="s">
        <v>3945</v>
      </c>
      <c r="I126" s="11" t="str">
        <f>VLOOKUP(H126,위치!B:C,2,0)</f>
        <v>RF-01T-0161]Bas BOT UPPER</v>
      </c>
      <c r="J126" s="9">
        <v>250</v>
      </c>
      <c r="K126" s="9"/>
      <c r="L126" s="9" t="str">
        <f>VLOOKUP(H126,위치!B:D,3,0)</f>
        <v>3B11</v>
      </c>
      <c r="M126" s="12">
        <v>46224</v>
      </c>
      <c r="N126" s="5"/>
      <c r="O126" s="5"/>
      <c r="P126" s="5"/>
      <c r="Q126" s="14"/>
      <c r="R126" s="15">
        <f t="shared" si="1"/>
        <v>250</v>
      </c>
    </row>
    <row r="127" spans="2:18" x14ac:dyDescent="0.35">
      <c r="B127" s="9">
        <v>129</v>
      </c>
      <c r="C127" s="9" t="s">
        <v>4732</v>
      </c>
      <c r="D127" s="9"/>
      <c r="E127" s="9"/>
      <c r="F127" s="9"/>
      <c r="G127" s="9"/>
      <c r="H127" s="9" t="s">
        <v>3902</v>
      </c>
      <c r="I127" s="11" t="str">
        <f>VLOOKUP(H127,위치!B:C,2,0)</f>
        <v>RF-01M-0397]COVER BOTTOM</v>
      </c>
      <c r="J127" s="9">
        <v>255</v>
      </c>
      <c r="K127" s="9"/>
      <c r="L127" s="9" t="str">
        <f>VLOOKUP(H127,위치!B:D,3,0)</f>
        <v>3E5</v>
      </c>
      <c r="M127" s="12">
        <v>46224</v>
      </c>
      <c r="N127" s="5"/>
      <c r="O127" s="5"/>
      <c r="P127" s="5"/>
      <c r="Q127" s="14"/>
      <c r="R127" s="15">
        <f t="shared" si="1"/>
        <v>255</v>
      </c>
    </row>
    <row r="128" spans="2:18" x14ac:dyDescent="0.35">
      <c r="B128" s="9">
        <v>312</v>
      </c>
      <c r="C128" s="9" t="s">
        <v>4732</v>
      </c>
      <c r="D128" s="9"/>
      <c r="E128" s="9"/>
      <c r="F128" s="9"/>
      <c r="G128" s="9"/>
      <c r="H128" s="9" t="s">
        <v>2134</v>
      </c>
      <c r="I128" s="11" t="str">
        <f>VLOOKUP(H128,위치!B:C,2,0)</f>
        <v>RA-08M-0624]BLK CEPH _4HEAD</v>
      </c>
      <c r="J128" s="9">
        <v>299</v>
      </c>
      <c r="K128" s="9"/>
      <c r="L128" s="9" t="str">
        <f>VLOOKUP(H128,위치!B:D,3,0)</f>
        <v>E2-1</v>
      </c>
      <c r="M128" s="12">
        <v>46232</v>
      </c>
      <c r="N128" s="5"/>
      <c r="O128" s="5"/>
      <c r="P128" s="5"/>
      <c r="Q128" s="14"/>
      <c r="R128" s="15">
        <f t="shared" si="1"/>
        <v>299</v>
      </c>
    </row>
    <row r="129" spans="2:18" x14ac:dyDescent="0.35">
      <c r="B129" s="9">
        <v>166</v>
      </c>
      <c r="C129" s="9" t="s">
        <v>4732</v>
      </c>
      <c r="D129" s="9"/>
      <c r="E129" s="9"/>
      <c r="F129" s="9"/>
      <c r="G129" s="9"/>
      <c r="H129" s="9" t="s">
        <v>4622</v>
      </c>
      <c r="I129" s="11">
        <f>VLOOKUP(H129,위치!B:C,2,0)</f>
        <v>0</v>
      </c>
      <c r="J129" s="9">
        <v>305</v>
      </c>
      <c r="K129" s="9"/>
      <c r="L129" s="9" t="str">
        <f>VLOOKUP(H129,위치!B:D,3,0)</f>
        <v>3B20</v>
      </c>
      <c r="M129" s="12">
        <v>46224</v>
      </c>
      <c r="N129" s="5"/>
      <c r="O129" s="5"/>
      <c r="P129" s="5"/>
      <c r="Q129" s="14"/>
      <c r="R129" s="15">
        <f t="shared" si="1"/>
        <v>305</v>
      </c>
    </row>
    <row r="130" spans="2:18" x14ac:dyDescent="0.35">
      <c r="B130" s="9">
        <v>304</v>
      </c>
      <c r="C130" s="9" t="s">
        <v>4732</v>
      </c>
      <c r="D130" s="9"/>
      <c r="E130" s="9"/>
      <c r="F130" s="9"/>
      <c r="G130" s="9"/>
      <c r="H130" s="9" t="s">
        <v>2236</v>
      </c>
      <c r="I130" s="11" t="str">
        <f>VLOOKUP(H130,위치!B:C,2,0)</f>
        <v>RA-08T-0632]CAS CEPH _4HEAD BAR</v>
      </c>
      <c r="J130" s="9">
        <v>307</v>
      </c>
      <c r="K130" s="9"/>
      <c r="L130" s="9" t="str">
        <f>VLOOKUP(H130,위치!B:D,3,0)</f>
        <v>S</v>
      </c>
      <c r="M130" s="12">
        <v>46232</v>
      </c>
      <c r="N130" s="5"/>
      <c r="O130" s="5"/>
      <c r="P130" s="5"/>
      <c r="Q130" s="14"/>
      <c r="R130" s="15">
        <f t="shared" si="1"/>
        <v>307</v>
      </c>
    </row>
    <row r="131" spans="2:18" x14ac:dyDescent="0.35">
      <c r="B131" s="9">
        <v>321</v>
      </c>
      <c r="C131" s="9" t="s">
        <v>4732</v>
      </c>
      <c r="D131" s="9"/>
      <c r="E131" s="9"/>
      <c r="F131" s="9"/>
      <c r="G131" s="9"/>
      <c r="H131" s="9" t="s">
        <v>2254</v>
      </c>
      <c r="I131" s="11" t="str">
        <f>VLOOKUP(H131,위치!B:C,2,0)</f>
        <v>RA-08T-1466]CAS CEPH EAR-ROD</v>
      </c>
      <c r="J131" s="9">
        <v>333</v>
      </c>
      <c r="K131" s="9"/>
      <c r="L131" s="9" t="str">
        <f>VLOOKUP(H131,위치!B:D,3,0)</f>
        <v>S</v>
      </c>
      <c r="M131" s="12">
        <v>46232</v>
      </c>
      <c r="N131" s="5"/>
      <c r="O131" s="5"/>
      <c r="P131" s="5"/>
      <c r="Q131" s="14"/>
      <c r="R131" s="15">
        <f t="shared" si="1"/>
        <v>333</v>
      </c>
    </row>
    <row r="132" spans="2:18" x14ac:dyDescent="0.35">
      <c r="B132" s="9">
        <v>291</v>
      </c>
      <c r="C132" s="9" t="s">
        <v>4732</v>
      </c>
      <c r="D132" s="9"/>
      <c r="E132" s="9"/>
      <c r="F132" s="9"/>
      <c r="G132" s="9"/>
      <c r="H132" s="9" t="s">
        <v>969</v>
      </c>
      <c r="I132" s="11" t="str">
        <f>VLOOKUP(H132,위치!B:C,2,0)</f>
        <v>RA-04S-0977]SPRING CEPH AND ARM</v>
      </c>
      <c r="J132" s="9">
        <v>399</v>
      </c>
      <c r="K132" s="9"/>
      <c r="L132" s="9" t="str">
        <f>VLOOKUP(H132,위치!B:D,3,0)</f>
        <v>B2-2</v>
      </c>
      <c r="M132" s="12">
        <v>46232</v>
      </c>
      <c r="N132" s="5"/>
      <c r="O132" s="5"/>
      <c r="P132" s="5"/>
      <c r="Q132" s="14"/>
      <c r="R132" s="15">
        <f t="shared" si="1"/>
        <v>399</v>
      </c>
    </row>
    <row r="133" spans="2:18" x14ac:dyDescent="0.35">
      <c r="B133" s="9">
        <v>90</v>
      </c>
      <c r="C133" s="9" t="s">
        <v>4732</v>
      </c>
      <c r="D133" s="9"/>
      <c r="E133" s="9"/>
      <c r="F133" s="9"/>
      <c r="G133" s="9"/>
      <c r="H133" s="9" t="s">
        <v>3793</v>
      </c>
      <c r="I133" s="11" t="str">
        <f>VLOOKUP(H133,위치!B:C,2,0)</f>
        <v>RF-01B-5036] LED CENTER BOARD</v>
      </c>
      <c r="J133" s="9">
        <v>417</v>
      </c>
      <c r="K133" s="9"/>
      <c r="L133" s="9" t="str">
        <f>VLOOKUP(H133,위치!B:D,3,0)</f>
        <v>A16</v>
      </c>
      <c r="M133" s="12">
        <v>46224</v>
      </c>
      <c r="N133" s="5"/>
      <c r="O133" s="5"/>
      <c r="P133" s="5"/>
      <c r="Q133" s="14"/>
      <c r="R133" s="15">
        <f t="shared" si="1"/>
        <v>417</v>
      </c>
    </row>
    <row r="134" spans="2:18" x14ac:dyDescent="0.35">
      <c r="B134" s="9">
        <v>104</v>
      </c>
      <c r="C134" s="9" t="s">
        <v>4732</v>
      </c>
      <c r="D134" s="9"/>
      <c r="E134" s="9"/>
      <c r="F134" s="9"/>
      <c r="G134" s="9"/>
      <c r="H134" s="9" t="s">
        <v>3788</v>
      </c>
      <c r="I134" s="11" t="str">
        <f>VLOOKUP(H134,위치!B:C,2,0)</f>
        <v>RF-01B-5034] POWER BUTTON BOARD</v>
      </c>
      <c r="J134" s="9">
        <v>463</v>
      </c>
      <c r="K134" s="9"/>
      <c r="L134" s="9" t="str">
        <f>VLOOKUP(H134,위치!B:D,3,0)</f>
        <v>A4-2</v>
      </c>
      <c r="M134" s="12">
        <v>46224</v>
      </c>
      <c r="N134" s="5"/>
      <c r="O134" s="5"/>
      <c r="P134" s="5"/>
      <c r="Q134" s="14"/>
      <c r="R134" s="15">
        <f t="shared" si="1"/>
        <v>463</v>
      </c>
    </row>
    <row r="135" spans="2:18" x14ac:dyDescent="0.35">
      <c r="B135" s="9">
        <v>294</v>
      </c>
      <c r="C135" s="9" t="s">
        <v>4732</v>
      </c>
      <c r="D135" s="9"/>
      <c r="E135" s="9"/>
      <c r="F135" s="9"/>
      <c r="G135" s="9"/>
      <c r="H135" s="9" t="s">
        <v>2757</v>
      </c>
      <c r="I135" s="11" t="str">
        <f>VLOOKUP(H135,위치!B:C,2,0)</f>
        <v>RA-3-3B]DCM CONTROL-B</v>
      </c>
      <c r="J135" s="9">
        <v>582</v>
      </c>
      <c r="K135" s="9"/>
      <c r="L135" s="9" t="str">
        <f>VLOOKUP(H135,위치!B:D,3,0)</f>
        <v>G2-1</v>
      </c>
      <c r="M135" s="12">
        <v>46232</v>
      </c>
      <c r="N135" s="5"/>
      <c r="O135" s="5"/>
      <c r="P135" s="5"/>
      <c r="Q135" s="14"/>
      <c r="R135" s="15">
        <f t="shared" ref="R135:R198" si="2">J135-P135</f>
        <v>582</v>
      </c>
    </row>
    <row r="136" spans="2:18" x14ac:dyDescent="0.35">
      <c r="B136" s="9">
        <v>315</v>
      </c>
      <c r="C136" s="9" t="s">
        <v>4732</v>
      </c>
      <c r="D136" s="9"/>
      <c r="E136" s="9"/>
      <c r="F136" s="9"/>
      <c r="G136" s="9"/>
      <c r="H136" s="9" t="s">
        <v>2148</v>
      </c>
      <c r="I136" s="11" t="str">
        <f>VLOOKUP(H136,위치!B:C,2,0)</f>
        <v>RA-08M-0708]RING EARLOD</v>
      </c>
      <c r="J136" s="9">
        <v>596</v>
      </c>
      <c r="K136" s="9"/>
      <c r="L136" s="9" t="str">
        <f>VLOOKUP(H136,위치!B:D,3,0)</f>
        <v>E1-1</v>
      </c>
      <c r="M136" s="12">
        <v>46232</v>
      </c>
      <c r="N136" s="5"/>
      <c r="O136" s="5"/>
      <c r="P136" s="5"/>
      <c r="Q136" s="14"/>
      <c r="R136" s="15">
        <f t="shared" si="2"/>
        <v>596</v>
      </c>
    </row>
    <row r="137" spans="2:18" x14ac:dyDescent="0.35">
      <c r="B137" s="9">
        <v>314</v>
      </c>
      <c r="C137" s="9" t="s">
        <v>4732</v>
      </c>
      <c r="D137" s="9"/>
      <c r="E137" s="9"/>
      <c r="F137" s="9"/>
      <c r="G137" s="9"/>
      <c r="H137" s="9" t="s">
        <v>2145</v>
      </c>
      <c r="I137" s="11" t="str">
        <f>VLOOKUP(H137,위치!B:C,2,0)</f>
        <v>RA-08M-0707]CAP EARLOD</v>
      </c>
      <c r="J137" s="9">
        <v>712</v>
      </c>
      <c r="K137" s="9"/>
      <c r="L137" s="9" t="str">
        <f>VLOOKUP(H137,위치!B:D,3,0)</f>
        <v>E1-1</v>
      </c>
      <c r="M137" s="12">
        <v>46232</v>
      </c>
      <c r="N137" s="5"/>
      <c r="O137" s="5"/>
      <c r="P137" s="5"/>
      <c r="Q137" s="14"/>
      <c r="R137" s="15">
        <f t="shared" si="2"/>
        <v>712</v>
      </c>
    </row>
    <row r="138" spans="2:18" x14ac:dyDescent="0.35">
      <c r="B138" s="9">
        <v>292</v>
      </c>
      <c r="C138" s="9" t="s">
        <v>4732</v>
      </c>
      <c r="D138" s="9"/>
      <c r="E138" s="9"/>
      <c r="F138" s="9"/>
      <c r="G138" s="9"/>
      <c r="H138" s="9" t="s">
        <v>29</v>
      </c>
      <c r="I138" s="11" t="str">
        <f>VLOOKUP(H138,위치!B:C,2,0)</f>
        <v>C16-626ZZ]BALL B-Ring</v>
      </c>
      <c r="J138" s="9">
        <v>981</v>
      </c>
      <c r="K138" s="9"/>
      <c r="L138" s="9" t="str">
        <f>VLOOKUP(H138,위치!B:D,3,0)</f>
        <v>C1-1</v>
      </c>
      <c r="M138" s="12">
        <v>46232</v>
      </c>
      <c r="N138" s="5"/>
      <c r="O138" s="5"/>
      <c r="P138" s="5"/>
      <c r="Q138" s="14"/>
      <c r="R138" s="15">
        <f t="shared" si="2"/>
        <v>981</v>
      </c>
    </row>
    <row r="139" spans="2:18" x14ac:dyDescent="0.35">
      <c r="B139" s="9">
        <v>313</v>
      </c>
      <c r="C139" s="9" t="s">
        <v>4732</v>
      </c>
      <c r="D139" s="9"/>
      <c r="E139" s="9"/>
      <c r="F139" s="9"/>
      <c r="G139" s="9"/>
      <c r="H139" s="9" t="s">
        <v>2136</v>
      </c>
      <c r="I139" s="11" t="str">
        <f>VLOOKUP(H139,위치!B:C,2,0)</f>
        <v>RA-08M-0625]_4M CEPH _4HEAD</v>
      </c>
      <c r="J139" s="9">
        <v>1017</v>
      </c>
      <c r="K139" s="9"/>
      <c r="L139" s="9" t="str">
        <f>VLOOKUP(H139,위치!B:D,3,0)</f>
        <v>E2-1</v>
      </c>
      <c r="M139" s="12">
        <v>46232</v>
      </c>
      <c r="N139" s="5"/>
      <c r="O139" s="5"/>
      <c r="P139" s="5"/>
      <c r="Q139" s="14"/>
      <c r="R139" s="15">
        <f t="shared" si="2"/>
        <v>1017</v>
      </c>
    </row>
    <row r="140" spans="2:18" x14ac:dyDescent="0.35">
      <c r="B140" s="9">
        <v>92</v>
      </c>
      <c r="C140" s="9" t="s">
        <v>4732</v>
      </c>
      <c r="D140" s="9"/>
      <c r="E140" s="9"/>
      <c r="F140" s="9"/>
      <c r="G140" s="9"/>
      <c r="H140" s="9" t="s">
        <v>3813</v>
      </c>
      <c r="I140" s="11" t="str">
        <f>VLOOKUP(H140,위치!B:C,2,0)</f>
        <v>RF-01G-0252]MOLDING FRONT MIRROR</v>
      </c>
      <c r="J140" s="9">
        <v>1021</v>
      </c>
      <c r="K140" s="9"/>
      <c r="L140" s="9" t="str">
        <f>VLOOKUP(H140,위치!B:D,3,0)</f>
        <v>3S3-1</v>
      </c>
      <c r="M140" s="12">
        <v>46224</v>
      </c>
      <c r="N140" s="5"/>
      <c r="O140" s="5"/>
      <c r="P140" s="5"/>
      <c r="Q140" s="14"/>
      <c r="R140" s="15">
        <f t="shared" si="2"/>
        <v>1021</v>
      </c>
    </row>
    <row r="141" spans="2:18" x14ac:dyDescent="0.35">
      <c r="B141" s="9">
        <v>162</v>
      </c>
      <c r="C141" s="9" t="s">
        <v>4732</v>
      </c>
      <c r="D141" s="9"/>
      <c r="E141" s="9"/>
      <c r="F141" s="9"/>
      <c r="G141" s="9"/>
      <c r="H141" s="9" t="s">
        <v>4032</v>
      </c>
      <c r="I141" s="11" t="str">
        <f>VLOOKUP(H141,위치!B:C,2,0)</f>
        <v>RF-09P-0271]MIRROR PROTIVE FILM</v>
      </c>
      <c r="J141" s="9">
        <v>1553</v>
      </c>
      <c r="K141" s="9"/>
      <c r="L141" s="9" t="str">
        <f>VLOOKUP(H141,위치!B:D,3,0)</f>
        <v>3S3-1</v>
      </c>
      <c r="M141" s="12">
        <v>46224</v>
      </c>
      <c r="N141" s="5"/>
      <c r="O141" s="5"/>
      <c r="P141" s="5"/>
      <c r="Q141" s="14"/>
      <c r="R141" s="15">
        <f t="shared" si="2"/>
        <v>1553</v>
      </c>
    </row>
    <row r="142" spans="2:18" x14ac:dyDescent="0.35">
      <c r="B142" s="9">
        <v>198</v>
      </c>
      <c r="C142" s="9" t="s">
        <v>4747</v>
      </c>
      <c r="D142" s="9"/>
      <c r="E142" s="9" t="s">
        <v>4746</v>
      </c>
      <c r="F142" s="9"/>
      <c r="G142" s="9"/>
      <c r="H142" s="9" t="s">
        <v>2201</v>
      </c>
      <c r="I142" s="11" t="str">
        <f>VLOOKUP(H142,위치!B:C,2,0)</f>
        <v>RA-08M-2706]BLK CEPH AXIS BODY FRONT(VW</v>
      </c>
      <c r="J142" s="9">
        <v>7</v>
      </c>
      <c r="K142" s="9"/>
      <c r="L142" s="9" t="str">
        <f>VLOOKUP(H142,위치!B:D,3,0)</f>
        <v>E1-2</v>
      </c>
      <c r="M142" s="12">
        <v>46232</v>
      </c>
      <c r="N142" s="5" t="s">
        <v>4745</v>
      </c>
      <c r="O142" s="5">
        <v>87119</v>
      </c>
      <c r="P142" s="5">
        <v>1</v>
      </c>
      <c r="Q142" s="14">
        <v>46232</v>
      </c>
      <c r="R142" s="15">
        <f t="shared" si="2"/>
        <v>6</v>
      </c>
    </row>
    <row r="143" spans="2:18" x14ac:dyDescent="0.35">
      <c r="B143" s="9">
        <v>200</v>
      </c>
      <c r="C143" s="9" t="s">
        <v>4747</v>
      </c>
      <c r="D143" s="9"/>
      <c r="E143" s="9" t="s">
        <v>4746</v>
      </c>
      <c r="F143" s="9"/>
      <c r="G143" s="9"/>
      <c r="H143" s="9" t="s">
        <v>2205</v>
      </c>
      <c r="I143" s="11" t="str">
        <f>VLOOKUP(H143,위치!B:C,2,0)</f>
        <v>RA-08M-2708]SHAFT CEPH AXIS BODY (VW)</v>
      </c>
      <c r="J143" s="9">
        <v>7</v>
      </c>
      <c r="K143" s="9"/>
      <c r="L143" s="9" t="str">
        <f>VLOOKUP(H143,위치!B:D,3,0)</f>
        <v>E1-2</v>
      </c>
      <c r="M143" s="12">
        <v>46232</v>
      </c>
      <c r="N143" s="5" t="s">
        <v>4745</v>
      </c>
      <c r="O143" s="5">
        <v>87119</v>
      </c>
      <c r="P143" s="5">
        <v>1</v>
      </c>
      <c r="Q143" s="14">
        <v>46232</v>
      </c>
      <c r="R143" s="15">
        <f t="shared" si="2"/>
        <v>6</v>
      </c>
    </row>
    <row r="144" spans="2:18" x14ac:dyDescent="0.35">
      <c r="B144" s="9">
        <v>201</v>
      </c>
      <c r="C144" s="9" t="s">
        <v>4747</v>
      </c>
      <c r="D144" s="9"/>
      <c r="E144" s="9" t="s">
        <v>4746</v>
      </c>
      <c r="F144" s="9"/>
      <c r="G144" s="9"/>
      <c r="H144" s="9" t="s">
        <v>2282</v>
      </c>
      <c r="I144" s="11" t="str">
        <f>VLOOKUP(H144,위치!B:C,2,0)</f>
        <v>RA-08V-0170]CVR MOUNT CEPH ARM</v>
      </c>
      <c r="J144" s="9">
        <v>98</v>
      </c>
      <c r="K144" s="9"/>
      <c r="L144" s="9" t="str">
        <f>VLOOKUP(H144,위치!B:D,3,0)</f>
        <v>E2-3</v>
      </c>
      <c r="M144" s="12">
        <v>46232</v>
      </c>
      <c r="N144" s="5" t="s">
        <v>4745</v>
      </c>
      <c r="O144" s="5">
        <v>87119</v>
      </c>
      <c r="P144" s="5">
        <v>1</v>
      </c>
      <c r="Q144" s="14">
        <v>46232</v>
      </c>
      <c r="R144" s="15">
        <f t="shared" si="2"/>
        <v>97</v>
      </c>
    </row>
    <row r="145" spans="2:18" x14ac:dyDescent="0.35">
      <c r="B145" s="9">
        <v>202</v>
      </c>
      <c r="C145" s="9" t="s">
        <v>4747</v>
      </c>
      <c r="D145" s="9"/>
      <c r="E145" s="9" t="s">
        <v>4746</v>
      </c>
      <c r="F145" s="9"/>
      <c r="G145" s="9"/>
      <c r="H145" s="9" t="s">
        <v>2286</v>
      </c>
      <c r="I145" s="11" t="str">
        <f>VLOOKUP(H145,위치!B:C,2,0)</f>
        <v>RA-08V-0173]DECO CEPH ARM</v>
      </c>
      <c r="J145" s="9">
        <v>91</v>
      </c>
      <c r="K145" s="9"/>
      <c r="L145" s="9" t="str">
        <f>VLOOKUP(H145,위치!B:D,3,0)</f>
        <v>E2-3</v>
      </c>
      <c r="M145" s="12">
        <v>46232</v>
      </c>
      <c r="N145" s="5" t="s">
        <v>4745</v>
      </c>
      <c r="O145" s="5">
        <v>87119</v>
      </c>
      <c r="P145" s="5">
        <v>1</v>
      </c>
      <c r="Q145" s="14">
        <v>46232</v>
      </c>
      <c r="R145" s="15">
        <f t="shared" si="2"/>
        <v>90</v>
      </c>
    </row>
    <row r="146" spans="2:18" x14ac:dyDescent="0.35">
      <c r="B146" s="9">
        <v>203</v>
      </c>
      <c r="C146" s="9" t="s">
        <v>4747</v>
      </c>
      <c r="D146" s="9"/>
      <c r="E146" s="9" t="s">
        <v>4746</v>
      </c>
      <c r="F146" s="9"/>
      <c r="G146" s="9"/>
      <c r="H146" s="9" t="s">
        <v>2288</v>
      </c>
      <c r="I146" s="11" t="str">
        <f>VLOOKUP(H146,위치!B:C,2,0)</f>
        <v>RA-08V-0181]BLK CEPH ARM FIX</v>
      </c>
      <c r="J146" s="9">
        <v>102</v>
      </c>
      <c r="K146" s="9"/>
      <c r="L146" s="9" t="str">
        <f>VLOOKUP(H146,위치!B:D,3,0)</f>
        <v>E2-3</v>
      </c>
      <c r="M146" s="12">
        <v>46232</v>
      </c>
      <c r="N146" s="5" t="s">
        <v>4745</v>
      </c>
      <c r="O146" s="5">
        <v>87119</v>
      </c>
      <c r="P146" s="5">
        <v>1</v>
      </c>
      <c r="Q146" s="14">
        <v>46232</v>
      </c>
      <c r="R146" s="15">
        <f t="shared" si="2"/>
        <v>101</v>
      </c>
    </row>
    <row r="147" spans="2:18" x14ac:dyDescent="0.35">
      <c r="B147" s="9">
        <v>205</v>
      </c>
      <c r="C147" s="9" t="s">
        <v>4747</v>
      </c>
      <c r="D147" s="9"/>
      <c r="E147" s="9" t="s">
        <v>4746</v>
      </c>
      <c r="F147" s="9"/>
      <c r="G147" s="9"/>
      <c r="H147" s="9" t="s">
        <v>2305</v>
      </c>
      <c r="I147" s="11" t="str">
        <f>VLOOKUP(H147,위치!B:C,2,0)</f>
        <v>RA-08V-0604]STOPPER SCAN CEPH</v>
      </c>
      <c r="J147" s="9">
        <v>27</v>
      </c>
      <c r="K147" s="9"/>
      <c r="L147" s="9" t="str">
        <f>VLOOKUP(H147,위치!B:D,3,0)</f>
        <v>E1-3</v>
      </c>
      <c r="M147" s="12">
        <v>46232</v>
      </c>
      <c r="N147" s="5" t="s">
        <v>4745</v>
      </c>
      <c r="O147" s="5">
        <v>87119</v>
      </c>
      <c r="P147" s="5">
        <v>1</v>
      </c>
      <c r="Q147" s="14">
        <v>46232</v>
      </c>
      <c r="R147" s="15">
        <f t="shared" si="2"/>
        <v>26</v>
      </c>
    </row>
    <row r="148" spans="2:18" x14ac:dyDescent="0.35">
      <c r="B148" s="9">
        <v>206</v>
      </c>
      <c r="C148" s="9" t="s">
        <v>4747</v>
      </c>
      <c r="D148" s="9"/>
      <c r="E148" s="9" t="s">
        <v>4746</v>
      </c>
      <c r="F148" s="9"/>
      <c r="G148" s="9"/>
      <c r="H148" s="9" t="s">
        <v>2128</v>
      </c>
      <c r="I148" s="11" t="str">
        <f>VLOOKUP(H148,위치!B:C,2,0)</f>
        <v>RA-08M-0620]PLT CEPH _4HEAD</v>
      </c>
      <c r="J148" s="9">
        <v>99</v>
      </c>
      <c r="K148" s="9"/>
      <c r="L148" s="9" t="str">
        <f>VLOOKUP(H148,위치!B:D,3,0)</f>
        <v>E2-1</v>
      </c>
      <c r="M148" s="12">
        <v>46232</v>
      </c>
      <c r="N148" s="5" t="s">
        <v>4745</v>
      </c>
      <c r="O148" s="5">
        <v>87119</v>
      </c>
      <c r="P148" s="5">
        <v>1</v>
      </c>
      <c r="Q148" s="14">
        <v>46232</v>
      </c>
      <c r="R148" s="15">
        <f t="shared" si="2"/>
        <v>98</v>
      </c>
    </row>
    <row r="149" spans="2:18" x14ac:dyDescent="0.35">
      <c r="B149" s="9">
        <v>207</v>
      </c>
      <c r="C149" s="9" t="s">
        <v>4747</v>
      </c>
      <c r="D149" s="9"/>
      <c r="E149" s="9" t="s">
        <v>4746</v>
      </c>
      <c r="F149" s="9"/>
      <c r="G149" s="9"/>
      <c r="H149" s="9" t="s">
        <v>2307</v>
      </c>
      <c r="I149" s="11" t="str">
        <f>VLOOKUP(H149,위치!B:C,2,0)</f>
        <v>RA-08V-0621]PLT WASHER FIX</v>
      </c>
      <c r="J149" s="9">
        <v>27</v>
      </c>
      <c r="K149" s="9"/>
      <c r="L149" s="9" t="str">
        <f>VLOOKUP(H149,위치!B:D,3,0)</f>
        <v>E1-3</v>
      </c>
      <c r="M149" s="12">
        <v>46232</v>
      </c>
      <c r="N149" s="5" t="s">
        <v>4745</v>
      </c>
      <c r="O149" s="5">
        <v>87119</v>
      </c>
      <c r="P149" s="5">
        <v>1</v>
      </c>
      <c r="Q149" s="14">
        <v>46232</v>
      </c>
      <c r="R149" s="15">
        <f t="shared" si="2"/>
        <v>26</v>
      </c>
    </row>
    <row r="150" spans="2:18" x14ac:dyDescent="0.35">
      <c r="B150" s="9">
        <v>208</v>
      </c>
      <c r="C150" s="9" t="s">
        <v>4747</v>
      </c>
      <c r="D150" s="9"/>
      <c r="E150" s="9" t="s">
        <v>4746</v>
      </c>
      <c r="F150" s="9"/>
      <c r="G150" s="9"/>
      <c r="H150" s="9" t="s">
        <v>2318</v>
      </c>
      <c r="I150" s="11" t="str">
        <f>VLOOKUP(H150,위치!B:C,2,0)</f>
        <v>RA-08V-0737]CVR OC HEADREST BOT</v>
      </c>
      <c r="J150" s="9">
        <v>20</v>
      </c>
      <c r="K150" s="9"/>
      <c r="L150" s="9" t="str">
        <f>VLOOKUP(H150,위치!B:D,3,0)</f>
        <v>F1</v>
      </c>
      <c r="M150" s="12">
        <v>46232</v>
      </c>
      <c r="N150" s="5" t="s">
        <v>4745</v>
      </c>
      <c r="O150" s="5">
        <v>87119</v>
      </c>
      <c r="P150" s="5">
        <v>1</v>
      </c>
      <c r="Q150" s="14">
        <v>46232</v>
      </c>
      <c r="R150" s="15">
        <f t="shared" si="2"/>
        <v>19</v>
      </c>
    </row>
    <row r="151" spans="2:18" x14ac:dyDescent="0.35">
      <c r="B151" s="9">
        <v>209</v>
      </c>
      <c r="C151" s="9" t="s">
        <v>4747</v>
      </c>
      <c r="D151" s="9"/>
      <c r="E151" s="9" t="s">
        <v>4746</v>
      </c>
      <c r="F151" s="9"/>
      <c r="G151" s="9"/>
      <c r="H151" s="9" t="s">
        <v>2322</v>
      </c>
      <c r="I151" s="11" t="str">
        <f>VLOOKUP(H151,위치!B:C,2,0)</f>
        <v>RA-08V-0974]BRK WIRE MOUNT</v>
      </c>
      <c r="J151" s="9">
        <v>21</v>
      </c>
      <c r="K151" s="9"/>
      <c r="L151" s="9" t="str">
        <f>VLOOKUP(H151,위치!B:D,3,0)</f>
        <v>E1-3</v>
      </c>
      <c r="M151" s="12">
        <v>46232</v>
      </c>
      <c r="N151" s="5" t="s">
        <v>4745</v>
      </c>
      <c r="O151" s="5">
        <v>87119</v>
      </c>
      <c r="P151" s="5">
        <v>1</v>
      </c>
      <c r="Q151" s="14">
        <v>46232</v>
      </c>
      <c r="R151" s="15">
        <f t="shared" si="2"/>
        <v>20</v>
      </c>
    </row>
    <row r="152" spans="2:18" x14ac:dyDescent="0.35">
      <c r="B152" s="9">
        <v>210</v>
      </c>
      <c r="C152" s="9" t="s">
        <v>4747</v>
      </c>
      <c r="D152" s="9"/>
      <c r="E152" s="9" t="s">
        <v>4746</v>
      </c>
      <c r="F152" s="9"/>
      <c r="G152" s="9"/>
      <c r="H152" s="9" t="s">
        <v>2369</v>
      </c>
      <c r="I152" s="11" t="str">
        <f>VLOOKUP(H152,위치!B:C,2,0)</f>
        <v>RA-08V-1872]BLK MOUNT OCG SNSR (VW)</v>
      </c>
      <c r="J152" s="9">
        <v>18</v>
      </c>
      <c r="K152" s="9"/>
      <c r="L152" s="9" t="str">
        <f>VLOOKUP(H152,위치!B:D,3,0)</f>
        <v>E2-5</v>
      </c>
      <c r="M152" s="12">
        <v>46232</v>
      </c>
      <c r="N152" s="5" t="s">
        <v>4745</v>
      </c>
      <c r="O152" s="5">
        <v>87119</v>
      </c>
      <c r="P152" s="5">
        <v>1</v>
      </c>
      <c r="Q152" s="14">
        <v>46232</v>
      </c>
      <c r="R152" s="15">
        <f t="shared" si="2"/>
        <v>17</v>
      </c>
    </row>
    <row r="153" spans="2:18" x14ac:dyDescent="0.35">
      <c r="B153" s="9">
        <v>211</v>
      </c>
      <c r="C153" s="9" t="s">
        <v>4747</v>
      </c>
      <c r="D153" s="9"/>
      <c r="E153" s="9" t="s">
        <v>4746</v>
      </c>
      <c r="F153" s="9"/>
      <c r="G153" s="9"/>
      <c r="H153" s="9" t="s">
        <v>2375</v>
      </c>
      <c r="I153" s="11" t="str">
        <f>VLOOKUP(H153,위치!B:C,2,0)</f>
        <v>RA-08V-2662]HOOK CAS CEPH SNSR (R)</v>
      </c>
      <c r="J153" s="9">
        <v>20</v>
      </c>
      <c r="K153" s="9"/>
      <c r="L153" s="9" t="str">
        <f>VLOOKUP(H153,위치!B:D,3,0)</f>
        <v>E2-5</v>
      </c>
      <c r="M153" s="12">
        <v>46232</v>
      </c>
      <c r="N153" s="5" t="s">
        <v>4745</v>
      </c>
      <c r="O153" s="5">
        <v>87119</v>
      </c>
      <c r="P153" s="5">
        <v>1</v>
      </c>
      <c r="Q153" s="14">
        <v>46232</v>
      </c>
      <c r="R153" s="15">
        <f t="shared" si="2"/>
        <v>19</v>
      </c>
    </row>
    <row r="154" spans="2:18" x14ac:dyDescent="0.35">
      <c r="B154" s="9">
        <v>212</v>
      </c>
      <c r="C154" s="9" t="s">
        <v>4747</v>
      </c>
      <c r="D154" s="9"/>
      <c r="E154" s="9" t="s">
        <v>4746</v>
      </c>
      <c r="F154" s="9"/>
      <c r="G154" s="9"/>
      <c r="H154" s="9" t="s">
        <v>2377</v>
      </c>
      <c r="I154" s="11" t="str">
        <f>VLOOKUP(H154,위치!B:C,2,0)</f>
        <v>RA-08V-2663]HOOK CAS CEPH SNSR (L)</v>
      </c>
      <c r="J154" s="9">
        <v>16</v>
      </c>
      <c r="K154" s="9"/>
      <c r="L154" s="9" t="str">
        <f>VLOOKUP(H154,위치!B:D,3,0)</f>
        <v>E2-5</v>
      </c>
      <c r="M154" s="12">
        <v>46232</v>
      </c>
      <c r="N154" s="5" t="s">
        <v>4745</v>
      </c>
      <c r="O154" s="5">
        <v>87119</v>
      </c>
      <c r="P154" s="5">
        <v>1</v>
      </c>
      <c r="Q154" s="14">
        <v>46232</v>
      </c>
      <c r="R154" s="15">
        <f t="shared" si="2"/>
        <v>15</v>
      </c>
    </row>
    <row r="155" spans="2:18" x14ac:dyDescent="0.35">
      <c r="B155" s="9">
        <v>214</v>
      </c>
      <c r="C155" s="9" t="s">
        <v>4747</v>
      </c>
      <c r="D155" s="9"/>
      <c r="E155" s="9" t="s">
        <v>4746</v>
      </c>
      <c r="F155" s="9"/>
      <c r="G155" s="9"/>
      <c r="H155" s="9" t="s">
        <v>2381</v>
      </c>
      <c r="I155" s="11" t="str">
        <f>VLOOKUP(H155,위치!B:C,2,0)</f>
        <v>RA-08V-2665]BRK PUSH VIEWORKS POWER</v>
      </c>
      <c r="J155" s="9">
        <v>17</v>
      </c>
      <c r="K155" s="9"/>
      <c r="L155" s="9" t="str">
        <f>VLOOKUP(H155,위치!B:D,3,0)</f>
        <v>E2-5</v>
      </c>
      <c r="M155" s="12">
        <v>46232</v>
      </c>
      <c r="N155" s="5" t="s">
        <v>4745</v>
      </c>
      <c r="O155" s="5">
        <v>87119</v>
      </c>
      <c r="P155" s="5">
        <v>1</v>
      </c>
      <c r="Q155" s="14">
        <v>46232</v>
      </c>
      <c r="R155" s="15">
        <f t="shared" si="2"/>
        <v>16</v>
      </c>
    </row>
    <row r="156" spans="2:18" x14ac:dyDescent="0.35">
      <c r="B156" s="9">
        <v>215</v>
      </c>
      <c r="C156" s="9" t="s">
        <v>4747</v>
      </c>
      <c r="D156" s="9"/>
      <c r="E156" s="9" t="s">
        <v>4746</v>
      </c>
      <c r="F156" s="9"/>
      <c r="G156" s="9"/>
      <c r="H156" s="9" t="s">
        <v>2383</v>
      </c>
      <c r="I156" s="11" t="str">
        <f>VLOOKUP(H156,위치!B:C,2,0)</f>
        <v>RA-08V-2666]BRK EARLOD FIX A (VW)</v>
      </c>
      <c r="J156" s="9">
        <v>24</v>
      </c>
      <c r="K156" s="9"/>
      <c r="L156" s="9" t="str">
        <f>VLOOKUP(H156,위치!B:D,3,0)</f>
        <v>E2-5</v>
      </c>
      <c r="M156" s="12">
        <v>46232</v>
      </c>
      <c r="N156" s="5" t="s">
        <v>4745</v>
      </c>
      <c r="O156" s="5">
        <v>87119</v>
      </c>
      <c r="P156" s="5">
        <v>1</v>
      </c>
      <c r="Q156" s="14">
        <v>46232</v>
      </c>
      <c r="R156" s="15">
        <f t="shared" si="2"/>
        <v>23</v>
      </c>
    </row>
    <row r="157" spans="2:18" x14ac:dyDescent="0.35">
      <c r="B157" s="9">
        <v>216</v>
      </c>
      <c r="C157" s="9" t="s">
        <v>4747</v>
      </c>
      <c r="D157" s="9"/>
      <c r="E157" s="9" t="s">
        <v>4746</v>
      </c>
      <c r="F157" s="9"/>
      <c r="G157" s="9"/>
      <c r="H157" s="9" t="s">
        <v>2385</v>
      </c>
      <c r="I157" s="11" t="str">
        <f>VLOOKUP(H157,위치!B:C,2,0)</f>
        <v>RA-08V-2667]BRK EARLOD FIX B (VW)</v>
      </c>
      <c r="J157" s="9">
        <v>20</v>
      </c>
      <c r="K157" s="9"/>
      <c r="L157" s="9" t="str">
        <f>VLOOKUP(H157,위치!B:D,3,0)</f>
        <v>E1-5</v>
      </c>
      <c r="M157" s="12">
        <v>46232</v>
      </c>
      <c r="N157" s="5" t="s">
        <v>4745</v>
      </c>
      <c r="O157" s="5">
        <v>87119</v>
      </c>
      <c r="P157" s="5">
        <v>1</v>
      </c>
      <c r="Q157" s="14">
        <v>46232</v>
      </c>
      <c r="R157" s="15">
        <f t="shared" si="2"/>
        <v>19</v>
      </c>
    </row>
    <row r="158" spans="2:18" x14ac:dyDescent="0.35">
      <c r="B158" s="9">
        <v>218</v>
      </c>
      <c r="C158" s="9" t="s">
        <v>4747</v>
      </c>
      <c r="D158" s="9"/>
      <c r="E158" s="9" t="s">
        <v>4746</v>
      </c>
      <c r="F158" s="9"/>
      <c r="G158" s="9"/>
      <c r="H158" s="9" t="s">
        <v>2389</v>
      </c>
      <c r="I158" s="11" t="str">
        <f>VLOOKUP(H158,위치!B:C,2,0)</f>
        <v>RA-08V-2672]BRK SCAN CEPH BOT (VW)</v>
      </c>
      <c r="J158" s="9">
        <v>17</v>
      </c>
      <c r="K158" s="9"/>
      <c r="L158" s="9" t="str">
        <f>VLOOKUP(H158,위치!B:D,3,0)</f>
        <v>E1-5</v>
      </c>
      <c r="M158" s="12">
        <v>46232</v>
      </c>
      <c r="N158" s="5" t="s">
        <v>4745</v>
      </c>
      <c r="O158" s="5">
        <v>87119</v>
      </c>
      <c r="P158" s="5">
        <v>1</v>
      </c>
      <c r="Q158" s="14">
        <v>46232</v>
      </c>
      <c r="R158" s="15">
        <f t="shared" si="2"/>
        <v>16</v>
      </c>
    </row>
    <row r="159" spans="2:18" x14ac:dyDescent="0.35">
      <c r="B159" s="9">
        <v>219</v>
      </c>
      <c r="C159" s="9" t="s">
        <v>4747</v>
      </c>
      <c r="D159" s="9"/>
      <c r="E159" s="9" t="s">
        <v>4746</v>
      </c>
      <c r="F159" s="9"/>
      <c r="G159" s="9"/>
      <c r="H159" s="9" t="s">
        <v>2391</v>
      </c>
      <c r="I159" s="11" t="str">
        <f>VLOOKUP(H159,위치!B:C,2,0)</f>
        <v>RA-08V-2676]BRK MOUNT CEPH ARM (VW)</v>
      </c>
      <c r="J159" s="9">
        <v>22</v>
      </c>
      <c r="K159" s="9"/>
      <c r="L159" s="9" t="str">
        <f>VLOOKUP(H159,위치!B:D,3,0)</f>
        <v>E1-5</v>
      </c>
      <c r="M159" s="12">
        <v>46232</v>
      </c>
      <c r="N159" s="5" t="s">
        <v>4745</v>
      </c>
      <c r="O159" s="5">
        <v>87119</v>
      </c>
      <c r="P159" s="5">
        <v>1</v>
      </c>
      <c r="Q159" s="14">
        <v>46232</v>
      </c>
      <c r="R159" s="15">
        <f t="shared" si="2"/>
        <v>21</v>
      </c>
    </row>
    <row r="160" spans="2:18" x14ac:dyDescent="0.35">
      <c r="B160" s="9">
        <v>220</v>
      </c>
      <c r="C160" s="9" t="s">
        <v>4747</v>
      </c>
      <c r="D160" s="9"/>
      <c r="E160" s="9" t="s">
        <v>4746</v>
      </c>
      <c r="F160" s="9"/>
      <c r="G160" s="9"/>
      <c r="H160" s="12" t="s">
        <v>2393</v>
      </c>
      <c r="I160" s="11" t="str">
        <f>VLOOKUP(H160,위치!B:C,2,0)</f>
        <v>RA-08V-2678]PLT DRUM MOUNT HEADREST (VW)</v>
      </c>
      <c r="J160" s="9">
        <v>17</v>
      </c>
      <c r="K160" s="9"/>
      <c r="L160" s="9" t="str">
        <f>VLOOKUP(H160,위치!B:D,3,0)</f>
        <v>E1-5</v>
      </c>
      <c r="M160" s="12">
        <v>46232</v>
      </c>
      <c r="N160" s="5" t="s">
        <v>4745</v>
      </c>
      <c r="O160" s="5">
        <v>87119</v>
      </c>
      <c r="P160" s="5">
        <v>1</v>
      </c>
      <c r="Q160" s="14">
        <v>46232</v>
      </c>
      <c r="R160" s="15">
        <f t="shared" si="2"/>
        <v>16</v>
      </c>
    </row>
    <row r="161" spans="2:18" x14ac:dyDescent="0.35">
      <c r="B161" s="9">
        <v>221</v>
      </c>
      <c r="C161" s="9" t="s">
        <v>4747</v>
      </c>
      <c r="D161" s="9"/>
      <c r="E161" s="9" t="s">
        <v>4746</v>
      </c>
      <c r="F161" s="9"/>
      <c r="G161" s="9"/>
      <c r="H161" s="9" t="s">
        <v>2395</v>
      </c>
      <c r="I161" s="11" t="str">
        <f>VLOOKUP(H161,위치!B:C,2,0)</f>
        <v>RA-08V-2680]TILT ARM HINGE (VW)</v>
      </c>
      <c r="J161" s="9">
        <v>8</v>
      </c>
      <c r="K161" s="9"/>
      <c r="L161" s="9" t="str">
        <f>VLOOKUP(H161,위치!B:D,3,0)</f>
        <v>E1-5</v>
      </c>
      <c r="M161" s="12">
        <v>46232</v>
      </c>
      <c r="N161" s="5" t="s">
        <v>4745</v>
      </c>
      <c r="O161" s="5">
        <v>87119</v>
      </c>
      <c r="P161" s="5">
        <v>1</v>
      </c>
      <c r="Q161" s="14">
        <v>46232</v>
      </c>
      <c r="R161" s="15">
        <f t="shared" si="2"/>
        <v>7</v>
      </c>
    </row>
    <row r="162" spans="2:18" x14ac:dyDescent="0.35">
      <c r="B162" s="9">
        <v>222</v>
      </c>
      <c r="C162" s="9" t="s">
        <v>4747</v>
      </c>
      <c r="D162" s="9"/>
      <c r="E162" s="9" t="s">
        <v>4746</v>
      </c>
      <c r="F162" s="9"/>
      <c r="G162" s="9"/>
      <c r="H162" s="9" t="s">
        <v>2397</v>
      </c>
      <c r="I162" s="11" t="str">
        <f>VLOOKUP(H162,위치!B:C,2,0)</f>
        <v>RA-08V-2681]PLT STOPPER GUIDE (VW)</v>
      </c>
      <c r="J162" s="9">
        <v>16</v>
      </c>
      <c r="K162" s="9"/>
      <c r="L162" s="9" t="str">
        <f>VLOOKUP(H162,위치!B:D,3,0)</f>
        <v>E1-5</v>
      </c>
      <c r="M162" s="12">
        <v>46232</v>
      </c>
      <c r="N162" s="5" t="s">
        <v>4745</v>
      </c>
      <c r="O162" s="5">
        <v>87119</v>
      </c>
      <c r="P162" s="5">
        <v>1</v>
      </c>
      <c r="Q162" s="14">
        <v>46232</v>
      </c>
      <c r="R162" s="15">
        <f t="shared" si="2"/>
        <v>15</v>
      </c>
    </row>
    <row r="163" spans="2:18" x14ac:dyDescent="0.35">
      <c r="B163" s="9">
        <v>223</v>
      </c>
      <c r="C163" s="9" t="s">
        <v>4747</v>
      </c>
      <c r="D163" s="9"/>
      <c r="E163" s="9" t="s">
        <v>4746</v>
      </c>
      <c r="F163" s="9"/>
      <c r="G163" s="9"/>
      <c r="H163" s="9" t="s">
        <v>2399</v>
      </c>
      <c r="I163" s="11" t="str">
        <f>VLOOKUP(H163,위치!B:C,2,0)</f>
        <v>RA-08V-2683]PLT CEPH ARM FIX (VW)</v>
      </c>
      <c r="J163" s="9">
        <v>20</v>
      </c>
      <c r="K163" s="9"/>
      <c r="L163" s="9" t="str">
        <f>VLOOKUP(H163,위치!B:D,3,0)</f>
        <v>E2-6</v>
      </c>
      <c r="M163" s="12">
        <v>46232</v>
      </c>
      <c r="N163" s="5" t="s">
        <v>4745</v>
      </c>
      <c r="O163" s="5">
        <v>87119</v>
      </c>
      <c r="P163" s="5">
        <v>1</v>
      </c>
      <c r="Q163" s="14">
        <v>46232</v>
      </c>
      <c r="R163" s="15">
        <f t="shared" si="2"/>
        <v>19</v>
      </c>
    </row>
    <row r="164" spans="2:18" x14ac:dyDescent="0.35">
      <c r="B164" s="9">
        <v>224</v>
      </c>
      <c r="C164" s="9" t="s">
        <v>4747</v>
      </c>
      <c r="D164" s="9"/>
      <c r="E164" s="9" t="s">
        <v>4746</v>
      </c>
      <c r="F164" s="9"/>
      <c r="G164" s="9"/>
      <c r="H164" s="9" t="s">
        <v>2402</v>
      </c>
      <c r="I164" s="11" t="str">
        <f>VLOOKUP(H164,위치!B:C,2,0)</f>
        <v>RA-08V-2688]SPACER WASHER HEADREST (VW)</v>
      </c>
      <c r="J164" s="9">
        <v>19</v>
      </c>
      <c r="K164" s="9"/>
      <c r="L164" s="9" t="str">
        <f>VLOOKUP(H164,위치!B:D,3,0)</f>
        <v>E2-6</v>
      </c>
      <c r="M164" s="12">
        <v>46232</v>
      </c>
      <c r="N164" s="5" t="s">
        <v>4745</v>
      </c>
      <c r="O164" s="5">
        <v>87119</v>
      </c>
      <c r="P164" s="5">
        <v>1</v>
      </c>
      <c r="Q164" s="14">
        <v>46232</v>
      </c>
      <c r="R164" s="15">
        <f t="shared" si="2"/>
        <v>18</v>
      </c>
    </row>
    <row r="165" spans="2:18" x14ac:dyDescent="0.35">
      <c r="B165" s="9">
        <v>225</v>
      </c>
      <c r="C165" s="9" t="s">
        <v>4747</v>
      </c>
      <c r="D165" s="9"/>
      <c r="E165" s="9" t="s">
        <v>4746</v>
      </c>
      <c r="F165" s="9"/>
      <c r="G165" s="9"/>
      <c r="H165" s="9" t="s">
        <v>2404</v>
      </c>
      <c r="I165" s="11" t="str">
        <f>VLOOKUP(H165,위치!B:C,2,0)</f>
        <v>RA-08V-2691]HLDR CAS CEPH SNSR BOT (VW)</v>
      </c>
      <c r="J165" s="9">
        <v>17</v>
      </c>
      <c r="K165" s="9"/>
      <c r="L165" s="9" t="str">
        <f>VLOOKUP(H165,위치!B:D,3,0)</f>
        <v>E2-6</v>
      </c>
      <c r="M165" s="12">
        <v>46232</v>
      </c>
      <c r="N165" s="5" t="s">
        <v>4745</v>
      </c>
      <c r="O165" s="5">
        <v>87119</v>
      </c>
      <c r="P165" s="5">
        <v>1</v>
      </c>
      <c r="Q165" s="14">
        <v>46232</v>
      </c>
      <c r="R165" s="15">
        <f t="shared" si="2"/>
        <v>16</v>
      </c>
    </row>
    <row r="166" spans="2:18" x14ac:dyDescent="0.35">
      <c r="B166" s="9">
        <v>226</v>
      </c>
      <c r="C166" s="9" t="s">
        <v>4747</v>
      </c>
      <c r="D166" s="9"/>
      <c r="E166" s="9" t="s">
        <v>4746</v>
      </c>
      <c r="F166" s="9"/>
      <c r="G166" s="9"/>
      <c r="H166" s="9" t="s">
        <v>1624</v>
      </c>
      <c r="I166" s="11" t="str">
        <f>VLOOKUP(H166,위치!B:C,2,0)</f>
        <v>RA-06V-1509]BRK XTRUSION PB COL OCL</v>
      </c>
      <c r="J166" s="9">
        <v>98</v>
      </c>
      <c r="K166" s="9"/>
      <c r="L166" s="9" t="str">
        <f>VLOOKUP(H166,위치!B:D,3,0)</f>
        <v>H4-4</v>
      </c>
      <c r="M166" s="12">
        <v>46232</v>
      </c>
      <c r="N166" s="5" t="s">
        <v>4745</v>
      </c>
      <c r="O166" s="5">
        <v>87119</v>
      </c>
      <c r="P166" s="5">
        <v>1</v>
      </c>
      <c r="Q166" s="14">
        <v>46232</v>
      </c>
      <c r="R166" s="15">
        <f t="shared" si="2"/>
        <v>97</v>
      </c>
    </row>
    <row r="167" spans="2:18" x14ac:dyDescent="0.35">
      <c r="B167" s="9">
        <v>227</v>
      </c>
      <c r="C167" s="9" t="s">
        <v>4747</v>
      </c>
      <c r="D167" s="9"/>
      <c r="E167" s="9" t="s">
        <v>4746</v>
      </c>
      <c r="F167" s="9"/>
      <c r="G167" s="9"/>
      <c r="H167" s="9" t="s">
        <v>2229</v>
      </c>
      <c r="I167" s="11" t="str">
        <f>VLOOKUP(H167,위치!B:C,2,0)</f>
        <v>RA-08S-6076]VIEWORKS, FXRD-1717VA DET</v>
      </c>
      <c r="J167" s="9">
        <v>1</v>
      </c>
      <c r="K167" s="9"/>
      <c r="L167" s="9" t="str">
        <f>VLOOKUP(H167,위치!B:D,3,0)</f>
        <v>A11-1</v>
      </c>
      <c r="M167" s="12">
        <v>46232</v>
      </c>
      <c r="N167" s="5" t="s">
        <v>4745</v>
      </c>
      <c r="O167" s="5">
        <v>87119</v>
      </c>
      <c r="P167" s="5">
        <v>1</v>
      </c>
      <c r="Q167" s="14">
        <v>46232</v>
      </c>
      <c r="R167" s="15">
        <f t="shared" si="2"/>
        <v>0</v>
      </c>
    </row>
    <row r="168" spans="2:18" x14ac:dyDescent="0.35">
      <c r="B168" s="9">
        <v>228</v>
      </c>
      <c r="C168" s="9" t="s">
        <v>4747</v>
      </c>
      <c r="D168" s="9"/>
      <c r="E168" s="9" t="s">
        <v>4746</v>
      </c>
      <c r="F168" s="9"/>
      <c r="G168" s="9"/>
      <c r="H168" s="9" t="s">
        <v>2350</v>
      </c>
      <c r="I168" s="11" t="str">
        <f>VLOOKUP(H168,위치!B:C,2,0)</f>
        <v>RA-08V-1308]HLDR CAS CEPH SNSR BOT (SG)</v>
      </c>
      <c r="J168" s="9">
        <v>100</v>
      </c>
      <c r="K168" s="9"/>
      <c r="L168" s="9" t="str">
        <f>VLOOKUP(H168,위치!B:D,3,0)</f>
        <v>E1-4</v>
      </c>
      <c r="M168" s="12">
        <v>46232</v>
      </c>
      <c r="N168" s="5" t="s">
        <v>4745</v>
      </c>
      <c r="O168" s="5">
        <v>87119</v>
      </c>
      <c r="P168" s="5">
        <v>1</v>
      </c>
      <c r="Q168" s="14">
        <v>46232</v>
      </c>
      <c r="R168" s="15">
        <f t="shared" si="2"/>
        <v>99</v>
      </c>
    </row>
    <row r="169" spans="2:18" x14ac:dyDescent="0.35">
      <c r="B169" s="9">
        <v>230</v>
      </c>
      <c r="C169" s="9" t="s">
        <v>4747</v>
      </c>
      <c r="D169" s="9"/>
      <c r="E169" s="9" t="s">
        <v>4746</v>
      </c>
      <c r="F169" s="9"/>
      <c r="G169" s="9"/>
      <c r="H169" s="9" t="s">
        <v>969</v>
      </c>
      <c r="I169" s="11" t="str">
        <f>VLOOKUP(H169,위치!B:C,2,0)</f>
        <v>RA-04S-0977]SPRING CEPH AND ARM</v>
      </c>
      <c r="J169" s="9">
        <v>400</v>
      </c>
      <c r="K169" s="9"/>
      <c r="L169" s="9" t="str">
        <f>VLOOKUP(H169,위치!B:D,3,0)</f>
        <v>B2-2</v>
      </c>
      <c r="M169" s="12">
        <v>46232</v>
      </c>
      <c r="N169" s="5" t="s">
        <v>4745</v>
      </c>
      <c r="O169" s="5">
        <v>87119</v>
      </c>
      <c r="P169" s="5">
        <v>1</v>
      </c>
      <c r="Q169" s="14">
        <v>46232</v>
      </c>
      <c r="R169" s="15">
        <f t="shared" si="2"/>
        <v>399</v>
      </c>
    </row>
    <row r="170" spans="2:18" x14ac:dyDescent="0.35">
      <c r="B170" s="9">
        <v>231</v>
      </c>
      <c r="C170" s="9" t="s">
        <v>4747</v>
      </c>
      <c r="D170" s="9"/>
      <c r="E170" s="9" t="s">
        <v>4746</v>
      </c>
      <c r="F170" s="9"/>
      <c r="G170" s="9"/>
      <c r="H170" s="9" t="s">
        <v>29</v>
      </c>
      <c r="I170" s="11" t="str">
        <f>VLOOKUP(H170,위치!B:C,2,0)</f>
        <v>C16-626ZZ]BALL B-Ring</v>
      </c>
      <c r="J170" s="9">
        <v>982</v>
      </c>
      <c r="K170" s="9"/>
      <c r="L170" s="9" t="str">
        <f>VLOOKUP(H170,위치!B:D,3,0)</f>
        <v>C1-1</v>
      </c>
      <c r="M170" s="12">
        <v>46232</v>
      </c>
      <c r="N170" s="5" t="s">
        <v>4745</v>
      </c>
      <c r="O170" s="5">
        <v>87119</v>
      </c>
      <c r="P170" s="5">
        <v>1</v>
      </c>
      <c r="Q170" s="14">
        <v>46232</v>
      </c>
      <c r="R170" s="15">
        <f t="shared" si="2"/>
        <v>981</v>
      </c>
    </row>
    <row r="171" spans="2:18" x14ac:dyDescent="0.35">
      <c r="B171" s="9">
        <v>232</v>
      </c>
      <c r="C171" s="9" t="s">
        <v>4747</v>
      </c>
      <c r="D171" s="9"/>
      <c r="E171" s="9" t="s">
        <v>4746</v>
      </c>
      <c r="F171" s="9"/>
      <c r="G171" s="9"/>
      <c r="H171" s="9" t="s">
        <v>51</v>
      </c>
      <c r="I171" s="11" t="str">
        <f>VLOOKUP(H171,위치!B:C,2,0)</f>
        <v>C16-MF128ZZS]BALL B-Ring</v>
      </c>
      <c r="J171" s="9">
        <v>46</v>
      </c>
      <c r="K171" s="9"/>
      <c r="L171" s="9" t="str">
        <f>VLOOKUP(H171,위치!B:D,3,0)</f>
        <v>C1-1</v>
      </c>
      <c r="M171" s="12">
        <v>46232</v>
      </c>
      <c r="N171" s="5" t="s">
        <v>4745</v>
      </c>
      <c r="O171" s="5">
        <v>87119</v>
      </c>
      <c r="P171" s="5">
        <v>1</v>
      </c>
      <c r="Q171" s="14">
        <v>46232</v>
      </c>
      <c r="R171" s="15">
        <f t="shared" si="2"/>
        <v>45</v>
      </c>
    </row>
    <row r="172" spans="2:18" x14ac:dyDescent="0.35">
      <c r="B172" s="9">
        <v>233</v>
      </c>
      <c r="C172" s="9" t="s">
        <v>4747</v>
      </c>
      <c r="D172" s="9"/>
      <c r="E172" s="9" t="s">
        <v>4746</v>
      </c>
      <c r="F172" s="9"/>
      <c r="G172" s="9"/>
      <c r="H172" s="9" t="s">
        <v>2757</v>
      </c>
      <c r="I172" s="11" t="str">
        <f>VLOOKUP(H172,위치!B:C,2,0)</f>
        <v>RA-3-3B]DCM CONTROL-B</v>
      </c>
      <c r="J172" s="9">
        <v>583</v>
      </c>
      <c r="K172" s="9"/>
      <c r="L172" s="9" t="str">
        <f>VLOOKUP(H172,위치!B:D,3,0)</f>
        <v>G2-1</v>
      </c>
      <c r="M172" s="12">
        <v>46232</v>
      </c>
      <c r="N172" s="5" t="s">
        <v>4745</v>
      </c>
      <c r="O172" s="5">
        <v>87119</v>
      </c>
      <c r="P172" s="5">
        <v>1</v>
      </c>
      <c r="Q172" s="14">
        <v>46232</v>
      </c>
      <c r="R172" s="15">
        <f t="shared" si="2"/>
        <v>582</v>
      </c>
    </row>
    <row r="173" spans="2:18" x14ac:dyDescent="0.35">
      <c r="B173" s="9">
        <v>234</v>
      </c>
      <c r="C173" s="9" t="s">
        <v>4747</v>
      </c>
      <c r="D173" s="9"/>
      <c r="E173" s="9" t="s">
        <v>4746</v>
      </c>
      <c r="F173" s="9"/>
      <c r="G173" s="9"/>
      <c r="H173" s="9" t="s">
        <v>4843</v>
      </c>
      <c r="I173" s="11" t="str">
        <f>VLOOKUP(H173,위치!B:C,2,0)</f>
        <v>RA-5-2_2]EARTH CEPH</v>
      </c>
      <c r="J173" s="9">
        <v>125</v>
      </c>
      <c r="K173" s="9"/>
      <c r="L173" s="9" t="str">
        <f>VLOOKUP(H173,위치!B:D,3,0)</f>
        <v>G4</v>
      </c>
      <c r="M173" s="12">
        <v>46232</v>
      </c>
      <c r="N173" s="5" t="s">
        <v>4745</v>
      </c>
      <c r="O173" s="5">
        <v>87119</v>
      </c>
      <c r="P173" s="5">
        <v>1</v>
      </c>
      <c r="Q173" s="14">
        <v>46232</v>
      </c>
      <c r="R173" s="15">
        <f t="shared" si="2"/>
        <v>124</v>
      </c>
    </row>
    <row r="174" spans="2:18" x14ac:dyDescent="0.35">
      <c r="B174" s="9">
        <v>235</v>
      </c>
      <c r="C174" s="9" t="s">
        <v>4747</v>
      </c>
      <c r="D174" s="9"/>
      <c r="E174" s="9" t="s">
        <v>4746</v>
      </c>
      <c r="F174" s="9"/>
      <c r="G174" s="9"/>
      <c r="H174" s="9" t="s">
        <v>2857</v>
      </c>
      <c r="I174" s="11" t="str">
        <f>VLOOKUP(H174,위치!B:C,2,0)</f>
        <v>RA-9-12]SCEPH LAN</v>
      </c>
      <c r="J174" s="9">
        <v>20</v>
      </c>
      <c r="K174" s="9"/>
      <c r="L174" s="9" t="str">
        <f>VLOOKUP(H174,위치!B:D,3,0)</f>
        <v>G3-4</v>
      </c>
      <c r="M174" s="12">
        <v>46232</v>
      </c>
      <c r="N174" s="5" t="s">
        <v>4745</v>
      </c>
      <c r="O174" s="5">
        <v>87119</v>
      </c>
      <c r="P174" s="5">
        <v>1</v>
      </c>
      <c r="Q174" s="14">
        <v>46232</v>
      </c>
      <c r="R174" s="15">
        <f t="shared" si="2"/>
        <v>19</v>
      </c>
    </row>
    <row r="175" spans="2:18" x14ac:dyDescent="0.35">
      <c r="B175" s="9">
        <v>236</v>
      </c>
      <c r="C175" s="9" t="s">
        <v>4747</v>
      </c>
      <c r="D175" s="9"/>
      <c r="E175" s="9" t="s">
        <v>4746</v>
      </c>
      <c r="F175" s="9"/>
      <c r="G175" s="9"/>
      <c r="H175" s="9" t="s">
        <v>2826</v>
      </c>
      <c r="I175" s="11" t="str">
        <f>VLOOKUP(H175,위치!B:C,2,0)</f>
        <v>RA-8-15]OCL SIGNAL(V)</v>
      </c>
      <c r="J175" s="9">
        <v>132</v>
      </c>
      <c r="K175" s="9"/>
      <c r="L175" s="9" t="str">
        <f>VLOOKUP(H175,위치!B:D,3,0)</f>
        <v>G3-3</v>
      </c>
      <c r="M175" s="12">
        <v>46232</v>
      </c>
      <c r="N175" s="5" t="s">
        <v>4745</v>
      </c>
      <c r="O175" s="5">
        <v>87119</v>
      </c>
      <c r="P175" s="5">
        <v>1</v>
      </c>
      <c r="Q175" s="14">
        <v>46232</v>
      </c>
      <c r="R175" s="15">
        <f t="shared" si="2"/>
        <v>131</v>
      </c>
    </row>
    <row r="176" spans="2:18" x14ac:dyDescent="0.35">
      <c r="B176" s="9">
        <v>237</v>
      </c>
      <c r="C176" s="9" t="s">
        <v>4747</v>
      </c>
      <c r="D176" s="9"/>
      <c r="E176" s="9" t="s">
        <v>4746</v>
      </c>
      <c r="F176" s="9"/>
      <c r="G176" s="9"/>
      <c r="H176" s="9" t="s">
        <v>2828</v>
      </c>
      <c r="I176" s="11" t="str">
        <f>VLOOKUP(H176,위치!B:C,2,0)</f>
        <v>RA-8-16]OCL INTERFACE(V)</v>
      </c>
      <c r="J176" s="9">
        <v>233</v>
      </c>
      <c r="K176" s="9"/>
      <c r="L176" s="9" t="str">
        <f>VLOOKUP(H176,위치!B:D,3,0)</f>
        <v>G2-3</v>
      </c>
      <c r="M176" s="12">
        <v>46232</v>
      </c>
      <c r="N176" s="5" t="s">
        <v>4745</v>
      </c>
      <c r="O176" s="5">
        <v>87119</v>
      </c>
      <c r="P176" s="5">
        <v>1</v>
      </c>
      <c r="Q176" s="14">
        <v>46232</v>
      </c>
      <c r="R176" s="15">
        <f t="shared" si="2"/>
        <v>232</v>
      </c>
    </row>
    <row r="177" spans="2:18" x14ac:dyDescent="0.35">
      <c r="B177" s="9">
        <v>238</v>
      </c>
      <c r="C177" s="9" t="s">
        <v>4747</v>
      </c>
      <c r="D177" s="9"/>
      <c r="E177" s="9" t="s">
        <v>4746</v>
      </c>
      <c r="F177" s="9"/>
      <c r="G177" s="9"/>
      <c r="H177" s="9" t="s">
        <v>2831</v>
      </c>
      <c r="I177" s="11" t="str">
        <f>VLOOKUP(H177,위치!B:C,2,0)</f>
        <v>RA-8-17]AC POWER OC(V)</v>
      </c>
      <c r="J177" s="9">
        <v>49</v>
      </c>
      <c r="K177" s="9"/>
      <c r="L177" s="9" t="str">
        <f>VLOOKUP(H177,위치!B:D,3,0)</f>
        <v>G2-3</v>
      </c>
      <c r="M177" s="12">
        <v>46232</v>
      </c>
      <c r="N177" s="5" t="s">
        <v>4745</v>
      </c>
      <c r="O177" s="5">
        <v>87119</v>
      </c>
      <c r="P177" s="5">
        <v>1</v>
      </c>
      <c r="Q177" s="14">
        <v>46232</v>
      </c>
      <c r="R177" s="15">
        <f t="shared" si="2"/>
        <v>48</v>
      </c>
    </row>
    <row r="178" spans="2:18" x14ac:dyDescent="0.35">
      <c r="B178" s="9">
        <v>239</v>
      </c>
      <c r="C178" s="9" t="s">
        <v>4747</v>
      </c>
      <c r="D178" s="9"/>
      <c r="E178" s="9" t="s">
        <v>4746</v>
      </c>
      <c r="F178" s="9"/>
      <c r="G178" s="9"/>
      <c r="H178" s="9" t="s">
        <v>2084</v>
      </c>
      <c r="I178" s="11" t="str">
        <f>VLOOKUP(H178,위치!B:C,2,0)</f>
        <v>RA-08A-0611]ASM EARLOD Mdl</v>
      </c>
      <c r="J178" s="9">
        <v>4</v>
      </c>
      <c r="K178" s="9"/>
      <c r="L178" s="9" t="str">
        <f>VLOOKUP(H178,위치!B:D,3,0)</f>
        <v>E1-6</v>
      </c>
      <c r="M178" s="12">
        <v>46232</v>
      </c>
      <c r="N178" s="5" t="s">
        <v>4745</v>
      </c>
      <c r="O178" s="5">
        <v>87119</v>
      </c>
      <c r="P178" s="5">
        <v>1</v>
      </c>
      <c r="Q178" s="14">
        <v>46232</v>
      </c>
      <c r="R178" s="15">
        <f t="shared" si="2"/>
        <v>3</v>
      </c>
    </row>
    <row r="179" spans="2:18" x14ac:dyDescent="0.35">
      <c r="B179" s="9">
        <v>240</v>
      </c>
      <c r="C179" s="9" t="s">
        <v>4747</v>
      </c>
      <c r="D179" s="9"/>
      <c r="E179" s="9" t="s">
        <v>4746</v>
      </c>
      <c r="F179" s="9"/>
      <c r="G179" s="9"/>
      <c r="H179" s="9" t="s">
        <v>2087</v>
      </c>
      <c r="I179" s="11" t="str">
        <f>VLOOKUP(H179,위치!B:C,2,0)</f>
        <v>RA-08A-0612]ASM _4HEAD Mdl</v>
      </c>
      <c r="J179" s="9">
        <v>1</v>
      </c>
      <c r="K179" s="9"/>
      <c r="L179" s="9" t="str">
        <f>VLOOKUP(H179,위치!B:D,3,0)</f>
        <v>E1-6</v>
      </c>
      <c r="M179" s="12">
        <v>46232</v>
      </c>
      <c r="N179" s="5" t="s">
        <v>4745</v>
      </c>
      <c r="O179" s="5">
        <v>87119</v>
      </c>
      <c r="P179" s="5">
        <v>1</v>
      </c>
      <c r="Q179" s="14">
        <v>46232</v>
      </c>
      <c r="R179" s="15">
        <f t="shared" si="2"/>
        <v>0</v>
      </c>
    </row>
    <row r="180" spans="2:18" x14ac:dyDescent="0.35">
      <c r="B180" s="9">
        <v>241</v>
      </c>
      <c r="C180" s="9" t="s">
        <v>4747</v>
      </c>
      <c r="D180" s="9"/>
      <c r="E180" s="9" t="s">
        <v>4746</v>
      </c>
      <c r="F180" s="9"/>
      <c r="G180" s="9"/>
      <c r="H180" s="9" t="s">
        <v>4844</v>
      </c>
      <c r="I180" s="11">
        <f>VLOOKUP(H180,위치!B:C,2,0)</f>
        <v>0</v>
      </c>
      <c r="J180" s="9">
        <v>9</v>
      </c>
      <c r="K180" s="9"/>
      <c r="L180" s="9">
        <f>VLOOKUP(H180,위치!B:D,3,0)</f>
        <v>0</v>
      </c>
      <c r="M180" s="12">
        <v>46232</v>
      </c>
      <c r="N180" s="5" t="s">
        <v>4745</v>
      </c>
      <c r="O180" s="5">
        <v>87119</v>
      </c>
      <c r="P180" s="5">
        <v>1</v>
      </c>
      <c r="Q180" s="14">
        <v>46232</v>
      </c>
      <c r="R180" s="15">
        <f t="shared" si="2"/>
        <v>8</v>
      </c>
    </row>
    <row r="181" spans="2:18" x14ac:dyDescent="0.35">
      <c r="B181" s="9">
        <v>242</v>
      </c>
      <c r="C181" s="9" t="s">
        <v>4747</v>
      </c>
      <c r="D181" s="9"/>
      <c r="E181" s="9" t="s">
        <v>4746</v>
      </c>
      <c r="F181" s="9"/>
      <c r="G181" s="9"/>
      <c r="H181" s="9" t="s">
        <v>2089</v>
      </c>
      <c r="I181" s="11" t="str">
        <f>VLOOKUP(H181,위치!B:C,2,0)</f>
        <v>RA-08A-0745]ASM OC EARLOD L</v>
      </c>
      <c r="J181" s="9">
        <v>9</v>
      </c>
      <c r="K181" s="9"/>
      <c r="L181" s="9" t="str">
        <f>VLOOKUP(H181,위치!B:D,3,0)</f>
        <v>E1-6</v>
      </c>
      <c r="M181" s="12">
        <v>46232</v>
      </c>
      <c r="N181" s="5" t="s">
        <v>4745</v>
      </c>
      <c r="O181" s="5">
        <v>87119</v>
      </c>
      <c r="P181" s="5">
        <v>1</v>
      </c>
      <c r="Q181" s="14">
        <v>46232</v>
      </c>
      <c r="R181" s="15">
        <f t="shared" si="2"/>
        <v>8</v>
      </c>
    </row>
    <row r="182" spans="2:18" x14ac:dyDescent="0.35">
      <c r="B182" s="9">
        <v>243</v>
      </c>
      <c r="C182" s="9" t="s">
        <v>4747</v>
      </c>
      <c r="D182" s="9"/>
      <c r="E182" s="9" t="s">
        <v>4746</v>
      </c>
      <c r="F182" s="9"/>
      <c r="G182" s="9"/>
      <c r="H182" s="9" t="s">
        <v>2236</v>
      </c>
      <c r="I182" s="11" t="str">
        <f>VLOOKUP(H182,위치!B:C,2,0)</f>
        <v>RA-08T-0632]CAS CEPH _4HEAD BAR</v>
      </c>
      <c r="J182" s="9">
        <v>308</v>
      </c>
      <c r="K182" s="9"/>
      <c r="L182" s="9" t="str">
        <f>VLOOKUP(H182,위치!B:D,3,0)</f>
        <v>S</v>
      </c>
      <c r="M182" s="12">
        <v>46232</v>
      </c>
      <c r="N182" s="5" t="s">
        <v>4745</v>
      </c>
      <c r="O182" s="5">
        <v>87119</v>
      </c>
      <c r="P182" s="5">
        <v>1</v>
      </c>
      <c r="Q182" s="14">
        <v>46232</v>
      </c>
      <c r="R182" s="15">
        <f t="shared" si="2"/>
        <v>307</v>
      </c>
    </row>
    <row r="183" spans="2:18" x14ac:dyDescent="0.35">
      <c r="B183" s="9">
        <v>244</v>
      </c>
      <c r="C183" s="9" t="s">
        <v>4747</v>
      </c>
      <c r="D183" s="9"/>
      <c r="E183" s="9" t="s">
        <v>4746</v>
      </c>
      <c r="F183" s="9"/>
      <c r="G183" s="9"/>
      <c r="H183" s="9" t="s">
        <v>4644</v>
      </c>
      <c r="I183" s="11">
        <f>VLOOKUP(H183,위치!B:C,2,0)</f>
        <v>0</v>
      </c>
      <c r="J183" s="9">
        <v>48</v>
      </c>
      <c r="K183" s="9"/>
      <c r="L183" s="9" t="str">
        <f>VLOOKUP(H183,위치!B:D,3,0)</f>
        <v>1층</v>
      </c>
      <c r="M183" s="12">
        <v>46232</v>
      </c>
      <c r="N183" s="5" t="s">
        <v>4745</v>
      </c>
      <c r="O183" s="5">
        <v>87119</v>
      </c>
      <c r="P183" s="5">
        <v>1</v>
      </c>
      <c r="Q183" s="14">
        <v>46232</v>
      </c>
      <c r="R183" s="15">
        <f t="shared" si="2"/>
        <v>47</v>
      </c>
    </row>
    <row r="184" spans="2:18" x14ac:dyDescent="0.35">
      <c r="B184" s="9">
        <v>245</v>
      </c>
      <c r="C184" s="9" t="s">
        <v>4747</v>
      </c>
      <c r="D184" s="9"/>
      <c r="E184" s="9" t="s">
        <v>4746</v>
      </c>
      <c r="F184" s="9"/>
      <c r="G184" s="9"/>
      <c r="H184" s="9" t="s">
        <v>4646</v>
      </c>
      <c r="I184" s="11">
        <f>VLOOKUP(H184,위치!B:C,2,0)</f>
        <v>0</v>
      </c>
      <c r="J184" s="9">
        <v>2</v>
      </c>
      <c r="K184" s="9"/>
      <c r="L184" s="9" t="str">
        <f>VLOOKUP(H184,위치!B:D,3,0)</f>
        <v>S</v>
      </c>
      <c r="M184" s="12">
        <v>46232</v>
      </c>
      <c r="N184" s="5" t="s">
        <v>4745</v>
      </c>
      <c r="O184" s="5">
        <v>87119</v>
      </c>
      <c r="P184" s="5">
        <v>1</v>
      </c>
      <c r="Q184" s="14">
        <v>46232</v>
      </c>
      <c r="R184" s="15">
        <f t="shared" si="2"/>
        <v>1</v>
      </c>
    </row>
    <row r="185" spans="2:18" x14ac:dyDescent="0.35">
      <c r="B185" s="9">
        <v>246</v>
      </c>
      <c r="C185" s="9" t="s">
        <v>4747</v>
      </c>
      <c r="D185" s="9"/>
      <c r="E185" s="9" t="s">
        <v>4746</v>
      </c>
      <c r="F185" s="9"/>
      <c r="G185" s="9"/>
      <c r="H185" s="9" t="s">
        <v>4845</v>
      </c>
      <c r="I185" s="11" t="str">
        <f>VLOOKUP(H185,위치!B:C,2,0)</f>
        <v>RA-08T-0178]CAS CEPH SNSR BOT</v>
      </c>
      <c r="J185" s="9">
        <v>88</v>
      </c>
      <c r="K185" s="9"/>
      <c r="L185" s="9" t="str">
        <f>VLOOKUP(H185,위치!B:D,3,0)</f>
        <v>V</v>
      </c>
      <c r="M185" s="12">
        <v>46232</v>
      </c>
      <c r="N185" s="5" t="s">
        <v>4745</v>
      </c>
      <c r="O185" s="5">
        <v>87119</v>
      </c>
      <c r="P185" s="5">
        <v>1</v>
      </c>
      <c r="Q185" s="14">
        <v>46232</v>
      </c>
      <c r="R185" s="15">
        <f t="shared" si="2"/>
        <v>87</v>
      </c>
    </row>
    <row r="186" spans="2:18" x14ac:dyDescent="0.35">
      <c r="B186" s="9">
        <v>248</v>
      </c>
      <c r="C186" s="9" t="s">
        <v>4747</v>
      </c>
      <c r="D186" s="9"/>
      <c r="E186" s="9" t="s">
        <v>4746</v>
      </c>
      <c r="F186" s="9"/>
      <c r="G186" s="9"/>
      <c r="H186" s="9" t="s">
        <v>2256</v>
      </c>
      <c r="I186" s="11" t="str">
        <f>VLOOKUP(H186,위치!B:C,2,0)</f>
        <v>RA-08T-2185]CAS CEPH _4HEAD</v>
      </c>
      <c r="J186" s="9">
        <v>178</v>
      </c>
      <c r="K186" s="9"/>
      <c r="L186" s="9" t="str">
        <f>VLOOKUP(H186,위치!B:D,3,0)</f>
        <v>R</v>
      </c>
      <c r="M186" s="12">
        <v>46232</v>
      </c>
      <c r="N186" s="5" t="s">
        <v>4745</v>
      </c>
      <c r="O186" s="5">
        <v>87119</v>
      </c>
      <c r="P186" s="5">
        <v>1</v>
      </c>
      <c r="Q186" s="14">
        <v>46232</v>
      </c>
      <c r="R186" s="15">
        <f t="shared" si="2"/>
        <v>177</v>
      </c>
    </row>
    <row r="187" spans="2:18" x14ac:dyDescent="0.35">
      <c r="B187" s="9">
        <v>249</v>
      </c>
      <c r="C187" s="9" t="s">
        <v>4747</v>
      </c>
      <c r="D187" s="9"/>
      <c r="E187" s="9" t="s">
        <v>4746</v>
      </c>
      <c r="F187" s="9"/>
      <c r="G187" s="9"/>
      <c r="H187" s="9" t="s">
        <v>4648</v>
      </c>
      <c r="I187" s="11">
        <f>VLOOKUP(H187,위치!B:C,2,0)</f>
        <v>0</v>
      </c>
      <c r="J187" s="9">
        <v>23</v>
      </c>
      <c r="K187" s="9"/>
      <c r="L187" s="9" t="str">
        <f>VLOOKUP(H187,위치!B:D,3,0)</f>
        <v>1층</v>
      </c>
      <c r="M187" s="12">
        <v>46232</v>
      </c>
      <c r="N187" s="5" t="s">
        <v>4745</v>
      </c>
      <c r="O187" s="5">
        <v>87119</v>
      </c>
      <c r="P187" s="5">
        <v>1</v>
      </c>
      <c r="Q187" s="14">
        <v>46232</v>
      </c>
      <c r="R187" s="15">
        <f t="shared" si="2"/>
        <v>22</v>
      </c>
    </row>
    <row r="188" spans="2:18" x14ac:dyDescent="0.35">
      <c r="B188" s="9">
        <v>250</v>
      </c>
      <c r="C188" s="9" t="s">
        <v>4747</v>
      </c>
      <c r="D188" s="9"/>
      <c r="E188" s="9" t="s">
        <v>4746</v>
      </c>
      <c r="F188" s="9"/>
      <c r="G188" s="9"/>
      <c r="H188" s="9" t="s">
        <v>2125</v>
      </c>
      <c r="I188" s="11" t="str">
        <f>VLOOKUP(H188,위치!B:C,2,0)</f>
        <v>RA-08M-0619]SHAFT _4HEAD FIX</v>
      </c>
      <c r="J188" s="9">
        <v>221</v>
      </c>
      <c r="K188" s="9"/>
      <c r="L188" s="9" t="str">
        <f>VLOOKUP(H188,위치!B:D,3,0)</f>
        <v>E2-1</v>
      </c>
      <c r="M188" s="12">
        <v>46232</v>
      </c>
      <c r="N188" s="5" t="s">
        <v>4745</v>
      </c>
      <c r="O188" s="5">
        <v>87119</v>
      </c>
      <c r="P188" s="5">
        <v>1</v>
      </c>
      <c r="Q188" s="14">
        <v>46232</v>
      </c>
      <c r="R188" s="15">
        <f t="shared" si="2"/>
        <v>220</v>
      </c>
    </row>
    <row r="189" spans="2:18" x14ac:dyDescent="0.35">
      <c r="B189" s="9">
        <v>252</v>
      </c>
      <c r="C189" s="9" t="s">
        <v>4747</v>
      </c>
      <c r="D189" s="9"/>
      <c r="E189" s="9" t="s">
        <v>4746</v>
      </c>
      <c r="F189" s="9"/>
      <c r="G189" s="9"/>
      <c r="H189" s="9" t="s">
        <v>2132</v>
      </c>
      <c r="I189" s="11" t="str">
        <f>VLOOKUP(H189,위치!B:C,2,0)</f>
        <v>RA-08M-0623]PIN STOPPER</v>
      </c>
      <c r="J189" s="9">
        <v>2</v>
      </c>
      <c r="K189" s="9"/>
      <c r="L189" s="9" t="str">
        <f>VLOOKUP(H189,위치!B:D,3,0)</f>
        <v>E2-1</v>
      </c>
      <c r="M189" s="12">
        <v>46232</v>
      </c>
      <c r="N189" s="5" t="s">
        <v>4745</v>
      </c>
      <c r="O189" s="5">
        <v>87119</v>
      </c>
      <c r="P189" s="5">
        <v>1</v>
      </c>
      <c r="Q189" s="14">
        <v>46232</v>
      </c>
      <c r="R189" s="15">
        <f t="shared" si="2"/>
        <v>1</v>
      </c>
    </row>
    <row r="190" spans="2:18" x14ac:dyDescent="0.35">
      <c r="B190" s="9">
        <v>253</v>
      </c>
      <c r="C190" s="9" t="s">
        <v>4747</v>
      </c>
      <c r="D190" s="9"/>
      <c r="E190" s="9" t="s">
        <v>4746</v>
      </c>
      <c r="F190" s="9"/>
      <c r="G190" s="9"/>
      <c r="H190" s="9" t="s">
        <v>2134</v>
      </c>
      <c r="I190" s="11" t="str">
        <f>VLOOKUP(H190,위치!B:C,2,0)</f>
        <v>RA-08M-0624]BLK CEPH _4HEAD</v>
      </c>
      <c r="J190" s="9">
        <v>300</v>
      </c>
      <c r="K190" s="9"/>
      <c r="L190" s="9" t="str">
        <f>VLOOKUP(H190,위치!B:D,3,0)</f>
        <v>E2-1</v>
      </c>
      <c r="M190" s="12">
        <v>46232</v>
      </c>
      <c r="N190" s="5" t="s">
        <v>4745</v>
      </c>
      <c r="O190" s="5">
        <v>87119</v>
      </c>
      <c r="P190" s="5">
        <v>1</v>
      </c>
      <c r="Q190" s="14">
        <v>46232</v>
      </c>
      <c r="R190" s="15">
        <f t="shared" si="2"/>
        <v>299</v>
      </c>
    </row>
    <row r="191" spans="2:18" x14ac:dyDescent="0.35">
      <c r="B191" s="9">
        <v>254</v>
      </c>
      <c r="C191" s="9" t="s">
        <v>4747</v>
      </c>
      <c r="D191" s="9"/>
      <c r="E191" s="9" t="s">
        <v>4746</v>
      </c>
      <c r="F191" s="9"/>
      <c r="G191" s="9"/>
      <c r="H191" s="9" t="s">
        <v>2136</v>
      </c>
      <c r="I191" s="11" t="str">
        <f>VLOOKUP(H191,위치!B:C,2,0)</f>
        <v>RA-08M-0625]_4M CEPH _4HEAD</v>
      </c>
      <c r="J191" s="9">
        <v>1018</v>
      </c>
      <c r="K191" s="9"/>
      <c r="L191" s="9" t="str">
        <f>VLOOKUP(H191,위치!B:D,3,0)</f>
        <v>E2-1</v>
      </c>
      <c r="M191" s="12">
        <v>46232</v>
      </c>
      <c r="N191" s="5" t="s">
        <v>4745</v>
      </c>
      <c r="O191" s="5">
        <v>87119</v>
      </c>
      <c r="P191" s="5">
        <v>1</v>
      </c>
      <c r="Q191" s="14">
        <v>46232</v>
      </c>
      <c r="R191" s="15">
        <f t="shared" si="2"/>
        <v>1017</v>
      </c>
    </row>
    <row r="192" spans="2:18" x14ac:dyDescent="0.35">
      <c r="B192" s="9">
        <v>255</v>
      </c>
      <c r="C192" s="9" t="s">
        <v>4747</v>
      </c>
      <c r="D192" s="9"/>
      <c r="E192" s="9" t="s">
        <v>4746</v>
      </c>
      <c r="F192" s="9"/>
      <c r="G192" s="9"/>
      <c r="H192" s="9" t="s">
        <v>2145</v>
      </c>
      <c r="I192" s="11" t="str">
        <f>VLOOKUP(H192,위치!B:C,2,0)</f>
        <v>RA-08M-0707]CAP EARLOD</v>
      </c>
      <c r="J192" s="9">
        <v>713</v>
      </c>
      <c r="K192" s="9"/>
      <c r="L192" s="9" t="str">
        <f>VLOOKUP(H192,위치!B:D,3,0)</f>
        <v>E1-1</v>
      </c>
      <c r="M192" s="12">
        <v>46232</v>
      </c>
      <c r="N192" s="5" t="s">
        <v>4745</v>
      </c>
      <c r="O192" s="5">
        <v>87119</v>
      </c>
      <c r="P192" s="5">
        <v>1</v>
      </c>
      <c r="Q192" s="14">
        <v>46232</v>
      </c>
      <c r="R192" s="15">
        <f t="shared" si="2"/>
        <v>712</v>
      </c>
    </row>
    <row r="193" spans="2:18" x14ac:dyDescent="0.35">
      <c r="B193" s="9">
        <v>256</v>
      </c>
      <c r="C193" s="9" t="s">
        <v>4747</v>
      </c>
      <c r="D193" s="9"/>
      <c r="E193" s="9" t="s">
        <v>4746</v>
      </c>
      <c r="F193" s="9"/>
      <c r="G193" s="9"/>
      <c r="H193" s="9" t="s">
        <v>2148</v>
      </c>
      <c r="I193" s="11" t="str">
        <f>VLOOKUP(H193,위치!B:C,2,0)</f>
        <v>RA-08M-0708]RING EARLOD</v>
      </c>
      <c r="J193" s="9">
        <v>597</v>
      </c>
      <c r="K193" s="9"/>
      <c r="L193" s="9" t="str">
        <f>VLOOKUP(H193,위치!B:D,3,0)</f>
        <v>E1-1</v>
      </c>
      <c r="M193" s="12">
        <v>46232</v>
      </c>
      <c r="N193" s="5" t="s">
        <v>4745</v>
      </c>
      <c r="O193" s="5">
        <v>87119</v>
      </c>
      <c r="P193" s="5">
        <v>1</v>
      </c>
      <c r="Q193" s="14">
        <v>46232</v>
      </c>
      <c r="R193" s="15">
        <f t="shared" si="2"/>
        <v>596</v>
      </c>
    </row>
    <row r="194" spans="2:18" x14ac:dyDescent="0.35">
      <c r="B194" s="9">
        <v>257</v>
      </c>
      <c r="C194" s="9" t="s">
        <v>4747</v>
      </c>
      <c r="D194" s="9"/>
      <c r="E194" s="9" t="s">
        <v>4746</v>
      </c>
      <c r="F194" s="9"/>
      <c r="G194" s="9"/>
      <c r="H194" s="9" t="s">
        <v>2150</v>
      </c>
      <c r="I194" s="11" t="str">
        <f>VLOOKUP(H194,위치!B:C,2,0)</f>
        <v>RA-08M-0738]BLK OC _4HEAD FIX</v>
      </c>
      <c r="J194" s="9">
        <v>177</v>
      </c>
      <c r="K194" s="9"/>
      <c r="L194" s="9" t="str">
        <f>VLOOKUP(H194,위치!B:D,3,0)</f>
        <v>E1-2</v>
      </c>
      <c r="M194" s="12">
        <v>46232</v>
      </c>
      <c r="N194" s="5" t="s">
        <v>4745</v>
      </c>
      <c r="O194" s="5">
        <v>87119</v>
      </c>
      <c r="P194" s="5">
        <v>1</v>
      </c>
      <c r="Q194" s="14">
        <v>46232</v>
      </c>
      <c r="R194" s="15">
        <f t="shared" si="2"/>
        <v>176</v>
      </c>
    </row>
    <row r="195" spans="2:18" x14ac:dyDescent="0.35">
      <c r="B195" s="9">
        <v>213</v>
      </c>
      <c r="C195" s="9" t="s">
        <v>4747</v>
      </c>
      <c r="D195" s="9"/>
      <c r="E195" s="9" t="s">
        <v>4746</v>
      </c>
      <c r="F195" s="9"/>
      <c r="G195" s="9"/>
      <c r="H195" s="9" t="s">
        <v>2379</v>
      </c>
      <c r="I195" s="11" t="str">
        <f>VLOOKUP(H195,위치!B:C,2,0)</f>
        <v>RA-08V-2664]HLDR CAS CEPH SNSR (RL) (VW)</v>
      </c>
      <c r="J195" s="9">
        <v>24</v>
      </c>
      <c r="K195" s="9"/>
      <c r="L195" s="9" t="str">
        <f>VLOOKUP(H195,위치!B:D,3,0)</f>
        <v>E2-5</v>
      </c>
      <c r="M195" s="12">
        <v>46232</v>
      </c>
      <c r="N195" s="5" t="s">
        <v>4745</v>
      </c>
      <c r="O195" s="5">
        <v>87119</v>
      </c>
      <c r="P195" s="5">
        <v>2</v>
      </c>
      <c r="Q195" s="14">
        <v>46232</v>
      </c>
      <c r="R195" s="15">
        <f t="shared" si="2"/>
        <v>22</v>
      </c>
    </row>
    <row r="196" spans="2:18" x14ac:dyDescent="0.35">
      <c r="B196" s="9">
        <v>229</v>
      </c>
      <c r="C196" s="9" t="s">
        <v>4747</v>
      </c>
      <c r="D196" s="9"/>
      <c r="E196" s="9" t="s">
        <v>4746</v>
      </c>
      <c r="F196" s="9"/>
      <c r="G196" s="9"/>
      <c r="H196" s="9" t="s">
        <v>40</v>
      </c>
      <c r="I196" s="11" t="str">
        <f>VLOOKUP(H196,위치!B:C,2,0)</f>
        <v>C16-6808ZZ]BALL B-Ring</v>
      </c>
      <c r="J196" s="9">
        <v>12</v>
      </c>
      <c r="K196" s="9"/>
      <c r="L196" s="9" t="str">
        <f>VLOOKUP(H196,위치!B:D,3,0)</f>
        <v>3M1-4</v>
      </c>
      <c r="M196" s="12">
        <v>46232</v>
      </c>
      <c r="N196" s="5" t="s">
        <v>4745</v>
      </c>
      <c r="O196" s="5">
        <v>87119</v>
      </c>
      <c r="P196" s="5">
        <v>2</v>
      </c>
      <c r="Q196" s="14">
        <v>46232</v>
      </c>
      <c r="R196" s="15">
        <f t="shared" si="2"/>
        <v>10</v>
      </c>
    </row>
    <row r="197" spans="2:18" x14ac:dyDescent="0.35">
      <c r="B197" s="9">
        <v>247</v>
      </c>
      <c r="C197" s="9" t="s">
        <v>4747</v>
      </c>
      <c r="D197" s="9"/>
      <c r="E197" s="9" t="s">
        <v>4746</v>
      </c>
      <c r="F197" s="9"/>
      <c r="G197" s="9"/>
      <c r="H197" s="9" t="s">
        <v>2254</v>
      </c>
      <c r="I197" s="11" t="str">
        <f>VLOOKUP(H197,위치!B:C,2,0)</f>
        <v>RA-08T-1466]CAS CEPH EAR-ROD</v>
      </c>
      <c r="J197" s="9">
        <v>335</v>
      </c>
      <c r="K197" s="9"/>
      <c r="L197" s="9" t="str">
        <f>VLOOKUP(H197,위치!B:D,3,0)</f>
        <v>S</v>
      </c>
      <c r="M197" s="12">
        <v>46232</v>
      </c>
      <c r="N197" s="5" t="s">
        <v>4745</v>
      </c>
      <c r="O197" s="5">
        <v>87119</v>
      </c>
      <c r="P197" s="5">
        <v>2</v>
      </c>
      <c r="Q197" s="14">
        <v>46232</v>
      </c>
      <c r="R197" s="15">
        <f t="shared" si="2"/>
        <v>333</v>
      </c>
    </row>
    <row r="198" spans="2:18" x14ac:dyDescent="0.35">
      <c r="B198" s="9">
        <v>251</v>
      </c>
      <c r="C198" s="9" t="s">
        <v>4747</v>
      </c>
      <c r="D198" s="9"/>
      <c r="E198" s="9" t="s">
        <v>4746</v>
      </c>
      <c r="F198" s="9"/>
      <c r="G198" s="9"/>
      <c r="H198" s="9" t="s">
        <v>2130</v>
      </c>
      <c r="I198" s="11" t="str">
        <f>VLOOKUP(H198,위치!B:C,2,0)</f>
        <v>RA-08M-0622]WASHER SCAN CEPH</v>
      </c>
      <c r="J198" s="9">
        <v>232</v>
      </c>
      <c r="K198" s="9"/>
      <c r="L198" s="9" t="str">
        <f>VLOOKUP(H198,위치!B:D,3,0)</f>
        <v>E2-1</v>
      </c>
      <c r="M198" s="12">
        <v>46232</v>
      </c>
      <c r="N198" s="5" t="s">
        <v>4745</v>
      </c>
      <c r="O198" s="5">
        <v>87119</v>
      </c>
      <c r="P198" s="5">
        <v>2</v>
      </c>
      <c r="Q198" s="14">
        <v>46232</v>
      </c>
      <c r="R198" s="15">
        <f t="shared" si="2"/>
        <v>230</v>
      </c>
    </row>
    <row r="199" spans="2:18" x14ac:dyDescent="0.35">
      <c r="B199" s="9">
        <v>204</v>
      </c>
      <c r="C199" s="9" t="s">
        <v>4747</v>
      </c>
      <c r="D199" s="9"/>
      <c r="E199" s="9" t="s">
        <v>4746</v>
      </c>
      <c r="F199" s="9"/>
      <c r="G199" s="9"/>
      <c r="H199" s="9" t="s">
        <v>2290</v>
      </c>
      <c r="I199" s="11" t="str">
        <f>VLOOKUP(H199,위치!B:C,2,0)</f>
        <v>RA-08V-0361]HLDR CAS CEPH SNSR BACK</v>
      </c>
      <c r="J199" s="9">
        <v>98</v>
      </c>
      <c r="K199" s="9"/>
      <c r="L199" s="9" t="str">
        <f>VLOOKUP(H199,위치!B:D,3,0)</f>
        <v>L2-3</v>
      </c>
      <c r="M199" s="12">
        <v>46232</v>
      </c>
      <c r="N199" s="5" t="s">
        <v>4745</v>
      </c>
      <c r="O199" s="5">
        <v>87119</v>
      </c>
      <c r="P199" s="5">
        <v>3</v>
      </c>
      <c r="Q199" s="14">
        <v>46232</v>
      </c>
      <c r="R199" s="15">
        <f t="shared" ref="R199:R262" si="3">J199-P199</f>
        <v>95</v>
      </c>
    </row>
    <row r="200" spans="2:18" x14ac:dyDescent="0.35">
      <c r="B200" s="9">
        <v>217</v>
      </c>
      <c r="C200" s="9" t="s">
        <v>4747</v>
      </c>
      <c r="D200" s="9"/>
      <c r="E200" s="9" t="s">
        <v>4746</v>
      </c>
      <c r="F200" s="9"/>
      <c r="G200" s="9"/>
      <c r="H200" s="9" t="s">
        <v>2387</v>
      </c>
      <c r="I200" s="11" t="str">
        <f>VLOOKUP(H200,위치!B:C,2,0)</f>
        <v>RA-08V-2671]BRK ROT CAS BRIDGE A (VW)</v>
      </c>
      <c r="J200" s="9">
        <v>20</v>
      </c>
      <c r="K200" s="9"/>
      <c r="L200" s="9" t="str">
        <f>VLOOKUP(H200,위치!B:D,3,0)</f>
        <v>E1-5</v>
      </c>
      <c r="M200" s="12">
        <v>46232</v>
      </c>
      <c r="N200" s="5" t="s">
        <v>4745</v>
      </c>
      <c r="O200" s="5">
        <v>87119</v>
      </c>
      <c r="P200" s="5">
        <v>7</v>
      </c>
      <c r="Q200" s="14">
        <v>46232</v>
      </c>
      <c r="R200" s="15">
        <f t="shared" si="3"/>
        <v>13</v>
      </c>
    </row>
    <row r="201" spans="2:18" x14ac:dyDescent="0.35">
      <c r="B201" s="9">
        <v>259</v>
      </c>
      <c r="C201" s="9" t="s">
        <v>4747</v>
      </c>
      <c r="D201" s="9"/>
      <c r="E201" s="9" t="s">
        <v>4746</v>
      </c>
      <c r="F201" s="9"/>
      <c r="G201" s="9"/>
      <c r="H201" s="9" t="s">
        <v>2155</v>
      </c>
      <c r="I201" s="11" t="str">
        <f>VLOOKUP(H201,위치!B:C,2,0)</f>
        <v>RA-08M-0976]CEPH SCALE BAR</v>
      </c>
      <c r="J201" s="9">
        <v>248</v>
      </c>
      <c r="K201" s="9"/>
      <c r="L201" s="9" t="str">
        <f>VLOOKUP(H201,위치!B:D,3,0)</f>
        <v>E1-1</v>
      </c>
      <c r="M201" s="12">
        <v>46232</v>
      </c>
      <c r="N201" s="5" t="s">
        <v>4745</v>
      </c>
      <c r="O201" s="5">
        <v>87119</v>
      </c>
      <c r="P201" s="5">
        <v>1</v>
      </c>
      <c r="Q201" s="14">
        <v>46232</v>
      </c>
      <c r="R201" s="15">
        <f t="shared" si="3"/>
        <v>247</v>
      </c>
    </row>
    <row r="202" spans="2:18" x14ac:dyDescent="0.35">
      <c r="B202" s="9">
        <v>262</v>
      </c>
      <c r="C202" s="9" t="s">
        <v>4747</v>
      </c>
      <c r="D202" s="9"/>
      <c r="E202" s="9" t="s">
        <v>4746</v>
      </c>
      <c r="F202" s="9"/>
      <c r="G202" s="9"/>
      <c r="H202" s="9" t="s">
        <v>2190</v>
      </c>
      <c r="I202" s="11" t="str">
        <f>VLOOKUP(H202,위치!B:C,2,0)</f>
        <v>RA-08M-2670]ARM CEPH BODY (VW)</v>
      </c>
      <c r="J202" s="9">
        <v>8</v>
      </c>
      <c r="K202" s="9"/>
      <c r="L202" s="9" t="str">
        <f>VLOOKUP(H202,위치!B:D,3,0)</f>
        <v>E4-4</v>
      </c>
      <c r="M202" s="12">
        <v>46232</v>
      </c>
      <c r="N202" s="5" t="s">
        <v>4745</v>
      </c>
      <c r="O202" s="5">
        <v>87119</v>
      </c>
      <c r="P202" s="5">
        <v>1</v>
      </c>
      <c r="Q202" s="14">
        <v>46232</v>
      </c>
      <c r="R202" s="15">
        <f t="shared" si="3"/>
        <v>7</v>
      </c>
    </row>
    <row r="203" spans="2:18" x14ac:dyDescent="0.35">
      <c r="B203" s="9">
        <v>258</v>
      </c>
      <c r="C203" s="9" t="s">
        <v>4747</v>
      </c>
      <c r="D203" s="9"/>
      <c r="E203" s="9" t="s">
        <v>4746</v>
      </c>
      <c r="F203" s="9"/>
      <c r="G203" s="9"/>
      <c r="H203" s="9" t="s">
        <v>2152</v>
      </c>
      <c r="I203" s="11" t="str">
        <f>VLOOKUP(H203,위치!B:C,2,0)</f>
        <v>RA-08M-0975]SHAFT ROLLER AXIS</v>
      </c>
      <c r="J203" s="9">
        <v>119</v>
      </c>
      <c r="K203" s="9"/>
      <c r="L203" s="9" t="str">
        <f>VLOOKUP(H203,위치!B:D,3,0)</f>
        <v>E1-2</v>
      </c>
      <c r="M203" s="12">
        <v>46232</v>
      </c>
      <c r="N203" s="5" t="s">
        <v>4745</v>
      </c>
      <c r="O203" s="5">
        <v>87119</v>
      </c>
      <c r="P203" s="5">
        <v>2</v>
      </c>
      <c r="Q203" s="14">
        <v>46232</v>
      </c>
      <c r="R203" s="15">
        <f t="shared" si="3"/>
        <v>117</v>
      </c>
    </row>
    <row r="204" spans="2:18" x14ac:dyDescent="0.35">
      <c r="B204" s="9">
        <v>260</v>
      </c>
      <c r="C204" s="9" t="s">
        <v>4747</v>
      </c>
      <c r="D204" s="9"/>
      <c r="E204" s="9" t="s">
        <v>4746</v>
      </c>
      <c r="F204" s="9"/>
      <c r="G204" s="9"/>
      <c r="H204" s="9" t="s">
        <v>2159</v>
      </c>
      <c r="I204" s="11" t="str">
        <f>VLOOKUP(H204,위치!B:C,2,0)</f>
        <v>RA-08M-1225]STRIPPER BOLT ROLLER</v>
      </c>
      <c r="J204" s="9">
        <v>68</v>
      </c>
      <c r="K204" s="9"/>
      <c r="L204" s="9" t="str">
        <f>VLOOKUP(H204,위치!B:D,3,0)</f>
        <v>E1-1</v>
      </c>
      <c r="M204" s="12">
        <v>46232</v>
      </c>
      <c r="N204" s="5" t="s">
        <v>4745</v>
      </c>
      <c r="O204" s="5">
        <v>87119</v>
      </c>
      <c r="P204" s="5">
        <v>2</v>
      </c>
      <c r="Q204" s="14">
        <v>46232</v>
      </c>
      <c r="R204" s="15">
        <f t="shared" si="3"/>
        <v>66</v>
      </c>
    </row>
    <row r="205" spans="2:18" x14ac:dyDescent="0.35">
      <c r="B205" s="9">
        <v>167</v>
      </c>
      <c r="C205" s="9" t="s">
        <v>4747</v>
      </c>
      <c r="D205" s="9"/>
      <c r="E205" s="9" t="s">
        <v>4825</v>
      </c>
      <c r="F205" s="9"/>
      <c r="G205" s="9"/>
      <c r="H205" s="9" t="s">
        <v>3806</v>
      </c>
      <c r="I205" s="11" t="str">
        <f>VLOOKUP(H205,위치!B:C,2,0)</f>
        <v>RF-01B-5073]DMD FPC Cable</v>
      </c>
      <c r="J205" s="9">
        <v>51</v>
      </c>
      <c r="K205" s="9"/>
      <c r="L205" s="9" t="str">
        <f>VLOOKUP(H205,위치!B:D,3,0)</f>
        <v>A5-3</v>
      </c>
      <c r="M205" s="12">
        <v>46226</v>
      </c>
      <c r="N205" s="5" t="s">
        <v>4745</v>
      </c>
      <c r="O205" s="5">
        <v>84393</v>
      </c>
      <c r="P205" s="5">
        <v>50</v>
      </c>
      <c r="Q205" s="14">
        <v>46226</v>
      </c>
      <c r="R205" s="15">
        <f t="shared" si="3"/>
        <v>1</v>
      </c>
    </row>
    <row r="206" spans="2:18" x14ac:dyDescent="0.35">
      <c r="B206" s="9">
        <v>138</v>
      </c>
      <c r="C206" s="9" t="s">
        <v>4747</v>
      </c>
      <c r="D206" s="9"/>
      <c r="E206" s="9"/>
      <c r="F206" s="9"/>
      <c r="G206" s="9"/>
      <c r="H206" s="9" t="s">
        <v>3917</v>
      </c>
      <c r="I206" s="11" t="str">
        <f>VLOOKUP(H206,위치!B:C,2,0)</f>
        <v>RF-01S-5050]TEETH LENS</v>
      </c>
      <c r="J206" s="9">
        <v>123</v>
      </c>
      <c r="K206" s="9"/>
      <c r="L206" s="9" t="str">
        <f>VLOOKUP(H206,위치!B:D,3,0)</f>
        <v>3L4-2</v>
      </c>
      <c r="M206" s="12">
        <v>46224</v>
      </c>
      <c r="N206" s="5" t="s">
        <v>4745</v>
      </c>
      <c r="O206" s="5">
        <v>84393</v>
      </c>
      <c r="P206" s="5">
        <v>50</v>
      </c>
      <c r="Q206" s="14">
        <v>46226</v>
      </c>
      <c r="R206" s="15">
        <f t="shared" si="3"/>
        <v>73</v>
      </c>
    </row>
    <row r="207" spans="2:18" x14ac:dyDescent="0.35">
      <c r="B207" s="9">
        <v>139</v>
      </c>
      <c r="C207" s="9" t="s">
        <v>4747</v>
      </c>
      <c r="D207" s="9"/>
      <c r="E207" s="9"/>
      <c r="F207" s="9"/>
      <c r="G207" s="9"/>
      <c r="H207" s="9" t="s">
        <v>3887</v>
      </c>
      <c r="I207" s="11" t="str">
        <f>VLOOKUP(H207,위치!B:C,2,0)</f>
        <v>RF-01M-0268]TEETH CAM BLK_HR</v>
      </c>
      <c r="J207" s="9">
        <v>50</v>
      </c>
      <c r="K207" s="9"/>
      <c r="L207" s="9" t="str">
        <f>VLOOKUP(H207,위치!B:D,3,0)</f>
        <v>3S2-1</v>
      </c>
      <c r="M207" s="12">
        <v>46224</v>
      </c>
      <c r="N207" s="5" t="s">
        <v>4745</v>
      </c>
      <c r="O207" s="5">
        <v>84393</v>
      </c>
      <c r="P207" s="5">
        <v>50</v>
      </c>
      <c r="Q207" s="14">
        <v>46226</v>
      </c>
      <c r="R207" s="15">
        <f t="shared" si="3"/>
        <v>0</v>
      </c>
    </row>
    <row r="208" spans="2:18" x14ac:dyDescent="0.35">
      <c r="B208" s="9">
        <v>141</v>
      </c>
      <c r="C208" s="9" t="s">
        <v>4747</v>
      </c>
      <c r="D208" s="9"/>
      <c r="E208" s="9"/>
      <c r="F208" s="9"/>
      <c r="G208" s="9"/>
      <c r="H208" s="9" t="s">
        <v>3925</v>
      </c>
      <c r="I208" s="11" t="str">
        <f>VLOOKUP(H208,위치!B:C,2,0)</f>
        <v>RF-01S-5083]CAM Trigger_L-R harness</v>
      </c>
      <c r="J208" s="9">
        <v>158</v>
      </c>
      <c r="K208" s="9"/>
      <c r="L208" s="9" t="str">
        <f>VLOOKUP(H208,위치!B:D,3,0)</f>
        <v>3L3-3</v>
      </c>
      <c r="M208" s="12">
        <v>46224</v>
      </c>
      <c r="N208" s="5" t="s">
        <v>4745</v>
      </c>
      <c r="O208" s="5">
        <v>84393</v>
      </c>
      <c r="P208" s="5">
        <v>50</v>
      </c>
      <c r="Q208" s="14">
        <v>46226</v>
      </c>
      <c r="R208" s="15">
        <f t="shared" si="3"/>
        <v>108</v>
      </c>
    </row>
    <row r="209" spans="2:18" x14ac:dyDescent="0.35">
      <c r="B209" s="9">
        <v>142</v>
      </c>
      <c r="C209" s="9" t="s">
        <v>4747</v>
      </c>
      <c r="D209" s="9"/>
      <c r="E209" s="9"/>
      <c r="F209" s="9"/>
      <c r="G209" s="9"/>
      <c r="H209" s="9" t="s">
        <v>4006</v>
      </c>
      <c r="I209" s="11" t="str">
        <f>VLOOKUP(H209,위치!B:C,2,0)</f>
        <v>RF-01T-0353]WINDOW LED</v>
      </c>
      <c r="J209" s="21">
        <v>75</v>
      </c>
      <c r="K209" s="21"/>
      <c r="L209" s="9" t="str">
        <f>VLOOKUP(H209,위치!B:D,3,0)</f>
        <v>3E9</v>
      </c>
      <c r="M209" s="12">
        <v>46224</v>
      </c>
      <c r="N209" s="5" t="s">
        <v>4745</v>
      </c>
      <c r="O209" s="5">
        <v>84393</v>
      </c>
      <c r="P209" s="5">
        <v>50</v>
      </c>
      <c r="Q209" s="14">
        <v>46226</v>
      </c>
      <c r="R209" s="15">
        <f t="shared" si="3"/>
        <v>25</v>
      </c>
    </row>
    <row r="210" spans="2:18" x14ac:dyDescent="0.35">
      <c r="B210" s="9">
        <v>144</v>
      </c>
      <c r="C210" s="9" t="s">
        <v>4747</v>
      </c>
      <c r="D210" s="9"/>
      <c r="E210" s="9"/>
      <c r="F210" s="9"/>
      <c r="G210" s="9"/>
      <c r="H210" s="9" t="s">
        <v>3795</v>
      </c>
      <c r="I210" s="11" t="str">
        <f>VLOOKUP(H210,위치!B:C,2,0)</f>
        <v>RF-01B-5037] LED SIDE BOARD_REV2</v>
      </c>
      <c r="J210" s="21">
        <v>208</v>
      </c>
      <c r="K210" s="21"/>
      <c r="L210" s="9" t="str">
        <f>VLOOKUP(H210,위치!B:D,3,0)</f>
        <v>A5-4</v>
      </c>
      <c r="M210" s="12">
        <v>46224</v>
      </c>
      <c r="N210" s="5" t="s">
        <v>4745</v>
      </c>
      <c r="O210" s="5">
        <v>84393</v>
      </c>
      <c r="P210" s="5">
        <v>50</v>
      </c>
      <c r="Q210" s="14">
        <v>46226</v>
      </c>
      <c r="R210" s="15">
        <f t="shared" si="3"/>
        <v>158</v>
      </c>
    </row>
    <row r="211" spans="2:18" x14ac:dyDescent="0.35">
      <c r="B211" s="9">
        <v>146</v>
      </c>
      <c r="C211" s="9" t="s">
        <v>4747</v>
      </c>
      <c r="D211" s="9"/>
      <c r="E211" s="9"/>
      <c r="F211" s="9"/>
      <c r="G211" s="9"/>
      <c r="H211" s="9" t="s">
        <v>3966</v>
      </c>
      <c r="I211" s="11" t="str">
        <f>VLOOKUP(H211,위치!B:C,2,0)</f>
        <v>RF-01T-0173]ARM CVR REAR DECO</v>
      </c>
      <c r="J211" s="21">
        <v>190</v>
      </c>
      <c r="K211" s="21"/>
      <c r="L211" s="9" t="str">
        <f>VLOOKUP(H211,위치!B:D,3,0)</f>
        <v>3B8</v>
      </c>
      <c r="M211" s="12">
        <v>46224</v>
      </c>
      <c r="N211" s="5" t="s">
        <v>4745</v>
      </c>
      <c r="O211" s="5">
        <v>84393</v>
      </c>
      <c r="P211" s="5">
        <v>50</v>
      </c>
      <c r="Q211" s="14">
        <v>46226</v>
      </c>
      <c r="R211" s="15">
        <f t="shared" si="3"/>
        <v>140</v>
      </c>
    </row>
    <row r="212" spans="2:18" x14ac:dyDescent="0.35">
      <c r="B212" s="9">
        <v>147</v>
      </c>
      <c r="C212" s="9" t="s">
        <v>4747</v>
      </c>
      <c r="D212" s="9"/>
      <c r="E212" s="9"/>
      <c r="F212" s="9"/>
      <c r="G212" s="9"/>
      <c r="H212" s="9" t="s">
        <v>4012</v>
      </c>
      <c r="I212" s="11" t="str">
        <f>VLOOKUP(H212,위치!B:C,2,0)</f>
        <v>RF-01T-0356]RUBBER CAP ARM</v>
      </c>
      <c r="J212" s="21">
        <v>159</v>
      </c>
      <c r="K212" s="21"/>
      <c r="L212" s="9" t="str">
        <f>VLOOKUP(H212,위치!B:D,3,0)</f>
        <v>3L4-2</v>
      </c>
      <c r="M212" s="12">
        <v>46224</v>
      </c>
      <c r="N212" s="5" t="s">
        <v>4745</v>
      </c>
      <c r="O212" s="5">
        <v>84393</v>
      </c>
      <c r="P212" s="5">
        <v>50</v>
      </c>
      <c r="Q212" s="14">
        <v>46226</v>
      </c>
      <c r="R212" s="15">
        <f t="shared" si="3"/>
        <v>109</v>
      </c>
    </row>
    <row r="213" spans="2:18" x14ac:dyDescent="0.35">
      <c r="B213" s="9">
        <v>168</v>
      </c>
      <c r="C213" s="9" t="s">
        <v>4747</v>
      </c>
      <c r="D213" s="9"/>
      <c r="E213" s="9" t="s">
        <v>4746</v>
      </c>
      <c r="F213" s="9"/>
      <c r="G213" s="9"/>
      <c r="H213" s="9" t="s">
        <v>4826</v>
      </c>
      <c r="I213" s="11">
        <f>VLOOKUP(H213,위치!B:C,2,0)</f>
        <v>0</v>
      </c>
      <c r="J213" s="9">
        <v>50</v>
      </c>
      <c r="K213" s="9"/>
      <c r="L213" s="9" t="str">
        <f>VLOOKUP(H213,위치!B:D,3,0)</f>
        <v>3F10</v>
      </c>
      <c r="M213" s="12">
        <v>46226</v>
      </c>
      <c r="N213" s="5" t="s">
        <v>4745</v>
      </c>
      <c r="O213" s="5">
        <v>84393</v>
      </c>
      <c r="P213" s="5">
        <v>50</v>
      </c>
      <c r="Q213" s="14">
        <v>46226</v>
      </c>
      <c r="R213" s="15">
        <f t="shared" si="3"/>
        <v>0</v>
      </c>
    </row>
    <row r="214" spans="2:18" x14ac:dyDescent="0.35">
      <c r="B214" s="9">
        <v>135</v>
      </c>
      <c r="C214" s="9" t="s">
        <v>4747</v>
      </c>
      <c r="D214" s="9"/>
      <c r="E214" s="9"/>
      <c r="F214" s="9"/>
      <c r="G214" s="9"/>
      <c r="H214" s="9" t="s">
        <v>4736</v>
      </c>
      <c r="I214" s="11">
        <f>VLOOKUP(H214,위치!B:C,2,0)</f>
        <v>0</v>
      </c>
      <c r="J214" s="9">
        <v>59</v>
      </c>
      <c r="K214" s="9"/>
      <c r="L214" s="9" t="str">
        <f>VLOOKUP(H214,위치!B:D,3,0)</f>
        <v>3F2</v>
      </c>
      <c r="M214" s="12">
        <v>46224</v>
      </c>
      <c r="N214" s="5" t="s">
        <v>4745</v>
      </c>
      <c r="O214" s="5">
        <v>84393</v>
      </c>
      <c r="P214" s="5">
        <v>59</v>
      </c>
      <c r="Q214" s="14">
        <v>46226</v>
      </c>
      <c r="R214" s="15">
        <f t="shared" si="3"/>
        <v>0</v>
      </c>
    </row>
    <row r="215" spans="2:18" x14ac:dyDescent="0.35">
      <c r="B215" s="9">
        <v>1</v>
      </c>
      <c r="C215" s="9" t="s">
        <v>4747</v>
      </c>
      <c r="D215" s="9"/>
      <c r="E215" s="9" t="s">
        <v>4746</v>
      </c>
      <c r="F215" s="9"/>
      <c r="G215" s="9"/>
      <c r="H215" s="10" t="s">
        <v>3885</v>
      </c>
      <c r="I215" s="11" t="str">
        <f>VLOOKUP(H215,위치!B:C,2,0)</f>
        <v>USB HOLDER FRONT</v>
      </c>
      <c r="J215" s="9">
        <v>172</v>
      </c>
      <c r="K215" s="9"/>
      <c r="L215" s="9" t="str">
        <f>VLOOKUP(H215,위치!B:D,3,0)</f>
        <v>3L4-4</v>
      </c>
      <c r="M215" s="12">
        <v>46224</v>
      </c>
      <c r="N215" s="5" t="s">
        <v>4745</v>
      </c>
      <c r="O215" s="5">
        <v>84393</v>
      </c>
      <c r="P215" s="5">
        <v>100</v>
      </c>
      <c r="Q215" s="14">
        <v>46224</v>
      </c>
      <c r="R215" s="15">
        <f t="shared" si="3"/>
        <v>72</v>
      </c>
    </row>
    <row r="216" spans="2:18" x14ac:dyDescent="0.35">
      <c r="B216" s="9">
        <v>2</v>
      </c>
      <c r="C216" s="9" t="s">
        <v>4747</v>
      </c>
      <c r="D216" s="9"/>
      <c r="E216" s="9" t="s">
        <v>4746</v>
      </c>
      <c r="F216" s="9"/>
      <c r="G216" s="9"/>
      <c r="H216" s="9" t="s">
        <v>4030</v>
      </c>
      <c r="I216" s="11" t="str">
        <f>VLOOKUP(H216,위치!B:C,2,0)</f>
        <v>RF-01V-0293]BRK USB HLDR</v>
      </c>
      <c r="J216" s="9">
        <v>100</v>
      </c>
      <c r="K216" s="9"/>
      <c r="L216" s="9" t="str">
        <f>VLOOKUP(H216,위치!B:D,3,0)</f>
        <v>3L18-1</v>
      </c>
      <c r="M216" s="12">
        <v>46224</v>
      </c>
      <c r="N216" s="5" t="s">
        <v>4745</v>
      </c>
      <c r="O216" s="5">
        <v>84393</v>
      </c>
      <c r="P216" s="5">
        <v>100</v>
      </c>
      <c r="Q216" s="14">
        <v>46224</v>
      </c>
      <c r="R216" s="15">
        <f t="shared" si="3"/>
        <v>0</v>
      </c>
    </row>
    <row r="217" spans="2:18" x14ac:dyDescent="0.35">
      <c r="B217" s="9">
        <v>3</v>
      </c>
      <c r="C217" s="9" t="s">
        <v>4747</v>
      </c>
      <c r="D217" s="9"/>
      <c r="E217" s="9" t="s">
        <v>4746</v>
      </c>
      <c r="F217" s="9"/>
      <c r="G217" s="9"/>
      <c r="H217" s="9" t="s">
        <v>3982</v>
      </c>
      <c r="I217" s="11" t="str">
        <f>VLOOKUP(H217,위치!B:C,2,0)</f>
        <v>RF-01T-0190]CVR FRONT</v>
      </c>
      <c r="J217" s="9">
        <v>141</v>
      </c>
      <c r="K217" s="9"/>
      <c r="L217" s="9" t="str">
        <f>VLOOKUP(H217,위치!B:D,3,0)</f>
        <v>3F4</v>
      </c>
      <c r="M217" s="12">
        <v>46224</v>
      </c>
      <c r="N217" s="5" t="s">
        <v>4745</v>
      </c>
      <c r="O217" s="5">
        <v>84393</v>
      </c>
      <c r="P217" s="5">
        <v>50</v>
      </c>
      <c r="Q217" s="14">
        <v>46224</v>
      </c>
      <c r="R217" s="15">
        <f t="shared" si="3"/>
        <v>91</v>
      </c>
    </row>
    <row r="218" spans="2:18" x14ac:dyDescent="0.35">
      <c r="B218" s="9">
        <v>4</v>
      </c>
      <c r="C218" s="9" t="s">
        <v>4747</v>
      </c>
      <c r="D218" s="9"/>
      <c r="E218" s="9" t="s">
        <v>4746</v>
      </c>
      <c r="F218" s="9"/>
      <c r="G218" s="9"/>
      <c r="H218" s="9" t="s">
        <v>3999</v>
      </c>
      <c r="I218" s="11" t="str">
        <f>VLOOKUP(H218,위치!B:C,2,0)</f>
        <v>RF-01T-0255]CVR FRONT MID R</v>
      </c>
      <c r="J218" s="9">
        <v>209</v>
      </c>
      <c r="K218" s="9"/>
      <c r="L218" s="9" t="str">
        <f>VLOOKUP(H218,위치!B:D,3,0)</f>
        <v>3L3-1</v>
      </c>
      <c r="M218" s="12">
        <v>46224</v>
      </c>
      <c r="N218" s="5" t="s">
        <v>4745</v>
      </c>
      <c r="O218" s="5">
        <v>84393</v>
      </c>
      <c r="P218" s="5">
        <v>50</v>
      </c>
      <c r="Q218" s="14">
        <v>46224</v>
      </c>
      <c r="R218" s="15">
        <f t="shared" si="3"/>
        <v>159</v>
      </c>
    </row>
    <row r="219" spans="2:18" x14ac:dyDescent="0.35">
      <c r="B219" s="9">
        <v>5</v>
      </c>
      <c r="C219" s="9" t="s">
        <v>4747</v>
      </c>
      <c r="D219" s="9"/>
      <c r="E219" s="9" t="s">
        <v>4746</v>
      </c>
      <c r="F219" s="9"/>
      <c r="G219" s="9"/>
      <c r="H219" s="9" t="s">
        <v>3991</v>
      </c>
      <c r="I219" s="11" t="str">
        <f>VLOOKUP(H219,위치!B:C,2,0)</f>
        <v>RF-01T-0210]CVR FRONT MID L</v>
      </c>
      <c r="J219" s="9">
        <v>209</v>
      </c>
      <c r="K219" s="9"/>
      <c r="L219" s="9" t="str">
        <f>VLOOKUP(H219,위치!B:D,3,0)</f>
        <v>3L3-1</v>
      </c>
      <c r="M219" s="12">
        <v>46224</v>
      </c>
      <c r="N219" s="5" t="s">
        <v>4745</v>
      </c>
      <c r="O219" s="5">
        <v>84393</v>
      </c>
      <c r="P219" s="5">
        <v>50</v>
      </c>
      <c r="Q219" s="14">
        <v>46224</v>
      </c>
      <c r="R219" s="15">
        <f t="shared" si="3"/>
        <v>159</v>
      </c>
    </row>
    <row r="220" spans="2:18" x14ac:dyDescent="0.35">
      <c r="B220" s="9">
        <v>6</v>
      </c>
      <c r="C220" s="9" t="s">
        <v>4747</v>
      </c>
      <c r="D220" s="9"/>
      <c r="E220" s="9" t="s">
        <v>4746</v>
      </c>
      <c r="F220" s="9"/>
      <c r="G220" s="9"/>
      <c r="H220" s="9" t="s">
        <v>4017</v>
      </c>
      <c r="I220" s="11" t="str">
        <f>VLOOKUP(H220,위치!B:C,2,0)</f>
        <v>RF-01V-0208]FRONT FRM</v>
      </c>
      <c r="J220" s="9">
        <v>151</v>
      </c>
      <c r="K220" s="9"/>
      <c r="L220" s="9" t="str">
        <f>VLOOKUP(H220,위치!B:D,3,0)</f>
        <v>3C10</v>
      </c>
      <c r="M220" s="12">
        <v>46224</v>
      </c>
      <c r="N220" s="5" t="s">
        <v>4745</v>
      </c>
      <c r="O220" s="5">
        <v>84393</v>
      </c>
      <c r="P220" s="5">
        <v>50</v>
      </c>
      <c r="Q220" s="14">
        <v>46224</v>
      </c>
      <c r="R220" s="15">
        <f t="shared" si="3"/>
        <v>101</v>
      </c>
    </row>
    <row r="221" spans="2:18" x14ac:dyDescent="0.35">
      <c r="B221" s="9">
        <v>7</v>
      </c>
      <c r="C221" s="9" t="s">
        <v>4747</v>
      </c>
      <c r="D221" s="9"/>
      <c r="E221" s="9" t="s">
        <v>4746</v>
      </c>
      <c r="F221" s="9"/>
      <c r="G221" s="9"/>
      <c r="H221" s="9" t="s">
        <v>3793</v>
      </c>
      <c r="I221" s="11" t="str">
        <f>VLOOKUP(H221,위치!B:C,2,0)</f>
        <v>RF-01B-5036] LED CENTER BOARD</v>
      </c>
      <c r="J221" s="9">
        <v>467</v>
      </c>
      <c r="K221" s="9"/>
      <c r="L221" s="9" t="str">
        <f>VLOOKUP(H221,위치!B:D,3,0)</f>
        <v>A16</v>
      </c>
      <c r="M221" s="12">
        <v>46224</v>
      </c>
      <c r="N221" s="5" t="s">
        <v>4745</v>
      </c>
      <c r="O221" s="5">
        <v>84393</v>
      </c>
      <c r="P221" s="5">
        <v>50</v>
      </c>
      <c r="Q221" s="14">
        <v>46224</v>
      </c>
      <c r="R221" s="15">
        <f t="shared" si="3"/>
        <v>417</v>
      </c>
    </row>
    <row r="222" spans="2:18" x14ac:dyDescent="0.35">
      <c r="B222" s="9">
        <v>8</v>
      </c>
      <c r="C222" s="9" t="s">
        <v>4747</v>
      </c>
      <c r="D222" s="9"/>
      <c r="E222" s="9" t="s">
        <v>4746</v>
      </c>
      <c r="F222" s="9"/>
      <c r="G222" s="9"/>
      <c r="H222" s="9" t="s">
        <v>3873</v>
      </c>
      <c r="I222" s="11" t="str">
        <f>VLOOKUP(H222,위치!B:C,2,0)</f>
        <v>RF-01M-0200]MIRROR PLT</v>
      </c>
      <c r="J222" s="9">
        <v>110</v>
      </c>
      <c r="K222" s="9"/>
      <c r="L222" s="9" t="str">
        <f>VLOOKUP(H222,위치!B:D,3,0)</f>
        <v>3L4-3</v>
      </c>
      <c r="M222" s="12">
        <v>46224</v>
      </c>
      <c r="N222" s="5" t="s">
        <v>4745</v>
      </c>
      <c r="O222" s="5">
        <v>84393</v>
      </c>
      <c r="P222" s="5">
        <v>50</v>
      </c>
      <c r="Q222" s="14">
        <v>46224</v>
      </c>
      <c r="R222" s="15">
        <f t="shared" si="3"/>
        <v>60</v>
      </c>
    </row>
    <row r="223" spans="2:18" x14ac:dyDescent="0.35">
      <c r="B223" s="9">
        <v>9</v>
      </c>
      <c r="C223" s="9" t="s">
        <v>4747</v>
      </c>
      <c r="D223" s="9"/>
      <c r="E223" s="9" t="s">
        <v>4746</v>
      </c>
      <c r="F223" s="9"/>
      <c r="G223" s="9"/>
      <c r="H223" s="9" t="s">
        <v>3813</v>
      </c>
      <c r="I223" s="11" t="str">
        <f>VLOOKUP(H223,위치!B:C,2,0)</f>
        <v>RF-01G-0252]MOLDING FRONT MIRROR</v>
      </c>
      <c r="J223" s="9">
        <v>1071</v>
      </c>
      <c r="K223" s="9"/>
      <c r="L223" s="9" t="str">
        <f>VLOOKUP(H223,위치!B:D,3,0)</f>
        <v>3S3-1</v>
      </c>
      <c r="M223" s="12">
        <v>46224</v>
      </c>
      <c r="N223" s="5" t="s">
        <v>4745</v>
      </c>
      <c r="O223" s="5">
        <v>84393</v>
      </c>
      <c r="P223" s="5">
        <v>50</v>
      </c>
      <c r="Q223" s="14">
        <v>46224</v>
      </c>
      <c r="R223" s="15">
        <f t="shared" si="3"/>
        <v>1021</v>
      </c>
    </row>
    <row r="224" spans="2:18" x14ac:dyDescent="0.35">
      <c r="B224" s="9">
        <v>10</v>
      </c>
      <c r="C224" s="9" t="s">
        <v>4747</v>
      </c>
      <c r="D224" s="9"/>
      <c r="E224" s="9" t="s">
        <v>4746</v>
      </c>
      <c r="F224" s="9"/>
      <c r="G224" s="9"/>
      <c r="H224" s="9" t="s">
        <v>3929</v>
      </c>
      <c r="I224" s="11" t="str">
        <f>VLOOKUP(H224,위치!B:C,2,0)</f>
        <v>RF-01S-5085]FACE CAM</v>
      </c>
      <c r="J224" s="9">
        <v>107</v>
      </c>
      <c r="K224" s="9"/>
      <c r="L224" s="9" t="str">
        <f>VLOOKUP(H224,위치!B:D,3,0)</f>
        <v>3F9</v>
      </c>
      <c r="M224" s="12">
        <v>46224</v>
      </c>
      <c r="N224" s="5" t="s">
        <v>4745</v>
      </c>
      <c r="O224" s="5">
        <v>84393</v>
      </c>
      <c r="P224" s="5">
        <v>50</v>
      </c>
      <c r="Q224" s="14">
        <v>46224</v>
      </c>
      <c r="R224" s="15">
        <f t="shared" si="3"/>
        <v>57</v>
      </c>
    </row>
    <row r="225" spans="2:18" x14ac:dyDescent="0.35">
      <c r="B225" s="9">
        <v>11</v>
      </c>
      <c r="C225" s="9" t="s">
        <v>4747</v>
      </c>
      <c r="D225" s="9"/>
      <c r="E225" s="9" t="s">
        <v>4746</v>
      </c>
      <c r="F225" s="9"/>
      <c r="G225" s="9"/>
      <c r="H225" s="9" t="s">
        <v>4733</v>
      </c>
      <c r="I225" s="11" t="str">
        <f>VLOOKUP(H225,위치!B:C,2,0)</f>
        <v>RF-01T-0160_C]Bas BOT LWR</v>
      </c>
      <c r="J225" s="9">
        <v>95</v>
      </c>
      <c r="K225" s="9"/>
      <c r="L225" s="9" t="str">
        <f>VLOOKUP(H225,위치!B:D,3,0)</f>
        <v>3B6</v>
      </c>
      <c r="M225" s="12">
        <v>46224</v>
      </c>
      <c r="N225" s="5" t="s">
        <v>4745</v>
      </c>
      <c r="O225" s="5">
        <v>84393</v>
      </c>
      <c r="P225" s="5">
        <v>50</v>
      </c>
      <c r="Q225" s="14">
        <v>46224</v>
      </c>
      <c r="R225" s="15">
        <f t="shared" si="3"/>
        <v>45</v>
      </c>
    </row>
    <row r="226" spans="2:18" x14ac:dyDescent="0.35">
      <c r="B226" s="9">
        <v>12</v>
      </c>
      <c r="C226" s="9" t="s">
        <v>4747</v>
      </c>
      <c r="D226" s="9"/>
      <c r="E226" s="9" t="s">
        <v>4746</v>
      </c>
      <c r="F226" s="9"/>
      <c r="G226" s="9"/>
      <c r="H226" s="9" t="s">
        <v>3908</v>
      </c>
      <c r="I226" s="11" t="str">
        <f>VLOOKUP(H226,위치!B:C,2,0)</f>
        <v>RF-01S-0251]CAL Mgnet</v>
      </c>
      <c r="J226" s="9">
        <v>43</v>
      </c>
      <c r="K226" s="9"/>
      <c r="L226" s="9" t="str">
        <f>VLOOKUP(H226,위치!B:D,3,0)</f>
        <v>3L4-3</v>
      </c>
      <c r="M226" s="12">
        <v>46224</v>
      </c>
      <c r="N226" s="5" t="s">
        <v>4745</v>
      </c>
      <c r="O226" s="5">
        <v>84393</v>
      </c>
      <c r="P226" s="5">
        <v>43</v>
      </c>
      <c r="Q226" s="14">
        <v>46224</v>
      </c>
      <c r="R226" s="15">
        <f t="shared" si="3"/>
        <v>0</v>
      </c>
    </row>
    <row r="227" spans="2:18" x14ac:dyDescent="0.35">
      <c r="B227" s="9">
        <v>13</v>
      </c>
      <c r="C227" s="9" t="s">
        <v>4747</v>
      </c>
      <c r="D227" s="9"/>
      <c r="E227" s="9" t="s">
        <v>4746</v>
      </c>
      <c r="F227" s="9"/>
      <c r="G227" s="9"/>
      <c r="H227" s="9" t="s">
        <v>3811</v>
      </c>
      <c r="I227" s="11" t="str">
        <f>VLOOKUP(H227,위치!B:C,2,0)</f>
        <v>RF-01G-0168]BOT RUBBER</v>
      </c>
      <c r="J227" s="9">
        <v>535</v>
      </c>
      <c r="K227" s="9"/>
      <c r="L227" s="9" t="str">
        <f>VLOOKUP(H227,위치!B:D,3,0)</f>
        <v>3S3-1</v>
      </c>
      <c r="M227" s="12">
        <v>46224</v>
      </c>
      <c r="N227" s="5" t="s">
        <v>4745</v>
      </c>
      <c r="O227" s="5">
        <v>84393</v>
      </c>
      <c r="P227" s="5">
        <v>300</v>
      </c>
      <c r="Q227" s="14">
        <v>46224</v>
      </c>
      <c r="R227" s="15">
        <f t="shared" si="3"/>
        <v>235</v>
      </c>
    </row>
    <row r="228" spans="2:18" x14ac:dyDescent="0.35">
      <c r="B228" s="9">
        <v>14</v>
      </c>
      <c r="C228" s="9" t="s">
        <v>4747</v>
      </c>
      <c r="D228" s="9"/>
      <c r="E228" s="9" t="s">
        <v>4746</v>
      </c>
      <c r="F228" s="9"/>
      <c r="G228" s="9"/>
      <c r="H228" s="9" t="s">
        <v>3791</v>
      </c>
      <c r="I228" s="11" t="str">
        <f>VLOOKUP(H228,위치!B:C,2,0)</f>
        <v>RF-01B-5035]CONNECTOR Bd</v>
      </c>
      <c r="J228" s="9">
        <v>237</v>
      </c>
      <c r="K228" s="9"/>
      <c r="L228" s="9" t="str">
        <f>VLOOKUP(H228,위치!B:D,3,0)</f>
        <v>A4-3</v>
      </c>
      <c r="M228" s="12">
        <v>46224</v>
      </c>
      <c r="N228" s="5" t="s">
        <v>4745</v>
      </c>
      <c r="O228" s="5">
        <v>84393</v>
      </c>
      <c r="P228" s="5">
        <v>50</v>
      </c>
      <c r="Q228" s="14">
        <v>46224</v>
      </c>
      <c r="R228" s="15">
        <f t="shared" si="3"/>
        <v>187</v>
      </c>
    </row>
    <row r="229" spans="2:18" x14ac:dyDescent="0.35">
      <c r="B229" s="9">
        <v>15</v>
      </c>
      <c r="C229" s="9" t="s">
        <v>4747</v>
      </c>
      <c r="D229" s="9"/>
      <c r="E229" s="9" t="s">
        <v>4746</v>
      </c>
      <c r="F229" s="9"/>
      <c r="G229" s="9"/>
      <c r="H229" s="9" t="s">
        <v>3856</v>
      </c>
      <c r="I229" s="11" t="str">
        <f>VLOOKUP(H229,위치!B:C,2,0)</f>
        <v>RF-01H-5071]SBC LAN Cable</v>
      </c>
      <c r="J229" s="9">
        <v>58</v>
      </c>
      <c r="K229" s="9"/>
      <c r="L229" s="9" t="str">
        <f>VLOOKUP(H229,위치!B:D,3,0)</f>
        <v>3S3-6</v>
      </c>
      <c r="M229" s="12">
        <v>46224</v>
      </c>
      <c r="N229" s="5" t="s">
        <v>4745</v>
      </c>
      <c r="O229" s="5">
        <v>84393</v>
      </c>
      <c r="P229" s="5">
        <v>50</v>
      </c>
      <c r="Q229" s="14">
        <v>46224</v>
      </c>
      <c r="R229" s="15">
        <f t="shared" si="3"/>
        <v>8</v>
      </c>
    </row>
    <row r="230" spans="2:18" x14ac:dyDescent="0.35">
      <c r="B230" s="9">
        <v>16</v>
      </c>
      <c r="C230" s="9" t="s">
        <v>4747</v>
      </c>
      <c r="D230" s="9"/>
      <c r="E230" s="9" t="s">
        <v>4746</v>
      </c>
      <c r="F230" s="9"/>
      <c r="G230" s="9"/>
      <c r="H230" s="9" t="s">
        <v>3860</v>
      </c>
      <c r="I230" s="11" t="str">
        <f>VLOOKUP(H230,위치!B:C,2,0)</f>
        <v>RF-01H-5075] USB to Cal kit harness</v>
      </c>
      <c r="J230" s="9">
        <v>43</v>
      </c>
      <c r="K230" s="9"/>
      <c r="L230" s="9" t="str">
        <f>VLOOKUP(H230,위치!B:D,3,0)</f>
        <v>3S3-6</v>
      </c>
      <c r="M230" s="12">
        <v>46224</v>
      </c>
      <c r="N230" s="5" t="s">
        <v>4745</v>
      </c>
      <c r="O230" s="5">
        <v>84393</v>
      </c>
      <c r="P230" s="5">
        <v>43</v>
      </c>
      <c r="Q230" s="14">
        <v>46224</v>
      </c>
      <c r="R230" s="15">
        <f t="shared" si="3"/>
        <v>0</v>
      </c>
    </row>
    <row r="231" spans="2:18" x14ac:dyDescent="0.35">
      <c r="B231" s="9">
        <v>17</v>
      </c>
      <c r="C231" s="9" t="s">
        <v>4747</v>
      </c>
      <c r="D231" s="9"/>
      <c r="E231" s="9" t="s">
        <v>4746</v>
      </c>
      <c r="F231" s="9"/>
      <c r="G231" s="9"/>
      <c r="H231" s="9" t="s">
        <v>3825</v>
      </c>
      <c r="I231" s="11" t="str">
        <f>VLOOKUP(H231,위치!B:C,2,0)</f>
        <v>RF-01H-5053]USB to PC harness</v>
      </c>
      <c r="J231" s="9">
        <v>44</v>
      </c>
      <c r="K231" s="9"/>
      <c r="L231" s="9" t="str">
        <f>VLOOKUP(H231,위치!B:D,3,0)</f>
        <v>3S3-4</v>
      </c>
      <c r="M231" s="12">
        <v>46224</v>
      </c>
      <c r="N231" s="5" t="s">
        <v>4745</v>
      </c>
      <c r="O231" s="5">
        <v>84393</v>
      </c>
      <c r="P231" s="5">
        <v>44</v>
      </c>
      <c r="Q231" s="14">
        <v>46224</v>
      </c>
      <c r="R231" s="15">
        <f t="shared" si="3"/>
        <v>0</v>
      </c>
    </row>
    <row r="232" spans="2:18" x14ac:dyDescent="0.35">
      <c r="B232" s="9">
        <v>18</v>
      </c>
      <c r="C232" s="9" t="s">
        <v>4747</v>
      </c>
      <c r="D232" s="9"/>
      <c r="E232" s="9" t="s">
        <v>4746</v>
      </c>
      <c r="F232" s="9"/>
      <c r="G232" s="9"/>
      <c r="H232" s="9" t="s">
        <v>3843</v>
      </c>
      <c r="I232" s="11" t="str">
        <f>VLOOKUP(H232,위치!B:C,2,0)</f>
        <v>RF-01H-5065]Main Power harness</v>
      </c>
      <c r="J232" s="9">
        <v>42</v>
      </c>
      <c r="K232" s="9"/>
      <c r="L232" s="9" t="str">
        <f>VLOOKUP(H232,위치!B:D,3,0)</f>
        <v>3S3-5</v>
      </c>
      <c r="M232" s="12">
        <v>46224</v>
      </c>
      <c r="N232" s="5" t="s">
        <v>4745</v>
      </c>
      <c r="O232" s="5">
        <v>84393</v>
      </c>
      <c r="P232" s="5">
        <v>42</v>
      </c>
      <c r="Q232" s="14">
        <v>46224</v>
      </c>
      <c r="R232" s="15">
        <f t="shared" si="3"/>
        <v>0</v>
      </c>
    </row>
    <row r="233" spans="2:18" x14ac:dyDescent="0.35">
      <c r="B233" s="9">
        <v>19</v>
      </c>
      <c r="C233" s="9" t="s">
        <v>4747</v>
      </c>
      <c r="D233" s="9"/>
      <c r="E233" s="9" t="s">
        <v>4746</v>
      </c>
      <c r="F233" s="9"/>
      <c r="G233" s="9"/>
      <c r="H233" s="9" t="s">
        <v>3945</v>
      </c>
      <c r="I233" s="11" t="str">
        <f>VLOOKUP(H233,위치!B:C,2,0)</f>
        <v>RF-01T-0161]Bas BOT UPPER</v>
      </c>
      <c r="J233" s="9">
        <v>300</v>
      </c>
      <c r="K233" s="9"/>
      <c r="L233" s="9" t="str">
        <f>VLOOKUP(H233,위치!B:D,3,0)</f>
        <v>3B11</v>
      </c>
      <c r="M233" s="12">
        <v>46224</v>
      </c>
      <c r="N233" s="5" t="s">
        <v>4745</v>
      </c>
      <c r="O233" s="5">
        <v>84393</v>
      </c>
      <c r="P233" s="5">
        <v>50</v>
      </c>
      <c r="Q233" s="14">
        <v>46224</v>
      </c>
      <c r="R233" s="15">
        <f t="shared" si="3"/>
        <v>250</v>
      </c>
    </row>
    <row r="234" spans="2:18" x14ac:dyDescent="0.35">
      <c r="B234" s="9">
        <v>20</v>
      </c>
      <c r="C234" s="9" t="s">
        <v>4747</v>
      </c>
      <c r="D234" s="9"/>
      <c r="E234" s="9" t="s">
        <v>4746</v>
      </c>
      <c r="F234" s="9"/>
      <c r="G234" s="9"/>
      <c r="H234" s="9" t="s">
        <v>3953</v>
      </c>
      <c r="I234" s="11" t="str">
        <f>VLOOKUP(H234,위치!B:C,2,0)</f>
        <v>RF-01T-0164]LED TOUCH INDIGATOR</v>
      </c>
      <c r="J234" s="9">
        <v>0</v>
      </c>
      <c r="K234" s="9"/>
      <c r="L234" s="9" t="str">
        <f>VLOOKUP(H234,위치!B:D,3,0)</f>
        <v>3L3-5</v>
      </c>
      <c r="M234" s="12">
        <v>46224</v>
      </c>
      <c r="N234" s="5" t="s">
        <v>4745</v>
      </c>
      <c r="O234" s="5">
        <v>84393</v>
      </c>
      <c r="P234" s="5">
        <v>0</v>
      </c>
      <c r="Q234" s="14">
        <v>46224</v>
      </c>
      <c r="R234" s="15">
        <f t="shared" si="3"/>
        <v>0</v>
      </c>
    </row>
    <row r="235" spans="2:18" x14ac:dyDescent="0.35">
      <c r="B235" s="9">
        <v>21</v>
      </c>
      <c r="C235" s="9" t="s">
        <v>4747</v>
      </c>
      <c r="D235" s="9"/>
      <c r="E235" s="9" t="s">
        <v>4746</v>
      </c>
      <c r="F235" s="9"/>
      <c r="G235" s="9"/>
      <c r="H235" s="9" t="s">
        <v>3788</v>
      </c>
      <c r="I235" s="11" t="str">
        <f>VLOOKUP(H235,위치!B:C,2,0)</f>
        <v>RF-01B-5034] POWER BUTTON BOARD</v>
      </c>
      <c r="J235" s="9">
        <v>513</v>
      </c>
      <c r="K235" s="9"/>
      <c r="L235" s="9" t="str">
        <f>VLOOKUP(H235,위치!B:D,3,0)</f>
        <v>A4-2</v>
      </c>
      <c r="M235" s="12">
        <v>46224</v>
      </c>
      <c r="N235" s="5" t="s">
        <v>4745</v>
      </c>
      <c r="O235" s="5">
        <v>84393</v>
      </c>
      <c r="P235" s="5">
        <v>50</v>
      </c>
      <c r="Q235" s="14">
        <v>46224</v>
      </c>
      <c r="R235" s="15">
        <f t="shared" si="3"/>
        <v>463</v>
      </c>
    </row>
    <row r="236" spans="2:18" x14ac:dyDescent="0.35">
      <c r="B236" s="9">
        <v>22</v>
      </c>
      <c r="C236" s="9" t="s">
        <v>4747</v>
      </c>
      <c r="D236" s="9"/>
      <c r="E236" s="9" t="s">
        <v>4746</v>
      </c>
      <c r="F236" s="9"/>
      <c r="G236" s="9"/>
      <c r="H236" s="9" t="s">
        <v>3921</v>
      </c>
      <c r="I236" s="11" t="str">
        <f>VLOOKUP(H236,위치!B:C,2,0)</f>
        <v>RF-01S-5072]USB 3.0 A to B Cable</v>
      </c>
      <c r="J236" s="9">
        <v>0</v>
      </c>
      <c r="K236" s="9"/>
      <c r="L236" s="9" t="str">
        <f>VLOOKUP(H236,위치!B:D,3,0)</f>
        <v>3S3-2</v>
      </c>
      <c r="M236" s="12">
        <v>46224</v>
      </c>
      <c r="N236" s="5" t="s">
        <v>4745</v>
      </c>
      <c r="O236" s="5">
        <v>84393</v>
      </c>
      <c r="P236" s="5">
        <v>0</v>
      </c>
      <c r="Q236" s="14">
        <v>46224</v>
      </c>
      <c r="R236" s="15">
        <f t="shared" si="3"/>
        <v>0</v>
      </c>
    </row>
    <row r="237" spans="2:18" x14ac:dyDescent="0.35">
      <c r="B237" s="9">
        <v>23</v>
      </c>
      <c r="C237" s="9" t="s">
        <v>4747</v>
      </c>
      <c r="D237" s="9"/>
      <c r="E237" s="9" t="s">
        <v>4746</v>
      </c>
      <c r="F237" s="9"/>
      <c r="G237" s="9"/>
      <c r="H237" s="9" t="s">
        <v>4621</v>
      </c>
      <c r="I237" s="11">
        <f>VLOOKUP(H237,위치!B:C,2,0)</f>
        <v>0</v>
      </c>
      <c r="J237" s="9">
        <v>1</v>
      </c>
      <c r="K237" s="9"/>
      <c r="L237" s="9" t="str">
        <f>VLOOKUP(H237,위치!B:D,3,0)</f>
        <v>3L1-3</v>
      </c>
      <c r="M237" s="12">
        <v>46224</v>
      </c>
      <c r="N237" s="5" t="s">
        <v>4745</v>
      </c>
      <c r="O237" s="5">
        <v>84393</v>
      </c>
      <c r="P237" s="5">
        <v>1</v>
      </c>
      <c r="Q237" s="14">
        <v>46224</v>
      </c>
      <c r="R237" s="15">
        <f t="shared" si="3"/>
        <v>0</v>
      </c>
    </row>
    <row r="238" spans="2:18" x14ac:dyDescent="0.35">
      <c r="B238" s="9">
        <v>24</v>
      </c>
      <c r="C238" s="9" t="s">
        <v>4747</v>
      </c>
      <c r="D238" s="9"/>
      <c r="E238" s="9" t="s">
        <v>4746</v>
      </c>
      <c r="F238" s="9"/>
      <c r="G238" s="9"/>
      <c r="H238" s="9" t="s">
        <v>4063</v>
      </c>
      <c r="I238" s="11" t="str">
        <f>VLOOKUP(H238,위치!B:C,2,0)</f>
        <v>MODULE ARM LEFT</v>
      </c>
      <c r="J238" s="9">
        <v>143</v>
      </c>
      <c r="K238" s="9"/>
      <c r="L238" s="9" t="str">
        <f>VLOOKUP(H238,위치!B:D,3,0)</f>
        <v>3C6</v>
      </c>
      <c r="M238" s="12">
        <v>46224</v>
      </c>
      <c r="N238" s="5" t="s">
        <v>4745</v>
      </c>
      <c r="O238" s="5">
        <v>84393</v>
      </c>
      <c r="P238" s="5">
        <v>50</v>
      </c>
      <c r="Q238" s="14">
        <v>46224</v>
      </c>
      <c r="R238" s="15">
        <f t="shared" si="3"/>
        <v>93</v>
      </c>
    </row>
    <row r="239" spans="2:18" x14ac:dyDescent="0.35">
      <c r="B239" s="9">
        <v>25</v>
      </c>
      <c r="C239" s="9" t="s">
        <v>4747</v>
      </c>
      <c r="D239" s="9"/>
      <c r="E239" s="9" t="s">
        <v>4746</v>
      </c>
      <c r="F239" s="9"/>
      <c r="G239" s="9"/>
      <c r="H239" s="9" t="s">
        <v>4604</v>
      </c>
      <c r="I239" s="11">
        <f>VLOOKUP(H239,위치!B:C,2,0)</f>
        <v>0</v>
      </c>
      <c r="J239" s="9">
        <v>16</v>
      </c>
      <c r="K239" s="9"/>
      <c r="L239" s="9" t="str">
        <f>VLOOKUP(H239,위치!B:D,3,0)</f>
        <v>3C6</v>
      </c>
      <c r="M239" s="12">
        <v>46224</v>
      </c>
      <c r="N239" s="5" t="s">
        <v>4745</v>
      </c>
      <c r="O239" s="5">
        <v>84393</v>
      </c>
      <c r="P239" s="5">
        <v>16</v>
      </c>
      <c r="Q239" s="14">
        <v>46224</v>
      </c>
      <c r="R239" s="15">
        <f t="shared" si="3"/>
        <v>0</v>
      </c>
    </row>
    <row r="240" spans="2:18" x14ac:dyDescent="0.35">
      <c r="B240" s="9">
        <v>26</v>
      </c>
      <c r="C240" s="9" t="s">
        <v>4747</v>
      </c>
      <c r="D240" s="9"/>
      <c r="E240" s="9" t="s">
        <v>4746</v>
      </c>
      <c r="F240" s="9"/>
      <c r="G240" s="9"/>
      <c r="H240" s="9" t="s">
        <v>4060</v>
      </c>
      <c r="I240" s="11" t="str">
        <f>VLOOKUP(H240,위치!B:C,2,0)</f>
        <v>MODULE ARM RIGHT</v>
      </c>
      <c r="J240" s="9">
        <v>95</v>
      </c>
      <c r="K240" s="9"/>
      <c r="L240" s="9" t="str">
        <f>VLOOKUP(H240,위치!B:D,3,0)</f>
        <v>3C6</v>
      </c>
      <c r="M240" s="12">
        <v>46224</v>
      </c>
      <c r="N240" s="5" t="s">
        <v>4745</v>
      </c>
      <c r="O240" s="5">
        <v>84393</v>
      </c>
      <c r="P240" s="5">
        <v>50</v>
      </c>
      <c r="Q240" s="14">
        <v>46224</v>
      </c>
      <c r="R240" s="15">
        <f t="shared" si="3"/>
        <v>45</v>
      </c>
    </row>
    <row r="241" spans="2:18" x14ac:dyDescent="0.35">
      <c r="B241" s="9">
        <v>27</v>
      </c>
      <c r="C241" s="9" t="s">
        <v>4747</v>
      </c>
      <c r="D241" s="9"/>
      <c r="E241" s="9" t="s">
        <v>4746</v>
      </c>
      <c r="F241" s="9"/>
      <c r="G241" s="9"/>
      <c r="H241" s="9" t="s">
        <v>4734</v>
      </c>
      <c r="I241" s="11">
        <f>VLOOKUP(H241,위치!B:C,2,0)</f>
        <v>0</v>
      </c>
      <c r="J241" s="9">
        <v>100</v>
      </c>
      <c r="K241" s="9"/>
      <c r="L241" s="9" t="str">
        <f>VLOOKUP(H241,위치!B:D,3,0)</f>
        <v>3I5</v>
      </c>
      <c r="M241" s="12">
        <v>46224</v>
      </c>
      <c r="N241" s="5" t="s">
        <v>4745</v>
      </c>
      <c r="O241" s="5">
        <v>84393</v>
      </c>
      <c r="P241" s="5">
        <v>50</v>
      </c>
      <c r="Q241" s="14">
        <v>46224</v>
      </c>
      <c r="R241" s="15">
        <f t="shared" si="3"/>
        <v>50</v>
      </c>
    </row>
    <row r="242" spans="2:18" x14ac:dyDescent="0.35">
      <c r="B242" s="9">
        <v>28</v>
      </c>
      <c r="C242" s="9" t="s">
        <v>4747</v>
      </c>
      <c r="D242" s="9"/>
      <c r="E242" s="9" t="s">
        <v>4746</v>
      </c>
      <c r="F242" s="9"/>
      <c r="G242" s="9"/>
      <c r="H242" s="9" t="s">
        <v>4056</v>
      </c>
      <c r="I242" s="11" t="str">
        <f>VLOOKUP(H242,위치!B:C,2,0)</f>
        <v>MODULE BASE BOTTOM FRAME</v>
      </c>
      <c r="J242" s="9">
        <v>216</v>
      </c>
      <c r="K242" s="9"/>
      <c r="L242" s="9" t="str">
        <f>VLOOKUP(H242,위치!B:D,3,0)</f>
        <v>3F3</v>
      </c>
      <c r="M242" s="12">
        <v>46224</v>
      </c>
      <c r="N242" s="5" t="s">
        <v>4745</v>
      </c>
      <c r="O242" s="5">
        <v>84393</v>
      </c>
      <c r="P242" s="5">
        <v>50</v>
      </c>
      <c r="Q242" s="14">
        <v>46224</v>
      </c>
      <c r="R242" s="15">
        <f t="shared" si="3"/>
        <v>166</v>
      </c>
    </row>
    <row r="243" spans="2:18" x14ac:dyDescent="0.35">
      <c r="B243" s="9">
        <v>29</v>
      </c>
      <c r="C243" s="9" t="s">
        <v>4747</v>
      </c>
      <c r="D243" s="9"/>
      <c r="E243" s="9" t="s">
        <v>4746</v>
      </c>
      <c r="F243" s="9"/>
      <c r="G243" s="9"/>
      <c r="H243" s="9" t="s">
        <v>3915</v>
      </c>
      <c r="I243" s="11" t="str">
        <f>VLOOKUP(H243,위치!B:C,2,0)</f>
        <v>RF-01S-5049]Face Lens</v>
      </c>
      <c r="J243" s="9">
        <v>90</v>
      </c>
      <c r="K243" s="9"/>
      <c r="L243" s="9" t="str">
        <f>VLOOKUP(H243,위치!B:D,3,0)</f>
        <v>3L4-2</v>
      </c>
      <c r="M243" s="12">
        <v>46224</v>
      </c>
      <c r="N243" s="5" t="s">
        <v>4745</v>
      </c>
      <c r="O243" s="5">
        <v>84393</v>
      </c>
      <c r="P243" s="5">
        <v>50</v>
      </c>
      <c r="Q243" s="14">
        <v>46224</v>
      </c>
      <c r="R243" s="15">
        <f t="shared" si="3"/>
        <v>40</v>
      </c>
    </row>
    <row r="244" spans="2:18" x14ac:dyDescent="0.35">
      <c r="B244" s="9">
        <v>30</v>
      </c>
      <c r="C244" s="9" t="s">
        <v>4747</v>
      </c>
      <c r="D244" s="9"/>
      <c r="E244" s="9" t="s">
        <v>4746</v>
      </c>
      <c r="F244" s="9"/>
      <c r="G244" s="9"/>
      <c r="H244" s="9" t="s">
        <v>3889</v>
      </c>
      <c r="I244" s="11" t="str">
        <f>VLOOKUP(H244,위치!B:C,2,0)</f>
        <v>RF-01M-0269]FACE CAM BLK_HR</v>
      </c>
      <c r="J244" s="9">
        <v>294</v>
      </c>
      <c r="K244" s="9"/>
      <c r="L244" s="9" t="str">
        <f>VLOOKUP(H244,위치!B:D,3,0)</f>
        <v>3L4-4</v>
      </c>
      <c r="M244" s="12">
        <v>46224</v>
      </c>
      <c r="N244" s="5" t="s">
        <v>4745</v>
      </c>
      <c r="O244" s="5">
        <v>84393</v>
      </c>
      <c r="P244" s="5">
        <v>50</v>
      </c>
      <c r="Q244" s="14">
        <v>46224</v>
      </c>
      <c r="R244" s="15">
        <f t="shared" si="3"/>
        <v>244</v>
      </c>
    </row>
    <row r="245" spans="2:18" x14ac:dyDescent="0.35">
      <c r="B245" s="9">
        <v>31</v>
      </c>
      <c r="C245" s="9" t="s">
        <v>4747</v>
      </c>
      <c r="D245" s="9"/>
      <c r="E245" s="9" t="s">
        <v>4746</v>
      </c>
      <c r="F245" s="9"/>
      <c r="G245" s="9"/>
      <c r="H245" s="9" t="s">
        <v>3934</v>
      </c>
      <c r="I245" s="11" t="str">
        <f>VLOOKUP(H245,위치!B:C,2,0)</f>
        <v>RF-01S-5087]CAM Cable_Face</v>
      </c>
      <c r="J245" s="9">
        <v>158</v>
      </c>
      <c r="K245" s="9"/>
      <c r="L245" s="9" t="str">
        <f>VLOOKUP(H245,위치!B:D,3,0)</f>
        <v>3F1</v>
      </c>
      <c r="M245" s="12">
        <v>46224</v>
      </c>
      <c r="N245" s="5" t="s">
        <v>4745</v>
      </c>
      <c r="O245" s="5">
        <v>84393</v>
      </c>
      <c r="P245" s="5">
        <v>50</v>
      </c>
      <c r="Q245" s="14">
        <v>46224</v>
      </c>
      <c r="R245" s="15">
        <f t="shared" si="3"/>
        <v>108</v>
      </c>
    </row>
    <row r="246" spans="2:18" x14ac:dyDescent="0.35">
      <c r="B246" s="9">
        <v>32</v>
      </c>
      <c r="C246" s="9" t="s">
        <v>4747</v>
      </c>
      <c r="D246" s="9"/>
      <c r="E246" s="9" t="s">
        <v>4746</v>
      </c>
      <c r="F246" s="9"/>
      <c r="G246" s="9"/>
      <c r="H246" s="9" t="s">
        <v>3927</v>
      </c>
      <c r="I246" s="11" t="str">
        <f>VLOOKUP(H246,위치!B:C,2,0)</f>
        <v>RF-01S-5084]CAM Trigger_C harness</v>
      </c>
      <c r="J246" s="9">
        <v>98</v>
      </c>
      <c r="K246" s="9"/>
      <c r="L246" s="9" t="str">
        <f>VLOOKUP(H246,위치!B:D,3,0)</f>
        <v>3L3-2</v>
      </c>
      <c r="M246" s="12">
        <v>46224</v>
      </c>
      <c r="N246" s="5" t="s">
        <v>4745</v>
      </c>
      <c r="O246" s="5">
        <v>84393</v>
      </c>
      <c r="P246" s="5">
        <v>50</v>
      </c>
      <c r="Q246" s="14">
        <v>46224</v>
      </c>
      <c r="R246" s="15">
        <f t="shared" si="3"/>
        <v>48</v>
      </c>
    </row>
    <row r="247" spans="2:18" x14ac:dyDescent="0.35">
      <c r="B247" s="9">
        <v>33</v>
      </c>
      <c r="C247" s="9" t="s">
        <v>4747</v>
      </c>
      <c r="D247" s="9"/>
      <c r="E247" s="9" t="s">
        <v>4746</v>
      </c>
      <c r="F247" s="9"/>
      <c r="G247" s="9"/>
      <c r="H247" s="9" t="s">
        <v>3912</v>
      </c>
      <c r="I247" s="11" t="str">
        <f>VLOOKUP(H247,위치!B:C,2,0)</f>
        <v>RF-01S-5046]DLP ENGINE</v>
      </c>
      <c r="J247" s="9">
        <v>76</v>
      </c>
      <c r="K247" s="9"/>
      <c r="L247" s="9" t="str">
        <f>VLOOKUP(H247,위치!B:D,3,0)</f>
        <v>3C7</v>
      </c>
      <c r="M247" s="12">
        <v>46224</v>
      </c>
      <c r="N247" s="5" t="s">
        <v>4745</v>
      </c>
      <c r="O247" s="5">
        <v>84393</v>
      </c>
      <c r="P247" s="5">
        <v>50</v>
      </c>
      <c r="Q247" s="14">
        <v>46224</v>
      </c>
      <c r="R247" s="15">
        <f t="shared" si="3"/>
        <v>26</v>
      </c>
    </row>
    <row r="248" spans="2:18" x14ac:dyDescent="0.35">
      <c r="B248" s="9">
        <v>34</v>
      </c>
      <c r="C248" s="9" t="s">
        <v>4747</v>
      </c>
      <c r="D248" s="9"/>
      <c r="E248" s="9" t="s">
        <v>4746</v>
      </c>
      <c r="F248" s="9"/>
      <c r="G248" s="9"/>
      <c r="H248" s="9" t="s">
        <v>3804</v>
      </c>
      <c r="I248" s="11" t="str">
        <f>VLOOKUP(H248,위치!B:C,2,0)</f>
        <v>RF-01B-5040]MAIN Bd</v>
      </c>
      <c r="J248" s="9">
        <v>56</v>
      </c>
      <c r="K248" s="9"/>
      <c r="L248" s="9" t="str">
        <f>VLOOKUP(H248,위치!B:D,3,0)</f>
        <v>A5-4</v>
      </c>
      <c r="M248" s="12">
        <v>46224</v>
      </c>
      <c r="N248" s="5" t="s">
        <v>4745</v>
      </c>
      <c r="O248" s="5">
        <v>84393</v>
      </c>
      <c r="P248" s="5">
        <v>50</v>
      </c>
      <c r="Q248" s="14">
        <v>46224</v>
      </c>
      <c r="R248" s="15">
        <f t="shared" si="3"/>
        <v>6</v>
      </c>
    </row>
    <row r="249" spans="2:18" x14ac:dyDescent="0.35">
      <c r="B249" s="9">
        <v>35</v>
      </c>
      <c r="C249" s="9" t="s">
        <v>4747</v>
      </c>
      <c r="D249" s="9"/>
      <c r="E249" s="9" t="s">
        <v>4746</v>
      </c>
      <c r="F249" s="9"/>
      <c r="G249" s="9"/>
      <c r="H249" s="9" t="s">
        <v>3806</v>
      </c>
      <c r="I249" s="11" t="str">
        <f>VLOOKUP(H249,위치!B:C,2,0)</f>
        <v>RF-01B-5073]DMD FPC Cable</v>
      </c>
      <c r="J249" s="9">
        <v>0</v>
      </c>
      <c r="K249" s="9"/>
      <c r="L249" s="9" t="str">
        <f>VLOOKUP(H249,위치!B:D,3,0)</f>
        <v>A5-3</v>
      </c>
      <c r="M249" s="12">
        <v>46224</v>
      </c>
      <c r="N249" s="5" t="s">
        <v>4745</v>
      </c>
      <c r="O249" s="5">
        <v>84393</v>
      </c>
      <c r="P249" s="5">
        <v>0</v>
      </c>
      <c r="Q249" s="14">
        <v>46224</v>
      </c>
      <c r="R249" s="15">
        <f t="shared" si="3"/>
        <v>0</v>
      </c>
    </row>
    <row r="250" spans="2:18" x14ac:dyDescent="0.35">
      <c r="B250" s="9">
        <v>36</v>
      </c>
      <c r="C250" s="9" t="s">
        <v>4747</v>
      </c>
      <c r="D250" s="9"/>
      <c r="E250" s="9" t="s">
        <v>4746</v>
      </c>
      <c r="F250" s="9"/>
      <c r="G250" s="9"/>
      <c r="H250" s="9" t="s">
        <v>3827</v>
      </c>
      <c r="I250" s="11" t="str">
        <f>VLOOKUP(H250,위치!B:C,2,0)</f>
        <v>RF-01H-5054]DLP Power harness</v>
      </c>
      <c r="J250" s="9">
        <v>38</v>
      </c>
      <c r="K250" s="9"/>
      <c r="L250" s="9" t="str">
        <f>VLOOKUP(H250,위치!B:D,3,0)</f>
        <v>3S3-4</v>
      </c>
      <c r="M250" s="12">
        <v>46224</v>
      </c>
      <c r="N250" s="5" t="s">
        <v>4745</v>
      </c>
      <c r="O250" s="5">
        <v>84393</v>
      </c>
      <c r="P250" s="5">
        <v>38</v>
      </c>
      <c r="Q250" s="14">
        <v>46224</v>
      </c>
      <c r="R250" s="15">
        <f t="shared" si="3"/>
        <v>0</v>
      </c>
    </row>
    <row r="251" spans="2:18" x14ac:dyDescent="0.35">
      <c r="B251" s="9">
        <v>37</v>
      </c>
      <c r="C251" s="9" t="s">
        <v>4747</v>
      </c>
      <c r="D251" s="9"/>
      <c r="E251" s="9" t="s">
        <v>4746</v>
      </c>
      <c r="F251" s="9"/>
      <c r="G251" s="9"/>
      <c r="H251" s="9" t="s">
        <v>3831</v>
      </c>
      <c r="I251" s="11" t="str">
        <f>VLOOKUP(H251,위치!B:C,2,0)</f>
        <v>RF-01H-5056]LED PWM harness</v>
      </c>
      <c r="J251" s="9">
        <v>0</v>
      </c>
      <c r="K251" s="9"/>
      <c r="L251" s="9" t="str">
        <f>VLOOKUP(H251,위치!B:D,3,0)</f>
        <v>3S3-4</v>
      </c>
      <c r="M251" s="12">
        <v>46224</v>
      </c>
      <c r="N251" s="5" t="s">
        <v>4745</v>
      </c>
      <c r="O251" s="5">
        <v>84393</v>
      </c>
      <c r="P251" s="5">
        <v>0</v>
      </c>
      <c r="Q251" s="14">
        <v>46224</v>
      </c>
      <c r="R251" s="15">
        <f t="shared" si="3"/>
        <v>0</v>
      </c>
    </row>
    <row r="252" spans="2:18" x14ac:dyDescent="0.35">
      <c r="B252" s="9">
        <v>38</v>
      </c>
      <c r="C252" s="9" t="s">
        <v>4747</v>
      </c>
      <c r="D252" s="9"/>
      <c r="E252" s="9" t="s">
        <v>4746</v>
      </c>
      <c r="F252" s="9"/>
      <c r="G252" s="9"/>
      <c r="H252" s="9" t="s">
        <v>4014</v>
      </c>
      <c r="I252" s="11" t="str">
        <f>VLOOKUP(H252,위치!B:C,2,0)</f>
        <v>RF-01V-0197]JETSON BRK</v>
      </c>
      <c r="J252" s="9">
        <v>31</v>
      </c>
      <c r="K252" s="9"/>
      <c r="L252" s="9" t="str">
        <f>VLOOKUP(H252,위치!B:D,3,0)</f>
        <v>3F3</v>
      </c>
      <c r="M252" s="12">
        <v>46224</v>
      </c>
      <c r="N252" s="5" t="s">
        <v>4745</v>
      </c>
      <c r="O252" s="5">
        <v>84393</v>
      </c>
      <c r="P252" s="5">
        <v>31</v>
      </c>
      <c r="Q252" s="14">
        <v>46224</v>
      </c>
      <c r="R252" s="15">
        <f t="shared" si="3"/>
        <v>0</v>
      </c>
    </row>
    <row r="253" spans="2:18" x14ac:dyDescent="0.35">
      <c r="B253" s="9">
        <v>39</v>
      </c>
      <c r="C253" s="9" t="s">
        <v>4747</v>
      </c>
      <c r="D253" s="9"/>
      <c r="E253" s="9" t="s">
        <v>4746</v>
      </c>
      <c r="F253" s="9"/>
      <c r="G253" s="9"/>
      <c r="H253" s="9" t="s">
        <v>2923</v>
      </c>
      <c r="I253" s="11" t="str">
        <f>VLOOKUP(H253,위치!B:C,2,0)</f>
        <v>RD-01G-0502]SPONGE)UV SNSR</v>
      </c>
      <c r="J253" s="9">
        <v>277</v>
      </c>
      <c r="K253" s="9"/>
      <c r="L253" s="9" t="str">
        <f>VLOOKUP(H253,위치!B:D,3,0)</f>
        <v>3S3-1</v>
      </c>
      <c r="M253" s="12">
        <v>46224</v>
      </c>
      <c r="N253" s="5" t="s">
        <v>4745</v>
      </c>
      <c r="O253" s="5">
        <v>84393</v>
      </c>
      <c r="P253" s="5">
        <v>100</v>
      </c>
      <c r="Q253" s="14">
        <v>46224</v>
      </c>
      <c r="R253" s="15">
        <f t="shared" si="3"/>
        <v>177</v>
      </c>
    </row>
    <row r="254" spans="2:18" x14ac:dyDescent="0.35">
      <c r="B254" s="9">
        <v>40</v>
      </c>
      <c r="C254" s="9" t="s">
        <v>4747</v>
      </c>
      <c r="D254" s="9"/>
      <c r="E254" s="9" t="s">
        <v>4746</v>
      </c>
      <c r="F254" s="9"/>
      <c r="G254" s="9"/>
      <c r="H254" s="9" t="s">
        <v>4034</v>
      </c>
      <c r="I254" s="11" t="str">
        <f>VLOOKUP(H254,위치!B:C,2,0)</f>
        <v>RF-10A-2086]ASM JETSON NANO</v>
      </c>
      <c r="J254" s="9">
        <v>59</v>
      </c>
      <c r="K254" s="9"/>
      <c r="L254" s="9" t="str">
        <f>VLOOKUP(H254,위치!B:D,3,0)</f>
        <v>A6-3</v>
      </c>
      <c r="M254" s="12">
        <v>46224</v>
      </c>
      <c r="N254" s="5" t="s">
        <v>4745</v>
      </c>
      <c r="O254" s="5">
        <v>84393</v>
      </c>
      <c r="P254" s="5">
        <v>50</v>
      </c>
      <c r="Q254" s="14">
        <v>46224</v>
      </c>
      <c r="R254" s="15">
        <f t="shared" si="3"/>
        <v>9</v>
      </c>
    </row>
    <row r="255" spans="2:18" x14ac:dyDescent="0.35">
      <c r="B255" s="9">
        <v>41</v>
      </c>
      <c r="C255" s="9" t="s">
        <v>4747</v>
      </c>
      <c r="D255" s="9"/>
      <c r="E255" s="9" t="s">
        <v>4746</v>
      </c>
      <c r="F255" s="9"/>
      <c r="G255" s="9"/>
      <c r="H255" s="9" t="s">
        <v>4028</v>
      </c>
      <c r="I255" s="11" t="str">
        <f>VLOOKUP(H255,위치!B:C,2,0)</f>
        <v>RF-01V-0254]REAR CVR TOP BRK</v>
      </c>
      <c r="J255" s="9">
        <v>250</v>
      </c>
      <c r="K255" s="9"/>
      <c r="L255" s="9" t="str">
        <f>VLOOKUP(H255,위치!B:D,3,0)</f>
        <v>3L4-5</v>
      </c>
      <c r="M255" s="12">
        <v>46224</v>
      </c>
      <c r="N255" s="5" t="s">
        <v>4745</v>
      </c>
      <c r="O255" s="5">
        <v>84393</v>
      </c>
      <c r="P255" s="5">
        <v>50</v>
      </c>
      <c r="Q255" s="14">
        <v>46224</v>
      </c>
      <c r="R255" s="15">
        <f t="shared" si="3"/>
        <v>200</v>
      </c>
    </row>
    <row r="256" spans="2:18" x14ac:dyDescent="0.35">
      <c r="B256" s="9">
        <v>42</v>
      </c>
      <c r="C256" s="9" t="s">
        <v>4747</v>
      </c>
      <c r="D256" s="9"/>
      <c r="E256" s="9" t="s">
        <v>4746</v>
      </c>
      <c r="F256" s="9"/>
      <c r="G256" s="9"/>
      <c r="H256" s="9" t="s">
        <v>3822</v>
      </c>
      <c r="I256" s="11" t="str">
        <f>VLOOKUP(H256,위치!B:C,2,0)</f>
        <v>RF-01H-5052]USB TO SBC HARNESS</v>
      </c>
      <c r="J256" s="9">
        <v>45</v>
      </c>
      <c r="K256" s="9"/>
      <c r="L256" s="9" t="str">
        <f>VLOOKUP(H256,위치!B:D,3,0)</f>
        <v>3S3-4</v>
      </c>
      <c r="M256" s="12">
        <v>46224</v>
      </c>
      <c r="N256" s="5" t="s">
        <v>4745</v>
      </c>
      <c r="O256" s="5">
        <v>84393</v>
      </c>
      <c r="P256" s="5">
        <v>45</v>
      </c>
      <c r="Q256" s="14">
        <v>46224</v>
      </c>
      <c r="R256" s="15">
        <f t="shared" si="3"/>
        <v>0</v>
      </c>
    </row>
    <row r="257" spans="2:18" x14ac:dyDescent="0.35">
      <c r="B257" s="9">
        <v>43</v>
      </c>
      <c r="C257" s="9" t="s">
        <v>4747</v>
      </c>
      <c r="D257" s="9"/>
      <c r="E257" s="9" t="s">
        <v>4746</v>
      </c>
      <c r="F257" s="9"/>
      <c r="G257" s="9"/>
      <c r="H257" s="9" t="s">
        <v>3829</v>
      </c>
      <c r="I257" s="11" t="str">
        <f>VLOOKUP(H257,위치!B:C,2,0)</f>
        <v>RF-01H-5055]LED Power harness</v>
      </c>
      <c r="J257" s="9">
        <v>35</v>
      </c>
      <c r="K257" s="9"/>
      <c r="L257" s="9" t="str">
        <f>VLOOKUP(H257,위치!B:D,3,0)</f>
        <v>3S3-4</v>
      </c>
      <c r="M257" s="12">
        <v>46224</v>
      </c>
      <c r="N257" s="5" t="s">
        <v>4745</v>
      </c>
      <c r="O257" s="5">
        <v>84393</v>
      </c>
      <c r="P257" s="5">
        <v>35</v>
      </c>
      <c r="Q257" s="14">
        <v>46224</v>
      </c>
      <c r="R257" s="15">
        <f t="shared" si="3"/>
        <v>0</v>
      </c>
    </row>
    <row r="258" spans="2:18" x14ac:dyDescent="0.35">
      <c r="B258" s="9">
        <v>44</v>
      </c>
      <c r="C258" s="9" t="s">
        <v>4747</v>
      </c>
      <c r="D258" s="9"/>
      <c r="E258" s="9" t="s">
        <v>4746</v>
      </c>
      <c r="F258" s="9"/>
      <c r="G258" s="9"/>
      <c r="H258" s="9" t="s">
        <v>3898</v>
      </c>
      <c r="I258" s="11" t="str">
        <f>VLOOKUP(H258,위치!B:C,2,0)</f>
        <v>RF-01M-0395]BLOCK BASE BOTTOM</v>
      </c>
      <c r="J258" s="9">
        <v>150</v>
      </c>
      <c r="K258" s="9"/>
      <c r="L258" s="9" t="str">
        <f>VLOOKUP(H258,위치!B:D,3,0)</f>
        <v>3E5</v>
      </c>
      <c r="M258" s="12">
        <v>46224</v>
      </c>
      <c r="N258" s="5" t="s">
        <v>4745</v>
      </c>
      <c r="O258" s="5">
        <v>84393</v>
      </c>
      <c r="P258" s="5">
        <v>50</v>
      </c>
      <c r="Q258" s="14">
        <v>46224</v>
      </c>
      <c r="R258" s="15">
        <f t="shared" si="3"/>
        <v>100</v>
      </c>
    </row>
    <row r="259" spans="2:18" x14ac:dyDescent="0.35">
      <c r="B259" s="9">
        <v>45</v>
      </c>
      <c r="C259" s="9" t="s">
        <v>4747</v>
      </c>
      <c r="D259" s="9"/>
      <c r="E259" s="9" t="s">
        <v>4746</v>
      </c>
      <c r="F259" s="9"/>
      <c r="G259" s="9"/>
      <c r="H259" s="9" t="s">
        <v>3900</v>
      </c>
      <c r="I259" s="11" t="str">
        <f>VLOOKUP(H259,위치!B:C,2,0)</f>
        <v>RF-01M-0396]FRAME PIPE ALIGN</v>
      </c>
      <c r="J259" s="9">
        <v>99</v>
      </c>
      <c r="K259" s="9"/>
      <c r="L259" s="9" t="str">
        <f>VLOOKUP(H259,위치!B:D,3,0)</f>
        <v>3C10</v>
      </c>
      <c r="M259" s="12">
        <v>46224</v>
      </c>
      <c r="N259" s="5" t="s">
        <v>4745</v>
      </c>
      <c r="O259" s="5">
        <v>84393</v>
      </c>
      <c r="P259" s="5">
        <v>50</v>
      </c>
      <c r="Q259" s="14">
        <v>46224</v>
      </c>
      <c r="R259" s="15">
        <f t="shared" si="3"/>
        <v>49</v>
      </c>
    </row>
    <row r="260" spans="2:18" x14ac:dyDescent="0.35">
      <c r="B260" s="9">
        <v>46</v>
      </c>
      <c r="C260" s="9" t="s">
        <v>4747</v>
      </c>
      <c r="D260" s="9"/>
      <c r="E260" s="9" t="s">
        <v>4746</v>
      </c>
      <c r="F260" s="9"/>
      <c r="G260" s="9"/>
      <c r="H260" s="9" t="s">
        <v>3902</v>
      </c>
      <c r="I260" s="11" t="str">
        <f>VLOOKUP(H260,위치!B:C,2,0)</f>
        <v>RF-01M-0397]COVER BOTTOM</v>
      </c>
      <c r="J260" s="9">
        <v>305</v>
      </c>
      <c r="K260" s="9"/>
      <c r="L260" s="9" t="str">
        <f>VLOOKUP(H260,위치!B:D,3,0)</f>
        <v>3E5</v>
      </c>
      <c r="M260" s="12">
        <v>46224</v>
      </c>
      <c r="N260" s="5" t="s">
        <v>4745</v>
      </c>
      <c r="O260" s="5">
        <v>84393</v>
      </c>
      <c r="P260" s="5">
        <v>50</v>
      </c>
      <c r="Q260" s="14">
        <v>46224</v>
      </c>
      <c r="R260" s="15">
        <f t="shared" si="3"/>
        <v>255</v>
      </c>
    </row>
    <row r="261" spans="2:18" x14ac:dyDescent="0.35">
      <c r="B261" s="9">
        <v>47</v>
      </c>
      <c r="C261" s="9" t="s">
        <v>4747</v>
      </c>
      <c r="D261" s="9"/>
      <c r="E261" s="9" t="s">
        <v>4746</v>
      </c>
      <c r="F261" s="9"/>
      <c r="G261" s="9"/>
      <c r="H261" s="9" t="s">
        <v>3904</v>
      </c>
      <c r="I261" s="11" t="str">
        <f>VLOOKUP(H261,위치!B:C,2,0)</f>
        <v>RF-01M-0398]COVER TOP</v>
      </c>
      <c r="J261" s="9">
        <v>102</v>
      </c>
      <c r="K261" s="9"/>
      <c r="L261" s="9" t="str">
        <f>VLOOKUP(H261,위치!B:D,3,0)</f>
        <v>3E5</v>
      </c>
      <c r="M261" s="12">
        <v>46224</v>
      </c>
      <c r="N261" s="5" t="s">
        <v>4745</v>
      </c>
      <c r="O261" s="5">
        <v>84393</v>
      </c>
      <c r="P261" s="5">
        <v>50</v>
      </c>
      <c r="Q261" s="14">
        <v>46224</v>
      </c>
      <c r="R261" s="15">
        <f t="shared" si="3"/>
        <v>52</v>
      </c>
    </row>
    <row r="262" spans="2:18" x14ac:dyDescent="0.35">
      <c r="B262" s="9">
        <v>48</v>
      </c>
      <c r="C262" s="9" t="s">
        <v>4747</v>
      </c>
      <c r="D262" s="9"/>
      <c r="E262" s="9" t="s">
        <v>4746</v>
      </c>
      <c r="F262" s="9"/>
      <c r="G262" s="9"/>
      <c r="H262" s="9" t="s">
        <v>3849</v>
      </c>
      <c r="I262" s="11" t="str">
        <f>VLOOKUP(H262,위치!B:C,2,0)</f>
        <v>RF-01H-5068]LED_Left harness</v>
      </c>
      <c r="J262" s="9">
        <v>95</v>
      </c>
      <c r="K262" s="9"/>
      <c r="L262" s="9" t="str">
        <f>VLOOKUP(H262,위치!B:D,3,0)</f>
        <v>3S3-5</v>
      </c>
      <c r="M262" s="12">
        <v>46224</v>
      </c>
      <c r="N262" s="5" t="s">
        <v>4745</v>
      </c>
      <c r="O262" s="5">
        <v>84393</v>
      </c>
      <c r="P262" s="5">
        <v>50</v>
      </c>
      <c r="Q262" s="14">
        <v>46224</v>
      </c>
      <c r="R262" s="15">
        <f t="shared" si="3"/>
        <v>45</v>
      </c>
    </row>
    <row r="263" spans="2:18" x14ac:dyDescent="0.35">
      <c r="B263" s="9">
        <v>49</v>
      </c>
      <c r="C263" s="9" t="s">
        <v>4747</v>
      </c>
      <c r="D263" s="9"/>
      <c r="E263" s="9" t="s">
        <v>4746</v>
      </c>
      <c r="F263" s="9"/>
      <c r="G263" s="9"/>
      <c r="H263" s="9" t="s">
        <v>4045</v>
      </c>
      <c r="I263" s="11" t="str">
        <f>VLOOKUP(H263,위치!B:C,2,0)</f>
        <v>RF-20A-0279]Mdl DLP PLT</v>
      </c>
      <c r="J263" s="9">
        <v>215</v>
      </c>
      <c r="K263" s="9"/>
      <c r="L263" s="9" t="str">
        <f>VLOOKUP(H263,위치!B:D,3,0)</f>
        <v>3F2</v>
      </c>
      <c r="M263" s="12">
        <v>46224</v>
      </c>
      <c r="N263" s="5" t="s">
        <v>4745</v>
      </c>
      <c r="O263" s="5">
        <v>84393</v>
      </c>
      <c r="P263" s="5">
        <v>50</v>
      </c>
      <c r="Q263" s="14">
        <v>46224</v>
      </c>
      <c r="R263" s="15">
        <f t="shared" ref="R263:R326" si="4">J263-P263</f>
        <v>165</v>
      </c>
    </row>
    <row r="264" spans="2:18" x14ac:dyDescent="0.35">
      <c r="B264" s="9">
        <v>50</v>
      </c>
      <c r="C264" s="9" t="s">
        <v>4747</v>
      </c>
      <c r="D264" s="9"/>
      <c r="E264" s="9" t="s">
        <v>4746</v>
      </c>
      <c r="F264" s="9"/>
      <c r="G264" s="9"/>
      <c r="H264" s="9" t="s">
        <v>4048</v>
      </c>
      <c r="I264" s="11" t="str">
        <f>VLOOKUP(H264,위치!B:C,2,0)</f>
        <v>RF-20A-0280]MODULE DLP MCU BRACKET</v>
      </c>
      <c r="J264" s="9">
        <v>1</v>
      </c>
      <c r="K264" s="9"/>
      <c r="L264" s="9" t="str">
        <f>VLOOKUP(H264,위치!B:D,3,0)</f>
        <v>3F2</v>
      </c>
      <c r="M264" s="12">
        <v>46224</v>
      </c>
      <c r="N264" s="5" t="s">
        <v>4745</v>
      </c>
      <c r="O264" s="5">
        <v>84393</v>
      </c>
      <c r="P264" s="5">
        <v>1</v>
      </c>
      <c r="Q264" s="14">
        <v>46224</v>
      </c>
      <c r="R264" s="15">
        <f t="shared" si="4"/>
        <v>0</v>
      </c>
    </row>
    <row r="265" spans="2:18" x14ac:dyDescent="0.35">
      <c r="B265" s="9">
        <v>51</v>
      </c>
      <c r="C265" s="9" t="s">
        <v>4747</v>
      </c>
      <c r="D265" s="9"/>
      <c r="E265" s="9" t="s">
        <v>4746</v>
      </c>
      <c r="F265" s="9"/>
      <c r="G265" s="9"/>
      <c r="H265" s="9" t="s">
        <v>4735</v>
      </c>
      <c r="I265" s="11">
        <f>VLOOKUP(H265,위치!B:C,2,0)</f>
        <v>0</v>
      </c>
      <c r="J265" s="9">
        <v>60</v>
      </c>
      <c r="K265" s="9"/>
      <c r="L265" s="9" t="str">
        <f>VLOOKUP(H265,위치!B:D,3,0)</f>
        <v>3F10</v>
      </c>
      <c r="M265" s="12">
        <v>46224</v>
      </c>
      <c r="N265" s="5" t="s">
        <v>4745</v>
      </c>
      <c r="O265" s="5">
        <v>84393</v>
      </c>
      <c r="P265" s="5">
        <v>50</v>
      </c>
      <c r="Q265" s="14">
        <v>46224</v>
      </c>
      <c r="R265" s="15">
        <f t="shared" si="4"/>
        <v>10</v>
      </c>
    </row>
    <row r="266" spans="2:18" x14ac:dyDescent="0.35">
      <c r="B266" s="9">
        <v>52</v>
      </c>
      <c r="C266" s="9" t="s">
        <v>4747</v>
      </c>
      <c r="D266" s="9"/>
      <c r="E266" s="9" t="s">
        <v>4746</v>
      </c>
      <c r="F266" s="9"/>
      <c r="G266" s="9"/>
      <c r="H266" s="9" t="s">
        <v>4736</v>
      </c>
      <c r="I266" s="11">
        <f>VLOOKUP(H266,위치!B:C,2,0)</f>
        <v>0</v>
      </c>
      <c r="J266" s="9">
        <v>109</v>
      </c>
      <c r="K266" s="9"/>
      <c r="L266" s="9" t="str">
        <f>VLOOKUP(H266,위치!B:D,3,0)</f>
        <v>3F2</v>
      </c>
      <c r="M266" s="12">
        <v>46224</v>
      </c>
      <c r="N266" s="5" t="s">
        <v>4745</v>
      </c>
      <c r="O266" s="5">
        <v>84393</v>
      </c>
      <c r="P266" s="5">
        <v>50</v>
      </c>
      <c r="Q266" s="14">
        <v>46224</v>
      </c>
      <c r="R266" s="15">
        <f t="shared" si="4"/>
        <v>59</v>
      </c>
    </row>
    <row r="267" spans="2:18" x14ac:dyDescent="0.35">
      <c r="B267" s="9">
        <v>53</v>
      </c>
      <c r="C267" s="9" t="s">
        <v>4747</v>
      </c>
      <c r="D267" s="9"/>
      <c r="E267" s="9" t="s">
        <v>4746</v>
      </c>
      <c r="F267" s="9"/>
      <c r="G267" s="9"/>
      <c r="H267" s="9" t="s">
        <v>4737</v>
      </c>
      <c r="I267" s="11">
        <f>VLOOKUP(H267,위치!B:C,2,0)</f>
        <v>0</v>
      </c>
      <c r="J267" s="9">
        <v>49</v>
      </c>
      <c r="K267" s="9"/>
      <c r="L267" s="9" t="str">
        <f>VLOOKUP(H267,위치!B:D,3,0)</f>
        <v>3F1</v>
      </c>
      <c r="M267" s="12">
        <v>46224</v>
      </c>
      <c r="N267" s="5" t="s">
        <v>4745</v>
      </c>
      <c r="O267" s="5">
        <v>84393</v>
      </c>
      <c r="P267" s="5">
        <v>49</v>
      </c>
      <c r="Q267" s="14">
        <v>46224</v>
      </c>
      <c r="R267" s="15">
        <f t="shared" si="4"/>
        <v>0</v>
      </c>
    </row>
    <row r="268" spans="2:18" x14ac:dyDescent="0.35">
      <c r="B268" s="9">
        <v>54</v>
      </c>
      <c r="C268" s="9" t="s">
        <v>4747</v>
      </c>
      <c r="D268" s="9"/>
      <c r="E268" s="9" t="s">
        <v>4746</v>
      </c>
      <c r="F268" s="9"/>
      <c r="G268" s="9"/>
      <c r="H268" s="9" t="s">
        <v>3932</v>
      </c>
      <c r="I268" s="11" t="str">
        <f>VLOOKUP(H268,위치!B:C,2,0)</f>
        <v>RF-01S-5086]TEETH CAM</v>
      </c>
      <c r="J268" s="9">
        <v>188</v>
      </c>
      <c r="K268" s="9"/>
      <c r="L268" s="9" t="str">
        <f>VLOOKUP(H268,위치!B:D,3,0)</f>
        <v>3F10</v>
      </c>
      <c r="M268" s="12">
        <v>46224</v>
      </c>
      <c r="N268" s="5" t="s">
        <v>4745</v>
      </c>
      <c r="O268" s="5">
        <v>84393</v>
      </c>
      <c r="P268" s="5">
        <v>188</v>
      </c>
      <c r="Q268" s="14">
        <v>46224</v>
      </c>
      <c r="R268" s="15">
        <f t="shared" si="4"/>
        <v>0</v>
      </c>
    </row>
    <row r="269" spans="2:18" x14ac:dyDescent="0.35">
      <c r="B269" s="9">
        <v>55</v>
      </c>
      <c r="C269" s="9" t="s">
        <v>4747</v>
      </c>
      <c r="D269" s="9"/>
      <c r="E269" s="9" t="s">
        <v>4746</v>
      </c>
      <c r="F269" s="9"/>
      <c r="G269" s="9"/>
      <c r="H269" s="9" t="s">
        <v>3917</v>
      </c>
      <c r="I269" s="11" t="str">
        <f>VLOOKUP(H269,위치!B:C,2,0)</f>
        <v>RF-01S-5050]TEETH LENS</v>
      </c>
      <c r="J269" s="9">
        <v>173</v>
      </c>
      <c r="K269" s="9"/>
      <c r="L269" s="9" t="str">
        <f>VLOOKUP(H269,위치!B:D,3,0)</f>
        <v>3L4-2</v>
      </c>
      <c r="M269" s="12">
        <v>46224</v>
      </c>
      <c r="N269" s="5" t="s">
        <v>4745</v>
      </c>
      <c r="O269" s="5">
        <v>84393</v>
      </c>
      <c r="P269" s="5">
        <v>50</v>
      </c>
      <c r="Q269" s="14">
        <v>46224</v>
      </c>
      <c r="R269" s="15">
        <f t="shared" si="4"/>
        <v>123</v>
      </c>
    </row>
    <row r="270" spans="2:18" x14ac:dyDescent="0.35">
      <c r="B270" s="9">
        <v>56</v>
      </c>
      <c r="C270" s="9" t="s">
        <v>4747</v>
      </c>
      <c r="D270" s="9"/>
      <c r="E270" s="9" t="s">
        <v>4746</v>
      </c>
      <c r="F270" s="9"/>
      <c r="G270" s="9"/>
      <c r="H270" s="9" t="s">
        <v>3887</v>
      </c>
      <c r="I270" s="11" t="str">
        <f>VLOOKUP(H270,위치!B:C,2,0)</f>
        <v>RF-01M-0268]TEETH CAM BLK_HR</v>
      </c>
      <c r="J270" s="9">
        <v>100</v>
      </c>
      <c r="K270" s="9"/>
      <c r="L270" s="9" t="str">
        <f>VLOOKUP(H270,위치!B:D,3,0)</f>
        <v>3S2-1</v>
      </c>
      <c r="M270" s="12">
        <v>46224</v>
      </c>
      <c r="N270" s="5" t="s">
        <v>4745</v>
      </c>
      <c r="O270" s="5">
        <v>84393</v>
      </c>
      <c r="P270" s="5">
        <v>50</v>
      </c>
      <c r="Q270" s="14">
        <v>46224</v>
      </c>
      <c r="R270" s="15">
        <f t="shared" si="4"/>
        <v>50</v>
      </c>
    </row>
    <row r="271" spans="2:18" x14ac:dyDescent="0.35">
      <c r="B271" s="9">
        <v>57</v>
      </c>
      <c r="C271" s="9" t="s">
        <v>4747</v>
      </c>
      <c r="D271" s="9"/>
      <c r="E271" s="9" t="s">
        <v>4746</v>
      </c>
      <c r="F271" s="9"/>
      <c r="G271" s="9"/>
      <c r="H271" s="9" t="s">
        <v>3939</v>
      </c>
      <c r="I271" s="11" t="str">
        <f>VLOOKUP(H271,위치!B:C,2,0)</f>
        <v>RF-01S-5093]CAM Cable_TEETH_R</v>
      </c>
      <c r="J271" s="9">
        <v>95</v>
      </c>
      <c r="K271" s="9"/>
      <c r="L271" s="9" t="str">
        <f>VLOOKUP(H271,위치!B:D,3,0)</f>
        <v>3F10</v>
      </c>
      <c r="M271" s="12">
        <v>46224</v>
      </c>
      <c r="N271" s="5" t="s">
        <v>4745</v>
      </c>
      <c r="O271" s="5">
        <v>84393</v>
      </c>
      <c r="P271" s="5">
        <v>50</v>
      </c>
      <c r="Q271" s="14">
        <v>46224</v>
      </c>
      <c r="R271" s="15">
        <f t="shared" si="4"/>
        <v>45</v>
      </c>
    </row>
    <row r="272" spans="2:18" x14ac:dyDescent="0.35">
      <c r="B272" s="9">
        <v>58</v>
      </c>
      <c r="C272" s="9" t="s">
        <v>4747</v>
      </c>
      <c r="D272" s="9"/>
      <c r="E272" s="9" t="s">
        <v>4746</v>
      </c>
      <c r="F272" s="9"/>
      <c r="G272" s="9"/>
      <c r="H272" s="9" t="s">
        <v>3925</v>
      </c>
      <c r="I272" s="11" t="str">
        <f>VLOOKUP(H272,위치!B:C,2,0)</f>
        <v>RF-01S-5083]CAM Trigger_L-R harness</v>
      </c>
      <c r="J272" s="9">
        <v>208</v>
      </c>
      <c r="K272" s="9"/>
      <c r="L272" s="9" t="str">
        <f>VLOOKUP(H272,위치!B:D,3,0)</f>
        <v>3L3-3</v>
      </c>
      <c r="M272" s="12">
        <v>46224</v>
      </c>
      <c r="N272" s="5" t="s">
        <v>4745</v>
      </c>
      <c r="O272" s="5">
        <v>84393</v>
      </c>
      <c r="P272" s="5">
        <v>50</v>
      </c>
      <c r="Q272" s="14">
        <v>46224</v>
      </c>
      <c r="R272" s="15">
        <f t="shared" si="4"/>
        <v>158</v>
      </c>
    </row>
    <row r="273" spans="2:18" x14ac:dyDescent="0.35">
      <c r="B273" s="9">
        <v>59</v>
      </c>
      <c r="C273" s="9" t="s">
        <v>4747</v>
      </c>
      <c r="D273" s="9"/>
      <c r="E273" s="9" t="s">
        <v>4746</v>
      </c>
      <c r="F273" s="9"/>
      <c r="G273" s="9"/>
      <c r="H273" s="9" t="s">
        <v>4006</v>
      </c>
      <c r="I273" s="11" t="str">
        <f>VLOOKUP(H273,위치!B:C,2,0)</f>
        <v>RF-01T-0353]WINDOW LED</v>
      </c>
      <c r="J273" s="9">
        <v>125</v>
      </c>
      <c r="K273" s="9"/>
      <c r="L273" s="9" t="str">
        <f>VLOOKUP(H273,위치!B:D,3,0)</f>
        <v>3E9</v>
      </c>
      <c r="M273" s="12">
        <v>46224</v>
      </c>
      <c r="N273" s="5" t="s">
        <v>4745</v>
      </c>
      <c r="O273" s="5">
        <v>84393</v>
      </c>
      <c r="P273" s="5">
        <v>50</v>
      </c>
      <c r="Q273" s="14">
        <v>46224</v>
      </c>
      <c r="R273" s="15">
        <f t="shared" si="4"/>
        <v>75</v>
      </c>
    </row>
    <row r="274" spans="2:18" x14ac:dyDescent="0.35">
      <c r="B274" s="9">
        <v>60</v>
      </c>
      <c r="C274" s="9" t="s">
        <v>4747</v>
      </c>
      <c r="D274" s="9"/>
      <c r="E274" s="9" t="s">
        <v>4746</v>
      </c>
      <c r="F274" s="9"/>
      <c r="G274" s="9"/>
      <c r="H274" s="9" t="s">
        <v>4010</v>
      </c>
      <c r="I274" s="11" t="str">
        <f>VLOOKUP(H274,위치!B:C,2,0)</f>
        <v>RF-01T-0355]CAMERA CASE R</v>
      </c>
      <c r="J274" s="9">
        <v>63</v>
      </c>
      <c r="K274" s="9"/>
      <c r="L274" s="9" t="str">
        <f>VLOOKUP(H274,위치!B:D,3,0)</f>
        <v>3E9</v>
      </c>
      <c r="M274" s="12">
        <v>46224</v>
      </c>
      <c r="N274" s="5" t="s">
        <v>4745</v>
      </c>
      <c r="O274" s="5">
        <v>84393</v>
      </c>
      <c r="P274" s="5">
        <v>50</v>
      </c>
      <c r="Q274" s="14">
        <v>46224</v>
      </c>
      <c r="R274" s="15">
        <f t="shared" si="4"/>
        <v>13</v>
      </c>
    </row>
    <row r="275" spans="2:18" x14ac:dyDescent="0.35">
      <c r="B275" s="9">
        <v>61</v>
      </c>
      <c r="C275" s="9" t="s">
        <v>4747</v>
      </c>
      <c r="D275" s="9"/>
      <c r="E275" s="9" t="s">
        <v>4746</v>
      </c>
      <c r="F275" s="9"/>
      <c r="G275" s="9"/>
      <c r="H275" s="9" t="s">
        <v>3795</v>
      </c>
      <c r="I275" s="11" t="str">
        <f>VLOOKUP(H275,위치!B:C,2,0)</f>
        <v>RF-01B-5037] LED SIDE BOARD_REV2</v>
      </c>
      <c r="J275" s="9">
        <v>258</v>
      </c>
      <c r="K275" s="9"/>
      <c r="L275" s="9" t="str">
        <f>VLOOKUP(H275,위치!B:D,3,0)</f>
        <v>A5-4</v>
      </c>
      <c r="M275" s="12">
        <v>46224</v>
      </c>
      <c r="N275" s="5" t="s">
        <v>4745</v>
      </c>
      <c r="O275" s="5">
        <v>84393</v>
      </c>
      <c r="P275" s="5">
        <v>50</v>
      </c>
      <c r="Q275" s="14">
        <v>46224</v>
      </c>
      <c r="R275" s="15">
        <f t="shared" si="4"/>
        <v>208</v>
      </c>
    </row>
    <row r="276" spans="2:18" x14ac:dyDescent="0.35">
      <c r="B276" s="9">
        <v>62</v>
      </c>
      <c r="C276" s="9" t="s">
        <v>4747</v>
      </c>
      <c r="D276" s="9"/>
      <c r="E276" s="9" t="s">
        <v>4746</v>
      </c>
      <c r="F276" s="9"/>
      <c r="G276" s="9"/>
      <c r="H276" s="9" t="s">
        <v>3960</v>
      </c>
      <c r="I276" s="11" t="str">
        <f>VLOOKUP(H276,위치!B:C,2,0)</f>
        <v>RF-01T-0171]ARM CVR REAR R</v>
      </c>
      <c r="J276" s="9">
        <v>83</v>
      </c>
      <c r="K276" s="9"/>
      <c r="L276" s="9" t="str">
        <f>VLOOKUP(H276,위치!B:D,3,0)</f>
        <v>3B4</v>
      </c>
      <c r="M276" s="12">
        <v>46224</v>
      </c>
      <c r="N276" s="5" t="s">
        <v>4745</v>
      </c>
      <c r="O276" s="5">
        <v>84393</v>
      </c>
      <c r="P276" s="5">
        <v>50</v>
      </c>
      <c r="Q276" s="14">
        <v>46224</v>
      </c>
      <c r="R276" s="15">
        <f t="shared" si="4"/>
        <v>33</v>
      </c>
    </row>
    <row r="277" spans="2:18" x14ac:dyDescent="0.35">
      <c r="B277" s="9">
        <v>63</v>
      </c>
      <c r="C277" s="9" t="s">
        <v>4747</v>
      </c>
      <c r="D277" s="9"/>
      <c r="E277" s="9" t="s">
        <v>4746</v>
      </c>
      <c r="F277" s="9"/>
      <c r="G277" s="9"/>
      <c r="H277" s="9" t="s">
        <v>3966</v>
      </c>
      <c r="I277" s="11" t="str">
        <f>VLOOKUP(H277,위치!B:C,2,0)</f>
        <v>RF-01T-0173]ARM CVR REAR DECO</v>
      </c>
      <c r="J277" s="9">
        <v>240</v>
      </c>
      <c r="K277" s="9"/>
      <c r="L277" s="9" t="str">
        <f>VLOOKUP(H277,위치!B:D,3,0)</f>
        <v>3B8</v>
      </c>
      <c r="M277" s="12">
        <v>46224</v>
      </c>
      <c r="N277" s="5" t="s">
        <v>4745</v>
      </c>
      <c r="O277" s="5">
        <v>84393</v>
      </c>
      <c r="P277" s="5">
        <v>50</v>
      </c>
      <c r="Q277" s="14">
        <v>46224</v>
      </c>
      <c r="R277" s="15">
        <f t="shared" si="4"/>
        <v>190</v>
      </c>
    </row>
    <row r="278" spans="2:18" x14ac:dyDescent="0.35">
      <c r="B278" s="9">
        <v>64</v>
      </c>
      <c r="C278" s="9" t="s">
        <v>4747</v>
      </c>
      <c r="D278" s="9"/>
      <c r="E278" s="9" t="s">
        <v>4746</v>
      </c>
      <c r="F278" s="9"/>
      <c r="G278" s="9"/>
      <c r="H278" s="9" t="s">
        <v>4012</v>
      </c>
      <c r="I278" s="11" t="str">
        <f>VLOOKUP(H278,위치!B:C,2,0)</f>
        <v>RF-01T-0356]RUBBER CAP ARM</v>
      </c>
      <c r="J278" s="9">
        <v>209</v>
      </c>
      <c r="K278" s="9"/>
      <c r="L278" s="9" t="str">
        <f>VLOOKUP(H278,위치!B:D,3,0)</f>
        <v>3L4-2</v>
      </c>
      <c r="M278" s="12">
        <v>46224</v>
      </c>
      <c r="N278" s="5" t="s">
        <v>4745</v>
      </c>
      <c r="O278" s="5">
        <v>84393</v>
      </c>
      <c r="P278" s="5">
        <v>50</v>
      </c>
      <c r="Q278" s="14">
        <v>46224</v>
      </c>
      <c r="R278" s="15">
        <f t="shared" si="4"/>
        <v>159</v>
      </c>
    </row>
    <row r="279" spans="2:18" x14ac:dyDescent="0.35">
      <c r="B279" s="9">
        <v>65</v>
      </c>
      <c r="C279" s="9" t="s">
        <v>4747</v>
      </c>
      <c r="D279" s="9"/>
      <c r="E279" s="9" t="s">
        <v>4746</v>
      </c>
      <c r="F279" s="9"/>
      <c r="G279" s="9"/>
      <c r="H279" s="9" t="s">
        <v>3997</v>
      </c>
      <c r="I279" s="11" t="str">
        <f>VLOOKUP(H279,위치!B:C,2,0)</f>
        <v>RF-01T-0241]CAL Bas UPPER</v>
      </c>
      <c r="J279" s="9">
        <v>294</v>
      </c>
      <c r="K279" s="9"/>
      <c r="L279" s="9" t="str">
        <f>VLOOKUP(H279,위치!B:D,3,0)</f>
        <v>3E5</v>
      </c>
      <c r="M279" s="12">
        <v>46224</v>
      </c>
      <c r="N279" s="5" t="s">
        <v>4745</v>
      </c>
      <c r="O279" s="5">
        <v>84393</v>
      </c>
      <c r="P279" s="5">
        <v>50</v>
      </c>
      <c r="Q279" s="14">
        <v>46224</v>
      </c>
      <c r="R279" s="15">
        <f t="shared" si="4"/>
        <v>244</v>
      </c>
    </row>
    <row r="280" spans="2:18" x14ac:dyDescent="0.35">
      <c r="B280" s="9">
        <v>66</v>
      </c>
      <c r="C280" s="9" t="s">
        <v>4747</v>
      </c>
      <c r="D280" s="9"/>
      <c r="E280" s="9" t="s">
        <v>4746</v>
      </c>
      <c r="F280" s="9"/>
      <c r="G280" s="9"/>
      <c r="H280" s="9" t="s">
        <v>3853</v>
      </c>
      <c r="I280" s="11" t="str">
        <f>VLOOKUP(H280,위치!B:C,2,0)</f>
        <v>RF-01H-5070]Power Switch harness</v>
      </c>
      <c r="J280" s="9">
        <v>33</v>
      </c>
      <c r="K280" s="9"/>
      <c r="L280" s="9" t="str">
        <f>VLOOKUP(H280,위치!B:D,3,0)</f>
        <v>3S3-6</v>
      </c>
      <c r="M280" s="12">
        <v>46224</v>
      </c>
      <c r="N280" s="5" t="s">
        <v>4745</v>
      </c>
      <c r="O280" s="5">
        <v>84393</v>
      </c>
      <c r="P280" s="5">
        <v>33</v>
      </c>
      <c r="Q280" s="14">
        <v>46224</v>
      </c>
      <c r="R280" s="15">
        <f t="shared" si="4"/>
        <v>0</v>
      </c>
    </row>
    <row r="281" spans="2:18" x14ac:dyDescent="0.35">
      <c r="B281" s="9">
        <v>67</v>
      </c>
      <c r="C281" s="9" t="s">
        <v>4747</v>
      </c>
      <c r="D281" s="9"/>
      <c r="E281" s="9" t="s">
        <v>4746</v>
      </c>
      <c r="F281" s="9"/>
      <c r="G281" s="9"/>
      <c r="H281" s="9" t="s">
        <v>4001</v>
      </c>
      <c r="I281" s="11" t="str">
        <f>VLOOKUP(H281,위치!B:C,2,0)</f>
        <v>RF-01T-0351]WINDOW LED B</v>
      </c>
      <c r="J281" s="9">
        <v>112</v>
      </c>
      <c r="K281" s="9"/>
      <c r="L281" s="9" t="str">
        <f>VLOOKUP(H281,위치!B:D,3,0)</f>
        <v>3E9</v>
      </c>
      <c r="M281" s="12">
        <v>46224</v>
      </c>
      <c r="N281" s="5" t="s">
        <v>4745</v>
      </c>
      <c r="O281" s="5">
        <v>84393</v>
      </c>
      <c r="P281" s="5">
        <v>50</v>
      </c>
      <c r="Q281" s="14">
        <v>46224</v>
      </c>
      <c r="R281" s="15">
        <f t="shared" si="4"/>
        <v>62</v>
      </c>
    </row>
    <row r="282" spans="2:18" x14ac:dyDescent="0.35">
      <c r="B282" s="9">
        <v>68</v>
      </c>
      <c r="C282" s="9" t="s">
        <v>4747</v>
      </c>
      <c r="D282" s="9"/>
      <c r="E282" s="9" t="s">
        <v>4746</v>
      </c>
      <c r="F282" s="9"/>
      <c r="G282" s="9"/>
      <c r="H282" s="9" t="s">
        <v>3798</v>
      </c>
      <c r="I282" s="11" t="str">
        <f>VLOOKUP(H282,위치!B:C,2,0)</f>
        <v>RF-01B-5038] BOTTOM LED BOARD</v>
      </c>
      <c r="J282" s="9">
        <v>150</v>
      </c>
      <c r="K282" s="9"/>
      <c r="L282" s="9" t="str">
        <f>VLOOKUP(H282,위치!B:D,3,0)</f>
        <v>A6-4</v>
      </c>
      <c r="M282" s="12">
        <v>46224</v>
      </c>
      <c r="N282" s="5" t="s">
        <v>4745</v>
      </c>
      <c r="O282" s="5">
        <v>84393</v>
      </c>
      <c r="P282" s="5">
        <v>50</v>
      </c>
      <c r="Q282" s="14">
        <v>46224</v>
      </c>
      <c r="R282" s="15">
        <f t="shared" si="4"/>
        <v>100</v>
      </c>
    </row>
    <row r="283" spans="2:18" x14ac:dyDescent="0.35">
      <c r="B283" s="9">
        <v>69</v>
      </c>
      <c r="C283" s="9" t="s">
        <v>4747</v>
      </c>
      <c r="D283" s="9"/>
      <c r="E283" s="9" t="s">
        <v>4746</v>
      </c>
      <c r="F283" s="9"/>
      <c r="G283" s="9"/>
      <c r="H283" s="9" t="s">
        <v>4004</v>
      </c>
      <c r="I283" s="11" t="str">
        <f>VLOOKUP(H283,위치!B:C,2,0)</f>
        <v>RF-01T-0352]CAMERA CASE B</v>
      </c>
      <c r="J283" s="9">
        <v>115</v>
      </c>
      <c r="K283" s="9"/>
      <c r="L283" s="9" t="str">
        <f>VLOOKUP(H283,위치!B:D,3,0)</f>
        <v>3E9</v>
      </c>
      <c r="M283" s="12">
        <v>46224</v>
      </c>
      <c r="N283" s="5" t="s">
        <v>4745</v>
      </c>
      <c r="O283" s="5">
        <v>84393</v>
      </c>
      <c r="P283" s="5">
        <v>50</v>
      </c>
      <c r="Q283" s="14">
        <v>46224</v>
      </c>
      <c r="R283" s="15">
        <f t="shared" si="4"/>
        <v>65</v>
      </c>
    </row>
    <row r="284" spans="2:18" x14ac:dyDescent="0.35">
      <c r="B284" s="9">
        <v>70</v>
      </c>
      <c r="C284" s="9" t="s">
        <v>4747</v>
      </c>
      <c r="D284" s="9"/>
      <c r="E284" s="9" t="s">
        <v>4746</v>
      </c>
      <c r="F284" s="9"/>
      <c r="G284" s="9"/>
      <c r="H284" s="9" t="s">
        <v>3851</v>
      </c>
      <c r="I284" s="11" t="str">
        <f>VLOOKUP(H284,위치!B:C,2,0)</f>
        <v>RF-01H-5069]LED_Bottom harness</v>
      </c>
      <c r="J284" s="9">
        <v>53</v>
      </c>
      <c r="K284" s="9"/>
      <c r="L284" s="9" t="str">
        <f>VLOOKUP(H284,위치!B:D,3,0)</f>
        <v>3S3-5</v>
      </c>
      <c r="M284" s="12">
        <v>46224</v>
      </c>
      <c r="N284" s="5" t="s">
        <v>4745</v>
      </c>
      <c r="O284" s="5">
        <v>84393</v>
      </c>
      <c r="P284" s="5">
        <v>50</v>
      </c>
      <c r="Q284" s="14">
        <v>46224</v>
      </c>
      <c r="R284" s="15">
        <f t="shared" si="4"/>
        <v>3</v>
      </c>
    </row>
    <row r="285" spans="2:18" x14ac:dyDescent="0.35">
      <c r="B285" s="9">
        <v>71</v>
      </c>
      <c r="C285" s="9" t="s">
        <v>4747</v>
      </c>
      <c r="D285" s="9"/>
      <c r="E285" s="9" t="s">
        <v>4746</v>
      </c>
      <c r="F285" s="9"/>
      <c r="G285" s="9"/>
      <c r="H285" s="9" t="s">
        <v>3801</v>
      </c>
      <c r="I285" s="11" t="str">
        <f>VLOOKUP(H285,위치!B:C,2,0)</f>
        <v>RF-01B-5039]POWER HUB Bd</v>
      </c>
      <c r="J285" s="9">
        <v>250</v>
      </c>
      <c r="K285" s="9"/>
      <c r="L285" s="9" t="str">
        <f>VLOOKUP(H285,위치!B:D,3,0)</f>
        <v>A3-4</v>
      </c>
      <c r="M285" s="12">
        <v>46224</v>
      </c>
      <c r="N285" s="5" t="s">
        <v>4745</v>
      </c>
      <c r="O285" s="5">
        <v>84393</v>
      </c>
      <c r="P285" s="5">
        <v>50</v>
      </c>
      <c r="Q285" s="14">
        <v>46224</v>
      </c>
      <c r="R285" s="15">
        <f t="shared" si="4"/>
        <v>200</v>
      </c>
    </row>
    <row r="286" spans="2:18" x14ac:dyDescent="0.35">
      <c r="B286" s="9">
        <v>72</v>
      </c>
      <c r="C286" s="9" t="s">
        <v>4747</v>
      </c>
      <c r="D286" s="9"/>
      <c r="E286" s="9" t="s">
        <v>4746</v>
      </c>
      <c r="F286" s="9"/>
      <c r="G286" s="9"/>
      <c r="H286" s="9" t="s">
        <v>4019</v>
      </c>
      <c r="I286" s="11" t="str">
        <f>VLOOKUP(H286,위치!B:C,2,0)</f>
        <v>RF-01V-0209]FRONT BRK TOP</v>
      </c>
      <c r="J286" s="9">
        <v>105</v>
      </c>
      <c r="K286" s="9"/>
      <c r="L286" s="9" t="str">
        <f>VLOOKUP(H286,위치!B:D,3,0)</f>
        <v>3L4-5</v>
      </c>
      <c r="M286" s="12">
        <v>46224</v>
      </c>
      <c r="N286" s="5" t="s">
        <v>4745</v>
      </c>
      <c r="O286" s="5">
        <v>84393</v>
      </c>
      <c r="P286" s="5">
        <v>50</v>
      </c>
      <c r="Q286" s="14">
        <v>46224</v>
      </c>
      <c r="R286" s="15">
        <f t="shared" si="4"/>
        <v>55</v>
      </c>
    </row>
    <row r="287" spans="2:18" x14ac:dyDescent="0.35">
      <c r="B287" s="9">
        <v>73</v>
      </c>
      <c r="C287" s="9" t="s">
        <v>4747</v>
      </c>
      <c r="D287" s="9"/>
      <c r="E287" s="9" t="s">
        <v>4746</v>
      </c>
      <c r="F287" s="9"/>
      <c r="G287" s="9"/>
      <c r="H287" s="9" t="s">
        <v>3937</v>
      </c>
      <c r="I287" s="11" t="str">
        <f>VLOOKUP(H287,위치!B:C,2,0)</f>
        <v>RF-01S-5090]CAM Cable_TEETH_L</v>
      </c>
      <c r="J287" s="9">
        <v>106</v>
      </c>
      <c r="K287" s="9"/>
      <c r="L287" s="9" t="str">
        <f>VLOOKUP(H287,위치!B:D,3,0)</f>
        <v>3F10</v>
      </c>
      <c r="M287" s="12">
        <v>46224</v>
      </c>
      <c r="N287" s="5" t="s">
        <v>4745</v>
      </c>
      <c r="O287" s="5">
        <v>84393</v>
      </c>
      <c r="P287" s="5">
        <v>50</v>
      </c>
      <c r="Q287" s="14">
        <v>46224</v>
      </c>
      <c r="R287" s="15">
        <f t="shared" si="4"/>
        <v>56</v>
      </c>
    </row>
    <row r="288" spans="2:18" x14ac:dyDescent="0.35">
      <c r="B288" s="9">
        <v>74</v>
      </c>
      <c r="C288" s="9" t="s">
        <v>4747</v>
      </c>
      <c r="D288" s="9"/>
      <c r="E288" s="9" t="s">
        <v>4746</v>
      </c>
      <c r="F288" s="9"/>
      <c r="G288" s="9"/>
      <c r="H288" s="9" t="s">
        <v>4008</v>
      </c>
      <c r="I288" s="11" t="str">
        <f>VLOOKUP(H288,위치!B:C,2,0)</f>
        <v>RF-01T-0354]CAMERA CASE L</v>
      </c>
      <c r="J288" s="9">
        <v>54</v>
      </c>
      <c r="K288" s="9"/>
      <c r="L288" s="9" t="str">
        <f>VLOOKUP(H288,위치!B:D,3,0)</f>
        <v>3E9</v>
      </c>
      <c r="M288" s="12">
        <v>46224</v>
      </c>
      <c r="N288" s="5" t="s">
        <v>4745</v>
      </c>
      <c r="O288" s="5">
        <v>84393</v>
      </c>
      <c r="P288" s="5">
        <v>50</v>
      </c>
      <c r="Q288" s="14">
        <v>46224</v>
      </c>
      <c r="R288" s="15">
        <f t="shared" si="4"/>
        <v>4</v>
      </c>
    </row>
    <row r="289" spans="2:18" x14ac:dyDescent="0.35">
      <c r="B289" s="9">
        <v>75</v>
      </c>
      <c r="C289" s="9" t="s">
        <v>4747</v>
      </c>
      <c r="D289" s="9"/>
      <c r="E289" s="9" t="s">
        <v>4746</v>
      </c>
      <c r="F289" s="9"/>
      <c r="G289" s="9"/>
      <c r="H289" s="9" t="s">
        <v>3847</v>
      </c>
      <c r="I289" s="11" t="str">
        <f>VLOOKUP(H289,위치!B:C,2,0)</f>
        <v>RF-01H-5067]LED_Right harness</v>
      </c>
      <c r="J289" s="9">
        <v>40</v>
      </c>
      <c r="K289" s="9"/>
      <c r="L289" s="9" t="str">
        <f>VLOOKUP(H289,위치!B:D,3,0)</f>
        <v>3S3-5</v>
      </c>
      <c r="M289" s="12">
        <v>46224</v>
      </c>
      <c r="N289" s="5" t="s">
        <v>4745</v>
      </c>
      <c r="O289" s="5">
        <v>84393</v>
      </c>
      <c r="P289" s="5">
        <v>40</v>
      </c>
      <c r="Q289" s="14">
        <v>46224</v>
      </c>
      <c r="R289" s="15">
        <f t="shared" si="4"/>
        <v>0</v>
      </c>
    </row>
    <row r="290" spans="2:18" x14ac:dyDescent="0.35">
      <c r="B290" s="9">
        <v>76</v>
      </c>
      <c r="C290" s="9" t="s">
        <v>4747</v>
      </c>
      <c r="D290" s="9"/>
      <c r="E290" s="9" t="s">
        <v>4746</v>
      </c>
      <c r="F290" s="9"/>
      <c r="G290" s="9"/>
      <c r="H290" s="9" t="s">
        <v>3963</v>
      </c>
      <c r="I290" s="11" t="str">
        <f>VLOOKUP(H290,위치!B:C,2,0)</f>
        <v>RF-01T-0172]ARM CVR REAR L</v>
      </c>
      <c r="J290" s="9">
        <v>99</v>
      </c>
      <c r="K290" s="9"/>
      <c r="L290" s="9" t="str">
        <f>VLOOKUP(H290,위치!B:D,3,0)</f>
        <v>3B5</v>
      </c>
      <c r="M290" s="12">
        <v>46224</v>
      </c>
      <c r="N290" s="5" t="s">
        <v>4745</v>
      </c>
      <c r="O290" s="5">
        <v>84393</v>
      </c>
      <c r="P290" s="5">
        <v>50</v>
      </c>
      <c r="Q290" s="14">
        <v>46224</v>
      </c>
      <c r="R290" s="15">
        <f t="shared" si="4"/>
        <v>49</v>
      </c>
    </row>
    <row r="291" spans="2:18" x14ac:dyDescent="0.35">
      <c r="B291" s="9">
        <v>77</v>
      </c>
      <c r="C291" s="9" t="s">
        <v>4747</v>
      </c>
      <c r="D291" s="9"/>
      <c r="E291" s="9" t="s">
        <v>4746</v>
      </c>
      <c r="F291" s="9"/>
      <c r="G291" s="9"/>
      <c r="H291" s="9" t="s">
        <v>3985</v>
      </c>
      <c r="I291" s="11" t="str">
        <f>VLOOKUP(H291,위치!B:C,2,0)</f>
        <v>RF-01T-0196]CVR REAR</v>
      </c>
      <c r="J291" s="9">
        <v>0</v>
      </c>
      <c r="K291" s="9"/>
      <c r="L291" s="9" t="str">
        <f>VLOOKUP(H291,위치!B:D,3,0)</f>
        <v>3I5</v>
      </c>
      <c r="M291" s="12">
        <v>46224</v>
      </c>
      <c r="N291" s="5" t="s">
        <v>4745</v>
      </c>
      <c r="O291" s="5">
        <v>84393</v>
      </c>
      <c r="P291" s="5">
        <v>0</v>
      </c>
      <c r="Q291" s="14">
        <v>46224</v>
      </c>
      <c r="R291" s="15">
        <f t="shared" si="4"/>
        <v>0</v>
      </c>
    </row>
    <row r="292" spans="2:18" x14ac:dyDescent="0.35">
      <c r="B292" s="9">
        <v>78</v>
      </c>
      <c r="C292" s="9" t="s">
        <v>4747</v>
      </c>
      <c r="D292" s="9"/>
      <c r="E292" s="9" t="s">
        <v>4746</v>
      </c>
      <c r="F292" s="9"/>
      <c r="G292" s="9"/>
      <c r="H292" s="9" t="s">
        <v>3988</v>
      </c>
      <c r="I292" s="11" t="str">
        <f>VLOOKUP(H292,위치!B:C,2,0)</f>
        <v>RF-01T-0199]CVR REAR TOP</v>
      </c>
      <c r="J292" s="9">
        <v>123</v>
      </c>
      <c r="K292" s="9"/>
      <c r="L292" s="9" t="str">
        <f>VLOOKUP(H292,위치!B:D,3,0)</f>
        <v>3F5</v>
      </c>
      <c r="M292" s="12">
        <v>46224</v>
      </c>
      <c r="N292" s="5" t="s">
        <v>4745</v>
      </c>
      <c r="O292" s="5">
        <v>84393</v>
      </c>
      <c r="P292" s="5">
        <v>50</v>
      </c>
      <c r="Q292" s="14">
        <v>46224</v>
      </c>
      <c r="R292" s="15">
        <f t="shared" si="4"/>
        <v>73</v>
      </c>
    </row>
    <row r="293" spans="2:18" x14ac:dyDescent="0.35">
      <c r="B293" s="9">
        <v>79</v>
      </c>
      <c r="C293" s="9" t="s">
        <v>4747</v>
      </c>
      <c r="D293" s="9"/>
      <c r="E293" s="9" t="s">
        <v>4746</v>
      </c>
      <c r="F293" s="9"/>
      <c r="G293" s="9"/>
      <c r="H293" s="9" t="s">
        <v>4032</v>
      </c>
      <c r="I293" s="11" t="str">
        <f>VLOOKUP(H293,위치!B:C,2,0)</f>
        <v>RF-09P-0271]MIRROR PROTIVE FILM</v>
      </c>
      <c r="J293" s="9">
        <v>1603</v>
      </c>
      <c r="K293" s="9"/>
      <c r="L293" s="9" t="str">
        <f>VLOOKUP(H293,위치!B:D,3,0)</f>
        <v>3S3-1</v>
      </c>
      <c r="M293" s="12">
        <v>46224</v>
      </c>
      <c r="N293" s="5" t="s">
        <v>4745</v>
      </c>
      <c r="O293" s="5">
        <v>84393</v>
      </c>
      <c r="P293" s="5">
        <v>50</v>
      </c>
      <c r="Q293" s="14">
        <v>46224</v>
      </c>
      <c r="R293" s="15">
        <f t="shared" si="4"/>
        <v>1553</v>
      </c>
    </row>
    <row r="294" spans="2:18" x14ac:dyDescent="0.35">
      <c r="B294" s="9">
        <v>80</v>
      </c>
      <c r="C294" s="9" t="s">
        <v>4747</v>
      </c>
      <c r="D294" s="9"/>
      <c r="E294" s="9" t="s">
        <v>4746</v>
      </c>
      <c r="F294" s="9"/>
      <c r="G294" s="9"/>
      <c r="H294" s="9" t="s">
        <v>4282</v>
      </c>
      <c r="I294" s="11" t="str">
        <f>VLOOKUP(H294,위치!B:C,2,0)</f>
        <v>RP-01H-5009]Lan cable</v>
      </c>
      <c r="J294" s="9">
        <v>59</v>
      </c>
      <c r="K294" s="9"/>
      <c r="L294" s="9" t="str">
        <f>VLOOKUP(H294,위치!B:D,3,0)</f>
        <v>3S3-2</v>
      </c>
      <c r="M294" s="12">
        <v>46224</v>
      </c>
      <c r="N294" s="5" t="s">
        <v>4745</v>
      </c>
      <c r="O294" s="5">
        <v>84393</v>
      </c>
      <c r="P294" s="5">
        <v>59</v>
      </c>
      <c r="Q294" s="14">
        <v>46224</v>
      </c>
      <c r="R294" s="15">
        <f t="shared" si="4"/>
        <v>0</v>
      </c>
    </row>
    <row r="295" spans="2:18" x14ac:dyDescent="0.35">
      <c r="B295" s="9">
        <v>81</v>
      </c>
      <c r="C295" s="9" t="s">
        <v>4747</v>
      </c>
      <c r="D295" s="9"/>
      <c r="E295" s="9" t="s">
        <v>4746</v>
      </c>
      <c r="F295" s="9"/>
      <c r="G295" s="9"/>
      <c r="H295" s="9" t="s">
        <v>4738</v>
      </c>
      <c r="I295" s="11">
        <f>VLOOKUP(H295,위치!B:C,2,0)</f>
        <v>0</v>
      </c>
      <c r="J295" s="9">
        <v>161</v>
      </c>
      <c r="K295" s="9"/>
      <c r="L295" s="9" t="str">
        <f>VLOOKUP(H295,위치!B:D,3,0)</f>
        <v>3B21</v>
      </c>
      <c r="M295" s="12">
        <v>46224</v>
      </c>
      <c r="N295" s="5" t="s">
        <v>4745</v>
      </c>
      <c r="O295" s="5">
        <v>84393</v>
      </c>
      <c r="P295" s="5">
        <v>50</v>
      </c>
      <c r="Q295" s="14">
        <v>46224</v>
      </c>
      <c r="R295" s="15">
        <f t="shared" si="4"/>
        <v>111</v>
      </c>
    </row>
    <row r="296" spans="2:18" x14ac:dyDescent="0.35">
      <c r="B296" s="9">
        <v>82</v>
      </c>
      <c r="C296" s="9" t="s">
        <v>4747</v>
      </c>
      <c r="D296" s="9"/>
      <c r="E296" s="9" t="s">
        <v>4746</v>
      </c>
      <c r="F296" s="9"/>
      <c r="G296" s="9"/>
      <c r="H296" s="9" t="s">
        <v>2907</v>
      </c>
      <c r="I296" s="11" t="str">
        <f>VLOOKUP(H296,위치!B:C,2,0)</f>
        <v>RD-00S-5201]USB A to B Cable</v>
      </c>
      <c r="J296" s="9">
        <v>170</v>
      </c>
      <c r="K296" s="9"/>
      <c r="L296" s="9" t="str">
        <f>VLOOKUP(H296,위치!B:D,3,0)</f>
        <v>3S3-2</v>
      </c>
      <c r="M296" s="12">
        <v>46224</v>
      </c>
      <c r="N296" s="5" t="s">
        <v>4745</v>
      </c>
      <c r="O296" s="5">
        <v>84393</v>
      </c>
      <c r="P296" s="5">
        <v>50</v>
      </c>
      <c r="Q296" s="14">
        <v>46224</v>
      </c>
      <c r="R296" s="15">
        <f t="shared" si="4"/>
        <v>120</v>
      </c>
    </row>
    <row r="297" spans="2:18" x14ac:dyDescent="0.35">
      <c r="B297" s="9">
        <v>83</v>
      </c>
      <c r="C297" s="9" t="s">
        <v>4747</v>
      </c>
      <c r="D297" s="9"/>
      <c r="E297" s="9" t="s">
        <v>4746</v>
      </c>
      <c r="F297" s="9"/>
      <c r="G297" s="9"/>
      <c r="H297" s="9" t="s">
        <v>4622</v>
      </c>
      <c r="I297" s="11">
        <f>VLOOKUP(H297,위치!B:C,2,0)</f>
        <v>0</v>
      </c>
      <c r="J297" s="9">
        <v>355</v>
      </c>
      <c r="K297" s="9"/>
      <c r="L297" s="9" t="str">
        <f>VLOOKUP(H297,위치!B:D,3,0)</f>
        <v>3B20</v>
      </c>
      <c r="M297" s="12">
        <v>46224</v>
      </c>
      <c r="N297" s="5" t="s">
        <v>4745</v>
      </c>
      <c r="O297" s="5">
        <v>84393</v>
      </c>
      <c r="P297" s="5">
        <v>50</v>
      </c>
      <c r="Q297" s="14">
        <v>46224</v>
      </c>
      <c r="R297" s="15">
        <f t="shared" si="4"/>
        <v>305</v>
      </c>
    </row>
    <row r="298" spans="2:18" x14ac:dyDescent="0.35">
      <c r="B298" s="9">
        <v>179</v>
      </c>
      <c r="C298" s="9" t="s">
        <v>4747</v>
      </c>
      <c r="D298" s="9"/>
      <c r="E298" s="9" t="s">
        <v>4825</v>
      </c>
      <c r="F298" s="9"/>
      <c r="G298" s="9"/>
      <c r="H298" s="9" t="s">
        <v>4048</v>
      </c>
      <c r="I298" s="11" t="str">
        <f>VLOOKUP(H298,위치!B:C,2,0)</f>
        <v>RF-20A-0280]MODULE DLP MCU BRACKET</v>
      </c>
      <c r="J298" s="9">
        <v>100</v>
      </c>
      <c r="K298" s="9"/>
      <c r="L298" s="9" t="str">
        <f>VLOOKUP(H298,위치!B:D,3,0)</f>
        <v>3F2</v>
      </c>
      <c r="M298" s="12">
        <v>46227</v>
      </c>
      <c r="N298" s="5" t="s">
        <v>4745</v>
      </c>
      <c r="O298" s="5">
        <v>84393</v>
      </c>
      <c r="P298" s="5">
        <v>50</v>
      </c>
      <c r="Q298" s="14">
        <v>46227</v>
      </c>
      <c r="R298" s="15">
        <f t="shared" si="4"/>
        <v>50</v>
      </c>
    </row>
    <row r="299" spans="2:18" x14ac:dyDescent="0.35">
      <c r="B299" s="9">
        <v>181</v>
      </c>
      <c r="C299" s="9" t="s">
        <v>4747</v>
      </c>
      <c r="D299" s="9"/>
      <c r="E299" s="9" t="s">
        <v>18</v>
      </c>
      <c r="F299" s="9"/>
      <c r="G299" s="9"/>
      <c r="H299" s="9" t="s">
        <v>3822</v>
      </c>
      <c r="I299" s="11" t="str">
        <f>VLOOKUP(H299,위치!B:C,2,0)</f>
        <v>RF-01H-5052]USB TO SBC HARNESS</v>
      </c>
      <c r="J299" s="9">
        <v>7</v>
      </c>
      <c r="K299" s="9"/>
      <c r="L299" s="9" t="str">
        <f>VLOOKUP(H299,위치!B:D,3,0)</f>
        <v>3S3-4</v>
      </c>
      <c r="M299" s="12">
        <v>46227</v>
      </c>
      <c r="N299" s="5" t="s">
        <v>4745</v>
      </c>
      <c r="O299" s="5">
        <v>84393</v>
      </c>
      <c r="P299" s="5">
        <v>5</v>
      </c>
      <c r="Q299" s="14">
        <v>46230</v>
      </c>
      <c r="R299" s="15">
        <f t="shared" si="4"/>
        <v>2</v>
      </c>
    </row>
    <row r="300" spans="2:18" x14ac:dyDescent="0.35">
      <c r="B300" s="9">
        <v>182</v>
      </c>
      <c r="C300" s="9" t="s">
        <v>4747</v>
      </c>
      <c r="D300" s="9"/>
      <c r="E300" s="9" t="s">
        <v>18</v>
      </c>
      <c r="F300" s="9"/>
      <c r="G300" s="9"/>
      <c r="H300" s="9" t="s">
        <v>3825</v>
      </c>
      <c r="I300" s="11" t="str">
        <f>VLOOKUP(H300,위치!B:C,2,0)</f>
        <v>RF-01H-5053]USB to PC harness</v>
      </c>
      <c r="J300" s="9">
        <v>11</v>
      </c>
      <c r="K300" s="9"/>
      <c r="L300" s="9" t="str">
        <f>VLOOKUP(H300,위치!B:D,3,0)</f>
        <v>3S3-4</v>
      </c>
      <c r="M300" s="12">
        <v>46227</v>
      </c>
      <c r="N300" s="5" t="s">
        <v>4745</v>
      </c>
      <c r="O300" s="5">
        <v>84393</v>
      </c>
      <c r="P300" s="5">
        <v>6</v>
      </c>
      <c r="Q300" s="14">
        <v>46230</v>
      </c>
      <c r="R300" s="15">
        <f t="shared" si="4"/>
        <v>5</v>
      </c>
    </row>
    <row r="301" spans="2:18" x14ac:dyDescent="0.35">
      <c r="B301" s="9">
        <v>183</v>
      </c>
      <c r="C301" s="9" t="s">
        <v>4747</v>
      </c>
      <c r="D301" s="9"/>
      <c r="E301" s="9" t="s">
        <v>18</v>
      </c>
      <c r="F301" s="9"/>
      <c r="G301" s="9"/>
      <c r="H301" s="9" t="s">
        <v>3827</v>
      </c>
      <c r="I301" s="11" t="str">
        <f>VLOOKUP(H301,위치!B:C,2,0)</f>
        <v>RF-01H-5054]DLP Power harness</v>
      </c>
      <c r="J301" s="9">
        <v>14</v>
      </c>
      <c r="K301" s="9"/>
      <c r="L301" s="9" t="str">
        <f>VLOOKUP(H301,위치!B:D,3,0)</f>
        <v>3S3-4</v>
      </c>
      <c r="M301" s="12">
        <v>46227</v>
      </c>
      <c r="N301" s="5" t="s">
        <v>4745</v>
      </c>
      <c r="O301" s="5">
        <v>84393</v>
      </c>
      <c r="P301" s="5">
        <v>12</v>
      </c>
      <c r="Q301" s="14">
        <v>46230</v>
      </c>
      <c r="R301" s="15">
        <f t="shared" si="4"/>
        <v>2</v>
      </c>
    </row>
    <row r="302" spans="2:18" x14ac:dyDescent="0.35">
      <c r="B302" s="9">
        <v>184</v>
      </c>
      <c r="C302" s="9" t="s">
        <v>4747</v>
      </c>
      <c r="D302" s="9"/>
      <c r="E302" s="9" t="s">
        <v>18</v>
      </c>
      <c r="F302" s="9"/>
      <c r="G302" s="9"/>
      <c r="H302" s="9" t="s">
        <v>3829</v>
      </c>
      <c r="I302" s="11" t="str">
        <f>VLOOKUP(H302,위치!B:C,2,0)</f>
        <v>RF-01H-5055]LED Power harness</v>
      </c>
      <c r="J302" s="9">
        <v>18</v>
      </c>
      <c r="K302" s="9"/>
      <c r="L302" s="9" t="str">
        <f>VLOOKUP(H302,위치!B:D,3,0)</f>
        <v>3S3-4</v>
      </c>
      <c r="M302" s="12">
        <v>46227</v>
      </c>
      <c r="N302" s="5" t="s">
        <v>4745</v>
      </c>
      <c r="O302" s="5">
        <v>84393</v>
      </c>
      <c r="P302" s="5">
        <v>15</v>
      </c>
      <c r="Q302" s="14">
        <v>46230</v>
      </c>
      <c r="R302" s="15">
        <f t="shared" si="4"/>
        <v>3</v>
      </c>
    </row>
    <row r="303" spans="2:18" x14ac:dyDescent="0.35">
      <c r="B303" s="9">
        <v>185</v>
      </c>
      <c r="C303" s="9" t="s">
        <v>4747</v>
      </c>
      <c r="D303" s="9"/>
      <c r="E303" s="9" t="s">
        <v>18</v>
      </c>
      <c r="F303" s="9"/>
      <c r="G303" s="9"/>
      <c r="H303" s="9" t="s">
        <v>3831</v>
      </c>
      <c r="I303" s="11" t="str">
        <f>VLOOKUP(H303,위치!B:C,2,0)</f>
        <v>RF-01H-5056]LED PWM harness</v>
      </c>
      <c r="J303" s="9">
        <v>16</v>
      </c>
      <c r="K303" s="9"/>
      <c r="L303" s="9" t="str">
        <f>VLOOKUP(H303,위치!B:D,3,0)</f>
        <v>3S3-4</v>
      </c>
      <c r="M303" s="12">
        <v>46227</v>
      </c>
      <c r="N303" s="5" t="s">
        <v>4745</v>
      </c>
      <c r="O303" s="5">
        <v>73781</v>
      </c>
      <c r="P303" s="5">
        <v>10</v>
      </c>
      <c r="Q303" s="14">
        <v>46230</v>
      </c>
      <c r="R303" s="15">
        <f t="shared" si="4"/>
        <v>6</v>
      </c>
    </row>
    <row r="304" spans="2:18" x14ac:dyDescent="0.35">
      <c r="B304" s="9">
        <v>186</v>
      </c>
      <c r="C304" s="9" t="s">
        <v>4747</v>
      </c>
      <c r="D304" s="9"/>
      <c r="E304" s="9" t="s">
        <v>18</v>
      </c>
      <c r="F304" s="9"/>
      <c r="G304" s="9"/>
      <c r="H304" s="9" t="s">
        <v>3847</v>
      </c>
      <c r="I304" s="11" t="str">
        <f>VLOOKUP(H304,위치!B:C,2,0)</f>
        <v>RF-01H-5067]LED_Right harness</v>
      </c>
      <c r="J304" s="9">
        <v>15</v>
      </c>
      <c r="K304" s="9"/>
      <c r="L304" s="9" t="str">
        <f>VLOOKUP(H304,위치!B:D,3,0)</f>
        <v>3S3-5</v>
      </c>
      <c r="M304" s="12">
        <v>46227</v>
      </c>
      <c r="N304" s="5" t="s">
        <v>4745</v>
      </c>
      <c r="O304" s="5">
        <v>84393</v>
      </c>
      <c r="P304" s="5">
        <v>10</v>
      </c>
      <c r="Q304" s="14">
        <v>46230</v>
      </c>
      <c r="R304" s="15">
        <f t="shared" si="4"/>
        <v>5</v>
      </c>
    </row>
    <row r="305" spans="2:18" x14ac:dyDescent="0.35">
      <c r="B305" s="9">
        <v>187</v>
      </c>
      <c r="C305" s="9" t="s">
        <v>4747</v>
      </c>
      <c r="D305" s="9"/>
      <c r="E305" s="9" t="s">
        <v>18</v>
      </c>
      <c r="F305" s="9"/>
      <c r="G305" s="9"/>
      <c r="H305" s="9" t="s">
        <v>3860</v>
      </c>
      <c r="I305" s="11" t="str">
        <f>VLOOKUP(H305,위치!B:C,2,0)</f>
        <v>RF-01H-5075] USB to Cal kit harness</v>
      </c>
      <c r="J305" s="9">
        <v>12</v>
      </c>
      <c r="K305" s="9"/>
      <c r="L305" s="9" t="str">
        <f>VLOOKUP(H305,위치!B:D,3,0)</f>
        <v>3S3-6</v>
      </c>
      <c r="M305" s="12">
        <v>46227</v>
      </c>
      <c r="N305" s="5" t="s">
        <v>4745</v>
      </c>
      <c r="O305" s="5">
        <v>84393</v>
      </c>
      <c r="P305" s="5">
        <v>7</v>
      </c>
      <c r="Q305" s="14">
        <v>46230</v>
      </c>
      <c r="R305" s="15">
        <f t="shared" si="4"/>
        <v>5</v>
      </c>
    </row>
    <row r="306" spans="2:18" x14ac:dyDescent="0.35">
      <c r="B306" s="9">
        <v>327</v>
      </c>
      <c r="C306" s="9" t="s">
        <v>4732</v>
      </c>
      <c r="D306" s="9"/>
      <c r="E306" s="9" t="s">
        <v>18</v>
      </c>
      <c r="F306" s="9"/>
      <c r="G306" s="9"/>
      <c r="H306" s="9" t="s">
        <v>3831</v>
      </c>
      <c r="I306" s="11" t="str">
        <f>VLOOKUP(H306,위치!B:C,2,0)</f>
        <v>RF-01H-5056]LED PWM harness</v>
      </c>
      <c r="J306" s="9">
        <v>100</v>
      </c>
      <c r="K306" s="9"/>
      <c r="L306" s="9" t="str">
        <f>VLOOKUP(H306,위치!B:D,3,0)</f>
        <v>3S3-4</v>
      </c>
      <c r="M306" s="12">
        <v>46232</v>
      </c>
      <c r="N306" s="5"/>
      <c r="O306" s="5"/>
      <c r="P306" s="5"/>
      <c r="Q306" s="14"/>
      <c r="R306" s="15">
        <f t="shared" si="4"/>
        <v>100</v>
      </c>
    </row>
    <row r="307" spans="2:18" x14ac:dyDescent="0.35">
      <c r="B307" s="9">
        <v>328</v>
      </c>
      <c r="C307" s="9" t="s">
        <v>4732</v>
      </c>
      <c r="D307" s="9"/>
      <c r="E307" s="9" t="s">
        <v>18</v>
      </c>
      <c r="F307" s="9"/>
      <c r="G307" s="9"/>
      <c r="H307" s="9" t="s">
        <v>4010</v>
      </c>
      <c r="I307" s="11" t="str">
        <f>VLOOKUP(H307,위치!B:C,2,0)</f>
        <v>RF-01T-0355]CAMERA CASE R</v>
      </c>
      <c r="J307" s="9">
        <v>200</v>
      </c>
      <c r="K307" s="9"/>
      <c r="L307" s="9" t="str">
        <f>VLOOKUP(H307,위치!B:D,3,0)</f>
        <v>3E9</v>
      </c>
      <c r="M307" s="12">
        <v>46230</v>
      </c>
      <c r="N307" s="5"/>
      <c r="O307" s="5"/>
      <c r="P307" s="5"/>
      <c r="Q307" s="14"/>
      <c r="R307" s="15">
        <f t="shared" si="4"/>
        <v>200</v>
      </c>
    </row>
    <row r="308" spans="2:18" x14ac:dyDescent="0.35">
      <c r="B308" s="9">
        <v>706</v>
      </c>
      <c r="C308" s="9" t="s">
        <v>4732</v>
      </c>
      <c r="D308" s="9"/>
      <c r="E308" s="9" t="s">
        <v>18</v>
      </c>
      <c r="F308" s="9"/>
      <c r="G308" s="9"/>
      <c r="H308" s="9" t="s">
        <v>4004</v>
      </c>
      <c r="I308" s="11" t="str">
        <f>VLOOKUP(H308,위치!B:C,2,0)</f>
        <v>RF-01T-0352]CAMERA CASE B</v>
      </c>
      <c r="J308" s="21">
        <v>200</v>
      </c>
      <c r="K308" s="21"/>
      <c r="L308" s="9" t="str">
        <f>VLOOKUP(H308,위치!B:D,3,0)</f>
        <v>3E9</v>
      </c>
      <c r="M308" s="12">
        <v>46230</v>
      </c>
      <c r="N308" s="5"/>
      <c r="O308" s="5"/>
      <c r="P308" s="5"/>
      <c r="Q308" s="14"/>
      <c r="R308" s="15">
        <f t="shared" si="4"/>
        <v>200</v>
      </c>
    </row>
    <row r="309" spans="2:18" x14ac:dyDescent="0.35">
      <c r="B309" s="9">
        <v>330</v>
      </c>
      <c r="C309" s="9" t="s">
        <v>4732</v>
      </c>
      <c r="D309" s="9"/>
      <c r="E309" s="9" t="s">
        <v>18</v>
      </c>
      <c r="F309" s="9"/>
      <c r="G309" s="9"/>
      <c r="H309" s="9" t="s">
        <v>4008</v>
      </c>
      <c r="I309" s="11" t="str">
        <f>VLOOKUP(H309,위치!B:C,2,0)</f>
        <v>RF-01T-0354]CAMERA CASE L</v>
      </c>
      <c r="J309" s="9">
        <v>200</v>
      </c>
      <c r="K309" s="9"/>
      <c r="L309" s="9" t="str">
        <f>VLOOKUP(H309,위치!B:D,3,0)</f>
        <v>3E9</v>
      </c>
      <c r="M309" s="12">
        <v>46230</v>
      </c>
      <c r="N309" s="5"/>
      <c r="O309" s="5"/>
      <c r="P309" s="5"/>
      <c r="Q309" s="14"/>
      <c r="R309" s="15">
        <f t="shared" si="4"/>
        <v>200</v>
      </c>
    </row>
    <row r="310" spans="2:18" x14ac:dyDescent="0.35">
      <c r="B310" s="9">
        <v>331</v>
      </c>
      <c r="C310" s="9" t="s">
        <v>4747</v>
      </c>
      <c r="D310" s="9"/>
      <c r="E310" s="9" t="s">
        <v>18</v>
      </c>
      <c r="F310" s="9"/>
      <c r="G310" s="9"/>
      <c r="H310" s="9" t="s">
        <v>4873</v>
      </c>
      <c r="I310" s="11" t="str">
        <f>VLOOKUP(H310,위치!B:C,2,0)</f>
        <v>RA-08M-2679]SHAFT CEPH AXIS BODY (VW)</v>
      </c>
      <c r="J310" s="9">
        <v>5</v>
      </c>
      <c r="K310" s="9"/>
      <c r="L310" s="9" t="str">
        <f>VLOOKUP(H310,위치!B:D,3,0)</f>
        <v>E1-2</v>
      </c>
      <c r="M310" s="12">
        <v>46233</v>
      </c>
      <c r="N310" s="5" t="s">
        <v>4745</v>
      </c>
      <c r="O310" s="5">
        <v>87119</v>
      </c>
      <c r="P310" s="5">
        <v>1</v>
      </c>
      <c r="Q310" s="14">
        <v>46233</v>
      </c>
      <c r="R310" s="15">
        <f t="shared" si="4"/>
        <v>4</v>
      </c>
    </row>
    <row r="311" spans="2:18" x14ac:dyDescent="0.35">
      <c r="B311" s="9">
        <v>332</v>
      </c>
      <c r="C311" s="9" t="s">
        <v>4747</v>
      </c>
      <c r="D311" s="9"/>
      <c r="E311" s="9" t="s">
        <v>18</v>
      </c>
      <c r="F311" s="9"/>
      <c r="G311" s="9"/>
      <c r="H311" s="9" t="s">
        <v>4874</v>
      </c>
      <c r="I311" s="11" t="str">
        <f>VLOOKUP(H311,위치!B:C,2,0)</f>
        <v>RA-08M-2705]BLK CEPH AXIS BODY TOP (VW)</v>
      </c>
      <c r="J311" s="9">
        <v>5</v>
      </c>
      <c r="K311" s="9"/>
      <c r="L311" s="9" t="str">
        <f>VLOOKUP(H311,위치!B:D,3,0)</f>
        <v>E1-2</v>
      </c>
      <c r="M311" s="12">
        <v>46233</v>
      </c>
      <c r="N311" s="5" t="s">
        <v>4745</v>
      </c>
      <c r="O311" s="5">
        <v>87119</v>
      </c>
      <c r="P311" s="5">
        <v>1</v>
      </c>
      <c r="Q311" s="14">
        <v>46233</v>
      </c>
      <c r="R311" s="15">
        <f t="shared" si="4"/>
        <v>4</v>
      </c>
    </row>
    <row r="312" spans="2:18" x14ac:dyDescent="0.35">
      <c r="B312" s="9">
        <v>333</v>
      </c>
      <c r="C312" s="9" t="s">
        <v>4747</v>
      </c>
      <c r="D312" s="9"/>
      <c r="E312" s="9" t="s">
        <v>18</v>
      </c>
      <c r="F312" s="9"/>
      <c r="G312" s="9"/>
      <c r="H312" s="9" t="s">
        <v>4875</v>
      </c>
      <c r="I312" s="11" t="str">
        <f>VLOOKUP(H312,위치!B:C,2,0)</f>
        <v>RA-08M-2707]BLK CEPH AXIS BODY REAR (VW)</v>
      </c>
      <c r="J312" s="9">
        <v>5</v>
      </c>
      <c r="K312" s="9"/>
      <c r="L312" s="9" t="str">
        <f>VLOOKUP(H312,위치!B:D,3,0)</f>
        <v>E1-2</v>
      </c>
      <c r="M312" s="12">
        <v>46233</v>
      </c>
      <c r="N312" s="5" t="s">
        <v>4745</v>
      </c>
      <c r="O312" s="5">
        <v>87119</v>
      </c>
      <c r="P312" s="5">
        <v>1</v>
      </c>
      <c r="Q312" s="14">
        <v>46233</v>
      </c>
      <c r="R312" s="15">
        <f t="shared" si="4"/>
        <v>4</v>
      </c>
    </row>
    <row r="313" spans="2:18" x14ac:dyDescent="0.35">
      <c r="B313" s="9">
        <v>334</v>
      </c>
      <c r="C313" s="9" t="s">
        <v>4747</v>
      </c>
      <c r="D313" s="9"/>
      <c r="E313" s="9" t="s">
        <v>4877</v>
      </c>
      <c r="F313" s="9"/>
      <c r="G313" s="9"/>
      <c r="H313" s="9" t="s">
        <v>4876</v>
      </c>
      <c r="I313" s="11" t="str">
        <f>VLOOKUP(H313,위치!B:C,2,0)</f>
        <v>RA-08M-1887]FRM Bas CEPH (VW)</v>
      </c>
      <c r="J313" s="9">
        <v>3</v>
      </c>
      <c r="K313" s="9"/>
      <c r="L313" s="9" t="str">
        <f>VLOOKUP(H313,위치!B:D,3,0)</f>
        <v>E4-2</v>
      </c>
      <c r="M313" s="12">
        <v>46233</v>
      </c>
      <c r="N313" s="5" t="s">
        <v>4745</v>
      </c>
      <c r="O313" s="5">
        <v>87119</v>
      </c>
      <c r="P313" s="5">
        <v>1</v>
      </c>
      <c r="Q313" s="14">
        <v>46233</v>
      </c>
      <c r="R313" s="15">
        <f t="shared" si="4"/>
        <v>2</v>
      </c>
    </row>
    <row r="314" spans="2:18" x14ac:dyDescent="0.35">
      <c r="B314" s="9">
        <v>335</v>
      </c>
      <c r="C314" s="9" t="s">
        <v>4732</v>
      </c>
      <c r="D314" s="9"/>
      <c r="E314" s="9"/>
      <c r="F314" s="9"/>
      <c r="G314" s="9"/>
      <c r="H314" s="9" t="s">
        <v>4873</v>
      </c>
      <c r="I314" s="11" t="str">
        <f>VLOOKUP(H314,위치!B:C,2,0)</f>
        <v>RA-08M-2679]SHAFT CEPH AXIS BODY (VW)</v>
      </c>
      <c r="J314" s="9">
        <v>4</v>
      </c>
      <c r="K314" s="9"/>
      <c r="L314" s="9" t="str">
        <f>VLOOKUP(H314,위치!B:D,3,0)</f>
        <v>E1-2</v>
      </c>
      <c r="M314" s="12">
        <v>46233</v>
      </c>
      <c r="N314" s="5"/>
      <c r="O314" s="5"/>
      <c r="P314" s="5"/>
      <c r="Q314" s="14"/>
      <c r="R314" s="15">
        <f t="shared" si="4"/>
        <v>4</v>
      </c>
    </row>
    <row r="315" spans="2:18" x14ac:dyDescent="0.35">
      <c r="B315" s="9">
        <v>336</v>
      </c>
      <c r="C315" s="9" t="s">
        <v>4732</v>
      </c>
      <c r="D315" s="9"/>
      <c r="E315" s="9"/>
      <c r="F315" s="9"/>
      <c r="G315" s="9"/>
      <c r="H315" s="9" t="s">
        <v>4874</v>
      </c>
      <c r="I315" s="11" t="str">
        <f>VLOOKUP(H315,위치!B:C,2,0)</f>
        <v>RA-08M-2705]BLK CEPH AXIS BODY TOP (VW)</v>
      </c>
      <c r="J315" s="9">
        <v>4</v>
      </c>
      <c r="K315" s="9"/>
      <c r="L315" s="9" t="str">
        <f>VLOOKUP(H315,위치!B:D,3,0)</f>
        <v>E1-2</v>
      </c>
      <c r="M315" s="12">
        <v>46233</v>
      </c>
      <c r="N315" s="5"/>
      <c r="O315" s="5"/>
      <c r="P315" s="5"/>
      <c r="Q315" s="14"/>
      <c r="R315" s="15">
        <f t="shared" si="4"/>
        <v>4</v>
      </c>
    </row>
    <row r="316" spans="2:18" x14ac:dyDescent="0.35">
      <c r="B316" s="9">
        <v>337</v>
      </c>
      <c r="C316" s="9" t="s">
        <v>4732</v>
      </c>
      <c r="D316" s="9"/>
      <c r="E316" s="9"/>
      <c r="F316" s="9"/>
      <c r="G316" s="9"/>
      <c r="H316" s="9" t="s">
        <v>4875</v>
      </c>
      <c r="I316" s="11" t="str">
        <f>VLOOKUP(H316,위치!B:C,2,0)</f>
        <v>RA-08M-2707]BLK CEPH AXIS BODY REAR (VW)</v>
      </c>
      <c r="J316" s="9">
        <v>4</v>
      </c>
      <c r="K316" s="9"/>
      <c r="L316" s="9" t="str">
        <f>VLOOKUP(H316,위치!B:D,3,0)</f>
        <v>E1-2</v>
      </c>
      <c r="M316" s="12">
        <v>46233</v>
      </c>
      <c r="N316" s="5"/>
      <c r="O316" s="5"/>
      <c r="P316" s="5"/>
      <c r="Q316" s="14"/>
      <c r="R316" s="15">
        <f t="shared" si="4"/>
        <v>4</v>
      </c>
    </row>
    <row r="317" spans="2:18" x14ac:dyDescent="0.35">
      <c r="B317" s="9">
        <v>338</v>
      </c>
      <c r="C317" s="9" t="s">
        <v>4732</v>
      </c>
      <c r="D317" s="9"/>
      <c r="E317" s="9"/>
      <c r="F317" s="9"/>
      <c r="G317" s="9"/>
      <c r="H317" s="9" t="s">
        <v>4876</v>
      </c>
      <c r="I317" s="11" t="str">
        <f>VLOOKUP(H317,위치!B:C,2,0)</f>
        <v>RA-08M-1887]FRM Bas CEPH (VW)</v>
      </c>
      <c r="J317" s="9">
        <v>2</v>
      </c>
      <c r="K317" s="9"/>
      <c r="L317" s="9" t="str">
        <f>VLOOKUP(H317,위치!B:D,3,0)</f>
        <v>E4-2</v>
      </c>
      <c r="M317" s="12">
        <v>46233</v>
      </c>
      <c r="N317" s="5"/>
      <c r="O317" s="5"/>
      <c r="P317" s="5"/>
      <c r="Q317" s="14"/>
      <c r="R317" s="15">
        <f t="shared" si="4"/>
        <v>2</v>
      </c>
    </row>
    <row r="318" spans="2:18" x14ac:dyDescent="0.35">
      <c r="B318" s="9">
        <v>339</v>
      </c>
      <c r="C318" s="9" t="s">
        <v>4747</v>
      </c>
      <c r="D318" s="9"/>
      <c r="E318" s="9" t="s">
        <v>18</v>
      </c>
      <c r="F318" s="9"/>
      <c r="G318" s="9"/>
      <c r="H318" s="9" t="s">
        <v>4878</v>
      </c>
      <c r="I318" s="11" t="str">
        <f>VLOOKUP(H318,위치!B:C,2,0)</f>
        <v>RF-01T-0196]CVR REAR</v>
      </c>
      <c r="J318" s="9">
        <v>288</v>
      </c>
      <c r="K318" s="9"/>
      <c r="L318" s="9" t="str">
        <f>VLOOKUP(H318,위치!B:D,3,0)</f>
        <v>3I5</v>
      </c>
      <c r="M318" s="12">
        <v>46233</v>
      </c>
      <c r="N318" s="5" t="s">
        <v>4745</v>
      </c>
      <c r="O318" s="5">
        <v>73781</v>
      </c>
      <c r="P318" s="5">
        <v>7</v>
      </c>
      <c r="Q318" s="14">
        <v>46233</v>
      </c>
      <c r="R318" s="15">
        <f t="shared" si="4"/>
        <v>281</v>
      </c>
    </row>
    <row r="319" spans="2:18" x14ac:dyDescent="0.35">
      <c r="B319" s="9">
        <v>340</v>
      </c>
      <c r="C319" s="9" t="s">
        <v>4747</v>
      </c>
      <c r="D319" s="9"/>
      <c r="E319" s="9"/>
      <c r="F319" s="9"/>
      <c r="G319" s="9"/>
      <c r="H319" s="9" t="s">
        <v>4878</v>
      </c>
      <c r="I319" s="11" t="str">
        <f>VLOOKUP(H319,위치!B:C,2,0)</f>
        <v>RF-01T-0196]CVR REAR</v>
      </c>
      <c r="J319" s="9">
        <v>281</v>
      </c>
      <c r="K319" s="9"/>
      <c r="L319" s="9" t="str">
        <f>VLOOKUP(H319,위치!B:D,3,0)</f>
        <v>3I5</v>
      </c>
      <c r="M319" s="12">
        <v>46233</v>
      </c>
      <c r="N319" s="5" t="s">
        <v>4745</v>
      </c>
      <c r="O319" s="5">
        <v>84393</v>
      </c>
      <c r="P319" s="5">
        <v>50</v>
      </c>
      <c r="Q319" s="14">
        <v>46233</v>
      </c>
      <c r="R319" s="15">
        <f t="shared" si="4"/>
        <v>231</v>
      </c>
    </row>
    <row r="320" spans="2:18" x14ac:dyDescent="0.35">
      <c r="B320" s="9">
        <v>341</v>
      </c>
      <c r="C320" s="9" t="s">
        <v>4732</v>
      </c>
      <c r="D320" s="9"/>
      <c r="E320" s="9"/>
      <c r="F320" s="9"/>
      <c r="G320" s="9"/>
      <c r="H320" s="9" t="s">
        <v>4878</v>
      </c>
      <c r="I320" s="11" t="str">
        <f>VLOOKUP(H320,위치!B:C,2,0)</f>
        <v>RF-01T-0196]CVR REAR</v>
      </c>
      <c r="J320" s="9">
        <v>231</v>
      </c>
      <c r="K320" s="9"/>
      <c r="L320" s="9" t="str">
        <f>VLOOKUP(H320,위치!B:D,3,0)</f>
        <v>3I5</v>
      </c>
      <c r="M320" s="12">
        <v>46233</v>
      </c>
      <c r="N320" s="5"/>
      <c r="O320" s="5"/>
      <c r="P320" s="5"/>
      <c r="Q320" s="14"/>
      <c r="R320" s="15">
        <f t="shared" si="4"/>
        <v>231</v>
      </c>
    </row>
    <row r="321" spans="2:18" x14ac:dyDescent="0.35">
      <c r="B321" s="9">
        <v>342</v>
      </c>
      <c r="C321" s="9"/>
      <c r="D321" s="9"/>
      <c r="E321" s="9"/>
      <c r="F321" s="9"/>
      <c r="G321" s="9"/>
      <c r="H321" s="9"/>
      <c r="I321" s="11" t="e">
        <f>VLOOKUP(H321,위치!B:C,2,0)</f>
        <v>#N/A</v>
      </c>
      <c r="J321" s="9"/>
      <c r="K321" s="9"/>
      <c r="L321" s="9" t="e">
        <f>VLOOKUP(H321,위치!B:D,3,0)</f>
        <v>#N/A</v>
      </c>
      <c r="M321" s="12"/>
      <c r="N321" s="5"/>
      <c r="O321" s="5"/>
      <c r="P321" s="5"/>
      <c r="Q321" s="14"/>
      <c r="R321" s="15">
        <f t="shared" si="4"/>
        <v>0</v>
      </c>
    </row>
    <row r="322" spans="2:18" x14ac:dyDescent="0.35">
      <c r="B322" s="9">
        <v>343</v>
      </c>
      <c r="C322" s="9"/>
      <c r="D322" s="9"/>
      <c r="E322" s="9"/>
      <c r="F322" s="9"/>
      <c r="G322" s="9"/>
      <c r="H322" s="9"/>
      <c r="I322" s="11" t="e">
        <f>VLOOKUP(H322,위치!B:C,2,0)</f>
        <v>#N/A</v>
      </c>
      <c r="J322" s="9"/>
      <c r="K322" s="9"/>
      <c r="L322" s="9" t="e">
        <f>VLOOKUP(H322,위치!B:D,3,0)</f>
        <v>#N/A</v>
      </c>
      <c r="M322" s="12"/>
      <c r="N322" s="5"/>
      <c r="O322" s="5"/>
      <c r="P322" s="5"/>
      <c r="Q322" s="14"/>
      <c r="R322" s="15">
        <f t="shared" si="4"/>
        <v>0</v>
      </c>
    </row>
    <row r="323" spans="2:18" x14ac:dyDescent="0.35">
      <c r="B323" s="9">
        <v>344</v>
      </c>
      <c r="C323" s="9"/>
      <c r="D323" s="9"/>
      <c r="E323" s="9"/>
      <c r="F323" s="9"/>
      <c r="G323" s="9"/>
      <c r="H323" s="9"/>
      <c r="I323" s="11" t="e">
        <f>VLOOKUP(H323,위치!B:C,2,0)</f>
        <v>#N/A</v>
      </c>
      <c r="J323" s="9"/>
      <c r="K323" s="9"/>
      <c r="L323" s="9" t="e">
        <f>VLOOKUP(H323,위치!B:D,3,0)</f>
        <v>#N/A</v>
      </c>
      <c r="M323" s="12"/>
      <c r="N323" s="5"/>
      <c r="O323" s="5"/>
      <c r="P323" s="5"/>
      <c r="Q323" s="14"/>
      <c r="R323" s="15">
        <f t="shared" si="4"/>
        <v>0</v>
      </c>
    </row>
    <row r="324" spans="2:18" x14ac:dyDescent="0.35">
      <c r="B324" s="9">
        <v>345</v>
      </c>
      <c r="C324" s="9"/>
      <c r="D324" s="9"/>
      <c r="E324" s="9"/>
      <c r="F324" s="9"/>
      <c r="G324" s="9"/>
      <c r="H324" s="9"/>
      <c r="I324" s="11" t="e">
        <f>VLOOKUP(H324,위치!B:C,2,0)</f>
        <v>#N/A</v>
      </c>
      <c r="J324" s="9"/>
      <c r="K324" s="9"/>
      <c r="L324" s="9" t="e">
        <f>VLOOKUP(H324,위치!B:D,3,0)</f>
        <v>#N/A</v>
      </c>
      <c r="M324" s="12"/>
      <c r="N324" s="5"/>
      <c r="O324" s="5"/>
      <c r="P324" s="5"/>
      <c r="Q324" s="14"/>
      <c r="R324" s="15">
        <f t="shared" si="4"/>
        <v>0</v>
      </c>
    </row>
    <row r="325" spans="2:18" x14ac:dyDescent="0.35">
      <c r="B325" s="9">
        <v>346</v>
      </c>
      <c r="C325" s="9"/>
      <c r="D325" s="9"/>
      <c r="E325" s="9"/>
      <c r="F325" s="9"/>
      <c r="G325" s="9"/>
      <c r="H325" s="9"/>
      <c r="I325" s="11" t="e">
        <f>VLOOKUP(H325,위치!B:C,2,0)</f>
        <v>#N/A</v>
      </c>
      <c r="J325" s="9"/>
      <c r="K325" s="9"/>
      <c r="L325" s="9" t="e">
        <f>VLOOKUP(H325,위치!B:D,3,0)</f>
        <v>#N/A</v>
      </c>
      <c r="M325" s="12"/>
      <c r="N325" s="5"/>
      <c r="O325" s="5"/>
      <c r="P325" s="5"/>
      <c r="Q325" s="14"/>
      <c r="R325" s="15">
        <f t="shared" si="4"/>
        <v>0</v>
      </c>
    </row>
    <row r="326" spans="2:18" x14ac:dyDescent="0.35">
      <c r="B326" s="9">
        <v>347</v>
      </c>
      <c r="C326" s="9"/>
      <c r="D326" s="9"/>
      <c r="E326" s="9"/>
      <c r="F326" s="9"/>
      <c r="G326" s="9"/>
      <c r="H326" s="9"/>
      <c r="I326" s="11" t="e">
        <f>VLOOKUP(H326,위치!B:C,2,0)</f>
        <v>#N/A</v>
      </c>
      <c r="J326" s="9"/>
      <c r="K326" s="9"/>
      <c r="L326" s="9" t="e">
        <f>VLOOKUP(H326,위치!B:D,3,0)</f>
        <v>#N/A</v>
      </c>
      <c r="M326" s="12"/>
      <c r="N326" s="5"/>
      <c r="O326" s="5"/>
      <c r="P326" s="5"/>
      <c r="Q326" s="14"/>
      <c r="R326" s="15">
        <f t="shared" si="4"/>
        <v>0</v>
      </c>
    </row>
    <row r="327" spans="2:18" x14ac:dyDescent="0.35">
      <c r="B327" s="9">
        <v>348</v>
      </c>
      <c r="C327" s="9"/>
      <c r="D327" s="9"/>
      <c r="E327" s="9"/>
      <c r="F327" s="9"/>
      <c r="G327" s="9"/>
      <c r="H327" s="9"/>
      <c r="I327" s="11" t="e">
        <f>VLOOKUP(H327,위치!B:C,2,0)</f>
        <v>#N/A</v>
      </c>
      <c r="J327" s="9"/>
      <c r="K327" s="9"/>
      <c r="L327" s="9" t="e">
        <f>VLOOKUP(H327,위치!B:D,3,0)</f>
        <v>#N/A</v>
      </c>
      <c r="M327" s="12"/>
      <c r="N327" s="5"/>
      <c r="O327" s="5"/>
      <c r="P327" s="5"/>
      <c r="Q327" s="14"/>
      <c r="R327" s="15">
        <f t="shared" ref="R327:R390" si="5">J327-P327</f>
        <v>0</v>
      </c>
    </row>
    <row r="328" spans="2:18" x14ac:dyDescent="0.35">
      <c r="B328" s="9">
        <v>349</v>
      </c>
      <c r="C328" s="9"/>
      <c r="D328" s="9"/>
      <c r="E328" s="9"/>
      <c r="F328" s="9"/>
      <c r="G328" s="9"/>
      <c r="H328" s="9"/>
      <c r="I328" s="11" t="e">
        <f>VLOOKUP(H328,위치!B:C,2,0)</f>
        <v>#N/A</v>
      </c>
      <c r="J328" s="9"/>
      <c r="K328" s="9"/>
      <c r="L328" s="9" t="e">
        <f>VLOOKUP(H328,위치!B:D,3,0)</f>
        <v>#N/A</v>
      </c>
      <c r="M328" s="12"/>
      <c r="N328" s="5"/>
      <c r="O328" s="5"/>
      <c r="P328" s="5"/>
      <c r="Q328" s="14"/>
      <c r="R328" s="15">
        <f t="shared" si="5"/>
        <v>0</v>
      </c>
    </row>
    <row r="329" spans="2:18" x14ac:dyDescent="0.35">
      <c r="B329" s="9">
        <v>350</v>
      </c>
      <c r="C329" s="9"/>
      <c r="D329" s="9"/>
      <c r="E329" s="9"/>
      <c r="F329" s="9"/>
      <c r="G329" s="9"/>
      <c r="H329" s="9"/>
      <c r="I329" s="11" t="e">
        <f>VLOOKUP(H329,위치!B:C,2,0)</f>
        <v>#N/A</v>
      </c>
      <c r="J329" s="9"/>
      <c r="K329" s="9"/>
      <c r="L329" s="9" t="e">
        <f>VLOOKUP(H329,위치!B:D,3,0)</f>
        <v>#N/A</v>
      </c>
      <c r="M329" s="12"/>
      <c r="N329" s="5"/>
      <c r="O329" s="5"/>
      <c r="P329" s="5"/>
      <c r="Q329" s="14"/>
      <c r="R329" s="15">
        <f t="shared" si="5"/>
        <v>0</v>
      </c>
    </row>
    <row r="330" spans="2:18" x14ac:dyDescent="0.35">
      <c r="B330" s="9">
        <v>351</v>
      </c>
      <c r="C330" s="9"/>
      <c r="D330" s="9"/>
      <c r="E330" s="9"/>
      <c r="F330" s="9"/>
      <c r="G330" s="9"/>
      <c r="H330" s="9"/>
      <c r="I330" s="11" t="e">
        <f>VLOOKUP(H330,위치!B:C,2,0)</f>
        <v>#N/A</v>
      </c>
      <c r="J330" s="9"/>
      <c r="K330" s="9"/>
      <c r="L330" s="9" t="e">
        <f>VLOOKUP(H330,위치!B:D,3,0)</f>
        <v>#N/A</v>
      </c>
      <c r="M330" s="12"/>
      <c r="N330" s="5"/>
      <c r="O330" s="5"/>
      <c r="P330" s="5"/>
      <c r="Q330" s="14"/>
      <c r="R330" s="15">
        <f t="shared" si="5"/>
        <v>0</v>
      </c>
    </row>
    <row r="331" spans="2:18" x14ac:dyDescent="0.35">
      <c r="B331" s="9">
        <v>352</v>
      </c>
      <c r="C331" s="9"/>
      <c r="D331" s="9"/>
      <c r="E331" s="9"/>
      <c r="F331" s="9"/>
      <c r="G331" s="9"/>
      <c r="H331" s="9"/>
      <c r="I331" s="11" t="e">
        <f>VLOOKUP(H331,위치!B:C,2,0)</f>
        <v>#N/A</v>
      </c>
      <c r="J331" s="9"/>
      <c r="K331" s="9"/>
      <c r="L331" s="9" t="e">
        <f>VLOOKUP(H331,위치!B:D,3,0)</f>
        <v>#N/A</v>
      </c>
      <c r="M331" s="12"/>
      <c r="N331" s="5"/>
      <c r="O331" s="5"/>
      <c r="P331" s="5"/>
      <c r="Q331" s="14"/>
      <c r="R331" s="15">
        <f t="shared" si="5"/>
        <v>0</v>
      </c>
    </row>
    <row r="332" spans="2:18" x14ac:dyDescent="0.35">
      <c r="B332" s="9">
        <v>353</v>
      </c>
      <c r="C332" s="9"/>
      <c r="D332" s="9"/>
      <c r="E332" s="9"/>
      <c r="F332" s="9"/>
      <c r="G332" s="9"/>
      <c r="H332" s="9"/>
      <c r="I332" s="11" t="e">
        <f>VLOOKUP(H332,위치!B:C,2,0)</f>
        <v>#N/A</v>
      </c>
      <c r="J332" s="9"/>
      <c r="K332" s="9"/>
      <c r="L332" s="9" t="e">
        <f>VLOOKUP(H332,위치!B:D,3,0)</f>
        <v>#N/A</v>
      </c>
      <c r="M332" s="12"/>
      <c r="N332" s="5"/>
      <c r="O332" s="5"/>
      <c r="P332" s="5"/>
      <c r="Q332" s="14"/>
      <c r="R332" s="15">
        <f t="shared" si="5"/>
        <v>0</v>
      </c>
    </row>
    <row r="333" spans="2:18" x14ac:dyDescent="0.35">
      <c r="B333" s="9">
        <v>354</v>
      </c>
      <c r="C333" s="9"/>
      <c r="D333" s="9"/>
      <c r="E333" s="9"/>
      <c r="F333" s="9"/>
      <c r="G333" s="9"/>
      <c r="H333" s="9"/>
      <c r="I333" s="11" t="e">
        <f>VLOOKUP(H333,위치!B:C,2,0)</f>
        <v>#N/A</v>
      </c>
      <c r="J333" s="9"/>
      <c r="K333" s="9"/>
      <c r="L333" s="9" t="e">
        <f>VLOOKUP(H333,위치!B:D,3,0)</f>
        <v>#N/A</v>
      </c>
      <c r="M333" s="12"/>
      <c r="N333" s="5"/>
      <c r="O333" s="5"/>
      <c r="P333" s="5"/>
      <c r="Q333" s="14"/>
      <c r="R333" s="15">
        <f t="shared" si="5"/>
        <v>0</v>
      </c>
    </row>
    <row r="334" spans="2:18" x14ac:dyDescent="0.35">
      <c r="B334" s="9">
        <v>355</v>
      </c>
      <c r="C334" s="9"/>
      <c r="D334" s="9"/>
      <c r="E334" s="9"/>
      <c r="F334" s="9"/>
      <c r="G334" s="9"/>
      <c r="H334" s="9"/>
      <c r="I334" s="11" t="e">
        <f>VLOOKUP(H334,위치!B:C,2,0)</f>
        <v>#N/A</v>
      </c>
      <c r="J334" s="9"/>
      <c r="K334" s="9"/>
      <c r="L334" s="9" t="e">
        <f>VLOOKUP(H334,위치!B:D,3,0)</f>
        <v>#N/A</v>
      </c>
      <c r="M334" s="12"/>
      <c r="N334" s="5"/>
      <c r="O334" s="5"/>
      <c r="P334" s="5"/>
      <c r="Q334" s="14"/>
      <c r="R334" s="15">
        <f t="shared" si="5"/>
        <v>0</v>
      </c>
    </row>
    <row r="335" spans="2:18" x14ac:dyDescent="0.35">
      <c r="B335" s="9">
        <v>356</v>
      </c>
      <c r="C335" s="9"/>
      <c r="D335" s="9"/>
      <c r="E335" s="9"/>
      <c r="F335" s="9"/>
      <c r="G335" s="9"/>
      <c r="H335" s="9"/>
      <c r="I335" s="11" t="e">
        <f>VLOOKUP(H335,위치!B:C,2,0)</f>
        <v>#N/A</v>
      </c>
      <c r="J335" s="9"/>
      <c r="K335" s="9"/>
      <c r="L335" s="9" t="e">
        <f>VLOOKUP(H335,위치!B:D,3,0)</f>
        <v>#N/A</v>
      </c>
      <c r="M335" s="12"/>
      <c r="N335" s="5"/>
      <c r="O335" s="5"/>
      <c r="P335" s="5"/>
      <c r="Q335" s="14"/>
      <c r="R335" s="15">
        <f t="shared" si="5"/>
        <v>0</v>
      </c>
    </row>
    <row r="336" spans="2:18" x14ac:dyDescent="0.35">
      <c r="B336" s="9">
        <v>357</v>
      </c>
      <c r="C336" s="9"/>
      <c r="D336" s="9"/>
      <c r="E336" s="9"/>
      <c r="F336" s="9"/>
      <c r="G336" s="9"/>
      <c r="H336" s="9"/>
      <c r="I336" s="11" t="e">
        <f>VLOOKUP(H336,위치!B:C,2,0)</f>
        <v>#N/A</v>
      </c>
      <c r="J336" s="9"/>
      <c r="K336" s="9"/>
      <c r="L336" s="9" t="e">
        <f>VLOOKUP(H336,위치!B:D,3,0)</f>
        <v>#N/A</v>
      </c>
      <c r="M336" s="12"/>
      <c r="N336" s="5"/>
      <c r="O336" s="5"/>
      <c r="P336" s="5"/>
      <c r="Q336" s="14"/>
      <c r="R336" s="15">
        <f t="shared" si="5"/>
        <v>0</v>
      </c>
    </row>
    <row r="337" spans="2:18" x14ac:dyDescent="0.35">
      <c r="B337" s="9">
        <v>358</v>
      </c>
      <c r="C337" s="9"/>
      <c r="D337" s="9"/>
      <c r="E337" s="9"/>
      <c r="F337" s="9"/>
      <c r="G337" s="9"/>
      <c r="H337" s="9"/>
      <c r="I337" s="11" t="e">
        <f>VLOOKUP(H337,위치!B:C,2,0)</f>
        <v>#N/A</v>
      </c>
      <c r="J337" s="9"/>
      <c r="K337" s="9"/>
      <c r="L337" s="9" t="e">
        <f>VLOOKUP(H337,위치!B:D,3,0)</f>
        <v>#N/A</v>
      </c>
      <c r="M337" s="12"/>
      <c r="N337" s="5"/>
      <c r="O337" s="5"/>
      <c r="P337" s="5"/>
      <c r="Q337" s="14"/>
      <c r="R337" s="15">
        <f t="shared" si="5"/>
        <v>0</v>
      </c>
    </row>
    <row r="338" spans="2:18" x14ac:dyDescent="0.35">
      <c r="B338" s="9">
        <v>359</v>
      </c>
      <c r="C338" s="9"/>
      <c r="D338" s="9"/>
      <c r="E338" s="9"/>
      <c r="F338" s="9"/>
      <c r="G338" s="9"/>
      <c r="H338" s="9"/>
      <c r="I338" s="11" t="e">
        <f>VLOOKUP(H338,위치!B:C,2,0)</f>
        <v>#N/A</v>
      </c>
      <c r="J338" s="9"/>
      <c r="K338" s="9"/>
      <c r="L338" s="9" t="e">
        <f>VLOOKUP(H338,위치!B:D,3,0)</f>
        <v>#N/A</v>
      </c>
      <c r="M338" s="12"/>
      <c r="N338" s="5"/>
      <c r="O338" s="5"/>
      <c r="P338" s="5"/>
      <c r="Q338" s="14"/>
      <c r="R338" s="15">
        <f t="shared" si="5"/>
        <v>0</v>
      </c>
    </row>
    <row r="339" spans="2:18" x14ac:dyDescent="0.35">
      <c r="B339" s="9">
        <v>360</v>
      </c>
      <c r="C339" s="9"/>
      <c r="D339" s="9"/>
      <c r="E339" s="9"/>
      <c r="F339" s="9"/>
      <c r="G339" s="9"/>
      <c r="H339" s="9"/>
      <c r="I339" s="11" t="e">
        <f>VLOOKUP(H339,위치!B:C,2,0)</f>
        <v>#N/A</v>
      </c>
      <c r="J339" s="9"/>
      <c r="K339" s="9"/>
      <c r="L339" s="9" t="e">
        <f>VLOOKUP(H339,위치!B:D,3,0)</f>
        <v>#N/A</v>
      </c>
      <c r="M339" s="12"/>
      <c r="N339" s="5"/>
      <c r="O339" s="5"/>
      <c r="P339" s="5"/>
      <c r="Q339" s="14"/>
      <c r="R339" s="15">
        <f t="shared" si="5"/>
        <v>0</v>
      </c>
    </row>
    <row r="340" spans="2:18" x14ac:dyDescent="0.35">
      <c r="B340" s="9">
        <v>361</v>
      </c>
      <c r="C340" s="9"/>
      <c r="D340" s="9"/>
      <c r="E340" s="9"/>
      <c r="F340" s="9"/>
      <c r="G340" s="9"/>
      <c r="H340" s="9"/>
      <c r="I340" s="11" t="e">
        <f>VLOOKUP(H340,위치!B:C,2,0)</f>
        <v>#N/A</v>
      </c>
      <c r="J340" s="9"/>
      <c r="K340" s="9"/>
      <c r="L340" s="9" t="e">
        <f>VLOOKUP(H340,위치!B:D,3,0)</f>
        <v>#N/A</v>
      </c>
      <c r="M340" s="12"/>
      <c r="N340" s="5"/>
      <c r="O340" s="5"/>
      <c r="P340" s="5"/>
      <c r="Q340" s="14"/>
      <c r="R340" s="15">
        <f t="shared" si="5"/>
        <v>0</v>
      </c>
    </row>
    <row r="341" spans="2:18" x14ac:dyDescent="0.35">
      <c r="B341" s="9">
        <v>362</v>
      </c>
      <c r="C341" s="9"/>
      <c r="D341" s="9"/>
      <c r="E341" s="9"/>
      <c r="F341" s="9"/>
      <c r="G341" s="9"/>
      <c r="H341" s="9"/>
      <c r="I341" s="11" t="e">
        <f>VLOOKUP(H341,위치!B:C,2,0)</f>
        <v>#N/A</v>
      </c>
      <c r="J341" s="9"/>
      <c r="K341" s="9"/>
      <c r="L341" s="9" t="e">
        <f>VLOOKUP(H341,위치!B:D,3,0)</f>
        <v>#N/A</v>
      </c>
      <c r="M341" s="12"/>
      <c r="N341" s="5"/>
      <c r="O341" s="5"/>
      <c r="P341" s="5"/>
      <c r="Q341" s="14"/>
      <c r="R341" s="15">
        <f t="shared" si="5"/>
        <v>0</v>
      </c>
    </row>
    <row r="342" spans="2:18" x14ac:dyDescent="0.35">
      <c r="B342" s="9">
        <v>363</v>
      </c>
      <c r="C342" s="9"/>
      <c r="D342" s="9"/>
      <c r="E342" s="9"/>
      <c r="F342" s="9"/>
      <c r="G342" s="9"/>
      <c r="H342" s="9"/>
      <c r="I342" s="11" t="e">
        <f>VLOOKUP(H342,위치!B:C,2,0)</f>
        <v>#N/A</v>
      </c>
      <c r="J342" s="9"/>
      <c r="K342" s="9"/>
      <c r="L342" s="9" t="e">
        <f>VLOOKUP(H342,위치!B:D,3,0)</f>
        <v>#N/A</v>
      </c>
      <c r="M342" s="12"/>
      <c r="N342" s="5"/>
      <c r="O342" s="5"/>
      <c r="P342" s="5"/>
      <c r="Q342" s="14"/>
      <c r="R342" s="15">
        <f t="shared" si="5"/>
        <v>0</v>
      </c>
    </row>
    <row r="343" spans="2:18" x14ac:dyDescent="0.35">
      <c r="B343" s="9">
        <v>364</v>
      </c>
      <c r="C343" s="9"/>
      <c r="D343" s="9"/>
      <c r="E343" s="9"/>
      <c r="F343" s="9"/>
      <c r="G343" s="9"/>
      <c r="H343" s="9"/>
      <c r="I343" s="11" t="e">
        <f>VLOOKUP(H343,위치!B:C,2,0)</f>
        <v>#N/A</v>
      </c>
      <c r="J343" s="9"/>
      <c r="K343" s="9"/>
      <c r="L343" s="9" t="e">
        <f>VLOOKUP(H343,위치!B:D,3,0)</f>
        <v>#N/A</v>
      </c>
      <c r="M343" s="12"/>
      <c r="N343" s="5"/>
      <c r="O343" s="5"/>
      <c r="P343" s="5"/>
      <c r="Q343" s="14"/>
      <c r="R343" s="15">
        <f t="shared" si="5"/>
        <v>0</v>
      </c>
    </row>
    <row r="344" spans="2:18" x14ac:dyDescent="0.35">
      <c r="B344" s="9">
        <v>365</v>
      </c>
      <c r="C344" s="9"/>
      <c r="D344" s="9"/>
      <c r="E344" s="9"/>
      <c r="F344" s="9"/>
      <c r="G344" s="9"/>
      <c r="H344" s="9"/>
      <c r="I344" s="11" t="e">
        <f>VLOOKUP(H344,위치!B:C,2,0)</f>
        <v>#N/A</v>
      </c>
      <c r="J344" s="9"/>
      <c r="K344" s="9"/>
      <c r="L344" s="9" t="e">
        <f>VLOOKUP(H344,위치!B:D,3,0)</f>
        <v>#N/A</v>
      </c>
      <c r="M344" s="12"/>
      <c r="N344" s="5"/>
      <c r="O344" s="5"/>
      <c r="P344" s="5"/>
      <c r="Q344" s="14"/>
      <c r="R344" s="15">
        <f t="shared" si="5"/>
        <v>0</v>
      </c>
    </row>
    <row r="345" spans="2:18" x14ac:dyDescent="0.35">
      <c r="B345" s="9">
        <v>366</v>
      </c>
      <c r="C345" s="9"/>
      <c r="D345" s="9"/>
      <c r="E345" s="9"/>
      <c r="F345" s="9"/>
      <c r="G345" s="9"/>
      <c r="H345" s="9"/>
      <c r="I345" s="11" t="e">
        <f>VLOOKUP(H345,위치!B:C,2,0)</f>
        <v>#N/A</v>
      </c>
      <c r="J345" s="9"/>
      <c r="K345" s="9"/>
      <c r="L345" s="9" t="e">
        <f>VLOOKUP(H345,위치!B:D,3,0)</f>
        <v>#N/A</v>
      </c>
      <c r="M345" s="12"/>
      <c r="N345" s="5"/>
      <c r="O345" s="5"/>
      <c r="P345" s="5"/>
      <c r="Q345" s="14"/>
      <c r="R345" s="15">
        <f t="shared" si="5"/>
        <v>0</v>
      </c>
    </row>
    <row r="346" spans="2:18" x14ac:dyDescent="0.35">
      <c r="B346" s="9">
        <v>367</v>
      </c>
      <c r="C346" s="9"/>
      <c r="D346" s="9"/>
      <c r="E346" s="9"/>
      <c r="F346" s="9"/>
      <c r="G346" s="9"/>
      <c r="H346" s="9"/>
      <c r="I346" s="11" t="e">
        <f>VLOOKUP(H346,위치!B:C,2,0)</f>
        <v>#N/A</v>
      </c>
      <c r="J346" s="9"/>
      <c r="K346" s="9"/>
      <c r="L346" s="9" t="e">
        <f>VLOOKUP(H346,위치!B:D,3,0)</f>
        <v>#N/A</v>
      </c>
      <c r="M346" s="12"/>
      <c r="N346" s="5"/>
      <c r="O346" s="5"/>
      <c r="P346" s="5"/>
      <c r="Q346" s="14"/>
      <c r="R346" s="15">
        <f t="shared" si="5"/>
        <v>0</v>
      </c>
    </row>
    <row r="347" spans="2:18" x14ac:dyDescent="0.35">
      <c r="B347" s="9">
        <v>368</v>
      </c>
      <c r="C347" s="9"/>
      <c r="D347" s="9"/>
      <c r="E347" s="9"/>
      <c r="F347" s="9"/>
      <c r="G347" s="9"/>
      <c r="H347" s="9"/>
      <c r="I347" s="11" t="e">
        <f>VLOOKUP(H347,위치!B:C,2,0)</f>
        <v>#N/A</v>
      </c>
      <c r="J347" s="9"/>
      <c r="K347" s="9"/>
      <c r="L347" s="9" t="e">
        <f>VLOOKUP(H347,위치!B:D,3,0)</f>
        <v>#N/A</v>
      </c>
      <c r="M347" s="12"/>
      <c r="N347" s="5"/>
      <c r="O347" s="5"/>
      <c r="P347" s="5"/>
      <c r="Q347" s="14"/>
      <c r="R347" s="15">
        <f t="shared" si="5"/>
        <v>0</v>
      </c>
    </row>
    <row r="348" spans="2:18" x14ac:dyDescent="0.35">
      <c r="B348" s="9">
        <v>369</v>
      </c>
      <c r="C348" s="9"/>
      <c r="D348" s="9"/>
      <c r="E348" s="9"/>
      <c r="F348" s="9"/>
      <c r="G348" s="9"/>
      <c r="H348" s="9"/>
      <c r="I348" s="11" t="e">
        <f>VLOOKUP(H348,위치!B:C,2,0)</f>
        <v>#N/A</v>
      </c>
      <c r="J348" s="9"/>
      <c r="K348" s="9"/>
      <c r="L348" s="9" t="e">
        <f>VLOOKUP(H348,위치!B:D,3,0)</f>
        <v>#N/A</v>
      </c>
      <c r="M348" s="12"/>
      <c r="N348" s="5"/>
      <c r="O348" s="5"/>
      <c r="P348" s="5"/>
      <c r="Q348" s="14"/>
      <c r="R348" s="15">
        <f t="shared" si="5"/>
        <v>0</v>
      </c>
    </row>
    <row r="349" spans="2:18" x14ac:dyDescent="0.35">
      <c r="B349" s="9">
        <v>370</v>
      </c>
      <c r="C349" s="9"/>
      <c r="D349" s="9"/>
      <c r="E349" s="9"/>
      <c r="F349" s="9"/>
      <c r="G349" s="9"/>
      <c r="H349" s="9"/>
      <c r="I349" s="11" t="e">
        <f>VLOOKUP(H349,위치!B:C,2,0)</f>
        <v>#N/A</v>
      </c>
      <c r="J349" s="9"/>
      <c r="K349" s="9"/>
      <c r="L349" s="9" t="e">
        <f>VLOOKUP(H349,위치!B:D,3,0)</f>
        <v>#N/A</v>
      </c>
      <c r="M349" s="12"/>
      <c r="N349" s="5"/>
      <c r="O349" s="5"/>
      <c r="P349" s="5"/>
      <c r="Q349" s="14"/>
      <c r="R349" s="15">
        <f t="shared" si="5"/>
        <v>0</v>
      </c>
    </row>
    <row r="350" spans="2:18" x14ac:dyDescent="0.35">
      <c r="B350" s="9">
        <v>371</v>
      </c>
      <c r="C350" s="9"/>
      <c r="D350" s="9"/>
      <c r="E350" s="9"/>
      <c r="F350" s="9"/>
      <c r="G350" s="9"/>
      <c r="H350" s="9"/>
      <c r="I350" s="11" t="e">
        <f>VLOOKUP(H350,위치!B:C,2,0)</f>
        <v>#N/A</v>
      </c>
      <c r="J350" s="9"/>
      <c r="K350" s="9"/>
      <c r="L350" s="9" t="e">
        <f>VLOOKUP(H350,위치!B:D,3,0)</f>
        <v>#N/A</v>
      </c>
      <c r="M350" s="12"/>
      <c r="N350" s="5"/>
      <c r="O350" s="5"/>
      <c r="P350" s="5"/>
      <c r="Q350" s="14"/>
      <c r="R350" s="15">
        <f t="shared" si="5"/>
        <v>0</v>
      </c>
    </row>
    <row r="351" spans="2:18" x14ac:dyDescent="0.35">
      <c r="B351" s="9">
        <v>372</v>
      </c>
      <c r="C351" s="9"/>
      <c r="D351" s="9"/>
      <c r="E351" s="9"/>
      <c r="F351" s="9"/>
      <c r="G351" s="9"/>
      <c r="H351" s="9"/>
      <c r="I351" s="11" t="e">
        <f>VLOOKUP(H351,위치!B:C,2,0)</f>
        <v>#N/A</v>
      </c>
      <c r="J351" s="9"/>
      <c r="K351" s="9"/>
      <c r="L351" s="9" t="e">
        <f>VLOOKUP(H351,위치!B:D,3,0)</f>
        <v>#N/A</v>
      </c>
      <c r="M351" s="12"/>
      <c r="N351" s="5"/>
      <c r="O351" s="5"/>
      <c r="P351" s="5"/>
      <c r="Q351" s="14"/>
      <c r="R351" s="15">
        <f t="shared" si="5"/>
        <v>0</v>
      </c>
    </row>
    <row r="352" spans="2:18" x14ac:dyDescent="0.35">
      <c r="B352" s="9">
        <v>373</v>
      </c>
      <c r="C352" s="9"/>
      <c r="D352" s="9"/>
      <c r="E352" s="9"/>
      <c r="F352" s="9"/>
      <c r="G352" s="9"/>
      <c r="H352" s="9"/>
      <c r="I352" s="11" t="e">
        <f>VLOOKUP(H352,위치!B:C,2,0)</f>
        <v>#N/A</v>
      </c>
      <c r="J352" s="9"/>
      <c r="K352" s="9"/>
      <c r="L352" s="9" t="e">
        <f>VLOOKUP(H352,위치!B:D,3,0)</f>
        <v>#N/A</v>
      </c>
      <c r="M352" s="12"/>
      <c r="N352" s="5"/>
      <c r="O352" s="5"/>
      <c r="P352" s="5"/>
      <c r="Q352" s="14"/>
      <c r="R352" s="15">
        <f t="shared" si="5"/>
        <v>0</v>
      </c>
    </row>
    <row r="353" spans="2:18" x14ac:dyDescent="0.35">
      <c r="B353" s="9">
        <v>374</v>
      </c>
      <c r="C353" s="9"/>
      <c r="D353" s="9"/>
      <c r="E353" s="9"/>
      <c r="F353" s="9"/>
      <c r="G353" s="9"/>
      <c r="H353" s="9"/>
      <c r="I353" s="11" t="e">
        <f>VLOOKUP(H353,위치!B:C,2,0)</f>
        <v>#N/A</v>
      </c>
      <c r="J353" s="9"/>
      <c r="K353" s="9"/>
      <c r="L353" s="9" t="e">
        <f>VLOOKUP(H353,위치!B:D,3,0)</f>
        <v>#N/A</v>
      </c>
      <c r="M353" s="12"/>
      <c r="N353" s="5"/>
      <c r="O353" s="5"/>
      <c r="P353" s="5"/>
      <c r="Q353" s="14"/>
      <c r="R353" s="15">
        <f t="shared" si="5"/>
        <v>0</v>
      </c>
    </row>
    <row r="354" spans="2:18" x14ac:dyDescent="0.35">
      <c r="B354" s="9">
        <v>375</v>
      </c>
      <c r="C354" s="9"/>
      <c r="D354" s="9"/>
      <c r="E354" s="9"/>
      <c r="F354" s="9"/>
      <c r="G354" s="9"/>
      <c r="H354" s="9"/>
      <c r="I354" s="11" t="e">
        <f>VLOOKUP(H354,위치!B:C,2,0)</f>
        <v>#N/A</v>
      </c>
      <c r="J354" s="9"/>
      <c r="K354" s="9"/>
      <c r="L354" s="9" t="e">
        <f>VLOOKUP(H354,위치!B:D,3,0)</f>
        <v>#N/A</v>
      </c>
      <c r="M354" s="12"/>
      <c r="N354" s="5"/>
      <c r="O354" s="5"/>
      <c r="P354" s="5"/>
      <c r="Q354" s="14"/>
      <c r="R354" s="15">
        <f t="shared" si="5"/>
        <v>0</v>
      </c>
    </row>
    <row r="355" spans="2:18" x14ac:dyDescent="0.35">
      <c r="B355" s="9">
        <v>376</v>
      </c>
      <c r="C355" s="9"/>
      <c r="D355" s="9"/>
      <c r="E355" s="9"/>
      <c r="F355" s="9"/>
      <c r="G355" s="9"/>
      <c r="H355" s="9"/>
      <c r="I355" s="11" t="e">
        <f>VLOOKUP(H355,위치!B:C,2,0)</f>
        <v>#N/A</v>
      </c>
      <c r="J355" s="9"/>
      <c r="K355" s="9"/>
      <c r="L355" s="9" t="e">
        <f>VLOOKUP(H355,위치!B:D,3,0)</f>
        <v>#N/A</v>
      </c>
      <c r="M355" s="12"/>
      <c r="N355" s="5"/>
      <c r="O355" s="5"/>
      <c r="P355" s="5"/>
      <c r="Q355" s="14"/>
      <c r="R355" s="15">
        <f t="shared" si="5"/>
        <v>0</v>
      </c>
    </row>
    <row r="356" spans="2:18" x14ac:dyDescent="0.35">
      <c r="B356" s="9">
        <v>377</v>
      </c>
      <c r="C356" s="9"/>
      <c r="D356" s="9"/>
      <c r="E356" s="9"/>
      <c r="F356" s="9"/>
      <c r="G356" s="9"/>
      <c r="H356" s="9"/>
      <c r="I356" s="11" t="e">
        <f>VLOOKUP(H356,위치!B:C,2,0)</f>
        <v>#N/A</v>
      </c>
      <c r="J356" s="9"/>
      <c r="K356" s="9"/>
      <c r="L356" s="9" t="e">
        <f>VLOOKUP(H356,위치!B:D,3,0)</f>
        <v>#N/A</v>
      </c>
      <c r="M356" s="12"/>
      <c r="N356" s="5"/>
      <c r="O356" s="5"/>
      <c r="P356" s="5"/>
      <c r="Q356" s="14"/>
      <c r="R356" s="15">
        <f t="shared" si="5"/>
        <v>0</v>
      </c>
    </row>
    <row r="357" spans="2:18" x14ac:dyDescent="0.35">
      <c r="B357" s="9">
        <v>378</v>
      </c>
      <c r="C357" s="9"/>
      <c r="D357" s="9"/>
      <c r="E357" s="9"/>
      <c r="F357" s="9"/>
      <c r="G357" s="9"/>
      <c r="H357" s="9"/>
      <c r="I357" s="11" t="e">
        <f>VLOOKUP(H357,위치!B:C,2,0)</f>
        <v>#N/A</v>
      </c>
      <c r="J357" s="9"/>
      <c r="K357" s="9"/>
      <c r="L357" s="9" t="e">
        <f>VLOOKUP(H357,위치!B:D,3,0)</f>
        <v>#N/A</v>
      </c>
      <c r="M357" s="12"/>
      <c r="N357" s="5"/>
      <c r="O357" s="5"/>
      <c r="P357" s="5"/>
      <c r="Q357" s="14"/>
      <c r="R357" s="15">
        <f t="shared" si="5"/>
        <v>0</v>
      </c>
    </row>
    <row r="358" spans="2:18" x14ac:dyDescent="0.35">
      <c r="B358" s="9">
        <v>379</v>
      </c>
      <c r="C358" s="9"/>
      <c r="D358" s="9"/>
      <c r="E358" s="9"/>
      <c r="F358" s="9"/>
      <c r="G358" s="9"/>
      <c r="H358" s="9"/>
      <c r="I358" s="11" t="e">
        <f>VLOOKUP(H358,위치!B:C,2,0)</f>
        <v>#N/A</v>
      </c>
      <c r="J358" s="9"/>
      <c r="K358" s="9"/>
      <c r="L358" s="9" t="e">
        <f>VLOOKUP(H358,위치!B:D,3,0)</f>
        <v>#N/A</v>
      </c>
      <c r="M358" s="12"/>
      <c r="N358" s="5"/>
      <c r="O358" s="5"/>
      <c r="P358" s="5"/>
      <c r="Q358" s="14"/>
      <c r="R358" s="15">
        <f t="shared" si="5"/>
        <v>0</v>
      </c>
    </row>
    <row r="359" spans="2:18" x14ac:dyDescent="0.35">
      <c r="B359" s="9">
        <v>380</v>
      </c>
      <c r="C359" s="9"/>
      <c r="D359" s="9"/>
      <c r="E359" s="9"/>
      <c r="F359" s="9"/>
      <c r="G359" s="9"/>
      <c r="H359" s="9"/>
      <c r="I359" s="11" t="e">
        <f>VLOOKUP(H359,위치!B:C,2,0)</f>
        <v>#N/A</v>
      </c>
      <c r="J359" s="9"/>
      <c r="K359" s="9"/>
      <c r="L359" s="9" t="e">
        <f>VLOOKUP(H359,위치!B:D,3,0)</f>
        <v>#N/A</v>
      </c>
      <c r="M359" s="12"/>
      <c r="N359" s="5"/>
      <c r="O359" s="5"/>
      <c r="P359" s="5"/>
      <c r="Q359" s="14"/>
      <c r="R359" s="15">
        <f t="shared" si="5"/>
        <v>0</v>
      </c>
    </row>
    <row r="360" spans="2:18" x14ac:dyDescent="0.35">
      <c r="B360" s="9">
        <v>381</v>
      </c>
      <c r="C360" s="9"/>
      <c r="D360" s="9"/>
      <c r="E360" s="9"/>
      <c r="F360" s="9"/>
      <c r="G360" s="9"/>
      <c r="H360" s="9"/>
      <c r="I360" s="11" t="e">
        <f>VLOOKUP(H360,위치!B:C,2,0)</f>
        <v>#N/A</v>
      </c>
      <c r="J360" s="9"/>
      <c r="K360" s="9"/>
      <c r="L360" s="9" t="e">
        <f>VLOOKUP(H360,위치!B:D,3,0)</f>
        <v>#N/A</v>
      </c>
      <c r="M360" s="12"/>
      <c r="N360" s="5"/>
      <c r="O360" s="5"/>
      <c r="P360" s="5"/>
      <c r="Q360" s="14"/>
      <c r="R360" s="15">
        <f t="shared" si="5"/>
        <v>0</v>
      </c>
    </row>
    <row r="361" spans="2:18" x14ac:dyDescent="0.35">
      <c r="B361" s="9">
        <v>382</v>
      </c>
      <c r="C361" s="9"/>
      <c r="D361" s="9"/>
      <c r="E361" s="9"/>
      <c r="F361" s="9"/>
      <c r="G361" s="9"/>
      <c r="H361" s="9"/>
      <c r="I361" s="11" t="e">
        <f>VLOOKUP(H361,위치!B:C,2,0)</f>
        <v>#N/A</v>
      </c>
      <c r="J361" s="9"/>
      <c r="K361" s="9"/>
      <c r="L361" s="9" t="e">
        <f>VLOOKUP(H361,위치!B:D,3,0)</f>
        <v>#N/A</v>
      </c>
      <c r="M361" s="12"/>
      <c r="N361" s="5"/>
      <c r="O361" s="5"/>
      <c r="P361" s="5"/>
      <c r="Q361" s="14"/>
      <c r="R361" s="15">
        <f t="shared" si="5"/>
        <v>0</v>
      </c>
    </row>
    <row r="362" spans="2:18" x14ac:dyDescent="0.35">
      <c r="B362" s="9">
        <v>383</v>
      </c>
      <c r="C362" s="9"/>
      <c r="D362" s="9"/>
      <c r="E362" s="9"/>
      <c r="F362" s="9"/>
      <c r="G362" s="9"/>
      <c r="H362" s="9"/>
      <c r="I362" s="11" t="e">
        <f>VLOOKUP(H362,위치!B:C,2,0)</f>
        <v>#N/A</v>
      </c>
      <c r="J362" s="9"/>
      <c r="K362" s="9"/>
      <c r="L362" s="9" t="e">
        <f>VLOOKUP(H362,위치!B:D,3,0)</f>
        <v>#N/A</v>
      </c>
      <c r="M362" s="12"/>
      <c r="N362" s="5"/>
      <c r="O362" s="5"/>
      <c r="P362" s="5"/>
      <c r="Q362" s="14"/>
      <c r="R362" s="15">
        <f t="shared" si="5"/>
        <v>0</v>
      </c>
    </row>
    <row r="363" spans="2:18" x14ac:dyDescent="0.35">
      <c r="B363" s="9">
        <v>384</v>
      </c>
      <c r="C363" s="9"/>
      <c r="D363" s="9"/>
      <c r="E363" s="9"/>
      <c r="F363" s="9"/>
      <c r="G363" s="9"/>
      <c r="H363" s="9"/>
      <c r="I363" s="11" t="e">
        <f>VLOOKUP(H363,위치!B:C,2,0)</f>
        <v>#N/A</v>
      </c>
      <c r="J363" s="9"/>
      <c r="K363" s="9"/>
      <c r="L363" s="9" t="e">
        <f>VLOOKUP(H363,위치!B:D,3,0)</f>
        <v>#N/A</v>
      </c>
      <c r="M363" s="12"/>
      <c r="N363" s="5"/>
      <c r="O363" s="5"/>
      <c r="P363" s="5"/>
      <c r="Q363" s="14"/>
      <c r="R363" s="15">
        <f t="shared" si="5"/>
        <v>0</v>
      </c>
    </row>
    <row r="364" spans="2:18" x14ac:dyDescent="0.35">
      <c r="B364" s="9">
        <v>385</v>
      </c>
      <c r="C364" s="9"/>
      <c r="D364" s="9"/>
      <c r="E364" s="9"/>
      <c r="F364" s="9"/>
      <c r="G364" s="9"/>
      <c r="H364" s="9"/>
      <c r="I364" s="11" t="e">
        <f>VLOOKUP(H364,위치!B:C,2,0)</f>
        <v>#N/A</v>
      </c>
      <c r="J364" s="9"/>
      <c r="K364" s="9"/>
      <c r="L364" s="9" t="e">
        <f>VLOOKUP(H364,위치!B:D,3,0)</f>
        <v>#N/A</v>
      </c>
      <c r="M364" s="12"/>
      <c r="N364" s="5"/>
      <c r="O364" s="5"/>
      <c r="P364" s="5"/>
      <c r="Q364" s="14"/>
      <c r="R364" s="15">
        <f t="shared" si="5"/>
        <v>0</v>
      </c>
    </row>
    <row r="365" spans="2:18" x14ac:dyDescent="0.35">
      <c r="B365" s="9">
        <v>386</v>
      </c>
      <c r="C365" s="9"/>
      <c r="D365" s="9"/>
      <c r="E365" s="9"/>
      <c r="F365" s="9"/>
      <c r="G365" s="9"/>
      <c r="H365" s="9"/>
      <c r="I365" s="11" t="e">
        <f>VLOOKUP(H365,위치!B:C,2,0)</f>
        <v>#N/A</v>
      </c>
      <c r="J365" s="9"/>
      <c r="K365" s="9"/>
      <c r="L365" s="9" t="e">
        <f>VLOOKUP(H365,위치!B:D,3,0)</f>
        <v>#N/A</v>
      </c>
      <c r="M365" s="12"/>
      <c r="N365" s="5"/>
      <c r="O365" s="5"/>
      <c r="P365" s="5"/>
      <c r="Q365" s="14"/>
      <c r="R365" s="15">
        <f t="shared" si="5"/>
        <v>0</v>
      </c>
    </row>
    <row r="366" spans="2:18" x14ac:dyDescent="0.35">
      <c r="B366" s="9">
        <v>387</v>
      </c>
      <c r="C366" s="9"/>
      <c r="D366" s="9"/>
      <c r="E366" s="9"/>
      <c r="F366" s="9"/>
      <c r="G366" s="9"/>
      <c r="H366" s="9"/>
      <c r="I366" s="11" t="e">
        <f>VLOOKUP(H366,위치!B:C,2,0)</f>
        <v>#N/A</v>
      </c>
      <c r="J366" s="9"/>
      <c r="K366" s="9"/>
      <c r="L366" s="9" t="e">
        <f>VLOOKUP(H366,위치!B:D,3,0)</f>
        <v>#N/A</v>
      </c>
      <c r="M366" s="12"/>
      <c r="N366" s="5"/>
      <c r="O366" s="5"/>
      <c r="P366" s="5"/>
      <c r="Q366" s="14"/>
      <c r="R366" s="15">
        <f t="shared" si="5"/>
        <v>0</v>
      </c>
    </row>
    <row r="367" spans="2:18" x14ac:dyDescent="0.35">
      <c r="B367" s="9">
        <v>388</v>
      </c>
      <c r="C367" s="9"/>
      <c r="D367" s="9"/>
      <c r="E367" s="9"/>
      <c r="F367" s="9"/>
      <c r="G367" s="9"/>
      <c r="H367" s="9"/>
      <c r="I367" s="11" t="e">
        <f>VLOOKUP(H367,위치!B:C,2,0)</f>
        <v>#N/A</v>
      </c>
      <c r="J367" s="9"/>
      <c r="K367" s="9"/>
      <c r="L367" s="9" t="e">
        <f>VLOOKUP(H367,위치!B:D,3,0)</f>
        <v>#N/A</v>
      </c>
      <c r="M367" s="12"/>
      <c r="N367" s="5"/>
      <c r="O367" s="5"/>
      <c r="P367" s="5"/>
      <c r="Q367" s="14"/>
      <c r="R367" s="15">
        <f t="shared" si="5"/>
        <v>0</v>
      </c>
    </row>
    <row r="368" spans="2:18" x14ac:dyDescent="0.35">
      <c r="B368" s="9">
        <v>389</v>
      </c>
      <c r="C368" s="9"/>
      <c r="D368" s="9"/>
      <c r="E368" s="9"/>
      <c r="F368" s="9"/>
      <c r="G368" s="9"/>
      <c r="H368" s="9"/>
      <c r="I368" s="11" t="e">
        <f>VLOOKUP(H368,위치!B:C,2,0)</f>
        <v>#N/A</v>
      </c>
      <c r="J368" s="9"/>
      <c r="K368" s="9"/>
      <c r="L368" s="9" t="e">
        <f>VLOOKUP(H368,위치!B:D,3,0)</f>
        <v>#N/A</v>
      </c>
      <c r="M368" s="12"/>
      <c r="N368" s="5"/>
      <c r="O368" s="5"/>
      <c r="P368" s="5"/>
      <c r="Q368" s="14"/>
      <c r="R368" s="15">
        <f t="shared" si="5"/>
        <v>0</v>
      </c>
    </row>
    <row r="369" spans="2:18" x14ac:dyDescent="0.35">
      <c r="B369" s="9">
        <v>390</v>
      </c>
      <c r="C369" s="9"/>
      <c r="D369" s="9"/>
      <c r="E369" s="9"/>
      <c r="F369" s="9"/>
      <c r="G369" s="9"/>
      <c r="H369" s="9"/>
      <c r="I369" s="11" t="e">
        <f>VLOOKUP(H369,위치!B:C,2,0)</f>
        <v>#N/A</v>
      </c>
      <c r="J369" s="9"/>
      <c r="K369" s="9"/>
      <c r="L369" s="9" t="e">
        <f>VLOOKUP(H369,위치!B:D,3,0)</f>
        <v>#N/A</v>
      </c>
      <c r="M369" s="12"/>
      <c r="N369" s="5"/>
      <c r="O369" s="5"/>
      <c r="P369" s="5"/>
      <c r="Q369" s="14"/>
      <c r="R369" s="15">
        <f t="shared" si="5"/>
        <v>0</v>
      </c>
    </row>
    <row r="370" spans="2:18" x14ac:dyDescent="0.35">
      <c r="B370" s="9">
        <v>391</v>
      </c>
      <c r="C370" s="9"/>
      <c r="D370" s="9"/>
      <c r="E370" s="9"/>
      <c r="F370" s="9"/>
      <c r="G370" s="9"/>
      <c r="H370" s="9"/>
      <c r="I370" s="11" t="e">
        <f>VLOOKUP(H370,위치!B:C,2,0)</f>
        <v>#N/A</v>
      </c>
      <c r="J370" s="9"/>
      <c r="K370" s="9"/>
      <c r="L370" s="9" t="e">
        <f>VLOOKUP(H370,위치!B:D,3,0)</f>
        <v>#N/A</v>
      </c>
      <c r="M370" s="12"/>
      <c r="N370" s="5"/>
      <c r="O370" s="5"/>
      <c r="P370" s="5"/>
      <c r="Q370" s="14"/>
      <c r="R370" s="15">
        <f t="shared" si="5"/>
        <v>0</v>
      </c>
    </row>
    <row r="371" spans="2:18" x14ac:dyDescent="0.35">
      <c r="B371" s="9">
        <v>392</v>
      </c>
      <c r="C371" s="9"/>
      <c r="D371" s="9"/>
      <c r="E371" s="9"/>
      <c r="F371" s="9"/>
      <c r="G371" s="9"/>
      <c r="H371" s="9"/>
      <c r="I371" s="11" t="e">
        <f>VLOOKUP(H371,위치!B:C,2,0)</f>
        <v>#N/A</v>
      </c>
      <c r="J371" s="9"/>
      <c r="K371" s="9"/>
      <c r="L371" s="9" t="e">
        <f>VLOOKUP(H371,위치!B:D,3,0)</f>
        <v>#N/A</v>
      </c>
      <c r="M371" s="12"/>
      <c r="N371" s="5"/>
      <c r="O371" s="5"/>
      <c r="P371" s="5"/>
      <c r="Q371" s="14"/>
      <c r="R371" s="15">
        <f t="shared" si="5"/>
        <v>0</v>
      </c>
    </row>
    <row r="372" spans="2:18" x14ac:dyDescent="0.35">
      <c r="B372" s="9">
        <v>393</v>
      </c>
      <c r="C372" s="9"/>
      <c r="D372" s="9"/>
      <c r="E372" s="9"/>
      <c r="F372" s="9"/>
      <c r="G372" s="9"/>
      <c r="H372" s="9"/>
      <c r="I372" s="11" t="e">
        <f>VLOOKUP(H372,위치!B:C,2,0)</f>
        <v>#N/A</v>
      </c>
      <c r="J372" s="9"/>
      <c r="K372" s="9"/>
      <c r="L372" s="9" t="e">
        <f>VLOOKUP(H372,위치!B:D,3,0)</f>
        <v>#N/A</v>
      </c>
      <c r="M372" s="12"/>
      <c r="N372" s="5"/>
      <c r="O372" s="5"/>
      <c r="P372" s="5"/>
      <c r="Q372" s="14"/>
      <c r="R372" s="15">
        <f t="shared" si="5"/>
        <v>0</v>
      </c>
    </row>
    <row r="373" spans="2:18" x14ac:dyDescent="0.35">
      <c r="B373" s="9">
        <v>394</v>
      </c>
      <c r="C373" s="9"/>
      <c r="D373" s="9"/>
      <c r="E373" s="9"/>
      <c r="F373" s="9"/>
      <c r="G373" s="9"/>
      <c r="H373" s="9"/>
      <c r="I373" s="11" t="e">
        <f>VLOOKUP(H373,위치!B:C,2,0)</f>
        <v>#N/A</v>
      </c>
      <c r="J373" s="9"/>
      <c r="K373" s="9"/>
      <c r="L373" s="9" t="e">
        <f>VLOOKUP(H373,위치!B:D,3,0)</f>
        <v>#N/A</v>
      </c>
      <c r="M373" s="12"/>
      <c r="N373" s="5"/>
      <c r="O373" s="5"/>
      <c r="P373" s="5"/>
      <c r="Q373" s="14"/>
      <c r="R373" s="15">
        <f t="shared" si="5"/>
        <v>0</v>
      </c>
    </row>
    <row r="374" spans="2:18" x14ac:dyDescent="0.35">
      <c r="B374" s="9">
        <v>395</v>
      </c>
      <c r="C374" s="9"/>
      <c r="D374" s="9"/>
      <c r="E374" s="9"/>
      <c r="F374" s="9"/>
      <c r="G374" s="9"/>
      <c r="H374" s="9"/>
      <c r="I374" s="11" t="e">
        <f>VLOOKUP(H374,위치!B:C,2,0)</f>
        <v>#N/A</v>
      </c>
      <c r="J374" s="9"/>
      <c r="K374" s="9"/>
      <c r="L374" s="9" t="e">
        <f>VLOOKUP(H374,위치!B:D,3,0)</f>
        <v>#N/A</v>
      </c>
      <c r="M374" s="12"/>
      <c r="N374" s="5"/>
      <c r="O374" s="5"/>
      <c r="P374" s="5"/>
      <c r="Q374" s="14"/>
      <c r="R374" s="15">
        <f t="shared" si="5"/>
        <v>0</v>
      </c>
    </row>
    <row r="375" spans="2:18" x14ac:dyDescent="0.35">
      <c r="B375" s="9">
        <v>396</v>
      </c>
      <c r="C375" s="9"/>
      <c r="D375" s="9"/>
      <c r="E375" s="9"/>
      <c r="F375" s="9"/>
      <c r="G375" s="9"/>
      <c r="H375" s="9"/>
      <c r="I375" s="11" t="e">
        <f>VLOOKUP(H375,위치!B:C,2,0)</f>
        <v>#N/A</v>
      </c>
      <c r="J375" s="9"/>
      <c r="K375" s="9"/>
      <c r="L375" s="9" t="e">
        <f>VLOOKUP(H375,위치!B:D,3,0)</f>
        <v>#N/A</v>
      </c>
      <c r="M375" s="12"/>
      <c r="N375" s="5"/>
      <c r="O375" s="5"/>
      <c r="P375" s="5"/>
      <c r="Q375" s="14"/>
      <c r="R375" s="15">
        <f t="shared" si="5"/>
        <v>0</v>
      </c>
    </row>
    <row r="376" spans="2:18" x14ac:dyDescent="0.35">
      <c r="B376" s="9">
        <v>397</v>
      </c>
      <c r="C376" s="9"/>
      <c r="D376" s="9"/>
      <c r="E376" s="9"/>
      <c r="F376" s="9"/>
      <c r="G376" s="9"/>
      <c r="H376" s="9"/>
      <c r="I376" s="11" t="e">
        <f>VLOOKUP(H376,위치!B:C,2,0)</f>
        <v>#N/A</v>
      </c>
      <c r="J376" s="9"/>
      <c r="K376" s="9"/>
      <c r="L376" s="9" t="e">
        <f>VLOOKUP(H376,위치!B:D,3,0)</f>
        <v>#N/A</v>
      </c>
      <c r="M376" s="12"/>
      <c r="N376" s="5"/>
      <c r="O376" s="5"/>
      <c r="P376" s="5"/>
      <c r="Q376" s="14"/>
      <c r="R376" s="15">
        <f t="shared" si="5"/>
        <v>0</v>
      </c>
    </row>
    <row r="377" spans="2:18" x14ac:dyDescent="0.35">
      <c r="B377" s="9">
        <v>398</v>
      </c>
      <c r="C377" s="9"/>
      <c r="D377" s="9"/>
      <c r="E377" s="9"/>
      <c r="F377" s="9"/>
      <c r="G377" s="9"/>
      <c r="H377" s="9"/>
      <c r="I377" s="11" t="e">
        <f>VLOOKUP(H377,위치!B:C,2,0)</f>
        <v>#N/A</v>
      </c>
      <c r="J377" s="9"/>
      <c r="K377" s="9"/>
      <c r="L377" s="9" t="e">
        <f>VLOOKUP(H377,위치!B:D,3,0)</f>
        <v>#N/A</v>
      </c>
      <c r="M377" s="12"/>
      <c r="N377" s="5"/>
      <c r="O377" s="5"/>
      <c r="P377" s="5"/>
      <c r="Q377" s="14"/>
      <c r="R377" s="15">
        <f t="shared" si="5"/>
        <v>0</v>
      </c>
    </row>
    <row r="378" spans="2:18" x14ac:dyDescent="0.35">
      <c r="B378" s="9">
        <v>399</v>
      </c>
      <c r="C378" s="9"/>
      <c r="D378" s="9"/>
      <c r="E378" s="9"/>
      <c r="F378" s="9"/>
      <c r="G378" s="9"/>
      <c r="H378" s="9"/>
      <c r="I378" s="11" t="e">
        <f>VLOOKUP(H378,위치!B:C,2,0)</f>
        <v>#N/A</v>
      </c>
      <c r="J378" s="9"/>
      <c r="K378" s="9"/>
      <c r="L378" s="9" t="e">
        <f>VLOOKUP(H378,위치!B:D,3,0)</f>
        <v>#N/A</v>
      </c>
      <c r="M378" s="12"/>
      <c r="N378" s="5"/>
      <c r="O378" s="5"/>
      <c r="P378" s="5"/>
      <c r="Q378" s="14"/>
      <c r="R378" s="15">
        <f t="shared" si="5"/>
        <v>0</v>
      </c>
    </row>
    <row r="379" spans="2:18" x14ac:dyDescent="0.35">
      <c r="B379" s="9">
        <v>400</v>
      </c>
      <c r="C379" s="9"/>
      <c r="D379" s="9"/>
      <c r="E379" s="9"/>
      <c r="F379" s="9"/>
      <c r="G379" s="9"/>
      <c r="H379" s="9"/>
      <c r="I379" s="11" t="e">
        <f>VLOOKUP(H379,위치!B:C,2,0)</f>
        <v>#N/A</v>
      </c>
      <c r="J379" s="9"/>
      <c r="K379" s="9"/>
      <c r="L379" s="9" t="e">
        <f>VLOOKUP(H379,위치!B:D,3,0)</f>
        <v>#N/A</v>
      </c>
      <c r="M379" s="12"/>
      <c r="N379" s="5"/>
      <c r="O379" s="5"/>
      <c r="P379" s="5"/>
      <c r="Q379" s="14"/>
      <c r="R379" s="15">
        <f t="shared" si="5"/>
        <v>0</v>
      </c>
    </row>
    <row r="380" spans="2:18" x14ac:dyDescent="0.35">
      <c r="B380" s="9">
        <v>401</v>
      </c>
      <c r="C380" s="9"/>
      <c r="D380" s="9"/>
      <c r="E380" s="9"/>
      <c r="F380" s="9"/>
      <c r="G380" s="9"/>
      <c r="H380" s="9"/>
      <c r="I380" s="11" t="e">
        <f>VLOOKUP(H380,위치!B:C,2,0)</f>
        <v>#N/A</v>
      </c>
      <c r="J380" s="9"/>
      <c r="K380" s="9"/>
      <c r="L380" s="9" t="e">
        <f>VLOOKUP(H380,위치!B:D,3,0)</f>
        <v>#N/A</v>
      </c>
      <c r="M380" s="12"/>
      <c r="N380" s="5"/>
      <c r="O380" s="5"/>
      <c r="P380" s="5"/>
      <c r="Q380" s="14"/>
      <c r="R380" s="15">
        <f t="shared" si="5"/>
        <v>0</v>
      </c>
    </row>
    <row r="381" spans="2:18" x14ac:dyDescent="0.35">
      <c r="B381" s="9">
        <v>402</v>
      </c>
      <c r="C381" s="9"/>
      <c r="D381" s="9"/>
      <c r="E381" s="9"/>
      <c r="F381" s="9"/>
      <c r="G381" s="9"/>
      <c r="H381" s="9"/>
      <c r="I381" s="11" t="e">
        <f>VLOOKUP(H381,위치!B:C,2,0)</f>
        <v>#N/A</v>
      </c>
      <c r="J381" s="9"/>
      <c r="K381" s="9"/>
      <c r="L381" s="9" t="e">
        <f>VLOOKUP(H381,위치!B:D,3,0)</f>
        <v>#N/A</v>
      </c>
      <c r="M381" s="12"/>
      <c r="N381" s="5"/>
      <c r="O381" s="5"/>
      <c r="P381" s="5"/>
      <c r="Q381" s="14"/>
      <c r="R381" s="15">
        <f t="shared" si="5"/>
        <v>0</v>
      </c>
    </row>
    <row r="382" spans="2:18" x14ac:dyDescent="0.35">
      <c r="B382" s="9">
        <v>403</v>
      </c>
      <c r="C382" s="9"/>
      <c r="D382" s="9"/>
      <c r="E382" s="9"/>
      <c r="F382" s="9"/>
      <c r="G382" s="9"/>
      <c r="H382" s="9"/>
      <c r="I382" s="11" t="e">
        <f>VLOOKUP(H382,위치!B:C,2,0)</f>
        <v>#N/A</v>
      </c>
      <c r="J382" s="9"/>
      <c r="K382" s="9"/>
      <c r="L382" s="9" t="e">
        <f>VLOOKUP(H382,위치!B:D,3,0)</f>
        <v>#N/A</v>
      </c>
      <c r="M382" s="12"/>
      <c r="N382" s="5"/>
      <c r="O382" s="5"/>
      <c r="P382" s="5"/>
      <c r="Q382" s="14"/>
      <c r="R382" s="15">
        <f t="shared" si="5"/>
        <v>0</v>
      </c>
    </row>
    <row r="383" spans="2:18" x14ac:dyDescent="0.35">
      <c r="B383" s="9">
        <v>404</v>
      </c>
      <c r="C383" s="9"/>
      <c r="D383" s="9"/>
      <c r="E383" s="9"/>
      <c r="F383" s="9"/>
      <c r="G383" s="9"/>
      <c r="H383" s="9"/>
      <c r="I383" s="11" t="e">
        <f>VLOOKUP(H383,위치!B:C,2,0)</f>
        <v>#N/A</v>
      </c>
      <c r="J383" s="9"/>
      <c r="K383" s="9"/>
      <c r="L383" s="9" t="e">
        <f>VLOOKUP(H383,위치!B:D,3,0)</f>
        <v>#N/A</v>
      </c>
      <c r="M383" s="12"/>
      <c r="N383" s="5"/>
      <c r="O383" s="5"/>
      <c r="P383" s="5"/>
      <c r="Q383" s="14"/>
      <c r="R383" s="15">
        <f t="shared" si="5"/>
        <v>0</v>
      </c>
    </row>
    <row r="384" spans="2:18" x14ac:dyDescent="0.35">
      <c r="B384" s="9">
        <v>405</v>
      </c>
      <c r="C384" s="9"/>
      <c r="D384" s="9"/>
      <c r="E384" s="9"/>
      <c r="F384" s="9"/>
      <c r="G384" s="9"/>
      <c r="H384" s="9"/>
      <c r="I384" s="11" t="e">
        <f>VLOOKUP(H384,위치!B:C,2,0)</f>
        <v>#N/A</v>
      </c>
      <c r="J384" s="9"/>
      <c r="K384" s="9"/>
      <c r="L384" s="9" t="e">
        <f>VLOOKUP(H384,위치!B:D,3,0)</f>
        <v>#N/A</v>
      </c>
      <c r="M384" s="12"/>
      <c r="N384" s="5"/>
      <c r="O384" s="5"/>
      <c r="P384" s="5"/>
      <c r="Q384" s="14"/>
      <c r="R384" s="15">
        <f t="shared" si="5"/>
        <v>0</v>
      </c>
    </row>
    <row r="385" spans="2:18" x14ac:dyDescent="0.35">
      <c r="B385" s="9">
        <v>406</v>
      </c>
      <c r="C385" s="9"/>
      <c r="D385" s="9"/>
      <c r="E385" s="9"/>
      <c r="F385" s="9"/>
      <c r="G385" s="9"/>
      <c r="H385" s="9"/>
      <c r="I385" s="11" t="e">
        <f>VLOOKUP(H385,위치!B:C,2,0)</f>
        <v>#N/A</v>
      </c>
      <c r="J385" s="9"/>
      <c r="K385" s="9"/>
      <c r="L385" s="9" t="e">
        <f>VLOOKUP(H385,위치!B:D,3,0)</f>
        <v>#N/A</v>
      </c>
      <c r="M385" s="12"/>
      <c r="N385" s="5"/>
      <c r="O385" s="5"/>
      <c r="P385" s="5"/>
      <c r="Q385" s="14"/>
      <c r="R385" s="15">
        <f t="shared" si="5"/>
        <v>0</v>
      </c>
    </row>
    <row r="386" spans="2:18" x14ac:dyDescent="0.35">
      <c r="B386" s="9">
        <v>407</v>
      </c>
      <c r="C386" s="9"/>
      <c r="D386" s="9"/>
      <c r="E386" s="9"/>
      <c r="F386" s="9"/>
      <c r="G386" s="9"/>
      <c r="H386" s="9"/>
      <c r="I386" s="11" t="e">
        <f>VLOOKUP(H386,위치!B:C,2,0)</f>
        <v>#N/A</v>
      </c>
      <c r="J386" s="9"/>
      <c r="K386" s="9"/>
      <c r="L386" s="9" t="e">
        <f>VLOOKUP(H386,위치!B:D,3,0)</f>
        <v>#N/A</v>
      </c>
      <c r="M386" s="12"/>
      <c r="N386" s="5"/>
      <c r="O386" s="5"/>
      <c r="P386" s="5"/>
      <c r="Q386" s="14"/>
      <c r="R386" s="15">
        <f t="shared" si="5"/>
        <v>0</v>
      </c>
    </row>
    <row r="387" spans="2:18" x14ac:dyDescent="0.35">
      <c r="B387" s="9">
        <v>408</v>
      </c>
      <c r="C387" s="9"/>
      <c r="D387" s="9"/>
      <c r="E387" s="9"/>
      <c r="F387" s="9"/>
      <c r="G387" s="9"/>
      <c r="H387" s="9"/>
      <c r="I387" s="11" t="e">
        <f>VLOOKUP(H387,위치!B:C,2,0)</f>
        <v>#N/A</v>
      </c>
      <c r="J387" s="9"/>
      <c r="K387" s="9"/>
      <c r="L387" s="9" t="e">
        <f>VLOOKUP(H387,위치!B:D,3,0)</f>
        <v>#N/A</v>
      </c>
      <c r="M387" s="12"/>
      <c r="N387" s="5"/>
      <c r="O387" s="5"/>
      <c r="P387" s="5"/>
      <c r="Q387" s="14"/>
      <c r="R387" s="15">
        <f t="shared" si="5"/>
        <v>0</v>
      </c>
    </row>
    <row r="388" spans="2:18" x14ac:dyDescent="0.35">
      <c r="B388" s="9">
        <v>409</v>
      </c>
      <c r="C388" s="9"/>
      <c r="D388" s="9"/>
      <c r="E388" s="9"/>
      <c r="F388" s="9"/>
      <c r="G388" s="9"/>
      <c r="H388" s="9"/>
      <c r="I388" s="11" t="e">
        <f>VLOOKUP(H388,위치!B:C,2,0)</f>
        <v>#N/A</v>
      </c>
      <c r="J388" s="9"/>
      <c r="K388" s="9"/>
      <c r="L388" s="9" t="e">
        <f>VLOOKUP(H388,위치!B:D,3,0)</f>
        <v>#N/A</v>
      </c>
      <c r="M388" s="12"/>
      <c r="N388" s="5"/>
      <c r="O388" s="5"/>
      <c r="P388" s="5"/>
      <c r="Q388" s="14"/>
      <c r="R388" s="15">
        <f t="shared" si="5"/>
        <v>0</v>
      </c>
    </row>
    <row r="389" spans="2:18" x14ac:dyDescent="0.35">
      <c r="B389" s="9">
        <v>410</v>
      </c>
      <c r="C389" s="9"/>
      <c r="D389" s="9"/>
      <c r="E389" s="9"/>
      <c r="F389" s="9"/>
      <c r="G389" s="9"/>
      <c r="H389" s="9"/>
      <c r="I389" s="11" t="e">
        <f>VLOOKUP(H389,위치!B:C,2,0)</f>
        <v>#N/A</v>
      </c>
      <c r="J389" s="9"/>
      <c r="K389" s="9"/>
      <c r="L389" s="9" t="e">
        <f>VLOOKUP(H389,위치!B:D,3,0)</f>
        <v>#N/A</v>
      </c>
      <c r="M389" s="12"/>
      <c r="N389" s="5"/>
      <c r="O389" s="5"/>
      <c r="P389" s="5"/>
      <c r="Q389" s="14"/>
      <c r="R389" s="15">
        <f t="shared" si="5"/>
        <v>0</v>
      </c>
    </row>
    <row r="390" spans="2:18" x14ac:dyDescent="0.35">
      <c r="B390" s="9">
        <v>411</v>
      </c>
      <c r="C390" s="9"/>
      <c r="D390" s="9"/>
      <c r="E390" s="9"/>
      <c r="F390" s="9"/>
      <c r="G390" s="9"/>
      <c r="H390" s="9"/>
      <c r="I390" s="11" t="e">
        <f>VLOOKUP(H390,위치!B:C,2,0)</f>
        <v>#N/A</v>
      </c>
      <c r="J390" s="9"/>
      <c r="K390" s="9"/>
      <c r="L390" s="9" t="e">
        <f>VLOOKUP(H390,위치!B:D,3,0)</f>
        <v>#N/A</v>
      </c>
      <c r="M390" s="12"/>
      <c r="N390" s="5"/>
      <c r="O390" s="5"/>
      <c r="P390" s="5"/>
      <c r="Q390" s="14"/>
      <c r="R390" s="15">
        <f t="shared" si="5"/>
        <v>0</v>
      </c>
    </row>
    <row r="391" spans="2:18" x14ac:dyDescent="0.35">
      <c r="B391" s="9">
        <v>412</v>
      </c>
      <c r="C391" s="9"/>
      <c r="D391" s="9"/>
      <c r="E391" s="9"/>
      <c r="F391" s="9"/>
      <c r="G391" s="9"/>
      <c r="H391" s="9"/>
      <c r="I391" s="11" t="e">
        <f>VLOOKUP(H391,위치!B:C,2,0)</f>
        <v>#N/A</v>
      </c>
      <c r="J391" s="9"/>
      <c r="K391" s="9"/>
      <c r="L391" s="9" t="e">
        <f>VLOOKUP(H391,위치!B:D,3,0)</f>
        <v>#N/A</v>
      </c>
      <c r="M391" s="12"/>
      <c r="N391" s="5"/>
      <c r="O391" s="5"/>
      <c r="P391" s="5"/>
      <c r="Q391" s="14"/>
      <c r="R391" s="15">
        <f t="shared" ref="R391:R454" si="6">J391-P391</f>
        <v>0</v>
      </c>
    </row>
    <row r="392" spans="2:18" x14ac:dyDescent="0.35">
      <c r="B392" s="9">
        <v>413</v>
      </c>
      <c r="C392" s="9"/>
      <c r="D392" s="9"/>
      <c r="E392" s="9"/>
      <c r="F392" s="9"/>
      <c r="G392" s="9"/>
      <c r="H392" s="9"/>
      <c r="I392" s="11" t="e">
        <f>VLOOKUP(H392,위치!B:C,2,0)</f>
        <v>#N/A</v>
      </c>
      <c r="J392" s="9"/>
      <c r="K392" s="9"/>
      <c r="L392" s="9" t="e">
        <f>VLOOKUP(H392,위치!B:D,3,0)</f>
        <v>#N/A</v>
      </c>
      <c r="M392" s="12"/>
      <c r="N392" s="5"/>
      <c r="O392" s="5"/>
      <c r="P392" s="5"/>
      <c r="Q392" s="14"/>
      <c r="R392" s="15">
        <f t="shared" si="6"/>
        <v>0</v>
      </c>
    </row>
    <row r="393" spans="2:18" x14ac:dyDescent="0.35">
      <c r="B393" s="9">
        <v>414</v>
      </c>
      <c r="C393" s="9"/>
      <c r="D393" s="9"/>
      <c r="E393" s="9"/>
      <c r="F393" s="9"/>
      <c r="G393" s="9"/>
      <c r="H393" s="9"/>
      <c r="I393" s="11" t="e">
        <f>VLOOKUP(H393,위치!B:C,2,0)</f>
        <v>#N/A</v>
      </c>
      <c r="J393" s="9"/>
      <c r="K393" s="9"/>
      <c r="L393" s="9" t="e">
        <f>VLOOKUP(H393,위치!B:D,3,0)</f>
        <v>#N/A</v>
      </c>
      <c r="M393" s="12"/>
      <c r="N393" s="5"/>
      <c r="O393" s="5"/>
      <c r="P393" s="5"/>
      <c r="Q393" s="14"/>
      <c r="R393" s="15">
        <f t="shared" si="6"/>
        <v>0</v>
      </c>
    </row>
    <row r="394" spans="2:18" x14ac:dyDescent="0.35">
      <c r="B394" s="9">
        <v>415</v>
      </c>
      <c r="C394" s="9"/>
      <c r="D394" s="9"/>
      <c r="E394" s="9"/>
      <c r="F394" s="9"/>
      <c r="G394" s="9"/>
      <c r="H394" s="9"/>
      <c r="I394" s="11" t="e">
        <f>VLOOKUP(H394,위치!B:C,2,0)</f>
        <v>#N/A</v>
      </c>
      <c r="J394" s="9"/>
      <c r="K394" s="9"/>
      <c r="L394" s="9" t="e">
        <f>VLOOKUP(H394,위치!B:D,3,0)</f>
        <v>#N/A</v>
      </c>
      <c r="M394" s="12"/>
      <c r="N394" s="5"/>
      <c r="O394" s="5"/>
      <c r="P394" s="5"/>
      <c r="Q394" s="14"/>
      <c r="R394" s="15">
        <f t="shared" si="6"/>
        <v>0</v>
      </c>
    </row>
    <row r="395" spans="2:18" x14ac:dyDescent="0.35">
      <c r="B395" s="9">
        <v>416</v>
      </c>
      <c r="C395" s="9"/>
      <c r="D395" s="9"/>
      <c r="E395" s="9"/>
      <c r="F395" s="9"/>
      <c r="G395" s="9"/>
      <c r="H395" s="9"/>
      <c r="I395" s="11" t="e">
        <f>VLOOKUP(H395,위치!B:C,2,0)</f>
        <v>#N/A</v>
      </c>
      <c r="J395" s="9"/>
      <c r="K395" s="9"/>
      <c r="L395" s="9" t="e">
        <f>VLOOKUP(H395,위치!B:D,3,0)</f>
        <v>#N/A</v>
      </c>
      <c r="M395" s="12"/>
      <c r="N395" s="5"/>
      <c r="O395" s="5"/>
      <c r="P395" s="5"/>
      <c r="Q395" s="14"/>
      <c r="R395" s="15">
        <f t="shared" si="6"/>
        <v>0</v>
      </c>
    </row>
    <row r="396" spans="2:18" x14ac:dyDescent="0.35">
      <c r="B396" s="9">
        <v>417</v>
      </c>
      <c r="C396" s="9"/>
      <c r="D396" s="9"/>
      <c r="E396" s="9"/>
      <c r="F396" s="9"/>
      <c r="G396" s="9"/>
      <c r="H396" s="9"/>
      <c r="I396" s="11" t="e">
        <f>VLOOKUP(H396,위치!B:C,2,0)</f>
        <v>#N/A</v>
      </c>
      <c r="J396" s="9"/>
      <c r="K396" s="9"/>
      <c r="L396" s="9" t="e">
        <f>VLOOKUP(H396,위치!B:D,3,0)</f>
        <v>#N/A</v>
      </c>
      <c r="M396" s="12"/>
      <c r="N396" s="5"/>
      <c r="O396" s="5"/>
      <c r="P396" s="5"/>
      <c r="Q396" s="14"/>
      <c r="R396" s="15">
        <f t="shared" si="6"/>
        <v>0</v>
      </c>
    </row>
    <row r="397" spans="2:18" x14ac:dyDescent="0.35">
      <c r="B397" s="9">
        <v>418</v>
      </c>
      <c r="C397" s="9"/>
      <c r="D397" s="9"/>
      <c r="E397" s="9"/>
      <c r="F397" s="9"/>
      <c r="G397" s="9"/>
      <c r="H397" s="9"/>
      <c r="I397" s="11" t="e">
        <f>VLOOKUP(H397,위치!B:C,2,0)</f>
        <v>#N/A</v>
      </c>
      <c r="J397" s="9"/>
      <c r="K397" s="9"/>
      <c r="L397" s="9" t="e">
        <f>VLOOKUP(H397,위치!B:D,3,0)</f>
        <v>#N/A</v>
      </c>
      <c r="M397" s="12"/>
      <c r="N397" s="5"/>
      <c r="O397" s="5"/>
      <c r="P397" s="5"/>
      <c r="Q397" s="14"/>
      <c r="R397" s="15">
        <f t="shared" si="6"/>
        <v>0</v>
      </c>
    </row>
    <row r="398" spans="2:18" x14ac:dyDescent="0.35">
      <c r="B398" s="9">
        <v>419</v>
      </c>
      <c r="C398" s="9"/>
      <c r="D398" s="9"/>
      <c r="E398" s="9"/>
      <c r="F398" s="9"/>
      <c r="G398" s="9"/>
      <c r="H398" s="9"/>
      <c r="I398" s="11" t="e">
        <f>VLOOKUP(H398,위치!B:C,2,0)</f>
        <v>#N/A</v>
      </c>
      <c r="J398" s="9"/>
      <c r="K398" s="9"/>
      <c r="L398" s="9" t="e">
        <f>VLOOKUP(H398,위치!B:D,3,0)</f>
        <v>#N/A</v>
      </c>
      <c r="M398" s="12"/>
      <c r="N398" s="5"/>
      <c r="O398" s="5"/>
      <c r="P398" s="5"/>
      <c r="Q398" s="14"/>
      <c r="R398" s="15">
        <f t="shared" si="6"/>
        <v>0</v>
      </c>
    </row>
    <row r="399" spans="2:18" x14ac:dyDescent="0.35">
      <c r="B399" s="9">
        <v>420</v>
      </c>
      <c r="C399" s="9"/>
      <c r="D399" s="9"/>
      <c r="E399" s="9"/>
      <c r="F399" s="9"/>
      <c r="G399" s="9"/>
      <c r="H399" s="9"/>
      <c r="I399" s="11" t="e">
        <f>VLOOKUP(H399,위치!B:C,2,0)</f>
        <v>#N/A</v>
      </c>
      <c r="J399" s="9"/>
      <c r="K399" s="9"/>
      <c r="L399" s="9" t="e">
        <f>VLOOKUP(H399,위치!B:D,3,0)</f>
        <v>#N/A</v>
      </c>
      <c r="M399" s="12"/>
      <c r="N399" s="5"/>
      <c r="O399" s="5"/>
      <c r="P399" s="5"/>
      <c r="Q399" s="14"/>
      <c r="R399" s="15">
        <f t="shared" si="6"/>
        <v>0</v>
      </c>
    </row>
    <row r="400" spans="2:18" x14ac:dyDescent="0.35">
      <c r="B400" s="9">
        <v>421</v>
      </c>
      <c r="C400" s="9"/>
      <c r="D400" s="9"/>
      <c r="E400" s="9"/>
      <c r="F400" s="9"/>
      <c r="G400" s="9"/>
      <c r="H400" s="9"/>
      <c r="I400" s="11" t="e">
        <f>VLOOKUP(H400,위치!B:C,2,0)</f>
        <v>#N/A</v>
      </c>
      <c r="J400" s="9"/>
      <c r="K400" s="9"/>
      <c r="L400" s="9" t="e">
        <f>VLOOKUP(H400,위치!B:D,3,0)</f>
        <v>#N/A</v>
      </c>
      <c r="M400" s="12"/>
      <c r="N400" s="5"/>
      <c r="O400" s="5"/>
      <c r="P400" s="5"/>
      <c r="Q400" s="14"/>
      <c r="R400" s="15">
        <f t="shared" si="6"/>
        <v>0</v>
      </c>
    </row>
    <row r="401" spans="2:18" x14ac:dyDescent="0.35">
      <c r="B401" s="9">
        <v>422</v>
      </c>
      <c r="C401" s="9"/>
      <c r="D401" s="9"/>
      <c r="E401" s="9"/>
      <c r="F401" s="9"/>
      <c r="G401" s="9"/>
      <c r="H401" s="9"/>
      <c r="I401" s="11" t="e">
        <f>VLOOKUP(H401,위치!B:C,2,0)</f>
        <v>#N/A</v>
      </c>
      <c r="J401" s="9"/>
      <c r="K401" s="9"/>
      <c r="L401" s="9" t="e">
        <f>VLOOKUP(H401,위치!B:D,3,0)</f>
        <v>#N/A</v>
      </c>
      <c r="M401" s="12"/>
      <c r="N401" s="5"/>
      <c r="O401" s="5"/>
      <c r="P401" s="5"/>
      <c r="Q401" s="14"/>
      <c r="R401" s="15">
        <f t="shared" si="6"/>
        <v>0</v>
      </c>
    </row>
    <row r="402" spans="2:18" x14ac:dyDescent="0.35">
      <c r="B402" s="9">
        <v>423</v>
      </c>
      <c r="C402" s="9"/>
      <c r="D402" s="9"/>
      <c r="E402" s="9"/>
      <c r="F402" s="9"/>
      <c r="G402" s="9"/>
      <c r="H402" s="9"/>
      <c r="I402" s="11" t="e">
        <f>VLOOKUP(H402,위치!B:C,2,0)</f>
        <v>#N/A</v>
      </c>
      <c r="J402" s="9"/>
      <c r="K402" s="9"/>
      <c r="L402" s="9" t="e">
        <f>VLOOKUP(H402,위치!B:D,3,0)</f>
        <v>#N/A</v>
      </c>
      <c r="M402" s="12"/>
      <c r="N402" s="5"/>
      <c r="O402" s="5"/>
      <c r="P402" s="5"/>
      <c r="Q402" s="14"/>
      <c r="R402" s="15">
        <f t="shared" si="6"/>
        <v>0</v>
      </c>
    </row>
    <row r="403" spans="2:18" x14ac:dyDescent="0.35">
      <c r="B403" s="9">
        <v>424</v>
      </c>
      <c r="C403" s="9"/>
      <c r="D403" s="9"/>
      <c r="E403" s="9"/>
      <c r="F403" s="9"/>
      <c r="G403" s="9"/>
      <c r="H403" s="9"/>
      <c r="I403" s="11" t="e">
        <f>VLOOKUP(H403,위치!B:C,2,0)</f>
        <v>#N/A</v>
      </c>
      <c r="J403" s="9"/>
      <c r="K403" s="9"/>
      <c r="L403" s="9" t="e">
        <f>VLOOKUP(H403,위치!B:D,3,0)</f>
        <v>#N/A</v>
      </c>
      <c r="M403" s="12"/>
      <c r="N403" s="5"/>
      <c r="O403" s="5"/>
      <c r="P403" s="5"/>
      <c r="Q403" s="14"/>
      <c r="R403" s="15">
        <f t="shared" si="6"/>
        <v>0</v>
      </c>
    </row>
    <row r="404" spans="2:18" x14ac:dyDescent="0.35">
      <c r="B404" s="9">
        <v>425</v>
      </c>
      <c r="C404" s="9"/>
      <c r="D404" s="9"/>
      <c r="E404" s="9"/>
      <c r="F404" s="9"/>
      <c r="G404" s="9"/>
      <c r="H404" s="9"/>
      <c r="I404" s="11" t="e">
        <f>VLOOKUP(H404,위치!B:C,2,0)</f>
        <v>#N/A</v>
      </c>
      <c r="J404" s="9"/>
      <c r="K404" s="9"/>
      <c r="L404" s="9" t="e">
        <f>VLOOKUP(H404,위치!B:D,3,0)</f>
        <v>#N/A</v>
      </c>
      <c r="M404" s="12"/>
      <c r="N404" s="5"/>
      <c r="O404" s="5"/>
      <c r="P404" s="5"/>
      <c r="Q404" s="14"/>
      <c r="R404" s="15">
        <f t="shared" si="6"/>
        <v>0</v>
      </c>
    </row>
    <row r="405" spans="2:18" x14ac:dyDescent="0.35">
      <c r="B405" s="9">
        <v>426</v>
      </c>
      <c r="C405" s="9"/>
      <c r="D405" s="9"/>
      <c r="E405" s="9"/>
      <c r="F405" s="9"/>
      <c r="G405" s="9"/>
      <c r="H405" s="9"/>
      <c r="I405" s="11" t="e">
        <f>VLOOKUP(H405,위치!B:C,2,0)</f>
        <v>#N/A</v>
      </c>
      <c r="J405" s="9"/>
      <c r="K405" s="9"/>
      <c r="L405" s="9" t="e">
        <f>VLOOKUP(H405,위치!B:D,3,0)</f>
        <v>#N/A</v>
      </c>
      <c r="M405" s="12"/>
      <c r="N405" s="5"/>
      <c r="O405" s="5"/>
      <c r="P405" s="5"/>
      <c r="Q405" s="14"/>
      <c r="R405" s="15">
        <f t="shared" si="6"/>
        <v>0</v>
      </c>
    </row>
    <row r="406" spans="2:18" x14ac:dyDescent="0.35">
      <c r="B406" s="9">
        <v>427</v>
      </c>
      <c r="C406" s="9"/>
      <c r="D406" s="9"/>
      <c r="E406" s="9"/>
      <c r="F406" s="9"/>
      <c r="G406" s="9"/>
      <c r="H406" s="9"/>
      <c r="I406" s="11" t="e">
        <f>VLOOKUP(H406,위치!B:C,2,0)</f>
        <v>#N/A</v>
      </c>
      <c r="J406" s="9"/>
      <c r="K406" s="9"/>
      <c r="L406" s="9" t="e">
        <f>VLOOKUP(H406,위치!B:D,3,0)</f>
        <v>#N/A</v>
      </c>
      <c r="M406" s="12"/>
      <c r="N406" s="5"/>
      <c r="O406" s="5"/>
      <c r="P406" s="5"/>
      <c r="Q406" s="14"/>
      <c r="R406" s="15">
        <f t="shared" si="6"/>
        <v>0</v>
      </c>
    </row>
    <row r="407" spans="2:18" x14ac:dyDescent="0.35">
      <c r="B407" s="9">
        <v>428</v>
      </c>
      <c r="C407" s="9"/>
      <c r="D407" s="9"/>
      <c r="E407" s="9"/>
      <c r="F407" s="9"/>
      <c r="G407" s="9"/>
      <c r="H407" s="9"/>
      <c r="I407" s="11" t="e">
        <f>VLOOKUP(H407,위치!B:C,2,0)</f>
        <v>#N/A</v>
      </c>
      <c r="J407" s="9"/>
      <c r="K407" s="9"/>
      <c r="L407" s="9" t="e">
        <f>VLOOKUP(H407,위치!B:D,3,0)</f>
        <v>#N/A</v>
      </c>
      <c r="M407" s="12"/>
      <c r="N407" s="5"/>
      <c r="O407" s="5"/>
      <c r="P407" s="5"/>
      <c r="Q407" s="14"/>
      <c r="R407" s="15">
        <f t="shared" si="6"/>
        <v>0</v>
      </c>
    </row>
    <row r="408" spans="2:18" x14ac:dyDescent="0.35">
      <c r="B408" s="9">
        <v>429</v>
      </c>
      <c r="C408" s="9"/>
      <c r="D408" s="9"/>
      <c r="E408" s="9"/>
      <c r="F408" s="9"/>
      <c r="G408" s="9"/>
      <c r="H408" s="9"/>
      <c r="I408" s="11" t="e">
        <f>VLOOKUP(H408,위치!B:C,2,0)</f>
        <v>#N/A</v>
      </c>
      <c r="J408" s="9"/>
      <c r="K408" s="9"/>
      <c r="L408" s="9" t="e">
        <f>VLOOKUP(H408,위치!B:D,3,0)</f>
        <v>#N/A</v>
      </c>
      <c r="M408" s="12"/>
      <c r="N408" s="5"/>
      <c r="O408" s="5"/>
      <c r="P408" s="5"/>
      <c r="Q408" s="14"/>
      <c r="R408" s="15">
        <f t="shared" si="6"/>
        <v>0</v>
      </c>
    </row>
    <row r="409" spans="2:18" x14ac:dyDescent="0.35">
      <c r="B409" s="9">
        <v>430</v>
      </c>
      <c r="C409" s="9"/>
      <c r="D409" s="9"/>
      <c r="E409" s="9"/>
      <c r="F409" s="9"/>
      <c r="G409" s="9"/>
      <c r="H409" s="9"/>
      <c r="I409" s="11" t="e">
        <f>VLOOKUP(H409,위치!B:C,2,0)</f>
        <v>#N/A</v>
      </c>
      <c r="J409" s="9"/>
      <c r="K409" s="9"/>
      <c r="L409" s="9" t="e">
        <f>VLOOKUP(H409,위치!B:D,3,0)</f>
        <v>#N/A</v>
      </c>
      <c r="M409" s="12"/>
      <c r="N409" s="5"/>
      <c r="O409" s="5"/>
      <c r="P409" s="5"/>
      <c r="Q409" s="14"/>
      <c r="R409" s="15">
        <f t="shared" si="6"/>
        <v>0</v>
      </c>
    </row>
    <row r="410" spans="2:18" x14ac:dyDescent="0.35">
      <c r="B410" s="9">
        <v>431</v>
      </c>
      <c r="C410" s="9"/>
      <c r="D410" s="9"/>
      <c r="E410" s="9"/>
      <c r="F410" s="9"/>
      <c r="G410" s="9"/>
      <c r="H410" s="9"/>
      <c r="I410" s="11" t="e">
        <f>VLOOKUP(H410,위치!B:C,2,0)</f>
        <v>#N/A</v>
      </c>
      <c r="J410" s="9"/>
      <c r="K410" s="9"/>
      <c r="L410" s="9" t="e">
        <f>VLOOKUP(H410,위치!B:D,3,0)</f>
        <v>#N/A</v>
      </c>
      <c r="M410" s="12"/>
      <c r="N410" s="5"/>
      <c r="O410" s="5"/>
      <c r="P410" s="5"/>
      <c r="Q410" s="14"/>
      <c r="R410" s="15">
        <f t="shared" si="6"/>
        <v>0</v>
      </c>
    </row>
    <row r="411" spans="2:18" x14ac:dyDescent="0.35">
      <c r="B411" s="9">
        <v>432</v>
      </c>
      <c r="C411" s="9"/>
      <c r="D411" s="9"/>
      <c r="E411" s="9"/>
      <c r="F411" s="9"/>
      <c r="G411" s="9"/>
      <c r="H411" s="9"/>
      <c r="I411" s="11" t="e">
        <f>VLOOKUP(H411,위치!B:C,2,0)</f>
        <v>#N/A</v>
      </c>
      <c r="J411" s="9"/>
      <c r="K411" s="9"/>
      <c r="L411" s="9" t="e">
        <f>VLOOKUP(H411,위치!B:D,3,0)</f>
        <v>#N/A</v>
      </c>
      <c r="M411" s="12"/>
      <c r="N411" s="5"/>
      <c r="O411" s="5"/>
      <c r="P411" s="5"/>
      <c r="Q411" s="14"/>
      <c r="R411" s="15">
        <f t="shared" si="6"/>
        <v>0</v>
      </c>
    </row>
    <row r="412" spans="2:18" x14ac:dyDescent="0.35">
      <c r="B412" s="9">
        <v>433</v>
      </c>
      <c r="C412" s="9"/>
      <c r="D412" s="9"/>
      <c r="E412" s="9"/>
      <c r="F412" s="9"/>
      <c r="G412" s="9"/>
      <c r="H412" s="9"/>
      <c r="I412" s="11" t="e">
        <f>VLOOKUP(H412,위치!B:C,2,0)</f>
        <v>#N/A</v>
      </c>
      <c r="J412" s="9"/>
      <c r="K412" s="9"/>
      <c r="L412" s="9" t="e">
        <f>VLOOKUP(H412,위치!B:D,3,0)</f>
        <v>#N/A</v>
      </c>
      <c r="M412" s="12"/>
      <c r="N412" s="5"/>
      <c r="O412" s="5"/>
      <c r="P412" s="5"/>
      <c r="Q412" s="14"/>
      <c r="R412" s="15">
        <f t="shared" si="6"/>
        <v>0</v>
      </c>
    </row>
    <row r="413" spans="2:18" x14ac:dyDescent="0.35">
      <c r="B413" s="9">
        <v>434</v>
      </c>
      <c r="C413" s="9"/>
      <c r="D413" s="9"/>
      <c r="E413" s="9"/>
      <c r="F413" s="9"/>
      <c r="G413" s="9"/>
      <c r="H413" s="9"/>
      <c r="I413" s="11" t="e">
        <f>VLOOKUP(H413,위치!B:C,2,0)</f>
        <v>#N/A</v>
      </c>
      <c r="J413" s="9"/>
      <c r="K413" s="9"/>
      <c r="L413" s="9" t="e">
        <f>VLOOKUP(H413,위치!B:D,3,0)</f>
        <v>#N/A</v>
      </c>
      <c r="M413" s="12"/>
      <c r="N413" s="5"/>
      <c r="O413" s="5"/>
      <c r="P413" s="5"/>
      <c r="Q413" s="14"/>
      <c r="R413" s="15">
        <f t="shared" si="6"/>
        <v>0</v>
      </c>
    </row>
    <row r="414" spans="2:18" x14ac:dyDescent="0.35">
      <c r="B414" s="9">
        <v>435</v>
      </c>
      <c r="C414" s="9"/>
      <c r="D414" s="9"/>
      <c r="E414" s="9"/>
      <c r="F414" s="9"/>
      <c r="G414" s="9"/>
      <c r="H414" s="9"/>
      <c r="I414" s="11" t="e">
        <f>VLOOKUP(H414,위치!B:C,2,0)</f>
        <v>#N/A</v>
      </c>
      <c r="J414" s="9"/>
      <c r="K414" s="9"/>
      <c r="L414" s="9" t="e">
        <f>VLOOKUP(H414,위치!B:D,3,0)</f>
        <v>#N/A</v>
      </c>
      <c r="M414" s="12"/>
      <c r="N414" s="5"/>
      <c r="O414" s="5"/>
      <c r="P414" s="5"/>
      <c r="Q414" s="14"/>
      <c r="R414" s="15">
        <f t="shared" si="6"/>
        <v>0</v>
      </c>
    </row>
    <row r="415" spans="2:18" x14ac:dyDescent="0.35">
      <c r="B415" s="9">
        <v>436</v>
      </c>
      <c r="C415" s="9"/>
      <c r="D415" s="9"/>
      <c r="E415" s="9"/>
      <c r="F415" s="9"/>
      <c r="G415" s="9"/>
      <c r="H415" s="9"/>
      <c r="I415" s="11" t="e">
        <f>VLOOKUP(H415,위치!B:C,2,0)</f>
        <v>#N/A</v>
      </c>
      <c r="J415" s="9"/>
      <c r="K415" s="9"/>
      <c r="L415" s="9" t="e">
        <f>VLOOKUP(H415,위치!B:D,3,0)</f>
        <v>#N/A</v>
      </c>
      <c r="M415" s="12"/>
      <c r="N415" s="5"/>
      <c r="O415" s="5"/>
      <c r="P415" s="5"/>
      <c r="Q415" s="14"/>
      <c r="R415" s="15">
        <f t="shared" si="6"/>
        <v>0</v>
      </c>
    </row>
    <row r="416" spans="2:18" x14ac:dyDescent="0.35">
      <c r="B416" s="9">
        <v>437</v>
      </c>
      <c r="C416" s="9"/>
      <c r="D416" s="9"/>
      <c r="E416" s="9"/>
      <c r="F416" s="9"/>
      <c r="G416" s="9"/>
      <c r="H416" s="9"/>
      <c r="I416" s="11" t="e">
        <f>VLOOKUP(H416,위치!B:C,2,0)</f>
        <v>#N/A</v>
      </c>
      <c r="J416" s="9"/>
      <c r="K416" s="9"/>
      <c r="L416" s="9" t="e">
        <f>VLOOKUP(H416,위치!B:D,3,0)</f>
        <v>#N/A</v>
      </c>
      <c r="M416" s="12"/>
      <c r="N416" s="5"/>
      <c r="O416" s="5"/>
      <c r="P416" s="5"/>
      <c r="Q416" s="14"/>
      <c r="R416" s="15">
        <f t="shared" si="6"/>
        <v>0</v>
      </c>
    </row>
    <row r="417" spans="2:18" x14ac:dyDescent="0.35">
      <c r="B417" s="9">
        <v>438</v>
      </c>
      <c r="C417" s="9"/>
      <c r="D417" s="9"/>
      <c r="E417" s="9"/>
      <c r="F417" s="9"/>
      <c r="G417" s="9"/>
      <c r="H417" s="9"/>
      <c r="I417" s="11" t="e">
        <f>VLOOKUP(H417,위치!B:C,2,0)</f>
        <v>#N/A</v>
      </c>
      <c r="J417" s="9"/>
      <c r="K417" s="9"/>
      <c r="L417" s="9" t="e">
        <f>VLOOKUP(H417,위치!B:D,3,0)</f>
        <v>#N/A</v>
      </c>
      <c r="M417" s="12"/>
      <c r="N417" s="5"/>
      <c r="O417" s="5"/>
      <c r="P417" s="5"/>
      <c r="Q417" s="14"/>
      <c r="R417" s="15">
        <f t="shared" si="6"/>
        <v>0</v>
      </c>
    </row>
    <row r="418" spans="2:18" x14ac:dyDescent="0.35">
      <c r="B418" s="9">
        <v>439</v>
      </c>
      <c r="C418" s="9"/>
      <c r="D418" s="9"/>
      <c r="E418" s="9"/>
      <c r="F418" s="9"/>
      <c r="G418" s="9"/>
      <c r="H418" s="9"/>
      <c r="I418" s="11" t="e">
        <f>VLOOKUP(H418,위치!B:C,2,0)</f>
        <v>#N/A</v>
      </c>
      <c r="J418" s="9"/>
      <c r="K418" s="9"/>
      <c r="L418" s="9" t="e">
        <f>VLOOKUP(H418,위치!B:D,3,0)</f>
        <v>#N/A</v>
      </c>
      <c r="M418" s="12"/>
      <c r="N418" s="5"/>
      <c r="O418" s="5"/>
      <c r="P418" s="5"/>
      <c r="Q418" s="14"/>
      <c r="R418" s="15">
        <f t="shared" si="6"/>
        <v>0</v>
      </c>
    </row>
    <row r="419" spans="2:18" x14ac:dyDescent="0.35">
      <c r="B419" s="9">
        <v>440</v>
      </c>
      <c r="C419" s="9"/>
      <c r="D419" s="9"/>
      <c r="E419" s="9"/>
      <c r="F419" s="9"/>
      <c r="G419" s="9"/>
      <c r="H419" s="9"/>
      <c r="I419" s="11" t="e">
        <f>VLOOKUP(H419,위치!B:C,2,0)</f>
        <v>#N/A</v>
      </c>
      <c r="J419" s="9"/>
      <c r="K419" s="9"/>
      <c r="L419" s="9" t="e">
        <f>VLOOKUP(H419,위치!B:D,3,0)</f>
        <v>#N/A</v>
      </c>
      <c r="M419" s="12"/>
      <c r="N419" s="5"/>
      <c r="O419" s="5"/>
      <c r="P419" s="5"/>
      <c r="Q419" s="14"/>
      <c r="R419" s="15">
        <f t="shared" si="6"/>
        <v>0</v>
      </c>
    </row>
    <row r="420" spans="2:18" x14ac:dyDescent="0.35">
      <c r="B420" s="9">
        <v>441</v>
      </c>
      <c r="C420" s="9"/>
      <c r="D420" s="9"/>
      <c r="E420" s="9"/>
      <c r="F420" s="9"/>
      <c r="G420" s="9"/>
      <c r="H420" s="9"/>
      <c r="I420" s="11" t="e">
        <f>VLOOKUP(H420,위치!B:C,2,0)</f>
        <v>#N/A</v>
      </c>
      <c r="J420" s="9"/>
      <c r="K420" s="9"/>
      <c r="L420" s="9" t="e">
        <f>VLOOKUP(H420,위치!B:D,3,0)</f>
        <v>#N/A</v>
      </c>
      <c r="M420" s="12"/>
      <c r="N420" s="5"/>
      <c r="O420" s="5"/>
      <c r="P420" s="5"/>
      <c r="Q420" s="14"/>
      <c r="R420" s="15">
        <f t="shared" si="6"/>
        <v>0</v>
      </c>
    </row>
    <row r="421" spans="2:18" x14ac:dyDescent="0.35">
      <c r="B421" s="9">
        <v>442</v>
      </c>
      <c r="C421" s="9"/>
      <c r="D421" s="9"/>
      <c r="E421" s="9"/>
      <c r="F421" s="9"/>
      <c r="G421" s="9"/>
      <c r="H421" s="9"/>
      <c r="I421" s="11" t="e">
        <f>VLOOKUP(H421,위치!B:C,2,0)</f>
        <v>#N/A</v>
      </c>
      <c r="J421" s="9"/>
      <c r="K421" s="9"/>
      <c r="L421" s="9" t="e">
        <f>VLOOKUP(H421,위치!B:D,3,0)</f>
        <v>#N/A</v>
      </c>
      <c r="M421" s="12"/>
      <c r="N421" s="5"/>
      <c r="O421" s="5"/>
      <c r="P421" s="5"/>
      <c r="Q421" s="14"/>
      <c r="R421" s="15">
        <f t="shared" si="6"/>
        <v>0</v>
      </c>
    </row>
    <row r="422" spans="2:18" x14ac:dyDescent="0.35">
      <c r="B422" s="9">
        <v>443</v>
      </c>
      <c r="C422" s="9"/>
      <c r="D422" s="9"/>
      <c r="E422" s="9"/>
      <c r="F422" s="9"/>
      <c r="G422" s="9"/>
      <c r="H422" s="9"/>
      <c r="I422" s="11" t="e">
        <f>VLOOKUP(H422,위치!B:C,2,0)</f>
        <v>#N/A</v>
      </c>
      <c r="J422" s="9"/>
      <c r="K422" s="9"/>
      <c r="L422" s="9" t="e">
        <f>VLOOKUP(H422,위치!B:D,3,0)</f>
        <v>#N/A</v>
      </c>
      <c r="M422" s="12"/>
      <c r="N422" s="5"/>
      <c r="O422" s="5"/>
      <c r="P422" s="5"/>
      <c r="Q422" s="14"/>
      <c r="R422" s="15">
        <f t="shared" si="6"/>
        <v>0</v>
      </c>
    </row>
    <row r="423" spans="2:18" x14ac:dyDescent="0.35">
      <c r="B423" s="9">
        <v>444</v>
      </c>
      <c r="C423" s="9"/>
      <c r="D423" s="9"/>
      <c r="E423" s="9"/>
      <c r="F423" s="9"/>
      <c r="G423" s="9"/>
      <c r="H423" s="9"/>
      <c r="I423" s="11" t="e">
        <f>VLOOKUP(H423,위치!B:C,2,0)</f>
        <v>#N/A</v>
      </c>
      <c r="J423" s="9"/>
      <c r="K423" s="9"/>
      <c r="L423" s="9" t="e">
        <f>VLOOKUP(H423,위치!B:D,3,0)</f>
        <v>#N/A</v>
      </c>
      <c r="M423" s="12"/>
      <c r="N423" s="5"/>
      <c r="O423" s="5"/>
      <c r="P423" s="5"/>
      <c r="Q423" s="14"/>
      <c r="R423" s="15">
        <f t="shared" si="6"/>
        <v>0</v>
      </c>
    </row>
    <row r="424" spans="2:18" x14ac:dyDescent="0.35">
      <c r="B424" s="9">
        <v>445</v>
      </c>
      <c r="C424" s="9"/>
      <c r="D424" s="9"/>
      <c r="E424" s="9"/>
      <c r="F424" s="9"/>
      <c r="G424" s="9"/>
      <c r="H424" s="9"/>
      <c r="I424" s="11" t="e">
        <f>VLOOKUP(H424,위치!B:C,2,0)</f>
        <v>#N/A</v>
      </c>
      <c r="J424" s="9"/>
      <c r="K424" s="9"/>
      <c r="L424" s="9" t="e">
        <f>VLOOKUP(H424,위치!B:D,3,0)</f>
        <v>#N/A</v>
      </c>
      <c r="M424" s="12"/>
      <c r="N424" s="5"/>
      <c r="O424" s="5"/>
      <c r="P424" s="5"/>
      <c r="Q424" s="14"/>
      <c r="R424" s="15">
        <f t="shared" si="6"/>
        <v>0</v>
      </c>
    </row>
    <row r="425" spans="2:18" x14ac:dyDescent="0.35">
      <c r="B425" s="9">
        <v>446</v>
      </c>
      <c r="C425" s="9"/>
      <c r="D425" s="9"/>
      <c r="E425" s="9"/>
      <c r="F425" s="9"/>
      <c r="G425" s="9"/>
      <c r="H425" s="9"/>
      <c r="I425" s="11" t="e">
        <f>VLOOKUP(H425,위치!B:C,2,0)</f>
        <v>#N/A</v>
      </c>
      <c r="J425" s="9"/>
      <c r="K425" s="9"/>
      <c r="L425" s="9" t="e">
        <f>VLOOKUP(H425,위치!B:D,3,0)</f>
        <v>#N/A</v>
      </c>
      <c r="M425" s="12"/>
      <c r="N425" s="5"/>
      <c r="O425" s="5"/>
      <c r="P425" s="5"/>
      <c r="Q425" s="14"/>
      <c r="R425" s="15">
        <f t="shared" si="6"/>
        <v>0</v>
      </c>
    </row>
    <row r="426" spans="2:18" x14ac:dyDescent="0.35">
      <c r="B426" s="9">
        <v>447</v>
      </c>
      <c r="C426" s="9"/>
      <c r="D426" s="9"/>
      <c r="E426" s="9"/>
      <c r="F426" s="9"/>
      <c r="G426" s="9"/>
      <c r="H426" s="9"/>
      <c r="I426" s="11" t="e">
        <f>VLOOKUP(H426,위치!B:C,2,0)</f>
        <v>#N/A</v>
      </c>
      <c r="J426" s="9"/>
      <c r="K426" s="9"/>
      <c r="L426" s="9" t="e">
        <f>VLOOKUP(H426,위치!B:D,3,0)</f>
        <v>#N/A</v>
      </c>
      <c r="M426" s="12"/>
      <c r="N426" s="5"/>
      <c r="O426" s="5"/>
      <c r="P426" s="5"/>
      <c r="Q426" s="14"/>
      <c r="R426" s="15">
        <f t="shared" si="6"/>
        <v>0</v>
      </c>
    </row>
    <row r="427" spans="2:18" x14ac:dyDescent="0.35">
      <c r="B427" s="9">
        <v>448</v>
      </c>
      <c r="C427" s="9"/>
      <c r="D427" s="9"/>
      <c r="E427" s="9"/>
      <c r="F427" s="9"/>
      <c r="G427" s="9"/>
      <c r="H427" s="9"/>
      <c r="I427" s="11" t="e">
        <f>VLOOKUP(H427,위치!B:C,2,0)</f>
        <v>#N/A</v>
      </c>
      <c r="J427" s="9"/>
      <c r="K427" s="9"/>
      <c r="L427" s="9" t="e">
        <f>VLOOKUP(H427,위치!B:D,3,0)</f>
        <v>#N/A</v>
      </c>
      <c r="M427" s="12"/>
      <c r="N427" s="5"/>
      <c r="O427" s="5"/>
      <c r="P427" s="5"/>
      <c r="Q427" s="14"/>
      <c r="R427" s="15">
        <f t="shared" si="6"/>
        <v>0</v>
      </c>
    </row>
    <row r="428" spans="2:18" x14ac:dyDescent="0.35">
      <c r="B428" s="9">
        <v>449</v>
      </c>
      <c r="C428" s="9"/>
      <c r="D428" s="9"/>
      <c r="E428" s="9"/>
      <c r="F428" s="9"/>
      <c r="G428" s="9"/>
      <c r="H428" s="9"/>
      <c r="I428" s="11" t="e">
        <f>VLOOKUP(H428,위치!B:C,2,0)</f>
        <v>#N/A</v>
      </c>
      <c r="J428" s="9"/>
      <c r="K428" s="9"/>
      <c r="L428" s="9" t="e">
        <f>VLOOKUP(H428,위치!B:D,3,0)</f>
        <v>#N/A</v>
      </c>
      <c r="M428" s="12"/>
      <c r="N428" s="5"/>
      <c r="O428" s="5"/>
      <c r="P428" s="5"/>
      <c r="Q428" s="14"/>
      <c r="R428" s="15">
        <f t="shared" si="6"/>
        <v>0</v>
      </c>
    </row>
    <row r="429" spans="2:18" x14ac:dyDescent="0.35">
      <c r="B429" s="9">
        <v>450</v>
      </c>
      <c r="C429" s="9"/>
      <c r="D429" s="9"/>
      <c r="E429" s="9"/>
      <c r="F429" s="9"/>
      <c r="G429" s="9"/>
      <c r="H429" s="9"/>
      <c r="I429" s="11" t="e">
        <f>VLOOKUP(H429,위치!B:C,2,0)</f>
        <v>#N/A</v>
      </c>
      <c r="J429" s="9"/>
      <c r="K429" s="9"/>
      <c r="L429" s="9" t="e">
        <f>VLOOKUP(H429,위치!B:D,3,0)</f>
        <v>#N/A</v>
      </c>
      <c r="M429" s="12"/>
      <c r="N429" s="5"/>
      <c r="O429" s="5"/>
      <c r="P429" s="5"/>
      <c r="Q429" s="14"/>
      <c r="R429" s="15">
        <f t="shared" si="6"/>
        <v>0</v>
      </c>
    </row>
    <row r="430" spans="2:18" x14ac:dyDescent="0.35">
      <c r="B430" s="9">
        <v>451</v>
      </c>
      <c r="C430" s="9"/>
      <c r="D430" s="9"/>
      <c r="E430" s="9"/>
      <c r="F430" s="9"/>
      <c r="G430" s="9"/>
      <c r="H430" s="9"/>
      <c r="I430" s="11" t="e">
        <f>VLOOKUP(H430,위치!B:C,2,0)</f>
        <v>#N/A</v>
      </c>
      <c r="J430" s="9"/>
      <c r="K430" s="9"/>
      <c r="L430" s="9" t="e">
        <f>VLOOKUP(H430,위치!B:D,3,0)</f>
        <v>#N/A</v>
      </c>
      <c r="M430" s="12"/>
      <c r="N430" s="5"/>
      <c r="O430" s="5"/>
      <c r="P430" s="5"/>
      <c r="Q430" s="14"/>
      <c r="R430" s="15">
        <f t="shared" si="6"/>
        <v>0</v>
      </c>
    </row>
    <row r="431" spans="2:18" x14ac:dyDescent="0.35">
      <c r="B431" s="9">
        <v>452</v>
      </c>
      <c r="C431" s="9"/>
      <c r="D431" s="9"/>
      <c r="E431" s="9"/>
      <c r="F431" s="9"/>
      <c r="G431" s="9"/>
      <c r="H431" s="9"/>
      <c r="I431" s="11" t="e">
        <f>VLOOKUP(H431,위치!B:C,2,0)</f>
        <v>#N/A</v>
      </c>
      <c r="J431" s="9"/>
      <c r="K431" s="9"/>
      <c r="L431" s="9" t="e">
        <f>VLOOKUP(H431,위치!B:D,3,0)</f>
        <v>#N/A</v>
      </c>
      <c r="M431" s="12"/>
      <c r="N431" s="5"/>
      <c r="O431" s="5"/>
      <c r="P431" s="5"/>
      <c r="Q431" s="14"/>
      <c r="R431" s="15">
        <f t="shared" si="6"/>
        <v>0</v>
      </c>
    </row>
    <row r="432" spans="2:18" x14ac:dyDescent="0.35">
      <c r="B432" s="9">
        <v>453</v>
      </c>
      <c r="C432" s="9"/>
      <c r="D432" s="9"/>
      <c r="E432" s="9"/>
      <c r="F432" s="9"/>
      <c r="G432" s="9"/>
      <c r="H432" s="9"/>
      <c r="I432" s="11" t="e">
        <f>VLOOKUP(H432,위치!B:C,2,0)</f>
        <v>#N/A</v>
      </c>
      <c r="J432" s="9"/>
      <c r="K432" s="9"/>
      <c r="L432" s="9" t="e">
        <f>VLOOKUP(H432,위치!B:D,3,0)</f>
        <v>#N/A</v>
      </c>
      <c r="M432" s="12"/>
      <c r="N432" s="5"/>
      <c r="O432" s="5"/>
      <c r="P432" s="5"/>
      <c r="Q432" s="14"/>
      <c r="R432" s="15">
        <f t="shared" si="6"/>
        <v>0</v>
      </c>
    </row>
    <row r="433" spans="2:18" x14ac:dyDescent="0.35">
      <c r="B433" s="9">
        <v>454</v>
      </c>
      <c r="C433" s="9"/>
      <c r="D433" s="9"/>
      <c r="E433" s="9"/>
      <c r="F433" s="9"/>
      <c r="G433" s="9"/>
      <c r="H433" s="9"/>
      <c r="I433" s="11" t="e">
        <f>VLOOKUP(H433,위치!B:C,2,0)</f>
        <v>#N/A</v>
      </c>
      <c r="J433" s="9"/>
      <c r="K433" s="9"/>
      <c r="L433" s="9" t="e">
        <f>VLOOKUP(H433,위치!B:D,3,0)</f>
        <v>#N/A</v>
      </c>
      <c r="M433" s="12"/>
      <c r="N433" s="5"/>
      <c r="O433" s="5"/>
      <c r="P433" s="5"/>
      <c r="Q433" s="14"/>
      <c r="R433" s="15">
        <f t="shared" si="6"/>
        <v>0</v>
      </c>
    </row>
    <row r="434" spans="2:18" x14ac:dyDescent="0.35">
      <c r="B434" s="9">
        <v>455</v>
      </c>
      <c r="C434" s="9"/>
      <c r="D434" s="9"/>
      <c r="E434" s="9"/>
      <c r="F434" s="9"/>
      <c r="G434" s="9"/>
      <c r="H434" s="9"/>
      <c r="I434" s="11" t="e">
        <f>VLOOKUP(H434,위치!B:C,2,0)</f>
        <v>#N/A</v>
      </c>
      <c r="J434" s="9"/>
      <c r="K434" s="9"/>
      <c r="L434" s="9" t="e">
        <f>VLOOKUP(H434,위치!B:D,3,0)</f>
        <v>#N/A</v>
      </c>
      <c r="M434" s="12"/>
      <c r="N434" s="5"/>
      <c r="O434" s="5"/>
      <c r="P434" s="5"/>
      <c r="Q434" s="14"/>
      <c r="R434" s="15">
        <f t="shared" si="6"/>
        <v>0</v>
      </c>
    </row>
    <row r="435" spans="2:18" x14ac:dyDescent="0.35">
      <c r="B435" s="9">
        <v>456</v>
      </c>
      <c r="C435" s="9"/>
      <c r="D435" s="9"/>
      <c r="E435" s="9"/>
      <c r="F435" s="9"/>
      <c r="G435" s="9"/>
      <c r="H435" s="9"/>
      <c r="I435" s="11" t="e">
        <f>VLOOKUP(H435,위치!B:C,2,0)</f>
        <v>#N/A</v>
      </c>
      <c r="J435" s="9"/>
      <c r="K435" s="9"/>
      <c r="L435" s="9" t="e">
        <f>VLOOKUP(H435,위치!B:D,3,0)</f>
        <v>#N/A</v>
      </c>
      <c r="M435" s="12"/>
      <c r="N435" s="5"/>
      <c r="O435" s="5"/>
      <c r="P435" s="5"/>
      <c r="Q435" s="14"/>
      <c r="R435" s="15">
        <f t="shared" si="6"/>
        <v>0</v>
      </c>
    </row>
    <row r="436" spans="2:18" x14ac:dyDescent="0.35">
      <c r="B436" s="9">
        <v>457</v>
      </c>
      <c r="C436" s="9"/>
      <c r="D436" s="9"/>
      <c r="E436" s="9"/>
      <c r="F436" s="9"/>
      <c r="G436" s="9"/>
      <c r="H436" s="9"/>
      <c r="I436" s="11" t="e">
        <f>VLOOKUP(H436,위치!B:C,2,0)</f>
        <v>#N/A</v>
      </c>
      <c r="J436" s="9"/>
      <c r="K436" s="9"/>
      <c r="L436" s="9" t="e">
        <f>VLOOKUP(H436,위치!B:D,3,0)</f>
        <v>#N/A</v>
      </c>
      <c r="M436" s="12"/>
      <c r="N436" s="5"/>
      <c r="O436" s="5"/>
      <c r="P436" s="5"/>
      <c r="Q436" s="14"/>
      <c r="R436" s="15">
        <f t="shared" si="6"/>
        <v>0</v>
      </c>
    </row>
    <row r="437" spans="2:18" x14ac:dyDescent="0.35">
      <c r="B437" s="9">
        <v>458</v>
      </c>
      <c r="C437" s="9"/>
      <c r="D437" s="9"/>
      <c r="E437" s="9"/>
      <c r="F437" s="9"/>
      <c r="G437" s="9"/>
      <c r="H437" s="9"/>
      <c r="I437" s="11" t="e">
        <f>VLOOKUP(H437,위치!B:C,2,0)</f>
        <v>#N/A</v>
      </c>
      <c r="J437" s="9"/>
      <c r="K437" s="9"/>
      <c r="L437" s="9" t="e">
        <f>VLOOKUP(H437,위치!B:D,3,0)</f>
        <v>#N/A</v>
      </c>
      <c r="M437" s="12"/>
      <c r="N437" s="5"/>
      <c r="O437" s="5"/>
      <c r="P437" s="5"/>
      <c r="Q437" s="14"/>
      <c r="R437" s="15">
        <f t="shared" si="6"/>
        <v>0</v>
      </c>
    </row>
    <row r="438" spans="2:18" x14ac:dyDescent="0.35">
      <c r="B438" s="9">
        <v>459</v>
      </c>
      <c r="C438" s="9"/>
      <c r="D438" s="9"/>
      <c r="E438" s="9"/>
      <c r="F438" s="9"/>
      <c r="G438" s="9"/>
      <c r="H438" s="9"/>
      <c r="I438" s="11" t="e">
        <f>VLOOKUP(H438,위치!B:C,2,0)</f>
        <v>#N/A</v>
      </c>
      <c r="J438" s="9"/>
      <c r="K438" s="9"/>
      <c r="L438" s="9" t="e">
        <f>VLOOKUP(H438,위치!B:D,3,0)</f>
        <v>#N/A</v>
      </c>
      <c r="M438" s="12"/>
      <c r="N438" s="5"/>
      <c r="O438" s="5"/>
      <c r="P438" s="5"/>
      <c r="Q438" s="14"/>
      <c r="R438" s="15">
        <f t="shared" si="6"/>
        <v>0</v>
      </c>
    </row>
    <row r="439" spans="2:18" x14ac:dyDescent="0.35">
      <c r="B439" s="9">
        <v>460</v>
      </c>
      <c r="C439" s="9"/>
      <c r="D439" s="9"/>
      <c r="E439" s="9"/>
      <c r="F439" s="9"/>
      <c r="G439" s="9"/>
      <c r="H439" s="9"/>
      <c r="I439" s="11" t="e">
        <f>VLOOKUP(H439,위치!B:C,2,0)</f>
        <v>#N/A</v>
      </c>
      <c r="J439" s="9"/>
      <c r="K439" s="9"/>
      <c r="L439" s="9" t="e">
        <f>VLOOKUP(H439,위치!B:D,3,0)</f>
        <v>#N/A</v>
      </c>
      <c r="M439" s="12"/>
      <c r="N439" s="5"/>
      <c r="O439" s="5"/>
      <c r="P439" s="5"/>
      <c r="Q439" s="14"/>
      <c r="R439" s="15">
        <f t="shared" si="6"/>
        <v>0</v>
      </c>
    </row>
    <row r="440" spans="2:18" x14ac:dyDescent="0.35">
      <c r="B440" s="9">
        <v>461</v>
      </c>
      <c r="C440" s="9"/>
      <c r="D440" s="9"/>
      <c r="E440" s="9"/>
      <c r="F440" s="9"/>
      <c r="G440" s="9"/>
      <c r="H440" s="9"/>
      <c r="I440" s="11" t="e">
        <f>VLOOKUP(H440,위치!B:C,2,0)</f>
        <v>#N/A</v>
      </c>
      <c r="J440" s="9"/>
      <c r="K440" s="9"/>
      <c r="L440" s="9" t="e">
        <f>VLOOKUP(H440,위치!B:D,3,0)</f>
        <v>#N/A</v>
      </c>
      <c r="M440" s="12"/>
      <c r="N440" s="5"/>
      <c r="O440" s="5"/>
      <c r="P440" s="5"/>
      <c r="Q440" s="14"/>
      <c r="R440" s="15">
        <f t="shared" si="6"/>
        <v>0</v>
      </c>
    </row>
    <row r="441" spans="2:18" x14ac:dyDescent="0.35">
      <c r="B441" s="9">
        <v>462</v>
      </c>
      <c r="C441" s="9"/>
      <c r="D441" s="9"/>
      <c r="E441" s="9"/>
      <c r="F441" s="9"/>
      <c r="G441" s="9"/>
      <c r="H441" s="9"/>
      <c r="I441" s="11" t="e">
        <f>VLOOKUP(H441,위치!B:C,2,0)</f>
        <v>#N/A</v>
      </c>
      <c r="J441" s="9"/>
      <c r="K441" s="9"/>
      <c r="L441" s="9" t="e">
        <f>VLOOKUP(H441,위치!B:D,3,0)</f>
        <v>#N/A</v>
      </c>
      <c r="M441" s="12"/>
      <c r="N441" s="5"/>
      <c r="O441" s="5"/>
      <c r="P441" s="5"/>
      <c r="Q441" s="14"/>
      <c r="R441" s="15">
        <f t="shared" si="6"/>
        <v>0</v>
      </c>
    </row>
    <row r="442" spans="2:18" x14ac:dyDescent="0.35">
      <c r="B442" s="9">
        <v>463</v>
      </c>
      <c r="C442" s="9"/>
      <c r="D442" s="9"/>
      <c r="E442" s="9"/>
      <c r="F442" s="9"/>
      <c r="G442" s="9"/>
      <c r="H442" s="9"/>
      <c r="I442" s="11" t="e">
        <f>VLOOKUP(H442,위치!B:C,2,0)</f>
        <v>#N/A</v>
      </c>
      <c r="J442" s="9"/>
      <c r="K442" s="9"/>
      <c r="L442" s="9" t="e">
        <f>VLOOKUP(H442,위치!B:D,3,0)</f>
        <v>#N/A</v>
      </c>
      <c r="M442" s="12"/>
      <c r="N442" s="5"/>
      <c r="O442" s="5"/>
      <c r="P442" s="5"/>
      <c r="Q442" s="14"/>
      <c r="R442" s="15">
        <f t="shared" si="6"/>
        <v>0</v>
      </c>
    </row>
    <row r="443" spans="2:18" x14ac:dyDescent="0.35">
      <c r="B443" s="9">
        <v>464</v>
      </c>
      <c r="C443" s="9"/>
      <c r="D443" s="9"/>
      <c r="E443" s="9"/>
      <c r="F443" s="9"/>
      <c r="G443" s="9"/>
      <c r="H443" s="9"/>
      <c r="I443" s="11" t="e">
        <f>VLOOKUP(H443,위치!B:C,2,0)</f>
        <v>#N/A</v>
      </c>
      <c r="J443" s="9"/>
      <c r="K443" s="9"/>
      <c r="L443" s="9" t="e">
        <f>VLOOKUP(H443,위치!B:D,3,0)</f>
        <v>#N/A</v>
      </c>
      <c r="M443" s="12"/>
      <c r="N443" s="5"/>
      <c r="O443" s="5"/>
      <c r="P443" s="5"/>
      <c r="Q443" s="14"/>
      <c r="R443" s="15">
        <f t="shared" si="6"/>
        <v>0</v>
      </c>
    </row>
    <row r="444" spans="2:18" x14ac:dyDescent="0.35">
      <c r="B444" s="9">
        <v>465</v>
      </c>
      <c r="C444" s="9"/>
      <c r="D444" s="9"/>
      <c r="E444" s="9"/>
      <c r="F444" s="9"/>
      <c r="G444" s="9"/>
      <c r="H444" s="9"/>
      <c r="I444" s="11" t="e">
        <f>VLOOKUP(H444,위치!B:C,2,0)</f>
        <v>#N/A</v>
      </c>
      <c r="J444" s="9"/>
      <c r="K444" s="9"/>
      <c r="L444" s="9" t="e">
        <f>VLOOKUP(H444,위치!B:D,3,0)</f>
        <v>#N/A</v>
      </c>
      <c r="M444" s="12"/>
      <c r="N444" s="5"/>
      <c r="O444" s="5"/>
      <c r="P444" s="5"/>
      <c r="Q444" s="14"/>
      <c r="R444" s="15">
        <f t="shared" si="6"/>
        <v>0</v>
      </c>
    </row>
    <row r="445" spans="2:18" x14ac:dyDescent="0.35">
      <c r="B445" s="9">
        <v>466</v>
      </c>
      <c r="C445" s="9"/>
      <c r="D445" s="9"/>
      <c r="E445" s="9"/>
      <c r="F445" s="9"/>
      <c r="G445" s="9"/>
      <c r="H445" s="9"/>
      <c r="I445" s="11" t="e">
        <f>VLOOKUP(H445,위치!B:C,2,0)</f>
        <v>#N/A</v>
      </c>
      <c r="J445" s="9"/>
      <c r="K445" s="9"/>
      <c r="L445" s="9" t="e">
        <f>VLOOKUP(H445,위치!B:D,3,0)</f>
        <v>#N/A</v>
      </c>
      <c r="M445" s="12"/>
      <c r="N445" s="5"/>
      <c r="O445" s="5"/>
      <c r="P445" s="5"/>
      <c r="Q445" s="14"/>
      <c r="R445" s="15">
        <f t="shared" si="6"/>
        <v>0</v>
      </c>
    </row>
    <row r="446" spans="2:18" x14ac:dyDescent="0.35">
      <c r="B446" s="9">
        <v>467</v>
      </c>
      <c r="C446" s="9"/>
      <c r="D446" s="9"/>
      <c r="E446" s="9"/>
      <c r="F446" s="9"/>
      <c r="G446" s="9"/>
      <c r="H446" s="9"/>
      <c r="I446" s="11" t="e">
        <f>VLOOKUP(H446,위치!B:C,2,0)</f>
        <v>#N/A</v>
      </c>
      <c r="J446" s="9"/>
      <c r="K446" s="9"/>
      <c r="L446" s="9" t="e">
        <f>VLOOKUP(H446,위치!B:D,3,0)</f>
        <v>#N/A</v>
      </c>
      <c r="M446" s="12"/>
      <c r="N446" s="5"/>
      <c r="O446" s="5"/>
      <c r="P446" s="5"/>
      <c r="Q446" s="14"/>
      <c r="R446" s="15">
        <f t="shared" si="6"/>
        <v>0</v>
      </c>
    </row>
    <row r="447" spans="2:18" x14ac:dyDescent="0.35">
      <c r="B447" s="9">
        <v>468</v>
      </c>
      <c r="C447" s="9"/>
      <c r="D447" s="9"/>
      <c r="E447" s="9"/>
      <c r="F447" s="9"/>
      <c r="G447" s="9"/>
      <c r="H447" s="9"/>
      <c r="I447" s="11" t="e">
        <f>VLOOKUP(H447,위치!B:C,2,0)</f>
        <v>#N/A</v>
      </c>
      <c r="J447" s="9"/>
      <c r="K447" s="9"/>
      <c r="L447" s="9" t="e">
        <f>VLOOKUP(H447,위치!B:D,3,0)</f>
        <v>#N/A</v>
      </c>
      <c r="M447" s="12"/>
      <c r="N447" s="5"/>
      <c r="O447" s="5"/>
      <c r="P447" s="5"/>
      <c r="Q447" s="14"/>
      <c r="R447" s="15">
        <f t="shared" si="6"/>
        <v>0</v>
      </c>
    </row>
    <row r="448" spans="2:18" x14ac:dyDescent="0.35">
      <c r="B448" s="9">
        <v>469</v>
      </c>
      <c r="C448" s="9"/>
      <c r="D448" s="9"/>
      <c r="E448" s="9"/>
      <c r="F448" s="9"/>
      <c r="G448" s="9"/>
      <c r="H448" s="9"/>
      <c r="I448" s="11" t="e">
        <f>VLOOKUP(H448,위치!B:C,2,0)</f>
        <v>#N/A</v>
      </c>
      <c r="J448" s="9"/>
      <c r="K448" s="9"/>
      <c r="L448" s="9" t="e">
        <f>VLOOKUP(H448,위치!B:D,3,0)</f>
        <v>#N/A</v>
      </c>
      <c r="M448" s="12"/>
      <c r="N448" s="5"/>
      <c r="O448" s="5"/>
      <c r="P448" s="5"/>
      <c r="Q448" s="14"/>
      <c r="R448" s="15">
        <f t="shared" si="6"/>
        <v>0</v>
      </c>
    </row>
    <row r="449" spans="2:18" x14ac:dyDescent="0.35">
      <c r="B449" s="9">
        <v>470</v>
      </c>
      <c r="C449" s="9"/>
      <c r="D449" s="9"/>
      <c r="E449" s="9"/>
      <c r="F449" s="9"/>
      <c r="G449" s="9"/>
      <c r="H449" s="9"/>
      <c r="I449" s="11" t="e">
        <f>VLOOKUP(H449,위치!B:C,2,0)</f>
        <v>#N/A</v>
      </c>
      <c r="J449" s="9"/>
      <c r="K449" s="9"/>
      <c r="L449" s="9" t="e">
        <f>VLOOKUP(H449,위치!B:D,3,0)</f>
        <v>#N/A</v>
      </c>
      <c r="M449" s="12"/>
      <c r="N449" s="5"/>
      <c r="O449" s="5"/>
      <c r="P449" s="5"/>
      <c r="Q449" s="14"/>
      <c r="R449" s="15">
        <f t="shared" si="6"/>
        <v>0</v>
      </c>
    </row>
    <row r="450" spans="2:18" x14ac:dyDescent="0.35">
      <c r="B450" s="9">
        <v>471</v>
      </c>
      <c r="C450" s="9"/>
      <c r="D450" s="9"/>
      <c r="E450" s="9"/>
      <c r="F450" s="9"/>
      <c r="G450" s="9"/>
      <c r="H450" s="9"/>
      <c r="I450" s="11" t="e">
        <f>VLOOKUP(H450,위치!B:C,2,0)</f>
        <v>#N/A</v>
      </c>
      <c r="J450" s="9"/>
      <c r="K450" s="9"/>
      <c r="L450" s="9" t="e">
        <f>VLOOKUP(H450,위치!B:D,3,0)</f>
        <v>#N/A</v>
      </c>
      <c r="M450" s="12"/>
      <c r="N450" s="5"/>
      <c r="O450" s="5"/>
      <c r="P450" s="5"/>
      <c r="Q450" s="14"/>
      <c r="R450" s="15">
        <f t="shared" si="6"/>
        <v>0</v>
      </c>
    </row>
    <row r="451" spans="2:18" x14ac:dyDescent="0.35">
      <c r="B451" s="9">
        <v>472</v>
      </c>
      <c r="C451" s="9"/>
      <c r="D451" s="9"/>
      <c r="E451" s="9"/>
      <c r="F451" s="9"/>
      <c r="G451" s="9"/>
      <c r="H451" s="9"/>
      <c r="I451" s="11" t="e">
        <f>VLOOKUP(H451,위치!B:C,2,0)</f>
        <v>#N/A</v>
      </c>
      <c r="J451" s="9"/>
      <c r="K451" s="9"/>
      <c r="L451" s="9" t="e">
        <f>VLOOKUP(H451,위치!B:D,3,0)</f>
        <v>#N/A</v>
      </c>
      <c r="M451" s="12"/>
      <c r="N451" s="5"/>
      <c r="O451" s="5"/>
      <c r="P451" s="5"/>
      <c r="Q451" s="14"/>
      <c r="R451" s="15">
        <f t="shared" si="6"/>
        <v>0</v>
      </c>
    </row>
    <row r="452" spans="2:18" x14ac:dyDescent="0.35">
      <c r="B452" s="9">
        <v>473</v>
      </c>
      <c r="C452" s="9"/>
      <c r="D452" s="9"/>
      <c r="E452" s="9"/>
      <c r="F452" s="9"/>
      <c r="G452" s="9"/>
      <c r="H452" s="9"/>
      <c r="I452" s="11" t="e">
        <f>VLOOKUP(H452,위치!B:C,2,0)</f>
        <v>#N/A</v>
      </c>
      <c r="J452" s="9"/>
      <c r="K452" s="9"/>
      <c r="L452" s="9" t="e">
        <f>VLOOKUP(H452,위치!B:D,3,0)</f>
        <v>#N/A</v>
      </c>
      <c r="M452" s="12"/>
      <c r="N452" s="5"/>
      <c r="O452" s="5"/>
      <c r="P452" s="5"/>
      <c r="Q452" s="14"/>
      <c r="R452" s="15">
        <f t="shared" si="6"/>
        <v>0</v>
      </c>
    </row>
    <row r="453" spans="2:18" x14ac:dyDescent="0.35">
      <c r="B453" s="9">
        <v>474</v>
      </c>
      <c r="C453" s="9"/>
      <c r="D453" s="9"/>
      <c r="E453" s="9"/>
      <c r="F453" s="9"/>
      <c r="G453" s="9"/>
      <c r="H453" s="9"/>
      <c r="I453" s="11" t="e">
        <f>VLOOKUP(H453,위치!B:C,2,0)</f>
        <v>#N/A</v>
      </c>
      <c r="J453" s="9"/>
      <c r="K453" s="9"/>
      <c r="L453" s="9" t="e">
        <f>VLOOKUP(H453,위치!B:D,3,0)</f>
        <v>#N/A</v>
      </c>
      <c r="M453" s="12"/>
      <c r="N453" s="5"/>
      <c r="O453" s="5"/>
      <c r="P453" s="5"/>
      <c r="Q453" s="14"/>
      <c r="R453" s="15">
        <f t="shared" si="6"/>
        <v>0</v>
      </c>
    </row>
    <row r="454" spans="2:18" x14ac:dyDescent="0.35">
      <c r="B454" s="9">
        <v>475</v>
      </c>
      <c r="C454" s="9"/>
      <c r="D454" s="9"/>
      <c r="E454" s="9"/>
      <c r="F454" s="9"/>
      <c r="G454" s="9"/>
      <c r="H454" s="9"/>
      <c r="I454" s="11" t="e">
        <f>VLOOKUP(H454,위치!B:C,2,0)</f>
        <v>#N/A</v>
      </c>
      <c r="J454" s="9"/>
      <c r="K454" s="9"/>
      <c r="L454" s="9" t="e">
        <f>VLOOKUP(H454,위치!B:D,3,0)</f>
        <v>#N/A</v>
      </c>
      <c r="M454" s="12"/>
      <c r="N454" s="5"/>
      <c r="O454" s="5"/>
      <c r="P454" s="5"/>
      <c r="Q454" s="14"/>
      <c r="R454" s="15">
        <f t="shared" si="6"/>
        <v>0</v>
      </c>
    </row>
    <row r="455" spans="2:18" x14ac:dyDescent="0.35">
      <c r="B455" s="9">
        <v>476</v>
      </c>
      <c r="C455" s="9"/>
      <c r="D455" s="9"/>
      <c r="E455" s="9"/>
      <c r="F455" s="9"/>
      <c r="G455" s="9"/>
      <c r="H455" s="9"/>
      <c r="I455" s="11" t="e">
        <f>VLOOKUP(H455,위치!B:C,2,0)</f>
        <v>#N/A</v>
      </c>
      <c r="J455" s="9"/>
      <c r="K455" s="9"/>
      <c r="L455" s="9" t="e">
        <f>VLOOKUP(H455,위치!B:D,3,0)</f>
        <v>#N/A</v>
      </c>
      <c r="M455" s="12"/>
      <c r="N455" s="5"/>
      <c r="O455" s="5"/>
      <c r="P455" s="5"/>
      <c r="Q455" s="14"/>
      <c r="R455" s="15">
        <f t="shared" ref="R455:R518" si="7">J455-P455</f>
        <v>0</v>
      </c>
    </row>
    <row r="456" spans="2:18" x14ac:dyDescent="0.35">
      <c r="B456" s="9">
        <v>477</v>
      </c>
      <c r="C456" s="9"/>
      <c r="D456" s="9"/>
      <c r="E456" s="9"/>
      <c r="F456" s="9"/>
      <c r="G456" s="9"/>
      <c r="H456" s="9"/>
      <c r="I456" s="11" t="e">
        <f>VLOOKUP(H456,위치!B:C,2,0)</f>
        <v>#N/A</v>
      </c>
      <c r="J456" s="9"/>
      <c r="K456" s="9"/>
      <c r="L456" s="9" t="e">
        <f>VLOOKUP(H456,위치!B:D,3,0)</f>
        <v>#N/A</v>
      </c>
      <c r="M456" s="12"/>
      <c r="N456" s="5"/>
      <c r="O456" s="5"/>
      <c r="P456" s="5"/>
      <c r="Q456" s="14"/>
      <c r="R456" s="15">
        <f t="shared" si="7"/>
        <v>0</v>
      </c>
    </row>
    <row r="457" spans="2:18" x14ac:dyDescent="0.35">
      <c r="B457" s="9">
        <v>478</v>
      </c>
      <c r="C457" s="9"/>
      <c r="D457" s="9"/>
      <c r="E457" s="9"/>
      <c r="F457" s="9"/>
      <c r="G457" s="9"/>
      <c r="H457" s="9"/>
      <c r="I457" s="11" t="e">
        <f>VLOOKUP(H457,위치!B:C,2,0)</f>
        <v>#N/A</v>
      </c>
      <c r="J457" s="9"/>
      <c r="K457" s="9"/>
      <c r="L457" s="9" t="e">
        <f>VLOOKUP(H457,위치!B:D,3,0)</f>
        <v>#N/A</v>
      </c>
      <c r="M457" s="12"/>
      <c r="N457" s="5"/>
      <c r="O457" s="5"/>
      <c r="P457" s="5"/>
      <c r="Q457" s="14"/>
      <c r="R457" s="15">
        <f t="shared" si="7"/>
        <v>0</v>
      </c>
    </row>
    <row r="458" spans="2:18" x14ac:dyDescent="0.35">
      <c r="B458" s="9">
        <v>479</v>
      </c>
      <c r="C458" s="9"/>
      <c r="D458" s="9"/>
      <c r="E458" s="9"/>
      <c r="F458" s="9"/>
      <c r="G458" s="9"/>
      <c r="H458" s="9"/>
      <c r="I458" s="11" t="e">
        <f>VLOOKUP(H458,위치!B:C,2,0)</f>
        <v>#N/A</v>
      </c>
      <c r="J458" s="9"/>
      <c r="K458" s="9"/>
      <c r="L458" s="9" t="e">
        <f>VLOOKUP(H458,위치!B:D,3,0)</f>
        <v>#N/A</v>
      </c>
      <c r="M458" s="12"/>
      <c r="N458" s="5"/>
      <c r="O458" s="5"/>
      <c r="P458" s="5"/>
      <c r="Q458" s="14"/>
      <c r="R458" s="15">
        <f t="shared" si="7"/>
        <v>0</v>
      </c>
    </row>
    <row r="459" spans="2:18" x14ac:dyDescent="0.35">
      <c r="B459" s="9">
        <v>480</v>
      </c>
      <c r="C459" s="9"/>
      <c r="D459" s="9"/>
      <c r="E459" s="9"/>
      <c r="F459" s="9"/>
      <c r="G459" s="9"/>
      <c r="H459" s="9"/>
      <c r="I459" s="11" t="e">
        <f>VLOOKUP(H459,위치!B:C,2,0)</f>
        <v>#N/A</v>
      </c>
      <c r="J459" s="9"/>
      <c r="K459" s="9"/>
      <c r="L459" s="9" t="e">
        <f>VLOOKUP(H459,위치!B:D,3,0)</f>
        <v>#N/A</v>
      </c>
      <c r="M459" s="12"/>
      <c r="N459" s="5"/>
      <c r="O459" s="5"/>
      <c r="P459" s="5"/>
      <c r="Q459" s="14"/>
      <c r="R459" s="15">
        <f t="shared" si="7"/>
        <v>0</v>
      </c>
    </row>
    <row r="460" spans="2:18" x14ac:dyDescent="0.35">
      <c r="B460" s="9">
        <v>481</v>
      </c>
      <c r="C460" s="9"/>
      <c r="D460" s="9"/>
      <c r="E460" s="9"/>
      <c r="F460" s="9"/>
      <c r="G460" s="9"/>
      <c r="H460" s="9"/>
      <c r="I460" s="11" t="e">
        <f>VLOOKUP(H460,위치!B:C,2,0)</f>
        <v>#N/A</v>
      </c>
      <c r="J460" s="9"/>
      <c r="K460" s="9"/>
      <c r="L460" s="9" t="e">
        <f>VLOOKUP(H460,위치!B:D,3,0)</f>
        <v>#N/A</v>
      </c>
      <c r="M460" s="12"/>
      <c r="N460" s="5"/>
      <c r="O460" s="5"/>
      <c r="P460" s="5"/>
      <c r="Q460" s="14"/>
      <c r="R460" s="15">
        <f t="shared" si="7"/>
        <v>0</v>
      </c>
    </row>
    <row r="461" spans="2:18" x14ac:dyDescent="0.35">
      <c r="B461" s="9">
        <v>482</v>
      </c>
      <c r="C461" s="9"/>
      <c r="D461" s="9"/>
      <c r="E461" s="9"/>
      <c r="F461" s="9"/>
      <c r="G461" s="9"/>
      <c r="H461" s="9"/>
      <c r="I461" s="11" t="e">
        <f>VLOOKUP(H461,위치!B:C,2,0)</f>
        <v>#N/A</v>
      </c>
      <c r="J461" s="9"/>
      <c r="K461" s="9"/>
      <c r="L461" s="9" t="e">
        <f>VLOOKUP(H461,위치!B:D,3,0)</f>
        <v>#N/A</v>
      </c>
      <c r="M461" s="12"/>
      <c r="N461" s="5"/>
      <c r="O461" s="5"/>
      <c r="P461" s="5"/>
      <c r="Q461" s="14"/>
      <c r="R461" s="15">
        <f t="shared" si="7"/>
        <v>0</v>
      </c>
    </row>
    <row r="462" spans="2:18" x14ac:dyDescent="0.35">
      <c r="B462" s="9">
        <v>483</v>
      </c>
      <c r="C462" s="9"/>
      <c r="D462" s="9"/>
      <c r="E462" s="9"/>
      <c r="F462" s="9"/>
      <c r="G462" s="9"/>
      <c r="H462" s="9"/>
      <c r="I462" s="11" t="e">
        <f>VLOOKUP(H462,위치!B:C,2,0)</f>
        <v>#N/A</v>
      </c>
      <c r="J462" s="9"/>
      <c r="K462" s="9"/>
      <c r="L462" s="9" t="e">
        <f>VLOOKUP(H462,위치!B:D,3,0)</f>
        <v>#N/A</v>
      </c>
      <c r="M462" s="12"/>
      <c r="N462" s="5"/>
      <c r="O462" s="5"/>
      <c r="P462" s="5"/>
      <c r="Q462" s="14"/>
      <c r="R462" s="15">
        <f t="shared" si="7"/>
        <v>0</v>
      </c>
    </row>
    <row r="463" spans="2:18" x14ac:dyDescent="0.35">
      <c r="B463" s="9">
        <v>484</v>
      </c>
      <c r="C463" s="9"/>
      <c r="D463" s="9"/>
      <c r="E463" s="9"/>
      <c r="F463" s="9"/>
      <c r="G463" s="9"/>
      <c r="H463" s="9"/>
      <c r="I463" s="11" t="e">
        <f>VLOOKUP(H463,위치!B:C,2,0)</f>
        <v>#N/A</v>
      </c>
      <c r="J463" s="9"/>
      <c r="K463" s="9"/>
      <c r="L463" s="9" t="e">
        <f>VLOOKUP(H463,위치!B:D,3,0)</f>
        <v>#N/A</v>
      </c>
      <c r="M463" s="12"/>
      <c r="N463" s="5"/>
      <c r="O463" s="5"/>
      <c r="P463" s="5"/>
      <c r="Q463" s="14"/>
      <c r="R463" s="15">
        <f t="shared" si="7"/>
        <v>0</v>
      </c>
    </row>
    <row r="464" spans="2:18" x14ac:dyDescent="0.35">
      <c r="B464" s="9">
        <v>485</v>
      </c>
      <c r="C464" s="9"/>
      <c r="D464" s="9"/>
      <c r="E464" s="9"/>
      <c r="F464" s="9"/>
      <c r="G464" s="9"/>
      <c r="H464" s="9"/>
      <c r="I464" s="11" t="e">
        <f>VLOOKUP(H464,위치!B:C,2,0)</f>
        <v>#N/A</v>
      </c>
      <c r="J464" s="9"/>
      <c r="K464" s="9"/>
      <c r="L464" s="9" t="e">
        <f>VLOOKUP(H464,위치!B:D,3,0)</f>
        <v>#N/A</v>
      </c>
      <c r="M464" s="12"/>
      <c r="N464" s="5"/>
      <c r="O464" s="5"/>
      <c r="P464" s="5"/>
      <c r="Q464" s="14"/>
      <c r="R464" s="15">
        <f t="shared" si="7"/>
        <v>0</v>
      </c>
    </row>
    <row r="465" spans="2:18" x14ac:dyDescent="0.35">
      <c r="B465" s="9">
        <v>486</v>
      </c>
      <c r="C465" s="9"/>
      <c r="D465" s="9"/>
      <c r="E465" s="9"/>
      <c r="F465" s="9"/>
      <c r="G465" s="9"/>
      <c r="H465" s="9"/>
      <c r="I465" s="11" t="e">
        <f>VLOOKUP(H465,위치!B:C,2,0)</f>
        <v>#N/A</v>
      </c>
      <c r="J465" s="9"/>
      <c r="K465" s="9"/>
      <c r="L465" s="9" t="e">
        <f>VLOOKUP(H465,위치!B:D,3,0)</f>
        <v>#N/A</v>
      </c>
      <c r="M465" s="12"/>
      <c r="N465" s="5"/>
      <c r="O465" s="5"/>
      <c r="P465" s="5"/>
      <c r="Q465" s="14"/>
      <c r="R465" s="15">
        <f t="shared" si="7"/>
        <v>0</v>
      </c>
    </row>
    <row r="466" spans="2:18" x14ac:dyDescent="0.35">
      <c r="B466" s="9">
        <v>487</v>
      </c>
      <c r="C466" s="9"/>
      <c r="D466" s="9"/>
      <c r="E466" s="9"/>
      <c r="F466" s="9"/>
      <c r="G466" s="9"/>
      <c r="H466" s="9"/>
      <c r="I466" s="11" t="e">
        <f>VLOOKUP(H466,위치!B:C,2,0)</f>
        <v>#N/A</v>
      </c>
      <c r="J466" s="9"/>
      <c r="K466" s="9"/>
      <c r="L466" s="9" t="e">
        <f>VLOOKUP(H466,위치!B:D,3,0)</f>
        <v>#N/A</v>
      </c>
      <c r="M466" s="12"/>
      <c r="N466" s="5"/>
      <c r="O466" s="5"/>
      <c r="P466" s="5"/>
      <c r="Q466" s="14"/>
      <c r="R466" s="15">
        <f t="shared" si="7"/>
        <v>0</v>
      </c>
    </row>
    <row r="467" spans="2:18" x14ac:dyDescent="0.35">
      <c r="B467" s="9">
        <v>488</v>
      </c>
      <c r="C467" s="9"/>
      <c r="D467" s="9"/>
      <c r="E467" s="9"/>
      <c r="F467" s="9"/>
      <c r="G467" s="9"/>
      <c r="H467" s="9"/>
      <c r="I467" s="11" t="e">
        <f>VLOOKUP(H467,위치!B:C,2,0)</f>
        <v>#N/A</v>
      </c>
      <c r="J467" s="9"/>
      <c r="K467" s="9"/>
      <c r="L467" s="9" t="e">
        <f>VLOOKUP(H467,위치!B:D,3,0)</f>
        <v>#N/A</v>
      </c>
      <c r="M467" s="12"/>
      <c r="N467" s="5"/>
      <c r="O467" s="5"/>
      <c r="P467" s="5"/>
      <c r="Q467" s="14"/>
      <c r="R467" s="15">
        <f t="shared" si="7"/>
        <v>0</v>
      </c>
    </row>
    <row r="468" spans="2:18" x14ac:dyDescent="0.35">
      <c r="B468" s="9">
        <v>489</v>
      </c>
      <c r="C468" s="9"/>
      <c r="D468" s="9"/>
      <c r="E468" s="9"/>
      <c r="F468" s="9"/>
      <c r="G468" s="9"/>
      <c r="H468" s="9"/>
      <c r="I468" s="11" t="e">
        <f>VLOOKUP(H468,위치!B:C,2,0)</f>
        <v>#N/A</v>
      </c>
      <c r="J468" s="9"/>
      <c r="K468" s="9"/>
      <c r="L468" s="9" t="e">
        <f>VLOOKUP(H468,위치!B:D,3,0)</f>
        <v>#N/A</v>
      </c>
      <c r="M468" s="12"/>
      <c r="N468" s="5"/>
      <c r="O468" s="5"/>
      <c r="P468" s="5"/>
      <c r="Q468" s="14"/>
      <c r="R468" s="15">
        <f t="shared" si="7"/>
        <v>0</v>
      </c>
    </row>
    <row r="469" spans="2:18" x14ac:dyDescent="0.35">
      <c r="B469" s="9">
        <v>490</v>
      </c>
      <c r="C469" s="9"/>
      <c r="D469" s="9"/>
      <c r="E469" s="9"/>
      <c r="F469" s="9"/>
      <c r="G469" s="9"/>
      <c r="H469" s="9"/>
      <c r="I469" s="11" t="e">
        <f>VLOOKUP(H469,위치!B:C,2,0)</f>
        <v>#N/A</v>
      </c>
      <c r="J469" s="9"/>
      <c r="K469" s="9"/>
      <c r="L469" s="9" t="e">
        <f>VLOOKUP(H469,위치!B:D,3,0)</f>
        <v>#N/A</v>
      </c>
      <c r="M469" s="12"/>
      <c r="N469" s="5"/>
      <c r="O469" s="5"/>
      <c r="P469" s="5"/>
      <c r="Q469" s="14"/>
      <c r="R469" s="15">
        <f t="shared" si="7"/>
        <v>0</v>
      </c>
    </row>
    <row r="470" spans="2:18" x14ac:dyDescent="0.35">
      <c r="B470" s="9">
        <v>491</v>
      </c>
      <c r="C470" s="9"/>
      <c r="D470" s="9"/>
      <c r="E470" s="9"/>
      <c r="F470" s="9"/>
      <c r="G470" s="9"/>
      <c r="H470" s="9"/>
      <c r="I470" s="11" t="e">
        <f>VLOOKUP(H470,위치!B:C,2,0)</f>
        <v>#N/A</v>
      </c>
      <c r="J470" s="9"/>
      <c r="K470" s="9"/>
      <c r="L470" s="9" t="e">
        <f>VLOOKUP(H470,위치!B:D,3,0)</f>
        <v>#N/A</v>
      </c>
      <c r="M470" s="12"/>
      <c r="N470" s="5"/>
      <c r="O470" s="5"/>
      <c r="P470" s="5"/>
      <c r="Q470" s="14"/>
      <c r="R470" s="15">
        <f t="shared" si="7"/>
        <v>0</v>
      </c>
    </row>
    <row r="471" spans="2:18" x14ac:dyDescent="0.35">
      <c r="B471" s="9">
        <v>492</v>
      </c>
      <c r="C471" s="9"/>
      <c r="D471" s="9"/>
      <c r="E471" s="9"/>
      <c r="F471" s="9"/>
      <c r="G471" s="9"/>
      <c r="H471" s="9"/>
      <c r="I471" s="11" t="e">
        <f>VLOOKUP(H471,위치!B:C,2,0)</f>
        <v>#N/A</v>
      </c>
      <c r="J471" s="9"/>
      <c r="K471" s="9"/>
      <c r="L471" s="9" t="e">
        <f>VLOOKUP(H471,위치!B:D,3,0)</f>
        <v>#N/A</v>
      </c>
      <c r="M471" s="12"/>
      <c r="N471" s="5"/>
      <c r="O471" s="5"/>
      <c r="P471" s="5"/>
      <c r="Q471" s="14"/>
      <c r="R471" s="15">
        <f t="shared" si="7"/>
        <v>0</v>
      </c>
    </row>
    <row r="472" spans="2:18" x14ac:dyDescent="0.35">
      <c r="B472" s="9">
        <v>493</v>
      </c>
      <c r="C472" s="9"/>
      <c r="D472" s="9"/>
      <c r="E472" s="9"/>
      <c r="F472" s="9"/>
      <c r="G472" s="9"/>
      <c r="H472" s="9"/>
      <c r="I472" s="11" t="e">
        <f>VLOOKUP(H472,위치!B:C,2,0)</f>
        <v>#N/A</v>
      </c>
      <c r="J472" s="9"/>
      <c r="K472" s="9"/>
      <c r="L472" s="9" t="e">
        <f>VLOOKUP(H472,위치!B:D,3,0)</f>
        <v>#N/A</v>
      </c>
      <c r="M472" s="12"/>
      <c r="N472" s="5"/>
      <c r="O472" s="5"/>
      <c r="P472" s="5"/>
      <c r="Q472" s="14"/>
      <c r="R472" s="15">
        <f t="shared" si="7"/>
        <v>0</v>
      </c>
    </row>
    <row r="473" spans="2:18" x14ac:dyDescent="0.35">
      <c r="B473" s="9">
        <v>494</v>
      </c>
      <c r="C473" s="9"/>
      <c r="D473" s="9"/>
      <c r="E473" s="9"/>
      <c r="F473" s="9"/>
      <c r="G473" s="9"/>
      <c r="H473" s="9"/>
      <c r="I473" s="11" t="e">
        <f>VLOOKUP(H473,위치!B:C,2,0)</f>
        <v>#N/A</v>
      </c>
      <c r="J473" s="9"/>
      <c r="K473" s="9"/>
      <c r="L473" s="9" t="e">
        <f>VLOOKUP(H473,위치!B:D,3,0)</f>
        <v>#N/A</v>
      </c>
      <c r="M473" s="12"/>
      <c r="N473" s="5"/>
      <c r="O473" s="5"/>
      <c r="P473" s="5"/>
      <c r="Q473" s="14"/>
      <c r="R473" s="15">
        <f t="shared" si="7"/>
        <v>0</v>
      </c>
    </row>
    <row r="474" spans="2:18" x14ac:dyDescent="0.35">
      <c r="B474" s="9">
        <v>495</v>
      </c>
      <c r="C474" s="9"/>
      <c r="D474" s="9"/>
      <c r="E474" s="9"/>
      <c r="F474" s="9"/>
      <c r="G474" s="9"/>
      <c r="H474" s="9"/>
      <c r="I474" s="11" t="e">
        <f>VLOOKUP(H474,위치!B:C,2,0)</f>
        <v>#N/A</v>
      </c>
      <c r="J474" s="9"/>
      <c r="K474" s="9"/>
      <c r="L474" s="9" t="e">
        <f>VLOOKUP(H474,위치!B:D,3,0)</f>
        <v>#N/A</v>
      </c>
      <c r="M474" s="12"/>
      <c r="N474" s="5"/>
      <c r="O474" s="5"/>
      <c r="P474" s="5"/>
      <c r="Q474" s="14"/>
      <c r="R474" s="15">
        <f t="shared" si="7"/>
        <v>0</v>
      </c>
    </row>
    <row r="475" spans="2:18" x14ac:dyDescent="0.35">
      <c r="B475" s="9">
        <v>496</v>
      </c>
      <c r="C475" s="9"/>
      <c r="D475" s="9"/>
      <c r="E475" s="9"/>
      <c r="F475" s="9"/>
      <c r="G475" s="9"/>
      <c r="H475" s="9"/>
      <c r="I475" s="11" t="e">
        <f>VLOOKUP(H475,위치!B:C,2,0)</f>
        <v>#N/A</v>
      </c>
      <c r="J475" s="9"/>
      <c r="K475" s="9"/>
      <c r="L475" s="9" t="e">
        <f>VLOOKUP(H475,위치!B:D,3,0)</f>
        <v>#N/A</v>
      </c>
      <c r="M475" s="12"/>
      <c r="N475" s="5"/>
      <c r="O475" s="5"/>
      <c r="P475" s="5"/>
      <c r="Q475" s="14"/>
      <c r="R475" s="15">
        <f t="shared" si="7"/>
        <v>0</v>
      </c>
    </row>
    <row r="476" spans="2:18" x14ac:dyDescent="0.35">
      <c r="B476" s="9">
        <v>497</v>
      </c>
      <c r="C476" s="9"/>
      <c r="D476" s="9"/>
      <c r="E476" s="9"/>
      <c r="F476" s="9"/>
      <c r="G476" s="9"/>
      <c r="H476" s="10"/>
      <c r="I476" s="11" t="e">
        <f>VLOOKUP(H476,위치!B:C,2,0)</f>
        <v>#N/A</v>
      </c>
      <c r="J476" s="9"/>
      <c r="K476" s="9"/>
      <c r="L476" s="9" t="e">
        <f>VLOOKUP(H476,위치!B:D,3,0)</f>
        <v>#N/A</v>
      </c>
      <c r="M476" s="12"/>
      <c r="N476" s="5"/>
      <c r="O476" s="16"/>
      <c r="P476" s="5"/>
      <c r="Q476" s="14"/>
      <c r="R476" s="15">
        <f t="shared" si="7"/>
        <v>0</v>
      </c>
    </row>
    <row r="477" spans="2:18" x14ac:dyDescent="0.35">
      <c r="B477" s="9">
        <v>498</v>
      </c>
      <c r="C477" s="9"/>
      <c r="D477" s="9"/>
      <c r="E477" s="9"/>
      <c r="F477" s="9"/>
      <c r="G477" s="9"/>
      <c r="H477" s="10"/>
      <c r="I477" s="11" t="e">
        <f>VLOOKUP(H477,위치!B:C,2,0)</f>
        <v>#N/A</v>
      </c>
      <c r="J477" s="9"/>
      <c r="K477" s="9"/>
      <c r="L477" s="9" t="e">
        <f>VLOOKUP(H477,위치!B:D,3,0)</f>
        <v>#N/A</v>
      </c>
      <c r="M477" s="12"/>
      <c r="N477" s="5"/>
      <c r="O477" s="5"/>
      <c r="P477" s="5"/>
      <c r="Q477" s="14"/>
      <c r="R477" s="15">
        <f t="shared" si="7"/>
        <v>0</v>
      </c>
    </row>
    <row r="478" spans="2:18" x14ac:dyDescent="0.35">
      <c r="B478" s="9">
        <v>499</v>
      </c>
      <c r="C478" s="9"/>
      <c r="D478" s="9"/>
      <c r="E478" s="9"/>
      <c r="F478" s="9"/>
      <c r="G478" s="9"/>
      <c r="H478" s="9"/>
      <c r="I478" s="11" t="e">
        <f>VLOOKUP(H478,위치!B:C,2,0)</f>
        <v>#N/A</v>
      </c>
      <c r="J478" s="9"/>
      <c r="K478" s="9"/>
      <c r="L478" s="9" t="e">
        <f>VLOOKUP(H478,위치!B:D,3,0)</f>
        <v>#N/A</v>
      </c>
      <c r="M478" s="12"/>
      <c r="N478" s="5"/>
      <c r="O478" s="5"/>
      <c r="P478" s="5"/>
      <c r="Q478" s="14"/>
      <c r="R478" s="15">
        <f t="shared" si="7"/>
        <v>0</v>
      </c>
    </row>
    <row r="479" spans="2:18" x14ac:dyDescent="0.35">
      <c r="B479" s="9">
        <v>500</v>
      </c>
      <c r="C479" s="9"/>
      <c r="D479" s="9"/>
      <c r="E479" s="9"/>
      <c r="F479" s="9"/>
      <c r="G479" s="9"/>
      <c r="H479" s="9"/>
      <c r="I479" s="11" t="e">
        <f>VLOOKUP(H479,위치!B:C,2,0)</f>
        <v>#N/A</v>
      </c>
      <c r="J479" s="9"/>
      <c r="K479" s="9"/>
      <c r="L479" s="9" t="e">
        <f>VLOOKUP(H479,위치!B:D,3,0)</f>
        <v>#N/A</v>
      </c>
      <c r="M479" s="12"/>
      <c r="N479" s="5"/>
      <c r="O479" s="5"/>
      <c r="P479" s="5"/>
      <c r="Q479" s="14"/>
      <c r="R479" s="15">
        <f t="shared" si="7"/>
        <v>0</v>
      </c>
    </row>
    <row r="480" spans="2:18" x14ac:dyDescent="0.35">
      <c r="B480" s="9">
        <v>501</v>
      </c>
      <c r="C480" s="9"/>
      <c r="D480" s="9"/>
      <c r="E480" s="9"/>
      <c r="F480" s="9"/>
      <c r="G480" s="9"/>
      <c r="H480" s="9"/>
      <c r="I480" s="11" t="e">
        <f>VLOOKUP(H480,위치!B:C,2,0)</f>
        <v>#N/A</v>
      </c>
      <c r="J480" s="9"/>
      <c r="K480" s="9"/>
      <c r="L480" s="9" t="e">
        <f>VLOOKUP(H480,위치!B:D,3,0)</f>
        <v>#N/A</v>
      </c>
      <c r="M480" s="12"/>
      <c r="N480" s="5"/>
      <c r="O480" s="5"/>
      <c r="P480" s="5"/>
      <c r="Q480" s="14"/>
      <c r="R480" s="15">
        <f t="shared" si="7"/>
        <v>0</v>
      </c>
    </row>
    <row r="481" spans="2:18" x14ac:dyDescent="0.35">
      <c r="B481" s="9">
        <v>502</v>
      </c>
      <c r="C481" s="9"/>
      <c r="D481" s="9"/>
      <c r="E481" s="9"/>
      <c r="F481" s="9"/>
      <c r="G481" s="9"/>
      <c r="H481" s="9"/>
      <c r="I481" s="11" t="e">
        <f>VLOOKUP(H481,위치!B:C,2,0)</f>
        <v>#N/A</v>
      </c>
      <c r="J481" s="9"/>
      <c r="K481" s="9"/>
      <c r="L481" s="9" t="e">
        <f>VLOOKUP(H481,위치!B:D,3,0)</f>
        <v>#N/A</v>
      </c>
      <c r="M481" s="12"/>
      <c r="N481" s="5"/>
      <c r="O481" s="5"/>
      <c r="P481" s="5"/>
      <c r="Q481" s="14"/>
      <c r="R481" s="15">
        <f t="shared" si="7"/>
        <v>0</v>
      </c>
    </row>
    <row r="482" spans="2:18" x14ac:dyDescent="0.35">
      <c r="B482" s="9">
        <v>503</v>
      </c>
      <c r="C482" s="9"/>
      <c r="D482" s="9"/>
      <c r="E482" s="9"/>
      <c r="F482" s="9"/>
      <c r="G482" s="9"/>
      <c r="H482" s="9"/>
      <c r="I482" s="11" t="e">
        <f>VLOOKUP(H482,위치!B:C,2,0)</f>
        <v>#N/A</v>
      </c>
      <c r="J482" s="9"/>
      <c r="K482" s="9"/>
      <c r="L482" s="9" t="e">
        <f>VLOOKUP(H482,위치!B:D,3,0)</f>
        <v>#N/A</v>
      </c>
      <c r="M482" s="12"/>
      <c r="N482" s="5"/>
      <c r="O482" s="5"/>
      <c r="P482" s="5"/>
      <c r="Q482" s="14"/>
      <c r="R482" s="15">
        <f t="shared" si="7"/>
        <v>0</v>
      </c>
    </row>
    <row r="483" spans="2:18" x14ac:dyDescent="0.35">
      <c r="B483" s="9">
        <v>504</v>
      </c>
      <c r="C483" s="9"/>
      <c r="D483" s="9"/>
      <c r="E483" s="9"/>
      <c r="F483" s="9"/>
      <c r="G483" s="9"/>
      <c r="H483" s="9"/>
      <c r="I483" s="11" t="e">
        <f>VLOOKUP(H483,위치!B:C,2,0)</f>
        <v>#N/A</v>
      </c>
      <c r="J483" s="9"/>
      <c r="K483" s="9"/>
      <c r="L483" s="9" t="e">
        <f>VLOOKUP(H483,위치!B:D,3,0)</f>
        <v>#N/A</v>
      </c>
      <c r="M483" s="12"/>
      <c r="N483" s="5"/>
      <c r="O483" s="5"/>
      <c r="P483" s="5"/>
      <c r="Q483" s="14"/>
      <c r="R483" s="15">
        <f t="shared" si="7"/>
        <v>0</v>
      </c>
    </row>
    <row r="484" spans="2:18" x14ac:dyDescent="0.35">
      <c r="B484" s="9">
        <v>505</v>
      </c>
      <c r="C484" s="9"/>
      <c r="D484" s="9"/>
      <c r="E484" s="9"/>
      <c r="F484" s="9"/>
      <c r="G484" s="9"/>
      <c r="H484" s="9"/>
      <c r="I484" s="11" t="e">
        <f>VLOOKUP(H484,위치!B:C,2,0)</f>
        <v>#N/A</v>
      </c>
      <c r="J484" s="9"/>
      <c r="K484" s="9"/>
      <c r="L484" s="9" t="e">
        <f>VLOOKUP(H484,위치!B:D,3,0)</f>
        <v>#N/A</v>
      </c>
      <c r="M484" s="12"/>
      <c r="N484" s="5"/>
      <c r="O484" s="5"/>
      <c r="P484" s="5"/>
      <c r="Q484" s="14"/>
      <c r="R484" s="15">
        <f t="shared" si="7"/>
        <v>0</v>
      </c>
    </row>
    <row r="485" spans="2:18" x14ac:dyDescent="0.35">
      <c r="B485" s="9">
        <v>506</v>
      </c>
      <c r="C485" s="9"/>
      <c r="D485" s="9"/>
      <c r="E485" s="9"/>
      <c r="F485" s="9"/>
      <c r="G485" s="9"/>
      <c r="H485" s="9"/>
      <c r="I485" s="11" t="e">
        <f>VLOOKUP(H485,위치!B:C,2,0)</f>
        <v>#N/A</v>
      </c>
      <c r="J485" s="9"/>
      <c r="K485" s="9"/>
      <c r="L485" s="9" t="e">
        <f>VLOOKUP(H485,위치!B:D,3,0)</f>
        <v>#N/A</v>
      </c>
      <c r="M485" s="12"/>
      <c r="N485" s="5"/>
      <c r="O485" s="5"/>
      <c r="P485" s="5"/>
      <c r="Q485" s="14"/>
      <c r="R485" s="15">
        <f t="shared" si="7"/>
        <v>0</v>
      </c>
    </row>
    <row r="486" spans="2:18" x14ac:dyDescent="0.35">
      <c r="B486" s="9">
        <v>507</v>
      </c>
      <c r="C486" s="9"/>
      <c r="D486" s="9"/>
      <c r="E486" s="9"/>
      <c r="F486" s="9"/>
      <c r="G486" s="9"/>
      <c r="H486" s="9"/>
      <c r="I486" s="11" t="e">
        <f>VLOOKUP(H486,위치!B:C,2,0)</f>
        <v>#N/A</v>
      </c>
      <c r="J486" s="9"/>
      <c r="K486" s="9"/>
      <c r="L486" s="9" t="e">
        <f>VLOOKUP(H486,위치!B:D,3,0)</f>
        <v>#N/A</v>
      </c>
      <c r="M486" s="12"/>
      <c r="N486" s="5"/>
      <c r="O486" s="5"/>
      <c r="P486" s="5"/>
      <c r="Q486" s="14"/>
      <c r="R486" s="15">
        <f t="shared" si="7"/>
        <v>0</v>
      </c>
    </row>
    <row r="487" spans="2:18" x14ac:dyDescent="0.35">
      <c r="B487" s="9">
        <v>508</v>
      </c>
      <c r="C487" s="9"/>
      <c r="D487" s="9"/>
      <c r="E487" s="9"/>
      <c r="F487" s="9"/>
      <c r="G487" s="9"/>
      <c r="H487" s="9"/>
      <c r="I487" s="11" t="e">
        <f>VLOOKUP(H487,위치!B:C,2,0)</f>
        <v>#N/A</v>
      </c>
      <c r="J487" s="9"/>
      <c r="K487" s="9"/>
      <c r="L487" s="9" t="e">
        <f>VLOOKUP(H487,위치!B:D,3,0)</f>
        <v>#N/A</v>
      </c>
      <c r="M487" s="12"/>
      <c r="N487" s="5"/>
      <c r="O487" s="5"/>
      <c r="P487" s="5"/>
      <c r="Q487" s="14"/>
      <c r="R487" s="15">
        <f t="shared" si="7"/>
        <v>0</v>
      </c>
    </row>
    <row r="488" spans="2:18" x14ac:dyDescent="0.35">
      <c r="B488" s="9">
        <v>509</v>
      </c>
      <c r="C488" s="9"/>
      <c r="D488" s="9"/>
      <c r="E488" s="9"/>
      <c r="F488" s="9"/>
      <c r="G488" s="9"/>
      <c r="H488" s="9"/>
      <c r="I488" s="11" t="e">
        <f>VLOOKUP(H488,위치!B:C,2,0)</f>
        <v>#N/A</v>
      </c>
      <c r="J488" s="9"/>
      <c r="K488" s="9"/>
      <c r="L488" s="9" t="e">
        <f>VLOOKUP(H488,위치!B:D,3,0)</f>
        <v>#N/A</v>
      </c>
      <c r="M488" s="12"/>
      <c r="N488" s="5"/>
      <c r="O488" s="5"/>
      <c r="P488" s="5"/>
      <c r="Q488" s="14"/>
      <c r="R488" s="15">
        <f t="shared" si="7"/>
        <v>0</v>
      </c>
    </row>
    <row r="489" spans="2:18" x14ac:dyDescent="0.35">
      <c r="B489" s="9">
        <v>510</v>
      </c>
      <c r="C489" s="9"/>
      <c r="D489" s="9"/>
      <c r="E489" s="9"/>
      <c r="F489" s="9"/>
      <c r="G489" s="9"/>
      <c r="H489" s="9"/>
      <c r="I489" s="11" t="e">
        <f>VLOOKUP(H489,위치!B:C,2,0)</f>
        <v>#N/A</v>
      </c>
      <c r="J489" s="9"/>
      <c r="K489" s="9"/>
      <c r="L489" s="9" t="e">
        <f>VLOOKUP(H489,위치!B:D,3,0)</f>
        <v>#N/A</v>
      </c>
      <c r="M489" s="12"/>
      <c r="N489" s="5"/>
      <c r="O489" s="5"/>
      <c r="P489" s="5"/>
      <c r="Q489" s="14"/>
      <c r="R489" s="15">
        <f t="shared" si="7"/>
        <v>0</v>
      </c>
    </row>
    <row r="490" spans="2:18" x14ac:dyDescent="0.35">
      <c r="B490" s="9">
        <v>511</v>
      </c>
      <c r="C490" s="9"/>
      <c r="D490" s="9"/>
      <c r="E490" s="9"/>
      <c r="F490" s="9"/>
      <c r="G490" s="9"/>
      <c r="H490" s="9"/>
      <c r="I490" s="11" t="e">
        <f>VLOOKUP(H490,위치!B:C,2,0)</f>
        <v>#N/A</v>
      </c>
      <c r="J490" s="9"/>
      <c r="K490" s="9"/>
      <c r="L490" s="9" t="e">
        <f>VLOOKUP(H490,위치!B:D,3,0)</f>
        <v>#N/A</v>
      </c>
      <c r="M490" s="12"/>
      <c r="N490" s="5"/>
      <c r="O490" s="5"/>
      <c r="P490" s="5"/>
      <c r="Q490" s="14"/>
      <c r="R490" s="15">
        <f t="shared" si="7"/>
        <v>0</v>
      </c>
    </row>
    <row r="491" spans="2:18" x14ac:dyDescent="0.35">
      <c r="B491" s="9">
        <v>512</v>
      </c>
      <c r="C491" s="9"/>
      <c r="D491" s="9"/>
      <c r="E491" s="9"/>
      <c r="F491" s="9"/>
      <c r="G491" s="9"/>
      <c r="H491" s="9"/>
      <c r="I491" s="11" t="e">
        <f>VLOOKUP(H491,위치!B:C,2,0)</f>
        <v>#N/A</v>
      </c>
      <c r="J491" s="9"/>
      <c r="K491" s="9"/>
      <c r="L491" s="9" t="e">
        <f>VLOOKUP(H491,위치!B:D,3,0)</f>
        <v>#N/A</v>
      </c>
      <c r="M491" s="12"/>
      <c r="N491" s="5"/>
      <c r="O491" s="5"/>
      <c r="P491" s="5"/>
      <c r="Q491" s="14"/>
      <c r="R491" s="15">
        <f t="shared" si="7"/>
        <v>0</v>
      </c>
    </row>
    <row r="492" spans="2:18" x14ac:dyDescent="0.35">
      <c r="B492" s="9">
        <v>513</v>
      </c>
      <c r="C492" s="9"/>
      <c r="D492" s="9"/>
      <c r="E492" s="9"/>
      <c r="F492" s="9"/>
      <c r="G492" s="9"/>
      <c r="H492" s="9"/>
      <c r="I492" s="11" t="e">
        <f>VLOOKUP(H492,위치!B:C,2,0)</f>
        <v>#N/A</v>
      </c>
      <c r="J492" s="9"/>
      <c r="K492" s="9"/>
      <c r="L492" s="9" t="e">
        <f>VLOOKUP(H492,위치!B:D,3,0)</f>
        <v>#N/A</v>
      </c>
      <c r="M492" s="12"/>
      <c r="N492" s="5"/>
      <c r="O492" s="5"/>
      <c r="P492" s="5"/>
      <c r="Q492" s="14"/>
      <c r="R492" s="15">
        <f t="shared" si="7"/>
        <v>0</v>
      </c>
    </row>
    <row r="493" spans="2:18" x14ac:dyDescent="0.35">
      <c r="B493" s="9">
        <v>514</v>
      </c>
      <c r="C493" s="9"/>
      <c r="D493" s="9"/>
      <c r="E493" s="9"/>
      <c r="F493" s="9"/>
      <c r="G493" s="9"/>
      <c r="H493" s="9"/>
      <c r="I493" s="11" t="e">
        <f>VLOOKUP(H493,위치!B:C,2,0)</f>
        <v>#N/A</v>
      </c>
      <c r="J493" s="9"/>
      <c r="K493" s="9"/>
      <c r="L493" s="9" t="e">
        <f>VLOOKUP(H493,위치!B:D,3,0)</f>
        <v>#N/A</v>
      </c>
      <c r="M493" s="12"/>
      <c r="N493" s="5"/>
      <c r="O493" s="5"/>
      <c r="P493" s="5"/>
      <c r="Q493" s="14"/>
      <c r="R493" s="15">
        <f t="shared" si="7"/>
        <v>0</v>
      </c>
    </row>
    <row r="494" spans="2:18" x14ac:dyDescent="0.35">
      <c r="B494" s="9">
        <v>515</v>
      </c>
      <c r="C494" s="9"/>
      <c r="D494" s="9"/>
      <c r="E494" s="9"/>
      <c r="F494" s="9"/>
      <c r="G494" s="9"/>
      <c r="H494" s="9"/>
      <c r="I494" s="11" t="e">
        <f>VLOOKUP(H494,위치!B:C,2,0)</f>
        <v>#N/A</v>
      </c>
      <c r="J494" s="9"/>
      <c r="K494" s="9"/>
      <c r="L494" s="9" t="e">
        <f>VLOOKUP(H494,위치!B:D,3,0)</f>
        <v>#N/A</v>
      </c>
      <c r="M494" s="12"/>
      <c r="N494" s="5"/>
      <c r="O494" s="5"/>
      <c r="P494" s="5"/>
      <c r="Q494" s="14"/>
      <c r="R494" s="15">
        <f t="shared" si="7"/>
        <v>0</v>
      </c>
    </row>
    <row r="495" spans="2:18" x14ac:dyDescent="0.35">
      <c r="B495" s="9">
        <v>516</v>
      </c>
      <c r="C495" s="9"/>
      <c r="D495" s="9"/>
      <c r="E495" s="9"/>
      <c r="F495" s="9"/>
      <c r="G495" s="9"/>
      <c r="H495" s="9"/>
      <c r="I495" s="11" t="e">
        <f>VLOOKUP(H495,위치!B:C,2,0)</f>
        <v>#N/A</v>
      </c>
      <c r="J495" s="9"/>
      <c r="K495" s="9"/>
      <c r="L495" s="9" t="e">
        <f>VLOOKUP(H495,위치!B:D,3,0)</f>
        <v>#N/A</v>
      </c>
      <c r="M495" s="12"/>
      <c r="N495" s="5"/>
      <c r="O495" s="5"/>
      <c r="P495" s="5"/>
      <c r="Q495" s="14"/>
      <c r="R495" s="15">
        <f t="shared" si="7"/>
        <v>0</v>
      </c>
    </row>
    <row r="496" spans="2:18" x14ac:dyDescent="0.35">
      <c r="B496" s="9">
        <v>517</v>
      </c>
      <c r="C496" s="9"/>
      <c r="D496" s="9"/>
      <c r="E496" s="9"/>
      <c r="F496" s="9"/>
      <c r="G496" s="9"/>
      <c r="H496" s="9"/>
      <c r="I496" s="11" t="e">
        <f>VLOOKUP(H496,위치!B:C,2,0)</f>
        <v>#N/A</v>
      </c>
      <c r="J496" s="9"/>
      <c r="K496" s="9"/>
      <c r="L496" s="9" t="e">
        <f>VLOOKUP(H496,위치!B:D,3,0)</f>
        <v>#N/A</v>
      </c>
      <c r="M496" s="12"/>
      <c r="N496" s="5"/>
      <c r="O496" s="5"/>
      <c r="P496" s="5"/>
      <c r="Q496" s="14"/>
      <c r="R496" s="15">
        <f t="shared" si="7"/>
        <v>0</v>
      </c>
    </row>
    <row r="497" spans="2:18" x14ac:dyDescent="0.35">
      <c r="B497" s="9">
        <v>518</v>
      </c>
      <c r="C497" s="9"/>
      <c r="D497" s="9"/>
      <c r="E497" s="9"/>
      <c r="F497" s="9"/>
      <c r="G497" s="9"/>
      <c r="H497" s="9"/>
      <c r="I497" s="11" t="e">
        <f>VLOOKUP(H497,위치!B:C,2,0)</f>
        <v>#N/A</v>
      </c>
      <c r="J497" s="9"/>
      <c r="K497" s="9"/>
      <c r="L497" s="9" t="e">
        <f>VLOOKUP(H497,위치!B:D,3,0)</f>
        <v>#N/A</v>
      </c>
      <c r="M497" s="12"/>
      <c r="N497" s="5"/>
      <c r="O497" s="5"/>
      <c r="P497" s="5"/>
      <c r="Q497" s="14"/>
      <c r="R497" s="15">
        <f t="shared" si="7"/>
        <v>0</v>
      </c>
    </row>
    <row r="498" spans="2:18" x14ac:dyDescent="0.35">
      <c r="B498" s="9">
        <v>519</v>
      </c>
      <c r="C498" s="9"/>
      <c r="D498" s="9"/>
      <c r="E498" s="9"/>
      <c r="F498" s="9"/>
      <c r="G498" s="9"/>
      <c r="H498" s="9"/>
      <c r="I498" s="11" t="e">
        <f>VLOOKUP(H498,위치!B:C,2,0)</f>
        <v>#N/A</v>
      </c>
      <c r="J498" s="9"/>
      <c r="K498" s="9"/>
      <c r="L498" s="9" t="e">
        <f>VLOOKUP(H498,위치!B:D,3,0)</f>
        <v>#N/A</v>
      </c>
      <c r="M498" s="12"/>
      <c r="N498" s="5"/>
      <c r="O498" s="5"/>
      <c r="P498" s="5"/>
      <c r="Q498" s="14"/>
      <c r="R498" s="15">
        <f t="shared" si="7"/>
        <v>0</v>
      </c>
    </row>
    <row r="499" spans="2:18" x14ac:dyDescent="0.35">
      <c r="B499" s="9">
        <v>520</v>
      </c>
      <c r="C499" s="9"/>
      <c r="D499" s="9"/>
      <c r="E499" s="9"/>
      <c r="F499" s="9"/>
      <c r="G499" s="9"/>
      <c r="H499" s="9"/>
      <c r="I499" s="11" t="e">
        <f>VLOOKUP(H499,위치!B:C,2,0)</f>
        <v>#N/A</v>
      </c>
      <c r="J499" s="9"/>
      <c r="K499" s="9"/>
      <c r="L499" s="9" t="e">
        <f>VLOOKUP(H499,위치!B:D,3,0)</f>
        <v>#N/A</v>
      </c>
      <c r="M499" s="12"/>
      <c r="N499" s="5"/>
      <c r="O499" s="5"/>
      <c r="P499" s="5"/>
      <c r="Q499" s="14"/>
      <c r="R499" s="15">
        <f t="shared" si="7"/>
        <v>0</v>
      </c>
    </row>
    <row r="500" spans="2:18" x14ac:dyDescent="0.35">
      <c r="B500" s="9">
        <v>521</v>
      </c>
      <c r="C500" s="9"/>
      <c r="D500" s="9"/>
      <c r="E500" s="9"/>
      <c r="F500" s="9"/>
      <c r="G500" s="9"/>
      <c r="H500" s="9"/>
      <c r="I500" s="11" t="e">
        <f>VLOOKUP(H500,위치!B:C,2,0)</f>
        <v>#N/A</v>
      </c>
      <c r="J500" s="9"/>
      <c r="K500" s="9"/>
      <c r="L500" s="9" t="e">
        <f>VLOOKUP(H500,위치!B:D,3,0)</f>
        <v>#N/A</v>
      </c>
      <c r="M500" s="12"/>
      <c r="N500" s="5"/>
      <c r="O500" s="5"/>
      <c r="P500" s="5"/>
      <c r="Q500" s="14"/>
      <c r="R500" s="15">
        <f t="shared" si="7"/>
        <v>0</v>
      </c>
    </row>
    <row r="501" spans="2:18" x14ac:dyDescent="0.35">
      <c r="B501" s="9">
        <v>522</v>
      </c>
      <c r="C501" s="9"/>
      <c r="D501" s="9"/>
      <c r="E501" s="9"/>
      <c r="F501" s="9"/>
      <c r="G501" s="9"/>
      <c r="H501" s="9"/>
      <c r="I501" s="11" t="e">
        <f>VLOOKUP(H501,위치!B:C,2,0)</f>
        <v>#N/A</v>
      </c>
      <c r="J501" s="9"/>
      <c r="K501" s="9"/>
      <c r="L501" s="9" t="e">
        <f>VLOOKUP(H501,위치!B:D,3,0)</f>
        <v>#N/A</v>
      </c>
      <c r="M501" s="12"/>
      <c r="N501" s="5"/>
      <c r="O501" s="5"/>
      <c r="P501" s="5"/>
      <c r="Q501" s="14"/>
      <c r="R501" s="15">
        <f t="shared" si="7"/>
        <v>0</v>
      </c>
    </row>
    <row r="502" spans="2:18" x14ac:dyDescent="0.35">
      <c r="B502" s="9">
        <v>523</v>
      </c>
      <c r="C502" s="9"/>
      <c r="D502" s="9"/>
      <c r="E502" s="9"/>
      <c r="F502" s="9"/>
      <c r="G502" s="9"/>
      <c r="H502" s="9"/>
      <c r="I502" s="11" t="e">
        <f>VLOOKUP(H502,위치!B:C,2,0)</f>
        <v>#N/A</v>
      </c>
      <c r="J502" s="9"/>
      <c r="K502" s="9"/>
      <c r="L502" s="9" t="e">
        <f>VLOOKUP(H502,위치!B:D,3,0)</f>
        <v>#N/A</v>
      </c>
      <c r="M502" s="12"/>
      <c r="N502" s="5"/>
      <c r="O502" s="5"/>
      <c r="P502" s="5"/>
      <c r="Q502" s="14"/>
      <c r="R502" s="15">
        <f t="shared" si="7"/>
        <v>0</v>
      </c>
    </row>
    <row r="503" spans="2:18" x14ac:dyDescent="0.35">
      <c r="B503" s="9">
        <v>524</v>
      </c>
      <c r="C503" s="9"/>
      <c r="D503" s="9"/>
      <c r="E503" s="9"/>
      <c r="F503" s="9"/>
      <c r="G503" s="9"/>
      <c r="H503" s="9"/>
      <c r="I503" s="11" t="e">
        <f>VLOOKUP(H503,위치!B:C,2,0)</f>
        <v>#N/A</v>
      </c>
      <c r="J503" s="9"/>
      <c r="K503" s="9"/>
      <c r="L503" s="9" t="e">
        <f>VLOOKUP(H503,위치!B:D,3,0)</f>
        <v>#N/A</v>
      </c>
      <c r="M503" s="12"/>
      <c r="N503" s="5"/>
      <c r="O503" s="5"/>
      <c r="P503" s="5"/>
      <c r="Q503" s="14"/>
      <c r="R503" s="15">
        <f t="shared" si="7"/>
        <v>0</v>
      </c>
    </row>
    <row r="504" spans="2:18" x14ac:dyDescent="0.35">
      <c r="B504" s="9">
        <v>525</v>
      </c>
      <c r="C504" s="9"/>
      <c r="D504" s="9"/>
      <c r="E504" s="9"/>
      <c r="F504" s="9"/>
      <c r="G504" s="9"/>
      <c r="H504" s="9"/>
      <c r="I504" s="11" t="e">
        <f>VLOOKUP(H504,위치!B:C,2,0)</f>
        <v>#N/A</v>
      </c>
      <c r="J504" s="9"/>
      <c r="K504" s="9"/>
      <c r="L504" s="9" t="e">
        <f>VLOOKUP(H504,위치!B:D,3,0)</f>
        <v>#N/A</v>
      </c>
      <c r="M504" s="12"/>
      <c r="N504" s="5"/>
      <c r="O504" s="5"/>
      <c r="P504" s="5"/>
      <c r="Q504" s="14"/>
      <c r="R504" s="15">
        <f t="shared" si="7"/>
        <v>0</v>
      </c>
    </row>
    <row r="505" spans="2:18" x14ac:dyDescent="0.35">
      <c r="B505" s="9">
        <v>526</v>
      </c>
      <c r="C505" s="9"/>
      <c r="D505" s="9"/>
      <c r="E505" s="9"/>
      <c r="F505" s="9"/>
      <c r="G505" s="9"/>
      <c r="H505" s="9"/>
      <c r="I505" s="11" t="e">
        <f>VLOOKUP(H505,위치!B:C,2,0)</f>
        <v>#N/A</v>
      </c>
      <c r="J505" s="9"/>
      <c r="K505" s="9"/>
      <c r="L505" s="9" t="e">
        <f>VLOOKUP(H505,위치!B:D,3,0)</f>
        <v>#N/A</v>
      </c>
      <c r="M505" s="12"/>
      <c r="N505" s="5"/>
      <c r="O505" s="5"/>
      <c r="P505" s="5"/>
      <c r="Q505" s="14"/>
      <c r="R505" s="15">
        <f t="shared" si="7"/>
        <v>0</v>
      </c>
    </row>
    <row r="506" spans="2:18" x14ac:dyDescent="0.35">
      <c r="B506" s="9">
        <v>527</v>
      </c>
      <c r="C506" s="9"/>
      <c r="D506" s="9"/>
      <c r="E506" s="9"/>
      <c r="F506" s="9"/>
      <c r="G506" s="9"/>
      <c r="H506" s="9"/>
      <c r="I506" s="11" t="e">
        <f>VLOOKUP(H506,위치!B:C,2,0)</f>
        <v>#N/A</v>
      </c>
      <c r="J506" s="9"/>
      <c r="K506" s="9"/>
      <c r="L506" s="9" t="e">
        <f>VLOOKUP(H506,위치!B:D,3,0)</f>
        <v>#N/A</v>
      </c>
      <c r="M506" s="12"/>
      <c r="N506" s="5"/>
      <c r="O506" s="5"/>
      <c r="P506" s="5"/>
      <c r="Q506" s="14"/>
      <c r="R506" s="15">
        <f t="shared" si="7"/>
        <v>0</v>
      </c>
    </row>
    <row r="507" spans="2:18" x14ac:dyDescent="0.35">
      <c r="B507" s="9">
        <v>528</v>
      </c>
      <c r="C507" s="9"/>
      <c r="D507" s="9"/>
      <c r="E507" s="9"/>
      <c r="F507" s="9"/>
      <c r="G507" s="9"/>
      <c r="H507" s="9"/>
      <c r="I507" s="11" t="e">
        <f>VLOOKUP(H507,위치!B:C,2,0)</f>
        <v>#N/A</v>
      </c>
      <c r="J507" s="9"/>
      <c r="K507" s="9"/>
      <c r="L507" s="9" t="e">
        <f>VLOOKUP(H507,위치!B:D,3,0)</f>
        <v>#N/A</v>
      </c>
      <c r="M507" s="12"/>
      <c r="N507" s="5"/>
      <c r="O507" s="5"/>
      <c r="P507" s="5"/>
      <c r="Q507" s="14"/>
      <c r="R507" s="15">
        <f t="shared" si="7"/>
        <v>0</v>
      </c>
    </row>
    <row r="508" spans="2:18" x14ac:dyDescent="0.35">
      <c r="B508" s="9">
        <v>529</v>
      </c>
      <c r="C508" s="9"/>
      <c r="D508" s="9"/>
      <c r="E508" s="9"/>
      <c r="F508" s="9"/>
      <c r="G508" s="9"/>
      <c r="H508" s="9"/>
      <c r="I508" s="11" t="e">
        <f>VLOOKUP(H508,위치!B:C,2,0)</f>
        <v>#N/A</v>
      </c>
      <c r="J508" s="9"/>
      <c r="K508" s="9"/>
      <c r="L508" s="9" t="e">
        <f>VLOOKUP(H508,위치!B:D,3,0)</f>
        <v>#N/A</v>
      </c>
      <c r="M508" s="12"/>
      <c r="N508" s="5"/>
      <c r="O508" s="5"/>
      <c r="P508" s="5"/>
      <c r="Q508" s="14"/>
      <c r="R508" s="15">
        <f t="shared" si="7"/>
        <v>0</v>
      </c>
    </row>
    <row r="509" spans="2:18" x14ac:dyDescent="0.35">
      <c r="B509" s="9">
        <v>530</v>
      </c>
      <c r="C509" s="9"/>
      <c r="D509" s="9"/>
      <c r="E509" s="9"/>
      <c r="F509" s="9"/>
      <c r="G509" s="9"/>
      <c r="H509" s="9"/>
      <c r="I509" s="11" t="e">
        <f>VLOOKUP(H509,위치!B:C,2,0)</f>
        <v>#N/A</v>
      </c>
      <c r="J509" s="9"/>
      <c r="K509" s="9"/>
      <c r="L509" s="9" t="e">
        <f>VLOOKUP(H509,위치!B:D,3,0)</f>
        <v>#N/A</v>
      </c>
      <c r="M509" s="12"/>
      <c r="N509" s="5"/>
      <c r="O509" s="5"/>
      <c r="P509" s="5"/>
      <c r="Q509" s="14"/>
      <c r="R509" s="15">
        <f t="shared" si="7"/>
        <v>0</v>
      </c>
    </row>
    <row r="510" spans="2:18" x14ac:dyDescent="0.35">
      <c r="B510" s="9">
        <v>531</v>
      </c>
      <c r="C510" s="9"/>
      <c r="D510" s="9"/>
      <c r="E510" s="9"/>
      <c r="F510" s="9"/>
      <c r="G510" s="9"/>
      <c r="H510" s="9"/>
      <c r="I510" s="11" t="e">
        <f>VLOOKUP(H510,위치!B:C,2,0)</f>
        <v>#N/A</v>
      </c>
      <c r="J510" s="9"/>
      <c r="K510" s="9"/>
      <c r="L510" s="9" t="e">
        <f>VLOOKUP(H510,위치!B:D,3,0)</f>
        <v>#N/A</v>
      </c>
      <c r="M510" s="12"/>
      <c r="N510" s="5"/>
      <c r="O510" s="5"/>
      <c r="P510" s="5"/>
      <c r="Q510" s="14"/>
      <c r="R510" s="15">
        <f t="shared" si="7"/>
        <v>0</v>
      </c>
    </row>
    <row r="511" spans="2:18" x14ac:dyDescent="0.35">
      <c r="B511" s="9">
        <v>532</v>
      </c>
      <c r="C511" s="9"/>
      <c r="D511" s="9"/>
      <c r="E511" s="9"/>
      <c r="F511" s="9"/>
      <c r="G511" s="9"/>
      <c r="H511" s="9"/>
      <c r="I511" s="11" t="e">
        <f>VLOOKUP(H511,위치!B:C,2,0)</f>
        <v>#N/A</v>
      </c>
      <c r="J511" s="9"/>
      <c r="K511" s="9"/>
      <c r="L511" s="9" t="e">
        <f>VLOOKUP(H511,위치!B:D,3,0)</f>
        <v>#N/A</v>
      </c>
      <c r="M511" s="12"/>
      <c r="N511" s="5"/>
      <c r="O511" s="5"/>
      <c r="P511" s="5"/>
      <c r="Q511" s="14"/>
      <c r="R511" s="15">
        <f t="shared" si="7"/>
        <v>0</v>
      </c>
    </row>
    <row r="512" spans="2:18" x14ac:dyDescent="0.35">
      <c r="B512" s="9">
        <v>533</v>
      </c>
      <c r="C512" s="9"/>
      <c r="D512" s="9"/>
      <c r="E512" s="9"/>
      <c r="F512" s="9"/>
      <c r="G512" s="9"/>
      <c r="H512" s="9"/>
      <c r="I512" s="11" t="e">
        <f>VLOOKUP(H512,위치!B:C,2,0)</f>
        <v>#N/A</v>
      </c>
      <c r="J512" s="9"/>
      <c r="K512" s="9"/>
      <c r="L512" s="9" t="e">
        <f>VLOOKUP(H512,위치!B:D,3,0)</f>
        <v>#N/A</v>
      </c>
      <c r="M512" s="12"/>
      <c r="N512" s="5"/>
      <c r="O512" s="5"/>
      <c r="P512" s="5"/>
      <c r="Q512" s="14"/>
      <c r="R512" s="15">
        <f t="shared" si="7"/>
        <v>0</v>
      </c>
    </row>
    <row r="513" spans="2:18" x14ac:dyDescent="0.35">
      <c r="B513" s="9">
        <v>534</v>
      </c>
      <c r="C513" s="9"/>
      <c r="D513" s="9"/>
      <c r="E513" s="9"/>
      <c r="F513" s="9"/>
      <c r="G513" s="9"/>
      <c r="H513" s="9"/>
      <c r="I513" s="11" t="e">
        <f>VLOOKUP(H513,위치!B:C,2,0)</f>
        <v>#N/A</v>
      </c>
      <c r="J513" s="9"/>
      <c r="K513" s="9"/>
      <c r="L513" s="9" t="e">
        <f>VLOOKUP(H513,위치!B:D,3,0)</f>
        <v>#N/A</v>
      </c>
      <c r="M513" s="12"/>
      <c r="N513" s="5"/>
      <c r="O513" s="5"/>
      <c r="P513" s="5"/>
      <c r="Q513" s="14"/>
      <c r="R513" s="15">
        <f t="shared" si="7"/>
        <v>0</v>
      </c>
    </row>
    <row r="514" spans="2:18" x14ac:dyDescent="0.35">
      <c r="B514" s="9">
        <v>535</v>
      </c>
      <c r="C514" s="9"/>
      <c r="D514" s="9"/>
      <c r="E514" s="9"/>
      <c r="F514" s="9"/>
      <c r="G514" s="9"/>
      <c r="H514" s="9"/>
      <c r="I514" s="11" t="e">
        <f>VLOOKUP(H514,위치!B:C,2,0)</f>
        <v>#N/A</v>
      </c>
      <c r="J514" s="9"/>
      <c r="K514" s="9"/>
      <c r="L514" s="9" t="e">
        <f>VLOOKUP(H514,위치!B:D,3,0)</f>
        <v>#N/A</v>
      </c>
      <c r="M514" s="12"/>
      <c r="N514" s="5"/>
      <c r="O514" s="5"/>
      <c r="P514" s="5"/>
      <c r="Q514" s="14"/>
      <c r="R514" s="15">
        <f t="shared" si="7"/>
        <v>0</v>
      </c>
    </row>
    <row r="515" spans="2:18" x14ac:dyDescent="0.35">
      <c r="B515" s="9">
        <v>536</v>
      </c>
      <c r="C515" s="9"/>
      <c r="D515" s="9"/>
      <c r="E515" s="9"/>
      <c r="F515" s="9"/>
      <c r="G515" s="9"/>
      <c r="H515" s="9"/>
      <c r="I515" s="11" t="e">
        <f>VLOOKUP(H515,위치!B:C,2,0)</f>
        <v>#N/A</v>
      </c>
      <c r="J515" s="9"/>
      <c r="K515" s="9"/>
      <c r="L515" s="9" t="e">
        <f>VLOOKUP(H515,위치!B:D,3,0)</f>
        <v>#N/A</v>
      </c>
      <c r="M515" s="12"/>
      <c r="N515" s="5"/>
      <c r="O515" s="5"/>
      <c r="P515" s="5"/>
      <c r="Q515" s="14"/>
      <c r="R515" s="15">
        <f t="shared" si="7"/>
        <v>0</v>
      </c>
    </row>
    <row r="516" spans="2:18" x14ac:dyDescent="0.35">
      <c r="B516" s="9">
        <v>537</v>
      </c>
      <c r="C516" s="9"/>
      <c r="D516" s="9"/>
      <c r="E516" s="9"/>
      <c r="F516" s="9"/>
      <c r="G516" s="9"/>
      <c r="H516" s="9"/>
      <c r="I516" s="11" t="e">
        <f>VLOOKUP(H516,위치!B:C,2,0)</f>
        <v>#N/A</v>
      </c>
      <c r="J516" s="9"/>
      <c r="K516" s="9"/>
      <c r="L516" s="9" t="e">
        <f>VLOOKUP(H516,위치!B:D,3,0)</f>
        <v>#N/A</v>
      </c>
      <c r="M516" s="12"/>
      <c r="N516" s="5"/>
      <c r="O516" s="5"/>
      <c r="P516" s="5"/>
      <c r="Q516" s="14"/>
      <c r="R516" s="15">
        <f t="shared" si="7"/>
        <v>0</v>
      </c>
    </row>
    <row r="517" spans="2:18" x14ac:dyDescent="0.35">
      <c r="B517" s="9">
        <v>538</v>
      </c>
      <c r="C517" s="9"/>
      <c r="D517" s="9"/>
      <c r="E517" s="9"/>
      <c r="F517" s="9"/>
      <c r="G517" s="9"/>
      <c r="H517" s="9"/>
      <c r="I517" s="11" t="e">
        <f>VLOOKUP(H517,위치!B:C,2,0)</f>
        <v>#N/A</v>
      </c>
      <c r="J517" s="9"/>
      <c r="K517" s="9"/>
      <c r="L517" s="9" t="e">
        <f>VLOOKUP(H517,위치!B:D,3,0)</f>
        <v>#N/A</v>
      </c>
      <c r="M517" s="12"/>
      <c r="N517" s="5"/>
      <c r="O517" s="5"/>
      <c r="P517" s="5"/>
      <c r="Q517" s="14"/>
      <c r="R517" s="15">
        <f t="shared" si="7"/>
        <v>0</v>
      </c>
    </row>
    <row r="518" spans="2:18" x14ac:dyDescent="0.35">
      <c r="B518" s="9">
        <v>539</v>
      </c>
      <c r="C518" s="9"/>
      <c r="D518" s="9"/>
      <c r="E518" s="9"/>
      <c r="F518" s="9"/>
      <c r="G518" s="9"/>
      <c r="H518" s="9"/>
      <c r="I518" s="11" t="e">
        <f>VLOOKUP(H518,위치!B:C,2,0)</f>
        <v>#N/A</v>
      </c>
      <c r="J518" s="9"/>
      <c r="K518" s="9"/>
      <c r="L518" s="9" t="e">
        <f>VLOOKUP(H518,위치!B:D,3,0)</f>
        <v>#N/A</v>
      </c>
      <c r="M518" s="12"/>
      <c r="N518" s="5"/>
      <c r="O518" s="5"/>
      <c r="P518" s="5"/>
      <c r="Q518" s="14"/>
      <c r="R518" s="15">
        <f t="shared" si="7"/>
        <v>0</v>
      </c>
    </row>
    <row r="519" spans="2:18" x14ac:dyDescent="0.35">
      <c r="B519" s="9">
        <v>540</v>
      </c>
      <c r="C519" s="9"/>
      <c r="D519" s="9"/>
      <c r="E519" s="9"/>
      <c r="F519" s="9"/>
      <c r="G519" s="9"/>
      <c r="H519" s="9"/>
      <c r="I519" s="11" t="e">
        <f>VLOOKUP(H519,위치!B:C,2,0)</f>
        <v>#N/A</v>
      </c>
      <c r="J519" s="9"/>
      <c r="K519" s="9"/>
      <c r="L519" s="9" t="e">
        <f>VLOOKUP(H519,위치!B:D,3,0)</f>
        <v>#N/A</v>
      </c>
      <c r="M519" s="12"/>
      <c r="N519" s="5"/>
      <c r="O519" s="5"/>
      <c r="P519" s="5"/>
      <c r="Q519" s="14"/>
      <c r="R519" s="15">
        <f t="shared" ref="R519:R582" si="8">J519-P519</f>
        <v>0</v>
      </c>
    </row>
    <row r="520" spans="2:18" x14ac:dyDescent="0.35">
      <c r="B520" s="9">
        <v>541</v>
      </c>
      <c r="C520" s="9"/>
      <c r="D520" s="9"/>
      <c r="E520" s="9"/>
      <c r="F520" s="9"/>
      <c r="G520" s="9"/>
      <c r="H520" s="9"/>
      <c r="I520" s="11" t="e">
        <f>VLOOKUP(H520,위치!B:C,2,0)</f>
        <v>#N/A</v>
      </c>
      <c r="J520" s="9"/>
      <c r="K520" s="9"/>
      <c r="L520" s="9" t="e">
        <f>VLOOKUP(H520,위치!B:D,3,0)</f>
        <v>#N/A</v>
      </c>
      <c r="M520" s="12"/>
      <c r="N520" s="5"/>
      <c r="O520" s="5"/>
      <c r="P520" s="5"/>
      <c r="Q520" s="14"/>
      <c r="R520" s="15">
        <f t="shared" si="8"/>
        <v>0</v>
      </c>
    </row>
    <row r="521" spans="2:18" x14ac:dyDescent="0.35">
      <c r="B521" s="9">
        <v>542</v>
      </c>
      <c r="C521" s="9"/>
      <c r="D521" s="9"/>
      <c r="E521" s="9"/>
      <c r="F521" s="9"/>
      <c r="G521" s="9"/>
      <c r="H521" s="9"/>
      <c r="I521" s="11" t="e">
        <f>VLOOKUP(H521,위치!B:C,2,0)</f>
        <v>#N/A</v>
      </c>
      <c r="J521" s="9"/>
      <c r="K521" s="9"/>
      <c r="L521" s="9" t="e">
        <f>VLOOKUP(H521,위치!B:D,3,0)</f>
        <v>#N/A</v>
      </c>
      <c r="M521" s="12"/>
      <c r="N521" s="5"/>
      <c r="O521" s="5"/>
      <c r="P521" s="5"/>
      <c r="Q521" s="14"/>
      <c r="R521" s="15">
        <f t="shared" si="8"/>
        <v>0</v>
      </c>
    </row>
    <row r="522" spans="2:18" x14ac:dyDescent="0.35">
      <c r="B522" s="9">
        <v>543</v>
      </c>
      <c r="C522" s="9"/>
      <c r="D522" s="9"/>
      <c r="E522" s="9"/>
      <c r="F522" s="9"/>
      <c r="G522" s="9"/>
      <c r="H522" s="9"/>
      <c r="I522" s="11" t="e">
        <f>VLOOKUP(H522,위치!B:C,2,0)</f>
        <v>#N/A</v>
      </c>
      <c r="J522" s="9"/>
      <c r="K522" s="9"/>
      <c r="L522" s="9" t="e">
        <f>VLOOKUP(H522,위치!B:D,3,0)</f>
        <v>#N/A</v>
      </c>
      <c r="M522" s="12"/>
      <c r="N522" s="5"/>
      <c r="O522" s="5"/>
      <c r="P522" s="5"/>
      <c r="Q522" s="14"/>
      <c r="R522" s="15">
        <f t="shared" si="8"/>
        <v>0</v>
      </c>
    </row>
    <row r="523" spans="2:18" x14ac:dyDescent="0.35">
      <c r="B523" s="9">
        <v>544</v>
      </c>
      <c r="C523" s="9"/>
      <c r="D523" s="9"/>
      <c r="E523" s="9"/>
      <c r="F523" s="9"/>
      <c r="G523" s="9"/>
      <c r="H523" s="9"/>
      <c r="I523" s="11" t="e">
        <f>VLOOKUP(H523,위치!B:C,2,0)</f>
        <v>#N/A</v>
      </c>
      <c r="J523" s="9"/>
      <c r="K523" s="9"/>
      <c r="L523" s="9" t="e">
        <f>VLOOKUP(H523,위치!B:D,3,0)</f>
        <v>#N/A</v>
      </c>
      <c r="M523" s="12"/>
      <c r="N523" s="5"/>
      <c r="O523" s="5"/>
      <c r="P523" s="5"/>
      <c r="Q523" s="14"/>
      <c r="R523" s="15">
        <f t="shared" si="8"/>
        <v>0</v>
      </c>
    </row>
    <row r="524" spans="2:18" x14ac:dyDescent="0.35">
      <c r="B524" s="9">
        <v>545</v>
      </c>
      <c r="C524" s="9"/>
      <c r="D524" s="9"/>
      <c r="E524" s="9"/>
      <c r="F524" s="9"/>
      <c r="G524" s="9"/>
      <c r="H524" s="9"/>
      <c r="I524" s="11" t="e">
        <f>VLOOKUP(H524,위치!B:C,2,0)</f>
        <v>#N/A</v>
      </c>
      <c r="J524" s="9"/>
      <c r="K524" s="9"/>
      <c r="L524" s="9" t="e">
        <f>VLOOKUP(H524,위치!B:D,3,0)</f>
        <v>#N/A</v>
      </c>
      <c r="M524" s="12"/>
      <c r="N524" s="5"/>
      <c r="O524" s="5"/>
      <c r="P524" s="5"/>
      <c r="Q524" s="14"/>
      <c r="R524" s="15">
        <f t="shared" si="8"/>
        <v>0</v>
      </c>
    </row>
    <row r="525" spans="2:18" x14ac:dyDescent="0.35">
      <c r="B525" s="9">
        <v>546</v>
      </c>
      <c r="C525" s="9"/>
      <c r="D525" s="9"/>
      <c r="E525" s="9"/>
      <c r="F525" s="9"/>
      <c r="G525" s="9"/>
      <c r="H525" s="9"/>
      <c r="I525" s="11" t="e">
        <f>VLOOKUP(H525,위치!B:C,2,0)</f>
        <v>#N/A</v>
      </c>
      <c r="J525" s="9"/>
      <c r="K525" s="9"/>
      <c r="L525" s="9" t="e">
        <f>VLOOKUP(H525,위치!B:D,3,0)</f>
        <v>#N/A</v>
      </c>
      <c r="M525" s="12"/>
      <c r="N525" s="5"/>
      <c r="O525" s="5"/>
      <c r="P525" s="5"/>
      <c r="Q525" s="14"/>
      <c r="R525" s="15">
        <f t="shared" si="8"/>
        <v>0</v>
      </c>
    </row>
    <row r="526" spans="2:18" x14ac:dyDescent="0.35">
      <c r="B526" s="9">
        <v>547</v>
      </c>
      <c r="C526" s="9"/>
      <c r="D526" s="9"/>
      <c r="E526" s="9"/>
      <c r="F526" s="9"/>
      <c r="G526" s="9"/>
      <c r="H526" s="9"/>
      <c r="I526" s="11" t="e">
        <f>VLOOKUP(H526,위치!B:C,2,0)</f>
        <v>#N/A</v>
      </c>
      <c r="J526" s="9"/>
      <c r="K526" s="9"/>
      <c r="L526" s="9" t="e">
        <f>VLOOKUP(H526,위치!B:D,3,0)</f>
        <v>#N/A</v>
      </c>
      <c r="M526" s="12"/>
      <c r="N526" s="5"/>
      <c r="O526" s="5"/>
      <c r="P526" s="5"/>
      <c r="Q526" s="14"/>
      <c r="R526" s="15">
        <f t="shared" si="8"/>
        <v>0</v>
      </c>
    </row>
    <row r="527" spans="2:18" x14ac:dyDescent="0.35">
      <c r="B527" s="9">
        <v>548</v>
      </c>
      <c r="C527" s="9"/>
      <c r="D527" s="9"/>
      <c r="E527" s="9"/>
      <c r="F527" s="9"/>
      <c r="G527" s="9"/>
      <c r="H527" s="9"/>
      <c r="I527" s="11" t="e">
        <f>VLOOKUP(H527,위치!B:C,2,0)</f>
        <v>#N/A</v>
      </c>
      <c r="J527" s="9"/>
      <c r="K527" s="9"/>
      <c r="L527" s="9" t="e">
        <f>VLOOKUP(H527,위치!B:D,3,0)</f>
        <v>#N/A</v>
      </c>
      <c r="M527" s="12"/>
      <c r="N527" s="5"/>
      <c r="O527" s="5"/>
      <c r="P527" s="5"/>
      <c r="Q527" s="14"/>
      <c r="R527" s="15">
        <f t="shared" si="8"/>
        <v>0</v>
      </c>
    </row>
    <row r="528" spans="2:18" x14ac:dyDescent="0.35">
      <c r="B528" s="9">
        <v>549</v>
      </c>
      <c r="C528" s="9"/>
      <c r="D528" s="9"/>
      <c r="E528" s="9"/>
      <c r="F528" s="9"/>
      <c r="G528" s="9"/>
      <c r="H528" s="9"/>
      <c r="I528" s="11" t="e">
        <f>VLOOKUP(H528,위치!B:C,2,0)</f>
        <v>#N/A</v>
      </c>
      <c r="J528" s="9"/>
      <c r="K528" s="9"/>
      <c r="L528" s="9" t="e">
        <f>VLOOKUP(H528,위치!B:D,3,0)</f>
        <v>#N/A</v>
      </c>
      <c r="M528" s="12"/>
      <c r="N528" s="5"/>
      <c r="O528" s="5"/>
      <c r="P528" s="5"/>
      <c r="Q528" s="14"/>
      <c r="R528" s="15">
        <f t="shared" si="8"/>
        <v>0</v>
      </c>
    </row>
    <row r="529" spans="2:18" x14ac:dyDescent="0.35">
      <c r="B529" s="9">
        <v>550</v>
      </c>
      <c r="C529" s="9"/>
      <c r="D529" s="9"/>
      <c r="E529" s="9"/>
      <c r="F529" s="9"/>
      <c r="G529" s="9"/>
      <c r="H529" s="9"/>
      <c r="I529" s="11" t="e">
        <f>VLOOKUP(H529,위치!B:C,2,0)</f>
        <v>#N/A</v>
      </c>
      <c r="J529" s="9"/>
      <c r="K529" s="9"/>
      <c r="L529" s="9" t="e">
        <f>VLOOKUP(H529,위치!B:D,3,0)</f>
        <v>#N/A</v>
      </c>
      <c r="M529" s="12"/>
      <c r="N529" s="5"/>
      <c r="O529" s="5"/>
      <c r="P529" s="5"/>
      <c r="Q529" s="14"/>
      <c r="R529" s="15">
        <f t="shared" si="8"/>
        <v>0</v>
      </c>
    </row>
    <row r="530" spans="2:18" x14ac:dyDescent="0.35">
      <c r="B530" s="9">
        <v>551</v>
      </c>
      <c r="C530" s="9"/>
      <c r="D530" s="9"/>
      <c r="E530" s="9"/>
      <c r="F530" s="9"/>
      <c r="G530" s="9"/>
      <c r="H530" s="9"/>
      <c r="I530" s="11" t="e">
        <f>VLOOKUP(H530,위치!B:C,2,0)</f>
        <v>#N/A</v>
      </c>
      <c r="J530" s="9"/>
      <c r="K530" s="9"/>
      <c r="L530" s="9" t="e">
        <f>VLOOKUP(H530,위치!B:D,3,0)</f>
        <v>#N/A</v>
      </c>
      <c r="M530" s="12"/>
      <c r="N530" s="5"/>
      <c r="O530" s="5"/>
      <c r="P530" s="5"/>
      <c r="Q530" s="14"/>
      <c r="R530" s="15">
        <f t="shared" si="8"/>
        <v>0</v>
      </c>
    </row>
    <row r="531" spans="2:18" x14ac:dyDescent="0.35">
      <c r="B531" s="9">
        <v>552</v>
      </c>
      <c r="C531" s="9"/>
      <c r="D531" s="9"/>
      <c r="E531" s="9"/>
      <c r="F531" s="9"/>
      <c r="G531" s="9"/>
      <c r="H531" s="9"/>
      <c r="I531" s="11" t="e">
        <f>VLOOKUP(H531,위치!B:C,2,0)</f>
        <v>#N/A</v>
      </c>
      <c r="J531" s="9"/>
      <c r="K531" s="9"/>
      <c r="L531" s="9" t="e">
        <f>VLOOKUP(H531,위치!B:D,3,0)</f>
        <v>#N/A</v>
      </c>
      <c r="M531" s="12"/>
      <c r="N531" s="5"/>
      <c r="O531" s="5"/>
      <c r="P531" s="5"/>
      <c r="Q531" s="14"/>
      <c r="R531" s="15">
        <f t="shared" si="8"/>
        <v>0</v>
      </c>
    </row>
    <row r="532" spans="2:18" x14ac:dyDescent="0.35">
      <c r="B532" s="9">
        <v>553</v>
      </c>
      <c r="C532" s="9"/>
      <c r="D532" s="9"/>
      <c r="E532" s="9"/>
      <c r="F532" s="9"/>
      <c r="G532" s="9"/>
      <c r="H532" s="9"/>
      <c r="I532" s="11" t="e">
        <f>VLOOKUP(H532,위치!B:C,2,0)</f>
        <v>#N/A</v>
      </c>
      <c r="J532" s="9"/>
      <c r="K532" s="9"/>
      <c r="L532" s="9" t="e">
        <f>VLOOKUP(H532,위치!B:D,3,0)</f>
        <v>#N/A</v>
      </c>
      <c r="M532" s="12"/>
      <c r="N532" s="5"/>
      <c r="O532" s="5"/>
      <c r="P532" s="5"/>
      <c r="Q532" s="14"/>
      <c r="R532" s="15">
        <f t="shared" si="8"/>
        <v>0</v>
      </c>
    </row>
    <row r="533" spans="2:18" x14ac:dyDescent="0.35">
      <c r="B533" s="9">
        <v>554</v>
      </c>
      <c r="C533" s="9"/>
      <c r="D533" s="9"/>
      <c r="E533" s="9"/>
      <c r="F533" s="9"/>
      <c r="G533" s="9"/>
      <c r="H533" s="9"/>
      <c r="I533" s="11" t="e">
        <f>VLOOKUP(H533,위치!B:C,2,0)</f>
        <v>#N/A</v>
      </c>
      <c r="J533" s="9"/>
      <c r="K533" s="9"/>
      <c r="L533" s="9" t="e">
        <f>VLOOKUP(H533,위치!B:D,3,0)</f>
        <v>#N/A</v>
      </c>
      <c r="M533" s="12"/>
      <c r="N533" s="5"/>
      <c r="O533" s="5"/>
      <c r="P533" s="5"/>
      <c r="Q533" s="14"/>
      <c r="R533" s="15">
        <f t="shared" si="8"/>
        <v>0</v>
      </c>
    </row>
    <row r="534" spans="2:18" x14ac:dyDescent="0.35">
      <c r="B534" s="9">
        <v>555</v>
      </c>
      <c r="C534" s="9"/>
      <c r="D534" s="9"/>
      <c r="E534" s="9"/>
      <c r="F534" s="9"/>
      <c r="G534" s="9"/>
      <c r="H534" s="9"/>
      <c r="I534" s="11" t="e">
        <f>VLOOKUP(H534,위치!B:C,2,0)</f>
        <v>#N/A</v>
      </c>
      <c r="J534" s="9"/>
      <c r="K534" s="9"/>
      <c r="L534" s="9" t="e">
        <f>VLOOKUP(H534,위치!B:D,3,0)</f>
        <v>#N/A</v>
      </c>
      <c r="M534" s="12"/>
      <c r="N534" s="5"/>
      <c r="O534" s="5"/>
      <c r="P534" s="5"/>
      <c r="Q534" s="14"/>
      <c r="R534" s="15">
        <f t="shared" si="8"/>
        <v>0</v>
      </c>
    </row>
    <row r="535" spans="2:18" x14ac:dyDescent="0.35">
      <c r="B535" s="9">
        <v>556</v>
      </c>
      <c r="C535" s="9"/>
      <c r="D535" s="9"/>
      <c r="E535" s="9"/>
      <c r="F535" s="9"/>
      <c r="G535" s="9"/>
      <c r="H535" s="9"/>
      <c r="I535" s="11" t="e">
        <f>VLOOKUP(H535,위치!B:C,2,0)</f>
        <v>#N/A</v>
      </c>
      <c r="J535" s="9"/>
      <c r="K535" s="9"/>
      <c r="L535" s="9" t="e">
        <f>VLOOKUP(H535,위치!B:D,3,0)</f>
        <v>#N/A</v>
      </c>
      <c r="M535" s="12"/>
      <c r="N535" s="5"/>
      <c r="O535" s="5"/>
      <c r="P535" s="5"/>
      <c r="Q535" s="14"/>
      <c r="R535" s="15">
        <f t="shared" si="8"/>
        <v>0</v>
      </c>
    </row>
    <row r="536" spans="2:18" x14ac:dyDescent="0.35">
      <c r="B536" s="9">
        <v>557</v>
      </c>
      <c r="C536" s="9"/>
      <c r="D536" s="9"/>
      <c r="E536" s="9"/>
      <c r="F536" s="9"/>
      <c r="G536" s="9"/>
      <c r="H536" s="9"/>
      <c r="I536" s="11" t="e">
        <f>VLOOKUP(H536,위치!B:C,2,0)</f>
        <v>#N/A</v>
      </c>
      <c r="J536" s="9"/>
      <c r="K536" s="9"/>
      <c r="L536" s="9" t="e">
        <f>VLOOKUP(H536,위치!B:D,3,0)</f>
        <v>#N/A</v>
      </c>
      <c r="M536" s="12"/>
      <c r="N536" s="5"/>
      <c r="O536" s="5"/>
      <c r="P536" s="5"/>
      <c r="Q536" s="14"/>
      <c r="R536" s="15">
        <f t="shared" si="8"/>
        <v>0</v>
      </c>
    </row>
    <row r="537" spans="2:18" x14ac:dyDescent="0.35">
      <c r="B537" s="9">
        <v>558</v>
      </c>
      <c r="C537" s="9"/>
      <c r="D537" s="9"/>
      <c r="E537" s="9"/>
      <c r="F537" s="9"/>
      <c r="G537" s="9"/>
      <c r="H537" s="9"/>
      <c r="I537" s="11" t="e">
        <f>VLOOKUP(H537,위치!B:C,2,0)</f>
        <v>#N/A</v>
      </c>
      <c r="J537" s="9"/>
      <c r="K537" s="9"/>
      <c r="L537" s="9" t="e">
        <f>VLOOKUP(H537,위치!B:D,3,0)</f>
        <v>#N/A</v>
      </c>
      <c r="M537" s="12"/>
      <c r="N537" s="5"/>
      <c r="O537" s="5"/>
      <c r="P537" s="5"/>
      <c r="Q537" s="14"/>
      <c r="R537" s="15">
        <f t="shared" si="8"/>
        <v>0</v>
      </c>
    </row>
    <row r="538" spans="2:18" x14ac:dyDescent="0.35">
      <c r="B538" s="9">
        <v>559</v>
      </c>
      <c r="C538" s="9"/>
      <c r="D538" s="9"/>
      <c r="E538" s="9"/>
      <c r="F538" s="9"/>
      <c r="G538" s="9"/>
      <c r="H538" s="9"/>
      <c r="I538" s="11" t="e">
        <f>VLOOKUP(H538,위치!B:C,2,0)</f>
        <v>#N/A</v>
      </c>
      <c r="J538" s="9"/>
      <c r="K538" s="9"/>
      <c r="L538" s="9" t="e">
        <f>VLOOKUP(H538,위치!B:D,3,0)</f>
        <v>#N/A</v>
      </c>
      <c r="M538" s="12"/>
      <c r="N538" s="5"/>
      <c r="O538" s="5"/>
      <c r="P538" s="5"/>
      <c r="Q538" s="14"/>
      <c r="R538" s="15">
        <f t="shared" si="8"/>
        <v>0</v>
      </c>
    </row>
    <row r="539" spans="2:18" x14ac:dyDescent="0.35">
      <c r="B539" s="9">
        <v>560</v>
      </c>
      <c r="C539" s="9"/>
      <c r="D539" s="9"/>
      <c r="E539" s="9"/>
      <c r="F539" s="9"/>
      <c r="G539" s="9"/>
      <c r="H539" s="9"/>
      <c r="I539" s="11" t="e">
        <f>VLOOKUP(H539,위치!B:C,2,0)</f>
        <v>#N/A</v>
      </c>
      <c r="J539" s="9"/>
      <c r="K539" s="9"/>
      <c r="L539" s="9" t="e">
        <f>VLOOKUP(H539,위치!B:D,3,0)</f>
        <v>#N/A</v>
      </c>
      <c r="M539" s="12"/>
      <c r="N539" s="5"/>
      <c r="O539" s="5"/>
      <c r="P539" s="5"/>
      <c r="Q539" s="14"/>
      <c r="R539" s="15">
        <f t="shared" si="8"/>
        <v>0</v>
      </c>
    </row>
    <row r="540" spans="2:18" x14ac:dyDescent="0.35">
      <c r="B540" s="9">
        <v>561</v>
      </c>
      <c r="C540" s="9"/>
      <c r="D540" s="9"/>
      <c r="E540" s="9"/>
      <c r="F540" s="9"/>
      <c r="G540" s="9"/>
      <c r="H540" s="9"/>
      <c r="I540" s="11" t="e">
        <f>VLOOKUP(H540,위치!B:C,2,0)</f>
        <v>#N/A</v>
      </c>
      <c r="J540" s="9"/>
      <c r="K540" s="9"/>
      <c r="L540" s="9" t="e">
        <f>VLOOKUP(H540,위치!B:D,3,0)</f>
        <v>#N/A</v>
      </c>
      <c r="M540" s="12"/>
      <c r="N540" s="5"/>
      <c r="O540" s="5"/>
      <c r="P540" s="5"/>
      <c r="Q540" s="14"/>
      <c r="R540" s="15">
        <f t="shared" si="8"/>
        <v>0</v>
      </c>
    </row>
    <row r="541" spans="2:18" x14ac:dyDescent="0.35">
      <c r="B541" s="9">
        <v>562</v>
      </c>
      <c r="C541" s="9"/>
      <c r="D541" s="9"/>
      <c r="E541" s="9"/>
      <c r="F541" s="9"/>
      <c r="G541" s="9"/>
      <c r="H541" s="9"/>
      <c r="I541" s="11" t="e">
        <f>VLOOKUP(H541,위치!B:C,2,0)</f>
        <v>#N/A</v>
      </c>
      <c r="J541" s="9"/>
      <c r="K541" s="9"/>
      <c r="L541" s="9" t="e">
        <f>VLOOKUP(H541,위치!B:D,3,0)</f>
        <v>#N/A</v>
      </c>
      <c r="M541" s="12"/>
      <c r="N541" s="5"/>
      <c r="O541" s="5"/>
      <c r="P541" s="5"/>
      <c r="Q541" s="14"/>
      <c r="R541" s="15">
        <f t="shared" si="8"/>
        <v>0</v>
      </c>
    </row>
    <row r="542" spans="2:18" x14ac:dyDescent="0.35">
      <c r="B542" s="9">
        <v>563</v>
      </c>
      <c r="C542" s="9"/>
      <c r="D542" s="9"/>
      <c r="E542" s="9"/>
      <c r="F542" s="9"/>
      <c r="G542" s="9"/>
      <c r="H542" s="9"/>
      <c r="I542" s="11" t="e">
        <f>VLOOKUP(H542,위치!B:C,2,0)</f>
        <v>#N/A</v>
      </c>
      <c r="J542" s="9"/>
      <c r="K542" s="9"/>
      <c r="L542" s="9" t="e">
        <f>VLOOKUP(H542,위치!B:D,3,0)</f>
        <v>#N/A</v>
      </c>
      <c r="M542" s="12"/>
      <c r="N542" s="5"/>
      <c r="O542" s="5"/>
      <c r="P542" s="5"/>
      <c r="Q542" s="14"/>
      <c r="R542" s="15">
        <f t="shared" si="8"/>
        <v>0</v>
      </c>
    </row>
    <row r="543" spans="2:18" x14ac:dyDescent="0.35">
      <c r="B543" s="9">
        <v>564</v>
      </c>
      <c r="C543" s="9"/>
      <c r="D543" s="9"/>
      <c r="E543" s="9"/>
      <c r="F543" s="9"/>
      <c r="G543" s="9"/>
      <c r="H543" s="9"/>
      <c r="I543" s="11" t="e">
        <f>VLOOKUP(H543,위치!B:C,2,0)</f>
        <v>#N/A</v>
      </c>
      <c r="J543" s="9"/>
      <c r="K543" s="9"/>
      <c r="L543" s="9" t="e">
        <f>VLOOKUP(H543,위치!B:D,3,0)</f>
        <v>#N/A</v>
      </c>
      <c r="M543" s="12"/>
      <c r="N543" s="5"/>
      <c r="O543" s="5"/>
      <c r="P543" s="5"/>
      <c r="Q543" s="14"/>
      <c r="R543" s="15">
        <f t="shared" si="8"/>
        <v>0</v>
      </c>
    </row>
    <row r="544" spans="2:18" x14ac:dyDescent="0.35">
      <c r="B544" s="9">
        <v>565</v>
      </c>
      <c r="C544" s="9"/>
      <c r="D544" s="9"/>
      <c r="E544" s="9"/>
      <c r="F544" s="9"/>
      <c r="G544" s="9"/>
      <c r="H544" s="9"/>
      <c r="I544" s="11" t="e">
        <f>VLOOKUP(H544,위치!B:C,2,0)</f>
        <v>#N/A</v>
      </c>
      <c r="J544" s="9"/>
      <c r="K544" s="9"/>
      <c r="L544" s="9" t="e">
        <f>VLOOKUP(H544,위치!B:D,3,0)</f>
        <v>#N/A</v>
      </c>
      <c r="M544" s="12"/>
      <c r="N544" s="5"/>
      <c r="O544" s="5"/>
      <c r="P544" s="5"/>
      <c r="Q544" s="14"/>
      <c r="R544" s="15">
        <f t="shared" si="8"/>
        <v>0</v>
      </c>
    </row>
    <row r="545" spans="2:18" x14ac:dyDescent="0.35">
      <c r="B545" s="9">
        <v>566</v>
      </c>
      <c r="C545" s="9"/>
      <c r="D545" s="9"/>
      <c r="E545" s="9"/>
      <c r="F545" s="9"/>
      <c r="G545" s="9"/>
      <c r="H545" s="9"/>
      <c r="I545" s="11" t="e">
        <f>VLOOKUP(H545,위치!B:C,2,0)</f>
        <v>#N/A</v>
      </c>
      <c r="J545" s="9"/>
      <c r="K545" s="9"/>
      <c r="L545" s="9" t="e">
        <f>VLOOKUP(H545,위치!B:D,3,0)</f>
        <v>#N/A</v>
      </c>
      <c r="M545" s="12"/>
      <c r="N545" s="5"/>
      <c r="O545" s="5"/>
      <c r="P545" s="5"/>
      <c r="Q545" s="14"/>
      <c r="R545" s="15">
        <f t="shared" si="8"/>
        <v>0</v>
      </c>
    </row>
    <row r="546" spans="2:18" x14ac:dyDescent="0.35">
      <c r="B546" s="9">
        <v>567</v>
      </c>
      <c r="C546" s="9"/>
      <c r="D546" s="9"/>
      <c r="E546" s="9"/>
      <c r="F546" s="9"/>
      <c r="G546" s="9"/>
      <c r="H546" s="9"/>
      <c r="I546" s="11" t="e">
        <f>VLOOKUP(H546,위치!B:C,2,0)</f>
        <v>#N/A</v>
      </c>
      <c r="J546" s="9"/>
      <c r="K546" s="9"/>
      <c r="L546" s="9" t="e">
        <f>VLOOKUP(H546,위치!B:D,3,0)</f>
        <v>#N/A</v>
      </c>
      <c r="M546" s="12"/>
      <c r="N546" s="5"/>
      <c r="O546" s="5"/>
      <c r="P546" s="5"/>
      <c r="Q546" s="14"/>
      <c r="R546" s="15">
        <f t="shared" si="8"/>
        <v>0</v>
      </c>
    </row>
    <row r="547" spans="2:18" x14ac:dyDescent="0.35">
      <c r="B547" s="9">
        <v>568</v>
      </c>
      <c r="C547" s="9"/>
      <c r="D547" s="9"/>
      <c r="E547" s="9"/>
      <c r="F547" s="9"/>
      <c r="G547" s="9"/>
      <c r="H547" s="9"/>
      <c r="I547" s="11" t="e">
        <f>VLOOKUP(H547,위치!B:C,2,0)</f>
        <v>#N/A</v>
      </c>
      <c r="J547" s="9"/>
      <c r="K547" s="9"/>
      <c r="L547" s="9" t="e">
        <f>VLOOKUP(H547,위치!B:D,3,0)</f>
        <v>#N/A</v>
      </c>
      <c r="M547" s="12"/>
      <c r="N547" s="5"/>
      <c r="O547" s="5"/>
      <c r="P547" s="5"/>
      <c r="Q547" s="14"/>
      <c r="R547" s="15">
        <f t="shared" si="8"/>
        <v>0</v>
      </c>
    </row>
    <row r="548" spans="2:18" x14ac:dyDescent="0.35">
      <c r="B548" s="9">
        <v>569</v>
      </c>
      <c r="C548" s="9"/>
      <c r="D548" s="9"/>
      <c r="E548" s="9"/>
      <c r="F548" s="9"/>
      <c r="G548" s="9"/>
      <c r="H548" s="9"/>
      <c r="I548" s="11" t="e">
        <f>VLOOKUP(H548,위치!B:C,2,0)</f>
        <v>#N/A</v>
      </c>
      <c r="J548" s="9"/>
      <c r="K548" s="9"/>
      <c r="L548" s="9" t="e">
        <f>VLOOKUP(H548,위치!B:D,3,0)</f>
        <v>#N/A</v>
      </c>
      <c r="M548" s="12"/>
      <c r="N548" s="5"/>
      <c r="O548" s="5"/>
      <c r="P548" s="5"/>
      <c r="Q548" s="14"/>
      <c r="R548" s="15">
        <f t="shared" si="8"/>
        <v>0</v>
      </c>
    </row>
    <row r="549" spans="2:18" x14ac:dyDescent="0.35">
      <c r="B549" s="9">
        <v>570</v>
      </c>
      <c r="C549" s="9"/>
      <c r="D549" s="9"/>
      <c r="E549" s="9"/>
      <c r="F549" s="9"/>
      <c r="G549" s="9"/>
      <c r="H549" s="9"/>
      <c r="I549" s="11" t="e">
        <f>VLOOKUP(H549,위치!B:C,2,0)</f>
        <v>#N/A</v>
      </c>
      <c r="J549" s="9"/>
      <c r="K549" s="9"/>
      <c r="L549" s="9" t="e">
        <f>VLOOKUP(H549,위치!B:D,3,0)</f>
        <v>#N/A</v>
      </c>
      <c r="M549" s="12"/>
      <c r="N549" s="5"/>
      <c r="O549" s="5"/>
      <c r="P549" s="5"/>
      <c r="Q549" s="14"/>
      <c r="R549" s="15">
        <f t="shared" si="8"/>
        <v>0</v>
      </c>
    </row>
    <row r="550" spans="2:18" x14ac:dyDescent="0.35">
      <c r="B550" s="9">
        <v>571</v>
      </c>
      <c r="C550" s="9"/>
      <c r="D550" s="9"/>
      <c r="E550" s="9"/>
      <c r="F550" s="9"/>
      <c r="G550" s="9"/>
      <c r="H550" s="9"/>
      <c r="I550" s="11" t="e">
        <f>VLOOKUP(H550,위치!B:C,2,0)</f>
        <v>#N/A</v>
      </c>
      <c r="J550" s="9"/>
      <c r="K550" s="9"/>
      <c r="L550" s="9" t="e">
        <f>VLOOKUP(H550,위치!B:D,3,0)</f>
        <v>#N/A</v>
      </c>
      <c r="M550" s="12"/>
      <c r="N550" s="5"/>
      <c r="O550" s="5"/>
      <c r="P550" s="5"/>
      <c r="Q550" s="14"/>
      <c r="R550" s="15">
        <f t="shared" si="8"/>
        <v>0</v>
      </c>
    </row>
    <row r="551" spans="2:18" x14ac:dyDescent="0.35">
      <c r="B551" s="9">
        <v>572</v>
      </c>
      <c r="C551" s="9"/>
      <c r="D551" s="9"/>
      <c r="E551" s="9"/>
      <c r="F551" s="9"/>
      <c r="G551" s="9"/>
      <c r="H551" s="9"/>
      <c r="I551" s="11" t="e">
        <f>VLOOKUP(H551,위치!B:C,2,0)</f>
        <v>#N/A</v>
      </c>
      <c r="J551" s="9"/>
      <c r="K551" s="9"/>
      <c r="L551" s="9" t="e">
        <f>VLOOKUP(H551,위치!B:D,3,0)</f>
        <v>#N/A</v>
      </c>
      <c r="M551" s="12"/>
      <c r="N551" s="5"/>
      <c r="O551" s="5"/>
      <c r="P551" s="5"/>
      <c r="Q551" s="14"/>
      <c r="R551" s="15">
        <f t="shared" si="8"/>
        <v>0</v>
      </c>
    </row>
    <row r="552" spans="2:18" x14ac:dyDescent="0.35">
      <c r="B552" s="9">
        <v>573</v>
      </c>
      <c r="C552" s="9"/>
      <c r="D552" s="9"/>
      <c r="E552" s="9"/>
      <c r="F552" s="9"/>
      <c r="G552" s="9"/>
      <c r="H552" s="9"/>
      <c r="I552" s="11" t="e">
        <f>VLOOKUP(H552,위치!B:C,2,0)</f>
        <v>#N/A</v>
      </c>
      <c r="J552" s="9"/>
      <c r="K552" s="9"/>
      <c r="L552" s="9" t="e">
        <f>VLOOKUP(H552,위치!B:D,3,0)</f>
        <v>#N/A</v>
      </c>
      <c r="M552" s="12"/>
      <c r="N552" s="5"/>
      <c r="O552" s="5"/>
      <c r="P552" s="5"/>
      <c r="Q552" s="14"/>
      <c r="R552" s="15">
        <f t="shared" si="8"/>
        <v>0</v>
      </c>
    </row>
    <row r="553" spans="2:18" x14ac:dyDescent="0.35">
      <c r="B553" s="9">
        <v>574</v>
      </c>
      <c r="C553" s="9"/>
      <c r="D553" s="9"/>
      <c r="E553" s="9"/>
      <c r="F553" s="9"/>
      <c r="G553" s="9"/>
      <c r="H553" s="9"/>
      <c r="I553" s="11" t="e">
        <f>VLOOKUP(H553,위치!B:C,2,0)</f>
        <v>#N/A</v>
      </c>
      <c r="J553" s="9"/>
      <c r="K553" s="9"/>
      <c r="L553" s="9" t="e">
        <f>VLOOKUP(H553,위치!B:D,3,0)</f>
        <v>#N/A</v>
      </c>
      <c r="M553" s="12"/>
      <c r="N553" s="5"/>
      <c r="O553" s="5"/>
      <c r="P553" s="5"/>
      <c r="Q553" s="14"/>
      <c r="R553" s="15">
        <f t="shared" si="8"/>
        <v>0</v>
      </c>
    </row>
    <row r="554" spans="2:18" x14ac:dyDescent="0.35">
      <c r="B554" s="9">
        <v>575</v>
      </c>
      <c r="C554" s="9"/>
      <c r="D554" s="9"/>
      <c r="E554" s="9"/>
      <c r="F554" s="9"/>
      <c r="G554" s="9"/>
      <c r="H554" s="9"/>
      <c r="I554" s="11" t="e">
        <f>VLOOKUP(H554,위치!B:C,2,0)</f>
        <v>#N/A</v>
      </c>
      <c r="J554" s="9"/>
      <c r="K554" s="9"/>
      <c r="L554" s="9" t="e">
        <f>VLOOKUP(H554,위치!B:D,3,0)</f>
        <v>#N/A</v>
      </c>
      <c r="M554" s="12"/>
      <c r="N554" s="5"/>
      <c r="O554" s="5"/>
      <c r="P554" s="5"/>
      <c r="Q554" s="14"/>
      <c r="R554" s="15">
        <f t="shared" si="8"/>
        <v>0</v>
      </c>
    </row>
    <row r="555" spans="2:18" x14ac:dyDescent="0.35">
      <c r="B555" s="9">
        <v>576</v>
      </c>
      <c r="C555" s="9"/>
      <c r="D555" s="9"/>
      <c r="E555" s="9"/>
      <c r="F555" s="9"/>
      <c r="G555" s="9"/>
      <c r="H555" s="9"/>
      <c r="I555" s="11" t="e">
        <f>VLOOKUP(H555,위치!B:C,2,0)</f>
        <v>#N/A</v>
      </c>
      <c r="J555" s="9"/>
      <c r="K555" s="9"/>
      <c r="L555" s="9" t="e">
        <f>VLOOKUP(H555,위치!B:D,3,0)</f>
        <v>#N/A</v>
      </c>
      <c r="M555" s="12"/>
      <c r="N555" s="5"/>
      <c r="O555" s="5"/>
      <c r="P555" s="5"/>
      <c r="Q555" s="14"/>
      <c r="R555" s="15">
        <f t="shared" si="8"/>
        <v>0</v>
      </c>
    </row>
    <row r="556" spans="2:18" x14ac:dyDescent="0.35">
      <c r="B556" s="9">
        <v>577</v>
      </c>
      <c r="C556" s="9"/>
      <c r="D556" s="9"/>
      <c r="E556" s="9"/>
      <c r="F556" s="9"/>
      <c r="G556" s="9"/>
      <c r="H556" s="9"/>
      <c r="I556" s="11" t="e">
        <f>VLOOKUP(H556,위치!B:C,2,0)</f>
        <v>#N/A</v>
      </c>
      <c r="J556" s="9"/>
      <c r="K556" s="9"/>
      <c r="L556" s="9" t="e">
        <f>VLOOKUP(H556,위치!B:D,3,0)</f>
        <v>#N/A</v>
      </c>
      <c r="M556" s="12"/>
      <c r="N556" s="5"/>
      <c r="O556" s="5"/>
      <c r="P556" s="5"/>
      <c r="Q556" s="14"/>
      <c r="R556" s="15">
        <f t="shared" si="8"/>
        <v>0</v>
      </c>
    </row>
    <row r="557" spans="2:18" x14ac:dyDescent="0.35">
      <c r="B557" s="9">
        <v>578</v>
      </c>
      <c r="C557" s="9"/>
      <c r="D557" s="9"/>
      <c r="E557" s="9"/>
      <c r="F557" s="9"/>
      <c r="G557" s="9"/>
      <c r="H557" s="9"/>
      <c r="I557" s="11" t="e">
        <f>VLOOKUP(H557,위치!B:C,2,0)</f>
        <v>#N/A</v>
      </c>
      <c r="J557" s="9"/>
      <c r="K557" s="9"/>
      <c r="L557" s="9" t="e">
        <f>VLOOKUP(H557,위치!B:D,3,0)</f>
        <v>#N/A</v>
      </c>
      <c r="M557" s="12"/>
      <c r="N557" s="5"/>
      <c r="O557" s="5"/>
      <c r="P557" s="5"/>
      <c r="Q557" s="14"/>
      <c r="R557" s="15">
        <f t="shared" si="8"/>
        <v>0</v>
      </c>
    </row>
    <row r="558" spans="2:18" x14ac:dyDescent="0.35">
      <c r="B558" s="9">
        <v>579</v>
      </c>
      <c r="C558" s="9"/>
      <c r="D558" s="9"/>
      <c r="E558" s="9"/>
      <c r="F558" s="9"/>
      <c r="G558" s="9"/>
      <c r="H558" s="9"/>
      <c r="I558" s="11" t="e">
        <f>VLOOKUP(H558,위치!B:C,2,0)</f>
        <v>#N/A</v>
      </c>
      <c r="J558" s="9"/>
      <c r="K558" s="9"/>
      <c r="L558" s="9" t="e">
        <f>VLOOKUP(H558,위치!B:D,3,0)</f>
        <v>#N/A</v>
      </c>
      <c r="M558" s="12"/>
      <c r="N558" s="5"/>
      <c r="O558" s="5"/>
      <c r="P558" s="5"/>
      <c r="Q558" s="14"/>
      <c r="R558" s="15">
        <f t="shared" si="8"/>
        <v>0</v>
      </c>
    </row>
    <row r="559" spans="2:18" x14ac:dyDescent="0.35">
      <c r="B559" s="9">
        <v>580</v>
      </c>
      <c r="C559" s="9"/>
      <c r="D559" s="9"/>
      <c r="E559" s="9"/>
      <c r="F559" s="9"/>
      <c r="G559" s="9"/>
      <c r="H559" s="9"/>
      <c r="I559" s="11" t="e">
        <f>VLOOKUP(H559,위치!B:C,2,0)</f>
        <v>#N/A</v>
      </c>
      <c r="J559" s="9"/>
      <c r="K559" s="9"/>
      <c r="L559" s="9" t="e">
        <f>VLOOKUP(H559,위치!B:D,3,0)</f>
        <v>#N/A</v>
      </c>
      <c r="M559" s="12"/>
      <c r="N559" s="5"/>
      <c r="O559" s="5"/>
      <c r="P559" s="5"/>
      <c r="Q559" s="14"/>
      <c r="R559" s="15">
        <f t="shared" si="8"/>
        <v>0</v>
      </c>
    </row>
    <row r="560" spans="2:18" x14ac:dyDescent="0.35">
      <c r="B560" s="9">
        <v>581</v>
      </c>
      <c r="C560" s="9"/>
      <c r="D560" s="9"/>
      <c r="E560" s="9"/>
      <c r="F560" s="9"/>
      <c r="G560" s="9"/>
      <c r="H560" s="9"/>
      <c r="I560" s="11" t="e">
        <f>VLOOKUP(H560,위치!B:C,2,0)</f>
        <v>#N/A</v>
      </c>
      <c r="J560" s="9"/>
      <c r="K560" s="9"/>
      <c r="L560" s="9" t="e">
        <f>VLOOKUP(H560,위치!B:D,3,0)</f>
        <v>#N/A</v>
      </c>
      <c r="M560" s="12"/>
      <c r="N560" s="5"/>
      <c r="O560" s="5"/>
      <c r="P560" s="5"/>
      <c r="Q560" s="14"/>
      <c r="R560" s="15">
        <f t="shared" si="8"/>
        <v>0</v>
      </c>
    </row>
    <row r="561" spans="2:18" x14ac:dyDescent="0.35">
      <c r="B561" s="9">
        <v>582</v>
      </c>
      <c r="C561" s="9"/>
      <c r="D561" s="9"/>
      <c r="E561" s="9"/>
      <c r="F561" s="9"/>
      <c r="G561" s="9"/>
      <c r="H561" s="9"/>
      <c r="I561" s="11" t="e">
        <f>VLOOKUP(H561,위치!B:C,2,0)</f>
        <v>#N/A</v>
      </c>
      <c r="J561" s="9"/>
      <c r="K561" s="9"/>
      <c r="L561" s="9" t="e">
        <f>VLOOKUP(H561,위치!B:D,3,0)</f>
        <v>#N/A</v>
      </c>
      <c r="M561" s="12"/>
      <c r="N561" s="5"/>
      <c r="O561" s="5"/>
      <c r="P561" s="5"/>
      <c r="Q561" s="14"/>
      <c r="R561" s="15">
        <f t="shared" si="8"/>
        <v>0</v>
      </c>
    </row>
    <row r="562" spans="2:18" x14ac:dyDescent="0.35">
      <c r="B562" s="9">
        <v>583</v>
      </c>
      <c r="C562" s="9"/>
      <c r="D562" s="9"/>
      <c r="E562" s="9"/>
      <c r="F562" s="9"/>
      <c r="G562" s="9"/>
      <c r="H562" s="9"/>
      <c r="I562" s="11" t="e">
        <f>VLOOKUP(H562,위치!B:C,2,0)</f>
        <v>#N/A</v>
      </c>
      <c r="J562" s="9"/>
      <c r="K562" s="9"/>
      <c r="L562" s="9" t="e">
        <f>VLOOKUP(H562,위치!B:D,3,0)</f>
        <v>#N/A</v>
      </c>
      <c r="M562" s="12"/>
      <c r="N562" s="5"/>
      <c r="O562" s="5"/>
      <c r="P562" s="5"/>
      <c r="Q562" s="14"/>
      <c r="R562" s="15">
        <f t="shared" si="8"/>
        <v>0</v>
      </c>
    </row>
    <row r="563" spans="2:18" x14ac:dyDescent="0.35">
      <c r="B563" s="9">
        <v>584</v>
      </c>
      <c r="C563" s="9"/>
      <c r="D563" s="9"/>
      <c r="E563" s="9"/>
      <c r="F563" s="9"/>
      <c r="G563" s="9"/>
      <c r="H563" s="9"/>
      <c r="I563" s="11" t="e">
        <f>VLOOKUP(H563,위치!B:C,2,0)</f>
        <v>#N/A</v>
      </c>
      <c r="J563" s="9"/>
      <c r="K563" s="9"/>
      <c r="L563" s="9" t="e">
        <f>VLOOKUP(H563,위치!B:D,3,0)</f>
        <v>#N/A</v>
      </c>
      <c r="M563" s="12"/>
      <c r="N563" s="5"/>
      <c r="O563" s="5"/>
      <c r="P563" s="5"/>
      <c r="Q563" s="14"/>
      <c r="R563" s="15">
        <f t="shared" si="8"/>
        <v>0</v>
      </c>
    </row>
    <row r="564" spans="2:18" x14ac:dyDescent="0.35">
      <c r="B564" s="9">
        <v>585</v>
      </c>
      <c r="C564" s="9"/>
      <c r="D564" s="9"/>
      <c r="E564" s="9"/>
      <c r="F564" s="9"/>
      <c r="G564" s="9"/>
      <c r="H564" s="9"/>
      <c r="I564" s="11" t="e">
        <f>VLOOKUP(H564,위치!B:C,2,0)</f>
        <v>#N/A</v>
      </c>
      <c r="J564" s="9"/>
      <c r="K564" s="9"/>
      <c r="L564" s="9" t="e">
        <f>VLOOKUP(H564,위치!B:D,3,0)</f>
        <v>#N/A</v>
      </c>
      <c r="M564" s="12"/>
      <c r="N564" s="5"/>
      <c r="O564" s="5"/>
      <c r="P564" s="5"/>
      <c r="Q564" s="14"/>
      <c r="R564" s="15">
        <f t="shared" si="8"/>
        <v>0</v>
      </c>
    </row>
    <row r="565" spans="2:18" x14ac:dyDescent="0.35">
      <c r="B565" s="9">
        <v>586</v>
      </c>
      <c r="C565" s="9"/>
      <c r="D565" s="9"/>
      <c r="E565" s="9"/>
      <c r="F565" s="9"/>
      <c r="G565" s="9"/>
      <c r="H565" s="9"/>
      <c r="I565" s="11" t="e">
        <f>VLOOKUP(H565,위치!B:C,2,0)</f>
        <v>#N/A</v>
      </c>
      <c r="J565" s="9"/>
      <c r="K565" s="9"/>
      <c r="L565" s="9" t="e">
        <f>VLOOKUP(H565,위치!B:D,3,0)</f>
        <v>#N/A</v>
      </c>
      <c r="M565" s="12"/>
      <c r="N565" s="5"/>
      <c r="O565" s="5"/>
      <c r="P565" s="5"/>
      <c r="Q565" s="14"/>
      <c r="R565" s="15">
        <f t="shared" si="8"/>
        <v>0</v>
      </c>
    </row>
    <row r="566" spans="2:18" x14ac:dyDescent="0.35">
      <c r="B566" s="9">
        <v>587</v>
      </c>
      <c r="C566" s="9"/>
      <c r="D566" s="9"/>
      <c r="E566" s="9"/>
      <c r="F566" s="9"/>
      <c r="G566" s="9"/>
      <c r="H566" s="9"/>
      <c r="I566" s="11" t="e">
        <f>VLOOKUP(H566,위치!B:C,2,0)</f>
        <v>#N/A</v>
      </c>
      <c r="J566" s="9"/>
      <c r="K566" s="9"/>
      <c r="L566" s="9" t="e">
        <f>VLOOKUP(H566,위치!B:D,3,0)</f>
        <v>#N/A</v>
      </c>
      <c r="M566" s="12"/>
      <c r="N566" s="5"/>
      <c r="O566" s="5"/>
      <c r="P566" s="5"/>
      <c r="Q566" s="14"/>
      <c r="R566" s="15">
        <f t="shared" si="8"/>
        <v>0</v>
      </c>
    </row>
    <row r="567" spans="2:18" x14ac:dyDescent="0.35">
      <c r="B567" s="9">
        <v>588</v>
      </c>
      <c r="C567" s="9"/>
      <c r="D567" s="9"/>
      <c r="E567" s="9"/>
      <c r="F567" s="9"/>
      <c r="G567" s="9"/>
      <c r="H567" s="9"/>
      <c r="I567" s="11" t="e">
        <f>VLOOKUP(H567,위치!B:C,2,0)</f>
        <v>#N/A</v>
      </c>
      <c r="J567" s="9"/>
      <c r="K567" s="9"/>
      <c r="L567" s="9" t="e">
        <f>VLOOKUP(H567,위치!B:D,3,0)</f>
        <v>#N/A</v>
      </c>
      <c r="M567" s="12"/>
      <c r="N567" s="5"/>
      <c r="O567" s="5"/>
      <c r="P567" s="5"/>
      <c r="Q567" s="14"/>
      <c r="R567" s="15">
        <f t="shared" si="8"/>
        <v>0</v>
      </c>
    </row>
    <row r="568" spans="2:18" x14ac:dyDescent="0.35">
      <c r="B568" s="9">
        <v>589</v>
      </c>
      <c r="C568" s="9"/>
      <c r="D568" s="9"/>
      <c r="E568" s="9"/>
      <c r="F568" s="9"/>
      <c r="G568" s="9"/>
      <c r="H568" s="9"/>
      <c r="I568" s="11" t="e">
        <f>VLOOKUP(H568,위치!B:C,2,0)</f>
        <v>#N/A</v>
      </c>
      <c r="J568" s="9"/>
      <c r="K568" s="9"/>
      <c r="L568" s="9" t="e">
        <f>VLOOKUP(H568,위치!B:D,3,0)</f>
        <v>#N/A</v>
      </c>
      <c r="M568" s="12"/>
      <c r="N568" s="5"/>
      <c r="O568" s="5"/>
      <c r="P568" s="5"/>
      <c r="Q568" s="14"/>
      <c r="R568" s="15">
        <f t="shared" si="8"/>
        <v>0</v>
      </c>
    </row>
    <row r="569" spans="2:18" x14ac:dyDescent="0.35">
      <c r="B569" s="9">
        <v>590</v>
      </c>
      <c r="C569" s="9"/>
      <c r="D569" s="9"/>
      <c r="E569" s="9"/>
      <c r="F569" s="9"/>
      <c r="G569" s="9"/>
      <c r="H569" s="9"/>
      <c r="I569" s="11" t="e">
        <f>VLOOKUP(H569,위치!B:C,2,0)</f>
        <v>#N/A</v>
      </c>
      <c r="J569" s="9"/>
      <c r="K569" s="9"/>
      <c r="L569" s="9" t="e">
        <f>VLOOKUP(H569,위치!B:D,3,0)</f>
        <v>#N/A</v>
      </c>
      <c r="M569" s="12"/>
      <c r="N569" s="5"/>
      <c r="O569" s="5"/>
      <c r="P569" s="5"/>
      <c r="Q569" s="14"/>
      <c r="R569" s="15">
        <f t="shared" si="8"/>
        <v>0</v>
      </c>
    </row>
    <row r="570" spans="2:18" x14ac:dyDescent="0.35">
      <c r="B570" s="9">
        <v>591</v>
      </c>
      <c r="C570" s="9"/>
      <c r="D570" s="9"/>
      <c r="E570" s="9"/>
      <c r="F570" s="9"/>
      <c r="G570" s="9"/>
      <c r="H570" s="9"/>
      <c r="I570" s="11" t="e">
        <f>VLOOKUP(H570,위치!B:C,2,0)</f>
        <v>#N/A</v>
      </c>
      <c r="J570" s="9"/>
      <c r="K570" s="9"/>
      <c r="L570" s="9" t="e">
        <f>VLOOKUP(H570,위치!B:D,3,0)</f>
        <v>#N/A</v>
      </c>
      <c r="M570" s="12"/>
      <c r="N570" s="5"/>
      <c r="O570" s="5"/>
      <c r="P570" s="5"/>
      <c r="Q570" s="14"/>
      <c r="R570" s="15">
        <f t="shared" si="8"/>
        <v>0</v>
      </c>
    </row>
    <row r="571" spans="2:18" x14ac:dyDescent="0.35">
      <c r="B571" s="9">
        <v>592</v>
      </c>
      <c r="C571" s="9"/>
      <c r="D571" s="9"/>
      <c r="E571" s="9"/>
      <c r="F571" s="9"/>
      <c r="G571" s="9"/>
      <c r="H571" s="9"/>
      <c r="I571" s="11" t="e">
        <f>VLOOKUP(H571,위치!B:C,2,0)</f>
        <v>#N/A</v>
      </c>
      <c r="J571" s="9"/>
      <c r="K571" s="9"/>
      <c r="L571" s="9" t="e">
        <f>VLOOKUP(H571,위치!B:D,3,0)</f>
        <v>#N/A</v>
      </c>
      <c r="M571" s="12"/>
      <c r="N571" s="5"/>
      <c r="O571" s="5"/>
      <c r="P571" s="5"/>
      <c r="Q571" s="14"/>
      <c r="R571" s="15">
        <f t="shared" si="8"/>
        <v>0</v>
      </c>
    </row>
    <row r="572" spans="2:18" x14ac:dyDescent="0.35">
      <c r="B572" s="9">
        <v>593</v>
      </c>
      <c r="C572" s="9"/>
      <c r="D572" s="9"/>
      <c r="E572" s="9"/>
      <c r="F572" s="9"/>
      <c r="G572" s="9"/>
      <c r="H572" s="9"/>
      <c r="I572" s="11" t="e">
        <f>VLOOKUP(H572,위치!B:C,2,0)</f>
        <v>#N/A</v>
      </c>
      <c r="J572" s="9"/>
      <c r="K572" s="9"/>
      <c r="L572" s="9" t="e">
        <f>VLOOKUP(H572,위치!B:D,3,0)</f>
        <v>#N/A</v>
      </c>
      <c r="M572" s="12"/>
      <c r="N572" s="5"/>
      <c r="O572" s="5"/>
      <c r="P572" s="5"/>
      <c r="Q572" s="14"/>
      <c r="R572" s="15">
        <f t="shared" si="8"/>
        <v>0</v>
      </c>
    </row>
    <row r="573" spans="2:18" x14ac:dyDescent="0.35">
      <c r="B573" s="9">
        <v>594</v>
      </c>
      <c r="C573" s="9"/>
      <c r="D573" s="9"/>
      <c r="E573" s="9"/>
      <c r="F573" s="9"/>
      <c r="G573" s="9"/>
      <c r="H573" s="9"/>
      <c r="I573" s="11" t="e">
        <f>VLOOKUP(H573,위치!B:C,2,0)</f>
        <v>#N/A</v>
      </c>
      <c r="J573" s="9"/>
      <c r="K573" s="9"/>
      <c r="L573" s="9" t="e">
        <f>VLOOKUP(H573,위치!B:D,3,0)</f>
        <v>#N/A</v>
      </c>
      <c r="M573" s="12"/>
      <c r="N573" s="5"/>
      <c r="O573" s="5"/>
      <c r="P573" s="5"/>
      <c r="Q573" s="14"/>
      <c r="R573" s="15">
        <f t="shared" si="8"/>
        <v>0</v>
      </c>
    </row>
    <row r="574" spans="2:18" x14ac:dyDescent="0.35">
      <c r="B574" s="9">
        <v>595</v>
      </c>
      <c r="C574" s="9"/>
      <c r="D574" s="9"/>
      <c r="E574" s="9"/>
      <c r="F574" s="9"/>
      <c r="G574" s="9"/>
      <c r="H574" s="9"/>
      <c r="I574" s="11" t="e">
        <f>VLOOKUP(H574,위치!B:C,2,0)</f>
        <v>#N/A</v>
      </c>
      <c r="J574" s="9"/>
      <c r="K574" s="9"/>
      <c r="L574" s="9" t="e">
        <f>VLOOKUP(H574,위치!B:D,3,0)</f>
        <v>#N/A</v>
      </c>
      <c r="M574" s="12"/>
      <c r="N574" s="5"/>
      <c r="O574" s="5"/>
      <c r="P574" s="5"/>
      <c r="Q574" s="14"/>
      <c r="R574" s="15">
        <f t="shared" si="8"/>
        <v>0</v>
      </c>
    </row>
    <row r="575" spans="2:18" x14ac:dyDescent="0.35">
      <c r="B575" s="9">
        <v>596</v>
      </c>
      <c r="C575" s="9"/>
      <c r="D575" s="9"/>
      <c r="E575" s="9"/>
      <c r="F575" s="9"/>
      <c r="G575" s="9"/>
      <c r="H575" s="9"/>
      <c r="I575" s="11" t="e">
        <f>VLOOKUP(H575,위치!B:C,2,0)</f>
        <v>#N/A</v>
      </c>
      <c r="J575" s="9"/>
      <c r="K575" s="9"/>
      <c r="L575" s="9" t="e">
        <f>VLOOKUP(H575,위치!B:D,3,0)</f>
        <v>#N/A</v>
      </c>
      <c r="M575" s="12"/>
      <c r="N575" s="5"/>
      <c r="O575" s="5"/>
      <c r="P575" s="5"/>
      <c r="Q575" s="14"/>
      <c r="R575" s="15">
        <f t="shared" si="8"/>
        <v>0</v>
      </c>
    </row>
    <row r="576" spans="2:18" x14ac:dyDescent="0.35">
      <c r="B576" s="9">
        <v>597</v>
      </c>
      <c r="C576" s="9"/>
      <c r="D576" s="9"/>
      <c r="E576" s="9"/>
      <c r="F576" s="9"/>
      <c r="G576" s="9"/>
      <c r="H576" s="9"/>
      <c r="I576" s="11" t="e">
        <f>VLOOKUP(H576,위치!B:C,2,0)</f>
        <v>#N/A</v>
      </c>
      <c r="J576" s="9"/>
      <c r="K576" s="9"/>
      <c r="L576" s="9" t="e">
        <f>VLOOKUP(H576,위치!B:D,3,0)</f>
        <v>#N/A</v>
      </c>
      <c r="M576" s="12"/>
      <c r="N576" s="5"/>
      <c r="O576" s="5"/>
      <c r="P576" s="5"/>
      <c r="Q576" s="14"/>
      <c r="R576" s="15">
        <f t="shared" si="8"/>
        <v>0</v>
      </c>
    </row>
    <row r="577" spans="2:18" x14ac:dyDescent="0.35">
      <c r="B577" s="9">
        <v>598</v>
      </c>
      <c r="C577" s="9"/>
      <c r="D577" s="9"/>
      <c r="E577" s="9"/>
      <c r="F577" s="9"/>
      <c r="G577" s="9"/>
      <c r="H577" s="9"/>
      <c r="I577" s="11" t="e">
        <f>VLOOKUP(H577,위치!B:C,2,0)</f>
        <v>#N/A</v>
      </c>
      <c r="J577" s="9"/>
      <c r="K577" s="9"/>
      <c r="L577" s="9" t="e">
        <f>VLOOKUP(H577,위치!B:D,3,0)</f>
        <v>#N/A</v>
      </c>
      <c r="M577" s="12"/>
      <c r="N577" s="5"/>
      <c r="O577" s="5"/>
      <c r="P577" s="5"/>
      <c r="Q577" s="14"/>
      <c r="R577" s="15">
        <f t="shared" si="8"/>
        <v>0</v>
      </c>
    </row>
    <row r="578" spans="2:18" x14ac:dyDescent="0.35">
      <c r="B578" s="9">
        <v>599</v>
      </c>
      <c r="C578" s="9"/>
      <c r="D578" s="9"/>
      <c r="E578" s="9"/>
      <c r="F578" s="9"/>
      <c r="G578" s="9"/>
      <c r="H578" s="9"/>
      <c r="I578" s="11" t="e">
        <f>VLOOKUP(H578,위치!B:C,2,0)</f>
        <v>#N/A</v>
      </c>
      <c r="J578" s="9"/>
      <c r="K578" s="9"/>
      <c r="L578" s="9" t="e">
        <f>VLOOKUP(H578,위치!B:D,3,0)</f>
        <v>#N/A</v>
      </c>
      <c r="M578" s="12"/>
      <c r="N578" s="5"/>
      <c r="O578" s="5"/>
      <c r="P578" s="5"/>
      <c r="Q578" s="14"/>
      <c r="R578" s="15">
        <f t="shared" si="8"/>
        <v>0</v>
      </c>
    </row>
    <row r="579" spans="2:18" x14ac:dyDescent="0.35">
      <c r="B579" s="9">
        <v>600</v>
      </c>
      <c r="C579" s="9"/>
      <c r="D579" s="9"/>
      <c r="E579" s="9"/>
      <c r="F579" s="9"/>
      <c r="G579" s="9"/>
      <c r="H579" s="9"/>
      <c r="I579" s="11" t="e">
        <f>VLOOKUP(H579,위치!B:C,2,0)</f>
        <v>#N/A</v>
      </c>
      <c r="J579" s="9"/>
      <c r="K579" s="9"/>
      <c r="L579" s="9" t="e">
        <f>VLOOKUP(H579,위치!B:D,3,0)</f>
        <v>#N/A</v>
      </c>
      <c r="M579" s="12"/>
      <c r="N579" s="5"/>
      <c r="O579" s="5"/>
      <c r="P579" s="5"/>
      <c r="Q579" s="14"/>
      <c r="R579" s="15">
        <f t="shared" si="8"/>
        <v>0</v>
      </c>
    </row>
    <row r="580" spans="2:18" x14ac:dyDescent="0.35">
      <c r="B580" s="9">
        <v>601</v>
      </c>
      <c r="C580" s="9"/>
      <c r="D580" s="9"/>
      <c r="E580" s="9"/>
      <c r="F580" s="9"/>
      <c r="G580" s="9"/>
      <c r="H580" s="9"/>
      <c r="I580" s="11" t="e">
        <f>VLOOKUP(H580,위치!B:C,2,0)</f>
        <v>#N/A</v>
      </c>
      <c r="J580" s="9"/>
      <c r="K580" s="9"/>
      <c r="L580" s="9" t="e">
        <f>VLOOKUP(H580,위치!B:D,3,0)</f>
        <v>#N/A</v>
      </c>
      <c r="M580" s="12"/>
      <c r="N580" s="5"/>
      <c r="O580" s="5"/>
      <c r="P580" s="5"/>
      <c r="Q580" s="14"/>
      <c r="R580" s="15">
        <f t="shared" si="8"/>
        <v>0</v>
      </c>
    </row>
    <row r="581" spans="2:18" x14ac:dyDescent="0.35">
      <c r="B581" s="9">
        <v>602</v>
      </c>
      <c r="C581" s="9"/>
      <c r="D581" s="9"/>
      <c r="E581" s="9"/>
      <c r="F581" s="9"/>
      <c r="G581" s="9"/>
      <c r="H581" s="9"/>
      <c r="I581" s="11" t="e">
        <f>VLOOKUP(H581,위치!B:C,2,0)</f>
        <v>#N/A</v>
      </c>
      <c r="J581" s="9"/>
      <c r="K581" s="9"/>
      <c r="L581" s="9" t="e">
        <f>VLOOKUP(H581,위치!B:D,3,0)</f>
        <v>#N/A</v>
      </c>
      <c r="M581" s="12"/>
      <c r="N581" s="5"/>
      <c r="O581" s="5"/>
      <c r="P581" s="5"/>
      <c r="Q581" s="14"/>
      <c r="R581" s="15">
        <f t="shared" si="8"/>
        <v>0</v>
      </c>
    </row>
    <row r="582" spans="2:18" x14ac:dyDescent="0.35">
      <c r="B582" s="9">
        <v>603</v>
      </c>
      <c r="C582" s="9"/>
      <c r="D582" s="9"/>
      <c r="E582" s="9"/>
      <c r="F582" s="9"/>
      <c r="G582" s="9"/>
      <c r="H582" s="9"/>
      <c r="I582" s="11" t="e">
        <f>VLOOKUP(H582,위치!B:C,2,0)</f>
        <v>#N/A</v>
      </c>
      <c r="J582" s="9"/>
      <c r="K582" s="9"/>
      <c r="L582" s="9" t="e">
        <f>VLOOKUP(H582,위치!B:D,3,0)</f>
        <v>#N/A</v>
      </c>
      <c r="M582" s="12"/>
      <c r="N582" s="5"/>
      <c r="O582" s="5"/>
      <c r="P582" s="5"/>
      <c r="Q582" s="14"/>
      <c r="R582" s="15">
        <f t="shared" si="8"/>
        <v>0</v>
      </c>
    </row>
    <row r="583" spans="2:18" x14ac:dyDescent="0.35">
      <c r="B583" s="9">
        <v>604</v>
      </c>
      <c r="C583" s="9"/>
      <c r="D583" s="9"/>
      <c r="E583" s="9"/>
      <c r="F583" s="9"/>
      <c r="G583" s="9"/>
      <c r="H583" s="9"/>
      <c r="I583" s="11" t="e">
        <f>VLOOKUP(H583,위치!B:C,2,0)</f>
        <v>#N/A</v>
      </c>
      <c r="J583" s="9"/>
      <c r="K583" s="9"/>
      <c r="L583" s="9" t="e">
        <f>VLOOKUP(H583,위치!B:D,3,0)</f>
        <v>#N/A</v>
      </c>
      <c r="M583" s="12"/>
      <c r="N583" s="5"/>
      <c r="O583" s="5"/>
      <c r="P583" s="5"/>
      <c r="Q583" s="14"/>
      <c r="R583" s="15">
        <f t="shared" ref="R583:R646" si="9">J583-P583</f>
        <v>0</v>
      </c>
    </row>
    <row r="584" spans="2:18" x14ac:dyDescent="0.35">
      <c r="B584" s="9">
        <v>605</v>
      </c>
      <c r="C584" s="9"/>
      <c r="D584" s="9"/>
      <c r="E584" s="9"/>
      <c r="F584" s="9"/>
      <c r="G584" s="9"/>
      <c r="H584" s="9"/>
      <c r="I584" s="11" t="e">
        <f>VLOOKUP(H584,위치!B:C,2,0)</f>
        <v>#N/A</v>
      </c>
      <c r="J584" s="9"/>
      <c r="K584" s="9"/>
      <c r="L584" s="9" t="e">
        <f>VLOOKUP(H584,위치!B:D,3,0)</f>
        <v>#N/A</v>
      </c>
      <c r="M584" s="12"/>
      <c r="N584" s="5"/>
      <c r="O584" s="5"/>
      <c r="P584" s="5"/>
      <c r="Q584" s="14"/>
      <c r="R584" s="15">
        <f t="shared" si="9"/>
        <v>0</v>
      </c>
    </row>
    <row r="585" spans="2:18" x14ac:dyDescent="0.35">
      <c r="B585" s="9">
        <v>606</v>
      </c>
      <c r="C585" s="9"/>
      <c r="D585" s="9"/>
      <c r="E585" s="9"/>
      <c r="F585" s="9"/>
      <c r="G585" s="9"/>
      <c r="H585" s="9"/>
      <c r="I585" s="11" t="e">
        <f>VLOOKUP(H585,위치!B:C,2,0)</f>
        <v>#N/A</v>
      </c>
      <c r="J585" s="9"/>
      <c r="K585" s="9"/>
      <c r="L585" s="9" t="e">
        <f>VLOOKUP(H585,위치!B:D,3,0)</f>
        <v>#N/A</v>
      </c>
      <c r="M585" s="12"/>
      <c r="N585" s="5"/>
      <c r="O585" s="5"/>
      <c r="P585" s="5"/>
      <c r="Q585" s="14"/>
      <c r="R585" s="15">
        <f t="shared" si="9"/>
        <v>0</v>
      </c>
    </row>
    <row r="586" spans="2:18" x14ac:dyDescent="0.35">
      <c r="B586" s="9">
        <v>607</v>
      </c>
      <c r="C586" s="9"/>
      <c r="D586" s="9"/>
      <c r="E586" s="9"/>
      <c r="F586" s="9"/>
      <c r="G586" s="9"/>
      <c r="H586" s="9"/>
      <c r="I586" s="11" t="e">
        <f>VLOOKUP(H586,위치!B:C,2,0)</f>
        <v>#N/A</v>
      </c>
      <c r="J586" s="9"/>
      <c r="K586" s="9"/>
      <c r="L586" s="9" t="e">
        <f>VLOOKUP(H586,위치!B:D,3,0)</f>
        <v>#N/A</v>
      </c>
      <c r="M586" s="12"/>
      <c r="N586" s="5"/>
      <c r="O586" s="5"/>
      <c r="P586" s="5"/>
      <c r="Q586" s="14"/>
      <c r="R586" s="15">
        <f t="shared" si="9"/>
        <v>0</v>
      </c>
    </row>
    <row r="587" spans="2:18" x14ac:dyDescent="0.35">
      <c r="B587" s="9">
        <v>608</v>
      </c>
      <c r="C587" s="9"/>
      <c r="D587" s="9"/>
      <c r="E587" s="9"/>
      <c r="F587" s="9"/>
      <c r="G587" s="9"/>
      <c r="H587" s="9"/>
      <c r="I587" s="11" t="e">
        <f>VLOOKUP(H587,위치!B:C,2,0)</f>
        <v>#N/A</v>
      </c>
      <c r="J587" s="9"/>
      <c r="K587" s="9"/>
      <c r="L587" s="9" t="e">
        <f>VLOOKUP(H587,위치!B:D,3,0)</f>
        <v>#N/A</v>
      </c>
      <c r="M587" s="12"/>
      <c r="N587" s="5"/>
      <c r="O587" s="5"/>
      <c r="P587" s="5"/>
      <c r="Q587" s="14"/>
      <c r="R587" s="15">
        <f t="shared" si="9"/>
        <v>0</v>
      </c>
    </row>
    <row r="588" spans="2:18" x14ac:dyDescent="0.35">
      <c r="B588" s="9">
        <v>609</v>
      </c>
      <c r="C588" s="9"/>
      <c r="D588" s="9"/>
      <c r="E588" s="9"/>
      <c r="F588" s="9"/>
      <c r="G588" s="9"/>
      <c r="H588" s="9"/>
      <c r="I588" s="11" t="e">
        <f>VLOOKUP(H588,위치!B:C,2,0)</f>
        <v>#N/A</v>
      </c>
      <c r="J588" s="9"/>
      <c r="K588" s="9"/>
      <c r="L588" s="9" t="e">
        <f>VLOOKUP(H588,위치!B:D,3,0)</f>
        <v>#N/A</v>
      </c>
      <c r="M588" s="12"/>
      <c r="N588" s="5"/>
      <c r="O588" s="5"/>
      <c r="P588" s="5"/>
      <c r="Q588" s="14"/>
      <c r="R588" s="15">
        <f t="shared" si="9"/>
        <v>0</v>
      </c>
    </row>
    <row r="589" spans="2:18" x14ac:dyDescent="0.35">
      <c r="B589" s="9">
        <v>610</v>
      </c>
      <c r="C589" s="9"/>
      <c r="D589" s="9"/>
      <c r="E589" s="9"/>
      <c r="F589" s="9"/>
      <c r="G589" s="9"/>
      <c r="H589" s="9"/>
      <c r="I589" s="11" t="e">
        <f>VLOOKUP(H589,위치!B:C,2,0)</f>
        <v>#N/A</v>
      </c>
      <c r="J589" s="9"/>
      <c r="K589" s="9"/>
      <c r="L589" s="9" t="e">
        <f>VLOOKUP(H589,위치!B:D,3,0)</f>
        <v>#N/A</v>
      </c>
      <c r="M589" s="12"/>
      <c r="N589" s="5"/>
      <c r="O589" s="5"/>
      <c r="P589" s="5"/>
      <c r="Q589" s="14"/>
      <c r="R589" s="15">
        <f t="shared" si="9"/>
        <v>0</v>
      </c>
    </row>
    <row r="590" spans="2:18" x14ac:dyDescent="0.35">
      <c r="B590" s="9">
        <v>611</v>
      </c>
      <c r="C590" s="9"/>
      <c r="D590" s="9"/>
      <c r="E590" s="9"/>
      <c r="F590" s="9"/>
      <c r="G590" s="9"/>
      <c r="H590" s="9"/>
      <c r="I590" s="11" t="e">
        <f>VLOOKUP(H590,위치!B:C,2,0)</f>
        <v>#N/A</v>
      </c>
      <c r="J590" s="9"/>
      <c r="K590" s="9"/>
      <c r="L590" s="9" t="e">
        <f>VLOOKUP(H590,위치!B:D,3,0)</f>
        <v>#N/A</v>
      </c>
      <c r="M590" s="12"/>
      <c r="N590" s="5"/>
      <c r="O590" s="5"/>
      <c r="P590" s="5"/>
      <c r="Q590" s="14"/>
      <c r="R590" s="15">
        <f t="shared" si="9"/>
        <v>0</v>
      </c>
    </row>
    <row r="591" spans="2:18" x14ac:dyDescent="0.35">
      <c r="B591" s="9">
        <v>612</v>
      </c>
      <c r="C591" s="9"/>
      <c r="D591" s="9"/>
      <c r="E591" s="9"/>
      <c r="F591" s="9"/>
      <c r="G591" s="9"/>
      <c r="H591" s="9"/>
      <c r="I591" s="11" t="e">
        <f>VLOOKUP(H591,위치!B:C,2,0)</f>
        <v>#N/A</v>
      </c>
      <c r="J591" s="9"/>
      <c r="K591" s="9"/>
      <c r="L591" s="9" t="e">
        <f>VLOOKUP(H591,위치!B:D,3,0)</f>
        <v>#N/A</v>
      </c>
      <c r="M591" s="12"/>
      <c r="N591" s="5"/>
      <c r="O591" s="5"/>
      <c r="P591" s="5"/>
      <c r="Q591" s="14"/>
      <c r="R591" s="15">
        <f t="shared" si="9"/>
        <v>0</v>
      </c>
    </row>
    <row r="592" spans="2:18" x14ac:dyDescent="0.35">
      <c r="B592" s="9">
        <v>613</v>
      </c>
      <c r="C592" s="9"/>
      <c r="D592" s="9"/>
      <c r="E592" s="9"/>
      <c r="F592" s="9"/>
      <c r="G592" s="9"/>
      <c r="H592" s="9"/>
      <c r="I592" s="11" t="e">
        <f>VLOOKUP(H592,위치!B:C,2,0)</f>
        <v>#N/A</v>
      </c>
      <c r="J592" s="9"/>
      <c r="K592" s="9"/>
      <c r="L592" s="9" t="e">
        <f>VLOOKUP(H592,위치!B:D,3,0)</f>
        <v>#N/A</v>
      </c>
      <c r="M592" s="12"/>
      <c r="N592" s="5"/>
      <c r="O592" s="5"/>
      <c r="P592" s="5"/>
      <c r="Q592" s="14"/>
      <c r="R592" s="15">
        <f t="shared" si="9"/>
        <v>0</v>
      </c>
    </row>
    <row r="593" spans="2:18" x14ac:dyDescent="0.35">
      <c r="B593" s="9">
        <v>614</v>
      </c>
      <c r="C593" s="9"/>
      <c r="D593" s="9"/>
      <c r="E593" s="9"/>
      <c r="F593" s="9"/>
      <c r="G593" s="9"/>
      <c r="H593" s="9"/>
      <c r="I593" s="11" t="e">
        <f>VLOOKUP(H593,위치!B:C,2,0)</f>
        <v>#N/A</v>
      </c>
      <c r="J593" s="9"/>
      <c r="K593" s="9"/>
      <c r="L593" s="9" t="e">
        <f>VLOOKUP(H593,위치!B:D,3,0)</f>
        <v>#N/A</v>
      </c>
      <c r="M593" s="12"/>
      <c r="N593" s="5"/>
      <c r="O593" s="5"/>
      <c r="P593" s="5"/>
      <c r="Q593" s="14"/>
      <c r="R593" s="15">
        <f t="shared" si="9"/>
        <v>0</v>
      </c>
    </row>
    <row r="594" spans="2:18" x14ac:dyDescent="0.35">
      <c r="B594" s="9">
        <v>615</v>
      </c>
      <c r="C594" s="9"/>
      <c r="D594" s="9"/>
      <c r="E594" s="9"/>
      <c r="F594" s="9"/>
      <c r="G594" s="9"/>
      <c r="H594" s="9"/>
      <c r="I594" s="11" t="e">
        <f>VLOOKUP(H594,위치!B:C,2,0)</f>
        <v>#N/A</v>
      </c>
      <c r="J594" s="9"/>
      <c r="K594" s="9"/>
      <c r="L594" s="9" t="e">
        <f>VLOOKUP(H594,위치!B:D,3,0)</f>
        <v>#N/A</v>
      </c>
      <c r="M594" s="12"/>
      <c r="N594" s="5"/>
      <c r="O594" s="5"/>
      <c r="P594" s="5"/>
      <c r="Q594" s="14"/>
      <c r="R594" s="15">
        <f t="shared" si="9"/>
        <v>0</v>
      </c>
    </row>
    <row r="595" spans="2:18" x14ac:dyDescent="0.35">
      <c r="B595" s="9">
        <v>616</v>
      </c>
      <c r="C595" s="9"/>
      <c r="D595" s="9"/>
      <c r="E595" s="9"/>
      <c r="F595" s="9"/>
      <c r="G595" s="9"/>
      <c r="H595" s="9"/>
      <c r="I595" s="11" t="e">
        <f>VLOOKUP(H595,위치!B:C,2,0)</f>
        <v>#N/A</v>
      </c>
      <c r="J595" s="9"/>
      <c r="K595" s="9"/>
      <c r="L595" s="9" t="e">
        <f>VLOOKUP(H595,위치!B:D,3,0)</f>
        <v>#N/A</v>
      </c>
      <c r="M595" s="12"/>
      <c r="N595" s="5"/>
      <c r="O595" s="5"/>
      <c r="P595" s="5"/>
      <c r="Q595" s="14"/>
      <c r="R595" s="15">
        <f t="shared" si="9"/>
        <v>0</v>
      </c>
    </row>
    <row r="596" spans="2:18" x14ac:dyDescent="0.35">
      <c r="B596" s="9">
        <v>617</v>
      </c>
      <c r="C596" s="9"/>
      <c r="D596" s="9"/>
      <c r="E596" s="9"/>
      <c r="F596" s="9"/>
      <c r="G596" s="9"/>
      <c r="H596" s="9"/>
      <c r="I596" s="11" t="e">
        <f>VLOOKUP(H596,위치!B:C,2,0)</f>
        <v>#N/A</v>
      </c>
      <c r="J596" s="9"/>
      <c r="K596" s="9"/>
      <c r="L596" s="9" t="e">
        <f>VLOOKUP(H596,위치!B:D,3,0)</f>
        <v>#N/A</v>
      </c>
      <c r="M596" s="12"/>
      <c r="N596" s="5"/>
      <c r="O596" s="5"/>
      <c r="P596" s="5"/>
      <c r="Q596" s="14"/>
      <c r="R596" s="15">
        <f t="shared" si="9"/>
        <v>0</v>
      </c>
    </row>
    <row r="597" spans="2:18" x14ac:dyDescent="0.35">
      <c r="B597" s="9">
        <v>618</v>
      </c>
      <c r="C597" s="9"/>
      <c r="D597" s="9"/>
      <c r="E597" s="9"/>
      <c r="F597" s="9"/>
      <c r="G597" s="9"/>
      <c r="H597" s="9"/>
      <c r="I597" s="11" t="e">
        <f>VLOOKUP(H597,위치!B:C,2,0)</f>
        <v>#N/A</v>
      </c>
      <c r="J597" s="9"/>
      <c r="K597" s="9"/>
      <c r="L597" s="9" t="e">
        <f>VLOOKUP(H597,위치!B:D,3,0)</f>
        <v>#N/A</v>
      </c>
      <c r="M597" s="12"/>
      <c r="N597" s="5"/>
      <c r="O597" s="5"/>
      <c r="P597" s="5"/>
      <c r="Q597" s="14"/>
      <c r="R597" s="15">
        <f t="shared" si="9"/>
        <v>0</v>
      </c>
    </row>
    <row r="598" spans="2:18" x14ac:dyDescent="0.35">
      <c r="B598" s="9">
        <v>619</v>
      </c>
      <c r="C598" s="9"/>
      <c r="D598" s="9"/>
      <c r="E598" s="9"/>
      <c r="F598" s="9"/>
      <c r="G598" s="9"/>
      <c r="H598" s="9"/>
      <c r="I598" s="11" t="e">
        <f>VLOOKUP(H598,위치!B:C,2,0)</f>
        <v>#N/A</v>
      </c>
      <c r="J598" s="9"/>
      <c r="K598" s="9"/>
      <c r="L598" s="9" t="e">
        <f>VLOOKUP(H598,위치!B:D,3,0)</f>
        <v>#N/A</v>
      </c>
      <c r="M598" s="12"/>
      <c r="N598" s="5"/>
      <c r="O598" s="5"/>
      <c r="P598" s="5"/>
      <c r="Q598" s="14"/>
      <c r="R598" s="15">
        <f t="shared" si="9"/>
        <v>0</v>
      </c>
    </row>
    <row r="599" spans="2:18" x14ac:dyDescent="0.35">
      <c r="B599" s="9">
        <v>620</v>
      </c>
      <c r="C599" s="9"/>
      <c r="D599" s="9"/>
      <c r="E599" s="9"/>
      <c r="F599" s="9"/>
      <c r="G599" s="9"/>
      <c r="H599" s="9"/>
      <c r="I599" s="11" t="e">
        <f>VLOOKUP(H599,위치!B:C,2,0)</f>
        <v>#N/A</v>
      </c>
      <c r="J599" s="9"/>
      <c r="K599" s="9"/>
      <c r="L599" s="9" t="e">
        <f>VLOOKUP(H599,위치!B:D,3,0)</f>
        <v>#N/A</v>
      </c>
      <c r="M599" s="12"/>
      <c r="N599" s="5"/>
      <c r="O599" s="5"/>
      <c r="P599" s="5"/>
      <c r="Q599" s="14"/>
      <c r="R599" s="15">
        <f t="shared" si="9"/>
        <v>0</v>
      </c>
    </row>
    <row r="600" spans="2:18" x14ac:dyDescent="0.35">
      <c r="B600" s="9">
        <v>621</v>
      </c>
      <c r="C600" s="9"/>
      <c r="D600" s="9"/>
      <c r="E600" s="9"/>
      <c r="F600" s="9"/>
      <c r="G600" s="9"/>
      <c r="H600" s="9"/>
      <c r="I600" s="11" t="e">
        <f>VLOOKUP(H600,위치!B:C,2,0)</f>
        <v>#N/A</v>
      </c>
      <c r="J600" s="9"/>
      <c r="K600" s="9"/>
      <c r="L600" s="9" t="e">
        <f>VLOOKUP(H600,위치!B:D,3,0)</f>
        <v>#N/A</v>
      </c>
      <c r="M600" s="12"/>
      <c r="N600" s="5"/>
      <c r="O600" s="5"/>
      <c r="P600" s="5"/>
      <c r="Q600" s="14"/>
      <c r="R600" s="15">
        <f t="shared" si="9"/>
        <v>0</v>
      </c>
    </row>
    <row r="601" spans="2:18" x14ac:dyDescent="0.35">
      <c r="B601" s="9">
        <v>622</v>
      </c>
      <c r="C601" s="9"/>
      <c r="D601" s="9"/>
      <c r="E601" s="9"/>
      <c r="F601" s="9"/>
      <c r="G601" s="9"/>
      <c r="H601" s="9"/>
      <c r="I601" s="11" t="e">
        <f>VLOOKUP(H601,위치!B:C,2,0)</f>
        <v>#N/A</v>
      </c>
      <c r="J601" s="9"/>
      <c r="K601" s="9"/>
      <c r="L601" s="9" t="e">
        <f>VLOOKUP(H601,위치!B:D,3,0)</f>
        <v>#N/A</v>
      </c>
      <c r="M601" s="12"/>
      <c r="N601" s="5"/>
      <c r="O601" s="5"/>
      <c r="P601" s="5"/>
      <c r="Q601" s="14"/>
      <c r="R601" s="15">
        <f t="shared" si="9"/>
        <v>0</v>
      </c>
    </row>
    <row r="602" spans="2:18" x14ac:dyDescent="0.35">
      <c r="B602" s="9">
        <v>623</v>
      </c>
      <c r="C602" s="9"/>
      <c r="D602" s="9"/>
      <c r="E602" s="9"/>
      <c r="F602" s="9"/>
      <c r="G602" s="9"/>
      <c r="H602" s="9"/>
      <c r="I602" s="11" t="e">
        <f>VLOOKUP(H602,위치!B:C,2,0)</f>
        <v>#N/A</v>
      </c>
      <c r="J602" s="9"/>
      <c r="K602" s="9"/>
      <c r="L602" s="9" t="e">
        <f>VLOOKUP(H602,위치!B:D,3,0)</f>
        <v>#N/A</v>
      </c>
      <c r="M602" s="12"/>
      <c r="N602" s="5"/>
      <c r="O602" s="5"/>
      <c r="P602" s="5"/>
      <c r="Q602" s="14"/>
      <c r="R602" s="15">
        <f t="shared" si="9"/>
        <v>0</v>
      </c>
    </row>
    <row r="603" spans="2:18" x14ac:dyDescent="0.35">
      <c r="B603" s="9">
        <v>624</v>
      </c>
      <c r="C603" s="9"/>
      <c r="D603" s="9"/>
      <c r="E603" s="9"/>
      <c r="F603" s="9"/>
      <c r="G603" s="9"/>
      <c r="H603" s="9"/>
      <c r="I603" s="11" t="e">
        <f>VLOOKUP(H603,위치!B:C,2,0)</f>
        <v>#N/A</v>
      </c>
      <c r="J603" s="9"/>
      <c r="K603" s="9"/>
      <c r="L603" s="9" t="e">
        <f>VLOOKUP(H603,위치!B:D,3,0)</f>
        <v>#N/A</v>
      </c>
      <c r="M603" s="12"/>
      <c r="N603" s="5"/>
      <c r="O603" s="5"/>
      <c r="P603" s="5"/>
      <c r="Q603" s="14"/>
      <c r="R603" s="15">
        <f t="shared" si="9"/>
        <v>0</v>
      </c>
    </row>
    <row r="604" spans="2:18" x14ac:dyDescent="0.35">
      <c r="B604" s="9">
        <v>625</v>
      </c>
      <c r="C604" s="9"/>
      <c r="D604" s="9"/>
      <c r="E604" s="9"/>
      <c r="F604" s="9"/>
      <c r="G604" s="9"/>
      <c r="H604" s="9"/>
      <c r="I604" s="11" t="e">
        <f>VLOOKUP(H604,위치!B:C,2,0)</f>
        <v>#N/A</v>
      </c>
      <c r="J604" s="9"/>
      <c r="K604" s="9"/>
      <c r="L604" s="9" t="e">
        <f>VLOOKUP(H604,위치!B:D,3,0)</f>
        <v>#N/A</v>
      </c>
      <c r="M604" s="12"/>
      <c r="N604" s="5"/>
      <c r="O604" s="5"/>
      <c r="P604" s="5"/>
      <c r="Q604" s="14"/>
      <c r="R604" s="15">
        <f t="shared" si="9"/>
        <v>0</v>
      </c>
    </row>
    <row r="605" spans="2:18" x14ac:dyDescent="0.35">
      <c r="B605" s="9">
        <v>626</v>
      </c>
      <c r="C605" s="9"/>
      <c r="D605" s="9"/>
      <c r="E605" s="9"/>
      <c r="F605" s="9"/>
      <c r="G605" s="9"/>
      <c r="H605" s="9"/>
      <c r="I605" s="11" t="e">
        <f>VLOOKUP(H605,위치!B:C,2,0)</f>
        <v>#N/A</v>
      </c>
      <c r="J605" s="9"/>
      <c r="K605" s="9"/>
      <c r="L605" s="9" t="e">
        <f>VLOOKUP(H605,위치!B:D,3,0)</f>
        <v>#N/A</v>
      </c>
      <c r="M605" s="12"/>
      <c r="N605" s="5"/>
      <c r="O605" s="5"/>
      <c r="P605" s="5"/>
      <c r="Q605" s="14"/>
      <c r="R605" s="15">
        <f t="shared" si="9"/>
        <v>0</v>
      </c>
    </row>
    <row r="606" spans="2:18" x14ac:dyDescent="0.35">
      <c r="B606" s="9">
        <v>627</v>
      </c>
      <c r="C606" s="9"/>
      <c r="D606" s="9"/>
      <c r="E606" s="9"/>
      <c r="F606" s="9"/>
      <c r="G606" s="9"/>
      <c r="H606" s="9"/>
      <c r="I606" s="11" t="e">
        <f>VLOOKUP(H606,위치!B:C,2,0)</f>
        <v>#N/A</v>
      </c>
      <c r="J606" s="9"/>
      <c r="K606" s="9"/>
      <c r="L606" s="9" t="e">
        <f>VLOOKUP(H606,위치!B:D,3,0)</f>
        <v>#N/A</v>
      </c>
      <c r="M606" s="12"/>
      <c r="N606" s="5"/>
      <c r="O606" s="5"/>
      <c r="P606" s="5"/>
      <c r="Q606" s="14"/>
      <c r="R606" s="15">
        <f t="shared" si="9"/>
        <v>0</v>
      </c>
    </row>
    <row r="607" spans="2:18" x14ac:dyDescent="0.35">
      <c r="B607" s="9">
        <v>628</v>
      </c>
      <c r="C607" s="9"/>
      <c r="D607" s="9"/>
      <c r="E607" s="9"/>
      <c r="F607" s="9"/>
      <c r="G607" s="9"/>
      <c r="H607" s="9"/>
      <c r="I607" s="11" t="e">
        <f>VLOOKUP(H607,위치!B:C,2,0)</f>
        <v>#N/A</v>
      </c>
      <c r="J607" s="9"/>
      <c r="K607" s="9"/>
      <c r="L607" s="9" t="e">
        <f>VLOOKUP(H607,위치!B:D,3,0)</f>
        <v>#N/A</v>
      </c>
      <c r="M607" s="12"/>
      <c r="N607" s="5"/>
      <c r="O607" s="5"/>
      <c r="P607" s="5"/>
      <c r="Q607" s="14"/>
      <c r="R607" s="15">
        <f t="shared" si="9"/>
        <v>0</v>
      </c>
    </row>
    <row r="608" spans="2:18" x14ac:dyDescent="0.35">
      <c r="B608" s="9">
        <v>629</v>
      </c>
      <c r="C608" s="9"/>
      <c r="D608" s="9"/>
      <c r="E608" s="9"/>
      <c r="F608" s="9"/>
      <c r="G608" s="9"/>
      <c r="H608" s="9"/>
      <c r="I608" s="11" t="e">
        <f>VLOOKUP(H608,위치!B:C,2,0)</f>
        <v>#N/A</v>
      </c>
      <c r="J608" s="9"/>
      <c r="K608" s="9"/>
      <c r="L608" s="9" t="e">
        <f>VLOOKUP(H608,위치!B:D,3,0)</f>
        <v>#N/A</v>
      </c>
      <c r="M608" s="12"/>
      <c r="N608" s="5"/>
      <c r="O608" s="5"/>
      <c r="P608" s="5"/>
      <c r="Q608" s="14"/>
      <c r="R608" s="15">
        <f t="shared" si="9"/>
        <v>0</v>
      </c>
    </row>
    <row r="609" spans="2:18" x14ac:dyDescent="0.35">
      <c r="B609" s="9">
        <v>630</v>
      </c>
      <c r="C609" s="9"/>
      <c r="D609" s="9"/>
      <c r="E609" s="9"/>
      <c r="F609" s="9"/>
      <c r="G609" s="9"/>
      <c r="H609" s="9"/>
      <c r="I609" s="11" t="e">
        <f>VLOOKUP(H609,위치!B:C,2,0)</f>
        <v>#N/A</v>
      </c>
      <c r="J609" s="9"/>
      <c r="K609" s="9"/>
      <c r="L609" s="9" t="e">
        <f>VLOOKUP(H609,위치!B:D,3,0)</f>
        <v>#N/A</v>
      </c>
      <c r="M609" s="12"/>
      <c r="N609" s="5"/>
      <c r="O609" s="5"/>
      <c r="P609" s="5"/>
      <c r="Q609" s="14"/>
      <c r="R609" s="15">
        <f t="shared" si="9"/>
        <v>0</v>
      </c>
    </row>
    <row r="610" spans="2:18" x14ac:dyDescent="0.35">
      <c r="B610" s="9">
        <v>631</v>
      </c>
      <c r="C610" s="9"/>
      <c r="D610" s="9"/>
      <c r="E610" s="9"/>
      <c r="F610" s="9"/>
      <c r="G610" s="9"/>
      <c r="H610" s="9"/>
      <c r="I610" s="11" t="e">
        <f>VLOOKUP(H610,위치!B:C,2,0)</f>
        <v>#N/A</v>
      </c>
      <c r="J610" s="9"/>
      <c r="K610" s="9"/>
      <c r="L610" s="9" t="e">
        <f>VLOOKUP(H610,위치!B:D,3,0)</f>
        <v>#N/A</v>
      </c>
      <c r="M610" s="12"/>
      <c r="N610" s="5"/>
      <c r="O610" s="5"/>
      <c r="P610" s="5"/>
      <c r="Q610" s="14"/>
      <c r="R610" s="15">
        <f t="shared" si="9"/>
        <v>0</v>
      </c>
    </row>
    <row r="611" spans="2:18" x14ac:dyDescent="0.35">
      <c r="B611" s="9">
        <v>632</v>
      </c>
      <c r="C611" s="9"/>
      <c r="D611" s="9"/>
      <c r="E611" s="9"/>
      <c r="F611" s="9"/>
      <c r="G611" s="9"/>
      <c r="H611" s="9"/>
      <c r="I611" s="11" t="e">
        <f>VLOOKUP(H611,위치!B:C,2,0)</f>
        <v>#N/A</v>
      </c>
      <c r="J611" s="9"/>
      <c r="K611" s="9"/>
      <c r="L611" s="9" t="e">
        <f>VLOOKUP(H611,위치!B:D,3,0)</f>
        <v>#N/A</v>
      </c>
      <c r="M611" s="12"/>
      <c r="N611" s="5"/>
      <c r="O611" s="5"/>
      <c r="P611" s="5"/>
      <c r="Q611" s="14"/>
      <c r="R611" s="15">
        <f t="shared" si="9"/>
        <v>0</v>
      </c>
    </row>
    <row r="612" spans="2:18" x14ac:dyDescent="0.35">
      <c r="B612" s="9">
        <v>633</v>
      </c>
      <c r="C612" s="9"/>
      <c r="D612" s="9"/>
      <c r="E612" s="9"/>
      <c r="F612" s="9"/>
      <c r="G612" s="9"/>
      <c r="H612" s="9"/>
      <c r="I612" s="11" t="e">
        <f>VLOOKUP(H612,위치!B:C,2,0)</f>
        <v>#N/A</v>
      </c>
      <c r="J612" s="9"/>
      <c r="K612" s="9"/>
      <c r="L612" s="9" t="e">
        <f>VLOOKUP(H612,위치!B:D,3,0)</f>
        <v>#N/A</v>
      </c>
      <c r="M612" s="12"/>
      <c r="N612" s="5"/>
      <c r="O612" s="5"/>
      <c r="P612" s="5"/>
      <c r="Q612" s="14"/>
      <c r="R612" s="15">
        <f t="shared" si="9"/>
        <v>0</v>
      </c>
    </row>
    <row r="613" spans="2:18" x14ac:dyDescent="0.35">
      <c r="B613" s="9">
        <v>634</v>
      </c>
      <c r="C613" s="9"/>
      <c r="D613" s="9"/>
      <c r="E613" s="9"/>
      <c r="F613" s="9"/>
      <c r="G613" s="9"/>
      <c r="H613" s="9"/>
      <c r="I613" s="11" t="e">
        <f>VLOOKUP(H613,위치!B:C,2,0)</f>
        <v>#N/A</v>
      </c>
      <c r="J613" s="9"/>
      <c r="K613" s="9"/>
      <c r="L613" s="9" t="e">
        <f>VLOOKUP(H613,위치!B:D,3,0)</f>
        <v>#N/A</v>
      </c>
      <c r="M613" s="12"/>
      <c r="N613" s="5"/>
      <c r="O613" s="5"/>
      <c r="P613" s="5"/>
      <c r="Q613" s="14"/>
      <c r="R613" s="15">
        <f t="shared" si="9"/>
        <v>0</v>
      </c>
    </row>
    <row r="614" spans="2:18" x14ac:dyDescent="0.35">
      <c r="B614" s="9">
        <v>635</v>
      </c>
      <c r="C614" s="9"/>
      <c r="D614" s="9"/>
      <c r="E614" s="9"/>
      <c r="F614" s="9"/>
      <c r="G614" s="9"/>
      <c r="H614" s="9"/>
      <c r="I614" s="11" t="e">
        <f>VLOOKUP(H614,위치!B:C,2,0)</f>
        <v>#N/A</v>
      </c>
      <c r="J614" s="9"/>
      <c r="K614" s="9"/>
      <c r="L614" s="9" t="e">
        <f>VLOOKUP(H614,위치!B:D,3,0)</f>
        <v>#N/A</v>
      </c>
      <c r="M614" s="12"/>
      <c r="N614" s="5"/>
      <c r="O614" s="5"/>
      <c r="P614" s="5"/>
      <c r="Q614" s="14"/>
      <c r="R614" s="15">
        <f t="shared" si="9"/>
        <v>0</v>
      </c>
    </row>
    <row r="615" spans="2:18" x14ac:dyDescent="0.35">
      <c r="B615" s="9">
        <v>636</v>
      </c>
      <c r="C615" s="9"/>
      <c r="D615" s="9"/>
      <c r="E615" s="9"/>
      <c r="F615" s="9"/>
      <c r="G615" s="9"/>
      <c r="H615" s="9"/>
      <c r="I615" s="11" t="e">
        <f>VLOOKUP(H615,위치!B:C,2,0)</f>
        <v>#N/A</v>
      </c>
      <c r="J615" s="9"/>
      <c r="K615" s="9"/>
      <c r="L615" s="9" t="e">
        <f>VLOOKUP(H615,위치!B:D,3,0)</f>
        <v>#N/A</v>
      </c>
      <c r="M615" s="12"/>
      <c r="N615" s="5"/>
      <c r="O615" s="5"/>
      <c r="P615" s="5"/>
      <c r="Q615" s="14"/>
      <c r="R615" s="15">
        <f t="shared" si="9"/>
        <v>0</v>
      </c>
    </row>
    <row r="616" spans="2:18" x14ac:dyDescent="0.35">
      <c r="B616" s="9">
        <v>637</v>
      </c>
      <c r="C616" s="9"/>
      <c r="D616" s="9"/>
      <c r="E616" s="9"/>
      <c r="F616" s="9"/>
      <c r="G616" s="9"/>
      <c r="H616" s="9"/>
      <c r="I616" s="11" t="e">
        <f>VLOOKUP(H616,위치!B:C,2,0)</f>
        <v>#N/A</v>
      </c>
      <c r="J616" s="9"/>
      <c r="K616" s="9"/>
      <c r="L616" s="9" t="e">
        <f>VLOOKUP(H616,위치!B:D,3,0)</f>
        <v>#N/A</v>
      </c>
      <c r="M616" s="12"/>
      <c r="N616" s="5"/>
      <c r="O616" s="5"/>
      <c r="P616" s="5"/>
      <c r="Q616" s="14"/>
      <c r="R616" s="15">
        <f t="shared" si="9"/>
        <v>0</v>
      </c>
    </row>
    <row r="617" spans="2:18" x14ac:dyDescent="0.35">
      <c r="B617" s="9">
        <v>638</v>
      </c>
      <c r="C617" s="9"/>
      <c r="D617" s="9"/>
      <c r="E617" s="9"/>
      <c r="F617" s="9"/>
      <c r="G617" s="9"/>
      <c r="H617" s="9"/>
      <c r="I617" s="11" t="e">
        <f>VLOOKUP(H617,위치!B:C,2,0)</f>
        <v>#N/A</v>
      </c>
      <c r="J617" s="9"/>
      <c r="K617" s="9"/>
      <c r="L617" s="9" t="e">
        <f>VLOOKUP(H617,위치!B:D,3,0)</f>
        <v>#N/A</v>
      </c>
      <c r="M617" s="12"/>
      <c r="N617" s="5"/>
      <c r="O617" s="5"/>
      <c r="P617" s="5"/>
      <c r="Q617" s="14"/>
      <c r="R617" s="15">
        <f t="shared" si="9"/>
        <v>0</v>
      </c>
    </row>
    <row r="618" spans="2:18" x14ac:dyDescent="0.35">
      <c r="B618" s="9">
        <v>639</v>
      </c>
      <c r="C618" s="9"/>
      <c r="D618" s="9"/>
      <c r="E618" s="9"/>
      <c r="F618" s="9"/>
      <c r="G618" s="9"/>
      <c r="H618" s="9"/>
      <c r="I618" s="11" t="e">
        <f>VLOOKUP(H618,위치!B:C,2,0)</f>
        <v>#N/A</v>
      </c>
      <c r="J618" s="9"/>
      <c r="K618" s="9"/>
      <c r="L618" s="9" t="e">
        <f>VLOOKUP(H618,위치!B:D,3,0)</f>
        <v>#N/A</v>
      </c>
      <c r="M618" s="12"/>
      <c r="N618" s="5"/>
      <c r="O618" s="5"/>
      <c r="P618" s="5"/>
      <c r="Q618" s="14"/>
      <c r="R618" s="15">
        <f t="shared" si="9"/>
        <v>0</v>
      </c>
    </row>
    <row r="619" spans="2:18" x14ac:dyDescent="0.35">
      <c r="B619" s="9">
        <v>640</v>
      </c>
      <c r="C619" s="9"/>
      <c r="D619" s="9"/>
      <c r="E619" s="9"/>
      <c r="F619" s="9"/>
      <c r="G619" s="9"/>
      <c r="H619" s="9"/>
      <c r="I619" s="11" t="e">
        <f>VLOOKUP(H619,위치!B:C,2,0)</f>
        <v>#N/A</v>
      </c>
      <c r="J619" s="9"/>
      <c r="K619" s="9"/>
      <c r="L619" s="9" t="e">
        <f>VLOOKUP(H619,위치!B:D,3,0)</f>
        <v>#N/A</v>
      </c>
      <c r="M619" s="12"/>
      <c r="N619" s="5"/>
      <c r="O619" s="5"/>
      <c r="P619" s="5"/>
      <c r="Q619" s="14"/>
      <c r="R619" s="15">
        <f t="shared" si="9"/>
        <v>0</v>
      </c>
    </row>
    <row r="620" spans="2:18" x14ac:dyDescent="0.35">
      <c r="B620" s="9">
        <v>641</v>
      </c>
      <c r="C620" s="9"/>
      <c r="D620" s="9"/>
      <c r="E620" s="9"/>
      <c r="F620" s="9"/>
      <c r="G620" s="9"/>
      <c r="H620" s="9"/>
      <c r="I620" s="11" t="e">
        <f>VLOOKUP(H620,위치!B:C,2,0)</f>
        <v>#N/A</v>
      </c>
      <c r="J620" s="9"/>
      <c r="K620" s="9"/>
      <c r="L620" s="9" t="e">
        <f>VLOOKUP(H620,위치!B:D,3,0)</f>
        <v>#N/A</v>
      </c>
      <c r="M620" s="12"/>
      <c r="N620" s="5"/>
      <c r="O620" s="5"/>
      <c r="P620" s="5"/>
      <c r="Q620" s="14"/>
      <c r="R620" s="15">
        <f t="shared" si="9"/>
        <v>0</v>
      </c>
    </row>
    <row r="621" spans="2:18" x14ac:dyDescent="0.35">
      <c r="B621" s="9">
        <v>642</v>
      </c>
      <c r="C621" s="9"/>
      <c r="D621" s="9"/>
      <c r="E621" s="9"/>
      <c r="F621" s="9"/>
      <c r="G621" s="9"/>
      <c r="H621" s="9"/>
      <c r="I621" s="11" t="e">
        <f>VLOOKUP(H621,위치!B:C,2,0)</f>
        <v>#N/A</v>
      </c>
      <c r="J621" s="9"/>
      <c r="K621" s="9"/>
      <c r="L621" s="9" t="e">
        <f>VLOOKUP(H621,위치!B:D,3,0)</f>
        <v>#N/A</v>
      </c>
      <c r="M621" s="12"/>
      <c r="N621" s="5"/>
      <c r="O621" s="5"/>
      <c r="P621" s="5"/>
      <c r="Q621" s="14"/>
      <c r="R621" s="15">
        <f t="shared" si="9"/>
        <v>0</v>
      </c>
    </row>
    <row r="622" spans="2:18" x14ac:dyDescent="0.35">
      <c r="B622" s="9">
        <v>643</v>
      </c>
      <c r="C622" s="9"/>
      <c r="D622" s="9"/>
      <c r="E622" s="9"/>
      <c r="F622" s="9"/>
      <c r="G622" s="9"/>
      <c r="H622" s="9"/>
      <c r="I622" s="11" t="e">
        <f>VLOOKUP(H622,위치!B:C,2,0)</f>
        <v>#N/A</v>
      </c>
      <c r="J622" s="9"/>
      <c r="K622" s="9"/>
      <c r="L622" s="9" t="e">
        <f>VLOOKUP(H622,위치!B:D,3,0)</f>
        <v>#N/A</v>
      </c>
      <c r="M622" s="12"/>
      <c r="N622" s="5"/>
      <c r="O622" s="5"/>
      <c r="P622" s="5"/>
      <c r="Q622" s="14"/>
      <c r="R622" s="15">
        <f t="shared" si="9"/>
        <v>0</v>
      </c>
    </row>
    <row r="623" spans="2:18" x14ac:dyDescent="0.35">
      <c r="B623" s="9">
        <v>644</v>
      </c>
      <c r="C623" s="9"/>
      <c r="D623" s="9"/>
      <c r="E623" s="9"/>
      <c r="F623" s="9"/>
      <c r="G623" s="9"/>
      <c r="H623" s="9"/>
      <c r="I623" s="11" t="e">
        <f>VLOOKUP(H623,위치!B:C,2,0)</f>
        <v>#N/A</v>
      </c>
      <c r="J623" s="9"/>
      <c r="K623" s="9"/>
      <c r="L623" s="9" t="e">
        <f>VLOOKUP(H623,위치!B:D,3,0)</f>
        <v>#N/A</v>
      </c>
      <c r="M623" s="12"/>
      <c r="N623" s="5"/>
      <c r="O623" s="5"/>
      <c r="P623" s="5"/>
      <c r="Q623" s="14"/>
      <c r="R623" s="15">
        <f t="shared" si="9"/>
        <v>0</v>
      </c>
    </row>
    <row r="624" spans="2:18" x14ac:dyDescent="0.35">
      <c r="B624" s="9">
        <v>645</v>
      </c>
      <c r="C624" s="9"/>
      <c r="D624" s="9"/>
      <c r="E624" s="9"/>
      <c r="F624" s="9"/>
      <c r="G624" s="9"/>
      <c r="H624" s="9"/>
      <c r="I624" s="11" t="e">
        <f>VLOOKUP(H624,위치!B:C,2,0)</f>
        <v>#N/A</v>
      </c>
      <c r="J624" s="9"/>
      <c r="K624" s="9"/>
      <c r="L624" s="9" t="e">
        <f>VLOOKUP(H624,위치!B:D,3,0)</f>
        <v>#N/A</v>
      </c>
      <c r="M624" s="12"/>
      <c r="N624" s="5"/>
      <c r="O624" s="5"/>
      <c r="P624" s="5"/>
      <c r="Q624" s="14"/>
      <c r="R624" s="15">
        <f t="shared" si="9"/>
        <v>0</v>
      </c>
    </row>
    <row r="625" spans="2:18" x14ac:dyDescent="0.35">
      <c r="B625" s="9">
        <v>646</v>
      </c>
      <c r="C625" s="9"/>
      <c r="D625" s="9"/>
      <c r="E625" s="9"/>
      <c r="F625" s="9"/>
      <c r="G625" s="9"/>
      <c r="H625" s="9"/>
      <c r="I625" s="11" t="e">
        <f>VLOOKUP(H625,위치!B:C,2,0)</f>
        <v>#N/A</v>
      </c>
      <c r="J625" s="9"/>
      <c r="K625" s="9"/>
      <c r="L625" s="9" t="e">
        <f>VLOOKUP(H625,위치!B:D,3,0)</f>
        <v>#N/A</v>
      </c>
      <c r="M625" s="12"/>
      <c r="N625" s="5"/>
      <c r="O625" s="5"/>
      <c r="P625" s="5"/>
      <c r="Q625" s="14"/>
      <c r="R625" s="15">
        <f t="shared" si="9"/>
        <v>0</v>
      </c>
    </row>
    <row r="626" spans="2:18" x14ac:dyDescent="0.35">
      <c r="B626" s="9">
        <v>647</v>
      </c>
      <c r="C626" s="9"/>
      <c r="D626" s="9"/>
      <c r="E626" s="9"/>
      <c r="F626" s="9"/>
      <c r="G626" s="9"/>
      <c r="H626" s="9"/>
      <c r="I626" s="11" t="e">
        <f>VLOOKUP(H626,위치!B:C,2,0)</f>
        <v>#N/A</v>
      </c>
      <c r="J626" s="9"/>
      <c r="K626" s="9"/>
      <c r="L626" s="9" t="e">
        <f>VLOOKUP(H626,위치!B:D,3,0)</f>
        <v>#N/A</v>
      </c>
      <c r="M626" s="12"/>
      <c r="N626" s="5"/>
      <c r="O626" s="5"/>
      <c r="P626" s="5"/>
      <c r="Q626" s="14"/>
      <c r="R626" s="15">
        <f t="shared" si="9"/>
        <v>0</v>
      </c>
    </row>
    <row r="627" spans="2:18" x14ac:dyDescent="0.35">
      <c r="B627" s="9">
        <v>648</v>
      </c>
      <c r="C627" s="9"/>
      <c r="D627" s="9"/>
      <c r="E627" s="9"/>
      <c r="F627" s="9"/>
      <c r="G627" s="9"/>
      <c r="H627" s="9"/>
      <c r="I627" s="11" t="e">
        <f>VLOOKUP(H627,위치!B:C,2,0)</f>
        <v>#N/A</v>
      </c>
      <c r="J627" s="9"/>
      <c r="K627" s="9"/>
      <c r="L627" s="9" t="e">
        <f>VLOOKUP(H627,위치!B:D,3,0)</f>
        <v>#N/A</v>
      </c>
      <c r="M627" s="12"/>
      <c r="N627" s="5"/>
      <c r="O627" s="5"/>
      <c r="P627" s="5"/>
      <c r="Q627" s="14"/>
      <c r="R627" s="15">
        <f t="shared" si="9"/>
        <v>0</v>
      </c>
    </row>
    <row r="628" spans="2:18" x14ac:dyDescent="0.35">
      <c r="B628" s="9">
        <v>649</v>
      </c>
      <c r="C628" s="9"/>
      <c r="D628" s="9"/>
      <c r="E628" s="9"/>
      <c r="F628" s="9"/>
      <c r="G628" s="9"/>
      <c r="H628" s="9"/>
      <c r="I628" s="11" t="e">
        <f>VLOOKUP(H628,위치!B:C,2,0)</f>
        <v>#N/A</v>
      </c>
      <c r="J628" s="9"/>
      <c r="K628" s="9"/>
      <c r="L628" s="9" t="e">
        <f>VLOOKUP(H628,위치!B:D,3,0)</f>
        <v>#N/A</v>
      </c>
      <c r="M628" s="12"/>
      <c r="N628" s="5"/>
      <c r="O628" s="5"/>
      <c r="P628" s="5"/>
      <c r="Q628" s="14"/>
      <c r="R628" s="15">
        <f t="shared" si="9"/>
        <v>0</v>
      </c>
    </row>
    <row r="629" spans="2:18" x14ac:dyDescent="0.35">
      <c r="B629" s="9">
        <v>650</v>
      </c>
      <c r="C629" s="9"/>
      <c r="D629" s="9"/>
      <c r="E629" s="9"/>
      <c r="F629" s="9"/>
      <c r="G629" s="9"/>
      <c r="H629" s="9"/>
      <c r="I629" s="11" t="e">
        <f>VLOOKUP(H629,위치!B:C,2,0)</f>
        <v>#N/A</v>
      </c>
      <c r="J629" s="9"/>
      <c r="K629" s="9"/>
      <c r="L629" s="9" t="e">
        <f>VLOOKUP(H629,위치!B:D,3,0)</f>
        <v>#N/A</v>
      </c>
      <c r="M629" s="12"/>
      <c r="N629" s="5"/>
      <c r="O629" s="5"/>
      <c r="P629" s="5"/>
      <c r="Q629" s="14"/>
      <c r="R629" s="15">
        <f t="shared" si="9"/>
        <v>0</v>
      </c>
    </row>
    <row r="630" spans="2:18" x14ac:dyDescent="0.35">
      <c r="B630" s="9">
        <v>651</v>
      </c>
      <c r="C630" s="9"/>
      <c r="D630" s="9"/>
      <c r="E630" s="9"/>
      <c r="F630" s="9"/>
      <c r="G630" s="9"/>
      <c r="H630" s="9"/>
      <c r="I630" s="11" t="e">
        <f>VLOOKUP(H630,위치!B:C,2,0)</f>
        <v>#N/A</v>
      </c>
      <c r="J630" s="9"/>
      <c r="K630" s="9"/>
      <c r="L630" s="9" t="e">
        <f>VLOOKUP(H630,위치!B:D,3,0)</f>
        <v>#N/A</v>
      </c>
      <c r="M630" s="12"/>
      <c r="N630" s="5"/>
      <c r="O630" s="5"/>
      <c r="P630" s="5"/>
      <c r="Q630" s="14"/>
      <c r="R630" s="15">
        <f t="shared" si="9"/>
        <v>0</v>
      </c>
    </row>
    <row r="631" spans="2:18" x14ac:dyDescent="0.35">
      <c r="B631" s="9">
        <v>652</v>
      </c>
      <c r="C631" s="9"/>
      <c r="D631" s="9"/>
      <c r="E631" s="9"/>
      <c r="F631" s="9"/>
      <c r="G631" s="9"/>
      <c r="H631" s="9"/>
      <c r="I631" s="11" t="e">
        <f>VLOOKUP(H631,위치!B:C,2,0)</f>
        <v>#N/A</v>
      </c>
      <c r="J631" s="9"/>
      <c r="K631" s="9"/>
      <c r="L631" s="9" t="e">
        <f>VLOOKUP(H631,위치!B:D,3,0)</f>
        <v>#N/A</v>
      </c>
      <c r="M631" s="12"/>
      <c r="N631" s="5"/>
      <c r="O631" s="5"/>
      <c r="P631" s="5"/>
      <c r="Q631" s="14"/>
      <c r="R631" s="15">
        <f t="shared" si="9"/>
        <v>0</v>
      </c>
    </row>
    <row r="632" spans="2:18" x14ac:dyDescent="0.35">
      <c r="B632" s="9">
        <v>653</v>
      </c>
      <c r="C632" s="9"/>
      <c r="D632" s="9"/>
      <c r="E632" s="9"/>
      <c r="F632" s="9"/>
      <c r="G632" s="9"/>
      <c r="H632" s="9"/>
      <c r="I632" s="11" t="e">
        <f>VLOOKUP(H632,위치!B:C,2,0)</f>
        <v>#N/A</v>
      </c>
      <c r="J632" s="9"/>
      <c r="K632" s="9"/>
      <c r="L632" s="9" t="e">
        <f>VLOOKUP(H632,위치!B:D,3,0)</f>
        <v>#N/A</v>
      </c>
      <c r="M632" s="12"/>
      <c r="N632" s="5"/>
      <c r="O632" s="5"/>
      <c r="P632" s="5"/>
      <c r="Q632" s="14"/>
      <c r="R632" s="15">
        <f t="shared" si="9"/>
        <v>0</v>
      </c>
    </row>
    <row r="633" spans="2:18" x14ac:dyDescent="0.35">
      <c r="B633" s="9">
        <v>654</v>
      </c>
      <c r="C633" s="9"/>
      <c r="D633" s="9"/>
      <c r="E633" s="9"/>
      <c r="F633" s="9"/>
      <c r="G633" s="9"/>
      <c r="H633" s="9"/>
      <c r="I633" s="11" t="e">
        <f>VLOOKUP(H633,위치!B:C,2,0)</f>
        <v>#N/A</v>
      </c>
      <c r="J633" s="9"/>
      <c r="K633" s="9"/>
      <c r="L633" s="9" t="e">
        <f>VLOOKUP(H633,위치!B:D,3,0)</f>
        <v>#N/A</v>
      </c>
      <c r="M633" s="12"/>
      <c r="N633" s="5"/>
      <c r="O633" s="5"/>
      <c r="P633" s="5"/>
      <c r="Q633" s="14"/>
      <c r="R633" s="15">
        <f t="shared" si="9"/>
        <v>0</v>
      </c>
    </row>
    <row r="634" spans="2:18" x14ac:dyDescent="0.35">
      <c r="B634" s="9">
        <v>655</v>
      </c>
      <c r="C634" s="9"/>
      <c r="D634" s="9"/>
      <c r="E634" s="9"/>
      <c r="F634" s="9"/>
      <c r="G634" s="9"/>
      <c r="H634" s="9"/>
      <c r="I634" s="11" t="e">
        <f>VLOOKUP(H634,위치!B:C,2,0)</f>
        <v>#N/A</v>
      </c>
      <c r="J634" s="9"/>
      <c r="K634" s="9"/>
      <c r="L634" s="9" t="e">
        <f>VLOOKUP(H634,위치!B:D,3,0)</f>
        <v>#N/A</v>
      </c>
      <c r="M634" s="12"/>
      <c r="N634" s="5"/>
      <c r="O634" s="5"/>
      <c r="P634" s="5"/>
      <c r="Q634" s="14"/>
      <c r="R634" s="15">
        <f t="shared" si="9"/>
        <v>0</v>
      </c>
    </row>
    <row r="635" spans="2:18" x14ac:dyDescent="0.35">
      <c r="B635" s="9">
        <v>656</v>
      </c>
      <c r="C635" s="9"/>
      <c r="D635" s="9"/>
      <c r="E635" s="9"/>
      <c r="F635" s="9"/>
      <c r="G635" s="9"/>
      <c r="H635" s="9"/>
      <c r="I635" s="11" t="e">
        <f>VLOOKUP(H635,위치!B:C,2,0)</f>
        <v>#N/A</v>
      </c>
      <c r="J635" s="9"/>
      <c r="K635" s="9"/>
      <c r="L635" s="9" t="e">
        <f>VLOOKUP(H635,위치!B:D,3,0)</f>
        <v>#N/A</v>
      </c>
      <c r="M635" s="12"/>
      <c r="N635" s="5"/>
      <c r="O635" s="5"/>
      <c r="P635" s="5"/>
      <c r="Q635" s="14"/>
      <c r="R635" s="15">
        <f t="shared" si="9"/>
        <v>0</v>
      </c>
    </row>
    <row r="636" spans="2:18" x14ac:dyDescent="0.35">
      <c r="B636" s="9">
        <v>657</v>
      </c>
      <c r="C636" s="9"/>
      <c r="D636" s="9"/>
      <c r="E636" s="9"/>
      <c r="F636" s="9"/>
      <c r="G636" s="9"/>
      <c r="H636" s="9"/>
      <c r="I636" s="11" t="e">
        <f>VLOOKUP(H636,위치!B:C,2,0)</f>
        <v>#N/A</v>
      </c>
      <c r="J636" s="9"/>
      <c r="K636" s="9"/>
      <c r="L636" s="9" t="e">
        <f>VLOOKUP(H636,위치!B:D,3,0)</f>
        <v>#N/A</v>
      </c>
      <c r="M636" s="12"/>
      <c r="N636" s="5"/>
      <c r="O636" s="5"/>
      <c r="P636" s="5"/>
      <c r="Q636" s="14"/>
      <c r="R636" s="15">
        <f t="shared" si="9"/>
        <v>0</v>
      </c>
    </row>
    <row r="637" spans="2:18" x14ac:dyDescent="0.35">
      <c r="B637" s="9">
        <v>658</v>
      </c>
      <c r="C637" s="9"/>
      <c r="D637" s="9"/>
      <c r="E637" s="9"/>
      <c r="F637" s="9"/>
      <c r="G637" s="9"/>
      <c r="H637" s="9"/>
      <c r="I637" s="11" t="e">
        <f>VLOOKUP(H637,위치!B:C,2,0)</f>
        <v>#N/A</v>
      </c>
      <c r="J637" s="9"/>
      <c r="K637" s="9"/>
      <c r="L637" s="9" t="e">
        <f>VLOOKUP(H637,위치!B:D,3,0)</f>
        <v>#N/A</v>
      </c>
      <c r="M637" s="12"/>
      <c r="N637" s="5"/>
      <c r="O637" s="5"/>
      <c r="P637" s="5"/>
      <c r="Q637" s="14"/>
      <c r="R637" s="15">
        <f t="shared" si="9"/>
        <v>0</v>
      </c>
    </row>
    <row r="638" spans="2:18" x14ac:dyDescent="0.35">
      <c r="B638" s="9">
        <v>659</v>
      </c>
      <c r="C638" s="9"/>
      <c r="D638" s="9"/>
      <c r="E638" s="9"/>
      <c r="F638" s="9"/>
      <c r="G638" s="9"/>
      <c r="H638" s="9"/>
      <c r="I638" s="11" t="e">
        <f>VLOOKUP(H638,위치!B:C,2,0)</f>
        <v>#N/A</v>
      </c>
      <c r="J638" s="9"/>
      <c r="K638" s="9"/>
      <c r="L638" s="9" t="e">
        <f>VLOOKUP(H638,위치!B:D,3,0)</f>
        <v>#N/A</v>
      </c>
      <c r="M638" s="12"/>
      <c r="N638" s="5"/>
      <c r="O638" s="5"/>
      <c r="P638" s="5"/>
      <c r="Q638" s="14"/>
      <c r="R638" s="15">
        <f t="shared" si="9"/>
        <v>0</v>
      </c>
    </row>
    <row r="639" spans="2:18" x14ac:dyDescent="0.35">
      <c r="B639" s="9">
        <v>660</v>
      </c>
      <c r="C639" s="9"/>
      <c r="D639" s="9"/>
      <c r="E639" s="9"/>
      <c r="F639" s="9"/>
      <c r="G639" s="9"/>
      <c r="H639" s="9"/>
      <c r="I639" s="11" t="e">
        <f>VLOOKUP(H639,위치!B:C,2,0)</f>
        <v>#N/A</v>
      </c>
      <c r="J639" s="9"/>
      <c r="K639" s="9"/>
      <c r="L639" s="9" t="e">
        <f>VLOOKUP(H639,위치!B:D,3,0)</f>
        <v>#N/A</v>
      </c>
      <c r="M639" s="12"/>
      <c r="N639" s="5"/>
      <c r="O639" s="5"/>
      <c r="P639" s="5"/>
      <c r="Q639" s="14"/>
      <c r="R639" s="15">
        <f t="shared" si="9"/>
        <v>0</v>
      </c>
    </row>
    <row r="640" spans="2:18" x14ac:dyDescent="0.35">
      <c r="B640" s="9">
        <v>661</v>
      </c>
      <c r="C640" s="9"/>
      <c r="D640" s="9"/>
      <c r="E640" s="9"/>
      <c r="F640" s="9"/>
      <c r="G640" s="9"/>
      <c r="H640" s="9"/>
      <c r="I640" s="11" t="e">
        <f>VLOOKUP(H640,위치!B:C,2,0)</f>
        <v>#N/A</v>
      </c>
      <c r="J640" s="9"/>
      <c r="K640" s="9"/>
      <c r="L640" s="9" t="e">
        <f>VLOOKUP(H640,위치!B:D,3,0)</f>
        <v>#N/A</v>
      </c>
      <c r="M640" s="12"/>
      <c r="N640" s="5"/>
      <c r="O640" s="5"/>
      <c r="P640" s="5"/>
      <c r="Q640" s="14"/>
      <c r="R640" s="15">
        <f t="shared" si="9"/>
        <v>0</v>
      </c>
    </row>
    <row r="641" spans="2:18" x14ac:dyDescent="0.35">
      <c r="B641" s="9">
        <v>662</v>
      </c>
      <c r="C641" s="9"/>
      <c r="D641" s="9"/>
      <c r="E641" s="9"/>
      <c r="F641" s="9"/>
      <c r="G641" s="9"/>
      <c r="H641" s="9"/>
      <c r="I641" s="11" t="e">
        <f>VLOOKUP(H641,위치!B:C,2,0)</f>
        <v>#N/A</v>
      </c>
      <c r="J641" s="9"/>
      <c r="K641" s="9"/>
      <c r="L641" s="9" t="e">
        <f>VLOOKUP(H641,위치!B:D,3,0)</f>
        <v>#N/A</v>
      </c>
      <c r="M641" s="12"/>
      <c r="N641" s="5"/>
      <c r="O641" s="5"/>
      <c r="P641" s="5"/>
      <c r="Q641" s="14"/>
      <c r="R641" s="15">
        <f t="shared" si="9"/>
        <v>0</v>
      </c>
    </row>
    <row r="642" spans="2:18" x14ac:dyDescent="0.35">
      <c r="B642" s="9">
        <v>663</v>
      </c>
      <c r="C642" s="9"/>
      <c r="D642" s="9"/>
      <c r="E642" s="9"/>
      <c r="F642" s="9"/>
      <c r="G642" s="9"/>
      <c r="H642" s="9"/>
      <c r="I642" s="11" t="e">
        <f>VLOOKUP(H642,위치!B:C,2,0)</f>
        <v>#N/A</v>
      </c>
      <c r="J642" s="9"/>
      <c r="K642" s="9"/>
      <c r="L642" s="9" t="e">
        <f>VLOOKUP(H642,위치!B:D,3,0)</f>
        <v>#N/A</v>
      </c>
      <c r="M642" s="12"/>
      <c r="N642" s="5"/>
      <c r="O642" s="5"/>
      <c r="P642" s="5"/>
      <c r="Q642" s="14"/>
      <c r="R642" s="15">
        <f t="shared" si="9"/>
        <v>0</v>
      </c>
    </row>
    <row r="643" spans="2:18" x14ac:dyDescent="0.35">
      <c r="B643" s="9">
        <v>664</v>
      </c>
      <c r="C643" s="9"/>
      <c r="D643" s="9"/>
      <c r="E643" s="9"/>
      <c r="F643" s="9"/>
      <c r="G643" s="9"/>
      <c r="H643" s="9"/>
      <c r="I643" s="11" t="e">
        <f>VLOOKUP(H643,위치!B:C,2,0)</f>
        <v>#N/A</v>
      </c>
      <c r="J643" s="9"/>
      <c r="K643" s="9"/>
      <c r="L643" s="9" t="e">
        <f>VLOOKUP(H643,위치!B:D,3,0)</f>
        <v>#N/A</v>
      </c>
      <c r="M643" s="12"/>
      <c r="N643" s="5"/>
      <c r="O643" s="5"/>
      <c r="P643" s="5"/>
      <c r="Q643" s="14"/>
      <c r="R643" s="15">
        <f t="shared" si="9"/>
        <v>0</v>
      </c>
    </row>
    <row r="644" spans="2:18" x14ac:dyDescent="0.35">
      <c r="B644" s="9">
        <v>665</v>
      </c>
      <c r="C644" s="9"/>
      <c r="D644" s="9"/>
      <c r="E644" s="9"/>
      <c r="F644" s="9"/>
      <c r="G644" s="9"/>
      <c r="H644" s="9"/>
      <c r="I644" s="11" t="e">
        <f>VLOOKUP(H644,위치!B:C,2,0)</f>
        <v>#N/A</v>
      </c>
      <c r="J644" s="9"/>
      <c r="K644" s="9"/>
      <c r="L644" s="9" t="e">
        <f>VLOOKUP(H644,위치!B:D,3,0)</f>
        <v>#N/A</v>
      </c>
      <c r="M644" s="12"/>
      <c r="N644" s="5"/>
      <c r="O644" s="5"/>
      <c r="P644" s="5"/>
      <c r="Q644" s="14"/>
      <c r="R644" s="15">
        <f t="shared" si="9"/>
        <v>0</v>
      </c>
    </row>
    <row r="645" spans="2:18" x14ac:dyDescent="0.35">
      <c r="B645" s="9">
        <v>666</v>
      </c>
      <c r="C645" s="9"/>
      <c r="D645" s="9"/>
      <c r="E645" s="9"/>
      <c r="F645" s="9"/>
      <c r="G645" s="9"/>
      <c r="H645" s="9"/>
      <c r="I645" s="11" t="e">
        <f>VLOOKUP(H645,위치!B:C,2,0)</f>
        <v>#N/A</v>
      </c>
      <c r="J645" s="9"/>
      <c r="K645" s="9"/>
      <c r="L645" s="9" t="e">
        <f>VLOOKUP(H645,위치!B:D,3,0)</f>
        <v>#N/A</v>
      </c>
      <c r="M645" s="12"/>
      <c r="N645" s="5"/>
      <c r="O645" s="5"/>
      <c r="P645" s="5"/>
      <c r="Q645" s="14"/>
      <c r="R645" s="15">
        <f t="shared" si="9"/>
        <v>0</v>
      </c>
    </row>
    <row r="646" spans="2:18" x14ac:dyDescent="0.35">
      <c r="B646" s="9">
        <v>667</v>
      </c>
      <c r="C646" s="9"/>
      <c r="D646" s="9"/>
      <c r="E646" s="9"/>
      <c r="F646" s="9"/>
      <c r="G646" s="9"/>
      <c r="H646" s="9"/>
      <c r="I646" s="11" t="e">
        <f>VLOOKUP(H646,위치!B:C,2,0)</f>
        <v>#N/A</v>
      </c>
      <c r="J646" s="9"/>
      <c r="K646" s="9"/>
      <c r="L646" s="9" t="e">
        <f>VLOOKUP(H646,위치!B:D,3,0)</f>
        <v>#N/A</v>
      </c>
      <c r="M646" s="12"/>
      <c r="N646" s="5"/>
      <c r="O646" s="5"/>
      <c r="P646" s="5"/>
      <c r="Q646" s="14"/>
      <c r="R646" s="15">
        <f t="shared" si="9"/>
        <v>0</v>
      </c>
    </row>
    <row r="647" spans="2:18" x14ac:dyDescent="0.35">
      <c r="B647" s="9">
        <v>668</v>
      </c>
      <c r="C647" s="9"/>
      <c r="D647" s="9"/>
      <c r="E647" s="9"/>
      <c r="F647" s="9"/>
      <c r="G647" s="9"/>
      <c r="H647" s="9"/>
      <c r="I647" s="11" t="e">
        <f>VLOOKUP(H647,위치!B:C,2,0)</f>
        <v>#N/A</v>
      </c>
      <c r="J647" s="9"/>
      <c r="K647" s="9"/>
      <c r="L647" s="9" t="e">
        <f>VLOOKUP(H647,위치!B:D,3,0)</f>
        <v>#N/A</v>
      </c>
      <c r="M647" s="12"/>
      <c r="N647" s="5"/>
      <c r="O647" s="5"/>
      <c r="P647" s="5"/>
      <c r="Q647" s="14"/>
      <c r="R647" s="15">
        <f t="shared" ref="R647:R710" si="10">J647-P647</f>
        <v>0</v>
      </c>
    </row>
    <row r="648" spans="2:18" x14ac:dyDescent="0.35">
      <c r="B648" s="9">
        <v>669</v>
      </c>
      <c r="C648" s="9"/>
      <c r="D648" s="9"/>
      <c r="E648" s="9"/>
      <c r="F648" s="9"/>
      <c r="G648" s="9"/>
      <c r="H648" s="9"/>
      <c r="I648" s="11" t="e">
        <f>VLOOKUP(H648,위치!B:C,2,0)</f>
        <v>#N/A</v>
      </c>
      <c r="J648" s="9"/>
      <c r="K648" s="9"/>
      <c r="L648" s="9" t="e">
        <f>VLOOKUP(H648,위치!B:D,3,0)</f>
        <v>#N/A</v>
      </c>
      <c r="M648" s="12"/>
      <c r="N648" s="5"/>
      <c r="O648" s="5"/>
      <c r="P648" s="5"/>
      <c r="Q648" s="14"/>
      <c r="R648" s="15">
        <f t="shared" si="10"/>
        <v>0</v>
      </c>
    </row>
    <row r="649" spans="2:18" x14ac:dyDescent="0.35">
      <c r="B649" s="9">
        <v>670</v>
      </c>
      <c r="C649" s="9"/>
      <c r="D649" s="9"/>
      <c r="E649" s="9"/>
      <c r="F649" s="9"/>
      <c r="G649" s="9"/>
      <c r="H649" s="9"/>
      <c r="I649" s="11" t="e">
        <f>VLOOKUP(H649,위치!B:C,2,0)</f>
        <v>#N/A</v>
      </c>
      <c r="J649" s="9"/>
      <c r="K649" s="9"/>
      <c r="L649" s="9" t="e">
        <f>VLOOKUP(H649,위치!B:D,3,0)</f>
        <v>#N/A</v>
      </c>
      <c r="M649" s="12"/>
      <c r="N649" s="5"/>
      <c r="O649" s="5"/>
      <c r="P649" s="5"/>
      <c r="Q649" s="14"/>
      <c r="R649" s="15">
        <f t="shared" si="10"/>
        <v>0</v>
      </c>
    </row>
    <row r="650" spans="2:18" x14ac:dyDescent="0.35">
      <c r="B650" s="9">
        <v>671</v>
      </c>
      <c r="C650" s="9"/>
      <c r="D650" s="9"/>
      <c r="E650" s="9"/>
      <c r="F650" s="9"/>
      <c r="G650" s="9"/>
      <c r="H650" s="9"/>
      <c r="I650" s="11" t="e">
        <f>VLOOKUP(H650,위치!B:C,2,0)</f>
        <v>#N/A</v>
      </c>
      <c r="J650" s="9"/>
      <c r="K650" s="9"/>
      <c r="L650" s="9" t="e">
        <f>VLOOKUP(H650,위치!B:D,3,0)</f>
        <v>#N/A</v>
      </c>
      <c r="M650" s="12"/>
      <c r="N650" s="5"/>
      <c r="O650" s="5"/>
      <c r="P650" s="5"/>
      <c r="Q650" s="14"/>
      <c r="R650" s="15">
        <f t="shared" si="10"/>
        <v>0</v>
      </c>
    </row>
    <row r="651" spans="2:18" x14ac:dyDescent="0.35">
      <c r="B651" s="9">
        <v>672</v>
      </c>
      <c r="C651" s="9"/>
      <c r="D651" s="9"/>
      <c r="E651" s="9"/>
      <c r="F651" s="9"/>
      <c r="G651" s="9"/>
      <c r="H651" s="9"/>
      <c r="I651" s="11" t="e">
        <f>VLOOKUP(H651,위치!B:C,2,0)</f>
        <v>#N/A</v>
      </c>
      <c r="J651" s="9"/>
      <c r="K651" s="9"/>
      <c r="L651" s="9" t="e">
        <f>VLOOKUP(H651,위치!B:D,3,0)</f>
        <v>#N/A</v>
      </c>
      <c r="M651" s="12"/>
      <c r="N651" s="5"/>
      <c r="O651" s="5"/>
      <c r="P651" s="5"/>
      <c r="Q651" s="14"/>
      <c r="R651" s="15">
        <f t="shared" si="10"/>
        <v>0</v>
      </c>
    </row>
    <row r="652" spans="2:18" x14ac:dyDescent="0.35">
      <c r="B652" s="9">
        <v>673</v>
      </c>
      <c r="C652" s="9"/>
      <c r="D652" s="9"/>
      <c r="E652" s="9"/>
      <c r="F652" s="9"/>
      <c r="G652" s="9"/>
      <c r="H652" s="9"/>
      <c r="I652" s="11" t="e">
        <f>VLOOKUP(H652,위치!B:C,2,0)</f>
        <v>#N/A</v>
      </c>
      <c r="J652" s="9"/>
      <c r="K652" s="9"/>
      <c r="L652" s="9" t="e">
        <f>VLOOKUP(H652,위치!B:D,3,0)</f>
        <v>#N/A</v>
      </c>
      <c r="M652" s="12"/>
      <c r="N652" s="5"/>
      <c r="O652" s="5"/>
      <c r="P652" s="5"/>
      <c r="Q652" s="14"/>
      <c r="R652" s="15">
        <f t="shared" si="10"/>
        <v>0</v>
      </c>
    </row>
    <row r="653" spans="2:18" x14ac:dyDescent="0.35">
      <c r="B653" s="9">
        <v>674</v>
      </c>
      <c r="C653" s="9"/>
      <c r="D653" s="9"/>
      <c r="E653" s="9"/>
      <c r="F653" s="9"/>
      <c r="G653" s="9"/>
      <c r="H653" s="9"/>
      <c r="I653" s="11" t="e">
        <f>VLOOKUP(H653,위치!B:C,2,0)</f>
        <v>#N/A</v>
      </c>
      <c r="J653" s="9"/>
      <c r="K653" s="9"/>
      <c r="L653" s="9" t="e">
        <f>VLOOKUP(H653,위치!B:D,3,0)</f>
        <v>#N/A</v>
      </c>
      <c r="M653" s="12"/>
      <c r="N653" s="5"/>
      <c r="O653" s="5"/>
      <c r="P653" s="5"/>
      <c r="Q653" s="14"/>
      <c r="R653" s="15">
        <f t="shared" si="10"/>
        <v>0</v>
      </c>
    </row>
    <row r="654" spans="2:18" x14ac:dyDescent="0.35">
      <c r="B654" s="9">
        <v>675</v>
      </c>
      <c r="C654" s="9"/>
      <c r="D654" s="9"/>
      <c r="E654" s="9"/>
      <c r="F654" s="9"/>
      <c r="G654" s="9"/>
      <c r="H654" s="9"/>
      <c r="I654" s="11" t="e">
        <f>VLOOKUP(H654,위치!B:C,2,0)</f>
        <v>#N/A</v>
      </c>
      <c r="J654" s="9"/>
      <c r="K654" s="9"/>
      <c r="L654" s="9" t="e">
        <f>VLOOKUP(H654,위치!B:D,3,0)</f>
        <v>#N/A</v>
      </c>
      <c r="M654" s="12"/>
      <c r="N654" s="5"/>
      <c r="O654" s="5"/>
      <c r="P654" s="5"/>
      <c r="Q654" s="14"/>
      <c r="R654" s="15">
        <f t="shared" si="10"/>
        <v>0</v>
      </c>
    </row>
    <row r="655" spans="2:18" x14ac:dyDescent="0.35">
      <c r="B655" s="9">
        <v>676</v>
      </c>
      <c r="C655" s="9"/>
      <c r="D655" s="9"/>
      <c r="E655" s="9"/>
      <c r="F655" s="9"/>
      <c r="G655" s="9"/>
      <c r="H655" s="9"/>
      <c r="I655" s="11" t="e">
        <f>VLOOKUP(H655,위치!B:C,2,0)</f>
        <v>#N/A</v>
      </c>
      <c r="J655" s="9"/>
      <c r="K655" s="9"/>
      <c r="L655" s="9" t="e">
        <f>VLOOKUP(H655,위치!B:D,3,0)</f>
        <v>#N/A</v>
      </c>
      <c r="M655" s="12"/>
      <c r="N655" s="5"/>
      <c r="O655" s="5"/>
      <c r="P655" s="5"/>
      <c r="Q655" s="14"/>
      <c r="R655" s="15">
        <f t="shared" si="10"/>
        <v>0</v>
      </c>
    </row>
    <row r="656" spans="2:18" x14ac:dyDescent="0.35">
      <c r="B656" s="9">
        <v>677</v>
      </c>
      <c r="C656" s="9"/>
      <c r="D656" s="9"/>
      <c r="E656" s="9"/>
      <c r="F656" s="9"/>
      <c r="G656" s="9"/>
      <c r="H656" s="9"/>
      <c r="I656" s="11" t="e">
        <f>VLOOKUP(H656,위치!B:C,2,0)</f>
        <v>#N/A</v>
      </c>
      <c r="J656" s="9"/>
      <c r="K656" s="9"/>
      <c r="L656" s="9" t="e">
        <f>VLOOKUP(H656,위치!B:D,3,0)</f>
        <v>#N/A</v>
      </c>
      <c r="M656" s="12"/>
      <c r="N656" s="5"/>
      <c r="O656" s="5"/>
      <c r="P656" s="5"/>
      <c r="Q656" s="14"/>
      <c r="R656" s="15">
        <f t="shared" si="10"/>
        <v>0</v>
      </c>
    </row>
    <row r="657" spans="2:18" x14ac:dyDescent="0.35">
      <c r="B657" s="9">
        <v>678</v>
      </c>
      <c r="C657" s="9"/>
      <c r="D657" s="9"/>
      <c r="E657" s="9"/>
      <c r="F657" s="9"/>
      <c r="G657" s="9"/>
      <c r="H657" s="9"/>
      <c r="I657" s="11" t="e">
        <f>VLOOKUP(H657,위치!B:C,2,0)</f>
        <v>#N/A</v>
      </c>
      <c r="J657" s="9"/>
      <c r="K657" s="9"/>
      <c r="L657" s="9" t="e">
        <f>VLOOKUP(H657,위치!B:D,3,0)</f>
        <v>#N/A</v>
      </c>
      <c r="M657" s="12"/>
      <c r="N657" s="5"/>
      <c r="O657" s="5"/>
      <c r="P657" s="5"/>
      <c r="Q657" s="14"/>
      <c r="R657" s="15">
        <f t="shared" si="10"/>
        <v>0</v>
      </c>
    </row>
    <row r="658" spans="2:18" x14ac:dyDescent="0.35">
      <c r="B658" s="9">
        <v>679</v>
      </c>
      <c r="C658" s="9"/>
      <c r="D658" s="9"/>
      <c r="E658" s="9"/>
      <c r="F658" s="9"/>
      <c r="G658" s="9"/>
      <c r="H658" s="9"/>
      <c r="I658" s="11" t="e">
        <f>VLOOKUP(H658,위치!B:C,2,0)</f>
        <v>#N/A</v>
      </c>
      <c r="J658" s="9"/>
      <c r="K658" s="9"/>
      <c r="L658" s="9" t="e">
        <f>VLOOKUP(H658,위치!B:D,3,0)</f>
        <v>#N/A</v>
      </c>
      <c r="M658" s="12"/>
      <c r="N658" s="5"/>
      <c r="O658" s="5"/>
      <c r="P658" s="5"/>
      <c r="Q658" s="14"/>
      <c r="R658" s="15">
        <f t="shared" si="10"/>
        <v>0</v>
      </c>
    </row>
    <row r="659" spans="2:18" x14ac:dyDescent="0.35">
      <c r="B659" s="9">
        <v>680</v>
      </c>
      <c r="C659" s="9"/>
      <c r="D659" s="9"/>
      <c r="E659" s="9"/>
      <c r="F659" s="9"/>
      <c r="G659" s="9"/>
      <c r="H659" s="9"/>
      <c r="I659" s="11" t="e">
        <f>VLOOKUP(H659,위치!B:C,2,0)</f>
        <v>#N/A</v>
      </c>
      <c r="J659" s="9"/>
      <c r="K659" s="9"/>
      <c r="L659" s="9" t="e">
        <f>VLOOKUP(H659,위치!B:D,3,0)</f>
        <v>#N/A</v>
      </c>
      <c r="M659" s="12"/>
      <c r="N659" s="5"/>
      <c r="O659" s="5"/>
      <c r="P659" s="5"/>
      <c r="Q659" s="14"/>
      <c r="R659" s="15">
        <f t="shared" si="10"/>
        <v>0</v>
      </c>
    </row>
    <row r="660" spans="2:18" x14ac:dyDescent="0.35">
      <c r="B660" s="9">
        <v>681</v>
      </c>
      <c r="C660" s="9"/>
      <c r="D660" s="9"/>
      <c r="E660" s="9"/>
      <c r="F660" s="9"/>
      <c r="G660" s="9"/>
      <c r="H660" s="9"/>
      <c r="I660" s="11" t="e">
        <f>VLOOKUP(H660,위치!B:C,2,0)</f>
        <v>#N/A</v>
      </c>
      <c r="J660" s="9"/>
      <c r="K660" s="9"/>
      <c r="L660" s="9" t="e">
        <f>VLOOKUP(H660,위치!B:D,3,0)</f>
        <v>#N/A</v>
      </c>
      <c r="M660" s="12"/>
      <c r="N660" s="5"/>
      <c r="O660" s="5"/>
      <c r="P660" s="5"/>
      <c r="Q660" s="14"/>
      <c r="R660" s="15">
        <f t="shared" si="10"/>
        <v>0</v>
      </c>
    </row>
    <row r="661" spans="2:18" x14ac:dyDescent="0.35">
      <c r="B661" s="9">
        <v>682</v>
      </c>
      <c r="C661" s="9"/>
      <c r="D661" s="9"/>
      <c r="E661" s="9"/>
      <c r="F661" s="9"/>
      <c r="G661" s="9"/>
      <c r="H661" s="9"/>
      <c r="I661" s="11" t="e">
        <f>VLOOKUP(H661,위치!B:C,2,0)</f>
        <v>#N/A</v>
      </c>
      <c r="J661" s="9"/>
      <c r="K661" s="9"/>
      <c r="L661" s="9" t="e">
        <f>VLOOKUP(H661,위치!B:D,3,0)</f>
        <v>#N/A</v>
      </c>
      <c r="M661" s="12"/>
      <c r="N661" s="5"/>
      <c r="O661" s="5"/>
      <c r="P661" s="5"/>
      <c r="Q661" s="14"/>
      <c r="R661" s="15">
        <f t="shared" si="10"/>
        <v>0</v>
      </c>
    </row>
    <row r="662" spans="2:18" x14ac:dyDescent="0.35">
      <c r="B662" s="9">
        <v>683</v>
      </c>
      <c r="C662" s="9"/>
      <c r="D662" s="9"/>
      <c r="E662" s="9"/>
      <c r="F662" s="9"/>
      <c r="G662" s="9"/>
      <c r="H662" s="9"/>
      <c r="I662" s="11" t="e">
        <f>VLOOKUP(H662,위치!B:C,2,0)</f>
        <v>#N/A</v>
      </c>
      <c r="J662" s="9"/>
      <c r="K662" s="9"/>
      <c r="L662" s="9" t="e">
        <f>VLOOKUP(H662,위치!B:D,3,0)</f>
        <v>#N/A</v>
      </c>
      <c r="M662" s="12"/>
      <c r="N662" s="5"/>
      <c r="O662" s="5"/>
      <c r="P662" s="5"/>
      <c r="Q662" s="14"/>
      <c r="R662" s="15">
        <f t="shared" si="10"/>
        <v>0</v>
      </c>
    </row>
    <row r="663" spans="2:18" x14ac:dyDescent="0.35">
      <c r="B663" s="9">
        <v>684</v>
      </c>
      <c r="C663" s="9"/>
      <c r="D663" s="9"/>
      <c r="E663" s="9"/>
      <c r="F663" s="9"/>
      <c r="G663" s="9"/>
      <c r="H663" s="9"/>
      <c r="I663" s="11" t="e">
        <f>VLOOKUP(H663,위치!B:C,2,0)</f>
        <v>#N/A</v>
      </c>
      <c r="J663" s="9"/>
      <c r="K663" s="9"/>
      <c r="L663" s="9" t="e">
        <f>VLOOKUP(H663,위치!B:D,3,0)</f>
        <v>#N/A</v>
      </c>
      <c r="M663" s="12"/>
      <c r="N663" s="5"/>
      <c r="O663" s="5"/>
      <c r="P663" s="5"/>
      <c r="Q663" s="14"/>
      <c r="R663" s="15">
        <f t="shared" si="10"/>
        <v>0</v>
      </c>
    </row>
    <row r="664" spans="2:18" x14ac:dyDescent="0.35">
      <c r="B664" s="9">
        <v>685</v>
      </c>
      <c r="C664" s="9"/>
      <c r="D664" s="9"/>
      <c r="E664" s="9"/>
      <c r="F664" s="9"/>
      <c r="G664" s="9"/>
      <c r="H664" s="9"/>
      <c r="I664" s="11" t="e">
        <f>VLOOKUP(H664,위치!B:C,2,0)</f>
        <v>#N/A</v>
      </c>
      <c r="J664" s="9"/>
      <c r="K664" s="9"/>
      <c r="L664" s="9" t="e">
        <f>VLOOKUP(H664,위치!B:D,3,0)</f>
        <v>#N/A</v>
      </c>
      <c r="M664" s="12"/>
      <c r="N664" s="5"/>
      <c r="O664" s="5"/>
      <c r="P664" s="5"/>
      <c r="Q664" s="14"/>
      <c r="R664" s="15">
        <f t="shared" si="10"/>
        <v>0</v>
      </c>
    </row>
    <row r="665" spans="2:18" x14ac:dyDescent="0.35">
      <c r="B665" s="9">
        <v>686</v>
      </c>
      <c r="C665" s="9"/>
      <c r="D665" s="9"/>
      <c r="E665" s="9"/>
      <c r="F665" s="9"/>
      <c r="G665" s="9"/>
      <c r="H665" s="9"/>
      <c r="I665" s="11" t="e">
        <f>VLOOKUP(H665,위치!B:C,2,0)</f>
        <v>#N/A</v>
      </c>
      <c r="J665" s="9"/>
      <c r="K665" s="9"/>
      <c r="L665" s="9" t="e">
        <f>VLOOKUP(H665,위치!B:D,3,0)</f>
        <v>#N/A</v>
      </c>
      <c r="M665" s="12"/>
      <c r="N665" s="5"/>
      <c r="O665" s="5"/>
      <c r="P665" s="5"/>
      <c r="Q665" s="14"/>
      <c r="R665" s="15">
        <f t="shared" si="10"/>
        <v>0</v>
      </c>
    </row>
    <row r="666" spans="2:18" x14ac:dyDescent="0.35">
      <c r="B666" s="9">
        <v>687</v>
      </c>
      <c r="C666" s="9"/>
      <c r="D666" s="9"/>
      <c r="E666" s="9"/>
      <c r="F666" s="9"/>
      <c r="G666" s="9"/>
      <c r="H666" s="9"/>
      <c r="I666" s="11" t="e">
        <f>VLOOKUP(H666,위치!B:C,2,0)</f>
        <v>#N/A</v>
      </c>
      <c r="J666" s="9"/>
      <c r="K666" s="9"/>
      <c r="L666" s="9" t="e">
        <f>VLOOKUP(H666,위치!B:D,3,0)</f>
        <v>#N/A</v>
      </c>
      <c r="M666" s="12"/>
      <c r="N666" s="5"/>
      <c r="O666" s="5"/>
      <c r="P666" s="5"/>
      <c r="Q666" s="14"/>
      <c r="R666" s="15">
        <f t="shared" si="10"/>
        <v>0</v>
      </c>
    </row>
    <row r="667" spans="2:18" x14ac:dyDescent="0.35">
      <c r="B667" s="9">
        <v>688</v>
      </c>
      <c r="C667" s="9"/>
      <c r="D667" s="9"/>
      <c r="E667" s="9"/>
      <c r="F667" s="9"/>
      <c r="G667" s="9"/>
      <c r="H667" s="9"/>
      <c r="I667" s="11" t="e">
        <f>VLOOKUP(H667,위치!B:C,2,0)</f>
        <v>#N/A</v>
      </c>
      <c r="J667" s="9"/>
      <c r="K667" s="9"/>
      <c r="L667" s="9" t="e">
        <f>VLOOKUP(H667,위치!B:D,3,0)</f>
        <v>#N/A</v>
      </c>
      <c r="M667" s="12"/>
      <c r="N667" s="5"/>
      <c r="O667" s="5"/>
      <c r="P667" s="5"/>
      <c r="Q667" s="14"/>
      <c r="R667" s="15">
        <f t="shared" si="10"/>
        <v>0</v>
      </c>
    </row>
    <row r="668" spans="2:18" x14ac:dyDescent="0.35">
      <c r="B668" s="9">
        <v>689</v>
      </c>
      <c r="C668" s="9"/>
      <c r="D668" s="9"/>
      <c r="E668" s="9"/>
      <c r="F668" s="9"/>
      <c r="G668" s="9"/>
      <c r="H668" s="9"/>
      <c r="I668" s="11" t="e">
        <f>VLOOKUP(H668,위치!B:C,2,0)</f>
        <v>#N/A</v>
      </c>
      <c r="J668" s="9"/>
      <c r="K668" s="9"/>
      <c r="L668" s="9" t="e">
        <f>VLOOKUP(H668,위치!B:D,3,0)</f>
        <v>#N/A</v>
      </c>
      <c r="M668" s="12"/>
      <c r="N668" s="5"/>
      <c r="O668" s="5"/>
      <c r="P668" s="5"/>
      <c r="Q668" s="14"/>
      <c r="R668" s="15">
        <f t="shared" si="10"/>
        <v>0</v>
      </c>
    </row>
    <row r="669" spans="2:18" x14ac:dyDescent="0.35">
      <c r="B669" s="9">
        <v>690</v>
      </c>
      <c r="C669" s="9"/>
      <c r="D669" s="9"/>
      <c r="E669" s="9"/>
      <c r="F669" s="9"/>
      <c r="G669" s="9"/>
      <c r="H669" s="9"/>
      <c r="I669" s="11" t="e">
        <f>VLOOKUP(H669,위치!B:C,2,0)</f>
        <v>#N/A</v>
      </c>
      <c r="J669" s="9"/>
      <c r="K669" s="9"/>
      <c r="L669" s="9" t="e">
        <f>VLOOKUP(H669,위치!B:D,3,0)</f>
        <v>#N/A</v>
      </c>
      <c r="M669" s="12"/>
      <c r="N669" s="5"/>
      <c r="O669" s="5"/>
      <c r="P669" s="5"/>
      <c r="Q669" s="14"/>
      <c r="R669" s="15">
        <f t="shared" si="10"/>
        <v>0</v>
      </c>
    </row>
    <row r="670" spans="2:18" x14ac:dyDescent="0.35">
      <c r="B670" s="9">
        <v>691</v>
      </c>
      <c r="C670" s="9"/>
      <c r="D670" s="9"/>
      <c r="E670" s="9"/>
      <c r="F670" s="9"/>
      <c r="G670" s="9"/>
      <c r="H670" s="9"/>
      <c r="I670" s="11" t="e">
        <f>VLOOKUP(H670,위치!B:C,2,0)</f>
        <v>#N/A</v>
      </c>
      <c r="J670" s="9"/>
      <c r="K670" s="9"/>
      <c r="L670" s="9" t="e">
        <f>VLOOKUP(H670,위치!B:D,3,0)</f>
        <v>#N/A</v>
      </c>
      <c r="M670" s="12"/>
      <c r="N670" s="5"/>
      <c r="O670" s="5"/>
      <c r="P670" s="5"/>
      <c r="Q670" s="14"/>
      <c r="R670" s="15">
        <f t="shared" si="10"/>
        <v>0</v>
      </c>
    </row>
    <row r="671" spans="2:18" x14ac:dyDescent="0.35">
      <c r="B671" s="9">
        <v>692</v>
      </c>
      <c r="C671" s="9"/>
      <c r="D671" s="9"/>
      <c r="E671" s="9"/>
      <c r="F671" s="9"/>
      <c r="G671" s="9"/>
      <c r="H671" s="9"/>
      <c r="I671" s="11" t="e">
        <f>VLOOKUP(H671,위치!B:C,2,0)</f>
        <v>#N/A</v>
      </c>
      <c r="J671" s="9"/>
      <c r="K671" s="9"/>
      <c r="L671" s="9" t="e">
        <f>VLOOKUP(H671,위치!B:D,3,0)</f>
        <v>#N/A</v>
      </c>
      <c r="M671" s="12"/>
      <c r="N671" s="5"/>
      <c r="O671" s="5"/>
      <c r="P671" s="5"/>
      <c r="Q671" s="14"/>
      <c r="R671" s="15">
        <f t="shared" si="10"/>
        <v>0</v>
      </c>
    </row>
    <row r="672" spans="2:18" x14ac:dyDescent="0.35">
      <c r="B672" s="9">
        <v>693</v>
      </c>
      <c r="C672" s="9"/>
      <c r="D672" s="9"/>
      <c r="E672" s="9"/>
      <c r="F672" s="9"/>
      <c r="G672" s="9"/>
      <c r="H672" s="9"/>
      <c r="I672" s="11" t="e">
        <f>VLOOKUP(H672,위치!B:C,2,0)</f>
        <v>#N/A</v>
      </c>
      <c r="J672" s="9"/>
      <c r="K672" s="9"/>
      <c r="L672" s="9" t="e">
        <f>VLOOKUP(H672,위치!B:D,3,0)</f>
        <v>#N/A</v>
      </c>
      <c r="M672" s="12"/>
      <c r="N672" s="5"/>
      <c r="O672" s="5"/>
      <c r="P672" s="5"/>
      <c r="Q672" s="14"/>
      <c r="R672" s="15">
        <f t="shared" si="10"/>
        <v>0</v>
      </c>
    </row>
    <row r="673" spans="2:18" x14ac:dyDescent="0.35">
      <c r="B673" s="9">
        <v>694</v>
      </c>
      <c r="C673" s="9"/>
      <c r="D673" s="9"/>
      <c r="E673" s="9"/>
      <c r="F673" s="9"/>
      <c r="G673" s="9"/>
      <c r="H673" s="9"/>
      <c r="I673" s="11" t="e">
        <f>VLOOKUP(H673,위치!B:C,2,0)</f>
        <v>#N/A</v>
      </c>
      <c r="J673" s="9"/>
      <c r="K673" s="9"/>
      <c r="L673" s="9" t="e">
        <f>VLOOKUP(H673,위치!B:D,3,0)</f>
        <v>#N/A</v>
      </c>
      <c r="M673" s="12"/>
      <c r="N673" s="5"/>
      <c r="O673" s="5"/>
      <c r="P673" s="5"/>
      <c r="Q673" s="14"/>
      <c r="R673" s="15">
        <f t="shared" si="10"/>
        <v>0</v>
      </c>
    </row>
    <row r="674" spans="2:18" x14ac:dyDescent="0.35">
      <c r="B674" s="9">
        <v>695</v>
      </c>
      <c r="C674" s="9"/>
      <c r="D674" s="9"/>
      <c r="E674" s="9"/>
      <c r="F674" s="9"/>
      <c r="G674" s="9"/>
      <c r="H674" s="9"/>
      <c r="I674" s="11" t="e">
        <f>VLOOKUP(H674,위치!B:C,2,0)</f>
        <v>#N/A</v>
      </c>
      <c r="J674" s="9"/>
      <c r="K674" s="9"/>
      <c r="L674" s="9" t="e">
        <f>VLOOKUP(H674,위치!B:D,3,0)</f>
        <v>#N/A</v>
      </c>
      <c r="M674" s="12"/>
      <c r="N674" s="5"/>
      <c r="O674" s="5"/>
      <c r="P674" s="5"/>
      <c r="Q674" s="14"/>
      <c r="R674" s="15">
        <f t="shared" si="10"/>
        <v>0</v>
      </c>
    </row>
    <row r="675" spans="2:18" x14ac:dyDescent="0.35">
      <c r="B675" s="9">
        <v>696</v>
      </c>
      <c r="C675" s="9"/>
      <c r="D675" s="9"/>
      <c r="E675" s="9"/>
      <c r="F675" s="9"/>
      <c r="G675" s="9"/>
      <c r="H675" s="9"/>
      <c r="I675" s="11" t="e">
        <f>VLOOKUP(H675,위치!B:C,2,0)</f>
        <v>#N/A</v>
      </c>
      <c r="J675" s="9"/>
      <c r="K675" s="9"/>
      <c r="L675" s="9" t="e">
        <f>VLOOKUP(H675,위치!B:D,3,0)</f>
        <v>#N/A</v>
      </c>
      <c r="M675" s="12"/>
      <c r="N675" s="5"/>
      <c r="O675" s="5"/>
      <c r="P675" s="5"/>
      <c r="Q675" s="14"/>
      <c r="R675" s="15">
        <f t="shared" si="10"/>
        <v>0</v>
      </c>
    </row>
    <row r="676" spans="2:18" x14ac:dyDescent="0.35">
      <c r="B676" s="9">
        <v>697</v>
      </c>
      <c r="C676" s="9"/>
      <c r="D676" s="9"/>
      <c r="E676" s="9"/>
      <c r="F676" s="9"/>
      <c r="G676" s="9"/>
      <c r="H676" s="9"/>
      <c r="I676" s="11" t="e">
        <f>VLOOKUP(H676,위치!B:C,2,0)</f>
        <v>#N/A</v>
      </c>
      <c r="J676" s="9"/>
      <c r="K676" s="9"/>
      <c r="L676" s="9" t="e">
        <f>VLOOKUP(H676,위치!B:D,3,0)</f>
        <v>#N/A</v>
      </c>
      <c r="M676" s="12"/>
      <c r="N676" s="5"/>
      <c r="O676" s="5"/>
      <c r="P676" s="5"/>
      <c r="Q676" s="14"/>
      <c r="R676" s="15">
        <f t="shared" si="10"/>
        <v>0</v>
      </c>
    </row>
    <row r="677" spans="2:18" x14ac:dyDescent="0.35">
      <c r="B677" s="9">
        <v>698</v>
      </c>
      <c r="C677" s="9"/>
      <c r="D677" s="9"/>
      <c r="E677" s="9"/>
      <c r="F677" s="9"/>
      <c r="G677" s="9"/>
      <c r="H677" s="9"/>
      <c r="I677" s="11" t="e">
        <f>VLOOKUP(H677,위치!B:C,2,0)</f>
        <v>#N/A</v>
      </c>
      <c r="J677" s="9"/>
      <c r="K677" s="9"/>
      <c r="L677" s="9" t="e">
        <f>VLOOKUP(H677,위치!B:D,3,0)</f>
        <v>#N/A</v>
      </c>
      <c r="M677" s="12"/>
      <c r="N677" s="5"/>
      <c r="O677" s="5"/>
      <c r="P677" s="5"/>
      <c r="Q677" s="14"/>
      <c r="R677" s="15">
        <f t="shared" si="10"/>
        <v>0</v>
      </c>
    </row>
    <row r="678" spans="2:18" x14ac:dyDescent="0.35">
      <c r="B678" s="9">
        <v>699</v>
      </c>
      <c r="C678" s="9"/>
      <c r="D678" s="9"/>
      <c r="E678" s="9"/>
      <c r="F678" s="9"/>
      <c r="G678" s="9"/>
      <c r="H678" s="9"/>
      <c r="I678" s="11" t="e">
        <f>VLOOKUP(H678,위치!B:C,2,0)</f>
        <v>#N/A</v>
      </c>
      <c r="J678" s="9"/>
      <c r="K678" s="9"/>
      <c r="L678" s="9" t="e">
        <f>VLOOKUP(H678,위치!B:D,3,0)</f>
        <v>#N/A</v>
      </c>
      <c r="M678" s="12"/>
      <c r="N678" s="5"/>
      <c r="O678" s="5"/>
      <c r="P678" s="5"/>
      <c r="Q678" s="14"/>
      <c r="R678" s="15">
        <f t="shared" si="10"/>
        <v>0</v>
      </c>
    </row>
    <row r="679" spans="2:18" x14ac:dyDescent="0.35">
      <c r="B679" s="9">
        <v>700</v>
      </c>
      <c r="C679" s="9"/>
      <c r="D679" s="9"/>
      <c r="E679" s="9"/>
      <c r="F679" s="9"/>
      <c r="G679" s="9"/>
      <c r="H679" s="9"/>
      <c r="I679" s="11" t="e">
        <f>VLOOKUP(H679,위치!B:C,2,0)</f>
        <v>#N/A</v>
      </c>
      <c r="J679" s="9"/>
      <c r="K679" s="9"/>
      <c r="L679" s="9" t="e">
        <f>VLOOKUP(H679,위치!B:D,3,0)</f>
        <v>#N/A</v>
      </c>
      <c r="M679" s="12"/>
      <c r="N679" s="5"/>
      <c r="O679" s="5"/>
      <c r="P679" s="5"/>
      <c r="Q679" s="14"/>
      <c r="R679" s="15">
        <f t="shared" si="10"/>
        <v>0</v>
      </c>
    </row>
    <row r="680" spans="2:18" x14ac:dyDescent="0.35">
      <c r="B680" s="9">
        <v>701</v>
      </c>
      <c r="C680" s="9"/>
      <c r="D680" s="9"/>
      <c r="E680" s="9"/>
      <c r="F680" s="9"/>
      <c r="G680" s="9"/>
      <c r="H680" s="9"/>
      <c r="I680" s="11" t="e">
        <f>VLOOKUP(H680,위치!B:C,2,0)</f>
        <v>#N/A</v>
      </c>
      <c r="J680" s="9"/>
      <c r="K680" s="9"/>
      <c r="L680" s="9" t="e">
        <f>VLOOKUP(H680,위치!B:D,3,0)</f>
        <v>#N/A</v>
      </c>
      <c r="M680" s="12"/>
      <c r="N680" s="5"/>
      <c r="O680" s="5"/>
      <c r="P680" s="5"/>
      <c r="Q680" s="14"/>
      <c r="R680" s="15">
        <f t="shared" si="10"/>
        <v>0</v>
      </c>
    </row>
    <row r="681" spans="2:18" x14ac:dyDescent="0.35">
      <c r="B681" s="9">
        <v>702</v>
      </c>
      <c r="C681" s="9"/>
      <c r="D681" s="9"/>
      <c r="E681" s="9"/>
      <c r="F681" s="9"/>
      <c r="G681" s="9"/>
      <c r="H681" s="9"/>
      <c r="I681" s="11" t="e">
        <f>VLOOKUP(H681,위치!B:C,2,0)</f>
        <v>#N/A</v>
      </c>
      <c r="J681" s="9"/>
      <c r="K681" s="9"/>
      <c r="L681" s="9" t="e">
        <f>VLOOKUP(H681,위치!B:D,3,0)</f>
        <v>#N/A</v>
      </c>
      <c r="M681" s="12"/>
      <c r="N681" s="5"/>
      <c r="O681" s="5"/>
      <c r="P681" s="5"/>
      <c r="Q681" s="14"/>
      <c r="R681" s="15">
        <f t="shared" si="10"/>
        <v>0</v>
      </c>
    </row>
    <row r="682" spans="2:18" x14ac:dyDescent="0.35">
      <c r="B682" s="9">
        <v>703</v>
      </c>
      <c r="C682" s="9"/>
      <c r="D682" s="9"/>
      <c r="E682" s="9"/>
      <c r="F682" s="9"/>
      <c r="G682" s="9"/>
      <c r="H682" s="9"/>
      <c r="I682" s="11" t="e">
        <f>VLOOKUP(H682,위치!B:C,2,0)</f>
        <v>#N/A</v>
      </c>
      <c r="J682" s="9"/>
      <c r="K682" s="9"/>
      <c r="L682" s="9" t="e">
        <f>VLOOKUP(H682,위치!B:D,3,0)</f>
        <v>#N/A</v>
      </c>
      <c r="M682" s="12"/>
      <c r="N682" s="5"/>
      <c r="O682" s="5"/>
      <c r="P682" s="5"/>
      <c r="Q682" s="14"/>
      <c r="R682" s="15">
        <f t="shared" si="10"/>
        <v>0</v>
      </c>
    </row>
    <row r="683" spans="2:18" x14ac:dyDescent="0.35">
      <c r="B683" s="9">
        <v>704</v>
      </c>
      <c r="C683" s="9"/>
      <c r="D683" s="9"/>
      <c r="E683" s="9"/>
      <c r="F683" s="9"/>
      <c r="G683" s="9"/>
      <c r="H683" s="9"/>
      <c r="I683" s="11" t="e">
        <f>VLOOKUP(H683,위치!B:C,2,0)</f>
        <v>#N/A</v>
      </c>
      <c r="J683" s="21"/>
      <c r="K683" s="21"/>
      <c r="L683" s="9" t="e">
        <f>VLOOKUP(H683,위치!B:D,3,0)</f>
        <v>#N/A</v>
      </c>
      <c r="M683" s="12"/>
      <c r="N683" s="5"/>
      <c r="O683" s="5"/>
      <c r="P683" s="5"/>
      <c r="Q683" s="14"/>
      <c r="R683" s="15">
        <f t="shared" si="10"/>
        <v>0</v>
      </c>
    </row>
    <row r="684" spans="2:18" x14ac:dyDescent="0.35">
      <c r="B684" s="9">
        <v>705</v>
      </c>
      <c r="C684" s="9"/>
      <c r="D684" s="9"/>
      <c r="E684" s="9"/>
      <c r="F684" s="9"/>
      <c r="G684" s="9"/>
      <c r="H684" s="9"/>
      <c r="I684" s="11" t="e">
        <f>VLOOKUP(H684,위치!B:C,2,0)</f>
        <v>#N/A</v>
      </c>
      <c r="J684" s="21"/>
      <c r="K684" s="21"/>
      <c r="L684" s="9" t="e">
        <f>VLOOKUP(H684,위치!B:D,3,0)</f>
        <v>#N/A</v>
      </c>
      <c r="M684" s="12"/>
      <c r="N684" s="5"/>
      <c r="O684" s="5"/>
      <c r="P684" s="5"/>
      <c r="Q684" s="14"/>
      <c r="R684" s="15">
        <f t="shared" si="10"/>
        <v>0</v>
      </c>
    </row>
    <row r="685" spans="2:18" x14ac:dyDescent="0.35">
      <c r="B685" s="9">
        <v>1070</v>
      </c>
      <c r="C685" s="9"/>
      <c r="D685" s="9"/>
      <c r="E685" s="9"/>
      <c r="F685" s="9"/>
      <c r="G685" s="9"/>
      <c r="H685" s="9"/>
      <c r="I685" s="11" t="e">
        <f>VLOOKUP(H685,위치!B:C,2,0)</f>
        <v>#N/A</v>
      </c>
      <c r="J685" s="9"/>
      <c r="K685" s="9"/>
      <c r="L685" s="9" t="e">
        <f>VLOOKUP(H685,위치!B:D,3,0)</f>
        <v>#N/A</v>
      </c>
      <c r="M685" s="12"/>
      <c r="N685" s="5"/>
      <c r="O685" s="5"/>
      <c r="P685" s="5"/>
      <c r="Q685" s="14"/>
      <c r="R685" s="15">
        <f t="shared" si="10"/>
        <v>0</v>
      </c>
    </row>
    <row r="686" spans="2:18" x14ac:dyDescent="0.35">
      <c r="B686" s="9">
        <v>707</v>
      </c>
      <c r="C686" s="9"/>
      <c r="D686" s="9"/>
      <c r="E686" s="9"/>
      <c r="F686" s="9"/>
      <c r="G686" s="9"/>
      <c r="H686" s="9"/>
      <c r="I686" s="11" t="e">
        <f>VLOOKUP(H686,위치!B:C,2,0)</f>
        <v>#N/A</v>
      </c>
      <c r="J686" s="21"/>
      <c r="K686" s="21"/>
      <c r="L686" s="9" t="e">
        <f>VLOOKUP(H686,위치!B:D,3,0)</f>
        <v>#N/A</v>
      </c>
      <c r="M686" s="12"/>
      <c r="N686" s="5"/>
      <c r="O686" s="5"/>
      <c r="P686" s="5"/>
      <c r="Q686" s="14"/>
      <c r="R686" s="15">
        <f t="shared" si="10"/>
        <v>0</v>
      </c>
    </row>
    <row r="687" spans="2:18" x14ac:dyDescent="0.35">
      <c r="B687" s="9">
        <v>708</v>
      </c>
      <c r="C687" s="9"/>
      <c r="D687" s="9"/>
      <c r="E687" s="9"/>
      <c r="F687" s="9"/>
      <c r="G687" s="9"/>
      <c r="H687" s="9"/>
      <c r="I687" s="11" t="e">
        <f>VLOOKUP(H687,위치!B:C,2,0)</f>
        <v>#N/A</v>
      </c>
      <c r="J687" s="9"/>
      <c r="K687" s="9"/>
      <c r="L687" s="9" t="e">
        <f>VLOOKUP(H687,위치!B:D,3,0)</f>
        <v>#N/A</v>
      </c>
      <c r="M687" s="12"/>
      <c r="N687" s="5"/>
      <c r="O687" s="5"/>
      <c r="P687" s="5"/>
      <c r="Q687" s="14"/>
      <c r="R687" s="15">
        <f t="shared" si="10"/>
        <v>0</v>
      </c>
    </row>
    <row r="688" spans="2:18" x14ac:dyDescent="0.35">
      <c r="B688" s="9">
        <v>709</v>
      </c>
      <c r="C688" s="9"/>
      <c r="D688" s="9"/>
      <c r="E688" s="9"/>
      <c r="F688" s="9"/>
      <c r="G688" s="9"/>
      <c r="H688" s="9"/>
      <c r="I688" s="11" t="e">
        <f>VLOOKUP(H688,위치!B:C,2,0)</f>
        <v>#N/A</v>
      </c>
      <c r="J688" s="9"/>
      <c r="K688" s="9"/>
      <c r="L688" s="9" t="e">
        <f>VLOOKUP(H688,위치!B:D,3,0)</f>
        <v>#N/A</v>
      </c>
      <c r="M688" s="12"/>
      <c r="N688" s="5"/>
      <c r="O688" s="5"/>
      <c r="P688" s="5"/>
      <c r="Q688" s="14"/>
      <c r="R688" s="15">
        <f t="shared" si="10"/>
        <v>0</v>
      </c>
    </row>
    <row r="689" spans="2:18" x14ac:dyDescent="0.35">
      <c r="B689" s="9">
        <v>710</v>
      </c>
      <c r="C689" s="9"/>
      <c r="D689" s="9"/>
      <c r="E689" s="9"/>
      <c r="F689" s="9"/>
      <c r="G689" s="9"/>
      <c r="H689" s="9"/>
      <c r="I689" s="11" t="e">
        <f>VLOOKUP(H689,위치!B:C,2,0)</f>
        <v>#N/A</v>
      </c>
      <c r="J689" s="9"/>
      <c r="K689" s="9"/>
      <c r="L689" s="9" t="e">
        <f>VLOOKUP(H689,위치!B:D,3,0)</f>
        <v>#N/A</v>
      </c>
      <c r="M689" s="12"/>
      <c r="N689" s="5"/>
      <c r="O689" s="5"/>
      <c r="P689" s="5"/>
      <c r="Q689" s="14"/>
      <c r="R689" s="15">
        <f t="shared" si="10"/>
        <v>0</v>
      </c>
    </row>
    <row r="690" spans="2:18" x14ac:dyDescent="0.35">
      <c r="B690" s="9">
        <v>711</v>
      </c>
      <c r="C690" s="9"/>
      <c r="D690" s="9"/>
      <c r="E690" s="9"/>
      <c r="F690" s="9"/>
      <c r="G690" s="9"/>
      <c r="H690" s="9"/>
      <c r="I690" s="11" t="e">
        <f>VLOOKUP(H690,위치!B:C,2,0)</f>
        <v>#N/A</v>
      </c>
      <c r="J690" s="9"/>
      <c r="K690" s="9"/>
      <c r="L690" s="9" t="e">
        <f>VLOOKUP(H690,위치!B:D,3,0)</f>
        <v>#N/A</v>
      </c>
      <c r="M690" s="12"/>
      <c r="N690" s="5"/>
      <c r="O690" s="5"/>
      <c r="P690" s="5"/>
      <c r="Q690" s="14"/>
      <c r="R690" s="15">
        <f t="shared" si="10"/>
        <v>0</v>
      </c>
    </row>
    <row r="691" spans="2:18" x14ac:dyDescent="0.35">
      <c r="B691" s="9">
        <v>712</v>
      </c>
      <c r="C691" s="9"/>
      <c r="D691" s="9"/>
      <c r="E691" s="9"/>
      <c r="F691" s="9"/>
      <c r="G691" s="9"/>
      <c r="H691" s="9"/>
      <c r="I691" s="11" t="e">
        <f>VLOOKUP(H691,위치!B:C,2,0)</f>
        <v>#N/A</v>
      </c>
      <c r="J691" s="9"/>
      <c r="K691" s="9"/>
      <c r="L691" s="9" t="e">
        <f>VLOOKUP(H691,위치!B:D,3,0)</f>
        <v>#N/A</v>
      </c>
      <c r="M691" s="12"/>
      <c r="N691" s="5"/>
      <c r="O691" s="5"/>
      <c r="P691" s="5"/>
      <c r="Q691" s="14"/>
      <c r="R691" s="15">
        <f t="shared" si="10"/>
        <v>0</v>
      </c>
    </row>
    <row r="692" spans="2:18" x14ac:dyDescent="0.35">
      <c r="B692" s="9">
        <v>713</v>
      </c>
      <c r="C692" s="9"/>
      <c r="D692" s="9"/>
      <c r="E692" s="9"/>
      <c r="F692" s="9"/>
      <c r="G692" s="9"/>
      <c r="H692" s="9"/>
      <c r="I692" s="11" t="e">
        <f>VLOOKUP(H692,위치!B:C,2,0)</f>
        <v>#N/A</v>
      </c>
      <c r="J692" s="9"/>
      <c r="K692" s="9"/>
      <c r="L692" s="9" t="e">
        <f>VLOOKUP(H692,위치!B:D,3,0)</f>
        <v>#N/A</v>
      </c>
      <c r="M692" s="12"/>
      <c r="N692" s="5"/>
      <c r="O692" s="5"/>
      <c r="P692" s="5"/>
      <c r="Q692" s="14"/>
      <c r="R692" s="15">
        <f t="shared" si="10"/>
        <v>0</v>
      </c>
    </row>
    <row r="693" spans="2:18" x14ac:dyDescent="0.35">
      <c r="B693" s="9">
        <v>714</v>
      </c>
      <c r="C693" s="9"/>
      <c r="D693" s="9"/>
      <c r="E693" s="9"/>
      <c r="F693" s="9"/>
      <c r="G693" s="9"/>
      <c r="H693" s="9"/>
      <c r="I693" s="11" t="e">
        <f>VLOOKUP(H693,위치!B:C,2,0)</f>
        <v>#N/A</v>
      </c>
      <c r="J693" s="9"/>
      <c r="K693" s="9"/>
      <c r="L693" s="9" t="e">
        <f>VLOOKUP(H693,위치!B:D,3,0)</f>
        <v>#N/A</v>
      </c>
      <c r="M693" s="12"/>
      <c r="N693" s="5"/>
      <c r="O693" s="5"/>
      <c r="P693" s="5"/>
      <c r="Q693" s="14"/>
      <c r="R693" s="15">
        <f t="shared" si="10"/>
        <v>0</v>
      </c>
    </row>
    <row r="694" spans="2:18" x14ac:dyDescent="0.35">
      <c r="B694" s="9">
        <v>715</v>
      </c>
      <c r="C694" s="9"/>
      <c r="D694" s="9"/>
      <c r="E694" s="9"/>
      <c r="F694" s="9"/>
      <c r="G694" s="9"/>
      <c r="H694" s="9"/>
      <c r="I694" s="11" t="e">
        <f>VLOOKUP(H694,위치!B:C,2,0)</f>
        <v>#N/A</v>
      </c>
      <c r="J694" s="9"/>
      <c r="K694" s="9"/>
      <c r="L694" s="9" t="e">
        <f>VLOOKUP(H694,위치!B:D,3,0)</f>
        <v>#N/A</v>
      </c>
      <c r="M694" s="12"/>
      <c r="N694" s="5"/>
      <c r="O694" s="5"/>
      <c r="P694" s="5"/>
      <c r="Q694" s="14"/>
      <c r="R694" s="15">
        <f t="shared" si="10"/>
        <v>0</v>
      </c>
    </row>
    <row r="695" spans="2:18" x14ac:dyDescent="0.35">
      <c r="B695" s="9">
        <v>716</v>
      </c>
      <c r="C695" s="9"/>
      <c r="D695" s="9"/>
      <c r="E695" s="9"/>
      <c r="F695" s="9"/>
      <c r="G695" s="9"/>
      <c r="H695" s="9"/>
      <c r="I695" s="11" t="e">
        <f>VLOOKUP(H695,위치!B:C,2,0)</f>
        <v>#N/A</v>
      </c>
      <c r="J695" s="9"/>
      <c r="K695" s="9"/>
      <c r="L695" s="9" t="e">
        <f>VLOOKUP(H695,위치!B:D,3,0)</f>
        <v>#N/A</v>
      </c>
      <c r="M695" s="12"/>
      <c r="N695" s="5"/>
      <c r="O695" s="5"/>
      <c r="P695" s="5"/>
      <c r="Q695" s="14"/>
      <c r="R695" s="15">
        <f t="shared" si="10"/>
        <v>0</v>
      </c>
    </row>
    <row r="696" spans="2:18" x14ac:dyDescent="0.35">
      <c r="B696" s="9">
        <v>717</v>
      </c>
      <c r="C696" s="9"/>
      <c r="D696" s="9"/>
      <c r="E696" s="9"/>
      <c r="F696" s="9"/>
      <c r="G696" s="9"/>
      <c r="H696" s="9"/>
      <c r="I696" s="11" t="e">
        <f>VLOOKUP(H696,위치!B:C,2,0)</f>
        <v>#N/A</v>
      </c>
      <c r="J696" s="9"/>
      <c r="K696" s="9"/>
      <c r="L696" s="9" t="e">
        <f>VLOOKUP(H696,위치!B:D,3,0)</f>
        <v>#N/A</v>
      </c>
      <c r="M696" s="12"/>
      <c r="N696" s="5"/>
      <c r="O696" s="5"/>
      <c r="P696" s="5"/>
      <c r="Q696" s="14"/>
      <c r="R696" s="15">
        <f t="shared" si="10"/>
        <v>0</v>
      </c>
    </row>
    <row r="697" spans="2:18" x14ac:dyDescent="0.35">
      <c r="B697" s="9">
        <v>718</v>
      </c>
      <c r="C697" s="9"/>
      <c r="D697" s="9"/>
      <c r="E697" s="9"/>
      <c r="F697" s="9"/>
      <c r="G697" s="9"/>
      <c r="H697" s="9"/>
      <c r="I697" s="11" t="e">
        <f>VLOOKUP(H697,위치!B:C,2,0)</f>
        <v>#N/A</v>
      </c>
      <c r="J697" s="9"/>
      <c r="K697" s="9"/>
      <c r="L697" s="9" t="e">
        <f>VLOOKUP(H697,위치!B:D,3,0)</f>
        <v>#N/A</v>
      </c>
      <c r="M697" s="12"/>
      <c r="N697" s="5"/>
      <c r="O697" s="5"/>
      <c r="P697" s="5"/>
      <c r="Q697" s="14"/>
      <c r="R697" s="15">
        <f t="shared" si="10"/>
        <v>0</v>
      </c>
    </row>
    <row r="698" spans="2:18" x14ac:dyDescent="0.35">
      <c r="B698" s="9">
        <v>719</v>
      </c>
      <c r="C698" s="9"/>
      <c r="D698" s="9"/>
      <c r="E698" s="9"/>
      <c r="F698" s="9"/>
      <c r="G698" s="9"/>
      <c r="H698" s="9"/>
      <c r="I698" s="11" t="e">
        <f>VLOOKUP(H698,위치!B:C,2,0)</f>
        <v>#N/A</v>
      </c>
      <c r="J698" s="9"/>
      <c r="K698" s="9"/>
      <c r="L698" s="9" t="e">
        <f>VLOOKUP(H698,위치!B:D,3,0)</f>
        <v>#N/A</v>
      </c>
      <c r="M698" s="12"/>
      <c r="N698" s="5"/>
      <c r="O698" s="5"/>
      <c r="P698" s="5"/>
      <c r="Q698" s="14"/>
      <c r="R698" s="15">
        <f t="shared" si="10"/>
        <v>0</v>
      </c>
    </row>
    <row r="699" spans="2:18" x14ac:dyDescent="0.35">
      <c r="B699" s="9">
        <v>720</v>
      </c>
      <c r="C699" s="9"/>
      <c r="D699" s="9"/>
      <c r="E699" s="9"/>
      <c r="F699" s="9"/>
      <c r="G699" s="9"/>
      <c r="H699" s="9"/>
      <c r="I699" s="11" t="e">
        <f>VLOOKUP(H699,위치!B:C,2,0)</f>
        <v>#N/A</v>
      </c>
      <c r="J699" s="9"/>
      <c r="K699" s="9"/>
      <c r="L699" s="9" t="e">
        <f>VLOOKUP(H699,위치!B:D,3,0)</f>
        <v>#N/A</v>
      </c>
      <c r="M699" s="12"/>
      <c r="N699" s="5"/>
      <c r="O699" s="5"/>
      <c r="P699" s="5"/>
      <c r="Q699" s="14"/>
      <c r="R699" s="15">
        <f t="shared" si="10"/>
        <v>0</v>
      </c>
    </row>
    <row r="700" spans="2:18" x14ac:dyDescent="0.35">
      <c r="B700" s="9">
        <v>721</v>
      </c>
      <c r="C700" s="9"/>
      <c r="D700" s="9"/>
      <c r="E700" s="9"/>
      <c r="F700" s="9"/>
      <c r="G700" s="9"/>
      <c r="H700" s="9"/>
      <c r="I700" s="11" t="e">
        <f>VLOOKUP(H700,위치!B:C,2,0)</f>
        <v>#N/A</v>
      </c>
      <c r="J700" s="9"/>
      <c r="K700" s="9"/>
      <c r="L700" s="9" t="e">
        <f>VLOOKUP(H700,위치!B:D,3,0)</f>
        <v>#N/A</v>
      </c>
      <c r="M700" s="12"/>
      <c r="N700" s="5"/>
      <c r="O700" s="5"/>
      <c r="P700" s="5"/>
      <c r="Q700" s="14"/>
      <c r="R700" s="15">
        <f t="shared" si="10"/>
        <v>0</v>
      </c>
    </row>
    <row r="701" spans="2:18" x14ac:dyDescent="0.35">
      <c r="B701" s="9">
        <v>722</v>
      </c>
      <c r="C701" s="9"/>
      <c r="D701" s="9"/>
      <c r="E701" s="9"/>
      <c r="F701" s="9"/>
      <c r="G701" s="9"/>
      <c r="H701" s="9"/>
      <c r="I701" s="11" t="e">
        <f>VLOOKUP(H701,위치!B:C,2,0)</f>
        <v>#N/A</v>
      </c>
      <c r="J701" s="9"/>
      <c r="K701" s="9"/>
      <c r="L701" s="9" t="e">
        <f>VLOOKUP(H701,위치!B:D,3,0)</f>
        <v>#N/A</v>
      </c>
      <c r="M701" s="12"/>
      <c r="N701" s="5"/>
      <c r="O701" s="5"/>
      <c r="P701" s="5"/>
      <c r="Q701" s="14"/>
      <c r="R701" s="15">
        <f t="shared" si="10"/>
        <v>0</v>
      </c>
    </row>
    <row r="702" spans="2:18" x14ac:dyDescent="0.35">
      <c r="B702" s="9">
        <v>723</v>
      </c>
      <c r="C702" s="9"/>
      <c r="D702" s="9"/>
      <c r="E702" s="9"/>
      <c r="F702" s="9"/>
      <c r="G702" s="9"/>
      <c r="H702" s="9"/>
      <c r="I702" s="11" t="e">
        <f>VLOOKUP(H702,위치!B:C,2,0)</f>
        <v>#N/A</v>
      </c>
      <c r="J702" s="9"/>
      <c r="K702" s="9"/>
      <c r="L702" s="9" t="e">
        <f>VLOOKUP(H702,위치!B:D,3,0)</f>
        <v>#N/A</v>
      </c>
      <c r="M702" s="12"/>
      <c r="N702" s="5"/>
      <c r="O702" s="5"/>
      <c r="P702" s="5"/>
      <c r="Q702" s="14"/>
      <c r="R702" s="15">
        <f t="shared" si="10"/>
        <v>0</v>
      </c>
    </row>
    <row r="703" spans="2:18" x14ac:dyDescent="0.35">
      <c r="B703" s="9">
        <v>724</v>
      </c>
      <c r="C703" s="9"/>
      <c r="D703" s="9"/>
      <c r="E703" s="9"/>
      <c r="F703" s="9"/>
      <c r="G703" s="9"/>
      <c r="H703" s="9"/>
      <c r="I703" s="11" t="e">
        <f>VLOOKUP(H703,위치!B:C,2,0)</f>
        <v>#N/A</v>
      </c>
      <c r="J703" s="9"/>
      <c r="K703" s="9"/>
      <c r="L703" s="9" t="e">
        <f>VLOOKUP(H703,위치!B:D,3,0)</f>
        <v>#N/A</v>
      </c>
      <c r="M703" s="12"/>
      <c r="N703" s="5"/>
      <c r="O703" s="5"/>
      <c r="P703" s="5"/>
      <c r="Q703" s="14"/>
      <c r="R703" s="15">
        <f t="shared" si="10"/>
        <v>0</v>
      </c>
    </row>
    <row r="704" spans="2:18" x14ac:dyDescent="0.35">
      <c r="B704" s="9">
        <v>725</v>
      </c>
      <c r="C704" s="9"/>
      <c r="D704" s="9"/>
      <c r="E704" s="9"/>
      <c r="F704" s="9"/>
      <c r="G704" s="9"/>
      <c r="H704" s="9"/>
      <c r="I704" s="11" t="e">
        <f>VLOOKUP(H704,위치!B:C,2,0)</f>
        <v>#N/A</v>
      </c>
      <c r="J704" s="9"/>
      <c r="K704" s="9"/>
      <c r="L704" s="9" t="e">
        <f>VLOOKUP(H704,위치!B:D,3,0)</f>
        <v>#N/A</v>
      </c>
      <c r="M704" s="12"/>
      <c r="N704" s="5"/>
      <c r="O704" s="5"/>
      <c r="P704" s="5"/>
      <c r="Q704" s="14"/>
      <c r="R704" s="15">
        <f t="shared" si="10"/>
        <v>0</v>
      </c>
    </row>
    <row r="705" spans="2:18" x14ac:dyDescent="0.35">
      <c r="B705" s="9">
        <v>726</v>
      </c>
      <c r="C705" s="9"/>
      <c r="D705" s="9"/>
      <c r="E705" s="9"/>
      <c r="F705" s="9"/>
      <c r="G705" s="9"/>
      <c r="H705" s="9"/>
      <c r="I705" s="11" t="e">
        <f>VLOOKUP(H705,위치!B:C,2,0)</f>
        <v>#N/A</v>
      </c>
      <c r="J705" s="9"/>
      <c r="K705" s="9"/>
      <c r="L705" s="9" t="e">
        <f>VLOOKUP(H705,위치!B:D,3,0)</f>
        <v>#N/A</v>
      </c>
      <c r="M705" s="12"/>
      <c r="N705" s="5"/>
      <c r="O705" s="5"/>
      <c r="P705" s="5"/>
      <c r="Q705" s="14"/>
      <c r="R705" s="15">
        <f t="shared" si="10"/>
        <v>0</v>
      </c>
    </row>
    <row r="706" spans="2:18" x14ac:dyDescent="0.35">
      <c r="B706" s="9">
        <v>727</v>
      </c>
      <c r="C706" s="9"/>
      <c r="D706" s="9"/>
      <c r="E706" s="9"/>
      <c r="F706" s="9"/>
      <c r="G706" s="9"/>
      <c r="H706" s="9"/>
      <c r="I706" s="11" t="e">
        <f>VLOOKUP(H706,위치!B:C,2,0)</f>
        <v>#N/A</v>
      </c>
      <c r="J706" s="9"/>
      <c r="K706" s="9"/>
      <c r="L706" s="9" t="e">
        <f>VLOOKUP(H706,위치!B:D,3,0)</f>
        <v>#N/A</v>
      </c>
      <c r="M706" s="12"/>
      <c r="N706" s="5"/>
      <c r="O706" s="5"/>
      <c r="P706" s="5"/>
      <c r="Q706" s="14"/>
      <c r="R706" s="15">
        <f t="shared" si="10"/>
        <v>0</v>
      </c>
    </row>
    <row r="707" spans="2:18" x14ac:dyDescent="0.35">
      <c r="B707" s="9">
        <v>728</v>
      </c>
      <c r="C707" s="9"/>
      <c r="D707" s="9"/>
      <c r="E707" s="9"/>
      <c r="F707" s="9"/>
      <c r="G707" s="9"/>
      <c r="H707" s="9"/>
      <c r="I707" s="11" t="e">
        <f>VLOOKUP(H707,위치!B:C,2,0)</f>
        <v>#N/A</v>
      </c>
      <c r="J707" s="9"/>
      <c r="K707" s="9"/>
      <c r="L707" s="9" t="e">
        <f>VLOOKUP(H707,위치!B:D,3,0)</f>
        <v>#N/A</v>
      </c>
      <c r="M707" s="12"/>
      <c r="N707" s="5"/>
      <c r="O707" s="5"/>
      <c r="P707" s="5"/>
      <c r="Q707" s="14"/>
      <c r="R707" s="15">
        <f t="shared" si="10"/>
        <v>0</v>
      </c>
    </row>
    <row r="708" spans="2:18" x14ac:dyDescent="0.35">
      <c r="B708" s="9">
        <v>729</v>
      </c>
      <c r="C708" s="9"/>
      <c r="D708" s="9"/>
      <c r="E708" s="9"/>
      <c r="F708" s="9"/>
      <c r="G708" s="9"/>
      <c r="H708" s="9"/>
      <c r="I708" s="11" t="e">
        <f>VLOOKUP(H708,위치!B:C,2,0)</f>
        <v>#N/A</v>
      </c>
      <c r="J708" s="9"/>
      <c r="K708" s="9"/>
      <c r="L708" s="9" t="e">
        <f>VLOOKUP(H708,위치!B:D,3,0)</f>
        <v>#N/A</v>
      </c>
      <c r="M708" s="12"/>
      <c r="N708" s="5"/>
      <c r="O708" s="5"/>
      <c r="P708" s="5"/>
      <c r="Q708" s="14"/>
      <c r="R708" s="15">
        <f t="shared" si="10"/>
        <v>0</v>
      </c>
    </row>
    <row r="709" spans="2:18" x14ac:dyDescent="0.35">
      <c r="B709" s="9">
        <v>730</v>
      </c>
      <c r="C709" s="9"/>
      <c r="D709" s="9"/>
      <c r="E709" s="9"/>
      <c r="F709" s="9"/>
      <c r="G709" s="9"/>
      <c r="H709" s="9"/>
      <c r="I709" s="11" t="e">
        <f>VLOOKUP(H709,위치!B:C,2,0)</f>
        <v>#N/A</v>
      </c>
      <c r="J709" s="9"/>
      <c r="K709" s="9"/>
      <c r="L709" s="9" t="e">
        <f>VLOOKUP(H709,위치!B:D,3,0)</f>
        <v>#N/A</v>
      </c>
      <c r="M709" s="12"/>
      <c r="N709" s="5"/>
      <c r="O709" s="5"/>
      <c r="P709" s="5"/>
      <c r="Q709" s="14"/>
      <c r="R709" s="15">
        <f t="shared" si="10"/>
        <v>0</v>
      </c>
    </row>
    <row r="710" spans="2:18" x14ac:dyDescent="0.35">
      <c r="B710" s="9">
        <v>731</v>
      </c>
      <c r="C710" s="9"/>
      <c r="D710" s="9"/>
      <c r="E710" s="9"/>
      <c r="F710" s="9"/>
      <c r="G710" s="9"/>
      <c r="H710" s="9"/>
      <c r="I710" s="11" t="e">
        <f>VLOOKUP(H710,위치!B:C,2,0)</f>
        <v>#N/A</v>
      </c>
      <c r="J710" s="9"/>
      <c r="K710" s="9"/>
      <c r="L710" s="9" t="e">
        <f>VLOOKUP(H710,위치!B:D,3,0)</f>
        <v>#N/A</v>
      </c>
      <c r="M710" s="12"/>
      <c r="N710" s="5"/>
      <c r="O710" s="5"/>
      <c r="P710" s="5"/>
      <c r="Q710" s="14"/>
      <c r="R710" s="15">
        <f t="shared" si="10"/>
        <v>0</v>
      </c>
    </row>
    <row r="711" spans="2:18" x14ac:dyDescent="0.35">
      <c r="B711" s="9">
        <v>732</v>
      </c>
      <c r="C711" s="9"/>
      <c r="D711" s="9"/>
      <c r="E711" s="9"/>
      <c r="F711" s="9"/>
      <c r="G711" s="9"/>
      <c r="H711" s="9"/>
      <c r="I711" s="11" t="e">
        <f>VLOOKUP(H711,위치!B:C,2,0)</f>
        <v>#N/A</v>
      </c>
      <c r="J711" s="9"/>
      <c r="K711" s="9"/>
      <c r="L711" s="9" t="e">
        <f>VLOOKUP(H711,위치!B:D,3,0)</f>
        <v>#N/A</v>
      </c>
      <c r="M711" s="12"/>
      <c r="N711" s="5"/>
      <c r="O711" s="5"/>
      <c r="P711" s="5"/>
      <c r="Q711" s="14"/>
      <c r="R711" s="15">
        <f t="shared" ref="R711:R774" si="11">J711-P711</f>
        <v>0</v>
      </c>
    </row>
    <row r="712" spans="2:18" x14ac:dyDescent="0.35">
      <c r="B712" s="9">
        <v>733</v>
      </c>
      <c r="C712" s="9"/>
      <c r="D712" s="9"/>
      <c r="E712" s="9"/>
      <c r="F712" s="9"/>
      <c r="G712" s="9"/>
      <c r="H712" s="9"/>
      <c r="I712" s="11" t="e">
        <f>VLOOKUP(H712,위치!B:C,2,0)</f>
        <v>#N/A</v>
      </c>
      <c r="J712" s="9"/>
      <c r="K712" s="9"/>
      <c r="L712" s="9" t="e">
        <f>VLOOKUP(H712,위치!B:D,3,0)</f>
        <v>#N/A</v>
      </c>
      <c r="M712" s="12"/>
      <c r="N712" s="5"/>
      <c r="O712" s="5"/>
      <c r="P712" s="5"/>
      <c r="Q712" s="14"/>
      <c r="R712" s="15">
        <f t="shared" si="11"/>
        <v>0</v>
      </c>
    </row>
    <row r="713" spans="2:18" x14ac:dyDescent="0.35">
      <c r="B713" s="9">
        <v>734</v>
      </c>
      <c r="C713" s="9"/>
      <c r="D713" s="9"/>
      <c r="E713" s="9"/>
      <c r="F713" s="9"/>
      <c r="G713" s="9"/>
      <c r="H713" s="9"/>
      <c r="I713" s="11" t="e">
        <f>VLOOKUP(H713,위치!B:C,2,0)</f>
        <v>#N/A</v>
      </c>
      <c r="J713" s="9"/>
      <c r="K713" s="9"/>
      <c r="L713" s="9" t="e">
        <f>VLOOKUP(H713,위치!B:D,3,0)</f>
        <v>#N/A</v>
      </c>
      <c r="M713" s="12"/>
      <c r="N713" s="5"/>
      <c r="O713" s="5"/>
      <c r="P713" s="5"/>
      <c r="Q713" s="14"/>
      <c r="R713" s="15">
        <f t="shared" si="11"/>
        <v>0</v>
      </c>
    </row>
    <row r="714" spans="2:18" x14ac:dyDescent="0.35">
      <c r="B714" s="9">
        <v>735</v>
      </c>
      <c r="C714" s="9"/>
      <c r="D714" s="9"/>
      <c r="E714" s="9"/>
      <c r="F714" s="9"/>
      <c r="G714" s="9"/>
      <c r="H714" s="9"/>
      <c r="I714" s="11" t="e">
        <f>VLOOKUP(H714,위치!B:C,2,0)</f>
        <v>#N/A</v>
      </c>
      <c r="J714" s="9"/>
      <c r="K714" s="9"/>
      <c r="L714" s="9" t="e">
        <f>VLOOKUP(H714,위치!B:D,3,0)</f>
        <v>#N/A</v>
      </c>
      <c r="M714" s="12"/>
      <c r="N714" s="5"/>
      <c r="O714" s="5"/>
      <c r="P714" s="5"/>
      <c r="Q714" s="14"/>
      <c r="R714" s="15">
        <f t="shared" si="11"/>
        <v>0</v>
      </c>
    </row>
    <row r="715" spans="2:18" x14ac:dyDescent="0.35">
      <c r="B715" s="9">
        <v>736</v>
      </c>
      <c r="C715" s="9"/>
      <c r="D715" s="9"/>
      <c r="E715" s="9"/>
      <c r="F715" s="9"/>
      <c r="G715" s="9"/>
      <c r="H715" s="9"/>
      <c r="I715" s="11" t="e">
        <f>VLOOKUP(H715,위치!B:C,2,0)</f>
        <v>#N/A</v>
      </c>
      <c r="J715" s="9"/>
      <c r="K715" s="9"/>
      <c r="L715" s="9" t="e">
        <f>VLOOKUP(H715,위치!B:D,3,0)</f>
        <v>#N/A</v>
      </c>
      <c r="M715" s="12"/>
      <c r="N715" s="5"/>
      <c r="O715" s="5"/>
      <c r="P715" s="5"/>
      <c r="Q715" s="14"/>
      <c r="R715" s="15">
        <f t="shared" si="11"/>
        <v>0</v>
      </c>
    </row>
    <row r="716" spans="2:18" x14ac:dyDescent="0.35">
      <c r="B716" s="9">
        <v>737</v>
      </c>
      <c r="C716" s="9"/>
      <c r="D716" s="9"/>
      <c r="E716" s="9"/>
      <c r="F716" s="9"/>
      <c r="G716" s="9"/>
      <c r="H716" s="10"/>
      <c r="I716" s="11" t="e">
        <f>VLOOKUP(H716,위치!B:C,2,0)</f>
        <v>#N/A</v>
      </c>
      <c r="J716" s="9"/>
      <c r="K716" s="9"/>
      <c r="L716" s="9" t="e">
        <f>VLOOKUP(H716,위치!B:D,3,0)</f>
        <v>#N/A</v>
      </c>
      <c r="M716" s="12"/>
      <c r="N716" s="5"/>
      <c r="O716" s="5"/>
      <c r="P716" s="5"/>
      <c r="Q716" s="14"/>
      <c r="R716" s="15">
        <f t="shared" si="11"/>
        <v>0</v>
      </c>
    </row>
    <row r="717" spans="2:18" x14ac:dyDescent="0.35">
      <c r="B717" s="9">
        <v>738</v>
      </c>
      <c r="C717" s="9"/>
      <c r="D717" s="9"/>
      <c r="E717" s="9"/>
      <c r="F717" s="9"/>
      <c r="G717" s="9"/>
      <c r="H717" s="9"/>
      <c r="I717" s="11" t="e">
        <f>VLOOKUP(H717,위치!B:C,2,0)</f>
        <v>#N/A</v>
      </c>
      <c r="J717" s="9"/>
      <c r="K717" s="9"/>
      <c r="L717" s="9" t="e">
        <f>VLOOKUP(H717,위치!B:D,3,0)</f>
        <v>#N/A</v>
      </c>
      <c r="M717" s="12"/>
      <c r="N717" s="5"/>
      <c r="O717" s="5"/>
      <c r="P717" s="5"/>
      <c r="Q717" s="14"/>
      <c r="R717" s="15">
        <f t="shared" si="11"/>
        <v>0</v>
      </c>
    </row>
    <row r="718" spans="2:18" x14ac:dyDescent="0.35">
      <c r="B718" s="9">
        <v>739</v>
      </c>
      <c r="C718" s="9"/>
      <c r="D718" s="9"/>
      <c r="E718" s="9"/>
      <c r="F718" s="9"/>
      <c r="G718" s="9"/>
      <c r="H718" s="9"/>
      <c r="I718" s="11" t="e">
        <f>VLOOKUP(H718,위치!B:C,2,0)</f>
        <v>#N/A</v>
      </c>
      <c r="J718" s="9"/>
      <c r="K718" s="9"/>
      <c r="L718" s="9" t="e">
        <f>VLOOKUP(H718,위치!B:D,3,0)</f>
        <v>#N/A</v>
      </c>
      <c r="M718" s="12"/>
      <c r="N718" s="5"/>
      <c r="O718" s="5"/>
      <c r="P718" s="5"/>
      <c r="Q718" s="14"/>
      <c r="R718" s="15">
        <f t="shared" si="11"/>
        <v>0</v>
      </c>
    </row>
    <row r="719" spans="2:18" x14ac:dyDescent="0.35">
      <c r="B719" s="9">
        <v>740</v>
      </c>
      <c r="C719" s="9"/>
      <c r="D719" s="9"/>
      <c r="E719" s="9"/>
      <c r="F719" s="9"/>
      <c r="G719" s="9"/>
      <c r="H719" s="9"/>
      <c r="I719" s="11" t="e">
        <f>VLOOKUP(H719,위치!B:C,2,0)</f>
        <v>#N/A</v>
      </c>
      <c r="J719" s="9"/>
      <c r="K719" s="9"/>
      <c r="L719" s="9" t="e">
        <f>VLOOKUP(H719,위치!B:D,3,0)</f>
        <v>#N/A</v>
      </c>
      <c r="M719" s="12"/>
      <c r="N719" s="5"/>
      <c r="O719" s="5"/>
      <c r="P719" s="5"/>
      <c r="Q719" s="14"/>
      <c r="R719" s="15">
        <f t="shared" si="11"/>
        <v>0</v>
      </c>
    </row>
    <row r="720" spans="2:18" x14ac:dyDescent="0.35">
      <c r="B720" s="9">
        <v>741</v>
      </c>
      <c r="C720" s="9"/>
      <c r="D720" s="9"/>
      <c r="E720" s="9"/>
      <c r="F720" s="9"/>
      <c r="G720" s="9"/>
      <c r="H720" s="9"/>
      <c r="I720" s="11" t="e">
        <f>VLOOKUP(H720,위치!B:C,2,0)</f>
        <v>#N/A</v>
      </c>
      <c r="J720" s="9"/>
      <c r="K720" s="9"/>
      <c r="L720" s="9" t="e">
        <f>VLOOKUP(H720,위치!B:D,3,0)</f>
        <v>#N/A</v>
      </c>
      <c r="M720" s="12"/>
      <c r="N720" s="5"/>
      <c r="O720" s="5"/>
      <c r="P720" s="5"/>
      <c r="Q720" s="14"/>
      <c r="R720" s="15">
        <f t="shared" si="11"/>
        <v>0</v>
      </c>
    </row>
    <row r="721" spans="2:18" x14ac:dyDescent="0.35">
      <c r="B721" s="9">
        <v>742</v>
      </c>
      <c r="C721" s="9"/>
      <c r="D721" s="9"/>
      <c r="E721" s="9"/>
      <c r="F721" s="9"/>
      <c r="G721" s="9"/>
      <c r="H721" s="9"/>
      <c r="I721" s="11" t="e">
        <f>VLOOKUP(H721,위치!B:C,2,0)</f>
        <v>#N/A</v>
      </c>
      <c r="J721" s="9"/>
      <c r="K721" s="9"/>
      <c r="L721" s="9" t="e">
        <f>VLOOKUP(H721,위치!B:D,3,0)</f>
        <v>#N/A</v>
      </c>
      <c r="M721" s="12"/>
      <c r="N721" s="5"/>
      <c r="O721" s="5"/>
      <c r="P721" s="5"/>
      <c r="Q721" s="14"/>
      <c r="R721" s="15">
        <f t="shared" si="11"/>
        <v>0</v>
      </c>
    </row>
    <row r="722" spans="2:18" x14ac:dyDescent="0.35">
      <c r="B722" s="9">
        <v>743</v>
      </c>
      <c r="C722" s="9"/>
      <c r="D722" s="9"/>
      <c r="E722" s="9"/>
      <c r="F722" s="9"/>
      <c r="G722" s="9"/>
      <c r="H722" s="9"/>
      <c r="I722" s="11" t="e">
        <f>VLOOKUP(H722,위치!B:C,2,0)</f>
        <v>#N/A</v>
      </c>
      <c r="J722" s="9"/>
      <c r="K722" s="9"/>
      <c r="L722" s="9" t="e">
        <f>VLOOKUP(H722,위치!B:D,3,0)</f>
        <v>#N/A</v>
      </c>
      <c r="M722" s="12"/>
      <c r="N722" s="5"/>
      <c r="O722" s="5"/>
      <c r="P722" s="5"/>
      <c r="Q722" s="14"/>
      <c r="R722" s="15">
        <f t="shared" si="11"/>
        <v>0</v>
      </c>
    </row>
    <row r="723" spans="2:18" x14ac:dyDescent="0.35">
      <c r="B723" s="9">
        <v>744</v>
      </c>
      <c r="C723" s="9"/>
      <c r="D723" s="9"/>
      <c r="E723" s="9"/>
      <c r="F723" s="9"/>
      <c r="G723" s="9"/>
      <c r="H723" s="9"/>
      <c r="I723" s="11" t="e">
        <f>VLOOKUP(H723,위치!B:C,2,0)</f>
        <v>#N/A</v>
      </c>
      <c r="J723" s="9"/>
      <c r="K723" s="9"/>
      <c r="L723" s="9" t="e">
        <f>VLOOKUP(H723,위치!B:D,3,0)</f>
        <v>#N/A</v>
      </c>
      <c r="M723" s="12"/>
      <c r="N723" s="5"/>
      <c r="O723" s="5"/>
      <c r="P723" s="5"/>
      <c r="Q723" s="14"/>
      <c r="R723" s="15">
        <f t="shared" si="11"/>
        <v>0</v>
      </c>
    </row>
    <row r="724" spans="2:18" x14ac:dyDescent="0.35">
      <c r="B724" s="9">
        <v>745</v>
      </c>
      <c r="C724" s="9"/>
      <c r="D724" s="9"/>
      <c r="E724" s="9"/>
      <c r="F724" s="9"/>
      <c r="G724" s="9"/>
      <c r="H724" s="9"/>
      <c r="I724" s="11" t="e">
        <f>VLOOKUP(H724,위치!B:C,2,0)</f>
        <v>#N/A</v>
      </c>
      <c r="J724" s="9"/>
      <c r="K724" s="9"/>
      <c r="L724" s="9" t="e">
        <f>VLOOKUP(H724,위치!B:D,3,0)</f>
        <v>#N/A</v>
      </c>
      <c r="M724" s="12"/>
      <c r="N724" s="5"/>
      <c r="O724" s="5"/>
      <c r="P724" s="5"/>
      <c r="Q724" s="14"/>
      <c r="R724" s="15">
        <f t="shared" si="11"/>
        <v>0</v>
      </c>
    </row>
    <row r="725" spans="2:18" x14ac:dyDescent="0.35">
      <c r="B725" s="9">
        <v>746</v>
      </c>
      <c r="C725" s="9"/>
      <c r="D725" s="9"/>
      <c r="E725" s="9"/>
      <c r="F725" s="9"/>
      <c r="G725" s="9"/>
      <c r="H725" s="9"/>
      <c r="I725" s="11" t="e">
        <f>VLOOKUP(H725,위치!B:C,2,0)</f>
        <v>#N/A</v>
      </c>
      <c r="J725" s="9"/>
      <c r="K725" s="9"/>
      <c r="L725" s="9" t="e">
        <f>VLOOKUP(H725,위치!B:D,3,0)</f>
        <v>#N/A</v>
      </c>
      <c r="M725" s="12"/>
      <c r="N725" s="5"/>
      <c r="O725" s="5"/>
      <c r="P725" s="5"/>
      <c r="Q725" s="14"/>
      <c r="R725" s="15">
        <f t="shared" si="11"/>
        <v>0</v>
      </c>
    </row>
    <row r="726" spans="2:18" x14ac:dyDescent="0.35">
      <c r="B726" s="9">
        <v>747</v>
      </c>
      <c r="C726" s="9"/>
      <c r="D726" s="9"/>
      <c r="E726" s="9"/>
      <c r="F726" s="9"/>
      <c r="G726" s="9"/>
      <c r="H726" s="9"/>
      <c r="I726" s="11" t="e">
        <f>VLOOKUP(H726,위치!B:C,2,0)</f>
        <v>#N/A</v>
      </c>
      <c r="J726" s="9"/>
      <c r="K726" s="9"/>
      <c r="L726" s="9" t="e">
        <f>VLOOKUP(H726,위치!B:D,3,0)</f>
        <v>#N/A</v>
      </c>
      <c r="M726" s="12"/>
      <c r="N726" s="5"/>
      <c r="O726" s="5"/>
      <c r="P726" s="5"/>
      <c r="Q726" s="14"/>
      <c r="R726" s="15">
        <f t="shared" si="11"/>
        <v>0</v>
      </c>
    </row>
    <row r="727" spans="2:18" x14ac:dyDescent="0.35">
      <c r="B727" s="9">
        <v>748</v>
      </c>
      <c r="C727" s="9"/>
      <c r="D727" s="9"/>
      <c r="E727" s="9"/>
      <c r="F727" s="9"/>
      <c r="G727" s="9"/>
      <c r="H727" s="9"/>
      <c r="I727" s="11" t="e">
        <f>VLOOKUP(H727,위치!B:C,2,0)</f>
        <v>#N/A</v>
      </c>
      <c r="J727" s="9"/>
      <c r="K727" s="9"/>
      <c r="L727" s="9" t="e">
        <f>VLOOKUP(H727,위치!B:D,3,0)</f>
        <v>#N/A</v>
      </c>
      <c r="M727" s="12"/>
      <c r="N727" s="5"/>
      <c r="O727" s="5"/>
      <c r="P727" s="5"/>
      <c r="Q727" s="14"/>
      <c r="R727" s="15">
        <f t="shared" si="11"/>
        <v>0</v>
      </c>
    </row>
    <row r="728" spans="2:18" x14ac:dyDescent="0.35">
      <c r="B728" s="9">
        <v>749</v>
      </c>
      <c r="C728" s="9"/>
      <c r="D728" s="9"/>
      <c r="E728" s="9"/>
      <c r="F728" s="9"/>
      <c r="G728" s="9"/>
      <c r="H728" s="9"/>
      <c r="I728" s="11" t="e">
        <f>VLOOKUP(H728,위치!B:C,2,0)</f>
        <v>#N/A</v>
      </c>
      <c r="J728" s="9"/>
      <c r="K728" s="9"/>
      <c r="L728" s="9" t="e">
        <f>VLOOKUP(H728,위치!B:D,3,0)</f>
        <v>#N/A</v>
      </c>
      <c r="M728" s="12"/>
      <c r="N728" s="5"/>
      <c r="O728" s="5"/>
      <c r="P728" s="5"/>
      <c r="Q728" s="14"/>
      <c r="R728" s="15">
        <f t="shared" si="11"/>
        <v>0</v>
      </c>
    </row>
    <row r="729" spans="2:18" x14ac:dyDescent="0.35">
      <c r="B729" s="9">
        <v>750</v>
      </c>
      <c r="C729" s="9"/>
      <c r="D729" s="9"/>
      <c r="E729" s="9"/>
      <c r="F729" s="9"/>
      <c r="G729" s="9"/>
      <c r="H729" s="9"/>
      <c r="I729" s="11" t="e">
        <f>VLOOKUP(H729,위치!B:C,2,0)</f>
        <v>#N/A</v>
      </c>
      <c r="J729" s="9"/>
      <c r="K729" s="9"/>
      <c r="L729" s="9" t="e">
        <f>VLOOKUP(H729,위치!B:D,3,0)</f>
        <v>#N/A</v>
      </c>
      <c r="M729" s="12"/>
      <c r="N729" s="5"/>
      <c r="O729" s="5"/>
      <c r="P729" s="5"/>
      <c r="Q729" s="14"/>
      <c r="R729" s="15">
        <f t="shared" si="11"/>
        <v>0</v>
      </c>
    </row>
    <row r="730" spans="2:18" x14ac:dyDescent="0.35">
      <c r="B730" s="9">
        <v>751</v>
      </c>
      <c r="C730" s="9"/>
      <c r="D730" s="9"/>
      <c r="E730" s="9"/>
      <c r="F730" s="9"/>
      <c r="G730" s="9"/>
      <c r="H730" s="9"/>
      <c r="I730" s="11" t="e">
        <f>VLOOKUP(H730,위치!B:C,2,0)</f>
        <v>#N/A</v>
      </c>
      <c r="J730" s="9"/>
      <c r="K730" s="9"/>
      <c r="L730" s="9" t="e">
        <f>VLOOKUP(H730,위치!B:D,3,0)</f>
        <v>#N/A</v>
      </c>
      <c r="M730" s="12"/>
      <c r="N730" s="5"/>
      <c r="O730" s="5"/>
      <c r="P730" s="5"/>
      <c r="Q730" s="14"/>
      <c r="R730" s="15">
        <f t="shared" si="11"/>
        <v>0</v>
      </c>
    </row>
    <row r="731" spans="2:18" x14ac:dyDescent="0.35">
      <c r="B731" s="9">
        <v>752</v>
      </c>
      <c r="C731" s="9"/>
      <c r="D731" s="9"/>
      <c r="E731" s="9"/>
      <c r="F731" s="9"/>
      <c r="G731" s="9"/>
      <c r="H731" s="9"/>
      <c r="I731" s="11" t="e">
        <f>VLOOKUP(H731,위치!B:C,2,0)</f>
        <v>#N/A</v>
      </c>
      <c r="J731" s="9"/>
      <c r="K731" s="9"/>
      <c r="L731" s="9" t="e">
        <f>VLOOKUP(H731,위치!B:D,3,0)</f>
        <v>#N/A</v>
      </c>
      <c r="M731" s="12"/>
      <c r="N731" s="5"/>
      <c r="O731" s="5"/>
      <c r="P731" s="5"/>
      <c r="Q731" s="14"/>
      <c r="R731" s="15">
        <f t="shared" si="11"/>
        <v>0</v>
      </c>
    </row>
    <row r="732" spans="2:18" x14ac:dyDescent="0.35">
      <c r="B732" s="9">
        <v>753</v>
      </c>
      <c r="C732" s="9"/>
      <c r="D732" s="9"/>
      <c r="E732" s="9"/>
      <c r="F732" s="9"/>
      <c r="G732" s="9"/>
      <c r="H732" s="9"/>
      <c r="I732" s="11" t="e">
        <f>VLOOKUP(H732,위치!B:C,2,0)</f>
        <v>#N/A</v>
      </c>
      <c r="J732" s="9"/>
      <c r="K732" s="9"/>
      <c r="L732" s="9" t="e">
        <f>VLOOKUP(H732,위치!B:D,3,0)</f>
        <v>#N/A</v>
      </c>
      <c r="M732" s="12"/>
      <c r="N732" s="5"/>
      <c r="O732" s="5"/>
      <c r="P732" s="5"/>
      <c r="Q732" s="14"/>
      <c r="R732" s="15">
        <f t="shared" si="11"/>
        <v>0</v>
      </c>
    </row>
    <row r="733" spans="2:18" x14ac:dyDescent="0.35">
      <c r="B733" s="9">
        <v>754</v>
      </c>
      <c r="C733" s="9"/>
      <c r="D733" s="9"/>
      <c r="E733" s="9"/>
      <c r="F733" s="9"/>
      <c r="G733" s="9"/>
      <c r="H733" s="9"/>
      <c r="I733" s="11" t="e">
        <f>VLOOKUP(H733,위치!B:C,2,0)</f>
        <v>#N/A</v>
      </c>
      <c r="J733" s="9"/>
      <c r="K733" s="9"/>
      <c r="L733" s="9" t="e">
        <f>VLOOKUP(H733,위치!B:D,3,0)</f>
        <v>#N/A</v>
      </c>
      <c r="M733" s="12"/>
      <c r="N733" s="5"/>
      <c r="O733" s="5"/>
      <c r="P733" s="5"/>
      <c r="Q733" s="14"/>
      <c r="R733" s="15">
        <f t="shared" si="11"/>
        <v>0</v>
      </c>
    </row>
    <row r="734" spans="2:18" x14ac:dyDescent="0.35">
      <c r="B734" s="9">
        <v>755</v>
      </c>
      <c r="C734" s="9"/>
      <c r="D734" s="9"/>
      <c r="E734" s="9"/>
      <c r="F734" s="9"/>
      <c r="G734" s="9"/>
      <c r="H734" s="9"/>
      <c r="I734" s="11" t="e">
        <f>VLOOKUP(H734,위치!B:C,2,0)</f>
        <v>#N/A</v>
      </c>
      <c r="J734" s="9"/>
      <c r="K734" s="9"/>
      <c r="L734" s="9" t="e">
        <f>VLOOKUP(H734,위치!B:D,3,0)</f>
        <v>#N/A</v>
      </c>
      <c r="M734" s="12"/>
      <c r="N734" s="5"/>
      <c r="O734" s="5"/>
      <c r="P734" s="5"/>
      <c r="Q734" s="14"/>
      <c r="R734" s="15">
        <f t="shared" si="11"/>
        <v>0</v>
      </c>
    </row>
    <row r="735" spans="2:18" x14ac:dyDescent="0.35">
      <c r="B735" s="9">
        <v>756</v>
      </c>
      <c r="C735" s="9"/>
      <c r="D735" s="9"/>
      <c r="E735" s="9"/>
      <c r="F735" s="9"/>
      <c r="G735" s="9"/>
      <c r="H735" s="9"/>
      <c r="I735" s="11" t="e">
        <f>VLOOKUP(H735,위치!B:C,2,0)</f>
        <v>#N/A</v>
      </c>
      <c r="J735" s="9"/>
      <c r="K735" s="9"/>
      <c r="L735" s="9" t="e">
        <f>VLOOKUP(H735,위치!B:D,3,0)</f>
        <v>#N/A</v>
      </c>
      <c r="M735" s="12"/>
      <c r="N735" s="5"/>
      <c r="O735" s="5"/>
      <c r="P735" s="5"/>
      <c r="Q735" s="14"/>
      <c r="R735" s="15">
        <f t="shared" si="11"/>
        <v>0</v>
      </c>
    </row>
    <row r="736" spans="2:18" x14ac:dyDescent="0.35">
      <c r="B736" s="9">
        <v>757</v>
      </c>
      <c r="C736" s="9"/>
      <c r="D736" s="9"/>
      <c r="E736" s="9"/>
      <c r="F736" s="9"/>
      <c r="G736" s="9"/>
      <c r="H736" s="9"/>
      <c r="I736" s="11" t="e">
        <f>VLOOKUP(H736,위치!B:C,2,0)</f>
        <v>#N/A</v>
      </c>
      <c r="J736" s="9"/>
      <c r="K736" s="9"/>
      <c r="L736" s="9" t="e">
        <f>VLOOKUP(H736,위치!B:D,3,0)</f>
        <v>#N/A</v>
      </c>
      <c r="M736" s="12"/>
      <c r="N736" s="5"/>
      <c r="O736" s="5"/>
      <c r="P736" s="5"/>
      <c r="Q736" s="14"/>
      <c r="R736" s="15">
        <f t="shared" si="11"/>
        <v>0</v>
      </c>
    </row>
    <row r="737" spans="2:18" x14ac:dyDescent="0.35">
      <c r="B737" s="9">
        <v>758</v>
      </c>
      <c r="C737" s="9"/>
      <c r="D737" s="9"/>
      <c r="E737" s="9"/>
      <c r="F737" s="9"/>
      <c r="G737" s="9"/>
      <c r="H737" s="9"/>
      <c r="I737" s="11" t="e">
        <f>VLOOKUP(H737,위치!B:C,2,0)</f>
        <v>#N/A</v>
      </c>
      <c r="J737" s="9"/>
      <c r="K737" s="9"/>
      <c r="L737" s="9" t="e">
        <f>VLOOKUP(H737,위치!B:D,3,0)</f>
        <v>#N/A</v>
      </c>
      <c r="M737" s="12"/>
      <c r="N737" s="5"/>
      <c r="O737" s="5"/>
      <c r="P737" s="5"/>
      <c r="Q737" s="14"/>
      <c r="R737" s="15">
        <f t="shared" si="11"/>
        <v>0</v>
      </c>
    </row>
    <row r="738" spans="2:18" x14ac:dyDescent="0.35">
      <c r="B738" s="9">
        <v>759</v>
      </c>
      <c r="C738" s="9"/>
      <c r="D738" s="9"/>
      <c r="E738" s="9"/>
      <c r="F738" s="9"/>
      <c r="G738" s="9"/>
      <c r="H738" s="9"/>
      <c r="I738" s="11" t="e">
        <f>VLOOKUP(H738,위치!B:C,2,0)</f>
        <v>#N/A</v>
      </c>
      <c r="J738" s="9"/>
      <c r="K738" s="9"/>
      <c r="L738" s="9" t="e">
        <f>VLOOKUP(H738,위치!B:D,3,0)</f>
        <v>#N/A</v>
      </c>
      <c r="M738" s="12"/>
      <c r="N738" s="5"/>
      <c r="O738" s="5"/>
      <c r="P738" s="5"/>
      <c r="Q738" s="14"/>
      <c r="R738" s="15">
        <f t="shared" si="11"/>
        <v>0</v>
      </c>
    </row>
    <row r="739" spans="2:18" x14ac:dyDescent="0.35">
      <c r="B739" s="9">
        <v>760</v>
      </c>
      <c r="C739" s="9"/>
      <c r="D739" s="9"/>
      <c r="E739" s="9"/>
      <c r="F739" s="9"/>
      <c r="G739" s="9"/>
      <c r="H739" s="9"/>
      <c r="I739" s="11" t="e">
        <f>VLOOKUP(H739,위치!B:C,2,0)</f>
        <v>#N/A</v>
      </c>
      <c r="J739" s="9"/>
      <c r="K739" s="9"/>
      <c r="L739" s="9" t="e">
        <f>VLOOKUP(H739,위치!B:D,3,0)</f>
        <v>#N/A</v>
      </c>
      <c r="M739" s="12"/>
      <c r="N739" s="5"/>
      <c r="O739" s="5"/>
      <c r="P739" s="5"/>
      <c r="Q739" s="14"/>
      <c r="R739" s="15">
        <f t="shared" si="11"/>
        <v>0</v>
      </c>
    </row>
    <row r="740" spans="2:18" x14ac:dyDescent="0.35">
      <c r="B740" s="9">
        <v>761</v>
      </c>
      <c r="C740" s="9"/>
      <c r="D740" s="9"/>
      <c r="E740" s="9"/>
      <c r="F740" s="9"/>
      <c r="G740" s="9"/>
      <c r="H740" s="9"/>
      <c r="I740" s="11" t="e">
        <f>VLOOKUP(H740,위치!B:C,2,0)</f>
        <v>#N/A</v>
      </c>
      <c r="J740" s="9"/>
      <c r="K740" s="9"/>
      <c r="L740" s="9" t="e">
        <f>VLOOKUP(H740,위치!B:D,3,0)</f>
        <v>#N/A</v>
      </c>
      <c r="M740" s="12"/>
      <c r="N740" s="5"/>
      <c r="O740" s="5"/>
      <c r="P740" s="5"/>
      <c r="Q740" s="14"/>
      <c r="R740" s="15">
        <f t="shared" si="11"/>
        <v>0</v>
      </c>
    </row>
    <row r="741" spans="2:18" x14ac:dyDescent="0.35">
      <c r="B741" s="9">
        <v>762</v>
      </c>
      <c r="C741" s="9"/>
      <c r="D741" s="9"/>
      <c r="E741" s="9"/>
      <c r="F741" s="9"/>
      <c r="G741" s="9"/>
      <c r="H741" s="9"/>
      <c r="I741" s="11" t="e">
        <f>VLOOKUP(H741,위치!B:C,2,0)</f>
        <v>#N/A</v>
      </c>
      <c r="J741" s="9"/>
      <c r="K741" s="9"/>
      <c r="L741" s="9" t="e">
        <f>VLOOKUP(H741,위치!B:D,3,0)</f>
        <v>#N/A</v>
      </c>
      <c r="M741" s="12"/>
      <c r="N741" s="5"/>
      <c r="O741" s="5"/>
      <c r="P741" s="5"/>
      <c r="Q741" s="14"/>
      <c r="R741" s="15">
        <f t="shared" si="11"/>
        <v>0</v>
      </c>
    </row>
    <row r="742" spans="2:18" x14ac:dyDescent="0.35">
      <c r="B742" s="9">
        <v>763</v>
      </c>
      <c r="C742" s="9"/>
      <c r="D742" s="9"/>
      <c r="E742" s="9"/>
      <c r="F742" s="9"/>
      <c r="G742" s="9"/>
      <c r="H742" s="9"/>
      <c r="I742" s="11" t="e">
        <f>VLOOKUP(H742,위치!B:C,2,0)</f>
        <v>#N/A</v>
      </c>
      <c r="J742" s="9"/>
      <c r="K742" s="9"/>
      <c r="L742" s="9" t="e">
        <f>VLOOKUP(H742,위치!B:D,3,0)</f>
        <v>#N/A</v>
      </c>
      <c r="M742" s="12"/>
      <c r="N742" s="5"/>
      <c r="O742" s="5"/>
      <c r="P742" s="5"/>
      <c r="Q742" s="14"/>
      <c r="R742" s="15">
        <f t="shared" si="11"/>
        <v>0</v>
      </c>
    </row>
    <row r="743" spans="2:18" x14ac:dyDescent="0.35">
      <c r="B743" s="9">
        <v>764</v>
      </c>
      <c r="C743" s="9"/>
      <c r="D743" s="9"/>
      <c r="E743" s="9"/>
      <c r="F743" s="9"/>
      <c r="G743" s="9"/>
      <c r="H743" s="9"/>
      <c r="I743" s="11" t="e">
        <f>VLOOKUP(H743,위치!B:C,2,0)</f>
        <v>#N/A</v>
      </c>
      <c r="J743" s="9"/>
      <c r="K743" s="9"/>
      <c r="L743" s="9" t="e">
        <f>VLOOKUP(H743,위치!B:D,3,0)</f>
        <v>#N/A</v>
      </c>
      <c r="M743" s="12"/>
      <c r="N743" s="5"/>
      <c r="O743" s="5"/>
      <c r="P743" s="5"/>
      <c r="Q743" s="14"/>
      <c r="R743" s="15">
        <f t="shared" si="11"/>
        <v>0</v>
      </c>
    </row>
    <row r="744" spans="2:18" x14ac:dyDescent="0.35">
      <c r="B744" s="9">
        <v>765</v>
      </c>
      <c r="C744" s="9"/>
      <c r="D744" s="9"/>
      <c r="E744" s="9"/>
      <c r="F744" s="9"/>
      <c r="G744" s="9"/>
      <c r="H744" s="9"/>
      <c r="I744" s="11" t="e">
        <f>VLOOKUP(H744,위치!B:C,2,0)</f>
        <v>#N/A</v>
      </c>
      <c r="J744" s="9"/>
      <c r="K744" s="9"/>
      <c r="L744" s="9" t="e">
        <f>VLOOKUP(H744,위치!B:D,3,0)</f>
        <v>#N/A</v>
      </c>
      <c r="M744" s="12"/>
      <c r="N744" s="5"/>
      <c r="O744" s="5"/>
      <c r="P744" s="5"/>
      <c r="Q744" s="14"/>
      <c r="R744" s="15">
        <f t="shared" si="11"/>
        <v>0</v>
      </c>
    </row>
    <row r="745" spans="2:18" x14ac:dyDescent="0.35">
      <c r="B745" s="9">
        <v>766</v>
      </c>
      <c r="C745" s="9"/>
      <c r="D745" s="9"/>
      <c r="E745" s="9"/>
      <c r="F745" s="9"/>
      <c r="G745" s="9"/>
      <c r="H745" s="9"/>
      <c r="I745" s="11" t="e">
        <f>VLOOKUP(H745,위치!B:C,2,0)</f>
        <v>#N/A</v>
      </c>
      <c r="J745" s="9"/>
      <c r="K745" s="9"/>
      <c r="L745" s="9" t="e">
        <f>VLOOKUP(H745,위치!B:D,3,0)</f>
        <v>#N/A</v>
      </c>
      <c r="M745" s="12"/>
      <c r="N745" s="5"/>
      <c r="O745" s="5"/>
      <c r="P745" s="5"/>
      <c r="Q745" s="14"/>
      <c r="R745" s="15">
        <f t="shared" si="11"/>
        <v>0</v>
      </c>
    </row>
    <row r="746" spans="2:18" x14ac:dyDescent="0.35">
      <c r="B746" s="9">
        <v>767</v>
      </c>
      <c r="C746" s="9"/>
      <c r="D746" s="9"/>
      <c r="E746" s="9"/>
      <c r="F746" s="9"/>
      <c r="G746" s="9"/>
      <c r="H746" s="9"/>
      <c r="I746" s="11" t="e">
        <f>VLOOKUP(H746,위치!B:C,2,0)</f>
        <v>#N/A</v>
      </c>
      <c r="J746" s="9"/>
      <c r="K746" s="9"/>
      <c r="L746" s="9" t="e">
        <f>VLOOKUP(H746,위치!B:D,3,0)</f>
        <v>#N/A</v>
      </c>
      <c r="M746" s="12"/>
      <c r="N746" s="5"/>
      <c r="O746" s="5"/>
      <c r="P746" s="5"/>
      <c r="Q746" s="14"/>
      <c r="R746" s="15">
        <f t="shared" si="11"/>
        <v>0</v>
      </c>
    </row>
    <row r="747" spans="2:18" x14ac:dyDescent="0.35">
      <c r="B747" s="9">
        <v>768</v>
      </c>
      <c r="C747" s="9"/>
      <c r="D747" s="9"/>
      <c r="E747" s="9"/>
      <c r="F747" s="9"/>
      <c r="G747" s="9"/>
      <c r="H747" s="9"/>
      <c r="I747" s="11" t="e">
        <f>VLOOKUP(H747,위치!B:C,2,0)</f>
        <v>#N/A</v>
      </c>
      <c r="J747" s="9"/>
      <c r="K747" s="9"/>
      <c r="L747" s="9" t="e">
        <f>VLOOKUP(H747,위치!B:D,3,0)</f>
        <v>#N/A</v>
      </c>
      <c r="M747" s="12"/>
      <c r="N747" s="5"/>
      <c r="O747" s="5"/>
      <c r="P747" s="5"/>
      <c r="Q747" s="14"/>
      <c r="R747" s="15">
        <f t="shared" si="11"/>
        <v>0</v>
      </c>
    </row>
    <row r="748" spans="2:18" x14ac:dyDescent="0.35">
      <c r="B748" s="9">
        <v>769</v>
      </c>
      <c r="C748" s="9"/>
      <c r="D748" s="9"/>
      <c r="E748" s="9"/>
      <c r="F748" s="9"/>
      <c r="G748" s="9"/>
      <c r="H748" s="9"/>
      <c r="I748" s="11" t="e">
        <f>VLOOKUP(H748,위치!B:C,2,0)</f>
        <v>#N/A</v>
      </c>
      <c r="J748" s="9"/>
      <c r="K748" s="9"/>
      <c r="L748" s="9" t="e">
        <f>VLOOKUP(H748,위치!B:D,3,0)</f>
        <v>#N/A</v>
      </c>
      <c r="M748" s="12"/>
      <c r="N748" s="5"/>
      <c r="O748" s="5"/>
      <c r="P748" s="5"/>
      <c r="Q748" s="14"/>
      <c r="R748" s="15">
        <f t="shared" si="11"/>
        <v>0</v>
      </c>
    </row>
    <row r="749" spans="2:18" x14ac:dyDescent="0.35">
      <c r="B749" s="9">
        <v>770</v>
      </c>
      <c r="C749" s="9"/>
      <c r="D749" s="9"/>
      <c r="E749" s="9"/>
      <c r="F749" s="9"/>
      <c r="G749" s="9"/>
      <c r="H749" s="9"/>
      <c r="I749" s="11" t="e">
        <f>VLOOKUP(H749,위치!B:C,2,0)</f>
        <v>#N/A</v>
      </c>
      <c r="J749" s="9"/>
      <c r="K749" s="9"/>
      <c r="L749" s="9" t="e">
        <f>VLOOKUP(H749,위치!B:D,3,0)</f>
        <v>#N/A</v>
      </c>
      <c r="M749" s="12"/>
      <c r="N749" s="5"/>
      <c r="O749" s="5"/>
      <c r="P749" s="5"/>
      <c r="Q749" s="14"/>
      <c r="R749" s="15">
        <f t="shared" si="11"/>
        <v>0</v>
      </c>
    </row>
    <row r="750" spans="2:18" x14ac:dyDescent="0.35">
      <c r="B750" s="9">
        <v>771</v>
      </c>
      <c r="C750" s="9"/>
      <c r="D750" s="9"/>
      <c r="E750" s="9"/>
      <c r="F750" s="9"/>
      <c r="G750" s="9"/>
      <c r="H750" s="9"/>
      <c r="I750" s="11" t="e">
        <f>VLOOKUP(H750,위치!B:C,2,0)</f>
        <v>#N/A</v>
      </c>
      <c r="J750" s="9"/>
      <c r="K750" s="9"/>
      <c r="L750" s="9" t="e">
        <f>VLOOKUP(H750,위치!B:D,3,0)</f>
        <v>#N/A</v>
      </c>
      <c r="M750" s="12"/>
      <c r="N750" s="5"/>
      <c r="O750" s="5"/>
      <c r="P750" s="5"/>
      <c r="Q750" s="14"/>
      <c r="R750" s="15">
        <f t="shared" si="11"/>
        <v>0</v>
      </c>
    </row>
    <row r="751" spans="2:18" x14ac:dyDescent="0.35">
      <c r="B751" s="9">
        <v>772</v>
      </c>
      <c r="C751" s="9"/>
      <c r="D751" s="9"/>
      <c r="E751" s="9"/>
      <c r="F751" s="9"/>
      <c r="G751" s="9"/>
      <c r="H751" s="9"/>
      <c r="I751" s="11" t="e">
        <f>VLOOKUP(H751,위치!B:C,2,0)</f>
        <v>#N/A</v>
      </c>
      <c r="J751" s="9"/>
      <c r="K751" s="9"/>
      <c r="L751" s="9" t="e">
        <f>VLOOKUP(H751,위치!B:D,3,0)</f>
        <v>#N/A</v>
      </c>
      <c r="M751" s="12"/>
      <c r="N751" s="5"/>
      <c r="O751" s="5"/>
      <c r="P751" s="5"/>
      <c r="Q751" s="14"/>
      <c r="R751" s="15">
        <f t="shared" si="11"/>
        <v>0</v>
      </c>
    </row>
    <row r="752" spans="2:18" x14ac:dyDescent="0.35">
      <c r="B752" s="9">
        <v>773</v>
      </c>
      <c r="C752" s="9"/>
      <c r="D752" s="9"/>
      <c r="E752" s="9"/>
      <c r="F752" s="9"/>
      <c r="G752" s="9"/>
      <c r="H752" s="9"/>
      <c r="I752" s="11" t="e">
        <f>VLOOKUP(H752,위치!B:C,2,0)</f>
        <v>#N/A</v>
      </c>
      <c r="J752" s="9"/>
      <c r="K752" s="9"/>
      <c r="L752" s="9" t="e">
        <f>VLOOKUP(H752,위치!B:D,3,0)</f>
        <v>#N/A</v>
      </c>
      <c r="M752" s="12"/>
      <c r="N752" s="5"/>
      <c r="O752" s="5"/>
      <c r="P752" s="5"/>
      <c r="Q752" s="14"/>
      <c r="R752" s="15">
        <f t="shared" si="11"/>
        <v>0</v>
      </c>
    </row>
    <row r="753" spans="2:18" x14ac:dyDescent="0.35">
      <c r="B753" s="9">
        <v>774</v>
      </c>
      <c r="C753" s="9"/>
      <c r="D753" s="9"/>
      <c r="E753" s="9"/>
      <c r="F753" s="9"/>
      <c r="G753" s="9"/>
      <c r="H753" s="9"/>
      <c r="I753" s="11" t="e">
        <f>VLOOKUP(H753,위치!B:C,2,0)</f>
        <v>#N/A</v>
      </c>
      <c r="J753" s="9"/>
      <c r="K753" s="9"/>
      <c r="L753" s="9" t="e">
        <f>VLOOKUP(H753,위치!B:D,3,0)</f>
        <v>#N/A</v>
      </c>
      <c r="M753" s="12"/>
      <c r="N753" s="5"/>
      <c r="O753" s="5"/>
      <c r="P753" s="5"/>
      <c r="Q753" s="14"/>
      <c r="R753" s="15">
        <f t="shared" si="11"/>
        <v>0</v>
      </c>
    </row>
    <row r="754" spans="2:18" x14ac:dyDescent="0.35">
      <c r="B754" s="9">
        <v>775</v>
      </c>
      <c r="C754" s="9"/>
      <c r="D754" s="9"/>
      <c r="E754" s="9"/>
      <c r="F754" s="9"/>
      <c r="G754" s="9"/>
      <c r="H754" s="9"/>
      <c r="I754" s="11" t="e">
        <f>VLOOKUP(H754,위치!B:C,2,0)</f>
        <v>#N/A</v>
      </c>
      <c r="J754" s="9"/>
      <c r="K754" s="9"/>
      <c r="L754" s="9" t="e">
        <f>VLOOKUP(H754,위치!B:D,3,0)</f>
        <v>#N/A</v>
      </c>
      <c r="M754" s="12"/>
      <c r="N754" s="5"/>
      <c r="O754" s="5"/>
      <c r="P754" s="5"/>
      <c r="Q754" s="14"/>
      <c r="R754" s="15">
        <f t="shared" si="11"/>
        <v>0</v>
      </c>
    </row>
    <row r="755" spans="2:18" x14ac:dyDescent="0.35">
      <c r="B755" s="9">
        <v>776</v>
      </c>
      <c r="C755" s="9"/>
      <c r="D755" s="9"/>
      <c r="E755" s="9"/>
      <c r="F755" s="9"/>
      <c r="G755" s="9"/>
      <c r="H755" s="9"/>
      <c r="I755" s="11" t="e">
        <f>VLOOKUP(H755,위치!B:C,2,0)</f>
        <v>#N/A</v>
      </c>
      <c r="J755" s="9"/>
      <c r="K755" s="9"/>
      <c r="L755" s="9" t="e">
        <f>VLOOKUP(H755,위치!B:D,3,0)</f>
        <v>#N/A</v>
      </c>
      <c r="M755" s="12"/>
      <c r="N755" s="5"/>
      <c r="O755" s="5"/>
      <c r="P755" s="5"/>
      <c r="Q755" s="14"/>
      <c r="R755" s="15">
        <f t="shared" si="11"/>
        <v>0</v>
      </c>
    </row>
    <row r="756" spans="2:18" x14ac:dyDescent="0.35">
      <c r="B756" s="9">
        <v>777</v>
      </c>
      <c r="C756" s="9"/>
      <c r="D756" s="9"/>
      <c r="E756" s="9"/>
      <c r="F756" s="9"/>
      <c r="G756" s="9"/>
      <c r="H756" s="9"/>
      <c r="I756" s="11" t="e">
        <f>VLOOKUP(H756,위치!B:C,2,0)</f>
        <v>#N/A</v>
      </c>
      <c r="J756" s="9"/>
      <c r="K756" s="9"/>
      <c r="L756" s="9" t="e">
        <f>VLOOKUP(H756,위치!B:D,3,0)</f>
        <v>#N/A</v>
      </c>
      <c r="M756" s="12"/>
      <c r="N756" s="5"/>
      <c r="O756" s="5"/>
      <c r="P756" s="5"/>
      <c r="Q756" s="14"/>
      <c r="R756" s="15">
        <f t="shared" si="11"/>
        <v>0</v>
      </c>
    </row>
    <row r="757" spans="2:18" x14ac:dyDescent="0.35">
      <c r="B757" s="9">
        <v>778</v>
      </c>
      <c r="C757" s="9"/>
      <c r="D757" s="9"/>
      <c r="E757" s="9"/>
      <c r="F757" s="9"/>
      <c r="G757" s="9"/>
      <c r="H757" s="9"/>
      <c r="I757" s="11" t="e">
        <f>VLOOKUP(H757,위치!B:C,2,0)</f>
        <v>#N/A</v>
      </c>
      <c r="J757" s="9"/>
      <c r="K757" s="9"/>
      <c r="L757" s="9" t="e">
        <f>VLOOKUP(H757,위치!B:D,3,0)</f>
        <v>#N/A</v>
      </c>
      <c r="M757" s="12"/>
      <c r="N757" s="5"/>
      <c r="O757" s="5"/>
      <c r="P757" s="5"/>
      <c r="Q757" s="14"/>
      <c r="R757" s="15">
        <f t="shared" si="11"/>
        <v>0</v>
      </c>
    </row>
    <row r="758" spans="2:18" x14ac:dyDescent="0.35">
      <c r="B758" s="9">
        <v>779</v>
      </c>
      <c r="C758" s="9"/>
      <c r="D758" s="9"/>
      <c r="E758" s="9"/>
      <c r="F758" s="9"/>
      <c r="G758" s="9"/>
      <c r="H758" s="9"/>
      <c r="I758" s="11" t="e">
        <f>VLOOKUP(H758,위치!B:C,2,0)</f>
        <v>#N/A</v>
      </c>
      <c r="J758" s="9"/>
      <c r="K758" s="9"/>
      <c r="L758" s="9" t="e">
        <f>VLOOKUP(H758,위치!B:D,3,0)</f>
        <v>#N/A</v>
      </c>
      <c r="M758" s="12"/>
      <c r="N758" s="5"/>
      <c r="O758" s="5"/>
      <c r="P758" s="5"/>
      <c r="Q758" s="14"/>
      <c r="R758" s="15">
        <f t="shared" si="11"/>
        <v>0</v>
      </c>
    </row>
    <row r="759" spans="2:18" x14ac:dyDescent="0.35">
      <c r="B759" s="9">
        <v>780</v>
      </c>
      <c r="C759" s="9"/>
      <c r="D759" s="9"/>
      <c r="E759" s="9"/>
      <c r="F759" s="9"/>
      <c r="G759" s="9"/>
      <c r="H759" s="9"/>
      <c r="I759" s="11" t="e">
        <f>VLOOKUP(H759,위치!B:C,2,0)</f>
        <v>#N/A</v>
      </c>
      <c r="J759" s="9"/>
      <c r="K759" s="9"/>
      <c r="L759" s="9" t="e">
        <f>VLOOKUP(H759,위치!B:D,3,0)</f>
        <v>#N/A</v>
      </c>
      <c r="M759" s="12"/>
      <c r="N759" s="5"/>
      <c r="O759" s="5"/>
      <c r="P759" s="5"/>
      <c r="Q759" s="14"/>
      <c r="R759" s="15">
        <f t="shared" si="11"/>
        <v>0</v>
      </c>
    </row>
    <row r="760" spans="2:18" x14ac:dyDescent="0.35">
      <c r="B760" s="9">
        <v>781</v>
      </c>
      <c r="C760" s="9"/>
      <c r="D760" s="9"/>
      <c r="E760" s="9"/>
      <c r="F760" s="9"/>
      <c r="G760" s="9"/>
      <c r="H760" s="9"/>
      <c r="I760" s="11" t="e">
        <f>VLOOKUP(H760,위치!B:C,2,0)</f>
        <v>#N/A</v>
      </c>
      <c r="J760" s="9"/>
      <c r="K760" s="9"/>
      <c r="L760" s="9" t="e">
        <f>VLOOKUP(H760,위치!B:D,3,0)</f>
        <v>#N/A</v>
      </c>
      <c r="M760" s="12"/>
      <c r="N760" s="5"/>
      <c r="O760" s="5"/>
      <c r="P760" s="5"/>
      <c r="Q760" s="14"/>
      <c r="R760" s="15">
        <f t="shared" si="11"/>
        <v>0</v>
      </c>
    </row>
    <row r="761" spans="2:18" x14ac:dyDescent="0.35">
      <c r="B761" s="9">
        <v>782</v>
      </c>
      <c r="C761" s="9"/>
      <c r="D761" s="9"/>
      <c r="E761" s="9"/>
      <c r="F761" s="9"/>
      <c r="G761" s="9"/>
      <c r="H761" s="9"/>
      <c r="I761" s="11" t="e">
        <f>VLOOKUP(H761,위치!B:C,2,0)</f>
        <v>#N/A</v>
      </c>
      <c r="J761" s="9"/>
      <c r="K761" s="9"/>
      <c r="L761" s="9" t="e">
        <f>VLOOKUP(H761,위치!B:D,3,0)</f>
        <v>#N/A</v>
      </c>
      <c r="M761" s="12"/>
      <c r="N761" s="5"/>
      <c r="O761" s="5"/>
      <c r="P761" s="5"/>
      <c r="Q761" s="14"/>
      <c r="R761" s="15">
        <f t="shared" si="11"/>
        <v>0</v>
      </c>
    </row>
    <row r="762" spans="2:18" x14ac:dyDescent="0.35">
      <c r="B762" s="9">
        <v>783</v>
      </c>
      <c r="C762" s="9"/>
      <c r="D762" s="9"/>
      <c r="E762" s="9"/>
      <c r="F762" s="9"/>
      <c r="G762" s="9"/>
      <c r="H762" s="9"/>
      <c r="I762" s="11" t="e">
        <f>VLOOKUP(H762,위치!B:C,2,0)</f>
        <v>#N/A</v>
      </c>
      <c r="J762" s="9"/>
      <c r="K762" s="9"/>
      <c r="L762" s="9" t="e">
        <f>VLOOKUP(H762,위치!B:D,3,0)</f>
        <v>#N/A</v>
      </c>
      <c r="M762" s="12"/>
      <c r="N762" s="5"/>
      <c r="O762" s="5"/>
      <c r="P762" s="5"/>
      <c r="Q762" s="14"/>
      <c r="R762" s="15">
        <f t="shared" si="11"/>
        <v>0</v>
      </c>
    </row>
    <row r="763" spans="2:18" x14ac:dyDescent="0.35">
      <c r="B763" s="9">
        <v>784</v>
      </c>
      <c r="C763" s="9"/>
      <c r="D763" s="9"/>
      <c r="E763" s="9"/>
      <c r="F763" s="9"/>
      <c r="G763" s="9"/>
      <c r="H763" s="9"/>
      <c r="I763" s="11" t="e">
        <f>VLOOKUP(H763,위치!B:C,2,0)</f>
        <v>#N/A</v>
      </c>
      <c r="J763" s="9"/>
      <c r="K763" s="9"/>
      <c r="L763" s="9" t="e">
        <f>VLOOKUP(H763,위치!B:D,3,0)</f>
        <v>#N/A</v>
      </c>
      <c r="M763" s="12"/>
      <c r="N763" s="5"/>
      <c r="O763" s="5"/>
      <c r="P763" s="5"/>
      <c r="Q763" s="14"/>
      <c r="R763" s="15">
        <f t="shared" si="11"/>
        <v>0</v>
      </c>
    </row>
    <row r="764" spans="2:18" x14ac:dyDescent="0.35">
      <c r="B764" s="9">
        <v>785</v>
      </c>
      <c r="C764" s="9"/>
      <c r="D764" s="9"/>
      <c r="E764" s="9"/>
      <c r="F764" s="9"/>
      <c r="G764" s="9"/>
      <c r="H764" s="9"/>
      <c r="I764" s="11" t="e">
        <f>VLOOKUP(H764,위치!B:C,2,0)</f>
        <v>#N/A</v>
      </c>
      <c r="J764" s="9"/>
      <c r="K764" s="9"/>
      <c r="L764" s="9" t="e">
        <f>VLOOKUP(H764,위치!B:D,3,0)</f>
        <v>#N/A</v>
      </c>
      <c r="M764" s="12"/>
      <c r="N764" s="5"/>
      <c r="O764" s="5"/>
      <c r="P764" s="5"/>
      <c r="Q764" s="14"/>
      <c r="R764" s="15">
        <f t="shared" si="11"/>
        <v>0</v>
      </c>
    </row>
    <row r="765" spans="2:18" x14ac:dyDescent="0.35">
      <c r="B765" s="9">
        <v>786</v>
      </c>
      <c r="C765" s="9"/>
      <c r="D765" s="9"/>
      <c r="E765" s="9"/>
      <c r="F765" s="9"/>
      <c r="G765" s="9"/>
      <c r="H765" s="9"/>
      <c r="I765" s="11" t="e">
        <f>VLOOKUP(H765,위치!B:C,2,0)</f>
        <v>#N/A</v>
      </c>
      <c r="J765" s="9"/>
      <c r="K765" s="9"/>
      <c r="L765" s="9" t="e">
        <f>VLOOKUP(H765,위치!B:D,3,0)</f>
        <v>#N/A</v>
      </c>
      <c r="M765" s="12"/>
      <c r="N765" s="5"/>
      <c r="O765" s="5"/>
      <c r="P765" s="5"/>
      <c r="Q765" s="14"/>
      <c r="R765" s="15">
        <f t="shared" si="11"/>
        <v>0</v>
      </c>
    </row>
    <row r="766" spans="2:18" x14ac:dyDescent="0.35">
      <c r="B766" s="9">
        <v>787</v>
      </c>
      <c r="C766" s="9"/>
      <c r="D766" s="9"/>
      <c r="E766" s="9"/>
      <c r="F766" s="9"/>
      <c r="G766" s="9"/>
      <c r="H766" s="9"/>
      <c r="I766" s="11" t="e">
        <f>VLOOKUP(H766,위치!B:C,2,0)</f>
        <v>#N/A</v>
      </c>
      <c r="J766" s="9"/>
      <c r="K766" s="9"/>
      <c r="L766" s="9" t="e">
        <f>VLOOKUP(H766,위치!B:D,3,0)</f>
        <v>#N/A</v>
      </c>
      <c r="M766" s="12"/>
      <c r="N766" s="5"/>
      <c r="O766" s="5"/>
      <c r="P766" s="5"/>
      <c r="Q766" s="14"/>
      <c r="R766" s="15">
        <f t="shared" si="11"/>
        <v>0</v>
      </c>
    </row>
    <row r="767" spans="2:18" x14ac:dyDescent="0.35">
      <c r="B767" s="9">
        <v>788</v>
      </c>
      <c r="C767" s="9"/>
      <c r="D767" s="9"/>
      <c r="E767" s="9"/>
      <c r="F767" s="9"/>
      <c r="G767" s="9"/>
      <c r="H767" s="9"/>
      <c r="I767" s="11" t="e">
        <f>VLOOKUP(H767,위치!B:C,2,0)</f>
        <v>#N/A</v>
      </c>
      <c r="J767" s="9"/>
      <c r="K767" s="9"/>
      <c r="L767" s="9" t="e">
        <f>VLOOKUP(H767,위치!B:D,3,0)</f>
        <v>#N/A</v>
      </c>
      <c r="M767" s="12"/>
      <c r="N767" s="5"/>
      <c r="O767" s="5"/>
      <c r="P767" s="5"/>
      <c r="Q767" s="14"/>
      <c r="R767" s="15">
        <f t="shared" si="11"/>
        <v>0</v>
      </c>
    </row>
    <row r="768" spans="2:18" x14ac:dyDescent="0.35">
      <c r="B768" s="9">
        <v>789</v>
      </c>
      <c r="C768" s="9"/>
      <c r="D768" s="9"/>
      <c r="E768" s="9"/>
      <c r="F768" s="9"/>
      <c r="G768" s="9"/>
      <c r="H768" s="9"/>
      <c r="I768" s="11" t="e">
        <f>VLOOKUP(H768,위치!B:C,2,0)</f>
        <v>#N/A</v>
      </c>
      <c r="J768" s="9"/>
      <c r="K768" s="9"/>
      <c r="L768" s="9" t="e">
        <f>VLOOKUP(H768,위치!B:D,3,0)</f>
        <v>#N/A</v>
      </c>
      <c r="M768" s="12"/>
      <c r="N768" s="5"/>
      <c r="O768" s="5"/>
      <c r="P768" s="5"/>
      <c r="Q768" s="14"/>
      <c r="R768" s="15">
        <f t="shared" si="11"/>
        <v>0</v>
      </c>
    </row>
    <row r="769" spans="2:18" x14ac:dyDescent="0.35">
      <c r="B769" s="9">
        <v>790</v>
      </c>
      <c r="C769" s="9"/>
      <c r="D769" s="9"/>
      <c r="E769" s="9"/>
      <c r="F769" s="9"/>
      <c r="G769" s="9"/>
      <c r="H769" s="9"/>
      <c r="I769" s="11" t="e">
        <f>VLOOKUP(H769,위치!B:C,2,0)</f>
        <v>#N/A</v>
      </c>
      <c r="J769" s="9"/>
      <c r="K769" s="9"/>
      <c r="L769" s="9" t="e">
        <f>VLOOKUP(H769,위치!B:D,3,0)</f>
        <v>#N/A</v>
      </c>
      <c r="M769" s="12"/>
      <c r="N769" s="5"/>
      <c r="O769" s="5"/>
      <c r="P769" s="5"/>
      <c r="Q769" s="14"/>
      <c r="R769" s="15">
        <f t="shared" si="11"/>
        <v>0</v>
      </c>
    </row>
    <row r="770" spans="2:18" x14ac:dyDescent="0.35">
      <c r="B770" s="9">
        <v>791</v>
      </c>
      <c r="C770" s="9"/>
      <c r="D770" s="9"/>
      <c r="E770" s="9"/>
      <c r="F770" s="9"/>
      <c r="G770" s="9"/>
      <c r="H770" s="9"/>
      <c r="I770" s="11" t="e">
        <f>VLOOKUP(H770,위치!B:C,2,0)</f>
        <v>#N/A</v>
      </c>
      <c r="J770" s="9"/>
      <c r="K770" s="9"/>
      <c r="L770" s="9" t="e">
        <f>VLOOKUP(H770,위치!B:D,3,0)</f>
        <v>#N/A</v>
      </c>
      <c r="M770" s="12"/>
      <c r="N770" s="5"/>
      <c r="O770" s="5"/>
      <c r="P770" s="5"/>
      <c r="Q770" s="14"/>
      <c r="R770" s="15">
        <f t="shared" si="11"/>
        <v>0</v>
      </c>
    </row>
    <row r="771" spans="2:18" x14ac:dyDescent="0.35">
      <c r="B771" s="9">
        <v>792</v>
      </c>
      <c r="C771" s="9"/>
      <c r="D771" s="9"/>
      <c r="E771" s="9"/>
      <c r="F771" s="9"/>
      <c r="G771" s="9"/>
      <c r="H771" s="9"/>
      <c r="I771" s="11" t="e">
        <f>VLOOKUP(H771,위치!B:C,2,0)</f>
        <v>#N/A</v>
      </c>
      <c r="J771" s="9"/>
      <c r="K771" s="9"/>
      <c r="L771" s="9" t="e">
        <f>VLOOKUP(H771,위치!B:D,3,0)</f>
        <v>#N/A</v>
      </c>
      <c r="M771" s="12"/>
      <c r="N771" s="5"/>
      <c r="O771" s="5"/>
      <c r="P771" s="5"/>
      <c r="Q771" s="14"/>
      <c r="R771" s="15">
        <f t="shared" si="11"/>
        <v>0</v>
      </c>
    </row>
    <row r="772" spans="2:18" x14ac:dyDescent="0.35">
      <c r="B772" s="9">
        <v>793</v>
      </c>
      <c r="C772" s="9"/>
      <c r="D772" s="9"/>
      <c r="E772" s="9"/>
      <c r="F772" s="9"/>
      <c r="G772" s="9"/>
      <c r="H772" s="9"/>
      <c r="I772" s="11" t="e">
        <f>VLOOKUP(H772,위치!B:C,2,0)</f>
        <v>#N/A</v>
      </c>
      <c r="J772" s="9"/>
      <c r="K772" s="9"/>
      <c r="L772" s="9" t="e">
        <f>VLOOKUP(H772,위치!B:D,3,0)</f>
        <v>#N/A</v>
      </c>
      <c r="M772" s="12"/>
      <c r="N772" s="5"/>
      <c r="O772" s="5"/>
      <c r="P772" s="5"/>
      <c r="Q772" s="14"/>
      <c r="R772" s="15">
        <f t="shared" si="11"/>
        <v>0</v>
      </c>
    </row>
    <row r="773" spans="2:18" x14ac:dyDescent="0.35">
      <c r="B773" s="9">
        <v>794</v>
      </c>
      <c r="C773" s="9"/>
      <c r="D773" s="9"/>
      <c r="E773" s="9"/>
      <c r="F773" s="9"/>
      <c r="G773" s="9"/>
      <c r="H773" s="9"/>
      <c r="I773" s="11" t="e">
        <f>VLOOKUP(H773,위치!B:C,2,0)</f>
        <v>#N/A</v>
      </c>
      <c r="J773" s="9"/>
      <c r="K773" s="9"/>
      <c r="L773" s="9" t="e">
        <f>VLOOKUP(H773,위치!B:D,3,0)</f>
        <v>#N/A</v>
      </c>
      <c r="M773" s="12"/>
      <c r="N773" s="5"/>
      <c r="O773" s="5"/>
      <c r="P773" s="5"/>
      <c r="Q773" s="14"/>
      <c r="R773" s="15">
        <f t="shared" si="11"/>
        <v>0</v>
      </c>
    </row>
    <row r="774" spans="2:18" x14ac:dyDescent="0.35">
      <c r="B774" s="9">
        <v>795</v>
      </c>
      <c r="C774" s="9"/>
      <c r="D774" s="9"/>
      <c r="E774" s="9"/>
      <c r="F774" s="9"/>
      <c r="G774" s="9"/>
      <c r="H774" s="9"/>
      <c r="I774" s="11" t="e">
        <f>VLOOKUP(H774,위치!B:C,2,0)</f>
        <v>#N/A</v>
      </c>
      <c r="J774" s="9"/>
      <c r="K774" s="9"/>
      <c r="L774" s="9" t="e">
        <f>VLOOKUP(H774,위치!B:D,3,0)</f>
        <v>#N/A</v>
      </c>
      <c r="M774" s="12"/>
      <c r="N774" s="5"/>
      <c r="O774" s="5"/>
      <c r="P774" s="5"/>
      <c r="Q774" s="14"/>
      <c r="R774" s="15">
        <f t="shared" si="11"/>
        <v>0</v>
      </c>
    </row>
    <row r="775" spans="2:18" x14ac:dyDescent="0.35">
      <c r="B775" s="9">
        <v>796</v>
      </c>
      <c r="C775" s="9"/>
      <c r="D775" s="9"/>
      <c r="E775" s="9"/>
      <c r="F775" s="9"/>
      <c r="G775" s="9"/>
      <c r="H775" s="9"/>
      <c r="I775" s="11" t="e">
        <f>VLOOKUP(H775,위치!B:C,2,0)</f>
        <v>#N/A</v>
      </c>
      <c r="J775" s="9"/>
      <c r="K775" s="9"/>
      <c r="L775" s="9" t="e">
        <f>VLOOKUP(H775,위치!B:D,3,0)</f>
        <v>#N/A</v>
      </c>
      <c r="M775" s="12"/>
      <c r="N775" s="5"/>
      <c r="O775" s="5"/>
      <c r="P775" s="5"/>
      <c r="Q775" s="14"/>
      <c r="R775" s="15">
        <f t="shared" ref="R775:R838" si="12">J775-P775</f>
        <v>0</v>
      </c>
    </row>
    <row r="776" spans="2:18" x14ac:dyDescent="0.35">
      <c r="B776" s="9">
        <v>797</v>
      </c>
      <c r="C776" s="9"/>
      <c r="D776" s="9"/>
      <c r="E776" s="9"/>
      <c r="F776" s="9"/>
      <c r="G776" s="9"/>
      <c r="H776" s="9"/>
      <c r="I776" s="11" t="e">
        <f>VLOOKUP(H776,위치!B:C,2,0)</f>
        <v>#N/A</v>
      </c>
      <c r="J776" s="9"/>
      <c r="K776" s="9"/>
      <c r="L776" s="9" t="e">
        <f>VLOOKUP(H776,위치!B:D,3,0)</f>
        <v>#N/A</v>
      </c>
      <c r="M776" s="12"/>
      <c r="N776" s="5"/>
      <c r="O776" s="5"/>
      <c r="P776" s="5"/>
      <c r="Q776" s="14"/>
      <c r="R776" s="15">
        <f t="shared" si="12"/>
        <v>0</v>
      </c>
    </row>
    <row r="777" spans="2:18" x14ac:dyDescent="0.35">
      <c r="B777" s="9">
        <v>798</v>
      </c>
      <c r="C777" s="9"/>
      <c r="D777" s="9"/>
      <c r="E777" s="9"/>
      <c r="F777" s="9"/>
      <c r="G777" s="9"/>
      <c r="H777" s="9"/>
      <c r="I777" s="11" t="e">
        <f>VLOOKUP(H777,위치!B:C,2,0)</f>
        <v>#N/A</v>
      </c>
      <c r="J777" s="9"/>
      <c r="K777" s="9"/>
      <c r="L777" s="9" t="e">
        <f>VLOOKUP(H777,위치!B:D,3,0)</f>
        <v>#N/A</v>
      </c>
      <c r="M777" s="12"/>
      <c r="N777" s="5"/>
      <c r="O777" s="5"/>
      <c r="P777" s="5"/>
      <c r="Q777" s="14"/>
      <c r="R777" s="15">
        <f t="shared" si="12"/>
        <v>0</v>
      </c>
    </row>
    <row r="778" spans="2:18" x14ac:dyDescent="0.35">
      <c r="B778" s="9">
        <v>799</v>
      </c>
      <c r="C778" s="9"/>
      <c r="D778" s="9"/>
      <c r="E778" s="9"/>
      <c r="F778" s="9"/>
      <c r="G778" s="9"/>
      <c r="H778" s="9"/>
      <c r="I778" s="11" t="e">
        <f>VLOOKUP(H778,위치!B:C,2,0)</f>
        <v>#N/A</v>
      </c>
      <c r="J778" s="9"/>
      <c r="K778" s="9"/>
      <c r="L778" s="9" t="e">
        <f>VLOOKUP(H778,위치!B:D,3,0)</f>
        <v>#N/A</v>
      </c>
      <c r="M778" s="12"/>
      <c r="N778" s="5"/>
      <c r="O778" s="5"/>
      <c r="P778" s="5"/>
      <c r="Q778" s="14"/>
      <c r="R778" s="15">
        <f t="shared" si="12"/>
        <v>0</v>
      </c>
    </row>
    <row r="779" spans="2:18" x14ac:dyDescent="0.35">
      <c r="B779" s="9">
        <v>800</v>
      </c>
      <c r="C779" s="9"/>
      <c r="D779" s="9"/>
      <c r="E779" s="9"/>
      <c r="F779" s="9"/>
      <c r="G779" s="9"/>
      <c r="H779" s="9"/>
      <c r="I779" s="11" t="e">
        <f>VLOOKUP(H779,위치!B:C,2,0)</f>
        <v>#N/A</v>
      </c>
      <c r="J779" s="9"/>
      <c r="K779" s="9"/>
      <c r="L779" s="9" t="e">
        <f>VLOOKUP(H779,위치!B:D,3,0)</f>
        <v>#N/A</v>
      </c>
      <c r="M779" s="12"/>
      <c r="N779" s="5"/>
      <c r="O779" s="5"/>
      <c r="P779" s="5"/>
      <c r="Q779" s="14"/>
      <c r="R779" s="15">
        <f t="shared" si="12"/>
        <v>0</v>
      </c>
    </row>
    <row r="780" spans="2:18" x14ac:dyDescent="0.35">
      <c r="B780" s="9">
        <v>801</v>
      </c>
      <c r="C780" s="9"/>
      <c r="D780" s="9"/>
      <c r="E780" s="9"/>
      <c r="F780" s="9"/>
      <c r="G780" s="9"/>
      <c r="H780" s="9"/>
      <c r="I780" s="11" t="e">
        <f>VLOOKUP(H780,위치!B:C,2,0)</f>
        <v>#N/A</v>
      </c>
      <c r="J780" s="9"/>
      <c r="K780" s="9"/>
      <c r="L780" s="9" t="e">
        <f>VLOOKUP(H780,위치!B:D,3,0)</f>
        <v>#N/A</v>
      </c>
      <c r="M780" s="12"/>
      <c r="N780" s="5"/>
      <c r="O780" s="5"/>
      <c r="P780" s="5"/>
      <c r="Q780" s="14"/>
      <c r="R780" s="15">
        <f t="shared" si="12"/>
        <v>0</v>
      </c>
    </row>
    <row r="781" spans="2:18" x14ac:dyDescent="0.35">
      <c r="B781" s="9">
        <v>802</v>
      </c>
      <c r="C781" s="9"/>
      <c r="D781" s="9"/>
      <c r="E781" s="9"/>
      <c r="F781" s="9"/>
      <c r="G781" s="9"/>
      <c r="H781" s="9"/>
      <c r="I781" s="11" t="e">
        <f>VLOOKUP(H781,위치!B:C,2,0)</f>
        <v>#N/A</v>
      </c>
      <c r="J781" s="9"/>
      <c r="K781" s="9"/>
      <c r="L781" s="9" t="e">
        <f>VLOOKUP(H781,위치!B:D,3,0)</f>
        <v>#N/A</v>
      </c>
      <c r="M781" s="12"/>
      <c r="N781" s="5"/>
      <c r="O781" s="5"/>
      <c r="P781" s="5"/>
      <c r="Q781" s="14"/>
      <c r="R781" s="15">
        <f t="shared" si="12"/>
        <v>0</v>
      </c>
    </row>
    <row r="782" spans="2:18" x14ac:dyDescent="0.35">
      <c r="B782" s="9">
        <v>803</v>
      </c>
      <c r="C782" s="9"/>
      <c r="D782" s="9"/>
      <c r="E782" s="9"/>
      <c r="F782" s="9"/>
      <c r="G782" s="9"/>
      <c r="H782" s="9"/>
      <c r="I782" s="11" t="e">
        <f>VLOOKUP(H782,위치!B:C,2,0)</f>
        <v>#N/A</v>
      </c>
      <c r="J782" s="9"/>
      <c r="K782" s="9"/>
      <c r="L782" s="9" t="e">
        <f>VLOOKUP(H782,위치!B:D,3,0)</f>
        <v>#N/A</v>
      </c>
      <c r="M782" s="12"/>
      <c r="N782" s="5"/>
      <c r="O782" s="5"/>
      <c r="P782" s="5"/>
      <c r="Q782" s="14"/>
      <c r="R782" s="15">
        <f t="shared" si="12"/>
        <v>0</v>
      </c>
    </row>
    <row r="783" spans="2:18" x14ac:dyDescent="0.35">
      <c r="B783" s="9">
        <v>804</v>
      </c>
      <c r="C783" s="9"/>
      <c r="D783" s="9"/>
      <c r="E783" s="9"/>
      <c r="F783" s="9"/>
      <c r="G783" s="9"/>
      <c r="H783" s="9"/>
      <c r="I783" s="11" t="e">
        <f>VLOOKUP(H783,위치!B:C,2,0)</f>
        <v>#N/A</v>
      </c>
      <c r="J783" s="9"/>
      <c r="K783" s="9"/>
      <c r="L783" s="9" t="e">
        <f>VLOOKUP(H783,위치!B:D,3,0)</f>
        <v>#N/A</v>
      </c>
      <c r="M783" s="12"/>
      <c r="N783" s="5"/>
      <c r="O783" s="5"/>
      <c r="P783" s="5"/>
      <c r="Q783" s="14"/>
      <c r="R783" s="15">
        <f t="shared" si="12"/>
        <v>0</v>
      </c>
    </row>
    <row r="784" spans="2:18" x14ac:dyDescent="0.35">
      <c r="B784" s="9">
        <v>805</v>
      </c>
      <c r="C784" s="9"/>
      <c r="D784" s="9"/>
      <c r="E784" s="9"/>
      <c r="F784" s="9"/>
      <c r="G784" s="9"/>
      <c r="H784" s="9"/>
      <c r="I784" s="11" t="e">
        <f>VLOOKUP(H784,위치!B:C,2,0)</f>
        <v>#N/A</v>
      </c>
      <c r="J784" s="9"/>
      <c r="K784" s="9"/>
      <c r="L784" s="9" t="e">
        <f>VLOOKUP(H784,위치!B:D,3,0)</f>
        <v>#N/A</v>
      </c>
      <c r="M784" s="12"/>
      <c r="N784" s="5"/>
      <c r="O784" s="5"/>
      <c r="P784" s="5"/>
      <c r="Q784" s="14"/>
      <c r="R784" s="15">
        <f t="shared" si="12"/>
        <v>0</v>
      </c>
    </row>
    <row r="785" spans="2:18" x14ac:dyDescent="0.35">
      <c r="B785" s="9">
        <v>806</v>
      </c>
      <c r="C785" s="9"/>
      <c r="D785" s="9"/>
      <c r="E785" s="9"/>
      <c r="F785" s="9"/>
      <c r="G785" s="9"/>
      <c r="H785" s="9"/>
      <c r="I785" s="11" t="e">
        <f>VLOOKUP(H785,위치!B:C,2,0)</f>
        <v>#N/A</v>
      </c>
      <c r="J785" s="9"/>
      <c r="K785" s="9"/>
      <c r="L785" s="9" t="e">
        <f>VLOOKUP(H785,위치!B:D,3,0)</f>
        <v>#N/A</v>
      </c>
      <c r="M785" s="12"/>
      <c r="N785" s="5"/>
      <c r="O785" s="5"/>
      <c r="P785" s="5"/>
      <c r="Q785" s="14"/>
      <c r="R785" s="15">
        <f t="shared" si="12"/>
        <v>0</v>
      </c>
    </row>
    <row r="786" spans="2:18" x14ac:dyDescent="0.35">
      <c r="B786" s="9">
        <v>807</v>
      </c>
      <c r="C786" s="9"/>
      <c r="D786" s="9"/>
      <c r="E786" s="9"/>
      <c r="F786" s="9"/>
      <c r="G786" s="9"/>
      <c r="H786" s="9"/>
      <c r="I786" s="11" t="e">
        <f>VLOOKUP(H786,위치!B:C,2,0)</f>
        <v>#N/A</v>
      </c>
      <c r="J786" s="9"/>
      <c r="K786" s="9"/>
      <c r="L786" s="9" t="e">
        <f>VLOOKUP(H786,위치!B:D,3,0)</f>
        <v>#N/A</v>
      </c>
      <c r="M786" s="12"/>
      <c r="N786" s="5"/>
      <c r="O786" s="5"/>
      <c r="P786" s="5"/>
      <c r="Q786" s="14"/>
      <c r="R786" s="15">
        <f t="shared" si="12"/>
        <v>0</v>
      </c>
    </row>
    <row r="787" spans="2:18" x14ac:dyDescent="0.35">
      <c r="B787" s="9">
        <v>808</v>
      </c>
      <c r="C787" s="9"/>
      <c r="D787" s="9"/>
      <c r="E787" s="9"/>
      <c r="F787" s="9"/>
      <c r="G787" s="9"/>
      <c r="H787" s="9"/>
      <c r="I787" s="11" t="e">
        <f>VLOOKUP(H787,위치!B:C,2,0)</f>
        <v>#N/A</v>
      </c>
      <c r="J787" s="9"/>
      <c r="K787" s="9"/>
      <c r="L787" s="9" t="e">
        <f>VLOOKUP(H787,위치!B:D,3,0)</f>
        <v>#N/A</v>
      </c>
      <c r="M787" s="12"/>
      <c r="N787" s="5"/>
      <c r="O787" s="5"/>
      <c r="P787" s="5"/>
      <c r="Q787" s="14"/>
      <c r="R787" s="15">
        <f t="shared" si="12"/>
        <v>0</v>
      </c>
    </row>
    <row r="788" spans="2:18" x14ac:dyDescent="0.35">
      <c r="B788" s="9">
        <v>809</v>
      </c>
      <c r="C788" s="9"/>
      <c r="D788" s="9"/>
      <c r="E788" s="9"/>
      <c r="F788" s="9"/>
      <c r="G788" s="9"/>
      <c r="H788" s="9"/>
      <c r="I788" s="11" t="e">
        <f>VLOOKUP(H788,위치!B:C,2,0)</f>
        <v>#N/A</v>
      </c>
      <c r="J788" s="9"/>
      <c r="K788" s="9"/>
      <c r="L788" s="9" t="e">
        <f>VLOOKUP(H788,위치!B:D,3,0)</f>
        <v>#N/A</v>
      </c>
      <c r="M788" s="12"/>
      <c r="N788" s="5"/>
      <c r="O788" s="5"/>
      <c r="P788" s="5"/>
      <c r="Q788" s="14"/>
      <c r="R788" s="15">
        <f t="shared" si="12"/>
        <v>0</v>
      </c>
    </row>
    <row r="789" spans="2:18" x14ac:dyDescent="0.35">
      <c r="B789" s="9">
        <v>810</v>
      </c>
      <c r="C789" s="9"/>
      <c r="D789" s="9"/>
      <c r="E789" s="9"/>
      <c r="F789" s="9"/>
      <c r="G789" s="9"/>
      <c r="H789" s="9"/>
      <c r="I789" s="11" t="e">
        <f>VLOOKUP(H789,위치!B:C,2,0)</f>
        <v>#N/A</v>
      </c>
      <c r="J789" s="9"/>
      <c r="K789" s="9"/>
      <c r="L789" s="9" t="e">
        <f>VLOOKUP(H789,위치!B:D,3,0)</f>
        <v>#N/A</v>
      </c>
      <c r="M789" s="12"/>
      <c r="N789" s="5"/>
      <c r="O789" s="5"/>
      <c r="P789" s="5"/>
      <c r="Q789" s="14"/>
      <c r="R789" s="15">
        <f t="shared" si="12"/>
        <v>0</v>
      </c>
    </row>
    <row r="790" spans="2:18" x14ac:dyDescent="0.35">
      <c r="B790" s="9">
        <v>811</v>
      </c>
      <c r="C790" s="9"/>
      <c r="D790" s="9"/>
      <c r="E790" s="9"/>
      <c r="F790" s="9"/>
      <c r="G790" s="9"/>
      <c r="H790" s="9"/>
      <c r="I790" s="11" t="e">
        <f>VLOOKUP(H790,위치!B:C,2,0)</f>
        <v>#N/A</v>
      </c>
      <c r="J790" s="9"/>
      <c r="K790" s="9"/>
      <c r="L790" s="9" t="e">
        <f>VLOOKUP(H790,위치!B:D,3,0)</f>
        <v>#N/A</v>
      </c>
      <c r="M790" s="12"/>
      <c r="N790" s="5"/>
      <c r="O790" s="5"/>
      <c r="P790" s="5"/>
      <c r="Q790" s="14"/>
      <c r="R790" s="15">
        <f t="shared" si="12"/>
        <v>0</v>
      </c>
    </row>
    <row r="791" spans="2:18" x14ac:dyDescent="0.35">
      <c r="B791" s="9">
        <v>812</v>
      </c>
      <c r="C791" s="9"/>
      <c r="D791" s="9"/>
      <c r="E791" s="9"/>
      <c r="F791" s="9"/>
      <c r="G791" s="9"/>
      <c r="H791" s="9"/>
      <c r="I791" s="11" t="e">
        <f>VLOOKUP(H791,위치!B:C,2,0)</f>
        <v>#N/A</v>
      </c>
      <c r="J791" s="9"/>
      <c r="K791" s="9"/>
      <c r="L791" s="9" t="e">
        <f>VLOOKUP(H791,위치!B:D,3,0)</f>
        <v>#N/A</v>
      </c>
      <c r="M791" s="12"/>
      <c r="N791" s="5"/>
      <c r="O791" s="5"/>
      <c r="P791" s="5"/>
      <c r="Q791" s="14"/>
      <c r="R791" s="15">
        <f t="shared" si="12"/>
        <v>0</v>
      </c>
    </row>
    <row r="792" spans="2:18" x14ac:dyDescent="0.35">
      <c r="B792" s="9">
        <v>813</v>
      </c>
      <c r="C792" s="9"/>
      <c r="D792" s="9"/>
      <c r="E792" s="9"/>
      <c r="F792" s="9"/>
      <c r="G792" s="9"/>
      <c r="H792" s="9"/>
      <c r="I792" s="11" t="e">
        <f>VLOOKUP(H792,위치!B:C,2,0)</f>
        <v>#N/A</v>
      </c>
      <c r="J792" s="9"/>
      <c r="K792" s="9"/>
      <c r="L792" s="9" t="e">
        <f>VLOOKUP(H792,위치!B:D,3,0)</f>
        <v>#N/A</v>
      </c>
      <c r="M792" s="12"/>
      <c r="N792" s="5"/>
      <c r="O792" s="5"/>
      <c r="P792" s="5"/>
      <c r="Q792" s="14"/>
      <c r="R792" s="15">
        <f t="shared" si="12"/>
        <v>0</v>
      </c>
    </row>
    <row r="793" spans="2:18" x14ac:dyDescent="0.35">
      <c r="B793" s="9">
        <v>814</v>
      </c>
      <c r="C793" s="9"/>
      <c r="D793" s="9"/>
      <c r="E793" s="9"/>
      <c r="F793" s="9"/>
      <c r="G793" s="9"/>
      <c r="H793" s="9"/>
      <c r="I793" s="11" t="e">
        <f>VLOOKUP(H793,위치!B:C,2,0)</f>
        <v>#N/A</v>
      </c>
      <c r="J793" s="9"/>
      <c r="K793" s="9"/>
      <c r="L793" s="9" t="e">
        <f>VLOOKUP(H793,위치!B:D,3,0)</f>
        <v>#N/A</v>
      </c>
      <c r="M793" s="12"/>
      <c r="N793" s="5"/>
      <c r="O793" s="5"/>
      <c r="P793" s="5"/>
      <c r="Q793" s="14"/>
      <c r="R793" s="15">
        <f t="shared" si="12"/>
        <v>0</v>
      </c>
    </row>
    <row r="794" spans="2:18" x14ac:dyDescent="0.35">
      <c r="B794" s="9">
        <v>815</v>
      </c>
      <c r="C794" s="9"/>
      <c r="D794" s="9"/>
      <c r="E794" s="9"/>
      <c r="F794" s="9"/>
      <c r="G794" s="9"/>
      <c r="H794" s="9"/>
      <c r="I794" s="11" t="e">
        <f>VLOOKUP(H794,위치!B:C,2,0)</f>
        <v>#N/A</v>
      </c>
      <c r="J794" s="9"/>
      <c r="K794" s="9"/>
      <c r="L794" s="9" t="e">
        <f>VLOOKUP(H794,위치!B:D,3,0)</f>
        <v>#N/A</v>
      </c>
      <c r="M794" s="12"/>
      <c r="N794" s="5"/>
      <c r="O794" s="5"/>
      <c r="P794" s="5"/>
      <c r="Q794" s="14"/>
      <c r="R794" s="15">
        <f t="shared" si="12"/>
        <v>0</v>
      </c>
    </row>
    <row r="795" spans="2:18" x14ac:dyDescent="0.35">
      <c r="B795" s="9">
        <v>816</v>
      </c>
      <c r="C795" s="9"/>
      <c r="D795" s="9"/>
      <c r="E795" s="9"/>
      <c r="F795" s="9"/>
      <c r="G795" s="9"/>
      <c r="H795" s="9"/>
      <c r="I795" s="11" t="e">
        <f>VLOOKUP(H795,위치!B:C,2,0)</f>
        <v>#N/A</v>
      </c>
      <c r="J795" s="9"/>
      <c r="K795" s="9"/>
      <c r="L795" s="9" t="e">
        <f>VLOOKUP(H795,위치!B:D,3,0)</f>
        <v>#N/A</v>
      </c>
      <c r="M795" s="12"/>
      <c r="N795" s="5"/>
      <c r="O795" s="5"/>
      <c r="P795" s="5"/>
      <c r="Q795" s="14"/>
      <c r="R795" s="15">
        <f t="shared" si="12"/>
        <v>0</v>
      </c>
    </row>
    <row r="796" spans="2:18" x14ac:dyDescent="0.35">
      <c r="B796" s="9">
        <v>817</v>
      </c>
      <c r="C796" s="9"/>
      <c r="D796" s="9"/>
      <c r="E796" s="9"/>
      <c r="F796" s="9"/>
      <c r="G796" s="9"/>
      <c r="H796" s="9"/>
      <c r="I796" s="11" t="e">
        <f>VLOOKUP(H796,위치!B:C,2,0)</f>
        <v>#N/A</v>
      </c>
      <c r="J796" s="9"/>
      <c r="K796" s="9"/>
      <c r="L796" s="9" t="e">
        <f>VLOOKUP(H796,위치!B:D,3,0)</f>
        <v>#N/A</v>
      </c>
      <c r="M796" s="12"/>
      <c r="N796" s="5"/>
      <c r="O796" s="5"/>
      <c r="P796" s="5"/>
      <c r="Q796" s="14"/>
      <c r="R796" s="15">
        <f t="shared" si="12"/>
        <v>0</v>
      </c>
    </row>
    <row r="797" spans="2:18" x14ac:dyDescent="0.35">
      <c r="B797" s="9">
        <v>818</v>
      </c>
      <c r="C797" s="9"/>
      <c r="D797" s="9"/>
      <c r="E797" s="9"/>
      <c r="F797" s="9"/>
      <c r="G797" s="9"/>
      <c r="H797" s="9"/>
      <c r="I797" s="11" t="e">
        <f>VLOOKUP(H797,위치!B:C,2,0)</f>
        <v>#N/A</v>
      </c>
      <c r="J797" s="9"/>
      <c r="K797" s="9"/>
      <c r="L797" s="9" t="e">
        <f>VLOOKUP(H797,위치!B:D,3,0)</f>
        <v>#N/A</v>
      </c>
      <c r="M797" s="12"/>
      <c r="N797" s="5"/>
      <c r="O797" s="5"/>
      <c r="P797" s="5"/>
      <c r="Q797" s="14"/>
      <c r="R797" s="15">
        <f t="shared" si="12"/>
        <v>0</v>
      </c>
    </row>
    <row r="798" spans="2:18" x14ac:dyDescent="0.35">
      <c r="B798" s="9">
        <v>819</v>
      </c>
      <c r="C798" s="9"/>
      <c r="D798" s="9"/>
      <c r="E798" s="9"/>
      <c r="F798" s="9"/>
      <c r="G798" s="9"/>
      <c r="H798" s="9"/>
      <c r="I798" s="11" t="e">
        <f>VLOOKUP(H798,위치!B:C,2,0)</f>
        <v>#N/A</v>
      </c>
      <c r="J798" s="9"/>
      <c r="K798" s="9"/>
      <c r="L798" s="9" t="e">
        <f>VLOOKUP(H798,위치!B:D,3,0)</f>
        <v>#N/A</v>
      </c>
      <c r="M798" s="12"/>
      <c r="N798" s="5"/>
      <c r="O798" s="5"/>
      <c r="P798" s="5"/>
      <c r="Q798" s="14"/>
      <c r="R798" s="15">
        <f t="shared" si="12"/>
        <v>0</v>
      </c>
    </row>
    <row r="799" spans="2:18" x14ac:dyDescent="0.35">
      <c r="B799" s="9">
        <v>820</v>
      </c>
      <c r="C799" s="9"/>
      <c r="D799" s="9"/>
      <c r="E799" s="9"/>
      <c r="F799" s="9"/>
      <c r="G799" s="9"/>
      <c r="H799" s="9"/>
      <c r="I799" s="11" t="e">
        <f>VLOOKUP(H799,위치!B:C,2,0)</f>
        <v>#N/A</v>
      </c>
      <c r="J799" s="9"/>
      <c r="K799" s="9"/>
      <c r="L799" s="9" t="e">
        <f>VLOOKUP(H799,위치!B:D,3,0)</f>
        <v>#N/A</v>
      </c>
      <c r="M799" s="12"/>
      <c r="N799" s="5"/>
      <c r="O799" s="5"/>
      <c r="P799" s="5"/>
      <c r="Q799" s="14"/>
      <c r="R799" s="15">
        <f t="shared" si="12"/>
        <v>0</v>
      </c>
    </row>
    <row r="800" spans="2:18" x14ac:dyDescent="0.35">
      <c r="B800" s="9">
        <v>821</v>
      </c>
      <c r="C800" s="9"/>
      <c r="D800" s="9"/>
      <c r="E800" s="9"/>
      <c r="F800" s="9"/>
      <c r="G800" s="9"/>
      <c r="H800" s="9"/>
      <c r="I800" s="11" t="e">
        <f>VLOOKUP(H800,위치!B:C,2,0)</f>
        <v>#N/A</v>
      </c>
      <c r="J800" s="9"/>
      <c r="K800" s="9"/>
      <c r="L800" s="9" t="e">
        <f>VLOOKUP(H800,위치!B:D,3,0)</f>
        <v>#N/A</v>
      </c>
      <c r="M800" s="12"/>
      <c r="N800" s="5"/>
      <c r="O800" s="5"/>
      <c r="P800" s="5"/>
      <c r="Q800" s="14"/>
      <c r="R800" s="15">
        <f t="shared" si="12"/>
        <v>0</v>
      </c>
    </row>
    <row r="801" spans="2:18" x14ac:dyDescent="0.35">
      <c r="B801" s="9">
        <v>822</v>
      </c>
      <c r="C801" s="9"/>
      <c r="D801" s="9"/>
      <c r="E801" s="9"/>
      <c r="F801" s="9"/>
      <c r="G801" s="9"/>
      <c r="H801" s="9"/>
      <c r="I801" s="11" t="e">
        <f>VLOOKUP(H801,위치!B:C,2,0)</f>
        <v>#N/A</v>
      </c>
      <c r="J801" s="9"/>
      <c r="K801" s="9"/>
      <c r="L801" s="9" t="e">
        <f>VLOOKUP(H801,위치!B:D,3,0)</f>
        <v>#N/A</v>
      </c>
      <c r="M801" s="12"/>
      <c r="N801" s="5"/>
      <c r="O801" s="5"/>
      <c r="P801" s="5"/>
      <c r="Q801" s="14"/>
      <c r="R801" s="15">
        <f t="shared" si="12"/>
        <v>0</v>
      </c>
    </row>
    <row r="802" spans="2:18" x14ac:dyDescent="0.35">
      <c r="B802" s="9">
        <v>823</v>
      </c>
      <c r="C802" s="9"/>
      <c r="D802" s="9"/>
      <c r="E802" s="9"/>
      <c r="F802" s="9"/>
      <c r="G802" s="9"/>
      <c r="H802" s="9"/>
      <c r="I802" s="11" t="e">
        <f>VLOOKUP(H802,위치!B:C,2,0)</f>
        <v>#N/A</v>
      </c>
      <c r="J802" s="9"/>
      <c r="K802" s="9"/>
      <c r="L802" s="9" t="e">
        <f>VLOOKUP(H802,위치!B:D,3,0)</f>
        <v>#N/A</v>
      </c>
      <c r="M802" s="12"/>
      <c r="N802" s="5"/>
      <c r="O802" s="5"/>
      <c r="P802" s="5"/>
      <c r="Q802" s="14"/>
      <c r="R802" s="15">
        <f t="shared" si="12"/>
        <v>0</v>
      </c>
    </row>
    <row r="803" spans="2:18" x14ac:dyDescent="0.35">
      <c r="B803" s="9">
        <v>824</v>
      </c>
      <c r="C803" s="9"/>
      <c r="D803" s="9"/>
      <c r="E803" s="9"/>
      <c r="F803" s="9"/>
      <c r="G803" s="9"/>
      <c r="H803" s="9"/>
      <c r="I803" s="11" t="e">
        <f>VLOOKUP(H803,위치!B:C,2,0)</f>
        <v>#N/A</v>
      </c>
      <c r="J803" s="9"/>
      <c r="K803" s="9"/>
      <c r="L803" s="9" t="e">
        <f>VLOOKUP(H803,위치!B:D,3,0)</f>
        <v>#N/A</v>
      </c>
      <c r="M803" s="12"/>
      <c r="N803" s="5"/>
      <c r="O803" s="5"/>
      <c r="P803" s="5"/>
      <c r="Q803" s="14"/>
      <c r="R803" s="15">
        <f t="shared" si="12"/>
        <v>0</v>
      </c>
    </row>
    <row r="804" spans="2:18" x14ac:dyDescent="0.35">
      <c r="B804" s="9">
        <v>825</v>
      </c>
      <c r="C804" s="9"/>
      <c r="D804" s="9"/>
      <c r="E804" s="9"/>
      <c r="F804" s="9"/>
      <c r="G804" s="9"/>
      <c r="H804" s="9"/>
      <c r="I804" s="11" t="e">
        <f>VLOOKUP(H804,위치!B:C,2,0)</f>
        <v>#N/A</v>
      </c>
      <c r="J804" s="9"/>
      <c r="K804" s="9"/>
      <c r="L804" s="9" t="e">
        <f>VLOOKUP(H804,위치!B:D,3,0)</f>
        <v>#N/A</v>
      </c>
      <c r="M804" s="12"/>
      <c r="N804" s="5"/>
      <c r="O804" s="5"/>
      <c r="P804" s="5"/>
      <c r="Q804" s="14"/>
      <c r="R804" s="15">
        <f t="shared" si="12"/>
        <v>0</v>
      </c>
    </row>
    <row r="805" spans="2:18" x14ac:dyDescent="0.35">
      <c r="B805" s="9">
        <v>826</v>
      </c>
      <c r="C805" s="9"/>
      <c r="D805" s="9"/>
      <c r="E805" s="9"/>
      <c r="F805" s="9"/>
      <c r="G805" s="9"/>
      <c r="H805" s="9"/>
      <c r="I805" s="11" t="e">
        <f>VLOOKUP(H805,위치!B:C,2,0)</f>
        <v>#N/A</v>
      </c>
      <c r="J805" s="9"/>
      <c r="K805" s="9"/>
      <c r="L805" s="9" t="e">
        <f>VLOOKUP(H805,위치!B:D,3,0)</f>
        <v>#N/A</v>
      </c>
      <c r="M805" s="12"/>
      <c r="N805" s="5"/>
      <c r="O805" s="5"/>
      <c r="P805" s="5"/>
      <c r="Q805" s="14"/>
      <c r="R805" s="15">
        <f t="shared" si="12"/>
        <v>0</v>
      </c>
    </row>
    <row r="806" spans="2:18" x14ac:dyDescent="0.35">
      <c r="B806" s="9">
        <v>827</v>
      </c>
      <c r="C806" s="9"/>
      <c r="D806" s="9"/>
      <c r="E806" s="9"/>
      <c r="F806" s="9"/>
      <c r="G806" s="9"/>
      <c r="H806" s="9"/>
      <c r="I806" s="11" t="e">
        <f>VLOOKUP(H806,위치!B:C,2,0)</f>
        <v>#N/A</v>
      </c>
      <c r="J806" s="9"/>
      <c r="K806" s="9"/>
      <c r="L806" s="9" t="e">
        <f>VLOOKUP(H806,위치!B:D,3,0)</f>
        <v>#N/A</v>
      </c>
      <c r="M806" s="12"/>
      <c r="N806" s="5"/>
      <c r="O806" s="5"/>
      <c r="P806" s="5"/>
      <c r="Q806" s="14"/>
      <c r="R806" s="15">
        <f t="shared" si="12"/>
        <v>0</v>
      </c>
    </row>
    <row r="807" spans="2:18" x14ac:dyDescent="0.35">
      <c r="B807" s="9">
        <v>828</v>
      </c>
      <c r="C807" s="9"/>
      <c r="D807" s="9"/>
      <c r="E807" s="9"/>
      <c r="F807" s="9"/>
      <c r="G807" s="9"/>
      <c r="H807" s="9"/>
      <c r="I807" s="11" t="e">
        <f>VLOOKUP(H807,위치!B:C,2,0)</f>
        <v>#N/A</v>
      </c>
      <c r="J807" s="9"/>
      <c r="K807" s="9"/>
      <c r="L807" s="9" t="e">
        <f>VLOOKUP(H807,위치!B:D,3,0)</f>
        <v>#N/A</v>
      </c>
      <c r="M807" s="12"/>
      <c r="N807" s="5"/>
      <c r="O807" s="5"/>
      <c r="P807" s="5"/>
      <c r="Q807" s="14"/>
      <c r="R807" s="15">
        <f t="shared" si="12"/>
        <v>0</v>
      </c>
    </row>
    <row r="808" spans="2:18" x14ac:dyDescent="0.35">
      <c r="B808" s="9">
        <v>829</v>
      </c>
      <c r="C808" s="9"/>
      <c r="D808" s="9"/>
      <c r="E808" s="9"/>
      <c r="F808" s="9"/>
      <c r="G808" s="9"/>
      <c r="H808" s="9"/>
      <c r="I808" s="11" t="e">
        <f>VLOOKUP(H808,위치!B:C,2,0)</f>
        <v>#N/A</v>
      </c>
      <c r="J808" s="9"/>
      <c r="K808" s="9"/>
      <c r="L808" s="9" t="e">
        <f>VLOOKUP(H808,위치!B:D,3,0)</f>
        <v>#N/A</v>
      </c>
      <c r="M808" s="12"/>
      <c r="N808" s="5"/>
      <c r="O808" s="5"/>
      <c r="P808" s="5"/>
      <c r="Q808" s="14"/>
      <c r="R808" s="15">
        <f t="shared" si="12"/>
        <v>0</v>
      </c>
    </row>
    <row r="809" spans="2:18" x14ac:dyDescent="0.35">
      <c r="B809" s="9">
        <v>830</v>
      </c>
      <c r="C809" s="9"/>
      <c r="D809" s="9"/>
      <c r="E809" s="9"/>
      <c r="F809" s="9"/>
      <c r="G809" s="9"/>
      <c r="H809" s="9"/>
      <c r="I809" s="11" t="e">
        <f>VLOOKUP(H809,위치!B:C,2,0)</f>
        <v>#N/A</v>
      </c>
      <c r="J809" s="9"/>
      <c r="K809" s="9"/>
      <c r="L809" s="9" t="e">
        <f>VLOOKUP(H809,위치!B:D,3,0)</f>
        <v>#N/A</v>
      </c>
      <c r="M809" s="12"/>
      <c r="N809" s="5"/>
      <c r="O809" s="5"/>
      <c r="P809" s="5"/>
      <c r="Q809" s="14"/>
      <c r="R809" s="15">
        <f t="shared" si="12"/>
        <v>0</v>
      </c>
    </row>
    <row r="810" spans="2:18" x14ac:dyDescent="0.35">
      <c r="B810" s="9">
        <v>831</v>
      </c>
      <c r="C810" s="9"/>
      <c r="D810" s="9"/>
      <c r="E810" s="9"/>
      <c r="F810" s="9"/>
      <c r="G810" s="9"/>
      <c r="H810" s="9"/>
      <c r="I810" s="11" t="e">
        <f>VLOOKUP(H810,위치!B:C,2,0)</f>
        <v>#N/A</v>
      </c>
      <c r="J810" s="9"/>
      <c r="K810" s="9"/>
      <c r="L810" s="9" t="e">
        <f>VLOOKUP(H810,위치!B:D,3,0)</f>
        <v>#N/A</v>
      </c>
      <c r="M810" s="12"/>
      <c r="N810" s="5"/>
      <c r="O810" s="5"/>
      <c r="P810" s="5"/>
      <c r="Q810" s="14"/>
      <c r="R810" s="15">
        <f t="shared" si="12"/>
        <v>0</v>
      </c>
    </row>
    <row r="811" spans="2:18" x14ac:dyDescent="0.35">
      <c r="B811" s="9">
        <v>832</v>
      </c>
      <c r="C811" s="9"/>
      <c r="D811" s="9"/>
      <c r="E811" s="9"/>
      <c r="F811" s="9"/>
      <c r="G811" s="9"/>
      <c r="H811" s="9"/>
      <c r="I811" s="11" t="e">
        <f>VLOOKUP(H811,위치!B:C,2,0)</f>
        <v>#N/A</v>
      </c>
      <c r="J811" s="9"/>
      <c r="K811" s="9"/>
      <c r="L811" s="9" t="e">
        <f>VLOOKUP(H811,위치!B:D,3,0)</f>
        <v>#N/A</v>
      </c>
      <c r="M811" s="12"/>
      <c r="N811" s="5"/>
      <c r="O811" s="5"/>
      <c r="P811" s="5"/>
      <c r="Q811" s="14"/>
      <c r="R811" s="15">
        <f t="shared" si="12"/>
        <v>0</v>
      </c>
    </row>
    <row r="812" spans="2:18" x14ac:dyDescent="0.35">
      <c r="B812" s="9">
        <v>833</v>
      </c>
      <c r="C812" s="9"/>
      <c r="D812" s="9"/>
      <c r="E812" s="9"/>
      <c r="F812" s="9"/>
      <c r="G812" s="9"/>
      <c r="H812" s="9"/>
      <c r="I812" s="11" t="e">
        <f>VLOOKUP(H812,위치!B:C,2,0)</f>
        <v>#N/A</v>
      </c>
      <c r="J812" s="9"/>
      <c r="K812" s="9"/>
      <c r="L812" s="9" t="e">
        <f>VLOOKUP(H812,위치!B:D,3,0)</f>
        <v>#N/A</v>
      </c>
      <c r="M812" s="12"/>
      <c r="N812" s="5"/>
      <c r="O812" s="5"/>
      <c r="P812" s="5"/>
      <c r="Q812" s="14"/>
      <c r="R812" s="15">
        <f t="shared" si="12"/>
        <v>0</v>
      </c>
    </row>
    <row r="813" spans="2:18" x14ac:dyDescent="0.35">
      <c r="B813" s="9">
        <v>834</v>
      </c>
      <c r="C813" s="9"/>
      <c r="D813" s="9"/>
      <c r="E813" s="9"/>
      <c r="F813" s="9"/>
      <c r="G813" s="9"/>
      <c r="H813" s="9"/>
      <c r="I813" s="11" t="e">
        <f>VLOOKUP(H813,위치!B:C,2,0)</f>
        <v>#N/A</v>
      </c>
      <c r="J813" s="9"/>
      <c r="K813" s="9"/>
      <c r="L813" s="9" t="e">
        <f>VLOOKUP(H813,위치!B:D,3,0)</f>
        <v>#N/A</v>
      </c>
      <c r="M813" s="12"/>
      <c r="N813" s="5"/>
      <c r="O813" s="5"/>
      <c r="P813" s="5"/>
      <c r="Q813" s="14"/>
      <c r="R813" s="15">
        <f t="shared" si="12"/>
        <v>0</v>
      </c>
    </row>
    <row r="814" spans="2:18" x14ac:dyDescent="0.35">
      <c r="B814" s="9">
        <v>835</v>
      </c>
      <c r="C814" s="9"/>
      <c r="D814" s="9"/>
      <c r="E814" s="9"/>
      <c r="F814" s="9"/>
      <c r="G814" s="9"/>
      <c r="H814" s="9"/>
      <c r="I814" s="11" t="e">
        <f>VLOOKUP(H814,위치!B:C,2,0)</f>
        <v>#N/A</v>
      </c>
      <c r="J814" s="9"/>
      <c r="K814" s="9"/>
      <c r="L814" s="9" t="e">
        <f>VLOOKUP(H814,위치!B:D,3,0)</f>
        <v>#N/A</v>
      </c>
      <c r="M814" s="12"/>
      <c r="N814" s="5"/>
      <c r="O814" s="5"/>
      <c r="P814" s="5"/>
      <c r="Q814" s="14"/>
      <c r="R814" s="15">
        <f t="shared" si="12"/>
        <v>0</v>
      </c>
    </row>
    <row r="815" spans="2:18" x14ac:dyDescent="0.35">
      <c r="B815" s="9">
        <v>836</v>
      </c>
      <c r="C815" s="9"/>
      <c r="D815" s="9"/>
      <c r="E815" s="9"/>
      <c r="F815" s="9"/>
      <c r="G815" s="9"/>
      <c r="H815" s="9"/>
      <c r="I815" s="11" t="e">
        <f>VLOOKUP(H815,위치!B:C,2,0)</f>
        <v>#N/A</v>
      </c>
      <c r="J815" s="9"/>
      <c r="K815" s="9"/>
      <c r="L815" s="9" t="e">
        <f>VLOOKUP(H815,위치!B:D,3,0)</f>
        <v>#N/A</v>
      </c>
      <c r="M815" s="12"/>
      <c r="N815" s="5"/>
      <c r="O815" s="5"/>
      <c r="P815" s="5"/>
      <c r="Q815" s="14"/>
      <c r="R815" s="15">
        <f t="shared" si="12"/>
        <v>0</v>
      </c>
    </row>
    <row r="816" spans="2:18" x14ac:dyDescent="0.35">
      <c r="B816" s="9">
        <v>837</v>
      </c>
      <c r="C816" s="9"/>
      <c r="D816" s="9"/>
      <c r="E816" s="9"/>
      <c r="F816" s="9"/>
      <c r="G816" s="9"/>
      <c r="H816" s="9"/>
      <c r="I816" s="11" t="e">
        <f>VLOOKUP(H816,위치!B:C,2,0)</f>
        <v>#N/A</v>
      </c>
      <c r="J816" s="9"/>
      <c r="K816" s="9"/>
      <c r="L816" s="9" t="e">
        <f>VLOOKUP(H816,위치!B:D,3,0)</f>
        <v>#N/A</v>
      </c>
      <c r="M816" s="12"/>
      <c r="N816" s="5"/>
      <c r="O816" s="5"/>
      <c r="P816" s="5"/>
      <c r="Q816" s="14"/>
      <c r="R816" s="15">
        <f t="shared" si="12"/>
        <v>0</v>
      </c>
    </row>
    <row r="817" spans="2:18" x14ac:dyDescent="0.35">
      <c r="B817" s="9">
        <v>838</v>
      </c>
      <c r="C817" s="9"/>
      <c r="D817" s="9"/>
      <c r="E817" s="9"/>
      <c r="F817" s="9"/>
      <c r="G817" s="9"/>
      <c r="H817" s="9"/>
      <c r="I817" s="11" t="e">
        <f>VLOOKUP(H817,위치!B:C,2,0)</f>
        <v>#N/A</v>
      </c>
      <c r="J817" s="9"/>
      <c r="K817" s="9"/>
      <c r="L817" s="9" t="e">
        <f>VLOOKUP(H817,위치!B:D,3,0)</f>
        <v>#N/A</v>
      </c>
      <c r="M817" s="12"/>
      <c r="N817" s="5"/>
      <c r="O817" s="5"/>
      <c r="P817" s="5"/>
      <c r="Q817" s="14"/>
      <c r="R817" s="15">
        <f t="shared" si="12"/>
        <v>0</v>
      </c>
    </row>
    <row r="818" spans="2:18" x14ac:dyDescent="0.35">
      <c r="B818" s="9">
        <v>839</v>
      </c>
      <c r="C818" s="9"/>
      <c r="D818" s="9"/>
      <c r="E818" s="9"/>
      <c r="F818" s="9"/>
      <c r="G818" s="9"/>
      <c r="H818" s="9"/>
      <c r="I818" s="11" t="e">
        <f>VLOOKUP(H818,위치!B:C,2,0)</f>
        <v>#N/A</v>
      </c>
      <c r="J818" s="9"/>
      <c r="K818" s="9"/>
      <c r="L818" s="9" t="e">
        <f>VLOOKUP(H818,위치!B:D,3,0)</f>
        <v>#N/A</v>
      </c>
      <c r="M818" s="12"/>
      <c r="N818" s="5"/>
      <c r="O818" s="5"/>
      <c r="P818" s="5"/>
      <c r="Q818" s="14"/>
      <c r="R818" s="15">
        <f t="shared" si="12"/>
        <v>0</v>
      </c>
    </row>
    <row r="819" spans="2:18" x14ac:dyDescent="0.35">
      <c r="B819" s="9">
        <v>840</v>
      </c>
      <c r="C819" s="9"/>
      <c r="D819" s="9"/>
      <c r="E819" s="9"/>
      <c r="F819" s="9"/>
      <c r="G819" s="9"/>
      <c r="H819" s="9"/>
      <c r="I819" s="11" t="e">
        <f>VLOOKUP(H819,위치!B:C,2,0)</f>
        <v>#N/A</v>
      </c>
      <c r="J819" s="9"/>
      <c r="K819" s="9"/>
      <c r="L819" s="9" t="e">
        <f>VLOOKUP(H819,위치!B:D,3,0)</f>
        <v>#N/A</v>
      </c>
      <c r="M819" s="12"/>
      <c r="N819" s="5"/>
      <c r="O819" s="5"/>
      <c r="P819" s="5"/>
      <c r="Q819" s="14"/>
      <c r="R819" s="15">
        <f t="shared" si="12"/>
        <v>0</v>
      </c>
    </row>
    <row r="820" spans="2:18" x14ac:dyDescent="0.35">
      <c r="B820" s="9">
        <v>841</v>
      </c>
      <c r="C820" s="9"/>
      <c r="D820" s="9"/>
      <c r="E820" s="9"/>
      <c r="F820" s="9"/>
      <c r="G820" s="9"/>
      <c r="H820" s="9"/>
      <c r="I820" s="11" t="e">
        <f>VLOOKUP(H820,위치!B:C,2,0)</f>
        <v>#N/A</v>
      </c>
      <c r="J820" s="9"/>
      <c r="K820" s="9"/>
      <c r="L820" s="9" t="e">
        <f>VLOOKUP(H820,위치!B:D,3,0)</f>
        <v>#N/A</v>
      </c>
      <c r="M820" s="12"/>
      <c r="N820" s="5"/>
      <c r="O820" s="5"/>
      <c r="P820" s="5"/>
      <c r="Q820" s="14"/>
      <c r="R820" s="15">
        <f t="shared" si="12"/>
        <v>0</v>
      </c>
    </row>
    <row r="821" spans="2:18" x14ac:dyDescent="0.35">
      <c r="B821" s="9">
        <v>842</v>
      </c>
      <c r="C821" s="9"/>
      <c r="D821" s="9"/>
      <c r="E821" s="9"/>
      <c r="F821" s="9"/>
      <c r="G821" s="9"/>
      <c r="H821" s="9"/>
      <c r="I821" s="11" t="e">
        <f>VLOOKUP(H821,위치!B:C,2,0)</f>
        <v>#N/A</v>
      </c>
      <c r="J821" s="9"/>
      <c r="K821" s="9"/>
      <c r="L821" s="9" t="e">
        <f>VLOOKUP(H821,위치!B:D,3,0)</f>
        <v>#N/A</v>
      </c>
      <c r="M821" s="12"/>
      <c r="N821" s="5"/>
      <c r="O821" s="5"/>
      <c r="P821" s="5"/>
      <c r="Q821" s="14"/>
      <c r="R821" s="15">
        <f t="shared" si="12"/>
        <v>0</v>
      </c>
    </row>
    <row r="822" spans="2:18" x14ac:dyDescent="0.35">
      <c r="B822" s="9">
        <v>843</v>
      </c>
      <c r="C822" s="9"/>
      <c r="D822" s="9"/>
      <c r="E822" s="9"/>
      <c r="F822" s="9"/>
      <c r="G822" s="9"/>
      <c r="H822" s="9"/>
      <c r="I822" s="11" t="e">
        <f>VLOOKUP(H822,위치!B:C,2,0)</f>
        <v>#N/A</v>
      </c>
      <c r="J822" s="9"/>
      <c r="K822" s="9"/>
      <c r="L822" s="9" t="e">
        <f>VLOOKUP(H822,위치!B:D,3,0)</f>
        <v>#N/A</v>
      </c>
      <c r="M822" s="12"/>
      <c r="N822" s="5"/>
      <c r="O822" s="5"/>
      <c r="P822" s="5"/>
      <c r="Q822" s="14"/>
      <c r="R822" s="15">
        <f t="shared" si="12"/>
        <v>0</v>
      </c>
    </row>
    <row r="823" spans="2:18" x14ac:dyDescent="0.35">
      <c r="B823" s="9">
        <v>844</v>
      </c>
      <c r="C823" s="9"/>
      <c r="D823" s="9"/>
      <c r="E823" s="9"/>
      <c r="F823" s="9"/>
      <c r="G823" s="9"/>
      <c r="H823" s="9"/>
      <c r="I823" s="11" t="e">
        <f>VLOOKUP(H823,위치!B:C,2,0)</f>
        <v>#N/A</v>
      </c>
      <c r="J823" s="9"/>
      <c r="K823" s="9"/>
      <c r="L823" s="9" t="e">
        <f>VLOOKUP(H823,위치!B:D,3,0)</f>
        <v>#N/A</v>
      </c>
      <c r="M823" s="12"/>
      <c r="N823" s="5"/>
      <c r="O823" s="5"/>
      <c r="P823" s="5"/>
      <c r="Q823" s="14"/>
      <c r="R823" s="15">
        <f t="shared" si="12"/>
        <v>0</v>
      </c>
    </row>
    <row r="824" spans="2:18" x14ac:dyDescent="0.35">
      <c r="B824" s="9">
        <v>845</v>
      </c>
      <c r="C824" s="9"/>
      <c r="D824" s="9"/>
      <c r="E824" s="9"/>
      <c r="F824" s="9"/>
      <c r="G824" s="9"/>
      <c r="H824" s="9"/>
      <c r="I824" s="11" t="e">
        <f>VLOOKUP(H824,위치!B:C,2,0)</f>
        <v>#N/A</v>
      </c>
      <c r="J824" s="9"/>
      <c r="K824" s="9"/>
      <c r="L824" s="9" t="e">
        <f>VLOOKUP(H824,위치!B:D,3,0)</f>
        <v>#N/A</v>
      </c>
      <c r="M824" s="12"/>
      <c r="N824" s="5"/>
      <c r="O824" s="5"/>
      <c r="P824" s="5"/>
      <c r="Q824" s="14"/>
      <c r="R824" s="15">
        <f t="shared" si="12"/>
        <v>0</v>
      </c>
    </row>
    <row r="825" spans="2:18" x14ac:dyDescent="0.35">
      <c r="B825" s="9">
        <v>846</v>
      </c>
      <c r="C825" s="9"/>
      <c r="D825" s="9"/>
      <c r="E825" s="9"/>
      <c r="F825" s="9"/>
      <c r="G825" s="9"/>
      <c r="H825" s="9"/>
      <c r="I825" s="11" t="e">
        <f>VLOOKUP(H825,위치!B:C,2,0)</f>
        <v>#N/A</v>
      </c>
      <c r="J825" s="9"/>
      <c r="K825" s="9"/>
      <c r="L825" s="9" t="e">
        <f>VLOOKUP(H825,위치!B:D,3,0)</f>
        <v>#N/A</v>
      </c>
      <c r="M825" s="12"/>
      <c r="N825" s="5"/>
      <c r="O825" s="5"/>
      <c r="P825" s="5"/>
      <c r="Q825" s="14"/>
      <c r="R825" s="15">
        <f t="shared" si="12"/>
        <v>0</v>
      </c>
    </row>
    <row r="826" spans="2:18" x14ac:dyDescent="0.35">
      <c r="B826" s="9">
        <v>847</v>
      </c>
      <c r="C826" s="9"/>
      <c r="D826" s="9"/>
      <c r="E826" s="9"/>
      <c r="F826" s="9"/>
      <c r="G826" s="9"/>
      <c r="H826" s="9"/>
      <c r="I826" s="11" t="e">
        <f>VLOOKUP(H826,위치!B:C,2,0)</f>
        <v>#N/A</v>
      </c>
      <c r="J826" s="9"/>
      <c r="K826" s="9"/>
      <c r="L826" s="9" t="e">
        <f>VLOOKUP(H826,위치!B:D,3,0)</f>
        <v>#N/A</v>
      </c>
      <c r="M826" s="12"/>
      <c r="N826" s="5"/>
      <c r="O826" s="5"/>
      <c r="P826" s="5"/>
      <c r="Q826" s="14"/>
      <c r="R826" s="15">
        <f t="shared" si="12"/>
        <v>0</v>
      </c>
    </row>
    <row r="827" spans="2:18" x14ac:dyDescent="0.35">
      <c r="B827" s="9">
        <v>848</v>
      </c>
      <c r="C827" s="9"/>
      <c r="D827" s="9"/>
      <c r="E827" s="9"/>
      <c r="F827" s="9"/>
      <c r="G827" s="9"/>
      <c r="H827" s="9"/>
      <c r="I827" s="11" t="e">
        <f>VLOOKUP(H827,위치!B:C,2,0)</f>
        <v>#N/A</v>
      </c>
      <c r="J827" s="9"/>
      <c r="K827" s="9"/>
      <c r="L827" s="9" t="e">
        <f>VLOOKUP(H827,위치!B:D,3,0)</f>
        <v>#N/A</v>
      </c>
      <c r="M827" s="12"/>
      <c r="N827" s="5"/>
      <c r="O827" s="5"/>
      <c r="P827" s="5"/>
      <c r="Q827" s="14"/>
      <c r="R827" s="15">
        <f t="shared" si="12"/>
        <v>0</v>
      </c>
    </row>
    <row r="828" spans="2:18" x14ac:dyDescent="0.35">
      <c r="B828" s="9">
        <v>849</v>
      </c>
      <c r="C828" s="9"/>
      <c r="D828" s="9"/>
      <c r="E828" s="9"/>
      <c r="F828" s="9"/>
      <c r="G828" s="9"/>
      <c r="H828" s="9"/>
      <c r="I828" s="11" t="e">
        <f>VLOOKUP(H828,위치!B:C,2,0)</f>
        <v>#N/A</v>
      </c>
      <c r="J828" s="9"/>
      <c r="K828" s="9"/>
      <c r="L828" s="9" t="e">
        <f>VLOOKUP(H828,위치!B:D,3,0)</f>
        <v>#N/A</v>
      </c>
      <c r="M828" s="12"/>
      <c r="N828" s="5"/>
      <c r="O828" s="5"/>
      <c r="P828" s="5"/>
      <c r="Q828" s="14"/>
      <c r="R828" s="15">
        <f t="shared" si="12"/>
        <v>0</v>
      </c>
    </row>
    <row r="829" spans="2:18" x14ac:dyDescent="0.35">
      <c r="B829" s="9">
        <v>850</v>
      </c>
      <c r="C829" s="9"/>
      <c r="D829" s="9"/>
      <c r="E829" s="9"/>
      <c r="F829" s="9"/>
      <c r="G829" s="9"/>
      <c r="H829" s="9"/>
      <c r="I829" s="11" t="e">
        <f>VLOOKUP(H829,위치!B:C,2,0)</f>
        <v>#N/A</v>
      </c>
      <c r="J829" s="9"/>
      <c r="K829" s="9"/>
      <c r="L829" s="9" t="e">
        <f>VLOOKUP(H829,위치!B:D,3,0)</f>
        <v>#N/A</v>
      </c>
      <c r="M829" s="12"/>
      <c r="N829" s="5"/>
      <c r="O829" s="5"/>
      <c r="P829" s="5"/>
      <c r="Q829" s="14"/>
      <c r="R829" s="15">
        <f t="shared" si="12"/>
        <v>0</v>
      </c>
    </row>
    <row r="830" spans="2:18" x14ac:dyDescent="0.35">
      <c r="B830" s="9">
        <v>851</v>
      </c>
      <c r="C830" s="9"/>
      <c r="D830" s="9"/>
      <c r="E830" s="9"/>
      <c r="F830" s="9"/>
      <c r="G830" s="9"/>
      <c r="H830" s="9"/>
      <c r="I830" s="11" t="e">
        <f>VLOOKUP(H830,위치!B:C,2,0)</f>
        <v>#N/A</v>
      </c>
      <c r="J830" s="9"/>
      <c r="K830" s="9"/>
      <c r="L830" s="9" t="e">
        <f>VLOOKUP(H830,위치!B:D,3,0)</f>
        <v>#N/A</v>
      </c>
      <c r="M830" s="12"/>
      <c r="N830" s="5"/>
      <c r="O830" s="5"/>
      <c r="P830" s="5"/>
      <c r="Q830" s="14"/>
      <c r="R830" s="15">
        <f t="shared" si="12"/>
        <v>0</v>
      </c>
    </row>
    <row r="831" spans="2:18" x14ac:dyDescent="0.35">
      <c r="B831" s="9">
        <v>852</v>
      </c>
      <c r="C831" s="9"/>
      <c r="D831" s="9"/>
      <c r="E831" s="9"/>
      <c r="F831" s="9"/>
      <c r="G831" s="9"/>
      <c r="H831" s="9"/>
      <c r="I831" s="11" t="e">
        <f>VLOOKUP(H831,위치!B:C,2,0)</f>
        <v>#N/A</v>
      </c>
      <c r="J831" s="9"/>
      <c r="K831" s="9"/>
      <c r="L831" s="9" t="e">
        <f>VLOOKUP(H831,위치!B:D,3,0)</f>
        <v>#N/A</v>
      </c>
      <c r="M831" s="12"/>
      <c r="N831" s="5"/>
      <c r="O831" s="5"/>
      <c r="P831" s="5"/>
      <c r="Q831" s="14"/>
      <c r="R831" s="15">
        <f t="shared" si="12"/>
        <v>0</v>
      </c>
    </row>
    <row r="832" spans="2:18" x14ac:dyDescent="0.35">
      <c r="B832" s="9">
        <v>853</v>
      </c>
      <c r="C832" s="9"/>
      <c r="D832" s="9"/>
      <c r="E832" s="9"/>
      <c r="F832" s="9"/>
      <c r="G832" s="9"/>
      <c r="H832" s="9"/>
      <c r="I832" s="11" t="e">
        <f>VLOOKUP(H832,위치!B:C,2,0)</f>
        <v>#N/A</v>
      </c>
      <c r="J832" s="9"/>
      <c r="K832" s="9"/>
      <c r="L832" s="9" t="e">
        <f>VLOOKUP(H832,위치!B:D,3,0)</f>
        <v>#N/A</v>
      </c>
      <c r="M832" s="12"/>
      <c r="N832" s="5"/>
      <c r="O832" s="5"/>
      <c r="P832" s="5"/>
      <c r="Q832" s="14"/>
      <c r="R832" s="15">
        <f t="shared" si="12"/>
        <v>0</v>
      </c>
    </row>
    <row r="833" spans="2:18" x14ac:dyDescent="0.35">
      <c r="B833" s="9">
        <v>854</v>
      </c>
      <c r="C833" s="9"/>
      <c r="D833" s="9"/>
      <c r="E833" s="9"/>
      <c r="F833" s="9"/>
      <c r="G833" s="9"/>
      <c r="H833" s="9"/>
      <c r="I833" s="11" t="e">
        <f>VLOOKUP(H833,위치!B:C,2,0)</f>
        <v>#N/A</v>
      </c>
      <c r="J833" s="9"/>
      <c r="K833" s="9"/>
      <c r="L833" s="9" t="e">
        <f>VLOOKUP(H833,위치!B:D,3,0)</f>
        <v>#N/A</v>
      </c>
      <c r="M833" s="12"/>
      <c r="N833" s="5"/>
      <c r="O833" s="5"/>
      <c r="P833" s="5"/>
      <c r="Q833" s="14"/>
      <c r="R833" s="15">
        <f t="shared" si="12"/>
        <v>0</v>
      </c>
    </row>
    <row r="834" spans="2:18" x14ac:dyDescent="0.35">
      <c r="B834" s="9">
        <v>855</v>
      </c>
      <c r="C834" s="9"/>
      <c r="D834" s="9"/>
      <c r="E834" s="9"/>
      <c r="F834" s="9"/>
      <c r="G834" s="9"/>
      <c r="H834" s="9"/>
      <c r="I834" s="11" t="e">
        <f>VLOOKUP(H834,위치!B:C,2,0)</f>
        <v>#N/A</v>
      </c>
      <c r="J834" s="9"/>
      <c r="K834" s="9"/>
      <c r="L834" s="9" t="e">
        <f>VLOOKUP(H834,위치!B:D,3,0)</f>
        <v>#N/A</v>
      </c>
      <c r="M834" s="12"/>
      <c r="N834" s="5"/>
      <c r="O834" s="5"/>
      <c r="P834" s="5"/>
      <c r="Q834" s="14"/>
      <c r="R834" s="15">
        <f t="shared" si="12"/>
        <v>0</v>
      </c>
    </row>
    <row r="835" spans="2:18" x14ac:dyDescent="0.35">
      <c r="B835" s="9">
        <v>856</v>
      </c>
      <c r="C835" s="9"/>
      <c r="D835" s="9"/>
      <c r="E835" s="9"/>
      <c r="F835" s="9"/>
      <c r="G835" s="9"/>
      <c r="H835" s="9"/>
      <c r="I835" s="11" t="e">
        <f>VLOOKUP(H835,위치!B:C,2,0)</f>
        <v>#N/A</v>
      </c>
      <c r="J835" s="9"/>
      <c r="K835" s="9"/>
      <c r="L835" s="9" t="e">
        <f>VLOOKUP(H835,위치!B:D,3,0)</f>
        <v>#N/A</v>
      </c>
      <c r="M835" s="12"/>
      <c r="N835" s="5"/>
      <c r="O835" s="5"/>
      <c r="P835" s="5"/>
      <c r="Q835" s="14"/>
      <c r="R835" s="15">
        <f t="shared" si="12"/>
        <v>0</v>
      </c>
    </row>
    <row r="836" spans="2:18" x14ac:dyDescent="0.35">
      <c r="B836" s="9">
        <v>857</v>
      </c>
      <c r="C836" s="9"/>
      <c r="D836" s="9"/>
      <c r="E836" s="9"/>
      <c r="F836" s="9"/>
      <c r="G836" s="9"/>
      <c r="H836" s="9"/>
      <c r="I836" s="11" t="e">
        <f>VLOOKUP(H836,위치!B:C,2,0)</f>
        <v>#N/A</v>
      </c>
      <c r="J836" s="9"/>
      <c r="K836" s="9"/>
      <c r="L836" s="9" t="e">
        <f>VLOOKUP(H836,위치!B:D,3,0)</f>
        <v>#N/A</v>
      </c>
      <c r="M836" s="12"/>
      <c r="N836" s="5"/>
      <c r="O836" s="5"/>
      <c r="P836" s="5"/>
      <c r="Q836" s="14"/>
      <c r="R836" s="15">
        <f t="shared" si="12"/>
        <v>0</v>
      </c>
    </row>
    <row r="837" spans="2:18" x14ac:dyDescent="0.35">
      <c r="B837" s="9">
        <v>858</v>
      </c>
      <c r="C837" s="9"/>
      <c r="D837" s="9"/>
      <c r="E837" s="9"/>
      <c r="F837" s="9"/>
      <c r="G837" s="9"/>
      <c r="H837" s="9"/>
      <c r="I837" s="11" t="e">
        <f>VLOOKUP(H837,위치!B:C,2,0)</f>
        <v>#N/A</v>
      </c>
      <c r="J837" s="9"/>
      <c r="K837" s="9"/>
      <c r="L837" s="9" t="e">
        <f>VLOOKUP(H837,위치!B:D,3,0)</f>
        <v>#N/A</v>
      </c>
      <c r="M837" s="12"/>
      <c r="N837" s="5"/>
      <c r="O837" s="5"/>
      <c r="P837" s="5"/>
      <c r="Q837" s="14"/>
      <c r="R837" s="15">
        <f t="shared" si="12"/>
        <v>0</v>
      </c>
    </row>
    <row r="838" spans="2:18" x14ac:dyDescent="0.35">
      <c r="B838" s="9">
        <v>859</v>
      </c>
      <c r="C838" s="9"/>
      <c r="D838" s="9"/>
      <c r="E838" s="9"/>
      <c r="F838" s="9"/>
      <c r="G838" s="9"/>
      <c r="H838" s="9"/>
      <c r="I838" s="11" t="e">
        <f>VLOOKUP(H838,위치!B:C,2,0)</f>
        <v>#N/A</v>
      </c>
      <c r="J838" s="9"/>
      <c r="K838" s="9"/>
      <c r="L838" s="9" t="e">
        <f>VLOOKUP(H838,위치!B:D,3,0)</f>
        <v>#N/A</v>
      </c>
      <c r="M838" s="12"/>
      <c r="N838" s="5"/>
      <c r="O838" s="5"/>
      <c r="P838" s="5"/>
      <c r="Q838" s="14"/>
      <c r="R838" s="15">
        <f t="shared" si="12"/>
        <v>0</v>
      </c>
    </row>
    <row r="839" spans="2:18" x14ac:dyDescent="0.35">
      <c r="B839" s="9">
        <v>860</v>
      </c>
      <c r="C839" s="9"/>
      <c r="D839" s="9"/>
      <c r="E839" s="9"/>
      <c r="F839" s="9"/>
      <c r="G839" s="9"/>
      <c r="H839" s="9"/>
      <c r="I839" s="11" t="e">
        <f>VLOOKUP(H839,위치!B:C,2,0)</f>
        <v>#N/A</v>
      </c>
      <c r="J839" s="9"/>
      <c r="K839" s="9"/>
      <c r="L839" s="9" t="e">
        <f>VLOOKUP(H839,위치!B:D,3,0)</f>
        <v>#N/A</v>
      </c>
      <c r="M839" s="12"/>
      <c r="N839" s="5"/>
      <c r="O839" s="5"/>
      <c r="P839" s="5"/>
      <c r="Q839" s="14"/>
      <c r="R839" s="15">
        <f t="shared" ref="R839:R902" si="13">J839-P839</f>
        <v>0</v>
      </c>
    </row>
    <row r="840" spans="2:18" x14ac:dyDescent="0.35">
      <c r="B840" s="9">
        <v>861</v>
      </c>
      <c r="C840" s="9"/>
      <c r="D840" s="9"/>
      <c r="E840" s="9"/>
      <c r="F840" s="9"/>
      <c r="G840" s="9"/>
      <c r="H840" s="9"/>
      <c r="I840" s="11" t="e">
        <f>VLOOKUP(H840,위치!B:C,2,0)</f>
        <v>#N/A</v>
      </c>
      <c r="J840" s="9"/>
      <c r="K840" s="9"/>
      <c r="L840" s="9" t="e">
        <f>VLOOKUP(H840,위치!B:D,3,0)</f>
        <v>#N/A</v>
      </c>
      <c r="M840" s="12"/>
      <c r="N840" s="5"/>
      <c r="O840" s="5"/>
      <c r="P840" s="5"/>
      <c r="Q840" s="14"/>
      <c r="R840" s="15">
        <f t="shared" si="13"/>
        <v>0</v>
      </c>
    </row>
    <row r="841" spans="2:18" x14ac:dyDescent="0.35">
      <c r="B841" s="9">
        <v>862</v>
      </c>
      <c r="C841" s="9"/>
      <c r="D841" s="9"/>
      <c r="E841" s="9"/>
      <c r="F841" s="9"/>
      <c r="G841" s="9"/>
      <c r="H841" s="9"/>
      <c r="I841" s="11" t="e">
        <f>VLOOKUP(H841,위치!B:C,2,0)</f>
        <v>#N/A</v>
      </c>
      <c r="J841" s="9"/>
      <c r="K841" s="9"/>
      <c r="L841" s="9" t="e">
        <f>VLOOKUP(H841,위치!B:D,3,0)</f>
        <v>#N/A</v>
      </c>
      <c r="M841" s="12"/>
      <c r="N841" s="5"/>
      <c r="O841" s="5"/>
      <c r="P841" s="5"/>
      <c r="Q841" s="14"/>
      <c r="R841" s="15">
        <f t="shared" si="13"/>
        <v>0</v>
      </c>
    </row>
    <row r="842" spans="2:18" x14ac:dyDescent="0.35">
      <c r="B842" s="9">
        <v>863</v>
      </c>
      <c r="C842" s="9"/>
      <c r="D842" s="9"/>
      <c r="E842" s="9"/>
      <c r="F842" s="9"/>
      <c r="G842" s="9"/>
      <c r="H842" s="9"/>
      <c r="I842" s="11" t="e">
        <f>VLOOKUP(H842,위치!B:C,2,0)</f>
        <v>#N/A</v>
      </c>
      <c r="J842" s="9"/>
      <c r="K842" s="9"/>
      <c r="L842" s="9" t="e">
        <f>VLOOKUP(H842,위치!B:D,3,0)</f>
        <v>#N/A</v>
      </c>
      <c r="M842" s="12"/>
      <c r="N842" s="5"/>
      <c r="O842" s="5"/>
      <c r="P842" s="5"/>
      <c r="Q842" s="14"/>
      <c r="R842" s="15">
        <f t="shared" si="13"/>
        <v>0</v>
      </c>
    </row>
    <row r="843" spans="2:18" x14ac:dyDescent="0.35">
      <c r="B843" s="9">
        <v>864</v>
      </c>
      <c r="C843" s="9"/>
      <c r="D843" s="9"/>
      <c r="E843" s="9"/>
      <c r="F843" s="9"/>
      <c r="G843" s="9"/>
      <c r="H843" s="9"/>
      <c r="I843" s="11" t="e">
        <f>VLOOKUP(H843,위치!B:C,2,0)</f>
        <v>#N/A</v>
      </c>
      <c r="J843" s="9"/>
      <c r="K843" s="9"/>
      <c r="L843" s="9" t="e">
        <f>VLOOKUP(H843,위치!B:D,3,0)</f>
        <v>#N/A</v>
      </c>
      <c r="M843" s="12"/>
      <c r="N843" s="5"/>
      <c r="O843" s="5"/>
      <c r="P843" s="5"/>
      <c r="Q843" s="14"/>
      <c r="R843" s="15">
        <f t="shared" si="13"/>
        <v>0</v>
      </c>
    </row>
    <row r="844" spans="2:18" x14ac:dyDescent="0.35">
      <c r="B844" s="9">
        <v>865</v>
      </c>
      <c r="C844" s="9"/>
      <c r="D844" s="9"/>
      <c r="E844" s="9"/>
      <c r="F844" s="9"/>
      <c r="G844" s="9"/>
      <c r="H844" s="9"/>
      <c r="I844" s="11" t="e">
        <f>VLOOKUP(H844,위치!B:C,2,0)</f>
        <v>#N/A</v>
      </c>
      <c r="J844" s="9"/>
      <c r="K844" s="9"/>
      <c r="L844" s="9" t="e">
        <f>VLOOKUP(H844,위치!B:D,3,0)</f>
        <v>#N/A</v>
      </c>
      <c r="M844" s="12"/>
      <c r="N844" s="5"/>
      <c r="O844" s="5"/>
      <c r="P844" s="5"/>
      <c r="Q844" s="14"/>
      <c r="R844" s="15">
        <f t="shared" si="13"/>
        <v>0</v>
      </c>
    </row>
    <row r="845" spans="2:18" x14ac:dyDescent="0.35">
      <c r="B845" s="9">
        <v>866</v>
      </c>
      <c r="C845" s="9"/>
      <c r="D845" s="9"/>
      <c r="E845" s="9"/>
      <c r="F845" s="9"/>
      <c r="G845" s="9"/>
      <c r="H845" s="9"/>
      <c r="I845" s="11" t="e">
        <f>VLOOKUP(H845,위치!B:C,2,0)</f>
        <v>#N/A</v>
      </c>
      <c r="J845" s="9"/>
      <c r="K845" s="9"/>
      <c r="L845" s="9" t="e">
        <f>VLOOKUP(H845,위치!B:D,3,0)</f>
        <v>#N/A</v>
      </c>
      <c r="M845" s="12"/>
      <c r="N845" s="5"/>
      <c r="O845" s="5"/>
      <c r="P845" s="5"/>
      <c r="Q845" s="14"/>
      <c r="R845" s="15">
        <f t="shared" si="13"/>
        <v>0</v>
      </c>
    </row>
    <row r="846" spans="2:18" x14ac:dyDescent="0.35">
      <c r="B846" s="9">
        <v>867</v>
      </c>
      <c r="C846" s="9"/>
      <c r="D846" s="9"/>
      <c r="E846" s="9"/>
      <c r="F846" s="9"/>
      <c r="G846" s="9"/>
      <c r="H846" s="9"/>
      <c r="I846" s="11" t="e">
        <f>VLOOKUP(H846,위치!B:C,2,0)</f>
        <v>#N/A</v>
      </c>
      <c r="J846" s="9"/>
      <c r="K846" s="9"/>
      <c r="L846" s="9" t="e">
        <f>VLOOKUP(H846,위치!B:D,3,0)</f>
        <v>#N/A</v>
      </c>
      <c r="M846" s="12"/>
      <c r="N846" s="5"/>
      <c r="O846" s="5"/>
      <c r="P846" s="5"/>
      <c r="Q846" s="14"/>
      <c r="R846" s="15">
        <f t="shared" si="13"/>
        <v>0</v>
      </c>
    </row>
    <row r="847" spans="2:18" x14ac:dyDescent="0.35">
      <c r="B847" s="9">
        <v>868</v>
      </c>
      <c r="C847" s="9"/>
      <c r="D847" s="9"/>
      <c r="E847" s="9"/>
      <c r="F847" s="9"/>
      <c r="G847" s="9"/>
      <c r="H847" s="9"/>
      <c r="I847" s="11" t="e">
        <f>VLOOKUP(H847,위치!B:C,2,0)</f>
        <v>#N/A</v>
      </c>
      <c r="J847" s="9"/>
      <c r="K847" s="9"/>
      <c r="L847" s="9" t="e">
        <f>VLOOKUP(H847,위치!B:D,3,0)</f>
        <v>#N/A</v>
      </c>
      <c r="M847" s="12"/>
      <c r="N847" s="5"/>
      <c r="O847" s="5"/>
      <c r="P847" s="5"/>
      <c r="Q847" s="14"/>
      <c r="R847" s="15">
        <f t="shared" si="13"/>
        <v>0</v>
      </c>
    </row>
    <row r="848" spans="2:18" x14ac:dyDescent="0.35">
      <c r="B848" s="9">
        <v>869</v>
      </c>
      <c r="C848" s="9"/>
      <c r="D848" s="9"/>
      <c r="E848" s="9"/>
      <c r="F848" s="9"/>
      <c r="G848" s="9"/>
      <c r="H848" s="9"/>
      <c r="I848" s="11" t="e">
        <f>VLOOKUP(H848,위치!B:C,2,0)</f>
        <v>#N/A</v>
      </c>
      <c r="J848" s="9"/>
      <c r="K848" s="9"/>
      <c r="L848" s="9" t="e">
        <f>VLOOKUP(H848,위치!B:D,3,0)</f>
        <v>#N/A</v>
      </c>
      <c r="M848" s="12"/>
      <c r="N848" s="5"/>
      <c r="O848" s="5"/>
      <c r="P848" s="5"/>
      <c r="Q848" s="14"/>
      <c r="R848" s="15">
        <f t="shared" si="13"/>
        <v>0</v>
      </c>
    </row>
    <row r="849" spans="2:18" x14ac:dyDescent="0.35">
      <c r="B849" s="9">
        <v>870</v>
      </c>
      <c r="C849" s="9"/>
      <c r="D849" s="9"/>
      <c r="E849" s="9"/>
      <c r="F849" s="9"/>
      <c r="G849" s="9"/>
      <c r="H849" s="9"/>
      <c r="I849" s="11" t="e">
        <f>VLOOKUP(H849,위치!B:C,2,0)</f>
        <v>#N/A</v>
      </c>
      <c r="J849" s="9"/>
      <c r="K849" s="9"/>
      <c r="L849" s="9" t="e">
        <f>VLOOKUP(H849,위치!B:D,3,0)</f>
        <v>#N/A</v>
      </c>
      <c r="M849" s="12"/>
      <c r="N849" s="5"/>
      <c r="O849" s="5"/>
      <c r="P849" s="5"/>
      <c r="Q849" s="14"/>
      <c r="R849" s="15">
        <f t="shared" si="13"/>
        <v>0</v>
      </c>
    </row>
    <row r="850" spans="2:18" x14ac:dyDescent="0.35">
      <c r="B850" s="9">
        <v>871</v>
      </c>
      <c r="C850" s="9"/>
      <c r="D850" s="9"/>
      <c r="E850" s="9"/>
      <c r="F850" s="9"/>
      <c r="G850" s="9"/>
      <c r="H850" s="9"/>
      <c r="I850" s="11" t="e">
        <f>VLOOKUP(H850,위치!B:C,2,0)</f>
        <v>#N/A</v>
      </c>
      <c r="J850" s="9"/>
      <c r="K850" s="9"/>
      <c r="L850" s="9" t="e">
        <f>VLOOKUP(H850,위치!B:D,3,0)</f>
        <v>#N/A</v>
      </c>
      <c r="M850" s="12"/>
      <c r="N850" s="5"/>
      <c r="O850" s="5"/>
      <c r="P850" s="5"/>
      <c r="Q850" s="14"/>
      <c r="R850" s="15">
        <f t="shared" si="13"/>
        <v>0</v>
      </c>
    </row>
    <row r="851" spans="2:18" x14ac:dyDescent="0.35">
      <c r="B851" s="9">
        <v>872</v>
      </c>
      <c r="C851" s="9"/>
      <c r="D851" s="9"/>
      <c r="E851" s="9"/>
      <c r="F851" s="9"/>
      <c r="G851" s="9"/>
      <c r="H851" s="9"/>
      <c r="I851" s="11" t="e">
        <f>VLOOKUP(H851,위치!B:C,2,0)</f>
        <v>#N/A</v>
      </c>
      <c r="J851" s="9"/>
      <c r="K851" s="9"/>
      <c r="L851" s="9" t="e">
        <f>VLOOKUP(H851,위치!B:D,3,0)</f>
        <v>#N/A</v>
      </c>
      <c r="M851" s="12"/>
      <c r="N851" s="5"/>
      <c r="O851" s="5"/>
      <c r="P851" s="5"/>
      <c r="Q851" s="14"/>
      <c r="R851" s="15">
        <f t="shared" si="13"/>
        <v>0</v>
      </c>
    </row>
    <row r="852" spans="2:18" x14ac:dyDescent="0.35">
      <c r="B852" s="9">
        <v>873</v>
      </c>
      <c r="C852" s="9"/>
      <c r="D852" s="9"/>
      <c r="E852" s="9"/>
      <c r="F852" s="9"/>
      <c r="G852" s="9"/>
      <c r="H852" s="9"/>
      <c r="I852" s="11" t="e">
        <f>VLOOKUP(H852,위치!B:C,2,0)</f>
        <v>#N/A</v>
      </c>
      <c r="J852" s="9"/>
      <c r="K852" s="9"/>
      <c r="L852" s="9" t="e">
        <f>VLOOKUP(H852,위치!B:D,3,0)</f>
        <v>#N/A</v>
      </c>
      <c r="M852" s="12"/>
      <c r="N852" s="5"/>
      <c r="O852" s="5"/>
      <c r="P852" s="5"/>
      <c r="Q852" s="14"/>
      <c r="R852" s="15">
        <f t="shared" si="13"/>
        <v>0</v>
      </c>
    </row>
    <row r="853" spans="2:18" x14ac:dyDescent="0.35">
      <c r="B853" s="9">
        <v>874</v>
      </c>
      <c r="C853" s="9"/>
      <c r="D853" s="9"/>
      <c r="E853" s="9"/>
      <c r="F853" s="9"/>
      <c r="G853" s="9"/>
      <c r="H853" s="9"/>
      <c r="I853" s="11" t="e">
        <f>VLOOKUP(H853,위치!B:C,2,0)</f>
        <v>#N/A</v>
      </c>
      <c r="J853" s="9"/>
      <c r="K853" s="9"/>
      <c r="L853" s="9" t="e">
        <f>VLOOKUP(H853,위치!B:D,3,0)</f>
        <v>#N/A</v>
      </c>
      <c r="M853" s="12"/>
      <c r="N853" s="5"/>
      <c r="O853" s="5"/>
      <c r="P853" s="5"/>
      <c r="Q853" s="14"/>
      <c r="R853" s="15">
        <f t="shared" si="13"/>
        <v>0</v>
      </c>
    </row>
    <row r="854" spans="2:18" x14ac:dyDescent="0.35">
      <c r="B854" s="9">
        <v>875</v>
      </c>
      <c r="C854" s="9"/>
      <c r="D854" s="9"/>
      <c r="E854" s="9"/>
      <c r="F854" s="9"/>
      <c r="G854" s="9"/>
      <c r="H854" s="9"/>
      <c r="I854" s="11" t="e">
        <f>VLOOKUP(H854,위치!B:C,2,0)</f>
        <v>#N/A</v>
      </c>
      <c r="J854" s="9"/>
      <c r="K854" s="9"/>
      <c r="L854" s="9" t="e">
        <f>VLOOKUP(H854,위치!B:D,3,0)</f>
        <v>#N/A</v>
      </c>
      <c r="M854" s="12"/>
      <c r="N854" s="5"/>
      <c r="O854" s="5"/>
      <c r="P854" s="5"/>
      <c r="Q854" s="14"/>
      <c r="R854" s="15">
        <f t="shared" si="13"/>
        <v>0</v>
      </c>
    </row>
    <row r="855" spans="2:18" x14ac:dyDescent="0.35">
      <c r="B855" s="9">
        <v>876</v>
      </c>
      <c r="C855" s="9"/>
      <c r="D855" s="9"/>
      <c r="E855" s="9"/>
      <c r="F855" s="9"/>
      <c r="G855" s="9"/>
      <c r="H855" s="9"/>
      <c r="I855" s="11" t="e">
        <f>VLOOKUP(H855,위치!B:C,2,0)</f>
        <v>#N/A</v>
      </c>
      <c r="J855" s="9"/>
      <c r="K855" s="9"/>
      <c r="L855" s="9" t="e">
        <f>VLOOKUP(H855,위치!B:D,3,0)</f>
        <v>#N/A</v>
      </c>
      <c r="M855" s="12"/>
      <c r="N855" s="5"/>
      <c r="O855" s="5"/>
      <c r="P855" s="5"/>
      <c r="Q855" s="14"/>
      <c r="R855" s="15">
        <f t="shared" si="13"/>
        <v>0</v>
      </c>
    </row>
    <row r="856" spans="2:18" x14ac:dyDescent="0.35">
      <c r="B856" s="9">
        <v>877</v>
      </c>
      <c r="C856" s="9"/>
      <c r="D856" s="9"/>
      <c r="E856" s="9"/>
      <c r="F856" s="9"/>
      <c r="G856" s="9"/>
      <c r="H856" s="9"/>
      <c r="I856" s="11" t="e">
        <f>VLOOKUP(H856,위치!B:C,2,0)</f>
        <v>#N/A</v>
      </c>
      <c r="J856" s="9"/>
      <c r="K856" s="9"/>
      <c r="L856" s="9" t="e">
        <f>VLOOKUP(H856,위치!B:D,3,0)</f>
        <v>#N/A</v>
      </c>
      <c r="M856" s="12"/>
      <c r="N856" s="5"/>
      <c r="O856" s="5"/>
      <c r="P856" s="5"/>
      <c r="Q856" s="14"/>
      <c r="R856" s="15">
        <f t="shared" si="13"/>
        <v>0</v>
      </c>
    </row>
    <row r="857" spans="2:18" x14ac:dyDescent="0.35">
      <c r="B857" s="9">
        <v>878</v>
      </c>
      <c r="C857" s="9"/>
      <c r="D857" s="9"/>
      <c r="E857" s="9"/>
      <c r="F857" s="9"/>
      <c r="G857" s="9"/>
      <c r="H857" s="9"/>
      <c r="I857" s="11" t="e">
        <f>VLOOKUP(H857,위치!B:C,2,0)</f>
        <v>#N/A</v>
      </c>
      <c r="J857" s="9"/>
      <c r="K857" s="9"/>
      <c r="L857" s="9" t="e">
        <f>VLOOKUP(H857,위치!B:D,3,0)</f>
        <v>#N/A</v>
      </c>
      <c r="M857" s="12"/>
      <c r="N857" s="5"/>
      <c r="O857" s="5"/>
      <c r="P857" s="5"/>
      <c r="Q857" s="14"/>
      <c r="R857" s="15">
        <f t="shared" si="13"/>
        <v>0</v>
      </c>
    </row>
    <row r="858" spans="2:18" x14ac:dyDescent="0.35">
      <c r="B858" s="9">
        <v>879</v>
      </c>
      <c r="C858" s="9"/>
      <c r="D858" s="9"/>
      <c r="E858" s="9"/>
      <c r="F858" s="9"/>
      <c r="G858" s="9"/>
      <c r="H858" s="9"/>
      <c r="I858" s="11" t="e">
        <f>VLOOKUP(H858,위치!B:C,2,0)</f>
        <v>#N/A</v>
      </c>
      <c r="J858" s="9"/>
      <c r="K858" s="9"/>
      <c r="L858" s="9" t="e">
        <f>VLOOKUP(H858,위치!B:D,3,0)</f>
        <v>#N/A</v>
      </c>
      <c r="M858" s="12"/>
      <c r="N858" s="5"/>
      <c r="O858" s="5"/>
      <c r="P858" s="5"/>
      <c r="Q858" s="14"/>
      <c r="R858" s="15">
        <f t="shared" si="13"/>
        <v>0</v>
      </c>
    </row>
    <row r="859" spans="2:18" x14ac:dyDescent="0.35">
      <c r="B859" s="9">
        <v>880</v>
      </c>
      <c r="C859" s="9"/>
      <c r="D859" s="9"/>
      <c r="E859" s="9"/>
      <c r="F859" s="9"/>
      <c r="G859" s="9"/>
      <c r="H859" s="9"/>
      <c r="I859" s="11" t="e">
        <f>VLOOKUP(H859,위치!B:C,2,0)</f>
        <v>#N/A</v>
      </c>
      <c r="J859" s="9"/>
      <c r="K859" s="9"/>
      <c r="L859" s="9" t="e">
        <f>VLOOKUP(H859,위치!B:D,3,0)</f>
        <v>#N/A</v>
      </c>
      <c r="M859" s="12"/>
      <c r="N859" s="5"/>
      <c r="O859" s="5"/>
      <c r="P859" s="5"/>
      <c r="Q859" s="14"/>
      <c r="R859" s="15">
        <f t="shared" si="13"/>
        <v>0</v>
      </c>
    </row>
    <row r="860" spans="2:18" x14ac:dyDescent="0.35">
      <c r="B860" s="9">
        <v>881</v>
      </c>
      <c r="C860" s="9"/>
      <c r="D860" s="9"/>
      <c r="E860" s="9"/>
      <c r="F860" s="9"/>
      <c r="G860" s="9"/>
      <c r="H860" s="9"/>
      <c r="I860" s="11" t="e">
        <f>VLOOKUP(H860,위치!B:C,2,0)</f>
        <v>#N/A</v>
      </c>
      <c r="J860" s="9"/>
      <c r="K860" s="9"/>
      <c r="L860" s="9" t="e">
        <f>VLOOKUP(H860,위치!B:D,3,0)</f>
        <v>#N/A</v>
      </c>
      <c r="M860" s="12"/>
      <c r="N860" s="5"/>
      <c r="O860" s="5"/>
      <c r="P860" s="5"/>
      <c r="Q860" s="14"/>
      <c r="R860" s="15">
        <f t="shared" si="13"/>
        <v>0</v>
      </c>
    </row>
    <row r="861" spans="2:18" x14ac:dyDescent="0.35">
      <c r="B861" s="9">
        <v>882</v>
      </c>
      <c r="C861" s="9"/>
      <c r="D861" s="9"/>
      <c r="E861" s="9"/>
      <c r="F861" s="9"/>
      <c r="G861" s="9"/>
      <c r="H861" s="9"/>
      <c r="I861" s="11" t="e">
        <f>VLOOKUP(H861,위치!B:C,2,0)</f>
        <v>#N/A</v>
      </c>
      <c r="J861" s="9"/>
      <c r="K861" s="9"/>
      <c r="L861" s="9" t="e">
        <f>VLOOKUP(H861,위치!B:D,3,0)</f>
        <v>#N/A</v>
      </c>
      <c r="M861" s="12"/>
      <c r="N861" s="5"/>
      <c r="O861" s="5"/>
      <c r="P861" s="5"/>
      <c r="Q861" s="14"/>
      <c r="R861" s="15">
        <f t="shared" si="13"/>
        <v>0</v>
      </c>
    </row>
    <row r="862" spans="2:18" x14ac:dyDescent="0.35">
      <c r="B862" s="9">
        <v>883</v>
      </c>
      <c r="C862" s="9"/>
      <c r="D862" s="9"/>
      <c r="E862" s="9"/>
      <c r="F862" s="9"/>
      <c r="G862" s="9"/>
      <c r="H862" s="9"/>
      <c r="I862" s="11" t="e">
        <f>VLOOKUP(H862,위치!B:C,2,0)</f>
        <v>#N/A</v>
      </c>
      <c r="J862" s="9"/>
      <c r="K862" s="9"/>
      <c r="L862" s="9" t="e">
        <f>VLOOKUP(H862,위치!B:D,3,0)</f>
        <v>#N/A</v>
      </c>
      <c r="M862" s="12"/>
      <c r="N862" s="5"/>
      <c r="O862" s="5"/>
      <c r="P862" s="5"/>
      <c r="Q862" s="14"/>
      <c r="R862" s="15">
        <f t="shared" si="13"/>
        <v>0</v>
      </c>
    </row>
    <row r="863" spans="2:18" x14ac:dyDescent="0.35">
      <c r="B863" s="9">
        <v>884</v>
      </c>
      <c r="C863" s="9"/>
      <c r="D863" s="9"/>
      <c r="E863" s="9"/>
      <c r="F863" s="9"/>
      <c r="G863" s="9"/>
      <c r="H863" s="9"/>
      <c r="I863" s="11" t="e">
        <f>VLOOKUP(H863,위치!B:C,2,0)</f>
        <v>#N/A</v>
      </c>
      <c r="J863" s="9"/>
      <c r="K863" s="9"/>
      <c r="L863" s="9" t="e">
        <f>VLOOKUP(H863,위치!B:D,3,0)</f>
        <v>#N/A</v>
      </c>
      <c r="M863" s="12"/>
      <c r="N863" s="5"/>
      <c r="O863" s="5"/>
      <c r="P863" s="5"/>
      <c r="Q863" s="14"/>
      <c r="R863" s="15">
        <f t="shared" si="13"/>
        <v>0</v>
      </c>
    </row>
    <row r="864" spans="2:18" x14ac:dyDescent="0.35">
      <c r="B864" s="9">
        <v>885</v>
      </c>
      <c r="C864" s="9"/>
      <c r="D864" s="9"/>
      <c r="E864" s="9"/>
      <c r="F864" s="9"/>
      <c r="G864" s="9"/>
      <c r="H864" s="9"/>
      <c r="I864" s="11" t="e">
        <f>VLOOKUP(H864,위치!B:C,2,0)</f>
        <v>#N/A</v>
      </c>
      <c r="J864" s="9"/>
      <c r="K864" s="9"/>
      <c r="L864" s="9" t="e">
        <f>VLOOKUP(H864,위치!B:D,3,0)</f>
        <v>#N/A</v>
      </c>
      <c r="M864" s="12"/>
      <c r="N864" s="5"/>
      <c r="O864" s="5"/>
      <c r="P864" s="5"/>
      <c r="Q864" s="14"/>
      <c r="R864" s="15">
        <f t="shared" si="13"/>
        <v>0</v>
      </c>
    </row>
    <row r="865" spans="2:18" x14ac:dyDescent="0.35">
      <c r="B865" s="9">
        <v>886</v>
      </c>
      <c r="C865" s="9"/>
      <c r="D865" s="9"/>
      <c r="E865" s="9"/>
      <c r="F865" s="9"/>
      <c r="G865" s="9"/>
      <c r="H865" s="9"/>
      <c r="I865" s="11" t="e">
        <f>VLOOKUP(H865,위치!B:C,2,0)</f>
        <v>#N/A</v>
      </c>
      <c r="J865" s="9"/>
      <c r="K865" s="9"/>
      <c r="L865" s="9" t="e">
        <f>VLOOKUP(H865,위치!B:D,3,0)</f>
        <v>#N/A</v>
      </c>
      <c r="M865" s="12"/>
      <c r="N865" s="5"/>
      <c r="O865" s="5"/>
      <c r="P865" s="5"/>
      <c r="Q865" s="14"/>
      <c r="R865" s="15">
        <f t="shared" si="13"/>
        <v>0</v>
      </c>
    </row>
    <row r="866" spans="2:18" x14ac:dyDescent="0.35">
      <c r="B866" s="9">
        <v>887</v>
      </c>
      <c r="C866" s="9"/>
      <c r="D866" s="9"/>
      <c r="E866" s="9"/>
      <c r="F866" s="9"/>
      <c r="G866" s="9"/>
      <c r="H866" s="9"/>
      <c r="I866" s="11" t="e">
        <f>VLOOKUP(H866,위치!B:C,2,0)</f>
        <v>#N/A</v>
      </c>
      <c r="J866" s="9"/>
      <c r="K866" s="9"/>
      <c r="L866" s="9" t="e">
        <f>VLOOKUP(H866,위치!B:D,3,0)</f>
        <v>#N/A</v>
      </c>
      <c r="M866" s="12"/>
      <c r="N866" s="5"/>
      <c r="O866" s="5"/>
      <c r="P866" s="5"/>
      <c r="Q866" s="14"/>
      <c r="R866" s="15">
        <f t="shared" si="13"/>
        <v>0</v>
      </c>
    </row>
    <row r="867" spans="2:18" x14ac:dyDescent="0.35">
      <c r="B867" s="9">
        <v>888</v>
      </c>
      <c r="C867" s="9"/>
      <c r="D867" s="9"/>
      <c r="E867" s="9"/>
      <c r="F867" s="9"/>
      <c r="G867" s="9"/>
      <c r="H867" s="9"/>
      <c r="I867" s="11" t="e">
        <f>VLOOKUP(H867,위치!B:C,2,0)</f>
        <v>#N/A</v>
      </c>
      <c r="J867" s="9"/>
      <c r="K867" s="9"/>
      <c r="L867" s="9" t="e">
        <f>VLOOKUP(H867,위치!B:D,3,0)</f>
        <v>#N/A</v>
      </c>
      <c r="M867" s="12"/>
      <c r="N867" s="5"/>
      <c r="O867" s="5"/>
      <c r="P867" s="5"/>
      <c r="Q867" s="14"/>
      <c r="R867" s="15">
        <f t="shared" si="13"/>
        <v>0</v>
      </c>
    </row>
    <row r="868" spans="2:18" x14ac:dyDescent="0.35">
      <c r="B868" s="9">
        <v>889</v>
      </c>
      <c r="C868" s="9"/>
      <c r="D868" s="9"/>
      <c r="E868" s="9"/>
      <c r="F868" s="9"/>
      <c r="G868" s="9"/>
      <c r="H868" s="9"/>
      <c r="I868" s="11" t="e">
        <f>VLOOKUP(H868,위치!B:C,2,0)</f>
        <v>#N/A</v>
      </c>
      <c r="J868" s="9"/>
      <c r="K868" s="9"/>
      <c r="L868" s="9" t="e">
        <f>VLOOKUP(H868,위치!B:D,3,0)</f>
        <v>#N/A</v>
      </c>
      <c r="M868" s="12"/>
      <c r="N868" s="5"/>
      <c r="O868" s="5"/>
      <c r="P868" s="5"/>
      <c r="Q868" s="14"/>
      <c r="R868" s="15">
        <f t="shared" si="13"/>
        <v>0</v>
      </c>
    </row>
    <row r="869" spans="2:18" x14ac:dyDescent="0.35">
      <c r="B869" s="9">
        <v>890</v>
      </c>
      <c r="C869" s="9"/>
      <c r="D869" s="9"/>
      <c r="E869" s="9"/>
      <c r="F869" s="9"/>
      <c r="G869" s="9"/>
      <c r="H869" s="9"/>
      <c r="I869" s="11" t="e">
        <f>VLOOKUP(H869,위치!B:C,2,0)</f>
        <v>#N/A</v>
      </c>
      <c r="J869" s="9"/>
      <c r="K869" s="9"/>
      <c r="L869" s="9" t="e">
        <f>VLOOKUP(H869,위치!B:D,3,0)</f>
        <v>#N/A</v>
      </c>
      <c r="M869" s="12"/>
      <c r="N869" s="5"/>
      <c r="O869" s="5"/>
      <c r="P869" s="5"/>
      <c r="Q869" s="14"/>
      <c r="R869" s="15">
        <f t="shared" si="13"/>
        <v>0</v>
      </c>
    </row>
    <row r="870" spans="2:18" x14ac:dyDescent="0.35">
      <c r="B870" s="9">
        <v>891</v>
      </c>
      <c r="C870" s="9"/>
      <c r="D870" s="9"/>
      <c r="E870" s="9"/>
      <c r="F870" s="9"/>
      <c r="G870" s="9"/>
      <c r="H870" s="9"/>
      <c r="I870" s="11" t="e">
        <f>VLOOKUP(H870,위치!B:C,2,0)</f>
        <v>#N/A</v>
      </c>
      <c r="J870" s="9"/>
      <c r="K870" s="9"/>
      <c r="L870" s="9" t="e">
        <f>VLOOKUP(H870,위치!B:D,3,0)</f>
        <v>#N/A</v>
      </c>
      <c r="M870" s="12"/>
      <c r="N870" s="5"/>
      <c r="O870" s="5"/>
      <c r="P870" s="5"/>
      <c r="Q870" s="14"/>
      <c r="R870" s="15">
        <f t="shared" si="13"/>
        <v>0</v>
      </c>
    </row>
    <row r="871" spans="2:18" x14ac:dyDescent="0.35">
      <c r="B871" s="9">
        <v>892</v>
      </c>
      <c r="C871" s="9"/>
      <c r="D871" s="9"/>
      <c r="E871" s="9"/>
      <c r="F871" s="9"/>
      <c r="G871" s="9"/>
      <c r="H871" s="9"/>
      <c r="I871" s="11" t="e">
        <f>VLOOKUP(H871,위치!B:C,2,0)</f>
        <v>#N/A</v>
      </c>
      <c r="J871" s="9"/>
      <c r="K871" s="9"/>
      <c r="L871" s="9" t="e">
        <f>VLOOKUP(H871,위치!B:D,3,0)</f>
        <v>#N/A</v>
      </c>
      <c r="M871" s="12"/>
      <c r="N871" s="5"/>
      <c r="O871" s="5"/>
      <c r="P871" s="5"/>
      <c r="Q871" s="14"/>
      <c r="R871" s="15">
        <f t="shared" si="13"/>
        <v>0</v>
      </c>
    </row>
    <row r="872" spans="2:18" x14ac:dyDescent="0.35">
      <c r="B872" s="9">
        <v>893</v>
      </c>
      <c r="C872" s="9"/>
      <c r="D872" s="9"/>
      <c r="E872" s="9"/>
      <c r="F872" s="9"/>
      <c r="G872" s="9"/>
      <c r="H872" s="9"/>
      <c r="I872" s="11" t="e">
        <f>VLOOKUP(H872,위치!B:C,2,0)</f>
        <v>#N/A</v>
      </c>
      <c r="J872" s="9"/>
      <c r="K872" s="9"/>
      <c r="L872" s="9" t="e">
        <f>VLOOKUP(H872,위치!B:D,3,0)</f>
        <v>#N/A</v>
      </c>
      <c r="M872" s="12"/>
      <c r="N872" s="5"/>
      <c r="O872" s="5"/>
      <c r="P872" s="5"/>
      <c r="Q872" s="14"/>
      <c r="R872" s="15">
        <f t="shared" si="13"/>
        <v>0</v>
      </c>
    </row>
    <row r="873" spans="2:18" x14ac:dyDescent="0.35">
      <c r="B873" s="9">
        <v>894</v>
      </c>
      <c r="C873" s="9"/>
      <c r="D873" s="9"/>
      <c r="E873" s="9"/>
      <c r="F873" s="9"/>
      <c r="G873" s="9"/>
      <c r="H873" s="9"/>
      <c r="I873" s="11" t="e">
        <f>VLOOKUP(H873,위치!B:C,2,0)</f>
        <v>#N/A</v>
      </c>
      <c r="J873" s="9"/>
      <c r="K873" s="9"/>
      <c r="L873" s="9" t="e">
        <f>VLOOKUP(H873,위치!B:D,3,0)</f>
        <v>#N/A</v>
      </c>
      <c r="M873" s="12"/>
      <c r="N873" s="5"/>
      <c r="O873" s="5"/>
      <c r="P873" s="5"/>
      <c r="Q873" s="14"/>
      <c r="R873" s="15">
        <f t="shared" si="13"/>
        <v>0</v>
      </c>
    </row>
    <row r="874" spans="2:18" x14ac:dyDescent="0.35">
      <c r="B874" s="9">
        <v>895</v>
      </c>
      <c r="C874" s="9"/>
      <c r="D874" s="9"/>
      <c r="E874" s="9"/>
      <c r="F874" s="9"/>
      <c r="G874" s="9"/>
      <c r="H874" s="9"/>
      <c r="I874" s="11" t="e">
        <f>VLOOKUP(H874,위치!B:C,2,0)</f>
        <v>#N/A</v>
      </c>
      <c r="J874" s="9"/>
      <c r="K874" s="9"/>
      <c r="L874" s="9" t="e">
        <f>VLOOKUP(H874,위치!B:D,3,0)</f>
        <v>#N/A</v>
      </c>
      <c r="M874" s="12"/>
      <c r="N874" s="5"/>
      <c r="O874" s="5"/>
      <c r="P874" s="5"/>
      <c r="Q874" s="14"/>
      <c r="R874" s="15">
        <f t="shared" si="13"/>
        <v>0</v>
      </c>
    </row>
    <row r="875" spans="2:18" x14ac:dyDescent="0.35">
      <c r="B875" s="9">
        <v>896</v>
      </c>
      <c r="C875" s="9"/>
      <c r="D875" s="9"/>
      <c r="E875" s="9"/>
      <c r="F875" s="9"/>
      <c r="G875" s="9"/>
      <c r="H875" s="9"/>
      <c r="I875" s="11" t="e">
        <f>VLOOKUP(H875,위치!B:C,2,0)</f>
        <v>#N/A</v>
      </c>
      <c r="J875" s="9"/>
      <c r="K875" s="9"/>
      <c r="L875" s="9" t="e">
        <f>VLOOKUP(H875,위치!B:D,3,0)</f>
        <v>#N/A</v>
      </c>
      <c r="M875" s="12"/>
      <c r="N875" s="5"/>
      <c r="O875" s="5"/>
      <c r="P875" s="5"/>
      <c r="Q875" s="14"/>
      <c r="R875" s="15">
        <f t="shared" si="13"/>
        <v>0</v>
      </c>
    </row>
    <row r="876" spans="2:18" x14ac:dyDescent="0.35">
      <c r="B876" s="9">
        <v>897</v>
      </c>
      <c r="C876" s="9"/>
      <c r="D876" s="9"/>
      <c r="E876" s="9"/>
      <c r="F876" s="9"/>
      <c r="G876" s="9"/>
      <c r="H876" s="9"/>
      <c r="I876" s="11" t="e">
        <f>VLOOKUP(H876,위치!B:C,2,0)</f>
        <v>#N/A</v>
      </c>
      <c r="J876" s="9"/>
      <c r="K876" s="9"/>
      <c r="L876" s="9" t="e">
        <f>VLOOKUP(H876,위치!B:D,3,0)</f>
        <v>#N/A</v>
      </c>
      <c r="M876" s="12"/>
      <c r="N876" s="5"/>
      <c r="O876" s="5"/>
      <c r="P876" s="5"/>
      <c r="Q876" s="14"/>
      <c r="R876" s="15">
        <f t="shared" si="13"/>
        <v>0</v>
      </c>
    </row>
    <row r="877" spans="2:18" x14ac:dyDescent="0.35">
      <c r="B877" s="9">
        <v>898</v>
      </c>
      <c r="C877" s="9"/>
      <c r="D877" s="9"/>
      <c r="E877" s="9"/>
      <c r="F877" s="9"/>
      <c r="G877" s="9"/>
      <c r="H877" s="9"/>
      <c r="I877" s="11" t="e">
        <f>VLOOKUP(H877,위치!B:C,2,0)</f>
        <v>#N/A</v>
      </c>
      <c r="J877" s="9"/>
      <c r="K877" s="9"/>
      <c r="L877" s="9" t="e">
        <f>VLOOKUP(H877,위치!B:D,3,0)</f>
        <v>#N/A</v>
      </c>
      <c r="M877" s="12"/>
      <c r="N877" s="5"/>
      <c r="O877" s="5"/>
      <c r="P877" s="5"/>
      <c r="Q877" s="14"/>
      <c r="R877" s="15">
        <f t="shared" si="13"/>
        <v>0</v>
      </c>
    </row>
    <row r="878" spans="2:18" x14ac:dyDescent="0.35">
      <c r="B878" s="9">
        <v>899</v>
      </c>
      <c r="C878" s="9"/>
      <c r="D878" s="9"/>
      <c r="E878" s="9"/>
      <c r="F878" s="9"/>
      <c r="G878" s="9"/>
      <c r="H878" s="9"/>
      <c r="I878" s="11" t="e">
        <f>VLOOKUP(H878,위치!B:C,2,0)</f>
        <v>#N/A</v>
      </c>
      <c r="J878" s="9"/>
      <c r="K878" s="9"/>
      <c r="L878" s="9" t="e">
        <f>VLOOKUP(H878,위치!B:D,3,0)</f>
        <v>#N/A</v>
      </c>
      <c r="M878" s="12"/>
      <c r="N878" s="5"/>
      <c r="O878" s="5"/>
      <c r="P878" s="5"/>
      <c r="Q878" s="14"/>
      <c r="R878" s="15">
        <f t="shared" si="13"/>
        <v>0</v>
      </c>
    </row>
    <row r="879" spans="2:18" x14ac:dyDescent="0.35">
      <c r="B879" s="9">
        <v>900</v>
      </c>
      <c r="C879" s="9"/>
      <c r="D879" s="9"/>
      <c r="E879" s="9"/>
      <c r="F879" s="9"/>
      <c r="G879" s="9"/>
      <c r="H879" s="9"/>
      <c r="I879" s="11" t="e">
        <f>VLOOKUP(H879,위치!B:C,2,0)</f>
        <v>#N/A</v>
      </c>
      <c r="J879" s="9"/>
      <c r="K879" s="9"/>
      <c r="L879" s="9" t="e">
        <f>VLOOKUP(H879,위치!B:D,3,0)</f>
        <v>#N/A</v>
      </c>
      <c r="M879" s="12"/>
      <c r="N879" s="5"/>
      <c r="O879" s="5"/>
      <c r="P879" s="5"/>
      <c r="Q879" s="14"/>
      <c r="R879" s="15">
        <f t="shared" si="13"/>
        <v>0</v>
      </c>
    </row>
    <row r="880" spans="2:18" x14ac:dyDescent="0.35">
      <c r="B880" s="9">
        <v>901</v>
      </c>
      <c r="C880" s="9"/>
      <c r="D880" s="9"/>
      <c r="E880" s="9"/>
      <c r="F880" s="9"/>
      <c r="G880" s="9"/>
      <c r="H880" s="9"/>
      <c r="I880" s="11" t="e">
        <f>VLOOKUP(H880,위치!B:C,2,0)</f>
        <v>#N/A</v>
      </c>
      <c r="J880" s="9"/>
      <c r="K880" s="9"/>
      <c r="L880" s="9" t="e">
        <f>VLOOKUP(H880,위치!B:D,3,0)</f>
        <v>#N/A</v>
      </c>
      <c r="M880" s="12"/>
      <c r="N880" s="5"/>
      <c r="O880" s="5"/>
      <c r="P880" s="5"/>
      <c r="Q880" s="14"/>
      <c r="R880" s="15">
        <f t="shared" si="13"/>
        <v>0</v>
      </c>
    </row>
    <row r="881" spans="2:18" x14ac:dyDescent="0.35">
      <c r="B881" s="9">
        <v>902</v>
      </c>
      <c r="C881" s="9"/>
      <c r="D881" s="9"/>
      <c r="E881" s="9"/>
      <c r="F881" s="9"/>
      <c r="G881" s="9"/>
      <c r="H881" s="9"/>
      <c r="I881" s="11" t="e">
        <f>VLOOKUP(H881,위치!B:C,2,0)</f>
        <v>#N/A</v>
      </c>
      <c r="J881" s="9"/>
      <c r="K881" s="9"/>
      <c r="L881" s="9" t="e">
        <f>VLOOKUP(H881,위치!B:D,3,0)</f>
        <v>#N/A</v>
      </c>
      <c r="M881" s="12"/>
      <c r="N881" s="5"/>
      <c r="O881" s="5"/>
      <c r="P881" s="5"/>
      <c r="Q881" s="14"/>
      <c r="R881" s="15">
        <f t="shared" si="13"/>
        <v>0</v>
      </c>
    </row>
    <row r="882" spans="2:18" x14ac:dyDescent="0.35">
      <c r="B882" s="9">
        <v>903</v>
      </c>
      <c r="C882" s="9"/>
      <c r="D882" s="9"/>
      <c r="E882" s="9"/>
      <c r="F882" s="9"/>
      <c r="G882" s="9"/>
      <c r="H882" s="9"/>
      <c r="I882" s="11" t="e">
        <f>VLOOKUP(H882,위치!B:C,2,0)</f>
        <v>#N/A</v>
      </c>
      <c r="J882" s="9"/>
      <c r="K882" s="9"/>
      <c r="L882" s="9" t="e">
        <f>VLOOKUP(H882,위치!B:D,3,0)</f>
        <v>#N/A</v>
      </c>
      <c r="M882" s="12"/>
      <c r="N882" s="5"/>
      <c r="O882" s="5"/>
      <c r="P882" s="5"/>
      <c r="Q882" s="14"/>
      <c r="R882" s="15">
        <f t="shared" si="13"/>
        <v>0</v>
      </c>
    </row>
    <row r="883" spans="2:18" x14ac:dyDescent="0.35">
      <c r="B883" s="9">
        <v>904</v>
      </c>
      <c r="C883" s="9"/>
      <c r="D883" s="9"/>
      <c r="E883" s="9"/>
      <c r="F883" s="9"/>
      <c r="G883" s="9"/>
      <c r="H883" s="9"/>
      <c r="I883" s="11" t="e">
        <f>VLOOKUP(H883,위치!B:C,2,0)</f>
        <v>#N/A</v>
      </c>
      <c r="J883" s="9"/>
      <c r="K883" s="9"/>
      <c r="L883" s="9" t="e">
        <f>VLOOKUP(H883,위치!B:D,3,0)</f>
        <v>#N/A</v>
      </c>
      <c r="M883" s="12"/>
      <c r="N883" s="5"/>
      <c r="O883" s="5"/>
      <c r="P883" s="5"/>
      <c r="Q883" s="14"/>
      <c r="R883" s="15">
        <f t="shared" si="13"/>
        <v>0</v>
      </c>
    </row>
    <row r="884" spans="2:18" x14ac:dyDescent="0.35">
      <c r="B884" s="9">
        <v>905</v>
      </c>
      <c r="C884" s="9"/>
      <c r="D884" s="9"/>
      <c r="E884" s="9"/>
      <c r="F884" s="9"/>
      <c r="G884" s="9"/>
      <c r="H884" s="9"/>
      <c r="I884" s="11" t="e">
        <f>VLOOKUP(H884,위치!B:C,2,0)</f>
        <v>#N/A</v>
      </c>
      <c r="J884" s="9"/>
      <c r="K884" s="9"/>
      <c r="L884" s="9" t="e">
        <f>VLOOKUP(H884,위치!B:D,3,0)</f>
        <v>#N/A</v>
      </c>
      <c r="M884" s="12"/>
      <c r="N884" s="5"/>
      <c r="O884" s="5"/>
      <c r="P884" s="5"/>
      <c r="Q884" s="14"/>
      <c r="R884" s="15">
        <f t="shared" si="13"/>
        <v>0</v>
      </c>
    </row>
    <row r="885" spans="2:18" x14ac:dyDescent="0.35">
      <c r="B885" s="9">
        <v>906</v>
      </c>
      <c r="C885" s="9"/>
      <c r="D885" s="9"/>
      <c r="E885" s="9"/>
      <c r="F885" s="9"/>
      <c r="G885" s="9"/>
      <c r="H885" s="9"/>
      <c r="I885" s="11" t="e">
        <f>VLOOKUP(H885,위치!B:C,2,0)</f>
        <v>#N/A</v>
      </c>
      <c r="J885" s="9"/>
      <c r="K885" s="9"/>
      <c r="L885" s="9" t="e">
        <f>VLOOKUP(H885,위치!B:D,3,0)</f>
        <v>#N/A</v>
      </c>
      <c r="M885" s="12"/>
      <c r="N885" s="5"/>
      <c r="O885" s="5"/>
      <c r="P885" s="5"/>
      <c r="Q885" s="14"/>
      <c r="R885" s="15">
        <f t="shared" si="13"/>
        <v>0</v>
      </c>
    </row>
    <row r="886" spans="2:18" x14ac:dyDescent="0.35">
      <c r="B886" s="9">
        <v>907</v>
      </c>
      <c r="C886" s="9"/>
      <c r="D886" s="9"/>
      <c r="E886" s="9"/>
      <c r="F886" s="9"/>
      <c r="G886" s="9"/>
      <c r="H886" s="9"/>
      <c r="I886" s="11" t="e">
        <f>VLOOKUP(H886,위치!B:C,2,0)</f>
        <v>#N/A</v>
      </c>
      <c r="J886" s="9"/>
      <c r="K886" s="9"/>
      <c r="L886" s="9" t="e">
        <f>VLOOKUP(H886,위치!B:D,3,0)</f>
        <v>#N/A</v>
      </c>
      <c r="M886" s="12"/>
      <c r="N886" s="5"/>
      <c r="O886" s="5"/>
      <c r="P886" s="5"/>
      <c r="Q886" s="14"/>
      <c r="R886" s="15">
        <f t="shared" si="13"/>
        <v>0</v>
      </c>
    </row>
    <row r="887" spans="2:18" x14ac:dyDescent="0.35">
      <c r="B887" s="9">
        <v>908</v>
      </c>
      <c r="C887" s="9"/>
      <c r="D887" s="9"/>
      <c r="E887" s="9"/>
      <c r="F887" s="9"/>
      <c r="G887" s="9"/>
      <c r="H887" s="9"/>
      <c r="I887" s="11" t="e">
        <f>VLOOKUP(H887,위치!B:C,2,0)</f>
        <v>#N/A</v>
      </c>
      <c r="J887" s="9"/>
      <c r="K887" s="9"/>
      <c r="L887" s="9" t="e">
        <f>VLOOKUP(H887,위치!B:D,3,0)</f>
        <v>#N/A</v>
      </c>
      <c r="M887" s="12"/>
      <c r="N887" s="5"/>
      <c r="O887" s="5"/>
      <c r="P887" s="5"/>
      <c r="Q887" s="14"/>
      <c r="R887" s="15">
        <f t="shared" si="13"/>
        <v>0</v>
      </c>
    </row>
    <row r="888" spans="2:18" x14ac:dyDescent="0.35">
      <c r="B888" s="9">
        <v>909</v>
      </c>
      <c r="C888" s="9"/>
      <c r="D888" s="9"/>
      <c r="E888" s="9"/>
      <c r="F888" s="9"/>
      <c r="G888" s="9"/>
      <c r="H888" s="9"/>
      <c r="I888" s="11" t="e">
        <f>VLOOKUP(H888,위치!B:C,2,0)</f>
        <v>#N/A</v>
      </c>
      <c r="J888" s="9"/>
      <c r="K888" s="9"/>
      <c r="L888" s="9" t="e">
        <f>VLOOKUP(H888,위치!B:D,3,0)</f>
        <v>#N/A</v>
      </c>
      <c r="M888" s="12"/>
      <c r="N888" s="5"/>
      <c r="O888" s="5"/>
      <c r="P888" s="5"/>
      <c r="Q888" s="14"/>
      <c r="R888" s="15">
        <f t="shared" si="13"/>
        <v>0</v>
      </c>
    </row>
    <row r="889" spans="2:18" x14ac:dyDescent="0.35">
      <c r="B889" s="9">
        <v>910</v>
      </c>
      <c r="C889" s="9"/>
      <c r="D889" s="9"/>
      <c r="E889" s="9"/>
      <c r="F889" s="9"/>
      <c r="G889" s="9"/>
      <c r="H889" s="9"/>
      <c r="I889" s="11" t="e">
        <f>VLOOKUP(H889,위치!B:C,2,0)</f>
        <v>#N/A</v>
      </c>
      <c r="J889" s="9"/>
      <c r="K889" s="9"/>
      <c r="L889" s="9" t="e">
        <f>VLOOKUP(H889,위치!B:D,3,0)</f>
        <v>#N/A</v>
      </c>
      <c r="M889" s="12"/>
      <c r="N889" s="5"/>
      <c r="O889" s="5"/>
      <c r="P889" s="5"/>
      <c r="Q889" s="14"/>
      <c r="R889" s="15">
        <f t="shared" si="13"/>
        <v>0</v>
      </c>
    </row>
    <row r="890" spans="2:18" x14ac:dyDescent="0.35">
      <c r="B890" s="9">
        <v>911</v>
      </c>
      <c r="C890" s="9"/>
      <c r="D890" s="9"/>
      <c r="E890" s="9"/>
      <c r="F890" s="9"/>
      <c r="G890" s="9"/>
      <c r="H890" s="9"/>
      <c r="I890" s="11" t="e">
        <f>VLOOKUP(H890,위치!B:C,2,0)</f>
        <v>#N/A</v>
      </c>
      <c r="J890" s="9"/>
      <c r="K890" s="9"/>
      <c r="L890" s="9" t="e">
        <f>VLOOKUP(H890,위치!B:D,3,0)</f>
        <v>#N/A</v>
      </c>
      <c r="M890" s="12"/>
      <c r="N890" s="5"/>
      <c r="O890" s="5"/>
      <c r="P890" s="5"/>
      <c r="Q890" s="14"/>
      <c r="R890" s="15">
        <f t="shared" si="13"/>
        <v>0</v>
      </c>
    </row>
    <row r="891" spans="2:18" x14ac:dyDescent="0.35">
      <c r="B891" s="9">
        <v>912</v>
      </c>
      <c r="C891" s="9"/>
      <c r="D891" s="9"/>
      <c r="E891" s="9"/>
      <c r="F891" s="9"/>
      <c r="G891" s="9"/>
      <c r="H891" s="9"/>
      <c r="I891" s="11" t="e">
        <f>VLOOKUP(H891,위치!B:C,2,0)</f>
        <v>#N/A</v>
      </c>
      <c r="J891" s="9"/>
      <c r="K891" s="9"/>
      <c r="L891" s="9" t="e">
        <f>VLOOKUP(H891,위치!B:D,3,0)</f>
        <v>#N/A</v>
      </c>
      <c r="M891" s="12"/>
      <c r="N891" s="5"/>
      <c r="O891" s="5"/>
      <c r="P891" s="5"/>
      <c r="Q891" s="14"/>
      <c r="R891" s="15">
        <f t="shared" si="13"/>
        <v>0</v>
      </c>
    </row>
    <row r="892" spans="2:18" x14ac:dyDescent="0.35">
      <c r="B892" s="9">
        <v>913</v>
      </c>
      <c r="C892" s="9"/>
      <c r="D892" s="9"/>
      <c r="E892" s="9"/>
      <c r="F892" s="9"/>
      <c r="G892" s="9"/>
      <c r="H892" s="9"/>
      <c r="I892" s="11" t="e">
        <f>VLOOKUP(H892,위치!B:C,2,0)</f>
        <v>#N/A</v>
      </c>
      <c r="J892" s="9"/>
      <c r="K892" s="9"/>
      <c r="L892" s="9" t="e">
        <f>VLOOKUP(H892,위치!B:D,3,0)</f>
        <v>#N/A</v>
      </c>
      <c r="M892" s="12"/>
      <c r="N892" s="5"/>
      <c r="O892" s="5"/>
      <c r="P892" s="5"/>
      <c r="Q892" s="14"/>
      <c r="R892" s="15">
        <f t="shared" si="13"/>
        <v>0</v>
      </c>
    </row>
    <row r="893" spans="2:18" x14ac:dyDescent="0.35">
      <c r="B893" s="9">
        <v>914</v>
      </c>
      <c r="C893" s="9"/>
      <c r="D893" s="9"/>
      <c r="E893" s="9"/>
      <c r="F893" s="9"/>
      <c r="G893" s="9"/>
      <c r="H893" s="9"/>
      <c r="I893" s="11" t="e">
        <f>VLOOKUP(H893,위치!B:C,2,0)</f>
        <v>#N/A</v>
      </c>
      <c r="J893" s="9"/>
      <c r="K893" s="9"/>
      <c r="L893" s="9" t="e">
        <f>VLOOKUP(H893,위치!B:D,3,0)</f>
        <v>#N/A</v>
      </c>
      <c r="M893" s="12"/>
      <c r="N893" s="5"/>
      <c r="O893" s="5"/>
      <c r="P893" s="5"/>
      <c r="Q893" s="14"/>
      <c r="R893" s="15">
        <f t="shared" si="13"/>
        <v>0</v>
      </c>
    </row>
    <row r="894" spans="2:18" x14ac:dyDescent="0.35">
      <c r="B894" s="9">
        <v>915</v>
      </c>
      <c r="C894" s="9"/>
      <c r="D894" s="9"/>
      <c r="E894" s="9"/>
      <c r="F894" s="9"/>
      <c r="G894" s="9"/>
      <c r="H894" s="9"/>
      <c r="I894" s="11" t="e">
        <f>VLOOKUP(H894,위치!B:C,2,0)</f>
        <v>#N/A</v>
      </c>
      <c r="J894" s="9"/>
      <c r="K894" s="9"/>
      <c r="L894" s="9" t="e">
        <f>VLOOKUP(H894,위치!B:D,3,0)</f>
        <v>#N/A</v>
      </c>
      <c r="M894" s="12"/>
      <c r="N894" s="5"/>
      <c r="O894" s="5"/>
      <c r="P894" s="5"/>
      <c r="Q894" s="14"/>
      <c r="R894" s="15">
        <f t="shared" si="13"/>
        <v>0</v>
      </c>
    </row>
    <row r="895" spans="2:18" x14ac:dyDescent="0.35">
      <c r="B895" s="9">
        <v>916</v>
      </c>
      <c r="C895" s="9"/>
      <c r="D895" s="9"/>
      <c r="E895" s="9"/>
      <c r="F895" s="9"/>
      <c r="G895" s="9"/>
      <c r="H895" s="9"/>
      <c r="I895" s="11" t="e">
        <f>VLOOKUP(H895,위치!B:C,2,0)</f>
        <v>#N/A</v>
      </c>
      <c r="J895" s="9"/>
      <c r="K895" s="9"/>
      <c r="L895" s="9" t="e">
        <f>VLOOKUP(H895,위치!B:D,3,0)</f>
        <v>#N/A</v>
      </c>
      <c r="M895" s="12"/>
      <c r="N895" s="5"/>
      <c r="O895" s="5"/>
      <c r="P895" s="5"/>
      <c r="Q895" s="14"/>
      <c r="R895" s="15">
        <f t="shared" si="13"/>
        <v>0</v>
      </c>
    </row>
    <row r="896" spans="2:18" x14ac:dyDescent="0.35">
      <c r="B896" s="9">
        <v>917</v>
      </c>
      <c r="C896" s="9"/>
      <c r="D896" s="9"/>
      <c r="E896" s="9"/>
      <c r="F896" s="9"/>
      <c r="G896" s="9"/>
      <c r="H896" s="9"/>
      <c r="I896" s="11" t="e">
        <f>VLOOKUP(H896,위치!B:C,2,0)</f>
        <v>#N/A</v>
      </c>
      <c r="J896" s="9"/>
      <c r="K896" s="9"/>
      <c r="L896" s="9" t="e">
        <f>VLOOKUP(H896,위치!B:D,3,0)</f>
        <v>#N/A</v>
      </c>
      <c r="M896" s="12"/>
      <c r="N896" s="5"/>
      <c r="O896" s="5"/>
      <c r="P896" s="5"/>
      <c r="Q896" s="14"/>
      <c r="R896" s="15">
        <f t="shared" si="13"/>
        <v>0</v>
      </c>
    </row>
    <row r="897" spans="2:18" x14ac:dyDescent="0.35">
      <c r="B897" s="9">
        <v>918</v>
      </c>
      <c r="C897" s="9"/>
      <c r="D897" s="9"/>
      <c r="E897" s="9"/>
      <c r="F897" s="9"/>
      <c r="G897" s="9"/>
      <c r="H897" s="9"/>
      <c r="I897" s="11" t="e">
        <f>VLOOKUP(H897,위치!B:C,2,0)</f>
        <v>#N/A</v>
      </c>
      <c r="J897" s="9"/>
      <c r="K897" s="9"/>
      <c r="L897" s="9" t="e">
        <f>VLOOKUP(H897,위치!B:D,3,0)</f>
        <v>#N/A</v>
      </c>
      <c r="M897" s="12"/>
      <c r="N897" s="5"/>
      <c r="O897" s="5"/>
      <c r="P897" s="5"/>
      <c r="Q897" s="14"/>
      <c r="R897" s="15">
        <f t="shared" si="13"/>
        <v>0</v>
      </c>
    </row>
    <row r="898" spans="2:18" x14ac:dyDescent="0.35">
      <c r="B898" s="9">
        <v>919</v>
      </c>
      <c r="C898" s="9"/>
      <c r="D898" s="9"/>
      <c r="E898" s="9"/>
      <c r="F898" s="9"/>
      <c r="G898" s="9"/>
      <c r="H898" s="9"/>
      <c r="I898" s="11" t="e">
        <f>VLOOKUP(H898,위치!B:C,2,0)</f>
        <v>#N/A</v>
      </c>
      <c r="J898" s="9"/>
      <c r="K898" s="9"/>
      <c r="L898" s="9" t="e">
        <f>VLOOKUP(H898,위치!B:D,3,0)</f>
        <v>#N/A</v>
      </c>
      <c r="M898" s="12"/>
      <c r="N898" s="5"/>
      <c r="O898" s="5"/>
      <c r="P898" s="5"/>
      <c r="Q898" s="14"/>
      <c r="R898" s="15">
        <f t="shared" si="13"/>
        <v>0</v>
      </c>
    </row>
    <row r="899" spans="2:18" x14ac:dyDescent="0.35">
      <c r="B899" s="9">
        <v>920</v>
      </c>
      <c r="C899" s="9"/>
      <c r="D899" s="9"/>
      <c r="E899" s="9"/>
      <c r="F899" s="9"/>
      <c r="G899" s="9"/>
      <c r="H899" s="9"/>
      <c r="I899" s="11" t="e">
        <f>VLOOKUP(H899,위치!B:C,2,0)</f>
        <v>#N/A</v>
      </c>
      <c r="J899" s="9"/>
      <c r="K899" s="9"/>
      <c r="L899" s="9" t="e">
        <f>VLOOKUP(H899,위치!B:D,3,0)</f>
        <v>#N/A</v>
      </c>
      <c r="M899" s="12"/>
      <c r="N899" s="5"/>
      <c r="O899" s="5"/>
      <c r="P899" s="5"/>
      <c r="Q899" s="14"/>
      <c r="R899" s="15">
        <f t="shared" si="13"/>
        <v>0</v>
      </c>
    </row>
    <row r="900" spans="2:18" x14ac:dyDescent="0.35">
      <c r="B900" s="9">
        <v>921</v>
      </c>
      <c r="C900" s="9"/>
      <c r="D900" s="9"/>
      <c r="E900" s="9"/>
      <c r="F900" s="9"/>
      <c r="G900" s="9"/>
      <c r="H900" s="9"/>
      <c r="I900" s="11" t="e">
        <f>VLOOKUP(H900,위치!B:C,2,0)</f>
        <v>#N/A</v>
      </c>
      <c r="J900" s="9"/>
      <c r="K900" s="9"/>
      <c r="L900" s="9" t="e">
        <f>VLOOKUP(H900,위치!B:D,3,0)</f>
        <v>#N/A</v>
      </c>
      <c r="M900" s="12"/>
      <c r="N900" s="5"/>
      <c r="O900" s="5"/>
      <c r="P900" s="5"/>
      <c r="Q900" s="14"/>
      <c r="R900" s="15">
        <f t="shared" si="13"/>
        <v>0</v>
      </c>
    </row>
    <row r="901" spans="2:18" x14ac:dyDescent="0.35">
      <c r="B901" s="9">
        <v>922</v>
      </c>
      <c r="C901" s="9"/>
      <c r="D901" s="9"/>
      <c r="E901" s="9"/>
      <c r="F901" s="9"/>
      <c r="G901" s="9"/>
      <c r="H901" s="9"/>
      <c r="I901" s="11" t="e">
        <f>VLOOKUP(H901,위치!B:C,2,0)</f>
        <v>#N/A</v>
      </c>
      <c r="J901" s="9"/>
      <c r="K901" s="9"/>
      <c r="L901" s="9" t="e">
        <f>VLOOKUP(H901,위치!B:D,3,0)</f>
        <v>#N/A</v>
      </c>
      <c r="M901" s="12"/>
      <c r="N901" s="5"/>
      <c r="O901" s="5"/>
      <c r="P901" s="5"/>
      <c r="Q901" s="14"/>
      <c r="R901" s="15">
        <f t="shared" si="13"/>
        <v>0</v>
      </c>
    </row>
    <row r="902" spans="2:18" x14ac:dyDescent="0.35">
      <c r="B902" s="9">
        <v>923</v>
      </c>
      <c r="C902" s="9"/>
      <c r="D902" s="9"/>
      <c r="E902" s="9"/>
      <c r="F902" s="9"/>
      <c r="G902" s="9"/>
      <c r="H902" s="9"/>
      <c r="I902" s="11" t="e">
        <f>VLOOKUP(H902,위치!B:C,2,0)</f>
        <v>#N/A</v>
      </c>
      <c r="J902" s="9"/>
      <c r="K902" s="9"/>
      <c r="L902" s="9" t="e">
        <f>VLOOKUP(H902,위치!B:D,3,0)</f>
        <v>#N/A</v>
      </c>
      <c r="M902" s="12"/>
      <c r="N902" s="5"/>
      <c r="O902" s="5"/>
      <c r="P902" s="5"/>
      <c r="Q902" s="14"/>
      <c r="R902" s="15">
        <f t="shared" si="13"/>
        <v>0</v>
      </c>
    </row>
    <row r="903" spans="2:18" x14ac:dyDescent="0.35">
      <c r="B903" s="9">
        <v>924</v>
      </c>
      <c r="C903" s="9"/>
      <c r="D903" s="9"/>
      <c r="E903" s="9"/>
      <c r="F903" s="9"/>
      <c r="G903" s="9"/>
      <c r="H903" s="9"/>
      <c r="I903" s="11" t="e">
        <f>VLOOKUP(H903,위치!B:C,2,0)</f>
        <v>#N/A</v>
      </c>
      <c r="J903" s="9"/>
      <c r="K903" s="9"/>
      <c r="L903" s="9" t="e">
        <f>VLOOKUP(H903,위치!B:D,3,0)</f>
        <v>#N/A</v>
      </c>
      <c r="M903" s="12"/>
      <c r="N903" s="5"/>
      <c r="O903" s="5"/>
      <c r="P903" s="5"/>
      <c r="Q903" s="14"/>
      <c r="R903" s="15">
        <f t="shared" ref="R903:R966" si="14">J903-P903</f>
        <v>0</v>
      </c>
    </row>
    <row r="904" spans="2:18" x14ac:dyDescent="0.35">
      <c r="B904" s="9">
        <v>925</v>
      </c>
      <c r="C904" s="9"/>
      <c r="D904" s="9"/>
      <c r="E904" s="9"/>
      <c r="F904" s="9"/>
      <c r="G904" s="9"/>
      <c r="H904" s="9"/>
      <c r="I904" s="11" t="e">
        <f>VLOOKUP(H904,위치!B:C,2,0)</f>
        <v>#N/A</v>
      </c>
      <c r="J904" s="9"/>
      <c r="K904" s="9"/>
      <c r="L904" s="9" t="e">
        <f>VLOOKUP(H904,위치!B:D,3,0)</f>
        <v>#N/A</v>
      </c>
      <c r="M904" s="12"/>
      <c r="N904" s="5"/>
      <c r="O904" s="5"/>
      <c r="P904" s="5"/>
      <c r="Q904" s="14"/>
      <c r="R904" s="15">
        <f t="shared" si="14"/>
        <v>0</v>
      </c>
    </row>
    <row r="905" spans="2:18" x14ac:dyDescent="0.35">
      <c r="B905" s="9">
        <v>926</v>
      </c>
      <c r="C905" s="9"/>
      <c r="D905" s="9"/>
      <c r="E905" s="9"/>
      <c r="F905" s="9"/>
      <c r="G905" s="9"/>
      <c r="H905" s="9"/>
      <c r="I905" s="11" t="e">
        <f>VLOOKUP(H905,위치!B:C,2,0)</f>
        <v>#N/A</v>
      </c>
      <c r="J905" s="9"/>
      <c r="K905" s="9"/>
      <c r="L905" s="9" t="e">
        <f>VLOOKUP(H905,위치!B:D,3,0)</f>
        <v>#N/A</v>
      </c>
      <c r="M905" s="12"/>
      <c r="N905" s="5"/>
      <c r="O905" s="5"/>
      <c r="P905" s="5"/>
      <c r="Q905" s="14"/>
      <c r="R905" s="15">
        <f t="shared" si="14"/>
        <v>0</v>
      </c>
    </row>
    <row r="906" spans="2:18" x14ac:dyDescent="0.35">
      <c r="B906" s="9">
        <v>927</v>
      </c>
      <c r="C906" s="9"/>
      <c r="D906" s="9"/>
      <c r="E906" s="9"/>
      <c r="F906" s="9"/>
      <c r="G906" s="9"/>
      <c r="H906" s="9"/>
      <c r="I906" s="11" t="e">
        <f>VLOOKUP(H906,위치!B:C,2,0)</f>
        <v>#N/A</v>
      </c>
      <c r="J906" s="9"/>
      <c r="K906" s="9"/>
      <c r="L906" s="9" t="e">
        <f>VLOOKUP(H906,위치!B:D,3,0)</f>
        <v>#N/A</v>
      </c>
      <c r="M906" s="12"/>
      <c r="N906" s="5"/>
      <c r="O906" s="5"/>
      <c r="P906" s="5"/>
      <c r="Q906" s="14"/>
      <c r="R906" s="15">
        <f t="shared" si="14"/>
        <v>0</v>
      </c>
    </row>
    <row r="907" spans="2:18" x14ac:dyDescent="0.35">
      <c r="B907" s="9">
        <v>928</v>
      </c>
      <c r="C907" s="9"/>
      <c r="D907" s="9"/>
      <c r="E907" s="9"/>
      <c r="F907" s="9"/>
      <c r="G907" s="9"/>
      <c r="H907" s="9"/>
      <c r="I907" s="11" t="e">
        <f>VLOOKUP(H907,위치!B:C,2,0)</f>
        <v>#N/A</v>
      </c>
      <c r="J907" s="9"/>
      <c r="K907" s="9"/>
      <c r="L907" s="9" t="e">
        <f>VLOOKUP(H907,위치!B:D,3,0)</f>
        <v>#N/A</v>
      </c>
      <c r="M907" s="12"/>
      <c r="N907" s="5"/>
      <c r="O907" s="5"/>
      <c r="P907" s="5"/>
      <c r="Q907" s="14"/>
      <c r="R907" s="15">
        <f t="shared" si="14"/>
        <v>0</v>
      </c>
    </row>
    <row r="908" spans="2:18" x14ac:dyDescent="0.35">
      <c r="B908" s="9">
        <v>929</v>
      </c>
      <c r="C908" s="9"/>
      <c r="D908" s="9"/>
      <c r="E908" s="9"/>
      <c r="F908" s="9"/>
      <c r="G908" s="9"/>
      <c r="H908" s="9"/>
      <c r="I908" s="11" t="e">
        <f>VLOOKUP(H908,위치!B:C,2,0)</f>
        <v>#N/A</v>
      </c>
      <c r="J908" s="9"/>
      <c r="K908" s="9"/>
      <c r="L908" s="9" t="e">
        <f>VLOOKUP(H908,위치!B:D,3,0)</f>
        <v>#N/A</v>
      </c>
      <c r="M908" s="12"/>
      <c r="N908" s="5"/>
      <c r="O908" s="5"/>
      <c r="P908" s="5"/>
      <c r="Q908" s="14"/>
      <c r="R908" s="15">
        <f t="shared" si="14"/>
        <v>0</v>
      </c>
    </row>
    <row r="909" spans="2:18" x14ac:dyDescent="0.35">
      <c r="B909" s="9">
        <v>930</v>
      </c>
      <c r="C909" s="9"/>
      <c r="D909" s="9"/>
      <c r="E909" s="9"/>
      <c r="F909" s="9"/>
      <c r="G909" s="9"/>
      <c r="H909" s="9"/>
      <c r="I909" s="11" t="e">
        <f>VLOOKUP(H909,위치!B:C,2,0)</f>
        <v>#N/A</v>
      </c>
      <c r="J909" s="9"/>
      <c r="K909" s="9"/>
      <c r="L909" s="9" t="e">
        <f>VLOOKUP(H909,위치!B:D,3,0)</f>
        <v>#N/A</v>
      </c>
      <c r="M909" s="12"/>
      <c r="N909" s="5"/>
      <c r="O909" s="5"/>
      <c r="P909" s="5"/>
      <c r="Q909" s="14"/>
      <c r="R909" s="15">
        <f t="shared" si="14"/>
        <v>0</v>
      </c>
    </row>
    <row r="910" spans="2:18" x14ac:dyDescent="0.35">
      <c r="B910" s="9">
        <v>931</v>
      </c>
      <c r="C910" s="9"/>
      <c r="D910" s="9"/>
      <c r="E910" s="9"/>
      <c r="F910" s="9"/>
      <c r="G910" s="9"/>
      <c r="H910" s="9"/>
      <c r="I910" s="11" t="e">
        <f>VLOOKUP(H910,위치!B:C,2,0)</f>
        <v>#N/A</v>
      </c>
      <c r="J910" s="9"/>
      <c r="K910" s="9"/>
      <c r="L910" s="9" t="e">
        <f>VLOOKUP(H910,위치!B:D,3,0)</f>
        <v>#N/A</v>
      </c>
      <c r="M910" s="12"/>
      <c r="N910" s="5"/>
      <c r="O910" s="5"/>
      <c r="P910" s="5"/>
      <c r="Q910" s="14"/>
      <c r="R910" s="15">
        <f t="shared" si="14"/>
        <v>0</v>
      </c>
    </row>
    <row r="911" spans="2:18" x14ac:dyDescent="0.35">
      <c r="B911" s="9">
        <v>932</v>
      </c>
      <c r="C911" s="9"/>
      <c r="D911" s="9"/>
      <c r="E911" s="9"/>
      <c r="F911" s="9"/>
      <c r="G911" s="9"/>
      <c r="H911" s="9"/>
      <c r="I911" s="11" t="e">
        <f>VLOOKUP(H911,위치!B:C,2,0)</f>
        <v>#N/A</v>
      </c>
      <c r="J911" s="9"/>
      <c r="K911" s="9"/>
      <c r="L911" s="9" t="e">
        <f>VLOOKUP(H911,위치!B:D,3,0)</f>
        <v>#N/A</v>
      </c>
      <c r="M911" s="12"/>
      <c r="N911" s="5"/>
      <c r="O911" s="5"/>
      <c r="P911" s="5"/>
      <c r="Q911" s="14"/>
      <c r="R911" s="15">
        <f t="shared" si="14"/>
        <v>0</v>
      </c>
    </row>
    <row r="912" spans="2:18" x14ac:dyDescent="0.35">
      <c r="B912" s="9">
        <v>933</v>
      </c>
      <c r="C912" s="9"/>
      <c r="D912" s="9"/>
      <c r="E912" s="9"/>
      <c r="F912" s="9"/>
      <c r="G912" s="9"/>
      <c r="H912" s="9"/>
      <c r="I912" s="11" t="e">
        <f>VLOOKUP(H912,위치!B:C,2,0)</f>
        <v>#N/A</v>
      </c>
      <c r="J912" s="9"/>
      <c r="K912" s="9"/>
      <c r="L912" s="9" t="e">
        <f>VLOOKUP(H912,위치!B:D,3,0)</f>
        <v>#N/A</v>
      </c>
      <c r="M912" s="12"/>
      <c r="N912" s="5"/>
      <c r="O912" s="5"/>
      <c r="P912" s="5"/>
      <c r="Q912" s="14"/>
      <c r="R912" s="15">
        <f t="shared" si="14"/>
        <v>0</v>
      </c>
    </row>
    <row r="913" spans="2:18" x14ac:dyDescent="0.35">
      <c r="B913" s="9">
        <v>934</v>
      </c>
      <c r="C913" s="9"/>
      <c r="D913" s="9"/>
      <c r="E913" s="9"/>
      <c r="F913" s="9"/>
      <c r="G913" s="9"/>
      <c r="H913" s="9"/>
      <c r="I913" s="11" t="e">
        <f>VLOOKUP(H913,위치!B:C,2,0)</f>
        <v>#N/A</v>
      </c>
      <c r="J913" s="9"/>
      <c r="K913" s="9"/>
      <c r="L913" s="9" t="e">
        <f>VLOOKUP(H913,위치!B:D,3,0)</f>
        <v>#N/A</v>
      </c>
      <c r="M913" s="12"/>
      <c r="N913" s="5"/>
      <c r="O913" s="5"/>
      <c r="P913" s="5"/>
      <c r="Q913" s="14"/>
      <c r="R913" s="15">
        <f t="shared" si="14"/>
        <v>0</v>
      </c>
    </row>
    <row r="914" spans="2:18" x14ac:dyDescent="0.35">
      <c r="B914" s="9">
        <v>935</v>
      </c>
      <c r="C914" s="9"/>
      <c r="D914" s="9"/>
      <c r="E914" s="9"/>
      <c r="F914" s="9"/>
      <c r="G914" s="9"/>
      <c r="H914" s="9"/>
      <c r="I914" s="11" t="e">
        <f>VLOOKUP(H914,위치!B:C,2,0)</f>
        <v>#N/A</v>
      </c>
      <c r="J914" s="9"/>
      <c r="K914" s="9"/>
      <c r="L914" s="9" t="e">
        <f>VLOOKUP(H914,위치!B:D,3,0)</f>
        <v>#N/A</v>
      </c>
      <c r="M914" s="12"/>
      <c r="N914" s="5"/>
      <c r="O914" s="5"/>
      <c r="P914" s="5"/>
      <c r="Q914" s="14"/>
      <c r="R914" s="15">
        <f t="shared" si="14"/>
        <v>0</v>
      </c>
    </row>
    <row r="915" spans="2:18" x14ac:dyDescent="0.35">
      <c r="B915" s="9">
        <v>936</v>
      </c>
      <c r="C915" s="9"/>
      <c r="D915" s="9"/>
      <c r="E915" s="9"/>
      <c r="F915" s="9"/>
      <c r="G915" s="9"/>
      <c r="H915" s="9"/>
      <c r="I915" s="11" t="e">
        <f>VLOOKUP(H915,위치!B:C,2,0)</f>
        <v>#N/A</v>
      </c>
      <c r="J915" s="9"/>
      <c r="K915" s="9"/>
      <c r="L915" s="9" t="e">
        <f>VLOOKUP(H915,위치!B:D,3,0)</f>
        <v>#N/A</v>
      </c>
      <c r="M915" s="12"/>
      <c r="N915" s="5"/>
      <c r="O915" s="5"/>
      <c r="P915" s="5"/>
      <c r="Q915" s="14"/>
      <c r="R915" s="15">
        <f t="shared" si="14"/>
        <v>0</v>
      </c>
    </row>
    <row r="916" spans="2:18" x14ac:dyDescent="0.35">
      <c r="B916" s="9">
        <v>937</v>
      </c>
      <c r="C916" s="9"/>
      <c r="D916" s="9"/>
      <c r="E916" s="9"/>
      <c r="F916" s="9"/>
      <c r="G916" s="9"/>
      <c r="H916" s="9"/>
      <c r="I916" s="11" t="e">
        <f>VLOOKUP(H916,위치!B:C,2,0)</f>
        <v>#N/A</v>
      </c>
      <c r="J916" s="9"/>
      <c r="K916" s="9"/>
      <c r="L916" s="9" t="e">
        <f>VLOOKUP(H916,위치!B:D,3,0)</f>
        <v>#N/A</v>
      </c>
      <c r="M916" s="12"/>
      <c r="N916" s="5"/>
      <c r="O916" s="5"/>
      <c r="P916" s="5"/>
      <c r="Q916" s="14"/>
      <c r="R916" s="15">
        <f t="shared" si="14"/>
        <v>0</v>
      </c>
    </row>
    <row r="917" spans="2:18" x14ac:dyDescent="0.35">
      <c r="B917" s="9">
        <v>938</v>
      </c>
      <c r="C917" s="9"/>
      <c r="D917" s="9"/>
      <c r="E917" s="9"/>
      <c r="F917" s="9"/>
      <c r="G917" s="9"/>
      <c r="H917" s="9"/>
      <c r="I917" s="11" t="e">
        <f>VLOOKUP(H917,위치!B:C,2,0)</f>
        <v>#N/A</v>
      </c>
      <c r="J917" s="9"/>
      <c r="K917" s="9"/>
      <c r="L917" s="9" t="e">
        <f>VLOOKUP(H917,위치!B:D,3,0)</f>
        <v>#N/A</v>
      </c>
      <c r="M917" s="12"/>
      <c r="N917" s="5"/>
      <c r="O917" s="5"/>
      <c r="P917" s="5"/>
      <c r="Q917" s="14"/>
      <c r="R917" s="15">
        <f t="shared" si="14"/>
        <v>0</v>
      </c>
    </row>
    <row r="918" spans="2:18" x14ac:dyDescent="0.35">
      <c r="B918" s="9">
        <v>939</v>
      </c>
      <c r="C918" s="9"/>
      <c r="D918" s="9"/>
      <c r="E918" s="9"/>
      <c r="F918" s="9"/>
      <c r="G918" s="9"/>
      <c r="H918" s="9"/>
      <c r="I918" s="11" t="e">
        <f>VLOOKUP(H918,위치!B:C,2,0)</f>
        <v>#N/A</v>
      </c>
      <c r="J918" s="9"/>
      <c r="K918" s="9"/>
      <c r="L918" s="9" t="e">
        <f>VLOOKUP(H918,위치!B:D,3,0)</f>
        <v>#N/A</v>
      </c>
      <c r="M918" s="12"/>
      <c r="N918" s="5"/>
      <c r="O918" s="5"/>
      <c r="P918" s="5"/>
      <c r="Q918" s="14"/>
      <c r="R918" s="15">
        <f t="shared" si="14"/>
        <v>0</v>
      </c>
    </row>
    <row r="919" spans="2:18" x14ac:dyDescent="0.35">
      <c r="B919" s="9">
        <v>940</v>
      </c>
      <c r="C919" s="9"/>
      <c r="D919" s="9"/>
      <c r="E919" s="9"/>
      <c r="F919" s="9"/>
      <c r="G919" s="9"/>
      <c r="H919" s="9"/>
      <c r="I919" s="11" t="e">
        <f>VLOOKUP(H919,위치!B:C,2,0)</f>
        <v>#N/A</v>
      </c>
      <c r="J919" s="9"/>
      <c r="K919" s="9"/>
      <c r="L919" s="9" t="e">
        <f>VLOOKUP(H919,위치!B:D,3,0)</f>
        <v>#N/A</v>
      </c>
      <c r="M919" s="12"/>
      <c r="N919" s="5"/>
      <c r="O919" s="5"/>
      <c r="P919" s="5"/>
      <c r="Q919" s="14"/>
      <c r="R919" s="15">
        <f t="shared" si="14"/>
        <v>0</v>
      </c>
    </row>
    <row r="920" spans="2:18" x14ac:dyDescent="0.35">
      <c r="B920" s="9">
        <v>941</v>
      </c>
      <c r="C920" s="9"/>
      <c r="D920" s="9"/>
      <c r="E920" s="9"/>
      <c r="F920" s="9"/>
      <c r="G920" s="9"/>
      <c r="H920" s="9"/>
      <c r="I920" s="11" t="e">
        <f>VLOOKUP(H920,위치!B:C,2,0)</f>
        <v>#N/A</v>
      </c>
      <c r="J920" s="9"/>
      <c r="K920" s="9"/>
      <c r="L920" s="9" t="e">
        <f>VLOOKUP(H920,위치!B:D,3,0)</f>
        <v>#N/A</v>
      </c>
      <c r="M920" s="12"/>
      <c r="N920" s="5"/>
      <c r="O920" s="5"/>
      <c r="P920" s="5"/>
      <c r="Q920" s="14"/>
      <c r="R920" s="15">
        <f t="shared" si="14"/>
        <v>0</v>
      </c>
    </row>
    <row r="921" spans="2:18" x14ac:dyDescent="0.35">
      <c r="B921" s="9">
        <v>942</v>
      </c>
      <c r="C921" s="9"/>
      <c r="D921" s="9"/>
      <c r="E921" s="9"/>
      <c r="F921" s="9"/>
      <c r="G921" s="9"/>
      <c r="H921" s="9"/>
      <c r="I921" s="11" t="e">
        <f>VLOOKUP(H921,위치!B:C,2,0)</f>
        <v>#N/A</v>
      </c>
      <c r="J921" s="9"/>
      <c r="K921" s="9"/>
      <c r="L921" s="9" t="e">
        <f>VLOOKUP(H921,위치!B:D,3,0)</f>
        <v>#N/A</v>
      </c>
      <c r="M921" s="12"/>
      <c r="N921" s="5"/>
      <c r="O921" s="5"/>
      <c r="P921" s="5"/>
      <c r="Q921" s="14"/>
      <c r="R921" s="15">
        <f t="shared" si="14"/>
        <v>0</v>
      </c>
    </row>
    <row r="922" spans="2:18" x14ac:dyDescent="0.35">
      <c r="B922" s="9">
        <v>943</v>
      </c>
      <c r="C922" s="9"/>
      <c r="D922" s="9"/>
      <c r="E922" s="9"/>
      <c r="F922" s="9"/>
      <c r="G922" s="9"/>
      <c r="H922" s="9"/>
      <c r="I922" s="11" t="e">
        <f>VLOOKUP(H922,위치!B:C,2,0)</f>
        <v>#N/A</v>
      </c>
      <c r="J922" s="9"/>
      <c r="K922" s="9"/>
      <c r="L922" s="9" t="e">
        <f>VLOOKUP(H922,위치!B:D,3,0)</f>
        <v>#N/A</v>
      </c>
      <c r="M922" s="12"/>
      <c r="N922" s="5"/>
      <c r="O922" s="5"/>
      <c r="P922" s="5"/>
      <c r="Q922" s="14"/>
      <c r="R922" s="15">
        <f t="shared" si="14"/>
        <v>0</v>
      </c>
    </row>
    <row r="923" spans="2:18" x14ac:dyDescent="0.35">
      <c r="B923" s="9">
        <v>944</v>
      </c>
      <c r="C923" s="9"/>
      <c r="D923" s="9"/>
      <c r="E923" s="9"/>
      <c r="F923" s="9"/>
      <c r="G923" s="9"/>
      <c r="H923" s="9"/>
      <c r="I923" s="11" t="e">
        <f>VLOOKUP(H923,위치!B:C,2,0)</f>
        <v>#N/A</v>
      </c>
      <c r="J923" s="9"/>
      <c r="K923" s="9"/>
      <c r="L923" s="9" t="e">
        <f>VLOOKUP(H923,위치!B:D,3,0)</f>
        <v>#N/A</v>
      </c>
      <c r="M923" s="12"/>
      <c r="N923" s="5"/>
      <c r="O923" s="5"/>
      <c r="P923" s="5"/>
      <c r="Q923" s="14"/>
      <c r="R923" s="15">
        <f t="shared" si="14"/>
        <v>0</v>
      </c>
    </row>
    <row r="924" spans="2:18" x14ac:dyDescent="0.35">
      <c r="B924" s="9">
        <v>945</v>
      </c>
      <c r="C924" s="9"/>
      <c r="D924" s="9"/>
      <c r="E924" s="9"/>
      <c r="F924" s="9"/>
      <c r="G924" s="9"/>
      <c r="H924" s="9"/>
      <c r="I924" s="11" t="e">
        <f>VLOOKUP(H924,위치!B:C,2,0)</f>
        <v>#N/A</v>
      </c>
      <c r="J924" s="9"/>
      <c r="K924" s="9"/>
      <c r="L924" s="9" t="e">
        <f>VLOOKUP(H924,위치!B:D,3,0)</f>
        <v>#N/A</v>
      </c>
      <c r="M924" s="12"/>
      <c r="N924" s="5"/>
      <c r="O924" s="5"/>
      <c r="P924" s="5"/>
      <c r="Q924" s="14"/>
      <c r="R924" s="15">
        <f t="shared" si="14"/>
        <v>0</v>
      </c>
    </row>
    <row r="925" spans="2:18" x14ac:dyDescent="0.35">
      <c r="B925" s="9">
        <v>946</v>
      </c>
      <c r="C925" s="9"/>
      <c r="D925" s="9"/>
      <c r="E925" s="9"/>
      <c r="F925" s="9"/>
      <c r="G925" s="9"/>
      <c r="H925" s="9"/>
      <c r="I925" s="11" t="e">
        <f>VLOOKUP(H925,위치!B:C,2,0)</f>
        <v>#N/A</v>
      </c>
      <c r="J925" s="9"/>
      <c r="K925" s="9"/>
      <c r="L925" s="9" t="e">
        <f>VLOOKUP(H925,위치!B:D,3,0)</f>
        <v>#N/A</v>
      </c>
      <c r="M925" s="12"/>
      <c r="N925" s="5"/>
      <c r="O925" s="5"/>
      <c r="P925" s="5"/>
      <c r="Q925" s="14"/>
      <c r="R925" s="15">
        <f t="shared" si="14"/>
        <v>0</v>
      </c>
    </row>
    <row r="926" spans="2:18" x14ac:dyDescent="0.35">
      <c r="B926" s="9">
        <v>947</v>
      </c>
      <c r="C926" s="9"/>
      <c r="D926" s="9"/>
      <c r="E926" s="9"/>
      <c r="F926" s="9"/>
      <c r="G926" s="9"/>
      <c r="H926" s="9"/>
      <c r="I926" s="11" t="e">
        <f>VLOOKUP(H926,위치!B:C,2,0)</f>
        <v>#N/A</v>
      </c>
      <c r="J926" s="9"/>
      <c r="K926" s="9"/>
      <c r="L926" s="9" t="e">
        <f>VLOOKUP(H926,위치!B:D,3,0)</f>
        <v>#N/A</v>
      </c>
      <c r="M926" s="12"/>
      <c r="N926" s="5"/>
      <c r="O926" s="5"/>
      <c r="P926" s="5"/>
      <c r="Q926" s="14"/>
      <c r="R926" s="15">
        <f t="shared" si="14"/>
        <v>0</v>
      </c>
    </row>
    <row r="927" spans="2:18" x14ac:dyDescent="0.35">
      <c r="B927" s="9">
        <v>948</v>
      </c>
      <c r="C927" s="9"/>
      <c r="D927" s="9"/>
      <c r="E927" s="9"/>
      <c r="F927" s="9"/>
      <c r="G927" s="9"/>
      <c r="H927" s="9"/>
      <c r="I927" s="11" t="e">
        <f>VLOOKUP(H927,위치!B:C,2,0)</f>
        <v>#N/A</v>
      </c>
      <c r="J927" s="9"/>
      <c r="K927" s="9"/>
      <c r="L927" s="9" t="e">
        <f>VLOOKUP(H927,위치!B:D,3,0)</f>
        <v>#N/A</v>
      </c>
      <c r="M927" s="12"/>
      <c r="N927" s="5"/>
      <c r="O927" s="5"/>
      <c r="P927" s="5"/>
      <c r="Q927" s="14"/>
      <c r="R927" s="15">
        <f t="shared" si="14"/>
        <v>0</v>
      </c>
    </row>
    <row r="928" spans="2:18" x14ac:dyDescent="0.35">
      <c r="B928" s="9">
        <v>949</v>
      </c>
      <c r="C928" s="9"/>
      <c r="D928" s="9"/>
      <c r="E928" s="9"/>
      <c r="F928" s="9"/>
      <c r="G928" s="9"/>
      <c r="H928" s="9"/>
      <c r="I928" s="11" t="e">
        <f>VLOOKUP(H928,위치!B:C,2,0)</f>
        <v>#N/A</v>
      </c>
      <c r="J928" s="9"/>
      <c r="K928" s="9"/>
      <c r="L928" s="9" t="e">
        <f>VLOOKUP(H928,위치!B:D,3,0)</f>
        <v>#N/A</v>
      </c>
      <c r="M928" s="12"/>
      <c r="N928" s="5"/>
      <c r="O928" s="5"/>
      <c r="P928" s="5"/>
      <c r="Q928" s="14"/>
      <c r="R928" s="15">
        <f t="shared" si="14"/>
        <v>0</v>
      </c>
    </row>
    <row r="929" spans="2:18" x14ac:dyDescent="0.35">
      <c r="B929" s="9">
        <v>950</v>
      </c>
      <c r="C929" s="9"/>
      <c r="D929" s="9"/>
      <c r="E929" s="9"/>
      <c r="F929" s="9"/>
      <c r="G929" s="9"/>
      <c r="H929" s="9"/>
      <c r="I929" s="11" t="e">
        <f>VLOOKUP(H929,위치!B:C,2,0)</f>
        <v>#N/A</v>
      </c>
      <c r="J929" s="9"/>
      <c r="K929" s="9"/>
      <c r="L929" s="9" t="e">
        <f>VLOOKUP(H929,위치!B:D,3,0)</f>
        <v>#N/A</v>
      </c>
      <c r="M929" s="12"/>
      <c r="N929" s="5"/>
      <c r="O929" s="5"/>
      <c r="P929" s="5"/>
      <c r="Q929" s="14"/>
      <c r="R929" s="15">
        <f t="shared" si="14"/>
        <v>0</v>
      </c>
    </row>
    <row r="930" spans="2:18" x14ac:dyDescent="0.35">
      <c r="B930" s="9">
        <v>951</v>
      </c>
      <c r="C930" s="9"/>
      <c r="D930" s="9"/>
      <c r="E930" s="9"/>
      <c r="F930" s="9"/>
      <c r="G930" s="9"/>
      <c r="H930" s="9"/>
      <c r="I930" s="11" t="e">
        <f>VLOOKUP(H930,위치!B:C,2,0)</f>
        <v>#N/A</v>
      </c>
      <c r="J930" s="9"/>
      <c r="K930" s="9"/>
      <c r="L930" s="9" t="e">
        <f>VLOOKUP(H930,위치!B:D,3,0)</f>
        <v>#N/A</v>
      </c>
      <c r="M930" s="12"/>
      <c r="N930" s="5"/>
      <c r="O930" s="5"/>
      <c r="P930" s="5"/>
      <c r="Q930" s="14"/>
      <c r="R930" s="15">
        <f t="shared" si="14"/>
        <v>0</v>
      </c>
    </row>
    <row r="931" spans="2:18" x14ac:dyDescent="0.35">
      <c r="B931" s="9">
        <v>952</v>
      </c>
      <c r="C931" s="9"/>
      <c r="D931" s="9"/>
      <c r="E931" s="9"/>
      <c r="F931" s="9"/>
      <c r="G931" s="9"/>
      <c r="H931" s="9"/>
      <c r="I931" s="11" t="e">
        <f>VLOOKUP(H931,위치!B:C,2,0)</f>
        <v>#N/A</v>
      </c>
      <c r="J931" s="9"/>
      <c r="K931" s="9"/>
      <c r="L931" s="9" t="e">
        <f>VLOOKUP(H931,위치!B:D,3,0)</f>
        <v>#N/A</v>
      </c>
      <c r="M931" s="12"/>
      <c r="N931" s="5"/>
      <c r="O931" s="5"/>
      <c r="P931" s="5"/>
      <c r="Q931" s="14"/>
      <c r="R931" s="15">
        <f t="shared" si="14"/>
        <v>0</v>
      </c>
    </row>
    <row r="932" spans="2:18" x14ac:dyDescent="0.35">
      <c r="B932" s="9">
        <v>953</v>
      </c>
      <c r="C932" s="9"/>
      <c r="D932" s="9"/>
      <c r="E932" s="9"/>
      <c r="F932" s="9"/>
      <c r="G932" s="9"/>
      <c r="H932" s="9"/>
      <c r="I932" s="11" t="e">
        <f>VLOOKUP(H932,위치!B:C,2,0)</f>
        <v>#N/A</v>
      </c>
      <c r="J932" s="9"/>
      <c r="K932" s="9"/>
      <c r="L932" s="9" t="e">
        <f>VLOOKUP(H932,위치!B:D,3,0)</f>
        <v>#N/A</v>
      </c>
      <c r="M932" s="12"/>
      <c r="N932" s="5"/>
      <c r="O932" s="5"/>
      <c r="P932" s="5"/>
      <c r="Q932" s="14"/>
      <c r="R932" s="15">
        <f t="shared" si="14"/>
        <v>0</v>
      </c>
    </row>
    <row r="933" spans="2:18" x14ac:dyDescent="0.35">
      <c r="B933" s="9">
        <v>954</v>
      </c>
      <c r="C933" s="9"/>
      <c r="D933" s="9"/>
      <c r="E933" s="9"/>
      <c r="F933" s="9"/>
      <c r="G933" s="9"/>
      <c r="H933" s="9"/>
      <c r="I933" s="11" t="e">
        <f>VLOOKUP(H933,위치!B:C,2,0)</f>
        <v>#N/A</v>
      </c>
      <c r="J933" s="9"/>
      <c r="K933" s="9"/>
      <c r="L933" s="9" t="e">
        <f>VLOOKUP(H933,위치!B:D,3,0)</f>
        <v>#N/A</v>
      </c>
      <c r="M933" s="12"/>
      <c r="N933" s="5"/>
      <c r="O933" s="5"/>
      <c r="P933" s="5"/>
      <c r="Q933" s="14"/>
      <c r="R933" s="15">
        <f t="shared" si="14"/>
        <v>0</v>
      </c>
    </row>
    <row r="934" spans="2:18" x14ac:dyDescent="0.35">
      <c r="B934" s="9">
        <v>955</v>
      </c>
      <c r="C934" s="9"/>
      <c r="D934" s="9"/>
      <c r="E934" s="9"/>
      <c r="F934" s="9"/>
      <c r="G934" s="9"/>
      <c r="H934" s="9"/>
      <c r="I934" s="11" t="e">
        <f>VLOOKUP(H934,위치!B:C,2,0)</f>
        <v>#N/A</v>
      </c>
      <c r="J934" s="9"/>
      <c r="K934" s="9"/>
      <c r="L934" s="9" t="e">
        <f>VLOOKUP(H934,위치!B:D,3,0)</f>
        <v>#N/A</v>
      </c>
      <c r="M934" s="12"/>
      <c r="N934" s="5"/>
      <c r="O934" s="5"/>
      <c r="P934" s="5"/>
      <c r="Q934" s="14"/>
      <c r="R934" s="15">
        <f t="shared" si="14"/>
        <v>0</v>
      </c>
    </row>
    <row r="935" spans="2:18" x14ac:dyDescent="0.35">
      <c r="B935" s="9">
        <v>956</v>
      </c>
      <c r="C935" s="9"/>
      <c r="D935" s="9"/>
      <c r="E935" s="9"/>
      <c r="F935" s="9"/>
      <c r="G935" s="9"/>
      <c r="H935" s="9"/>
      <c r="I935" s="11" t="e">
        <f>VLOOKUP(H935,위치!B:C,2,0)</f>
        <v>#N/A</v>
      </c>
      <c r="J935" s="9"/>
      <c r="K935" s="9"/>
      <c r="L935" s="9" t="e">
        <f>VLOOKUP(H935,위치!B:D,3,0)</f>
        <v>#N/A</v>
      </c>
      <c r="M935" s="12"/>
      <c r="N935" s="5"/>
      <c r="O935" s="5"/>
      <c r="P935" s="5"/>
      <c r="Q935" s="14"/>
      <c r="R935" s="15">
        <f t="shared" si="14"/>
        <v>0</v>
      </c>
    </row>
    <row r="936" spans="2:18" x14ac:dyDescent="0.35">
      <c r="B936" s="9">
        <v>957</v>
      </c>
      <c r="C936" s="9"/>
      <c r="D936" s="9"/>
      <c r="E936" s="9"/>
      <c r="F936" s="9"/>
      <c r="G936" s="9"/>
      <c r="H936" s="9"/>
      <c r="I936" s="11" t="e">
        <f>VLOOKUP(H936,위치!B:C,2,0)</f>
        <v>#N/A</v>
      </c>
      <c r="J936" s="9"/>
      <c r="K936" s="9"/>
      <c r="L936" s="9" t="e">
        <f>VLOOKUP(H936,위치!B:D,3,0)</f>
        <v>#N/A</v>
      </c>
      <c r="M936" s="12"/>
      <c r="N936" s="5"/>
      <c r="O936" s="5"/>
      <c r="P936" s="5"/>
      <c r="Q936" s="14"/>
      <c r="R936" s="15">
        <f t="shared" si="14"/>
        <v>0</v>
      </c>
    </row>
    <row r="937" spans="2:18" x14ac:dyDescent="0.35">
      <c r="B937" s="9">
        <v>958</v>
      </c>
      <c r="C937" s="9"/>
      <c r="D937" s="9"/>
      <c r="E937" s="9"/>
      <c r="F937" s="9"/>
      <c r="G937" s="9"/>
      <c r="H937" s="9"/>
      <c r="I937" s="11" t="e">
        <f>VLOOKUP(H937,위치!B:C,2,0)</f>
        <v>#N/A</v>
      </c>
      <c r="J937" s="9"/>
      <c r="K937" s="9"/>
      <c r="L937" s="9" t="e">
        <f>VLOOKUP(H937,위치!B:D,3,0)</f>
        <v>#N/A</v>
      </c>
      <c r="M937" s="12"/>
      <c r="N937" s="5"/>
      <c r="O937" s="5"/>
      <c r="P937" s="5"/>
      <c r="Q937" s="14"/>
      <c r="R937" s="15">
        <f t="shared" si="14"/>
        <v>0</v>
      </c>
    </row>
    <row r="938" spans="2:18" x14ac:dyDescent="0.35">
      <c r="B938" s="9">
        <v>959</v>
      </c>
      <c r="C938" s="9"/>
      <c r="D938" s="9"/>
      <c r="E938" s="9"/>
      <c r="F938" s="9"/>
      <c r="G938" s="9"/>
      <c r="H938" s="9"/>
      <c r="I938" s="11" t="e">
        <f>VLOOKUP(H938,위치!B:C,2,0)</f>
        <v>#N/A</v>
      </c>
      <c r="J938" s="9"/>
      <c r="K938" s="9"/>
      <c r="L938" s="9" t="e">
        <f>VLOOKUP(H938,위치!B:D,3,0)</f>
        <v>#N/A</v>
      </c>
      <c r="M938" s="12"/>
      <c r="N938" s="5"/>
      <c r="O938" s="5"/>
      <c r="P938" s="5"/>
      <c r="Q938" s="14"/>
      <c r="R938" s="15">
        <f t="shared" si="14"/>
        <v>0</v>
      </c>
    </row>
    <row r="939" spans="2:18" x14ac:dyDescent="0.35">
      <c r="B939" s="9">
        <v>960</v>
      </c>
      <c r="C939" s="9"/>
      <c r="D939" s="9"/>
      <c r="E939" s="9"/>
      <c r="F939" s="9"/>
      <c r="G939" s="9"/>
      <c r="H939" s="9"/>
      <c r="I939" s="11" t="e">
        <f>VLOOKUP(H939,위치!B:C,2,0)</f>
        <v>#N/A</v>
      </c>
      <c r="J939" s="9"/>
      <c r="K939" s="9"/>
      <c r="L939" s="9" t="e">
        <f>VLOOKUP(H939,위치!B:D,3,0)</f>
        <v>#N/A</v>
      </c>
      <c r="M939" s="12"/>
      <c r="N939" s="5"/>
      <c r="O939" s="5"/>
      <c r="P939" s="5"/>
      <c r="Q939" s="14"/>
      <c r="R939" s="15">
        <f t="shared" si="14"/>
        <v>0</v>
      </c>
    </row>
    <row r="940" spans="2:18" x14ac:dyDescent="0.35">
      <c r="B940" s="9">
        <v>961</v>
      </c>
      <c r="C940" s="9"/>
      <c r="D940" s="9"/>
      <c r="E940" s="9"/>
      <c r="F940" s="9"/>
      <c r="G940" s="9"/>
      <c r="H940" s="9"/>
      <c r="I940" s="11" t="e">
        <f>VLOOKUP(H940,위치!B:C,2,0)</f>
        <v>#N/A</v>
      </c>
      <c r="J940" s="9"/>
      <c r="K940" s="9"/>
      <c r="L940" s="9" t="e">
        <f>VLOOKUP(H940,위치!B:D,3,0)</f>
        <v>#N/A</v>
      </c>
      <c r="M940" s="12"/>
      <c r="N940" s="5"/>
      <c r="O940" s="5"/>
      <c r="P940" s="5"/>
      <c r="Q940" s="14"/>
      <c r="R940" s="15">
        <f t="shared" si="14"/>
        <v>0</v>
      </c>
    </row>
    <row r="941" spans="2:18" x14ac:dyDescent="0.35">
      <c r="B941" s="9">
        <v>962</v>
      </c>
      <c r="C941" s="9"/>
      <c r="D941" s="9"/>
      <c r="E941" s="9"/>
      <c r="F941" s="9"/>
      <c r="G941" s="9"/>
      <c r="H941" s="9"/>
      <c r="I941" s="11" t="e">
        <f>VLOOKUP(H941,위치!B:C,2,0)</f>
        <v>#N/A</v>
      </c>
      <c r="J941" s="9"/>
      <c r="K941" s="9"/>
      <c r="L941" s="9" t="e">
        <f>VLOOKUP(H941,위치!B:D,3,0)</f>
        <v>#N/A</v>
      </c>
      <c r="M941" s="12"/>
      <c r="N941" s="5"/>
      <c r="O941" s="5"/>
      <c r="P941" s="5"/>
      <c r="Q941" s="14"/>
      <c r="R941" s="15">
        <f t="shared" si="14"/>
        <v>0</v>
      </c>
    </row>
    <row r="942" spans="2:18" x14ac:dyDescent="0.35">
      <c r="B942" s="9">
        <v>963</v>
      </c>
      <c r="C942" s="9"/>
      <c r="D942" s="9"/>
      <c r="E942" s="9"/>
      <c r="F942" s="9"/>
      <c r="G942" s="9"/>
      <c r="H942" s="9"/>
      <c r="I942" s="11" t="e">
        <f>VLOOKUP(H942,위치!B:C,2,0)</f>
        <v>#N/A</v>
      </c>
      <c r="J942" s="9"/>
      <c r="K942" s="9"/>
      <c r="L942" s="9" t="e">
        <f>VLOOKUP(H942,위치!B:D,3,0)</f>
        <v>#N/A</v>
      </c>
      <c r="M942" s="12"/>
      <c r="N942" s="5"/>
      <c r="O942" s="5"/>
      <c r="P942" s="5"/>
      <c r="Q942" s="14"/>
      <c r="R942" s="15">
        <f t="shared" si="14"/>
        <v>0</v>
      </c>
    </row>
    <row r="943" spans="2:18" x14ac:dyDescent="0.35">
      <c r="B943" s="9">
        <v>964</v>
      </c>
      <c r="C943" s="9"/>
      <c r="D943" s="9"/>
      <c r="E943" s="9"/>
      <c r="F943" s="9"/>
      <c r="G943" s="9"/>
      <c r="H943" s="9"/>
      <c r="I943" s="11" t="e">
        <f>VLOOKUP(H943,위치!B:C,2,0)</f>
        <v>#N/A</v>
      </c>
      <c r="J943" s="9"/>
      <c r="K943" s="9"/>
      <c r="L943" s="9" t="e">
        <f>VLOOKUP(H943,위치!B:D,3,0)</f>
        <v>#N/A</v>
      </c>
      <c r="M943" s="12"/>
      <c r="N943" s="5"/>
      <c r="O943" s="5"/>
      <c r="P943" s="5"/>
      <c r="Q943" s="14"/>
      <c r="R943" s="15">
        <f t="shared" si="14"/>
        <v>0</v>
      </c>
    </row>
    <row r="944" spans="2:18" x14ac:dyDescent="0.35">
      <c r="B944" s="9">
        <v>965</v>
      </c>
      <c r="C944" s="9"/>
      <c r="D944" s="9"/>
      <c r="E944" s="9"/>
      <c r="F944" s="9"/>
      <c r="G944" s="9"/>
      <c r="H944" s="9"/>
      <c r="I944" s="11" t="e">
        <f>VLOOKUP(H944,위치!B:C,2,0)</f>
        <v>#N/A</v>
      </c>
      <c r="J944" s="9"/>
      <c r="K944" s="9"/>
      <c r="L944" s="9" t="e">
        <f>VLOOKUP(H944,위치!B:D,3,0)</f>
        <v>#N/A</v>
      </c>
      <c r="M944" s="12"/>
      <c r="N944" s="5"/>
      <c r="O944" s="5"/>
      <c r="P944" s="5"/>
      <c r="Q944" s="14"/>
      <c r="R944" s="15">
        <f t="shared" si="14"/>
        <v>0</v>
      </c>
    </row>
    <row r="945" spans="2:18" x14ac:dyDescent="0.35">
      <c r="B945" s="9">
        <v>966</v>
      </c>
      <c r="C945" s="9"/>
      <c r="D945" s="9"/>
      <c r="E945" s="9"/>
      <c r="F945" s="9"/>
      <c r="G945" s="9"/>
      <c r="H945" s="9"/>
      <c r="I945" s="11" t="e">
        <f>VLOOKUP(H945,위치!B:C,2,0)</f>
        <v>#N/A</v>
      </c>
      <c r="J945" s="9"/>
      <c r="K945" s="9"/>
      <c r="L945" s="9" t="e">
        <f>VLOOKUP(H945,위치!B:D,3,0)</f>
        <v>#N/A</v>
      </c>
      <c r="M945" s="12"/>
      <c r="N945" s="5"/>
      <c r="O945" s="5"/>
      <c r="P945" s="5"/>
      <c r="Q945" s="14"/>
      <c r="R945" s="15">
        <f t="shared" si="14"/>
        <v>0</v>
      </c>
    </row>
    <row r="946" spans="2:18" x14ac:dyDescent="0.35">
      <c r="B946" s="9">
        <v>967</v>
      </c>
      <c r="C946" s="9"/>
      <c r="D946" s="9"/>
      <c r="E946" s="9"/>
      <c r="F946" s="9"/>
      <c r="G946" s="9"/>
      <c r="H946" s="9"/>
      <c r="I946" s="11" t="e">
        <f>VLOOKUP(H946,위치!B:C,2,0)</f>
        <v>#N/A</v>
      </c>
      <c r="J946" s="9"/>
      <c r="K946" s="9"/>
      <c r="L946" s="9" t="e">
        <f>VLOOKUP(H946,위치!B:D,3,0)</f>
        <v>#N/A</v>
      </c>
      <c r="M946" s="12"/>
      <c r="N946" s="5"/>
      <c r="O946" s="5"/>
      <c r="P946" s="5"/>
      <c r="Q946" s="14"/>
      <c r="R946" s="15">
        <f t="shared" si="14"/>
        <v>0</v>
      </c>
    </row>
    <row r="947" spans="2:18" x14ac:dyDescent="0.35">
      <c r="B947" s="9">
        <v>968</v>
      </c>
      <c r="C947" s="9"/>
      <c r="D947" s="9"/>
      <c r="E947" s="9"/>
      <c r="F947" s="9"/>
      <c r="G947" s="9"/>
      <c r="H947" s="9"/>
      <c r="I947" s="11" t="e">
        <f>VLOOKUP(H947,위치!B:C,2,0)</f>
        <v>#N/A</v>
      </c>
      <c r="J947" s="9"/>
      <c r="K947" s="9"/>
      <c r="L947" s="9" t="e">
        <f>VLOOKUP(H947,위치!B:D,3,0)</f>
        <v>#N/A</v>
      </c>
      <c r="M947" s="12"/>
      <c r="N947" s="5"/>
      <c r="O947" s="5"/>
      <c r="P947" s="5"/>
      <c r="Q947" s="14"/>
      <c r="R947" s="15">
        <f t="shared" si="14"/>
        <v>0</v>
      </c>
    </row>
    <row r="948" spans="2:18" x14ac:dyDescent="0.35">
      <c r="B948" s="9">
        <v>969</v>
      </c>
      <c r="C948" s="9"/>
      <c r="D948" s="9"/>
      <c r="E948" s="9"/>
      <c r="F948" s="9"/>
      <c r="G948" s="9"/>
      <c r="H948" s="9"/>
      <c r="I948" s="11" t="e">
        <f>VLOOKUP(H948,위치!B:C,2,0)</f>
        <v>#N/A</v>
      </c>
      <c r="J948" s="9"/>
      <c r="K948" s="9"/>
      <c r="L948" s="9" t="e">
        <f>VLOOKUP(H948,위치!B:D,3,0)</f>
        <v>#N/A</v>
      </c>
      <c r="M948" s="12"/>
      <c r="N948" s="5"/>
      <c r="O948" s="5"/>
      <c r="P948" s="5"/>
      <c r="Q948" s="14"/>
      <c r="R948" s="15">
        <f t="shared" si="14"/>
        <v>0</v>
      </c>
    </row>
    <row r="949" spans="2:18" x14ac:dyDescent="0.35">
      <c r="B949" s="9">
        <v>970</v>
      </c>
      <c r="C949" s="9"/>
      <c r="D949" s="9"/>
      <c r="E949" s="9"/>
      <c r="F949" s="9"/>
      <c r="G949" s="9"/>
      <c r="H949" s="9"/>
      <c r="I949" s="11" t="e">
        <f>VLOOKUP(H949,위치!B:C,2,0)</f>
        <v>#N/A</v>
      </c>
      <c r="J949" s="9"/>
      <c r="K949" s="9"/>
      <c r="L949" s="9" t="e">
        <f>VLOOKUP(H949,위치!B:D,3,0)</f>
        <v>#N/A</v>
      </c>
      <c r="M949" s="12"/>
      <c r="N949" s="5"/>
      <c r="O949" s="5"/>
      <c r="P949" s="5"/>
      <c r="Q949" s="14"/>
      <c r="R949" s="15">
        <f t="shared" si="14"/>
        <v>0</v>
      </c>
    </row>
    <row r="950" spans="2:18" x14ac:dyDescent="0.35">
      <c r="B950" s="9">
        <v>971</v>
      </c>
      <c r="C950" s="9"/>
      <c r="D950" s="9"/>
      <c r="E950" s="9"/>
      <c r="F950" s="9"/>
      <c r="G950" s="9"/>
      <c r="H950" s="9"/>
      <c r="I950" s="11" t="e">
        <f>VLOOKUP(H950,위치!B:C,2,0)</f>
        <v>#N/A</v>
      </c>
      <c r="J950" s="9"/>
      <c r="K950" s="9"/>
      <c r="L950" s="9" t="e">
        <f>VLOOKUP(H950,위치!B:D,3,0)</f>
        <v>#N/A</v>
      </c>
      <c r="M950" s="12"/>
      <c r="N950" s="5"/>
      <c r="O950" s="5"/>
      <c r="P950" s="5"/>
      <c r="Q950" s="14"/>
      <c r="R950" s="15">
        <f t="shared" si="14"/>
        <v>0</v>
      </c>
    </row>
    <row r="951" spans="2:18" x14ac:dyDescent="0.35">
      <c r="B951" s="9">
        <v>972</v>
      </c>
      <c r="C951" s="9"/>
      <c r="D951" s="9"/>
      <c r="E951" s="9"/>
      <c r="F951" s="9"/>
      <c r="G951" s="9"/>
      <c r="H951" s="9"/>
      <c r="I951" s="11" t="e">
        <f>VLOOKUP(H951,위치!B:C,2,0)</f>
        <v>#N/A</v>
      </c>
      <c r="J951" s="9"/>
      <c r="K951" s="9"/>
      <c r="L951" s="9" t="e">
        <f>VLOOKUP(H951,위치!B:D,3,0)</f>
        <v>#N/A</v>
      </c>
      <c r="M951" s="12"/>
      <c r="N951" s="5"/>
      <c r="O951" s="5"/>
      <c r="P951" s="5"/>
      <c r="Q951" s="14"/>
      <c r="R951" s="15">
        <f t="shared" si="14"/>
        <v>0</v>
      </c>
    </row>
    <row r="952" spans="2:18" x14ac:dyDescent="0.35">
      <c r="B952" s="9">
        <v>973</v>
      </c>
      <c r="C952" s="9"/>
      <c r="D952" s="9"/>
      <c r="E952" s="9"/>
      <c r="F952" s="9"/>
      <c r="G952" s="9"/>
      <c r="H952" s="9"/>
      <c r="I952" s="11" t="e">
        <f>VLOOKUP(H952,위치!B:C,2,0)</f>
        <v>#N/A</v>
      </c>
      <c r="J952" s="9"/>
      <c r="K952" s="9"/>
      <c r="L952" s="9" t="e">
        <f>VLOOKUP(H952,위치!B:D,3,0)</f>
        <v>#N/A</v>
      </c>
      <c r="M952" s="12"/>
      <c r="N952" s="5"/>
      <c r="O952" s="5"/>
      <c r="P952" s="5"/>
      <c r="Q952" s="14"/>
      <c r="R952" s="15">
        <f t="shared" si="14"/>
        <v>0</v>
      </c>
    </row>
    <row r="953" spans="2:18" x14ac:dyDescent="0.35">
      <c r="B953" s="9">
        <v>974</v>
      </c>
      <c r="C953" s="9"/>
      <c r="D953" s="9"/>
      <c r="E953" s="9"/>
      <c r="F953" s="9"/>
      <c r="G953" s="9"/>
      <c r="H953" s="9"/>
      <c r="I953" s="11" t="e">
        <f>VLOOKUP(H953,위치!B:C,2,0)</f>
        <v>#N/A</v>
      </c>
      <c r="J953" s="9"/>
      <c r="K953" s="9"/>
      <c r="L953" s="9" t="e">
        <f>VLOOKUP(H953,위치!B:D,3,0)</f>
        <v>#N/A</v>
      </c>
      <c r="M953" s="12"/>
      <c r="N953" s="5"/>
      <c r="O953" s="5"/>
      <c r="P953" s="5"/>
      <c r="Q953" s="14"/>
      <c r="R953" s="15">
        <f t="shared" si="14"/>
        <v>0</v>
      </c>
    </row>
    <row r="954" spans="2:18" x14ac:dyDescent="0.35">
      <c r="B954" s="9">
        <v>975</v>
      </c>
      <c r="C954" s="9"/>
      <c r="D954" s="9"/>
      <c r="E954" s="9"/>
      <c r="F954" s="9"/>
      <c r="G954" s="9"/>
      <c r="H954" s="9"/>
      <c r="I954" s="11" t="e">
        <f>VLOOKUP(H954,위치!B:C,2,0)</f>
        <v>#N/A</v>
      </c>
      <c r="J954" s="9"/>
      <c r="K954" s="9"/>
      <c r="L954" s="9" t="e">
        <f>VLOOKUP(H954,위치!B:D,3,0)</f>
        <v>#N/A</v>
      </c>
      <c r="M954" s="12"/>
      <c r="N954" s="5"/>
      <c r="O954" s="5"/>
      <c r="P954" s="5"/>
      <c r="Q954" s="14"/>
      <c r="R954" s="15">
        <f t="shared" si="14"/>
        <v>0</v>
      </c>
    </row>
    <row r="955" spans="2:18" x14ac:dyDescent="0.35">
      <c r="B955" s="9">
        <v>976</v>
      </c>
      <c r="C955" s="9"/>
      <c r="D955" s="9"/>
      <c r="E955" s="9"/>
      <c r="F955" s="9"/>
      <c r="G955" s="9"/>
      <c r="H955" s="9"/>
      <c r="I955" s="11" t="e">
        <f>VLOOKUP(H955,위치!B:C,2,0)</f>
        <v>#N/A</v>
      </c>
      <c r="J955" s="9"/>
      <c r="K955" s="9"/>
      <c r="L955" s="9" t="e">
        <f>VLOOKUP(H955,위치!B:D,3,0)</f>
        <v>#N/A</v>
      </c>
      <c r="M955" s="12"/>
      <c r="N955" s="5"/>
      <c r="O955" s="5"/>
      <c r="P955" s="5"/>
      <c r="Q955" s="14"/>
      <c r="R955" s="15">
        <f t="shared" si="14"/>
        <v>0</v>
      </c>
    </row>
    <row r="956" spans="2:18" x14ac:dyDescent="0.35">
      <c r="B956" s="9">
        <v>977</v>
      </c>
      <c r="C956" s="9"/>
      <c r="D956" s="9"/>
      <c r="E956" s="9"/>
      <c r="F956" s="9"/>
      <c r="G956" s="9"/>
      <c r="H956" s="9"/>
      <c r="I956" s="11" t="e">
        <f>VLOOKUP(H956,위치!B:C,2,0)</f>
        <v>#N/A</v>
      </c>
      <c r="J956" s="9"/>
      <c r="K956" s="9"/>
      <c r="L956" s="9" t="e">
        <f>VLOOKUP(H956,위치!B:D,3,0)</f>
        <v>#N/A</v>
      </c>
      <c r="M956" s="12"/>
      <c r="N956" s="5"/>
      <c r="O956" s="5"/>
      <c r="P956" s="5"/>
      <c r="Q956" s="14"/>
      <c r="R956" s="15">
        <f t="shared" si="14"/>
        <v>0</v>
      </c>
    </row>
    <row r="957" spans="2:18" x14ac:dyDescent="0.35">
      <c r="B957" s="9">
        <v>978</v>
      </c>
      <c r="C957" s="9"/>
      <c r="D957" s="9"/>
      <c r="E957" s="9"/>
      <c r="F957" s="9"/>
      <c r="G957" s="9"/>
      <c r="H957" s="9"/>
      <c r="I957" s="11" t="e">
        <f>VLOOKUP(H957,위치!B:C,2,0)</f>
        <v>#N/A</v>
      </c>
      <c r="J957" s="9"/>
      <c r="K957" s="9"/>
      <c r="L957" s="9" t="e">
        <f>VLOOKUP(H957,위치!B:D,3,0)</f>
        <v>#N/A</v>
      </c>
      <c r="M957" s="12"/>
      <c r="N957" s="5"/>
      <c r="O957" s="5"/>
      <c r="P957" s="5"/>
      <c r="Q957" s="14"/>
      <c r="R957" s="15">
        <f t="shared" si="14"/>
        <v>0</v>
      </c>
    </row>
    <row r="958" spans="2:18" x14ac:dyDescent="0.35">
      <c r="B958" s="9">
        <v>979</v>
      </c>
      <c r="C958" s="9"/>
      <c r="D958" s="9"/>
      <c r="E958" s="9"/>
      <c r="F958" s="9"/>
      <c r="G958" s="9"/>
      <c r="H958" s="9"/>
      <c r="I958" s="11" t="e">
        <f>VLOOKUP(H958,위치!B:C,2,0)</f>
        <v>#N/A</v>
      </c>
      <c r="J958" s="9"/>
      <c r="K958" s="9"/>
      <c r="L958" s="9" t="e">
        <f>VLOOKUP(H958,위치!B:D,3,0)</f>
        <v>#N/A</v>
      </c>
      <c r="M958" s="12"/>
      <c r="N958" s="5"/>
      <c r="O958" s="5"/>
      <c r="P958" s="5"/>
      <c r="Q958" s="14"/>
      <c r="R958" s="15">
        <f t="shared" si="14"/>
        <v>0</v>
      </c>
    </row>
    <row r="959" spans="2:18" x14ac:dyDescent="0.35">
      <c r="B959" s="9">
        <v>980</v>
      </c>
      <c r="C959" s="9"/>
      <c r="D959" s="9"/>
      <c r="E959" s="9"/>
      <c r="F959" s="9"/>
      <c r="G959" s="9"/>
      <c r="H959" s="9"/>
      <c r="I959" s="11" t="e">
        <f>VLOOKUP(H959,위치!B:C,2,0)</f>
        <v>#N/A</v>
      </c>
      <c r="J959" s="9"/>
      <c r="K959" s="9"/>
      <c r="L959" s="9" t="e">
        <f>VLOOKUP(H959,위치!B:D,3,0)</f>
        <v>#N/A</v>
      </c>
      <c r="M959" s="12"/>
      <c r="N959" s="5"/>
      <c r="O959" s="5"/>
      <c r="P959" s="5"/>
      <c r="Q959" s="14"/>
      <c r="R959" s="15">
        <f t="shared" si="14"/>
        <v>0</v>
      </c>
    </row>
    <row r="960" spans="2:18" x14ac:dyDescent="0.35">
      <c r="B960" s="9">
        <v>981</v>
      </c>
      <c r="C960" s="9"/>
      <c r="D960" s="9"/>
      <c r="E960" s="9"/>
      <c r="F960" s="9"/>
      <c r="G960" s="9"/>
      <c r="H960" s="9"/>
      <c r="I960" s="11" t="e">
        <f>VLOOKUP(H960,위치!B:C,2,0)</f>
        <v>#N/A</v>
      </c>
      <c r="J960" s="9"/>
      <c r="K960" s="9"/>
      <c r="L960" s="9" t="e">
        <f>VLOOKUP(H960,위치!B:D,3,0)</f>
        <v>#N/A</v>
      </c>
      <c r="M960" s="12"/>
      <c r="N960" s="5"/>
      <c r="O960" s="5"/>
      <c r="P960" s="5"/>
      <c r="Q960" s="14"/>
      <c r="R960" s="15">
        <f t="shared" si="14"/>
        <v>0</v>
      </c>
    </row>
    <row r="961" spans="2:18" x14ac:dyDescent="0.35">
      <c r="B961" s="9">
        <v>982</v>
      </c>
      <c r="C961" s="9"/>
      <c r="D961" s="9"/>
      <c r="E961" s="9"/>
      <c r="F961" s="9"/>
      <c r="G961" s="9"/>
      <c r="H961" s="9"/>
      <c r="I961" s="11" t="e">
        <f>VLOOKUP(H961,위치!B:C,2,0)</f>
        <v>#N/A</v>
      </c>
      <c r="J961" s="9"/>
      <c r="K961" s="9"/>
      <c r="L961" s="9" t="e">
        <f>VLOOKUP(H961,위치!B:D,3,0)</f>
        <v>#N/A</v>
      </c>
      <c r="M961" s="12"/>
      <c r="N961" s="5"/>
      <c r="O961" s="5"/>
      <c r="P961" s="5"/>
      <c r="Q961" s="14"/>
      <c r="R961" s="15">
        <f t="shared" si="14"/>
        <v>0</v>
      </c>
    </row>
    <row r="962" spans="2:18" x14ac:dyDescent="0.35">
      <c r="B962" s="9">
        <v>983</v>
      </c>
      <c r="C962" s="9"/>
      <c r="D962" s="9"/>
      <c r="E962" s="9"/>
      <c r="F962" s="9"/>
      <c r="G962" s="9"/>
      <c r="H962" s="9"/>
      <c r="I962" s="11" t="e">
        <f>VLOOKUP(H962,위치!B:C,2,0)</f>
        <v>#N/A</v>
      </c>
      <c r="J962" s="9"/>
      <c r="K962" s="9"/>
      <c r="L962" s="9" t="e">
        <f>VLOOKUP(H962,위치!B:D,3,0)</f>
        <v>#N/A</v>
      </c>
      <c r="M962" s="12"/>
      <c r="N962" s="5"/>
      <c r="O962" s="5"/>
      <c r="P962" s="5"/>
      <c r="Q962" s="14"/>
      <c r="R962" s="15">
        <f t="shared" si="14"/>
        <v>0</v>
      </c>
    </row>
    <row r="963" spans="2:18" x14ac:dyDescent="0.35">
      <c r="B963" s="9">
        <v>984</v>
      </c>
      <c r="C963" s="9"/>
      <c r="D963" s="9"/>
      <c r="E963" s="9"/>
      <c r="F963" s="9"/>
      <c r="G963" s="9"/>
      <c r="H963" s="9"/>
      <c r="I963" s="11" t="e">
        <f>VLOOKUP(H963,위치!B:C,2,0)</f>
        <v>#N/A</v>
      </c>
      <c r="J963" s="9"/>
      <c r="K963" s="9"/>
      <c r="L963" s="9" t="e">
        <f>VLOOKUP(H963,위치!B:D,3,0)</f>
        <v>#N/A</v>
      </c>
      <c r="M963" s="12"/>
      <c r="N963" s="5"/>
      <c r="O963" s="5"/>
      <c r="P963" s="5"/>
      <c r="Q963" s="14"/>
      <c r="R963" s="15">
        <f t="shared" si="14"/>
        <v>0</v>
      </c>
    </row>
    <row r="964" spans="2:18" x14ac:dyDescent="0.35">
      <c r="B964" s="9">
        <v>985</v>
      </c>
      <c r="C964" s="9"/>
      <c r="D964" s="9"/>
      <c r="E964" s="9"/>
      <c r="F964" s="9"/>
      <c r="G964" s="9"/>
      <c r="H964" s="9"/>
      <c r="I964" s="11" t="e">
        <f>VLOOKUP(H964,위치!B:C,2,0)</f>
        <v>#N/A</v>
      </c>
      <c r="J964" s="9"/>
      <c r="K964" s="9"/>
      <c r="L964" s="9" t="e">
        <f>VLOOKUP(H964,위치!B:D,3,0)</f>
        <v>#N/A</v>
      </c>
      <c r="M964" s="12"/>
      <c r="N964" s="5"/>
      <c r="O964" s="5"/>
      <c r="P964" s="5"/>
      <c r="Q964" s="14"/>
      <c r="R964" s="15">
        <f t="shared" si="14"/>
        <v>0</v>
      </c>
    </row>
    <row r="965" spans="2:18" x14ac:dyDescent="0.35">
      <c r="B965" s="9">
        <v>986</v>
      </c>
      <c r="C965" s="9"/>
      <c r="D965" s="9"/>
      <c r="E965" s="9"/>
      <c r="F965" s="9"/>
      <c r="G965" s="9"/>
      <c r="H965" s="9"/>
      <c r="I965" s="11" t="e">
        <f>VLOOKUP(H965,위치!B:C,2,0)</f>
        <v>#N/A</v>
      </c>
      <c r="J965" s="9"/>
      <c r="K965" s="9"/>
      <c r="L965" s="9" t="e">
        <f>VLOOKUP(H965,위치!B:D,3,0)</f>
        <v>#N/A</v>
      </c>
      <c r="M965" s="12"/>
      <c r="N965" s="5"/>
      <c r="O965" s="5"/>
      <c r="P965" s="5"/>
      <c r="Q965" s="14"/>
      <c r="R965" s="15">
        <f t="shared" si="14"/>
        <v>0</v>
      </c>
    </row>
    <row r="966" spans="2:18" x14ac:dyDescent="0.35">
      <c r="B966" s="9">
        <v>987</v>
      </c>
      <c r="C966" s="9"/>
      <c r="D966" s="9"/>
      <c r="E966" s="9"/>
      <c r="F966" s="9"/>
      <c r="G966" s="9"/>
      <c r="H966" s="9"/>
      <c r="I966" s="11" t="e">
        <f>VLOOKUP(H966,위치!B:C,2,0)</f>
        <v>#N/A</v>
      </c>
      <c r="J966" s="9"/>
      <c r="K966" s="9"/>
      <c r="L966" s="9" t="e">
        <f>VLOOKUP(H966,위치!B:D,3,0)</f>
        <v>#N/A</v>
      </c>
      <c r="M966" s="12"/>
      <c r="N966" s="5"/>
      <c r="O966" s="5"/>
      <c r="P966" s="5"/>
      <c r="Q966" s="14"/>
      <c r="R966" s="15">
        <f t="shared" si="14"/>
        <v>0</v>
      </c>
    </row>
    <row r="967" spans="2:18" x14ac:dyDescent="0.35">
      <c r="B967" s="9">
        <v>988</v>
      </c>
      <c r="C967" s="9"/>
      <c r="D967" s="9"/>
      <c r="E967" s="9"/>
      <c r="F967" s="9"/>
      <c r="G967" s="9"/>
      <c r="H967" s="9"/>
      <c r="I967" s="11" t="e">
        <f>VLOOKUP(H967,위치!B:C,2,0)</f>
        <v>#N/A</v>
      </c>
      <c r="J967" s="9"/>
      <c r="K967" s="9"/>
      <c r="L967" s="9" t="e">
        <f>VLOOKUP(H967,위치!B:D,3,0)</f>
        <v>#N/A</v>
      </c>
      <c r="M967" s="12"/>
      <c r="N967" s="5"/>
      <c r="O967" s="5"/>
      <c r="P967" s="5"/>
      <c r="Q967" s="14"/>
      <c r="R967" s="15">
        <f t="shared" ref="R967:R1030" si="15">J967-P967</f>
        <v>0</v>
      </c>
    </row>
    <row r="968" spans="2:18" x14ac:dyDescent="0.35">
      <c r="B968" s="9">
        <v>989</v>
      </c>
      <c r="C968" s="9"/>
      <c r="D968" s="9"/>
      <c r="E968" s="9"/>
      <c r="F968" s="9"/>
      <c r="G968" s="9"/>
      <c r="H968" s="9"/>
      <c r="I968" s="11" t="e">
        <f>VLOOKUP(H968,위치!B:C,2,0)</f>
        <v>#N/A</v>
      </c>
      <c r="J968" s="9"/>
      <c r="K968" s="9"/>
      <c r="L968" s="9" t="e">
        <f>VLOOKUP(H968,위치!B:D,3,0)</f>
        <v>#N/A</v>
      </c>
      <c r="M968" s="12"/>
      <c r="N968" s="5"/>
      <c r="O968" s="5"/>
      <c r="P968" s="5"/>
      <c r="Q968" s="14"/>
      <c r="R968" s="15">
        <f t="shared" si="15"/>
        <v>0</v>
      </c>
    </row>
    <row r="969" spans="2:18" x14ac:dyDescent="0.35">
      <c r="B969" s="9">
        <v>990</v>
      </c>
      <c r="C969" s="9"/>
      <c r="D969" s="9"/>
      <c r="E969" s="9"/>
      <c r="F969" s="9"/>
      <c r="G969" s="9"/>
      <c r="H969" s="9"/>
      <c r="I969" s="11" t="e">
        <f>VLOOKUP(H969,위치!B:C,2,0)</f>
        <v>#N/A</v>
      </c>
      <c r="J969" s="9"/>
      <c r="K969" s="9"/>
      <c r="L969" s="9" t="e">
        <f>VLOOKUP(H969,위치!B:D,3,0)</f>
        <v>#N/A</v>
      </c>
      <c r="M969" s="12"/>
      <c r="N969" s="5"/>
      <c r="O969" s="5"/>
      <c r="P969" s="5"/>
      <c r="Q969" s="14"/>
      <c r="R969" s="15">
        <f t="shared" si="15"/>
        <v>0</v>
      </c>
    </row>
    <row r="970" spans="2:18" x14ac:dyDescent="0.35">
      <c r="B970" s="9">
        <v>991</v>
      </c>
      <c r="C970" s="9"/>
      <c r="D970" s="9"/>
      <c r="E970" s="9"/>
      <c r="F970" s="9"/>
      <c r="G970" s="9"/>
      <c r="H970" s="9"/>
      <c r="I970" s="11" t="e">
        <f>VLOOKUP(H970,위치!B:C,2,0)</f>
        <v>#N/A</v>
      </c>
      <c r="J970" s="9"/>
      <c r="K970" s="9"/>
      <c r="L970" s="9" t="e">
        <f>VLOOKUP(H970,위치!B:D,3,0)</f>
        <v>#N/A</v>
      </c>
      <c r="M970" s="12"/>
      <c r="N970" s="5"/>
      <c r="O970" s="5"/>
      <c r="P970" s="5"/>
      <c r="Q970" s="14"/>
      <c r="R970" s="15">
        <f t="shared" si="15"/>
        <v>0</v>
      </c>
    </row>
    <row r="971" spans="2:18" x14ac:dyDescent="0.35">
      <c r="B971" s="9">
        <v>992</v>
      </c>
      <c r="C971" s="9"/>
      <c r="D971" s="9"/>
      <c r="E971" s="9"/>
      <c r="F971" s="9"/>
      <c r="G971" s="9"/>
      <c r="H971" s="9"/>
      <c r="I971" s="11" t="e">
        <f>VLOOKUP(H971,위치!B:C,2,0)</f>
        <v>#N/A</v>
      </c>
      <c r="J971" s="9"/>
      <c r="K971" s="9"/>
      <c r="L971" s="9" t="e">
        <f>VLOOKUP(H971,위치!B:D,3,0)</f>
        <v>#N/A</v>
      </c>
      <c r="M971" s="12"/>
      <c r="N971" s="5"/>
      <c r="O971" s="5"/>
      <c r="P971" s="5"/>
      <c r="Q971" s="14"/>
      <c r="R971" s="15">
        <f t="shared" si="15"/>
        <v>0</v>
      </c>
    </row>
    <row r="972" spans="2:18" x14ac:dyDescent="0.35">
      <c r="B972" s="9">
        <v>993</v>
      </c>
      <c r="C972" s="9"/>
      <c r="D972" s="9"/>
      <c r="E972" s="9"/>
      <c r="F972" s="9"/>
      <c r="G972" s="9"/>
      <c r="H972" s="9"/>
      <c r="I972" s="11" t="e">
        <f>VLOOKUP(H972,위치!B:C,2,0)</f>
        <v>#N/A</v>
      </c>
      <c r="J972" s="9"/>
      <c r="K972" s="9"/>
      <c r="L972" s="9" t="e">
        <f>VLOOKUP(H972,위치!B:D,3,0)</f>
        <v>#N/A</v>
      </c>
      <c r="M972" s="12"/>
      <c r="N972" s="5"/>
      <c r="O972" s="5"/>
      <c r="P972" s="5"/>
      <c r="Q972" s="14"/>
      <c r="R972" s="15">
        <f t="shared" si="15"/>
        <v>0</v>
      </c>
    </row>
    <row r="973" spans="2:18" x14ac:dyDescent="0.35">
      <c r="B973" s="9">
        <v>994</v>
      </c>
      <c r="C973" s="9"/>
      <c r="D973" s="9"/>
      <c r="E973" s="9"/>
      <c r="F973" s="9"/>
      <c r="G973" s="9"/>
      <c r="H973" s="9"/>
      <c r="I973" s="11" t="e">
        <f>VLOOKUP(H973,위치!B:C,2,0)</f>
        <v>#N/A</v>
      </c>
      <c r="J973" s="9"/>
      <c r="K973" s="9"/>
      <c r="L973" s="9" t="e">
        <f>VLOOKUP(H973,위치!B:D,3,0)</f>
        <v>#N/A</v>
      </c>
      <c r="M973" s="12"/>
      <c r="N973" s="5"/>
      <c r="O973" s="5"/>
      <c r="P973" s="5"/>
      <c r="Q973" s="14"/>
      <c r="R973" s="15">
        <f t="shared" si="15"/>
        <v>0</v>
      </c>
    </row>
    <row r="974" spans="2:18" x14ac:dyDescent="0.35">
      <c r="B974" s="9">
        <v>995</v>
      </c>
      <c r="C974" s="9"/>
      <c r="D974" s="9"/>
      <c r="E974" s="9"/>
      <c r="F974" s="9"/>
      <c r="G974" s="9"/>
      <c r="H974" s="9"/>
      <c r="I974" s="11" t="e">
        <f>VLOOKUP(H974,위치!B:C,2,0)</f>
        <v>#N/A</v>
      </c>
      <c r="J974" s="9"/>
      <c r="K974" s="9"/>
      <c r="L974" s="9" t="e">
        <f>VLOOKUP(H974,위치!B:D,3,0)</f>
        <v>#N/A</v>
      </c>
      <c r="M974" s="12"/>
      <c r="N974" s="5"/>
      <c r="O974" s="5"/>
      <c r="P974" s="5"/>
      <c r="Q974" s="14"/>
      <c r="R974" s="15">
        <f t="shared" si="15"/>
        <v>0</v>
      </c>
    </row>
    <row r="975" spans="2:18" x14ac:dyDescent="0.35">
      <c r="B975" s="9">
        <v>996</v>
      </c>
      <c r="C975" s="9"/>
      <c r="D975" s="9"/>
      <c r="E975" s="9"/>
      <c r="F975" s="9"/>
      <c r="G975" s="9"/>
      <c r="H975" s="9"/>
      <c r="I975" s="11" t="e">
        <f>VLOOKUP(H975,위치!B:C,2,0)</f>
        <v>#N/A</v>
      </c>
      <c r="J975" s="9"/>
      <c r="K975" s="9"/>
      <c r="L975" s="9" t="e">
        <f>VLOOKUP(H975,위치!B:D,3,0)</f>
        <v>#N/A</v>
      </c>
      <c r="M975" s="12"/>
      <c r="N975" s="5"/>
      <c r="O975" s="5"/>
      <c r="P975" s="5"/>
      <c r="Q975" s="14"/>
      <c r="R975" s="15">
        <f t="shared" si="15"/>
        <v>0</v>
      </c>
    </row>
    <row r="976" spans="2:18" x14ac:dyDescent="0.35">
      <c r="B976" s="9">
        <v>997</v>
      </c>
      <c r="C976" s="9"/>
      <c r="D976" s="9"/>
      <c r="E976" s="9"/>
      <c r="F976" s="9"/>
      <c r="G976" s="9"/>
      <c r="H976" s="9"/>
      <c r="I976" s="11" t="e">
        <f>VLOOKUP(H976,위치!B:C,2,0)</f>
        <v>#N/A</v>
      </c>
      <c r="J976" s="9"/>
      <c r="K976" s="9"/>
      <c r="L976" s="9" t="e">
        <f>VLOOKUP(H976,위치!B:D,3,0)</f>
        <v>#N/A</v>
      </c>
      <c r="M976" s="12"/>
      <c r="N976" s="5"/>
      <c r="O976" s="5"/>
      <c r="P976" s="5"/>
      <c r="Q976" s="14"/>
      <c r="R976" s="15">
        <f t="shared" si="15"/>
        <v>0</v>
      </c>
    </row>
    <row r="977" spans="2:18" x14ac:dyDescent="0.35">
      <c r="B977" s="9">
        <v>998</v>
      </c>
      <c r="C977" s="9"/>
      <c r="D977" s="9"/>
      <c r="E977" s="9"/>
      <c r="F977" s="9"/>
      <c r="G977" s="9"/>
      <c r="H977" s="9"/>
      <c r="I977" s="11" t="e">
        <f>VLOOKUP(H977,위치!B:C,2,0)</f>
        <v>#N/A</v>
      </c>
      <c r="J977" s="9"/>
      <c r="K977" s="9"/>
      <c r="L977" s="9" t="e">
        <f>VLOOKUP(H977,위치!B:D,3,0)</f>
        <v>#N/A</v>
      </c>
      <c r="M977" s="12"/>
      <c r="N977" s="5"/>
      <c r="O977" s="5"/>
      <c r="P977" s="5"/>
      <c r="Q977" s="14"/>
      <c r="R977" s="15">
        <f t="shared" si="15"/>
        <v>0</v>
      </c>
    </row>
    <row r="978" spans="2:18" x14ac:dyDescent="0.35">
      <c r="B978" s="9">
        <v>999</v>
      </c>
      <c r="C978" s="9"/>
      <c r="D978" s="9"/>
      <c r="E978" s="9"/>
      <c r="F978" s="9"/>
      <c r="G978" s="9"/>
      <c r="H978" s="9"/>
      <c r="I978" s="11" t="e">
        <f>VLOOKUP(H978,위치!B:C,2,0)</f>
        <v>#N/A</v>
      </c>
      <c r="J978" s="9"/>
      <c r="K978" s="9"/>
      <c r="L978" s="9" t="e">
        <f>VLOOKUP(H978,위치!B:D,3,0)</f>
        <v>#N/A</v>
      </c>
      <c r="M978" s="12"/>
      <c r="N978" s="5"/>
      <c r="O978" s="5"/>
      <c r="P978" s="5"/>
      <c r="Q978" s="14"/>
      <c r="R978" s="15">
        <f t="shared" si="15"/>
        <v>0</v>
      </c>
    </row>
    <row r="979" spans="2:18" x14ac:dyDescent="0.35">
      <c r="B979" s="9">
        <v>1000</v>
      </c>
      <c r="C979" s="9"/>
      <c r="D979" s="9"/>
      <c r="E979" s="9"/>
      <c r="F979" s="9"/>
      <c r="G979" s="9"/>
      <c r="H979" s="9"/>
      <c r="I979" s="11" t="e">
        <f>VLOOKUP(H979,위치!B:C,2,0)</f>
        <v>#N/A</v>
      </c>
      <c r="J979" s="9"/>
      <c r="K979" s="9"/>
      <c r="L979" s="9" t="e">
        <f>VLOOKUP(H979,위치!B:D,3,0)</f>
        <v>#N/A</v>
      </c>
      <c r="M979" s="12"/>
      <c r="N979" s="5"/>
      <c r="O979" s="5"/>
      <c r="P979" s="5"/>
      <c r="Q979" s="14"/>
      <c r="R979" s="15">
        <f t="shared" si="15"/>
        <v>0</v>
      </c>
    </row>
    <row r="980" spans="2:18" x14ac:dyDescent="0.35">
      <c r="B980" s="9">
        <v>1001</v>
      </c>
      <c r="C980" s="9"/>
      <c r="D980" s="9"/>
      <c r="E980" s="9"/>
      <c r="F980" s="9"/>
      <c r="G980" s="9"/>
      <c r="H980" s="9"/>
      <c r="I980" s="11" t="e">
        <f>VLOOKUP(H980,위치!B:C,2,0)</f>
        <v>#N/A</v>
      </c>
      <c r="J980" s="9"/>
      <c r="K980" s="9"/>
      <c r="L980" s="9" t="e">
        <f>VLOOKUP(H980,위치!B:D,3,0)</f>
        <v>#N/A</v>
      </c>
      <c r="M980" s="12"/>
      <c r="N980" s="5"/>
      <c r="O980" s="5"/>
      <c r="P980" s="5"/>
      <c r="Q980" s="14"/>
      <c r="R980" s="15">
        <f t="shared" si="15"/>
        <v>0</v>
      </c>
    </row>
    <row r="981" spans="2:18" x14ac:dyDescent="0.35">
      <c r="B981" s="9">
        <v>1002</v>
      </c>
      <c r="C981" s="9"/>
      <c r="D981" s="9"/>
      <c r="E981" s="9"/>
      <c r="F981" s="9"/>
      <c r="G981" s="9"/>
      <c r="H981" s="9"/>
      <c r="I981" s="11" t="e">
        <f>VLOOKUP(H981,위치!B:C,2,0)</f>
        <v>#N/A</v>
      </c>
      <c r="J981" s="9"/>
      <c r="K981" s="9"/>
      <c r="L981" s="9" t="e">
        <f>VLOOKUP(H981,위치!B:D,3,0)</f>
        <v>#N/A</v>
      </c>
      <c r="M981" s="12"/>
      <c r="N981" s="5"/>
      <c r="O981" s="5"/>
      <c r="P981" s="5"/>
      <c r="Q981" s="14"/>
      <c r="R981" s="15">
        <f t="shared" si="15"/>
        <v>0</v>
      </c>
    </row>
    <row r="982" spans="2:18" x14ac:dyDescent="0.35">
      <c r="B982" s="9">
        <v>1003</v>
      </c>
      <c r="C982" s="9"/>
      <c r="D982" s="9"/>
      <c r="E982" s="9"/>
      <c r="F982" s="9"/>
      <c r="G982" s="9"/>
      <c r="H982" s="9"/>
      <c r="I982" s="11" t="e">
        <f>VLOOKUP(H982,위치!B:C,2,0)</f>
        <v>#N/A</v>
      </c>
      <c r="J982" s="9"/>
      <c r="K982" s="9"/>
      <c r="L982" s="9" t="e">
        <f>VLOOKUP(H982,위치!B:D,3,0)</f>
        <v>#N/A</v>
      </c>
      <c r="M982" s="12"/>
      <c r="N982" s="5"/>
      <c r="O982" s="5"/>
      <c r="P982" s="5"/>
      <c r="Q982" s="14"/>
      <c r="R982" s="15">
        <f t="shared" si="15"/>
        <v>0</v>
      </c>
    </row>
    <row r="983" spans="2:18" x14ac:dyDescent="0.35">
      <c r="B983" s="9">
        <v>1004</v>
      </c>
      <c r="C983" s="9"/>
      <c r="D983" s="9"/>
      <c r="E983" s="9"/>
      <c r="F983" s="9"/>
      <c r="G983" s="9"/>
      <c r="H983" s="9"/>
      <c r="I983" s="11" t="e">
        <f>VLOOKUP(H983,위치!B:C,2,0)</f>
        <v>#N/A</v>
      </c>
      <c r="J983" s="9"/>
      <c r="K983" s="9"/>
      <c r="L983" s="9" t="e">
        <f>VLOOKUP(H983,위치!B:D,3,0)</f>
        <v>#N/A</v>
      </c>
      <c r="M983" s="12"/>
      <c r="N983" s="5"/>
      <c r="O983" s="5"/>
      <c r="P983" s="5"/>
      <c r="Q983" s="14"/>
      <c r="R983" s="15">
        <f t="shared" si="15"/>
        <v>0</v>
      </c>
    </row>
    <row r="984" spans="2:18" x14ac:dyDescent="0.35">
      <c r="B984" s="9">
        <v>1005</v>
      </c>
      <c r="C984" s="9"/>
      <c r="D984" s="9"/>
      <c r="E984" s="9"/>
      <c r="F984" s="9"/>
      <c r="G984" s="9"/>
      <c r="H984" s="9"/>
      <c r="I984" s="11" t="e">
        <f>VLOOKUP(H984,위치!B:C,2,0)</f>
        <v>#N/A</v>
      </c>
      <c r="J984" s="9"/>
      <c r="K984" s="9"/>
      <c r="L984" s="9" t="e">
        <f>VLOOKUP(H984,위치!B:D,3,0)</f>
        <v>#N/A</v>
      </c>
      <c r="M984" s="12"/>
      <c r="N984" s="5"/>
      <c r="O984" s="5"/>
      <c r="P984" s="5"/>
      <c r="Q984" s="14"/>
      <c r="R984" s="15">
        <f t="shared" si="15"/>
        <v>0</v>
      </c>
    </row>
    <row r="985" spans="2:18" x14ac:dyDescent="0.35">
      <c r="B985" s="9">
        <v>1006</v>
      </c>
      <c r="C985" s="9"/>
      <c r="D985" s="9"/>
      <c r="E985" s="9"/>
      <c r="F985" s="9"/>
      <c r="G985" s="9"/>
      <c r="H985" s="9"/>
      <c r="I985" s="11" t="e">
        <f>VLOOKUP(H985,위치!B:C,2,0)</f>
        <v>#N/A</v>
      </c>
      <c r="J985" s="9"/>
      <c r="K985" s="9"/>
      <c r="L985" s="9" t="e">
        <f>VLOOKUP(H985,위치!B:D,3,0)</f>
        <v>#N/A</v>
      </c>
      <c r="M985" s="12"/>
      <c r="N985" s="5"/>
      <c r="O985" s="5"/>
      <c r="P985" s="5"/>
      <c r="Q985" s="14"/>
      <c r="R985" s="15">
        <f t="shared" si="15"/>
        <v>0</v>
      </c>
    </row>
    <row r="986" spans="2:18" x14ac:dyDescent="0.35">
      <c r="B986" s="9">
        <v>1007</v>
      </c>
      <c r="C986" s="9"/>
      <c r="D986" s="9"/>
      <c r="E986" s="9"/>
      <c r="F986" s="9"/>
      <c r="G986" s="9"/>
      <c r="H986" s="9"/>
      <c r="I986" s="11" t="e">
        <f>VLOOKUP(H986,위치!B:C,2,0)</f>
        <v>#N/A</v>
      </c>
      <c r="J986" s="9"/>
      <c r="K986" s="9"/>
      <c r="L986" s="9" t="e">
        <f>VLOOKUP(H986,위치!B:D,3,0)</f>
        <v>#N/A</v>
      </c>
      <c r="M986" s="12"/>
      <c r="N986" s="5"/>
      <c r="O986" s="5"/>
      <c r="P986" s="5"/>
      <c r="Q986" s="14"/>
      <c r="R986" s="15">
        <f t="shared" si="15"/>
        <v>0</v>
      </c>
    </row>
    <row r="987" spans="2:18" x14ac:dyDescent="0.35">
      <c r="B987" s="9">
        <v>1008</v>
      </c>
      <c r="C987" s="9"/>
      <c r="D987" s="9"/>
      <c r="E987" s="9"/>
      <c r="F987" s="9"/>
      <c r="G987" s="9"/>
      <c r="H987" s="9"/>
      <c r="I987" s="11" t="e">
        <f>VLOOKUP(H987,위치!B:C,2,0)</f>
        <v>#N/A</v>
      </c>
      <c r="J987" s="9"/>
      <c r="K987" s="9"/>
      <c r="L987" s="9" t="e">
        <f>VLOOKUP(H987,위치!B:D,3,0)</f>
        <v>#N/A</v>
      </c>
      <c r="M987" s="12"/>
      <c r="N987" s="5"/>
      <c r="O987" s="5"/>
      <c r="P987" s="5"/>
      <c r="Q987" s="14"/>
      <c r="R987" s="15">
        <f t="shared" si="15"/>
        <v>0</v>
      </c>
    </row>
    <row r="988" spans="2:18" x14ac:dyDescent="0.35">
      <c r="B988" s="9">
        <v>1009</v>
      </c>
      <c r="C988" s="9"/>
      <c r="D988" s="9"/>
      <c r="E988" s="9"/>
      <c r="F988" s="9"/>
      <c r="G988" s="9"/>
      <c r="H988" s="9"/>
      <c r="I988" s="11" t="e">
        <f>VLOOKUP(H988,위치!B:C,2,0)</f>
        <v>#N/A</v>
      </c>
      <c r="J988" s="9"/>
      <c r="K988" s="9"/>
      <c r="L988" s="9" t="e">
        <f>VLOOKUP(H988,위치!B:D,3,0)</f>
        <v>#N/A</v>
      </c>
      <c r="M988" s="12"/>
      <c r="N988" s="5"/>
      <c r="O988" s="5"/>
      <c r="P988" s="5"/>
      <c r="Q988" s="14"/>
      <c r="R988" s="15">
        <f t="shared" si="15"/>
        <v>0</v>
      </c>
    </row>
    <row r="989" spans="2:18" x14ac:dyDescent="0.35">
      <c r="B989" s="9">
        <v>1010</v>
      </c>
      <c r="C989" s="9"/>
      <c r="D989" s="9"/>
      <c r="E989" s="9"/>
      <c r="F989" s="9"/>
      <c r="G989" s="9"/>
      <c r="H989" s="9"/>
      <c r="I989" s="11" t="e">
        <f>VLOOKUP(H989,위치!B:C,2,0)</f>
        <v>#N/A</v>
      </c>
      <c r="J989" s="9"/>
      <c r="K989" s="9"/>
      <c r="L989" s="9" t="e">
        <f>VLOOKUP(H989,위치!B:D,3,0)</f>
        <v>#N/A</v>
      </c>
      <c r="M989" s="12"/>
      <c r="N989" s="5"/>
      <c r="O989" s="5"/>
      <c r="P989" s="5"/>
      <c r="Q989" s="14"/>
      <c r="R989" s="15">
        <f t="shared" si="15"/>
        <v>0</v>
      </c>
    </row>
    <row r="990" spans="2:18" x14ac:dyDescent="0.35">
      <c r="B990" s="9">
        <v>1011</v>
      </c>
      <c r="C990" s="9"/>
      <c r="D990" s="9"/>
      <c r="E990" s="9"/>
      <c r="F990" s="9"/>
      <c r="G990" s="9"/>
      <c r="H990" s="9"/>
      <c r="I990" s="11" t="e">
        <f>VLOOKUP(H990,위치!B:C,2,0)</f>
        <v>#N/A</v>
      </c>
      <c r="J990" s="9"/>
      <c r="K990" s="9"/>
      <c r="L990" s="9" t="e">
        <f>VLOOKUP(H990,위치!B:D,3,0)</f>
        <v>#N/A</v>
      </c>
      <c r="M990" s="12"/>
      <c r="N990" s="5"/>
      <c r="O990" s="5"/>
      <c r="P990" s="5"/>
      <c r="Q990" s="14"/>
      <c r="R990" s="15">
        <f t="shared" si="15"/>
        <v>0</v>
      </c>
    </row>
    <row r="991" spans="2:18" x14ac:dyDescent="0.35">
      <c r="B991" s="9">
        <v>1012</v>
      </c>
      <c r="C991" s="9"/>
      <c r="D991" s="9"/>
      <c r="E991" s="9"/>
      <c r="F991" s="9"/>
      <c r="G991" s="9"/>
      <c r="H991" s="9"/>
      <c r="I991" s="11" t="e">
        <f>VLOOKUP(H991,위치!B:C,2,0)</f>
        <v>#N/A</v>
      </c>
      <c r="J991" s="9"/>
      <c r="K991" s="9"/>
      <c r="L991" s="9" t="e">
        <f>VLOOKUP(H991,위치!B:D,3,0)</f>
        <v>#N/A</v>
      </c>
      <c r="M991" s="12"/>
      <c r="N991" s="5"/>
      <c r="O991" s="5"/>
      <c r="P991" s="5"/>
      <c r="Q991" s="14"/>
      <c r="R991" s="15">
        <f t="shared" si="15"/>
        <v>0</v>
      </c>
    </row>
    <row r="992" spans="2:18" x14ac:dyDescent="0.35">
      <c r="B992" s="9">
        <v>1013</v>
      </c>
      <c r="C992" s="9"/>
      <c r="D992" s="9"/>
      <c r="E992" s="9"/>
      <c r="F992" s="9"/>
      <c r="G992" s="9"/>
      <c r="H992" s="9"/>
      <c r="I992" s="11" t="e">
        <f>VLOOKUP(H992,위치!B:C,2,0)</f>
        <v>#N/A</v>
      </c>
      <c r="J992" s="9"/>
      <c r="K992" s="9"/>
      <c r="L992" s="9" t="e">
        <f>VLOOKUP(H992,위치!B:D,3,0)</f>
        <v>#N/A</v>
      </c>
      <c r="M992" s="12"/>
      <c r="N992" s="5"/>
      <c r="O992" s="5"/>
      <c r="P992" s="5"/>
      <c r="Q992" s="14"/>
      <c r="R992" s="15">
        <f t="shared" si="15"/>
        <v>0</v>
      </c>
    </row>
    <row r="993" spans="2:18" x14ac:dyDescent="0.35">
      <c r="B993" s="9">
        <v>1014</v>
      </c>
      <c r="C993" s="9"/>
      <c r="D993" s="9"/>
      <c r="E993" s="9"/>
      <c r="F993" s="9"/>
      <c r="G993" s="9"/>
      <c r="H993" s="9"/>
      <c r="I993" s="11" t="e">
        <f>VLOOKUP(H993,위치!B:C,2,0)</f>
        <v>#N/A</v>
      </c>
      <c r="J993" s="9"/>
      <c r="K993" s="9"/>
      <c r="L993" s="9" t="e">
        <f>VLOOKUP(H993,위치!B:D,3,0)</f>
        <v>#N/A</v>
      </c>
      <c r="M993" s="12"/>
      <c r="N993" s="5"/>
      <c r="O993" s="5"/>
      <c r="P993" s="5"/>
      <c r="Q993" s="14"/>
      <c r="R993" s="15">
        <f t="shared" si="15"/>
        <v>0</v>
      </c>
    </row>
    <row r="994" spans="2:18" x14ac:dyDescent="0.35">
      <c r="B994" s="9">
        <v>1015</v>
      </c>
      <c r="C994" s="9"/>
      <c r="D994" s="9"/>
      <c r="E994" s="9"/>
      <c r="F994" s="9"/>
      <c r="G994" s="9"/>
      <c r="H994" s="9"/>
      <c r="I994" s="11" t="e">
        <f>VLOOKUP(H994,위치!B:C,2,0)</f>
        <v>#N/A</v>
      </c>
      <c r="J994" s="9"/>
      <c r="K994" s="9"/>
      <c r="L994" s="9" t="e">
        <f>VLOOKUP(H994,위치!B:D,3,0)</f>
        <v>#N/A</v>
      </c>
      <c r="M994" s="12"/>
      <c r="N994" s="5"/>
      <c r="O994" s="5"/>
      <c r="P994" s="5"/>
      <c r="Q994" s="14"/>
      <c r="R994" s="15">
        <f t="shared" si="15"/>
        <v>0</v>
      </c>
    </row>
    <row r="995" spans="2:18" x14ac:dyDescent="0.35">
      <c r="B995" s="9">
        <v>1016</v>
      </c>
      <c r="C995" s="9"/>
      <c r="D995" s="9"/>
      <c r="E995" s="9"/>
      <c r="F995" s="9"/>
      <c r="G995" s="9"/>
      <c r="H995" s="9"/>
      <c r="I995" s="11" t="e">
        <f>VLOOKUP(H995,위치!B:C,2,0)</f>
        <v>#N/A</v>
      </c>
      <c r="J995" s="9"/>
      <c r="K995" s="9"/>
      <c r="L995" s="9" t="e">
        <f>VLOOKUP(H995,위치!B:D,3,0)</f>
        <v>#N/A</v>
      </c>
      <c r="M995" s="12"/>
      <c r="N995" s="5"/>
      <c r="O995" s="5"/>
      <c r="P995" s="5"/>
      <c r="Q995" s="14"/>
      <c r="R995" s="15">
        <f t="shared" si="15"/>
        <v>0</v>
      </c>
    </row>
    <row r="996" spans="2:18" x14ac:dyDescent="0.35">
      <c r="B996" s="9">
        <v>1017</v>
      </c>
      <c r="C996" s="9"/>
      <c r="D996" s="9"/>
      <c r="E996" s="9"/>
      <c r="F996" s="9"/>
      <c r="G996" s="9"/>
      <c r="H996" s="9"/>
      <c r="I996" s="11" t="e">
        <f>VLOOKUP(H996,위치!B:C,2,0)</f>
        <v>#N/A</v>
      </c>
      <c r="J996" s="9"/>
      <c r="K996" s="9"/>
      <c r="L996" s="9" t="e">
        <f>VLOOKUP(H996,위치!B:D,3,0)</f>
        <v>#N/A</v>
      </c>
      <c r="M996" s="12"/>
      <c r="N996" s="5"/>
      <c r="O996" s="5"/>
      <c r="P996" s="5"/>
      <c r="Q996" s="14"/>
      <c r="R996" s="15">
        <f t="shared" si="15"/>
        <v>0</v>
      </c>
    </row>
    <row r="997" spans="2:18" x14ac:dyDescent="0.35">
      <c r="B997" s="9">
        <v>1018</v>
      </c>
      <c r="C997" s="9"/>
      <c r="D997" s="9"/>
      <c r="E997" s="9"/>
      <c r="F997" s="9"/>
      <c r="G997" s="9"/>
      <c r="H997" s="9"/>
      <c r="I997" s="11" t="e">
        <f>VLOOKUP(H997,위치!B:C,2,0)</f>
        <v>#N/A</v>
      </c>
      <c r="J997" s="9"/>
      <c r="K997" s="9"/>
      <c r="L997" s="9" t="e">
        <f>VLOOKUP(H997,위치!B:D,3,0)</f>
        <v>#N/A</v>
      </c>
      <c r="M997" s="12"/>
      <c r="N997" s="5"/>
      <c r="O997" s="5"/>
      <c r="P997" s="5"/>
      <c r="Q997" s="14"/>
      <c r="R997" s="15">
        <f t="shared" si="15"/>
        <v>0</v>
      </c>
    </row>
    <row r="998" spans="2:18" x14ac:dyDescent="0.35">
      <c r="B998" s="9">
        <v>1019</v>
      </c>
      <c r="C998" s="9"/>
      <c r="D998" s="9"/>
      <c r="E998" s="9"/>
      <c r="F998" s="9"/>
      <c r="G998" s="9"/>
      <c r="H998" s="9"/>
      <c r="I998" s="11" t="e">
        <f>VLOOKUP(H998,위치!B:C,2,0)</f>
        <v>#N/A</v>
      </c>
      <c r="J998" s="9"/>
      <c r="K998" s="9"/>
      <c r="L998" s="9" t="e">
        <f>VLOOKUP(H998,위치!B:D,3,0)</f>
        <v>#N/A</v>
      </c>
      <c r="M998" s="12"/>
      <c r="N998" s="5"/>
      <c r="O998" s="5"/>
      <c r="P998" s="5"/>
      <c r="Q998" s="14"/>
      <c r="R998" s="15">
        <f t="shared" si="15"/>
        <v>0</v>
      </c>
    </row>
    <row r="999" spans="2:18" x14ac:dyDescent="0.35">
      <c r="B999" s="9">
        <v>1020</v>
      </c>
      <c r="C999" s="9"/>
      <c r="D999" s="9"/>
      <c r="E999" s="9"/>
      <c r="F999" s="9"/>
      <c r="G999" s="9"/>
      <c r="H999" s="9"/>
      <c r="I999" s="11" t="e">
        <f>VLOOKUP(H999,위치!B:C,2,0)</f>
        <v>#N/A</v>
      </c>
      <c r="J999" s="9"/>
      <c r="K999" s="9"/>
      <c r="L999" s="9" t="e">
        <f>VLOOKUP(H999,위치!B:D,3,0)</f>
        <v>#N/A</v>
      </c>
      <c r="M999" s="12"/>
      <c r="N999" s="5"/>
      <c r="O999" s="5"/>
      <c r="P999" s="5"/>
      <c r="Q999" s="14"/>
      <c r="R999" s="15">
        <f t="shared" si="15"/>
        <v>0</v>
      </c>
    </row>
    <row r="1000" spans="2:18" x14ac:dyDescent="0.35">
      <c r="B1000" s="9">
        <v>1021</v>
      </c>
      <c r="C1000" s="9"/>
      <c r="D1000" s="9"/>
      <c r="E1000" s="9"/>
      <c r="F1000" s="9"/>
      <c r="G1000" s="9"/>
      <c r="H1000" s="9"/>
      <c r="I1000" s="11" t="e">
        <f>VLOOKUP(H1000,위치!B:C,2,0)</f>
        <v>#N/A</v>
      </c>
      <c r="J1000" s="9"/>
      <c r="K1000" s="9"/>
      <c r="L1000" s="9" t="e">
        <f>VLOOKUP(H1000,위치!B:D,3,0)</f>
        <v>#N/A</v>
      </c>
      <c r="M1000" s="12"/>
      <c r="N1000" s="5"/>
      <c r="O1000" s="5"/>
      <c r="P1000" s="5"/>
      <c r="Q1000" s="14"/>
      <c r="R1000" s="15">
        <f t="shared" si="15"/>
        <v>0</v>
      </c>
    </row>
    <row r="1001" spans="2:18" x14ac:dyDescent="0.35">
      <c r="B1001" s="9">
        <v>1022</v>
      </c>
      <c r="C1001" s="9"/>
      <c r="D1001" s="9"/>
      <c r="E1001" s="9"/>
      <c r="F1001" s="9"/>
      <c r="G1001" s="9"/>
      <c r="H1001" s="9"/>
      <c r="I1001" s="11" t="e">
        <f>VLOOKUP(H1001,위치!B:C,2,0)</f>
        <v>#N/A</v>
      </c>
      <c r="J1001" s="9"/>
      <c r="K1001" s="9"/>
      <c r="L1001" s="9" t="e">
        <f>VLOOKUP(H1001,위치!B:D,3,0)</f>
        <v>#N/A</v>
      </c>
      <c r="M1001" s="12"/>
      <c r="N1001" s="5"/>
      <c r="O1001" s="5"/>
      <c r="P1001" s="5"/>
      <c r="Q1001" s="14"/>
      <c r="R1001" s="15">
        <f t="shared" si="15"/>
        <v>0</v>
      </c>
    </row>
    <row r="1002" spans="2:18" x14ac:dyDescent="0.35">
      <c r="B1002" s="9">
        <v>1023</v>
      </c>
      <c r="C1002" s="9"/>
      <c r="D1002" s="9"/>
      <c r="E1002" s="9"/>
      <c r="F1002" s="9"/>
      <c r="G1002" s="9"/>
      <c r="H1002" s="9"/>
      <c r="I1002" s="11" t="e">
        <f>VLOOKUP(H1002,위치!B:C,2,0)</f>
        <v>#N/A</v>
      </c>
      <c r="J1002" s="9"/>
      <c r="K1002" s="9"/>
      <c r="L1002" s="9" t="e">
        <f>VLOOKUP(H1002,위치!B:D,3,0)</f>
        <v>#N/A</v>
      </c>
      <c r="M1002" s="12"/>
      <c r="N1002" s="5"/>
      <c r="O1002" s="5"/>
      <c r="P1002" s="5"/>
      <c r="Q1002" s="14"/>
      <c r="R1002" s="15">
        <f t="shared" si="15"/>
        <v>0</v>
      </c>
    </row>
    <row r="1003" spans="2:18" x14ac:dyDescent="0.35">
      <c r="B1003" s="9">
        <v>1024</v>
      </c>
      <c r="C1003" s="9"/>
      <c r="D1003" s="9"/>
      <c r="E1003" s="9"/>
      <c r="F1003" s="9"/>
      <c r="G1003" s="9"/>
      <c r="H1003" s="9"/>
      <c r="I1003" s="11" t="e">
        <f>VLOOKUP(H1003,위치!B:C,2,0)</f>
        <v>#N/A</v>
      </c>
      <c r="J1003" s="9"/>
      <c r="K1003" s="9"/>
      <c r="L1003" s="9" t="e">
        <f>VLOOKUP(H1003,위치!B:D,3,0)</f>
        <v>#N/A</v>
      </c>
      <c r="M1003" s="12"/>
      <c r="N1003" s="5"/>
      <c r="O1003" s="5"/>
      <c r="P1003" s="5"/>
      <c r="Q1003" s="14"/>
      <c r="R1003" s="15">
        <f t="shared" si="15"/>
        <v>0</v>
      </c>
    </row>
    <row r="1004" spans="2:18" x14ac:dyDescent="0.35">
      <c r="B1004" s="9">
        <v>1025</v>
      </c>
      <c r="C1004" s="9"/>
      <c r="D1004" s="9"/>
      <c r="E1004" s="9"/>
      <c r="F1004" s="9"/>
      <c r="G1004" s="9"/>
      <c r="H1004" s="9"/>
      <c r="I1004" s="11" t="e">
        <f>VLOOKUP(H1004,위치!B:C,2,0)</f>
        <v>#N/A</v>
      </c>
      <c r="J1004" s="9"/>
      <c r="K1004" s="9"/>
      <c r="L1004" s="9" t="e">
        <f>VLOOKUP(H1004,위치!B:D,3,0)</f>
        <v>#N/A</v>
      </c>
      <c r="M1004" s="12"/>
      <c r="N1004" s="5"/>
      <c r="O1004" s="5"/>
      <c r="P1004" s="5"/>
      <c r="Q1004" s="14"/>
      <c r="R1004" s="15">
        <f t="shared" si="15"/>
        <v>0</v>
      </c>
    </row>
    <row r="1005" spans="2:18" x14ac:dyDescent="0.35">
      <c r="B1005" s="9">
        <v>1026</v>
      </c>
      <c r="C1005" s="9"/>
      <c r="D1005" s="9"/>
      <c r="E1005" s="9"/>
      <c r="F1005" s="9"/>
      <c r="G1005" s="9"/>
      <c r="H1005" s="9"/>
      <c r="I1005" s="11" t="e">
        <f>VLOOKUP(H1005,위치!B:C,2,0)</f>
        <v>#N/A</v>
      </c>
      <c r="J1005" s="9"/>
      <c r="K1005" s="9"/>
      <c r="L1005" s="9" t="e">
        <f>VLOOKUP(H1005,위치!B:D,3,0)</f>
        <v>#N/A</v>
      </c>
      <c r="M1005" s="12"/>
      <c r="N1005" s="5"/>
      <c r="O1005" s="5"/>
      <c r="P1005" s="5"/>
      <c r="Q1005" s="14"/>
      <c r="R1005" s="15">
        <f t="shared" si="15"/>
        <v>0</v>
      </c>
    </row>
    <row r="1006" spans="2:18" x14ac:dyDescent="0.35">
      <c r="B1006" s="9">
        <v>1027</v>
      </c>
      <c r="C1006" s="9"/>
      <c r="D1006" s="9"/>
      <c r="E1006" s="9"/>
      <c r="F1006" s="9"/>
      <c r="G1006" s="9"/>
      <c r="H1006" s="9"/>
      <c r="I1006" s="11" t="e">
        <f>VLOOKUP(H1006,위치!B:C,2,0)</f>
        <v>#N/A</v>
      </c>
      <c r="J1006" s="9"/>
      <c r="K1006" s="9"/>
      <c r="L1006" s="9" t="e">
        <f>VLOOKUP(H1006,위치!B:D,3,0)</f>
        <v>#N/A</v>
      </c>
      <c r="M1006" s="12"/>
      <c r="N1006" s="5"/>
      <c r="O1006" s="5"/>
      <c r="P1006" s="5"/>
      <c r="Q1006" s="14"/>
      <c r="R1006" s="15">
        <f t="shared" si="15"/>
        <v>0</v>
      </c>
    </row>
    <row r="1007" spans="2:18" x14ac:dyDescent="0.35">
      <c r="B1007" s="9">
        <v>1028</v>
      </c>
      <c r="C1007" s="9"/>
      <c r="D1007" s="9"/>
      <c r="E1007" s="9"/>
      <c r="F1007" s="9"/>
      <c r="G1007" s="9"/>
      <c r="H1007" s="9"/>
      <c r="I1007" s="11" t="e">
        <f>VLOOKUP(H1007,위치!B:C,2,0)</f>
        <v>#N/A</v>
      </c>
      <c r="J1007" s="9"/>
      <c r="K1007" s="9"/>
      <c r="L1007" s="9" t="e">
        <f>VLOOKUP(H1007,위치!B:D,3,0)</f>
        <v>#N/A</v>
      </c>
      <c r="M1007" s="12"/>
      <c r="N1007" s="5"/>
      <c r="O1007" s="5"/>
      <c r="P1007" s="5"/>
      <c r="Q1007" s="14"/>
      <c r="R1007" s="15">
        <f t="shared" si="15"/>
        <v>0</v>
      </c>
    </row>
    <row r="1008" spans="2:18" x14ac:dyDescent="0.35">
      <c r="B1008" s="9">
        <v>1029</v>
      </c>
      <c r="C1008" s="9"/>
      <c r="D1008" s="9"/>
      <c r="E1008" s="9"/>
      <c r="F1008" s="9"/>
      <c r="G1008" s="9"/>
      <c r="H1008" s="9"/>
      <c r="I1008" s="11" t="e">
        <f>VLOOKUP(H1008,위치!B:C,2,0)</f>
        <v>#N/A</v>
      </c>
      <c r="J1008" s="9"/>
      <c r="K1008" s="9"/>
      <c r="L1008" s="9" t="e">
        <f>VLOOKUP(H1008,위치!B:D,3,0)</f>
        <v>#N/A</v>
      </c>
      <c r="M1008" s="12"/>
      <c r="N1008" s="5"/>
      <c r="O1008" s="5"/>
      <c r="P1008" s="5"/>
      <c r="Q1008" s="14"/>
      <c r="R1008" s="15">
        <f t="shared" si="15"/>
        <v>0</v>
      </c>
    </row>
    <row r="1009" spans="2:18" x14ac:dyDescent="0.35">
      <c r="B1009" s="9">
        <v>1030</v>
      </c>
      <c r="C1009" s="9"/>
      <c r="D1009" s="9"/>
      <c r="E1009" s="9"/>
      <c r="F1009" s="9"/>
      <c r="G1009" s="9"/>
      <c r="H1009" s="9"/>
      <c r="I1009" s="11" t="e">
        <f>VLOOKUP(H1009,위치!B:C,2,0)</f>
        <v>#N/A</v>
      </c>
      <c r="J1009" s="9"/>
      <c r="K1009" s="9"/>
      <c r="L1009" s="9" t="e">
        <f>VLOOKUP(H1009,위치!B:D,3,0)</f>
        <v>#N/A</v>
      </c>
      <c r="M1009" s="12"/>
      <c r="N1009" s="5"/>
      <c r="O1009" s="5"/>
      <c r="P1009" s="5"/>
      <c r="Q1009" s="14"/>
      <c r="R1009" s="15">
        <f t="shared" si="15"/>
        <v>0</v>
      </c>
    </row>
    <row r="1010" spans="2:18" x14ac:dyDescent="0.35">
      <c r="B1010" s="9">
        <v>1031</v>
      </c>
      <c r="C1010" s="9"/>
      <c r="D1010" s="9"/>
      <c r="E1010" s="9"/>
      <c r="F1010" s="9"/>
      <c r="G1010" s="9"/>
      <c r="H1010" s="9"/>
      <c r="I1010" s="11" t="e">
        <f>VLOOKUP(H1010,위치!B:C,2,0)</f>
        <v>#N/A</v>
      </c>
      <c r="J1010" s="9"/>
      <c r="K1010" s="9"/>
      <c r="L1010" s="9" t="e">
        <f>VLOOKUP(H1010,위치!B:D,3,0)</f>
        <v>#N/A</v>
      </c>
      <c r="M1010" s="12"/>
      <c r="N1010" s="5"/>
      <c r="O1010" s="5"/>
      <c r="P1010" s="5"/>
      <c r="Q1010" s="14"/>
      <c r="R1010" s="15">
        <f t="shared" si="15"/>
        <v>0</v>
      </c>
    </row>
    <row r="1011" spans="2:18" x14ac:dyDescent="0.35">
      <c r="B1011" s="9">
        <v>1032</v>
      </c>
      <c r="C1011" s="9"/>
      <c r="D1011" s="9"/>
      <c r="E1011" s="9"/>
      <c r="F1011" s="9"/>
      <c r="G1011" s="9"/>
      <c r="H1011" s="9"/>
      <c r="I1011" s="11" t="e">
        <f>VLOOKUP(H1011,위치!B:C,2,0)</f>
        <v>#N/A</v>
      </c>
      <c r="J1011" s="9"/>
      <c r="K1011" s="9"/>
      <c r="L1011" s="9" t="e">
        <f>VLOOKUP(H1011,위치!B:D,3,0)</f>
        <v>#N/A</v>
      </c>
      <c r="M1011" s="12"/>
      <c r="N1011" s="5"/>
      <c r="O1011" s="5"/>
      <c r="P1011" s="5"/>
      <c r="Q1011" s="14"/>
      <c r="R1011" s="15">
        <f t="shared" si="15"/>
        <v>0</v>
      </c>
    </row>
    <row r="1012" spans="2:18" x14ac:dyDescent="0.35">
      <c r="B1012" s="9">
        <v>1033</v>
      </c>
      <c r="C1012" s="9"/>
      <c r="D1012" s="9"/>
      <c r="E1012" s="9"/>
      <c r="F1012" s="9"/>
      <c r="G1012" s="9"/>
      <c r="H1012" s="9"/>
      <c r="I1012" s="11" t="e">
        <f>VLOOKUP(H1012,위치!B:C,2,0)</f>
        <v>#N/A</v>
      </c>
      <c r="J1012" s="9"/>
      <c r="K1012" s="9"/>
      <c r="L1012" s="9" t="e">
        <f>VLOOKUP(H1012,위치!B:D,3,0)</f>
        <v>#N/A</v>
      </c>
      <c r="M1012" s="12"/>
      <c r="N1012" s="5"/>
      <c r="O1012" s="5"/>
      <c r="P1012" s="5"/>
      <c r="Q1012" s="14"/>
      <c r="R1012" s="15">
        <f t="shared" si="15"/>
        <v>0</v>
      </c>
    </row>
    <row r="1013" spans="2:18" x14ac:dyDescent="0.35">
      <c r="B1013" s="9">
        <v>1034</v>
      </c>
      <c r="C1013" s="9"/>
      <c r="D1013" s="9"/>
      <c r="E1013" s="9"/>
      <c r="F1013" s="9"/>
      <c r="G1013" s="9"/>
      <c r="H1013" s="9"/>
      <c r="I1013" s="11" t="e">
        <f>VLOOKUP(H1013,위치!B:C,2,0)</f>
        <v>#N/A</v>
      </c>
      <c r="J1013" s="9"/>
      <c r="K1013" s="9"/>
      <c r="L1013" s="9" t="e">
        <f>VLOOKUP(H1013,위치!B:D,3,0)</f>
        <v>#N/A</v>
      </c>
      <c r="M1013" s="12"/>
      <c r="N1013" s="5"/>
      <c r="O1013" s="5"/>
      <c r="P1013" s="5"/>
      <c r="Q1013" s="14"/>
      <c r="R1013" s="15">
        <f t="shared" si="15"/>
        <v>0</v>
      </c>
    </row>
    <row r="1014" spans="2:18" x14ac:dyDescent="0.35">
      <c r="B1014" s="9">
        <v>1035</v>
      </c>
      <c r="C1014" s="9"/>
      <c r="D1014" s="9"/>
      <c r="E1014" s="9"/>
      <c r="F1014" s="9"/>
      <c r="G1014" s="9"/>
      <c r="H1014" s="9"/>
      <c r="I1014" s="11" t="e">
        <f>VLOOKUP(H1014,위치!B:C,2,0)</f>
        <v>#N/A</v>
      </c>
      <c r="J1014" s="9"/>
      <c r="K1014" s="9"/>
      <c r="L1014" s="9" t="e">
        <f>VLOOKUP(H1014,위치!B:D,3,0)</f>
        <v>#N/A</v>
      </c>
      <c r="M1014" s="12"/>
      <c r="N1014" s="5"/>
      <c r="O1014" s="5"/>
      <c r="P1014" s="5"/>
      <c r="Q1014" s="14"/>
      <c r="R1014" s="15">
        <f t="shared" si="15"/>
        <v>0</v>
      </c>
    </row>
    <row r="1015" spans="2:18" x14ac:dyDescent="0.35">
      <c r="B1015" s="9">
        <v>1036</v>
      </c>
      <c r="C1015" s="9"/>
      <c r="D1015" s="9"/>
      <c r="E1015" s="9"/>
      <c r="F1015" s="9"/>
      <c r="G1015" s="9"/>
      <c r="H1015" s="9"/>
      <c r="I1015" s="11" t="e">
        <f>VLOOKUP(H1015,위치!B:C,2,0)</f>
        <v>#N/A</v>
      </c>
      <c r="J1015" s="9"/>
      <c r="K1015" s="9"/>
      <c r="L1015" s="9" t="e">
        <f>VLOOKUP(H1015,위치!B:D,3,0)</f>
        <v>#N/A</v>
      </c>
      <c r="M1015" s="12"/>
      <c r="N1015" s="5"/>
      <c r="O1015" s="5"/>
      <c r="P1015" s="5"/>
      <c r="Q1015" s="14"/>
      <c r="R1015" s="15">
        <f t="shared" si="15"/>
        <v>0</v>
      </c>
    </row>
    <row r="1016" spans="2:18" x14ac:dyDescent="0.35">
      <c r="B1016" s="9">
        <v>1037</v>
      </c>
      <c r="C1016" s="9"/>
      <c r="D1016" s="9"/>
      <c r="E1016" s="9"/>
      <c r="F1016" s="9"/>
      <c r="G1016" s="9"/>
      <c r="H1016" s="9"/>
      <c r="I1016" s="11" t="e">
        <f>VLOOKUP(H1016,위치!B:C,2,0)</f>
        <v>#N/A</v>
      </c>
      <c r="J1016" s="9"/>
      <c r="K1016" s="9"/>
      <c r="L1016" s="9" t="e">
        <f>VLOOKUP(H1016,위치!B:D,3,0)</f>
        <v>#N/A</v>
      </c>
      <c r="M1016" s="12"/>
      <c r="N1016" s="5"/>
      <c r="O1016" s="5"/>
      <c r="P1016" s="5"/>
      <c r="Q1016" s="14"/>
      <c r="R1016" s="15">
        <f t="shared" si="15"/>
        <v>0</v>
      </c>
    </row>
    <row r="1017" spans="2:18" x14ac:dyDescent="0.35">
      <c r="B1017" s="9">
        <v>1038</v>
      </c>
      <c r="C1017" s="9"/>
      <c r="D1017" s="9"/>
      <c r="E1017" s="9"/>
      <c r="F1017" s="9"/>
      <c r="G1017" s="9"/>
      <c r="H1017" s="9"/>
      <c r="I1017" s="11" t="e">
        <f>VLOOKUP(H1017,위치!B:C,2,0)</f>
        <v>#N/A</v>
      </c>
      <c r="J1017" s="9"/>
      <c r="K1017" s="9"/>
      <c r="L1017" s="9" t="e">
        <f>VLOOKUP(H1017,위치!B:D,3,0)</f>
        <v>#N/A</v>
      </c>
      <c r="M1017" s="12"/>
      <c r="N1017" s="5"/>
      <c r="O1017" s="5"/>
      <c r="P1017" s="5"/>
      <c r="Q1017" s="14"/>
      <c r="R1017" s="15">
        <f t="shared" si="15"/>
        <v>0</v>
      </c>
    </row>
    <row r="1018" spans="2:18" x14ac:dyDescent="0.35">
      <c r="B1018" s="9">
        <v>1039</v>
      </c>
      <c r="C1018" s="9"/>
      <c r="D1018" s="9"/>
      <c r="E1018" s="9"/>
      <c r="F1018" s="9"/>
      <c r="G1018" s="9"/>
      <c r="H1018" s="9"/>
      <c r="I1018" s="11" t="e">
        <f>VLOOKUP(H1018,위치!B:C,2,0)</f>
        <v>#N/A</v>
      </c>
      <c r="J1018" s="9"/>
      <c r="K1018" s="9"/>
      <c r="L1018" s="9" t="e">
        <f>VLOOKUP(H1018,위치!B:D,3,0)</f>
        <v>#N/A</v>
      </c>
      <c r="M1018" s="12"/>
      <c r="N1018" s="5"/>
      <c r="O1018" s="5"/>
      <c r="P1018" s="5"/>
      <c r="Q1018" s="14"/>
      <c r="R1018" s="15">
        <f t="shared" si="15"/>
        <v>0</v>
      </c>
    </row>
    <row r="1019" spans="2:18" x14ac:dyDescent="0.35">
      <c r="B1019" s="9">
        <v>1040</v>
      </c>
      <c r="C1019" s="9"/>
      <c r="D1019" s="9"/>
      <c r="E1019" s="9"/>
      <c r="F1019" s="9"/>
      <c r="G1019" s="9"/>
      <c r="H1019" s="9"/>
      <c r="I1019" s="11" t="e">
        <f>VLOOKUP(H1019,위치!B:C,2,0)</f>
        <v>#N/A</v>
      </c>
      <c r="J1019" s="9"/>
      <c r="K1019" s="9"/>
      <c r="L1019" s="9" t="e">
        <f>VLOOKUP(H1019,위치!B:D,3,0)</f>
        <v>#N/A</v>
      </c>
      <c r="M1019" s="12"/>
      <c r="N1019" s="5"/>
      <c r="O1019" s="5"/>
      <c r="P1019" s="5"/>
      <c r="Q1019" s="14"/>
      <c r="R1019" s="15">
        <f t="shared" si="15"/>
        <v>0</v>
      </c>
    </row>
    <row r="1020" spans="2:18" x14ac:dyDescent="0.35">
      <c r="B1020" s="9">
        <v>1041</v>
      </c>
      <c r="C1020" s="9"/>
      <c r="D1020" s="9"/>
      <c r="E1020" s="9"/>
      <c r="F1020" s="9"/>
      <c r="G1020" s="9"/>
      <c r="H1020" s="9"/>
      <c r="I1020" s="11" t="e">
        <f>VLOOKUP(H1020,위치!B:C,2,0)</f>
        <v>#N/A</v>
      </c>
      <c r="J1020" s="9"/>
      <c r="K1020" s="9"/>
      <c r="L1020" s="9" t="e">
        <f>VLOOKUP(H1020,위치!B:D,3,0)</f>
        <v>#N/A</v>
      </c>
      <c r="M1020" s="12"/>
      <c r="N1020" s="5"/>
      <c r="O1020" s="5"/>
      <c r="P1020" s="5"/>
      <c r="Q1020" s="14"/>
      <c r="R1020" s="15">
        <f t="shared" si="15"/>
        <v>0</v>
      </c>
    </row>
    <row r="1021" spans="2:18" x14ac:dyDescent="0.35">
      <c r="B1021" s="9">
        <v>1042</v>
      </c>
      <c r="C1021" s="9"/>
      <c r="D1021" s="9"/>
      <c r="E1021" s="9"/>
      <c r="F1021" s="9"/>
      <c r="G1021" s="9"/>
      <c r="H1021" s="9"/>
      <c r="I1021" s="11" t="e">
        <f>VLOOKUP(H1021,위치!B:C,2,0)</f>
        <v>#N/A</v>
      </c>
      <c r="J1021" s="9"/>
      <c r="K1021" s="9"/>
      <c r="L1021" s="9" t="e">
        <f>VLOOKUP(H1021,위치!B:D,3,0)</f>
        <v>#N/A</v>
      </c>
      <c r="M1021" s="12"/>
      <c r="N1021" s="5"/>
      <c r="O1021" s="5"/>
      <c r="P1021" s="5"/>
      <c r="Q1021" s="14"/>
      <c r="R1021" s="15">
        <f t="shared" si="15"/>
        <v>0</v>
      </c>
    </row>
    <row r="1022" spans="2:18" x14ac:dyDescent="0.35">
      <c r="B1022" s="9">
        <v>1043</v>
      </c>
      <c r="C1022" s="9"/>
      <c r="D1022" s="9"/>
      <c r="E1022" s="9"/>
      <c r="F1022" s="9"/>
      <c r="G1022" s="9"/>
      <c r="H1022" s="9"/>
      <c r="I1022" s="11" t="e">
        <f>VLOOKUP(H1022,위치!B:C,2,0)</f>
        <v>#N/A</v>
      </c>
      <c r="J1022" s="9"/>
      <c r="K1022" s="9"/>
      <c r="L1022" s="9" t="e">
        <f>VLOOKUP(H1022,위치!B:D,3,0)</f>
        <v>#N/A</v>
      </c>
      <c r="M1022" s="12"/>
      <c r="N1022" s="5"/>
      <c r="O1022" s="5"/>
      <c r="P1022" s="5"/>
      <c r="Q1022" s="14"/>
      <c r="R1022" s="15">
        <f t="shared" si="15"/>
        <v>0</v>
      </c>
    </row>
    <row r="1023" spans="2:18" x14ac:dyDescent="0.35">
      <c r="B1023" s="9">
        <v>1044</v>
      </c>
      <c r="C1023" s="9"/>
      <c r="D1023" s="9"/>
      <c r="E1023" s="9"/>
      <c r="F1023" s="9"/>
      <c r="G1023" s="9"/>
      <c r="H1023" s="9"/>
      <c r="I1023" s="11" t="e">
        <f>VLOOKUP(H1023,위치!B:C,2,0)</f>
        <v>#N/A</v>
      </c>
      <c r="J1023" s="9"/>
      <c r="K1023" s="9"/>
      <c r="L1023" s="9" t="e">
        <f>VLOOKUP(H1023,위치!B:D,3,0)</f>
        <v>#N/A</v>
      </c>
      <c r="M1023" s="12"/>
      <c r="N1023" s="5"/>
      <c r="O1023" s="5"/>
      <c r="P1023" s="5"/>
      <c r="Q1023" s="14"/>
      <c r="R1023" s="15">
        <f t="shared" si="15"/>
        <v>0</v>
      </c>
    </row>
    <row r="1024" spans="2:18" x14ac:dyDescent="0.35">
      <c r="B1024" s="9">
        <v>1045</v>
      </c>
      <c r="C1024" s="9"/>
      <c r="D1024" s="9"/>
      <c r="E1024" s="9"/>
      <c r="F1024" s="9"/>
      <c r="G1024" s="9"/>
      <c r="H1024" s="9"/>
      <c r="I1024" s="11" t="e">
        <f>VLOOKUP(H1024,위치!B:C,2,0)</f>
        <v>#N/A</v>
      </c>
      <c r="J1024" s="9"/>
      <c r="K1024" s="9"/>
      <c r="L1024" s="9" t="e">
        <f>VLOOKUP(H1024,위치!B:D,3,0)</f>
        <v>#N/A</v>
      </c>
      <c r="M1024" s="12"/>
      <c r="N1024" s="5"/>
      <c r="O1024" s="5"/>
      <c r="P1024" s="5"/>
      <c r="Q1024" s="14"/>
      <c r="R1024" s="15">
        <f t="shared" si="15"/>
        <v>0</v>
      </c>
    </row>
    <row r="1025" spans="2:18" x14ac:dyDescent="0.35">
      <c r="B1025" s="9">
        <v>1046</v>
      </c>
      <c r="C1025" s="9"/>
      <c r="D1025" s="9"/>
      <c r="E1025" s="9"/>
      <c r="F1025" s="9"/>
      <c r="G1025" s="9"/>
      <c r="H1025" s="9"/>
      <c r="I1025" s="11" t="e">
        <f>VLOOKUP(H1025,위치!B:C,2,0)</f>
        <v>#N/A</v>
      </c>
      <c r="J1025" s="9"/>
      <c r="K1025" s="9"/>
      <c r="L1025" s="9" t="e">
        <f>VLOOKUP(H1025,위치!B:D,3,0)</f>
        <v>#N/A</v>
      </c>
      <c r="M1025" s="12"/>
      <c r="N1025" s="5"/>
      <c r="O1025" s="5"/>
      <c r="P1025" s="5"/>
      <c r="Q1025" s="14"/>
      <c r="R1025" s="15">
        <f t="shared" si="15"/>
        <v>0</v>
      </c>
    </row>
    <row r="1026" spans="2:18" x14ac:dyDescent="0.35">
      <c r="B1026" s="9">
        <v>1047</v>
      </c>
      <c r="C1026" s="9"/>
      <c r="D1026" s="9"/>
      <c r="E1026" s="9"/>
      <c r="F1026" s="9"/>
      <c r="G1026" s="9"/>
      <c r="H1026" s="9"/>
      <c r="I1026" s="11" t="e">
        <f>VLOOKUP(H1026,위치!B:C,2,0)</f>
        <v>#N/A</v>
      </c>
      <c r="J1026" s="9"/>
      <c r="K1026" s="9"/>
      <c r="L1026" s="9" t="e">
        <f>VLOOKUP(H1026,위치!B:D,3,0)</f>
        <v>#N/A</v>
      </c>
      <c r="M1026" s="12"/>
      <c r="N1026" s="5"/>
      <c r="O1026" s="5"/>
      <c r="P1026" s="5"/>
      <c r="Q1026" s="14"/>
      <c r="R1026" s="15">
        <f t="shared" si="15"/>
        <v>0</v>
      </c>
    </row>
    <row r="1027" spans="2:18" x14ac:dyDescent="0.35">
      <c r="B1027" s="9">
        <v>1048</v>
      </c>
      <c r="C1027" s="9"/>
      <c r="D1027" s="9"/>
      <c r="E1027" s="9"/>
      <c r="F1027" s="9"/>
      <c r="G1027" s="9"/>
      <c r="H1027" s="9"/>
      <c r="I1027" s="11" t="e">
        <f>VLOOKUP(H1027,위치!B:C,2,0)</f>
        <v>#N/A</v>
      </c>
      <c r="J1027" s="9"/>
      <c r="K1027" s="9"/>
      <c r="L1027" s="9" t="e">
        <f>VLOOKUP(H1027,위치!B:D,3,0)</f>
        <v>#N/A</v>
      </c>
      <c r="M1027" s="12"/>
      <c r="N1027" s="5"/>
      <c r="O1027" s="5"/>
      <c r="P1027" s="5"/>
      <c r="Q1027" s="14"/>
      <c r="R1027" s="15">
        <f t="shared" si="15"/>
        <v>0</v>
      </c>
    </row>
    <row r="1028" spans="2:18" x14ac:dyDescent="0.35">
      <c r="B1028" s="9">
        <v>1049</v>
      </c>
      <c r="C1028" s="9"/>
      <c r="D1028" s="9"/>
      <c r="E1028" s="9"/>
      <c r="F1028" s="9"/>
      <c r="G1028" s="9"/>
      <c r="H1028" s="9"/>
      <c r="I1028" s="11" t="e">
        <f>VLOOKUP(H1028,위치!B:C,2,0)</f>
        <v>#N/A</v>
      </c>
      <c r="J1028" s="9"/>
      <c r="K1028" s="9"/>
      <c r="L1028" s="9" t="e">
        <f>VLOOKUP(H1028,위치!B:D,3,0)</f>
        <v>#N/A</v>
      </c>
      <c r="M1028" s="12"/>
      <c r="N1028" s="5"/>
      <c r="O1028" s="5"/>
      <c r="P1028" s="5"/>
      <c r="Q1028" s="14"/>
      <c r="R1028" s="15">
        <f t="shared" si="15"/>
        <v>0</v>
      </c>
    </row>
    <row r="1029" spans="2:18" x14ac:dyDescent="0.35">
      <c r="B1029" s="9">
        <v>1050</v>
      </c>
      <c r="C1029" s="9"/>
      <c r="D1029" s="9"/>
      <c r="E1029" s="9"/>
      <c r="F1029" s="9"/>
      <c r="G1029" s="9"/>
      <c r="H1029" s="9"/>
      <c r="I1029" s="11" t="e">
        <f>VLOOKUP(H1029,위치!B:C,2,0)</f>
        <v>#N/A</v>
      </c>
      <c r="J1029" s="9"/>
      <c r="K1029" s="9"/>
      <c r="L1029" s="9" t="e">
        <f>VLOOKUP(H1029,위치!B:D,3,0)</f>
        <v>#N/A</v>
      </c>
      <c r="M1029" s="12"/>
      <c r="N1029" s="5"/>
      <c r="O1029" s="5"/>
      <c r="P1029" s="5"/>
      <c r="Q1029" s="14"/>
      <c r="R1029" s="15">
        <f t="shared" si="15"/>
        <v>0</v>
      </c>
    </row>
    <row r="1030" spans="2:18" x14ac:dyDescent="0.35">
      <c r="B1030" s="9">
        <v>1051</v>
      </c>
      <c r="C1030" s="9"/>
      <c r="D1030" s="9"/>
      <c r="E1030" s="9"/>
      <c r="F1030" s="9"/>
      <c r="G1030" s="9"/>
      <c r="H1030" s="9"/>
      <c r="I1030" s="11" t="e">
        <f>VLOOKUP(H1030,위치!B:C,2,0)</f>
        <v>#N/A</v>
      </c>
      <c r="J1030" s="9"/>
      <c r="K1030" s="9"/>
      <c r="L1030" s="9" t="e">
        <f>VLOOKUP(H1030,위치!B:D,3,0)</f>
        <v>#N/A</v>
      </c>
      <c r="M1030" s="12"/>
      <c r="N1030" s="5"/>
      <c r="O1030" s="5"/>
      <c r="P1030" s="5"/>
      <c r="Q1030" s="14"/>
      <c r="R1030" s="15">
        <f t="shared" si="15"/>
        <v>0</v>
      </c>
    </row>
    <row r="1031" spans="2:18" x14ac:dyDescent="0.35">
      <c r="B1031" s="9">
        <v>1052</v>
      </c>
      <c r="C1031" s="9"/>
      <c r="D1031" s="9"/>
      <c r="E1031" s="9"/>
      <c r="F1031" s="9"/>
      <c r="G1031" s="9"/>
      <c r="H1031" s="9"/>
      <c r="I1031" s="11" t="e">
        <f>VLOOKUP(H1031,위치!B:C,2,0)</f>
        <v>#N/A</v>
      </c>
      <c r="J1031" s="9"/>
      <c r="K1031" s="9"/>
      <c r="L1031" s="9" t="e">
        <f>VLOOKUP(H1031,위치!B:D,3,0)</f>
        <v>#N/A</v>
      </c>
      <c r="M1031" s="12"/>
      <c r="N1031" s="5"/>
      <c r="O1031" s="5"/>
      <c r="P1031" s="5"/>
      <c r="Q1031" s="14"/>
      <c r="R1031" s="15">
        <f t="shared" ref="R1031:R1094" si="16">J1031-P1031</f>
        <v>0</v>
      </c>
    </row>
    <row r="1032" spans="2:18" x14ac:dyDescent="0.35">
      <c r="B1032" s="9">
        <v>1053</v>
      </c>
      <c r="C1032" s="9"/>
      <c r="D1032" s="9"/>
      <c r="E1032" s="9"/>
      <c r="F1032" s="9"/>
      <c r="G1032" s="9"/>
      <c r="H1032" s="9"/>
      <c r="I1032" s="11" t="e">
        <f>VLOOKUP(H1032,위치!B:C,2,0)</f>
        <v>#N/A</v>
      </c>
      <c r="J1032" s="9"/>
      <c r="K1032" s="9"/>
      <c r="L1032" s="9" t="e">
        <f>VLOOKUP(H1032,위치!B:D,3,0)</f>
        <v>#N/A</v>
      </c>
      <c r="M1032" s="12"/>
      <c r="N1032" s="5"/>
      <c r="O1032" s="5"/>
      <c r="P1032" s="5"/>
      <c r="Q1032" s="14"/>
      <c r="R1032" s="15">
        <f t="shared" si="16"/>
        <v>0</v>
      </c>
    </row>
    <row r="1033" spans="2:18" x14ac:dyDescent="0.35">
      <c r="B1033" s="9">
        <v>1054</v>
      </c>
      <c r="C1033" s="9"/>
      <c r="D1033" s="9"/>
      <c r="E1033" s="9"/>
      <c r="F1033" s="9"/>
      <c r="G1033" s="9"/>
      <c r="H1033" s="9"/>
      <c r="I1033" s="11" t="e">
        <f>VLOOKUP(H1033,위치!B:C,2,0)</f>
        <v>#N/A</v>
      </c>
      <c r="J1033" s="9"/>
      <c r="K1033" s="9"/>
      <c r="L1033" s="9" t="e">
        <f>VLOOKUP(H1033,위치!B:D,3,0)</f>
        <v>#N/A</v>
      </c>
      <c r="M1033" s="12"/>
      <c r="N1033" s="5"/>
      <c r="O1033" s="5"/>
      <c r="P1033" s="5"/>
      <c r="Q1033" s="14"/>
      <c r="R1033" s="15">
        <f t="shared" si="16"/>
        <v>0</v>
      </c>
    </row>
    <row r="1034" spans="2:18" x14ac:dyDescent="0.35">
      <c r="B1034" s="9">
        <v>1055</v>
      </c>
      <c r="C1034" s="9"/>
      <c r="D1034" s="9"/>
      <c r="E1034" s="9"/>
      <c r="F1034" s="9"/>
      <c r="G1034" s="9"/>
      <c r="H1034" s="9"/>
      <c r="I1034" s="11" t="e">
        <f>VLOOKUP(H1034,위치!B:C,2,0)</f>
        <v>#N/A</v>
      </c>
      <c r="J1034" s="9"/>
      <c r="K1034" s="9"/>
      <c r="L1034" s="9" t="e">
        <f>VLOOKUP(H1034,위치!B:D,3,0)</f>
        <v>#N/A</v>
      </c>
      <c r="M1034" s="12"/>
      <c r="N1034" s="5"/>
      <c r="O1034" s="5"/>
      <c r="P1034" s="5"/>
      <c r="Q1034" s="14"/>
      <c r="R1034" s="15">
        <f t="shared" si="16"/>
        <v>0</v>
      </c>
    </row>
    <row r="1035" spans="2:18" x14ac:dyDescent="0.35">
      <c r="B1035" s="9">
        <v>1056</v>
      </c>
      <c r="C1035" s="9"/>
      <c r="D1035" s="9"/>
      <c r="E1035" s="9"/>
      <c r="F1035" s="9"/>
      <c r="G1035" s="9"/>
      <c r="H1035" s="9"/>
      <c r="I1035" s="11" t="e">
        <f>VLOOKUP(H1035,위치!B:C,2,0)</f>
        <v>#N/A</v>
      </c>
      <c r="J1035" s="9"/>
      <c r="K1035" s="9"/>
      <c r="L1035" s="9" t="e">
        <f>VLOOKUP(H1035,위치!B:D,3,0)</f>
        <v>#N/A</v>
      </c>
      <c r="M1035" s="12"/>
      <c r="N1035" s="5"/>
      <c r="O1035" s="5"/>
      <c r="P1035" s="5"/>
      <c r="Q1035" s="14"/>
      <c r="R1035" s="15">
        <f t="shared" si="16"/>
        <v>0</v>
      </c>
    </row>
    <row r="1036" spans="2:18" x14ac:dyDescent="0.35">
      <c r="B1036" s="9">
        <v>1057</v>
      </c>
      <c r="C1036" s="9"/>
      <c r="D1036" s="9"/>
      <c r="E1036" s="9"/>
      <c r="F1036" s="9"/>
      <c r="G1036" s="9"/>
      <c r="H1036" s="9"/>
      <c r="I1036" s="11" t="e">
        <f>VLOOKUP(H1036,위치!B:C,2,0)</f>
        <v>#N/A</v>
      </c>
      <c r="J1036" s="9"/>
      <c r="K1036" s="9"/>
      <c r="L1036" s="9" t="e">
        <f>VLOOKUP(H1036,위치!B:D,3,0)</f>
        <v>#N/A</v>
      </c>
      <c r="M1036" s="12"/>
      <c r="N1036" s="5"/>
      <c r="O1036" s="5"/>
      <c r="P1036" s="5"/>
      <c r="Q1036" s="14"/>
      <c r="R1036" s="15">
        <f t="shared" si="16"/>
        <v>0</v>
      </c>
    </row>
    <row r="1037" spans="2:18" x14ac:dyDescent="0.35">
      <c r="B1037" s="9">
        <v>1058</v>
      </c>
      <c r="C1037" s="9"/>
      <c r="D1037" s="9"/>
      <c r="E1037" s="9"/>
      <c r="F1037" s="9"/>
      <c r="G1037" s="9"/>
      <c r="H1037" s="9"/>
      <c r="I1037" s="11" t="e">
        <f>VLOOKUP(H1037,위치!B:C,2,0)</f>
        <v>#N/A</v>
      </c>
      <c r="J1037" s="9"/>
      <c r="K1037" s="9"/>
      <c r="L1037" s="9" t="e">
        <f>VLOOKUP(H1037,위치!B:D,3,0)</f>
        <v>#N/A</v>
      </c>
      <c r="M1037" s="12"/>
      <c r="N1037" s="5"/>
      <c r="O1037" s="5"/>
      <c r="P1037" s="5"/>
      <c r="Q1037" s="14"/>
      <c r="R1037" s="15">
        <f t="shared" si="16"/>
        <v>0</v>
      </c>
    </row>
    <row r="1038" spans="2:18" x14ac:dyDescent="0.35">
      <c r="B1038" s="9">
        <v>1059</v>
      </c>
      <c r="C1038" s="9"/>
      <c r="D1038" s="9"/>
      <c r="E1038" s="9"/>
      <c r="F1038" s="9"/>
      <c r="G1038" s="9"/>
      <c r="H1038" s="9"/>
      <c r="I1038" s="11" t="e">
        <f>VLOOKUP(H1038,위치!B:C,2,0)</f>
        <v>#N/A</v>
      </c>
      <c r="J1038" s="9"/>
      <c r="K1038" s="9"/>
      <c r="L1038" s="9" t="e">
        <f>VLOOKUP(H1038,위치!B:D,3,0)</f>
        <v>#N/A</v>
      </c>
      <c r="M1038" s="12"/>
      <c r="N1038" s="5"/>
      <c r="O1038" s="5"/>
      <c r="P1038" s="5"/>
      <c r="Q1038" s="14"/>
      <c r="R1038" s="15">
        <f t="shared" si="16"/>
        <v>0</v>
      </c>
    </row>
    <row r="1039" spans="2:18" x14ac:dyDescent="0.35">
      <c r="B1039" s="9">
        <v>1060</v>
      </c>
      <c r="C1039" s="9"/>
      <c r="D1039" s="9"/>
      <c r="E1039" s="9"/>
      <c r="F1039" s="9"/>
      <c r="G1039" s="9"/>
      <c r="H1039" s="9"/>
      <c r="I1039" s="11" t="e">
        <f>VLOOKUP(H1039,위치!B:C,2,0)</f>
        <v>#N/A</v>
      </c>
      <c r="J1039" s="9"/>
      <c r="K1039" s="9"/>
      <c r="L1039" s="9" t="e">
        <f>VLOOKUP(H1039,위치!B:D,3,0)</f>
        <v>#N/A</v>
      </c>
      <c r="M1039" s="12"/>
      <c r="N1039" s="5"/>
      <c r="O1039" s="5"/>
      <c r="P1039" s="5"/>
      <c r="Q1039" s="14"/>
      <c r="R1039" s="15">
        <f t="shared" si="16"/>
        <v>0</v>
      </c>
    </row>
    <row r="1040" spans="2:18" x14ac:dyDescent="0.35">
      <c r="B1040" s="9">
        <v>1061</v>
      </c>
      <c r="C1040" s="9"/>
      <c r="D1040" s="9"/>
      <c r="E1040" s="9"/>
      <c r="F1040" s="9"/>
      <c r="G1040" s="9"/>
      <c r="H1040" s="9"/>
      <c r="I1040" s="11" t="e">
        <f>VLOOKUP(H1040,위치!B:C,2,0)</f>
        <v>#N/A</v>
      </c>
      <c r="J1040" s="9"/>
      <c r="K1040" s="9"/>
      <c r="L1040" s="9" t="e">
        <f>VLOOKUP(H1040,위치!B:D,3,0)</f>
        <v>#N/A</v>
      </c>
      <c r="M1040" s="12"/>
      <c r="N1040" s="5"/>
      <c r="O1040" s="5"/>
      <c r="P1040" s="5"/>
      <c r="Q1040" s="14"/>
      <c r="R1040" s="15">
        <f t="shared" si="16"/>
        <v>0</v>
      </c>
    </row>
    <row r="1041" spans="2:18" x14ac:dyDescent="0.35">
      <c r="B1041" s="9">
        <v>1062</v>
      </c>
      <c r="C1041" s="9"/>
      <c r="D1041" s="9"/>
      <c r="E1041" s="9"/>
      <c r="F1041" s="9"/>
      <c r="G1041" s="9"/>
      <c r="H1041" s="9"/>
      <c r="I1041" s="11" t="e">
        <f>VLOOKUP(H1041,위치!B:C,2,0)</f>
        <v>#N/A</v>
      </c>
      <c r="J1041" s="9"/>
      <c r="K1041" s="9"/>
      <c r="L1041" s="9" t="e">
        <f>VLOOKUP(H1041,위치!B:D,3,0)</f>
        <v>#N/A</v>
      </c>
      <c r="M1041" s="12"/>
      <c r="N1041" s="5"/>
      <c r="O1041" s="5"/>
      <c r="P1041" s="5"/>
      <c r="Q1041" s="14"/>
      <c r="R1041" s="15">
        <f t="shared" si="16"/>
        <v>0</v>
      </c>
    </row>
    <row r="1042" spans="2:18" x14ac:dyDescent="0.35">
      <c r="B1042" s="9">
        <v>1063</v>
      </c>
      <c r="C1042" s="9"/>
      <c r="D1042" s="9"/>
      <c r="E1042" s="9"/>
      <c r="F1042" s="9"/>
      <c r="G1042" s="9"/>
      <c r="H1042" s="9"/>
      <c r="I1042" s="11" t="e">
        <f>VLOOKUP(H1042,위치!B:C,2,0)</f>
        <v>#N/A</v>
      </c>
      <c r="J1042" s="9"/>
      <c r="K1042" s="9"/>
      <c r="L1042" s="9" t="e">
        <f>VLOOKUP(H1042,위치!B:D,3,0)</f>
        <v>#N/A</v>
      </c>
      <c r="M1042" s="12"/>
      <c r="N1042" s="5"/>
      <c r="O1042" s="5"/>
      <c r="P1042" s="5"/>
      <c r="Q1042" s="14"/>
      <c r="R1042" s="15">
        <f t="shared" si="16"/>
        <v>0</v>
      </c>
    </row>
    <row r="1043" spans="2:18" x14ac:dyDescent="0.35">
      <c r="B1043" s="9">
        <v>1064</v>
      </c>
      <c r="C1043" s="9"/>
      <c r="D1043" s="9"/>
      <c r="E1043" s="9"/>
      <c r="F1043" s="9"/>
      <c r="G1043" s="9"/>
      <c r="H1043" s="9"/>
      <c r="I1043" s="11" t="e">
        <f>VLOOKUP(H1043,위치!B:C,2,0)</f>
        <v>#N/A</v>
      </c>
      <c r="J1043" s="9"/>
      <c r="K1043" s="9"/>
      <c r="L1043" s="9" t="e">
        <f>VLOOKUP(H1043,위치!B:D,3,0)</f>
        <v>#N/A</v>
      </c>
      <c r="M1043" s="12"/>
      <c r="N1043" s="5"/>
      <c r="O1043" s="5"/>
      <c r="P1043" s="5"/>
      <c r="Q1043" s="14"/>
      <c r="R1043" s="15">
        <f t="shared" si="16"/>
        <v>0</v>
      </c>
    </row>
    <row r="1044" spans="2:18" x14ac:dyDescent="0.35">
      <c r="B1044" s="9">
        <v>1065</v>
      </c>
      <c r="C1044" s="9"/>
      <c r="D1044" s="9"/>
      <c r="E1044" s="9"/>
      <c r="F1044" s="9"/>
      <c r="G1044" s="9"/>
      <c r="H1044" s="9"/>
      <c r="I1044" s="11" t="e">
        <f>VLOOKUP(H1044,위치!B:C,2,0)</f>
        <v>#N/A</v>
      </c>
      <c r="J1044" s="9"/>
      <c r="K1044" s="9"/>
      <c r="L1044" s="9" t="e">
        <f>VLOOKUP(H1044,위치!B:D,3,0)</f>
        <v>#N/A</v>
      </c>
      <c r="M1044" s="12"/>
      <c r="N1044" s="5"/>
      <c r="O1044" s="5"/>
      <c r="P1044" s="5"/>
      <c r="Q1044" s="14"/>
      <c r="R1044" s="15">
        <f t="shared" si="16"/>
        <v>0</v>
      </c>
    </row>
    <row r="1045" spans="2:18" x14ac:dyDescent="0.35">
      <c r="B1045" s="9">
        <v>1066</v>
      </c>
      <c r="C1045" s="9"/>
      <c r="D1045" s="9"/>
      <c r="E1045" s="9"/>
      <c r="F1045" s="9"/>
      <c r="G1045" s="9"/>
      <c r="H1045" s="9"/>
      <c r="I1045" s="11" t="e">
        <f>VLOOKUP(H1045,위치!B:C,2,0)</f>
        <v>#N/A</v>
      </c>
      <c r="J1045" s="9"/>
      <c r="K1045" s="9"/>
      <c r="L1045" s="9" t="e">
        <f>VLOOKUP(H1045,위치!B:D,3,0)</f>
        <v>#N/A</v>
      </c>
      <c r="M1045" s="12"/>
      <c r="N1045" s="5"/>
      <c r="O1045" s="5"/>
      <c r="P1045" s="5"/>
      <c r="Q1045" s="14"/>
      <c r="R1045" s="15">
        <f t="shared" si="16"/>
        <v>0</v>
      </c>
    </row>
    <row r="1046" spans="2:18" x14ac:dyDescent="0.35">
      <c r="B1046" s="9">
        <v>1067</v>
      </c>
      <c r="C1046" s="9"/>
      <c r="D1046" s="9"/>
      <c r="E1046" s="9"/>
      <c r="F1046" s="9"/>
      <c r="G1046" s="9"/>
      <c r="H1046" s="9"/>
      <c r="I1046" s="11" t="e">
        <f>VLOOKUP(H1046,위치!B:C,2,0)</f>
        <v>#N/A</v>
      </c>
      <c r="J1046" s="9"/>
      <c r="K1046" s="9"/>
      <c r="L1046" s="9" t="e">
        <f>VLOOKUP(H1046,위치!B:D,3,0)</f>
        <v>#N/A</v>
      </c>
      <c r="M1046" s="12"/>
      <c r="N1046" s="5"/>
      <c r="O1046" s="5"/>
      <c r="P1046" s="5"/>
      <c r="Q1046" s="14"/>
      <c r="R1046" s="15">
        <f t="shared" si="16"/>
        <v>0</v>
      </c>
    </row>
    <row r="1047" spans="2:18" x14ac:dyDescent="0.35">
      <c r="B1047" s="9">
        <v>1068</v>
      </c>
      <c r="C1047" s="9"/>
      <c r="D1047" s="9"/>
      <c r="E1047" s="9"/>
      <c r="F1047" s="9"/>
      <c r="G1047" s="9"/>
      <c r="H1047" s="9"/>
      <c r="I1047" s="11" t="e">
        <f>VLOOKUP(H1047,위치!B:C,2,0)</f>
        <v>#N/A</v>
      </c>
      <c r="J1047" s="9"/>
      <c r="K1047" s="9"/>
      <c r="L1047" s="9" t="e">
        <f>VLOOKUP(H1047,위치!B:D,3,0)</f>
        <v>#N/A</v>
      </c>
      <c r="M1047" s="12"/>
      <c r="N1047" s="5"/>
      <c r="O1047" s="5"/>
      <c r="P1047" s="5"/>
      <c r="Q1047" s="14"/>
      <c r="R1047" s="15">
        <f t="shared" si="16"/>
        <v>0</v>
      </c>
    </row>
    <row r="1048" spans="2:18" x14ac:dyDescent="0.35">
      <c r="B1048" s="9">
        <v>1069</v>
      </c>
      <c r="C1048" s="9"/>
      <c r="D1048" s="9"/>
      <c r="E1048" s="9"/>
      <c r="F1048" s="9"/>
      <c r="G1048" s="9"/>
      <c r="H1048" s="9"/>
      <c r="I1048" s="11" t="e">
        <f>VLOOKUP(H1048,위치!B:C,2,0)</f>
        <v>#N/A</v>
      </c>
      <c r="J1048" s="9"/>
      <c r="K1048" s="9"/>
      <c r="L1048" s="9" t="e">
        <f>VLOOKUP(H1048,위치!B:D,3,0)</f>
        <v>#N/A</v>
      </c>
      <c r="M1048" s="12"/>
      <c r="N1048" s="5"/>
      <c r="O1048" s="5"/>
      <c r="P1048" s="5"/>
      <c r="Q1048" s="14"/>
      <c r="R1048" s="15">
        <f t="shared" si="16"/>
        <v>0</v>
      </c>
    </row>
    <row r="1049" spans="2:18" x14ac:dyDescent="0.35">
      <c r="B1049" s="9">
        <v>329</v>
      </c>
      <c r="C1049" s="9"/>
      <c r="D1049" s="9"/>
      <c r="E1049" s="9"/>
      <c r="F1049" s="9"/>
      <c r="G1049" s="9"/>
      <c r="H1049" s="9"/>
      <c r="I1049" s="11" t="e">
        <f>VLOOKUP(H1049,위치!B:C,2,0)</f>
        <v>#N/A</v>
      </c>
      <c r="J1049" s="9"/>
      <c r="K1049" s="9"/>
      <c r="L1049" s="9" t="e">
        <f>VLOOKUP(H1049,위치!B:D,3,0)</f>
        <v>#N/A</v>
      </c>
      <c r="M1049" s="12"/>
      <c r="N1049" s="5"/>
      <c r="O1049" s="5"/>
      <c r="P1049" s="5"/>
      <c r="Q1049" s="14"/>
      <c r="R1049" s="15">
        <f t="shared" si="16"/>
        <v>0</v>
      </c>
    </row>
    <row r="1050" spans="2:18" x14ac:dyDescent="0.35">
      <c r="B1050" s="9">
        <v>1071</v>
      </c>
      <c r="C1050" s="9"/>
      <c r="D1050" s="9"/>
      <c r="E1050" s="9"/>
      <c r="F1050" s="9"/>
      <c r="G1050" s="9"/>
      <c r="H1050" s="9"/>
      <c r="I1050" s="11" t="e">
        <f>VLOOKUP(H1050,위치!B:C,2,0)</f>
        <v>#N/A</v>
      </c>
      <c r="J1050" s="9"/>
      <c r="K1050" s="9"/>
      <c r="L1050" s="9" t="e">
        <f>VLOOKUP(H1050,위치!B:D,3,0)</f>
        <v>#N/A</v>
      </c>
      <c r="M1050" s="12"/>
      <c r="N1050" s="5"/>
      <c r="O1050" s="5"/>
      <c r="P1050" s="5"/>
      <c r="Q1050" s="14"/>
      <c r="R1050" s="15">
        <f t="shared" si="16"/>
        <v>0</v>
      </c>
    </row>
    <row r="1051" spans="2:18" x14ac:dyDescent="0.35">
      <c r="B1051" s="9">
        <v>1072</v>
      </c>
      <c r="C1051" s="9"/>
      <c r="D1051" s="9"/>
      <c r="E1051" s="9"/>
      <c r="F1051" s="9"/>
      <c r="G1051" s="9"/>
      <c r="H1051" s="9"/>
      <c r="I1051" s="11" t="e">
        <f>VLOOKUP(H1051,위치!B:C,2,0)</f>
        <v>#N/A</v>
      </c>
      <c r="J1051" s="9"/>
      <c r="K1051" s="9"/>
      <c r="L1051" s="9" t="e">
        <f>VLOOKUP(H1051,위치!B:D,3,0)</f>
        <v>#N/A</v>
      </c>
      <c r="M1051" s="12"/>
      <c r="N1051" s="5"/>
      <c r="O1051" s="5"/>
      <c r="P1051" s="5"/>
      <c r="Q1051" s="14"/>
      <c r="R1051" s="15">
        <f t="shared" si="16"/>
        <v>0</v>
      </c>
    </row>
    <row r="1052" spans="2:18" x14ac:dyDescent="0.35">
      <c r="B1052" s="9">
        <v>1073</v>
      </c>
      <c r="C1052" s="9"/>
      <c r="D1052" s="9"/>
      <c r="E1052" s="9"/>
      <c r="F1052" s="9"/>
      <c r="G1052" s="9"/>
      <c r="H1052" s="9"/>
      <c r="I1052" s="11" t="e">
        <f>VLOOKUP(H1052,위치!B:C,2,0)</f>
        <v>#N/A</v>
      </c>
      <c r="J1052" s="9"/>
      <c r="K1052" s="9"/>
      <c r="L1052" s="9" t="e">
        <f>VLOOKUP(H1052,위치!B:D,3,0)</f>
        <v>#N/A</v>
      </c>
      <c r="M1052" s="12"/>
      <c r="N1052" s="5"/>
      <c r="O1052" s="5"/>
      <c r="P1052" s="5"/>
      <c r="Q1052" s="14"/>
      <c r="R1052" s="15">
        <f t="shared" si="16"/>
        <v>0</v>
      </c>
    </row>
    <row r="1053" spans="2:18" x14ac:dyDescent="0.35">
      <c r="B1053" s="9">
        <v>1074</v>
      </c>
      <c r="C1053" s="9"/>
      <c r="D1053" s="9"/>
      <c r="E1053" s="9"/>
      <c r="F1053" s="9"/>
      <c r="G1053" s="9"/>
      <c r="H1053" s="9"/>
      <c r="I1053" s="11" t="e">
        <f>VLOOKUP(H1053,위치!B:C,2,0)</f>
        <v>#N/A</v>
      </c>
      <c r="J1053" s="9"/>
      <c r="K1053" s="9"/>
      <c r="L1053" s="9" t="e">
        <f>VLOOKUP(H1053,위치!B:D,3,0)</f>
        <v>#N/A</v>
      </c>
      <c r="M1053" s="12"/>
      <c r="N1053" s="5"/>
      <c r="O1053" s="5"/>
      <c r="P1053" s="5"/>
      <c r="Q1053" s="14"/>
      <c r="R1053" s="15">
        <f t="shared" si="16"/>
        <v>0</v>
      </c>
    </row>
    <row r="1054" spans="2:18" x14ac:dyDescent="0.35">
      <c r="B1054" s="9">
        <v>1075</v>
      </c>
      <c r="C1054" s="9"/>
      <c r="D1054" s="9"/>
      <c r="E1054" s="9"/>
      <c r="F1054" s="9"/>
      <c r="G1054" s="9"/>
      <c r="H1054" s="9"/>
      <c r="I1054" s="11" t="e">
        <f>VLOOKUP(H1054,위치!B:C,2,0)</f>
        <v>#N/A</v>
      </c>
      <c r="J1054" s="9"/>
      <c r="K1054" s="9"/>
      <c r="L1054" s="9" t="e">
        <f>VLOOKUP(H1054,위치!B:D,3,0)</f>
        <v>#N/A</v>
      </c>
      <c r="M1054" s="12"/>
      <c r="N1054" s="5"/>
      <c r="O1054" s="5"/>
      <c r="P1054" s="5"/>
      <c r="Q1054" s="14"/>
      <c r="R1054" s="15">
        <f t="shared" si="16"/>
        <v>0</v>
      </c>
    </row>
    <row r="1055" spans="2:18" x14ac:dyDescent="0.35">
      <c r="B1055" s="9">
        <v>1076</v>
      </c>
      <c r="C1055" s="9"/>
      <c r="D1055" s="9"/>
      <c r="E1055" s="9"/>
      <c r="F1055" s="9"/>
      <c r="G1055" s="9"/>
      <c r="H1055" s="9"/>
      <c r="I1055" s="11" t="e">
        <f>VLOOKUP(H1055,위치!B:C,2,0)</f>
        <v>#N/A</v>
      </c>
      <c r="J1055" s="9"/>
      <c r="K1055" s="9"/>
      <c r="L1055" s="9" t="e">
        <f>VLOOKUP(H1055,위치!B:D,3,0)</f>
        <v>#N/A</v>
      </c>
      <c r="M1055" s="12"/>
      <c r="N1055" s="5"/>
      <c r="O1055" s="5"/>
      <c r="P1055" s="5"/>
      <c r="Q1055" s="14"/>
      <c r="R1055" s="15">
        <f t="shared" si="16"/>
        <v>0</v>
      </c>
    </row>
    <row r="1056" spans="2:18" x14ac:dyDescent="0.35">
      <c r="B1056" s="9">
        <v>1077</v>
      </c>
      <c r="C1056" s="9"/>
      <c r="D1056" s="9"/>
      <c r="E1056" s="9"/>
      <c r="F1056" s="9"/>
      <c r="G1056" s="9"/>
      <c r="H1056" s="9"/>
      <c r="I1056" s="11" t="e">
        <f>VLOOKUP(H1056,위치!B:C,2,0)</f>
        <v>#N/A</v>
      </c>
      <c r="J1056" s="9"/>
      <c r="K1056" s="9"/>
      <c r="L1056" s="9" t="e">
        <f>VLOOKUP(H1056,위치!B:D,3,0)</f>
        <v>#N/A</v>
      </c>
      <c r="M1056" s="12"/>
      <c r="N1056" s="5"/>
      <c r="O1056" s="5"/>
      <c r="P1056" s="5"/>
      <c r="Q1056" s="14"/>
      <c r="R1056" s="15">
        <f t="shared" si="16"/>
        <v>0</v>
      </c>
    </row>
    <row r="1057" spans="2:18" x14ac:dyDescent="0.35">
      <c r="B1057" s="9">
        <v>1078</v>
      </c>
      <c r="C1057" s="9"/>
      <c r="D1057" s="9"/>
      <c r="E1057" s="9"/>
      <c r="F1057" s="9"/>
      <c r="G1057" s="9"/>
      <c r="H1057" s="9"/>
      <c r="I1057" s="11" t="e">
        <f>VLOOKUP(H1057,위치!B:C,2,0)</f>
        <v>#N/A</v>
      </c>
      <c r="J1057" s="9"/>
      <c r="K1057" s="9"/>
      <c r="L1057" s="9" t="e">
        <f>VLOOKUP(H1057,위치!B:D,3,0)</f>
        <v>#N/A</v>
      </c>
      <c r="M1057" s="12"/>
      <c r="N1057" s="5"/>
      <c r="O1057" s="5"/>
      <c r="P1057" s="5"/>
      <c r="Q1057" s="14"/>
      <c r="R1057" s="15">
        <f t="shared" si="16"/>
        <v>0</v>
      </c>
    </row>
    <row r="1058" spans="2:18" x14ac:dyDescent="0.35">
      <c r="B1058" s="9">
        <v>1079</v>
      </c>
      <c r="C1058" s="9"/>
      <c r="D1058" s="9"/>
      <c r="E1058" s="9"/>
      <c r="F1058" s="9"/>
      <c r="G1058" s="9"/>
      <c r="H1058" s="9"/>
      <c r="I1058" s="11" t="e">
        <f>VLOOKUP(H1058,위치!B:C,2,0)</f>
        <v>#N/A</v>
      </c>
      <c r="J1058" s="9"/>
      <c r="K1058" s="9"/>
      <c r="L1058" s="9" t="e">
        <f>VLOOKUP(H1058,위치!B:D,3,0)</f>
        <v>#N/A</v>
      </c>
      <c r="M1058" s="12"/>
      <c r="N1058" s="5"/>
      <c r="O1058" s="5"/>
      <c r="P1058" s="5"/>
      <c r="Q1058" s="14"/>
      <c r="R1058" s="15">
        <f t="shared" si="16"/>
        <v>0</v>
      </c>
    </row>
    <row r="1059" spans="2:18" x14ac:dyDescent="0.35">
      <c r="B1059" s="9">
        <v>1080</v>
      </c>
      <c r="C1059" s="9"/>
      <c r="D1059" s="9"/>
      <c r="E1059" s="9"/>
      <c r="F1059" s="9"/>
      <c r="G1059" s="9"/>
      <c r="H1059" s="9"/>
      <c r="I1059" s="11" t="e">
        <f>VLOOKUP(H1059,위치!B:C,2,0)</f>
        <v>#N/A</v>
      </c>
      <c r="J1059" s="9"/>
      <c r="K1059" s="9"/>
      <c r="L1059" s="9" t="e">
        <f>VLOOKUP(H1059,위치!B:D,3,0)</f>
        <v>#N/A</v>
      </c>
      <c r="M1059" s="12"/>
      <c r="N1059" s="5"/>
      <c r="O1059" s="5"/>
      <c r="P1059" s="5"/>
      <c r="Q1059" s="14"/>
      <c r="R1059" s="15">
        <f t="shared" si="16"/>
        <v>0</v>
      </c>
    </row>
    <row r="1060" spans="2:18" x14ac:dyDescent="0.35">
      <c r="B1060" s="9">
        <v>1081</v>
      </c>
      <c r="C1060" s="9"/>
      <c r="D1060" s="9"/>
      <c r="E1060" s="9"/>
      <c r="F1060" s="9"/>
      <c r="G1060" s="9"/>
      <c r="H1060" s="9"/>
      <c r="I1060" s="11" t="e">
        <f>VLOOKUP(H1060,위치!B:C,2,0)</f>
        <v>#N/A</v>
      </c>
      <c r="J1060" s="9"/>
      <c r="K1060" s="9"/>
      <c r="L1060" s="9" t="e">
        <f>VLOOKUP(H1060,위치!B:D,3,0)</f>
        <v>#N/A</v>
      </c>
      <c r="M1060" s="12"/>
      <c r="N1060" s="5"/>
      <c r="O1060" s="5"/>
      <c r="P1060" s="5"/>
      <c r="Q1060" s="14"/>
      <c r="R1060" s="15">
        <f t="shared" si="16"/>
        <v>0</v>
      </c>
    </row>
    <row r="1061" spans="2:18" x14ac:dyDescent="0.35">
      <c r="B1061" s="9">
        <v>1082</v>
      </c>
      <c r="C1061" s="9"/>
      <c r="D1061" s="9"/>
      <c r="E1061" s="9"/>
      <c r="F1061" s="9"/>
      <c r="G1061" s="9"/>
      <c r="H1061" s="9"/>
      <c r="I1061" s="11" t="e">
        <f>VLOOKUP(H1061,위치!B:C,2,0)</f>
        <v>#N/A</v>
      </c>
      <c r="J1061" s="9"/>
      <c r="K1061" s="9"/>
      <c r="L1061" s="9" t="e">
        <f>VLOOKUP(H1061,위치!B:D,3,0)</f>
        <v>#N/A</v>
      </c>
      <c r="M1061" s="12"/>
      <c r="N1061" s="5"/>
      <c r="O1061" s="5"/>
      <c r="P1061" s="5"/>
      <c r="Q1061" s="14"/>
      <c r="R1061" s="15">
        <f t="shared" si="16"/>
        <v>0</v>
      </c>
    </row>
    <row r="1062" spans="2:18" x14ac:dyDescent="0.35">
      <c r="B1062" s="9">
        <v>1083</v>
      </c>
      <c r="C1062" s="9"/>
      <c r="D1062" s="9"/>
      <c r="E1062" s="9"/>
      <c r="F1062" s="9"/>
      <c r="G1062" s="9"/>
      <c r="H1062" s="9"/>
      <c r="I1062" s="11" t="e">
        <f>VLOOKUP(H1062,위치!B:C,2,0)</f>
        <v>#N/A</v>
      </c>
      <c r="J1062" s="9"/>
      <c r="K1062" s="9"/>
      <c r="L1062" s="9" t="e">
        <f>VLOOKUP(H1062,위치!B:D,3,0)</f>
        <v>#N/A</v>
      </c>
      <c r="M1062" s="12"/>
      <c r="N1062" s="5"/>
      <c r="O1062" s="5"/>
      <c r="P1062" s="5"/>
      <c r="Q1062" s="14"/>
      <c r="R1062" s="15">
        <f t="shared" si="16"/>
        <v>0</v>
      </c>
    </row>
    <row r="1063" spans="2:18" x14ac:dyDescent="0.35">
      <c r="B1063" s="9">
        <v>1084</v>
      </c>
      <c r="C1063" s="9"/>
      <c r="D1063" s="9"/>
      <c r="E1063" s="9"/>
      <c r="F1063" s="9"/>
      <c r="G1063" s="9"/>
      <c r="H1063" s="9"/>
      <c r="I1063" s="11" t="e">
        <f>VLOOKUP(H1063,위치!B:C,2,0)</f>
        <v>#N/A</v>
      </c>
      <c r="J1063" s="9"/>
      <c r="K1063" s="9"/>
      <c r="L1063" s="9" t="e">
        <f>VLOOKUP(H1063,위치!B:D,3,0)</f>
        <v>#N/A</v>
      </c>
      <c r="M1063" s="12"/>
      <c r="N1063" s="5"/>
      <c r="O1063" s="5"/>
      <c r="P1063" s="5"/>
      <c r="Q1063" s="14"/>
      <c r="R1063" s="15">
        <f t="shared" si="16"/>
        <v>0</v>
      </c>
    </row>
    <row r="1064" spans="2:18" x14ac:dyDescent="0.35">
      <c r="B1064" s="9">
        <v>1085</v>
      </c>
      <c r="C1064" s="9"/>
      <c r="D1064" s="9"/>
      <c r="E1064" s="9"/>
      <c r="F1064" s="9"/>
      <c r="G1064" s="9"/>
      <c r="H1064" s="9"/>
      <c r="I1064" s="11" t="e">
        <f>VLOOKUP(H1064,위치!B:C,2,0)</f>
        <v>#N/A</v>
      </c>
      <c r="J1064" s="9"/>
      <c r="K1064" s="9"/>
      <c r="L1064" s="9" t="e">
        <f>VLOOKUP(H1064,위치!B:D,3,0)</f>
        <v>#N/A</v>
      </c>
      <c r="M1064" s="12"/>
      <c r="N1064" s="5"/>
      <c r="O1064" s="5"/>
      <c r="P1064" s="5"/>
      <c r="Q1064" s="14"/>
      <c r="R1064" s="15">
        <f t="shared" si="16"/>
        <v>0</v>
      </c>
    </row>
    <row r="1065" spans="2:18" x14ac:dyDescent="0.35">
      <c r="B1065" s="9">
        <v>1086</v>
      </c>
      <c r="C1065" s="9"/>
      <c r="D1065" s="9"/>
      <c r="E1065" s="9"/>
      <c r="F1065" s="9"/>
      <c r="G1065" s="9"/>
      <c r="H1065" s="9"/>
      <c r="I1065" s="11" t="e">
        <f>VLOOKUP(H1065,위치!B:C,2,0)</f>
        <v>#N/A</v>
      </c>
      <c r="J1065" s="9"/>
      <c r="K1065" s="9"/>
      <c r="L1065" s="9" t="e">
        <f>VLOOKUP(H1065,위치!B:D,3,0)</f>
        <v>#N/A</v>
      </c>
      <c r="M1065" s="12"/>
      <c r="N1065" s="5"/>
      <c r="O1065" s="5"/>
      <c r="P1065" s="5"/>
      <c r="Q1065" s="14"/>
      <c r="R1065" s="15">
        <f t="shared" si="16"/>
        <v>0</v>
      </c>
    </row>
    <row r="1066" spans="2:18" x14ac:dyDescent="0.35">
      <c r="B1066" s="9">
        <v>1087</v>
      </c>
      <c r="C1066" s="9"/>
      <c r="D1066" s="9"/>
      <c r="E1066" s="9"/>
      <c r="F1066" s="9"/>
      <c r="G1066" s="9"/>
      <c r="H1066" s="9"/>
      <c r="I1066" s="11" t="e">
        <f>VLOOKUP(H1066,위치!B:C,2,0)</f>
        <v>#N/A</v>
      </c>
      <c r="J1066" s="9"/>
      <c r="K1066" s="9"/>
      <c r="L1066" s="9" t="e">
        <f>VLOOKUP(H1066,위치!B:D,3,0)</f>
        <v>#N/A</v>
      </c>
      <c r="M1066" s="12"/>
      <c r="N1066" s="5"/>
      <c r="O1066" s="5"/>
      <c r="P1066" s="5"/>
      <c r="Q1066" s="14"/>
      <c r="R1066" s="15">
        <f t="shared" si="16"/>
        <v>0</v>
      </c>
    </row>
    <row r="1067" spans="2:18" x14ac:dyDescent="0.35">
      <c r="B1067" s="9">
        <v>1088</v>
      </c>
      <c r="C1067" s="9"/>
      <c r="D1067" s="9"/>
      <c r="E1067" s="9"/>
      <c r="F1067" s="9"/>
      <c r="G1067" s="9"/>
      <c r="H1067" s="9"/>
      <c r="I1067" s="11" t="e">
        <f>VLOOKUP(H1067,위치!B:C,2,0)</f>
        <v>#N/A</v>
      </c>
      <c r="J1067" s="9"/>
      <c r="K1067" s="9"/>
      <c r="L1067" s="9" t="e">
        <f>VLOOKUP(H1067,위치!B:D,3,0)</f>
        <v>#N/A</v>
      </c>
      <c r="M1067" s="12"/>
      <c r="N1067" s="5"/>
      <c r="O1067" s="5"/>
      <c r="P1067" s="5"/>
      <c r="Q1067" s="14"/>
      <c r="R1067" s="15">
        <f t="shared" si="16"/>
        <v>0</v>
      </c>
    </row>
    <row r="1068" spans="2:18" x14ac:dyDescent="0.35">
      <c r="B1068" s="9">
        <v>1089</v>
      </c>
      <c r="C1068" s="9"/>
      <c r="D1068" s="9"/>
      <c r="E1068" s="9"/>
      <c r="F1068" s="9"/>
      <c r="G1068" s="9"/>
      <c r="H1068" s="9"/>
      <c r="I1068" s="11" t="e">
        <f>VLOOKUP(H1068,위치!B:C,2,0)</f>
        <v>#N/A</v>
      </c>
      <c r="J1068" s="9"/>
      <c r="K1068" s="9"/>
      <c r="L1068" s="9" t="e">
        <f>VLOOKUP(H1068,위치!B:D,3,0)</f>
        <v>#N/A</v>
      </c>
      <c r="M1068" s="12"/>
      <c r="N1068" s="5"/>
      <c r="O1068" s="5"/>
      <c r="P1068" s="5"/>
      <c r="Q1068" s="14"/>
      <c r="R1068" s="15">
        <f t="shared" si="16"/>
        <v>0</v>
      </c>
    </row>
    <row r="1069" spans="2:18" x14ac:dyDescent="0.35">
      <c r="B1069" s="9">
        <v>1090</v>
      </c>
      <c r="C1069" s="9"/>
      <c r="D1069" s="9"/>
      <c r="E1069" s="9"/>
      <c r="F1069" s="9"/>
      <c r="G1069" s="9"/>
      <c r="H1069" s="9"/>
      <c r="I1069" s="11" t="e">
        <f>VLOOKUP(H1069,위치!B:C,2,0)</f>
        <v>#N/A</v>
      </c>
      <c r="J1069" s="9"/>
      <c r="K1069" s="9"/>
      <c r="L1069" s="9" t="e">
        <f>VLOOKUP(H1069,위치!B:D,3,0)</f>
        <v>#N/A</v>
      </c>
      <c r="M1069" s="12"/>
      <c r="N1069" s="5"/>
      <c r="O1069" s="5"/>
      <c r="P1069" s="5"/>
      <c r="Q1069" s="14"/>
      <c r="R1069" s="15">
        <f t="shared" si="16"/>
        <v>0</v>
      </c>
    </row>
    <row r="1070" spans="2:18" x14ac:dyDescent="0.35">
      <c r="B1070" s="9">
        <v>1091</v>
      </c>
      <c r="C1070" s="9"/>
      <c r="D1070" s="9"/>
      <c r="E1070" s="9"/>
      <c r="F1070" s="9"/>
      <c r="G1070" s="9"/>
      <c r="H1070" s="9"/>
      <c r="I1070" s="11" t="e">
        <f>VLOOKUP(H1070,위치!B:C,2,0)</f>
        <v>#N/A</v>
      </c>
      <c r="J1070" s="9"/>
      <c r="K1070" s="9"/>
      <c r="L1070" s="9" t="e">
        <f>VLOOKUP(H1070,위치!B:D,3,0)</f>
        <v>#N/A</v>
      </c>
      <c r="M1070" s="12"/>
      <c r="N1070" s="5"/>
      <c r="O1070" s="5"/>
      <c r="P1070" s="5"/>
      <c r="Q1070" s="14"/>
      <c r="R1070" s="15">
        <f t="shared" si="16"/>
        <v>0</v>
      </c>
    </row>
    <row r="1071" spans="2:18" x14ac:dyDescent="0.35">
      <c r="B1071" s="9">
        <v>1092</v>
      </c>
      <c r="C1071" s="9"/>
      <c r="D1071" s="9"/>
      <c r="E1071" s="9"/>
      <c r="F1071" s="9"/>
      <c r="G1071" s="9"/>
      <c r="H1071" s="9"/>
      <c r="I1071" s="11" t="e">
        <f>VLOOKUP(H1071,위치!B:C,2,0)</f>
        <v>#N/A</v>
      </c>
      <c r="J1071" s="9"/>
      <c r="K1071" s="9"/>
      <c r="L1071" s="9" t="e">
        <f>VLOOKUP(H1071,위치!B:D,3,0)</f>
        <v>#N/A</v>
      </c>
      <c r="M1071" s="12"/>
      <c r="N1071" s="5"/>
      <c r="O1071" s="5"/>
      <c r="P1071" s="5"/>
      <c r="Q1071" s="14"/>
      <c r="R1071" s="15">
        <f t="shared" si="16"/>
        <v>0</v>
      </c>
    </row>
    <row r="1072" spans="2:18" x14ac:dyDescent="0.35">
      <c r="B1072" s="9">
        <v>1093</v>
      </c>
      <c r="C1072" s="9"/>
      <c r="D1072" s="9"/>
      <c r="E1072" s="9"/>
      <c r="F1072" s="9"/>
      <c r="G1072" s="9"/>
      <c r="H1072" s="9"/>
      <c r="I1072" s="11" t="e">
        <f>VLOOKUP(H1072,위치!B:C,2,0)</f>
        <v>#N/A</v>
      </c>
      <c r="J1072" s="9"/>
      <c r="K1072" s="9"/>
      <c r="L1072" s="9" t="e">
        <f>VLOOKUP(H1072,위치!B:D,3,0)</f>
        <v>#N/A</v>
      </c>
      <c r="M1072" s="12"/>
      <c r="N1072" s="5"/>
      <c r="O1072" s="5"/>
      <c r="P1072" s="5"/>
      <c r="Q1072" s="14"/>
      <c r="R1072" s="15">
        <f t="shared" si="16"/>
        <v>0</v>
      </c>
    </row>
    <row r="1073" spans="2:18" x14ac:dyDescent="0.35">
      <c r="B1073" s="9">
        <v>1094</v>
      </c>
      <c r="C1073" s="9"/>
      <c r="D1073" s="9"/>
      <c r="E1073" s="9"/>
      <c r="F1073" s="9"/>
      <c r="G1073" s="9"/>
      <c r="H1073" s="9"/>
      <c r="I1073" s="11" t="e">
        <f>VLOOKUP(H1073,위치!B:C,2,0)</f>
        <v>#N/A</v>
      </c>
      <c r="J1073" s="9"/>
      <c r="K1073" s="9"/>
      <c r="L1073" s="9" t="e">
        <f>VLOOKUP(H1073,위치!B:D,3,0)</f>
        <v>#N/A</v>
      </c>
      <c r="M1073" s="12"/>
      <c r="N1073" s="5"/>
      <c r="O1073" s="5"/>
      <c r="P1073" s="5"/>
      <c r="Q1073" s="14"/>
      <c r="R1073" s="15">
        <f t="shared" si="16"/>
        <v>0</v>
      </c>
    </row>
    <row r="1074" spans="2:18" x14ac:dyDescent="0.35">
      <c r="B1074" s="9">
        <v>1095</v>
      </c>
      <c r="C1074" s="9"/>
      <c r="D1074" s="9"/>
      <c r="E1074" s="9"/>
      <c r="F1074" s="9"/>
      <c r="G1074" s="9"/>
      <c r="H1074" s="9"/>
      <c r="I1074" s="11" t="e">
        <f>VLOOKUP(H1074,위치!B:C,2,0)</f>
        <v>#N/A</v>
      </c>
      <c r="J1074" s="9"/>
      <c r="K1074" s="9"/>
      <c r="L1074" s="9" t="e">
        <f>VLOOKUP(H1074,위치!B:D,3,0)</f>
        <v>#N/A</v>
      </c>
      <c r="M1074" s="12"/>
      <c r="N1074" s="5"/>
      <c r="O1074" s="5"/>
      <c r="P1074" s="5"/>
      <c r="Q1074" s="14"/>
      <c r="R1074" s="15">
        <f t="shared" si="16"/>
        <v>0</v>
      </c>
    </row>
    <row r="1075" spans="2:18" x14ac:dyDescent="0.35">
      <c r="B1075" s="9">
        <v>1096</v>
      </c>
      <c r="C1075" s="9"/>
      <c r="D1075" s="9"/>
      <c r="E1075" s="9"/>
      <c r="F1075" s="9"/>
      <c r="G1075" s="9"/>
      <c r="H1075" s="9"/>
      <c r="I1075" s="11" t="e">
        <f>VLOOKUP(H1075,위치!B:C,2,0)</f>
        <v>#N/A</v>
      </c>
      <c r="J1075" s="9"/>
      <c r="K1075" s="9"/>
      <c r="L1075" s="9" t="e">
        <f>VLOOKUP(H1075,위치!B:D,3,0)</f>
        <v>#N/A</v>
      </c>
      <c r="M1075" s="12"/>
      <c r="N1075" s="5"/>
      <c r="O1075" s="5"/>
      <c r="P1075" s="5"/>
      <c r="Q1075" s="14"/>
      <c r="R1075" s="15">
        <f t="shared" si="16"/>
        <v>0</v>
      </c>
    </row>
    <row r="1076" spans="2:18" x14ac:dyDescent="0.35">
      <c r="B1076" s="9">
        <v>1097</v>
      </c>
      <c r="C1076" s="9"/>
      <c r="D1076" s="9"/>
      <c r="E1076" s="9"/>
      <c r="F1076" s="9"/>
      <c r="G1076" s="9"/>
      <c r="H1076" s="9"/>
      <c r="I1076" s="11" t="e">
        <f>VLOOKUP(H1076,위치!B:C,2,0)</f>
        <v>#N/A</v>
      </c>
      <c r="J1076" s="9"/>
      <c r="K1076" s="9"/>
      <c r="L1076" s="9" t="e">
        <f>VLOOKUP(H1076,위치!B:D,3,0)</f>
        <v>#N/A</v>
      </c>
      <c r="M1076" s="12"/>
      <c r="N1076" s="5"/>
      <c r="O1076" s="5"/>
      <c r="P1076" s="5"/>
      <c r="Q1076" s="14"/>
      <c r="R1076" s="15">
        <f t="shared" si="16"/>
        <v>0</v>
      </c>
    </row>
    <row r="1077" spans="2:18" x14ac:dyDescent="0.35">
      <c r="B1077" s="9">
        <v>1098</v>
      </c>
      <c r="C1077" s="9"/>
      <c r="D1077" s="9"/>
      <c r="E1077" s="9"/>
      <c r="F1077" s="9"/>
      <c r="G1077" s="9"/>
      <c r="H1077" s="9"/>
      <c r="I1077" s="11" t="e">
        <f>VLOOKUP(H1077,위치!B:C,2,0)</f>
        <v>#N/A</v>
      </c>
      <c r="J1077" s="9"/>
      <c r="K1077" s="9"/>
      <c r="L1077" s="9" t="e">
        <f>VLOOKUP(H1077,위치!B:D,3,0)</f>
        <v>#N/A</v>
      </c>
      <c r="M1077" s="12"/>
      <c r="N1077" s="5"/>
      <c r="O1077" s="5"/>
      <c r="P1077" s="5"/>
      <c r="Q1077" s="14"/>
      <c r="R1077" s="15">
        <f t="shared" si="16"/>
        <v>0</v>
      </c>
    </row>
    <row r="1078" spans="2:18" x14ac:dyDescent="0.35">
      <c r="B1078" s="9">
        <v>1099</v>
      </c>
      <c r="C1078" s="9"/>
      <c r="D1078" s="9"/>
      <c r="E1078" s="9"/>
      <c r="F1078" s="9"/>
      <c r="G1078" s="9"/>
      <c r="H1078" s="9"/>
      <c r="I1078" s="11" t="e">
        <f>VLOOKUP(H1078,위치!B:C,2,0)</f>
        <v>#N/A</v>
      </c>
      <c r="J1078" s="9"/>
      <c r="K1078" s="9"/>
      <c r="L1078" s="9" t="e">
        <f>VLOOKUP(H1078,위치!B:D,3,0)</f>
        <v>#N/A</v>
      </c>
      <c r="M1078" s="12"/>
      <c r="N1078" s="5"/>
      <c r="O1078" s="5"/>
      <c r="P1078" s="5"/>
      <c r="Q1078" s="14"/>
      <c r="R1078" s="15">
        <f t="shared" si="16"/>
        <v>0</v>
      </c>
    </row>
    <row r="1079" spans="2:18" x14ac:dyDescent="0.35">
      <c r="B1079" s="9">
        <v>1100</v>
      </c>
      <c r="C1079" s="9"/>
      <c r="D1079" s="9"/>
      <c r="E1079" s="9"/>
      <c r="F1079" s="9"/>
      <c r="G1079" s="9"/>
      <c r="H1079" s="9"/>
      <c r="I1079" s="11" t="e">
        <f>VLOOKUP(H1079,위치!B:C,2,0)</f>
        <v>#N/A</v>
      </c>
      <c r="J1079" s="9"/>
      <c r="K1079" s="9"/>
      <c r="L1079" s="9" t="e">
        <f>VLOOKUP(H1079,위치!B:D,3,0)</f>
        <v>#N/A</v>
      </c>
      <c r="M1079" s="12"/>
      <c r="N1079" s="5"/>
      <c r="O1079" s="5"/>
      <c r="P1079" s="5"/>
      <c r="Q1079" s="14"/>
      <c r="R1079" s="15">
        <f t="shared" si="16"/>
        <v>0</v>
      </c>
    </row>
    <row r="1080" spans="2:18" x14ac:dyDescent="0.35">
      <c r="B1080" s="9">
        <v>1101</v>
      </c>
      <c r="C1080" s="9"/>
      <c r="D1080" s="9"/>
      <c r="E1080" s="9"/>
      <c r="F1080" s="9"/>
      <c r="G1080" s="9"/>
      <c r="H1080" s="9"/>
      <c r="I1080" s="11" t="e">
        <f>VLOOKUP(H1080,위치!B:C,2,0)</f>
        <v>#N/A</v>
      </c>
      <c r="J1080" s="9"/>
      <c r="K1080" s="9"/>
      <c r="L1080" s="9" t="e">
        <f>VLOOKUP(H1080,위치!B:D,3,0)</f>
        <v>#N/A</v>
      </c>
      <c r="M1080" s="12"/>
      <c r="N1080" s="5"/>
      <c r="O1080" s="5"/>
      <c r="P1080" s="5"/>
      <c r="Q1080" s="14"/>
      <c r="R1080" s="15">
        <f t="shared" si="16"/>
        <v>0</v>
      </c>
    </row>
    <row r="1081" spans="2:18" x14ac:dyDescent="0.35">
      <c r="B1081" s="9">
        <v>1102</v>
      </c>
      <c r="C1081" s="9"/>
      <c r="D1081" s="9"/>
      <c r="E1081" s="9"/>
      <c r="F1081" s="9"/>
      <c r="G1081" s="9"/>
      <c r="H1081" s="9"/>
      <c r="I1081" s="11" t="e">
        <f>VLOOKUP(H1081,위치!B:C,2,0)</f>
        <v>#N/A</v>
      </c>
      <c r="J1081" s="9"/>
      <c r="K1081" s="9"/>
      <c r="L1081" s="9" t="e">
        <f>VLOOKUP(H1081,위치!B:D,3,0)</f>
        <v>#N/A</v>
      </c>
      <c r="M1081" s="12"/>
      <c r="N1081" s="5"/>
      <c r="O1081" s="5"/>
      <c r="P1081" s="5"/>
      <c r="Q1081" s="14"/>
      <c r="R1081" s="15">
        <f t="shared" si="16"/>
        <v>0</v>
      </c>
    </row>
    <row r="1082" spans="2:18" x14ac:dyDescent="0.35">
      <c r="B1082" s="9">
        <v>1103</v>
      </c>
      <c r="C1082" s="9"/>
      <c r="D1082" s="9"/>
      <c r="E1082" s="9"/>
      <c r="F1082" s="9"/>
      <c r="G1082" s="9"/>
      <c r="H1082" s="9"/>
      <c r="I1082" s="11" t="e">
        <f>VLOOKUP(H1082,위치!B:C,2,0)</f>
        <v>#N/A</v>
      </c>
      <c r="J1082" s="9"/>
      <c r="K1082" s="9"/>
      <c r="L1082" s="9" t="e">
        <f>VLOOKUP(H1082,위치!B:D,3,0)</f>
        <v>#N/A</v>
      </c>
      <c r="M1082" s="12"/>
      <c r="N1082" s="5"/>
      <c r="O1082" s="5"/>
      <c r="P1082" s="5"/>
      <c r="Q1082" s="14"/>
      <c r="R1082" s="15">
        <f t="shared" si="16"/>
        <v>0</v>
      </c>
    </row>
    <row r="1083" spans="2:18" x14ac:dyDescent="0.35">
      <c r="B1083" s="9">
        <v>1104</v>
      </c>
      <c r="C1083" s="9"/>
      <c r="D1083" s="9"/>
      <c r="E1083" s="9"/>
      <c r="F1083" s="9"/>
      <c r="G1083" s="9"/>
      <c r="H1083" s="9"/>
      <c r="I1083" s="11" t="e">
        <f>VLOOKUP(H1083,위치!B:C,2,0)</f>
        <v>#N/A</v>
      </c>
      <c r="J1083" s="9"/>
      <c r="K1083" s="9"/>
      <c r="L1083" s="9" t="e">
        <f>VLOOKUP(H1083,위치!B:D,3,0)</f>
        <v>#N/A</v>
      </c>
      <c r="M1083" s="12"/>
      <c r="N1083" s="5"/>
      <c r="O1083" s="5"/>
      <c r="P1083" s="5"/>
      <c r="Q1083" s="14"/>
      <c r="R1083" s="15">
        <f t="shared" si="16"/>
        <v>0</v>
      </c>
    </row>
    <row r="1084" spans="2:18" x14ac:dyDescent="0.35">
      <c r="B1084" s="9">
        <v>1105</v>
      </c>
      <c r="C1084" s="9"/>
      <c r="D1084" s="9"/>
      <c r="E1084" s="9"/>
      <c r="F1084" s="9"/>
      <c r="G1084" s="9"/>
      <c r="H1084" s="9"/>
      <c r="I1084" s="11" t="e">
        <f>VLOOKUP(H1084,위치!B:C,2,0)</f>
        <v>#N/A</v>
      </c>
      <c r="J1084" s="9"/>
      <c r="K1084" s="9"/>
      <c r="L1084" s="9" t="e">
        <f>VLOOKUP(H1084,위치!B:D,3,0)</f>
        <v>#N/A</v>
      </c>
      <c r="M1084" s="12"/>
      <c r="N1084" s="5"/>
      <c r="O1084" s="5"/>
      <c r="P1084" s="5"/>
      <c r="Q1084" s="14"/>
      <c r="R1084" s="15">
        <f t="shared" si="16"/>
        <v>0</v>
      </c>
    </row>
    <row r="1085" spans="2:18" x14ac:dyDescent="0.35">
      <c r="B1085" s="9">
        <v>1106</v>
      </c>
      <c r="C1085" s="9"/>
      <c r="D1085" s="9"/>
      <c r="E1085" s="9"/>
      <c r="F1085" s="9"/>
      <c r="G1085" s="9"/>
      <c r="H1085" s="9"/>
      <c r="I1085" s="11" t="e">
        <f>VLOOKUP(H1085,위치!B:C,2,0)</f>
        <v>#N/A</v>
      </c>
      <c r="J1085" s="9"/>
      <c r="K1085" s="9"/>
      <c r="L1085" s="9" t="e">
        <f>VLOOKUP(H1085,위치!B:D,3,0)</f>
        <v>#N/A</v>
      </c>
      <c r="M1085" s="12"/>
      <c r="N1085" s="5"/>
      <c r="O1085" s="5"/>
      <c r="P1085" s="5"/>
      <c r="Q1085" s="14"/>
      <c r="R1085" s="15">
        <f t="shared" si="16"/>
        <v>0</v>
      </c>
    </row>
    <row r="1086" spans="2:18" x14ac:dyDescent="0.35">
      <c r="B1086" s="9">
        <v>1107</v>
      </c>
      <c r="C1086" s="9"/>
      <c r="D1086" s="9"/>
      <c r="E1086" s="9"/>
      <c r="F1086" s="9"/>
      <c r="G1086" s="9"/>
      <c r="H1086" s="9"/>
      <c r="I1086" s="11" t="e">
        <f>VLOOKUP(H1086,위치!B:C,2,0)</f>
        <v>#N/A</v>
      </c>
      <c r="J1086" s="9"/>
      <c r="K1086" s="9"/>
      <c r="L1086" s="9" t="e">
        <f>VLOOKUP(H1086,위치!B:D,3,0)</f>
        <v>#N/A</v>
      </c>
      <c r="M1086" s="12"/>
      <c r="N1086" s="5"/>
      <c r="O1086" s="5"/>
      <c r="P1086" s="5"/>
      <c r="Q1086" s="14"/>
      <c r="R1086" s="15">
        <f t="shared" si="16"/>
        <v>0</v>
      </c>
    </row>
    <row r="1087" spans="2:18" x14ac:dyDescent="0.35">
      <c r="B1087" s="9">
        <v>1108</v>
      </c>
      <c r="C1087" s="9"/>
      <c r="D1087" s="9"/>
      <c r="E1087" s="9"/>
      <c r="F1087" s="9"/>
      <c r="G1087" s="9"/>
      <c r="H1087" s="9"/>
      <c r="I1087" s="11" t="e">
        <f>VLOOKUP(H1087,위치!B:C,2,0)</f>
        <v>#N/A</v>
      </c>
      <c r="J1087" s="9"/>
      <c r="K1087" s="9"/>
      <c r="L1087" s="9" t="e">
        <f>VLOOKUP(H1087,위치!B:D,3,0)</f>
        <v>#N/A</v>
      </c>
      <c r="M1087" s="12"/>
      <c r="N1087" s="5"/>
      <c r="O1087" s="5"/>
      <c r="P1087" s="5"/>
      <c r="Q1087" s="14"/>
      <c r="R1087" s="15">
        <f t="shared" si="16"/>
        <v>0</v>
      </c>
    </row>
    <row r="1088" spans="2:18" x14ac:dyDescent="0.35">
      <c r="B1088" s="9">
        <v>1109</v>
      </c>
      <c r="C1088" s="9"/>
      <c r="D1088" s="9"/>
      <c r="E1088" s="9"/>
      <c r="F1088" s="9"/>
      <c r="G1088" s="9"/>
      <c r="H1088" s="9"/>
      <c r="I1088" s="11" t="e">
        <f>VLOOKUP(H1088,위치!B:C,2,0)</f>
        <v>#N/A</v>
      </c>
      <c r="J1088" s="9"/>
      <c r="K1088" s="9"/>
      <c r="L1088" s="9" t="e">
        <f>VLOOKUP(H1088,위치!B:D,3,0)</f>
        <v>#N/A</v>
      </c>
      <c r="M1088" s="12"/>
      <c r="N1088" s="5"/>
      <c r="O1088" s="5"/>
      <c r="P1088" s="5"/>
      <c r="Q1088" s="14"/>
      <c r="R1088" s="15">
        <f t="shared" si="16"/>
        <v>0</v>
      </c>
    </row>
    <row r="1089" spans="2:18" x14ac:dyDescent="0.35">
      <c r="B1089" s="9">
        <v>1110</v>
      </c>
      <c r="C1089" s="9"/>
      <c r="D1089" s="9"/>
      <c r="E1089" s="9"/>
      <c r="F1089" s="9"/>
      <c r="G1089" s="9"/>
      <c r="H1089" s="9"/>
      <c r="I1089" s="11" t="e">
        <f>VLOOKUP(H1089,위치!B:C,2,0)</f>
        <v>#N/A</v>
      </c>
      <c r="J1089" s="9"/>
      <c r="K1089" s="9"/>
      <c r="L1089" s="9" t="e">
        <f>VLOOKUP(H1089,위치!B:D,3,0)</f>
        <v>#N/A</v>
      </c>
      <c r="M1089" s="12"/>
      <c r="N1089" s="5"/>
      <c r="O1089" s="5"/>
      <c r="P1089" s="5"/>
      <c r="Q1089" s="14"/>
      <c r="R1089" s="15">
        <f t="shared" si="16"/>
        <v>0</v>
      </c>
    </row>
    <row r="1090" spans="2:18" x14ac:dyDescent="0.35">
      <c r="B1090" s="9">
        <v>1111</v>
      </c>
      <c r="C1090" s="9"/>
      <c r="D1090" s="9"/>
      <c r="E1090" s="9"/>
      <c r="F1090" s="9"/>
      <c r="G1090" s="9"/>
      <c r="H1090" s="9"/>
      <c r="I1090" s="11" t="e">
        <f>VLOOKUP(H1090,위치!B:C,2,0)</f>
        <v>#N/A</v>
      </c>
      <c r="J1090" s="9"/>
      <c r="K1090" s="9"/>
      <c r="L1090" s="9" t="e">
        <f>VLOOKUP(H1090,위치!B:D,3,0)</f>
        <v>#N/A</v>
      </c>
      <c r="M1090" s="12"/>
      <c r="N1090" s="5"/>
      <c r="O1090" s="5"/>
      <c r="P1090" s="5"/>
      <c r="Q1090" s="14"/>
      <c r="R1090" s="15">
        <f t="shared" si="16"/>
        <v>0</v>
      </c>
    </row>
    <row r="1091" spans="2:18" x14ac:dyDescent="0.35">
      <c r="B1091" s="9">
        <v>1112</v>
      </c>
      <c r="C1091" s="9"/>
      <c r="D1091" s="9"/>
      <c r="E1091" s="9"/>
      <c r="F1091" s="9"/>
      <c r="G1091" s="9"/>
      <c r="H1091" s="9"/>
      <c r="I1091" s="11" t="e">
        <f>VLOOKUP(H1091,위치!B:C,2,0)</f>
        <v>#N/A</v>
      </c>
      <c r="J1091" s="9"/>
      <c r="K1091" s="9"/>
      <c r="L1091" s="9" t="e">
        <f>VLOOKUP(H1091,위치!B:D,3,0)</f>
        <v>#N/A</v>
      </c>
      <c r="M1091" s="12"/>
      <c r="N1091" s="5"/>
      <c r="O1091" s="5"/>
      <c r="P1091" s="5"/>
      <c r="Q1091" s="14"/>
      <c r="R1091" s="15">
        <f t="shared" si="16"/>
        <v>0</v>
      </c>
    </row>
    <row r="1092" spans="2:18" x14ac:dyDescent="0.35">
      <c r="B1092" s="9">
        <v>1113</v>
      </c>
      <c r="C1092" s="9"/>
      <c r="D1092" s="9"/>
      <c r="E1092" s="9"/>
      <c r="F1092" s="9"/>
      <c r="G1092" s="9"/>
      <c r="H1092" s="9"/>
      <c r="I1092" s="11" t="e">
        <f>VLOOKUP(H1092,위치!B:C,2,0)</f>
        <v>#N/A</v>
      </c>
      <c r="J1092" s="9"/>
      <c r="K1092" s="9"/>
      <c r="L1092" s="9" t="e">
        <f>VLOOKUP(H1092,위치!B:D,3,0)</f>
        <v>#N/A</v>
      </c>
      <c r="M1092" s="12"/>
      <c r="N1092" s="5"/>
      <c r="O1092" s="5"/>
      <c r="P1092" s="5"/>
      <c r="Q1092" s="14"/>
      <c r="R1092" s="15">
        <f t="shared" si="16"/>
        <v>0</v>
      </c>
    </row>
    <row r="1093" spans="2:18" x14ac:dyDescent="0.35">
      <c r="B1093" s="9">
        <v>1114</v>
      </c>
      <c r="C1093" s="9"/>
      <c r="D1093" s="9"/>
      <c r="E1093" s="9"/>
      <c r="F1093" s="9"/>
      <c r="G1093" s="9"/>
      <c r="H1093" s="9"/>
      <c r="I1093" s="11" t="e">
        <f>VLOOKUP(H1093,위치!B:C,2,0)</f>
        <v>#N/A</v>
      </c>
      <c r="J1093" s="9"/>
      <c r="K1093" s="9"/>
      <c r="L1093" s="9" t="e">
        <f>VLOOKUP(H1093,위치!B:D,3,0)</f>
        <v>#N/A</v>
      </c>
      <c r="M1093" s="12"/>
      <c r="N1093" s="5"/>
      <c r="O1093" s="5"/>
      <c r="P1093" s="5"/>
      <c r="Q1093" s="14"/>
      <c r="R1093" s="15">
        <f t="shared" si="16"/>
        <v>0</v>
      </c>
    </row>
    <row r="1094" spans="2:18" x14ac:dyDescent="0.35">
      <c r="B1094" s="9">
        <v>1115</v>
      </c>
      <c r="C1094" s="9"/>
      <c r="D1094" s="9"/>
      <c r="E1094" s="9"/>
      <c r="F1094" s="9"/>
      <c r="G1094" s="9"/>
      <c r="H1094" s="9"/>
      <c r="I1094" s="11" t="e">
        <f>VLOOKUP(H1094,위치!B:C,2,0)</f>
        <v>#N/A</v>
      </c>
      <c r="J1094" s="9"/>
      <c r="K1094" s="9"/>
      <c r="L1094" s="9" t="e">
        <f>VLOOKUP(H1094,위치!B:D,3,0)</f>
        <v>#N/A</v>
      </c>
      <c r="M1094" s="12"/>
      <c r="N1094" s="5"/>
      <c r="O1094" s="5"/>
      <c r="P1094" s="5"/>
      <c r="Q1094" s="14"/>
      <c r="R1094" s="15">
        <f t="shared" si="16"/>
        <v>0</v>
      </c>
    </row>
    <row r="1095" spans="2:18" x14ac:dyDescent="0.35">
      <c r="B1095" s="9">
        <v>1116</v>
      </c>
      <c r="C1095" s="9"/>
      <c r="D1095" s="9"/>
      <c r="E1095" s="9"/>
      <c r="F1095" s="9"/>
      <c r="G1095" s="9"/>
      <c r="H1095" s="9"/>
      <c r="I1095" s="11" t="e">
        <f>VLOOKUP(H1095,위치!B:C,2,0)</f>
        <v>#N/A</v>
      </c>
      <c r="J1095" s="9"/>
      <c r="K1095" s="9"/>
      <c r="L1095" s="9" t="e">
        <f>VLOOKUP(H1095,위치!B:D,3,0)</f>
        <v>#N/A</v>
      </c>
      <c r="M1095" s="12"/>
      <c r="N1095" s="5"/>
      <c r="O1095" s="5"/>
      <c r="P1095" s="5"/>
      <c r="Q1095" s="14"/>
      <c r="R1095" s="15">
        <f t="shared" ref="R1095:R1158" si="17">J1095-P1095</f>
        <v>0</v>
      </c>
    </row>
    <row r="1096" spans="2:18" x14ac:dyDescent="0.35">
      <c r="B1096" s="9">
        <v>1117</v>
      </c>
      <c r="C1096" s="9"/>
      <c r="D1096" s="9"/>
      <c r="E1096" s="9"/>
      <c r="F1096" s="9"/>
      <c r="G1096" s="9"/>
      <c r="H1096" s="9"/>
      <c r="I1096" s="11" t="e">
        <f>VLOOKUP(H1096,위치!B:C,2,0)</f>
        <v>#N/A</v>
      </c>
      <c r="J1096" s="9"/>
      <c r="K1096" s="9"/>
      <c r="L1096" s="9" t="e">
        <f>VLOOKUP(H1096,위치!B:D,3,0)</f>
        <v>#N/A</v>
      </c>
      <c r="M1096" s="12"/>
      <c r="N1096" s="5"/>
      <c r="O1096" s="5"/>
      <c r="P1096" s="5"/>
      <c r="Q1096" s="14"/>
      <c r="R1096" s="15">
        <f t="shared" si="17"/>
        <v>0</v>
      </c>
    </row>
    <row r="1097" spans="2:18" x14ac:dyDescent="0.35">
      <c r="B1097" s="9">
        <v>1118</v>
      </c>
      <c r="C1097" s="9"/>
      <c r="D1097" s="9"/>
      <c r="E1097" s="9"/>
      <c r="F1097" s="9"/>
      <c r="G1097" s="9"/>
      <c r="H1097" s="9"/>
      <c r="I1097" s="11" t="e">
        <f>VLOOKUP(H1097,위치!B:C,2,0)</f>
        <v>#N/A</v>
      </c>
      <c r="J1097" s="9"/>
      <c r="K1097" s="9"/>
      <c r="L1097" s="9" t="e">
        <f>VLOOKUP(H1097,위치!B:D,3,0)</f>
        <v>#N/A</v>
      </c>
      <c r="M1097" s="12"/>
      <c r="N1097" s="5"/>
      <c r="O1097" s="5"/>
      <c r="P1097" s="5"/>
      <c r="Q1097" s="14"/>
      <c r="R1097" s="15">
        <f t="shared" si="17"/>
        <v>0</v>
      </c>
    </row>
    <row r="1098" spans="2:18" x14ac:dyDescent="0.35">
      <c r="B1098" s="9">
        <v>1119</v>
      </c>
      <c r="C1098" s="9"/>
      <c r="D1098" s="9"/>
      <c r="E1098" s="9"/>
      <c r="F1098" s="9"/>
      <c r="G1098" s="9"/>
      <c r="H1098" s="9"/>
      <c r="I1098" s="11" t="e">
        <f>VLOOKUP(H1098,위치!B:C,2,0)</f>
        <v>#N/A</v>
      </c>
      <c r="J1098" s="9"/>
      <c r="K1098" s="9"/>
      <c r="L1098" s="9" t="e">
        <f>VLOOKUP(H1098,위치!B:D,3,0)</f>
        <v>#N/A</v>
      </c>
      <c r="M1098" s="12"/>
      <c r="N1098" s="5"/>
      <c r="O1098" s="5"/>
      <c r="P1098" s="5"/>
      <c r="Q1098" s="14"/>
      <c r="R1098" s="15">
        <f t="shared" si="17"/>
        <v>0</v>
      </c>
    </row>
    <row r="1099" spans="2:18" x14ac:dyDescent="0.35">
      <c r="B1099" s="9">
        <v>1120</v>
      </c>
      <c r="C1099" s="9"/>
      <c r="D1099" s="9"/>
      <c r="E1099" s="9"/>
      <c r="F1099" s="9"/>
      <c r="G1099" s="9"/>
      <c r="H1099" s="9"/>
      <c r="I1099" s="11" t="e">
        <f>VLOOKUP(H1099,위치!B:C,2,0)</f>
        <v>#N/A</v>
      </c>
      <c r="J1099" s="9"/>
      <c r="K1099" s="9"/>
      <c r="L1099" s="9" t="e">
        <f>VLOOKUP(H1099,위치!B:D,3,0)</f>
        <v>#N/A</v>
      </c>
      <c r="M1099" s="12"/>
      <c r="N1099" s="5"/>
      <c r="O1099" s="5"/>
      <c r="P1099" s="5"/>
      <c r="Q1099" s="14"/>
      <c r="R1099" s="15">
        <f t="shared" si="17"/>
        <v>0</v>
      </c>
    </row>
    <row r="1100" spans="2:18" x14ac:dyDescent="0.35">
      <c r="B1100" s="9">
        <v>1121</v>
      </c>
      <c r="C1100" s="9"/>
      <c r="D1100" s="9"/>
      <c r="E1100" s="9"/>
      <c r="F1100" s="9"/>
      <c r="G1100" s="9"/>
      <c r="H1100" s="9"/>
      <c r="I1100" s="11" t="e">
        <f>VLOOKUP(H1100,위치!B:C,2,0)</f>
        <v>#N/A</v>
      </c>
      <c r="J1100" s="9"/>
      <c r="K1100" s="9"/>
      <c r="L1100" s="9" t="e">
        <f>VLOOKUP(H1100,위치!B:D,3,0)</f>
        <v>#N/A</v>
      </c>
      <c r="M1100" s="12"/>
      <c r="N1100" s="5"/>
      <c r="O1100" s="5"/>
      <c r="P1100" s="5"/>
      <c r="Q1100" s="14"/>
      <c r="R1100" s="15">
        <f t="shared" si="17"/>
        <v>0</v>
      </c>
    </row>
    <row r="1101" spans="2:18" x14ac:dyDescent="0.35">
      <c r="B1101" s="9">
        <v>1122</v>
      </c>
      <c r="C1101" s="9"/>
      <c r="D1101" s="9"/>
      <c r="E1101" s="9"/>
      <c r="F1101" s="9"/>
      <c r="G1101" s="9"/>
      <c r="H1101" s="9"/>
      <c r="I1101" s="11" t="e">
        <f>VLOOKUP(H1101,위치!B:C,2,0)</f>
        <v>#N/A</v>
      </c>
      <c r="J1101" s="9"/>
      <c r="K1101" s="9"/>
      <c r="L1101" s="9" t="e">
        <f>VLOOKUP(H1101,위치!B:D,3,0)</f>
        <v>#N/A</v>
      </c>
      <c r="M1101" s="12"/>
      <c r="N1101" s="5"/>
      <c r="O1101" s="5"/>
      <c r="P1101" s="5"/>
      <c r="Q1101" s="14"/>
      <c r="R1101" s="15">
        <f t="shared" si="17"/>
        <v>0</v>
      </c>
    </row>
    <row r="1102" spans="2:18" x14ac:dyDescent="0.35">
      <c r="B1102" s="9">
        <v>1123</v>
      </c>
      <c r="C1102" s="9"/>
      <c r="D1102" s="9"/>
      <c r="E1102" s="9"/>
      <c r="F1102" s="9"/>
      <c r="G1102" s="9"/>
      <c r="H1102" s="9"/>
      <c r="I1102" s="11" t="e">
        <f>VLOOKUP(H1102,위치!B:C,2,0)</f>
        <v>#N/A</v>
      </c>
      <c r="J1102" s="9"/>
      <c r="K1102" s="9"/>
      <c r="L1102" s="9" t="e">
        <f>VLOOKUP(H1102,위치!B:D,3,0)</f>
        <v>#N/A</v>
      </c>
      <c r="M1102" s="12"/>
      <c r="N1102" s="5"/>
      <c r="O1102" s="5"/>
      <c r="P1102" s="5"/>
      <c r="Q1102" s="14"/>
      <c r="R1102" s="15">
        <f t="shared" si="17"/>
        <v>0</v>
      </c>
    </row>
    <row r="1103" spans="2:18" x14ac:dyDescent="0.35">
      <c r="B1103" s="9">
        <v>1124</v>
      </c>
      <c r="C1103" s="9"/>
      <c r="D1103" s="9"/>
      <c r="E1103" s="9"/>
      <c r="F1103" s="9"/>
      <c r="G1103" s="9"/>
      <c r="H1103" s="9"/>
      <c r="I1103" s="11" t="e">
        <f>VLOOKUP(H1103,위치!B:C,2,0)</f>
        <v>#N/A</v>
      </c>
      <c r="J1103" s="9"/>
      <c r="K1103" s="9"/>
      <c r="L1103" s="9" t="e">
        <f>VLOOKUP(H1103,위치!B:D,3,0)</f>
        <v>#N/A</v>
      </c>
      <c r="M1103" s="12"/>
      <c r="N1103" s="5"/>
      <c r="O1103" s="5"/>
      <c r="P1103" s="5"/>
      <c r="Q1103" s="14"/>
      <c r="R1103" s="15">
        <f t="shared" si="17"/>
        <v>0</v>
      </c>
    </row>
    <row r="1104" spans="2:18" x14ac:dyDescent="0.35">
      <c r="B1104" s="9">
        <v>1125</v>
      </c>
      <c r="C1104" s="9"/>
      <c r="D1104" s="9"/>
      <c r="E1104" s="9"/>
      <c r="F1104" s="9"/>
      <c r="G1104" s="9"/>
      <c r="H1104" s="9"/>
      <c r="I1104" s="11" t="e">
        <f>VLOOKUP(H1104,위치!B:C,2,0)</f>
        <v>#N/A</v>
      </c>
      <c r="J1104" s="9"/>
      <c r="K1104" s="9"/>
      <c r="L1104" s="9" t="e">
        <f>VLOOKUP(H1104,위치!B:D,3,0)</f>
        <v>#N/A</v>
      </c>
      <c r="M1104" s="12"/>
      <c r="N1104" s="5"/>
      <c r="O1104" s="5"/>
      <c r="P1104" s="5"/>
      <c r="Q1104" s="14"/>
      <c r="R1104" s="15">
        <f t="shared" si="17"/>
        <v>0</v>
      </c>
    </row>
    <row r="1105" spans="2:18" x14ac:dyDescent="0.35">
      <c r="B1105" s="9">
        <v>1126</v>
      </c>
      <c r="C1105" s="9"/>
      <c r="D1105" s="9"/>
      <c r="E1105" s="9"/>
      <c r="F1105" s="9"/>
      <c r="G1105" s="9"/>
      <c r="H1105" s="9"/>
      <c r="I1105" s="11" t="e">
        <f>VLOOKUP(H1105,위치!B:C,2,0)</f>
        <v>#N/A</v>
      </c>
      <c r="J1105" s="9"/>
      <c r="K1105" s="9"/>
      <c r="L1105" s="9" t="e">
        <f>VLOOKUP(H1105,위치!B:D,3,0)</f>
        <v>#N/A</v>
      </c>
      <c r="M1105" s="12"/>
      <c r="N1105" s="5"/>
      <c r="O1105" s="5"/>
      <c r="P1105" s="5"/>
      <c r="Q1105" s="14"/>
      <c r="R1105" s="15">
        <f t="shared" si="17"/>
        <v>0</v>
      </c>
    </row>
    <row r="1106" spans="2:18" x14ac:dyDescent="0.35">
      <c r="B1106" s="9">
        <v>1127</v>
      </c>
      <c r="C1106" s="9"/>
      <c r="D1106" s="9"/>
      <c r="E1106" s="9"/>
      <c r="F1106" s="9"/>
      <c r="G1106" s="9"/>
      <c r="H1106" s="9"/>
      <c r="I1106" s="11" t="e">
        <f>VLOOKUP(H1106,위치!B:C,2,0)</f>
        <v>#N/A</v>
      </c>
      <c r="J1106" s="9"/>
      <c r="K1106" s="9"/>
      <c r="L1106" s="9" t="e">
        <f>VLOOKUP(H1106,위치!B:D,3,0)</f>
        <v>#N/A</v>
      </c>
      <c r="M1106" s="12"/>
      <c r="N1106" s="5"/>
      <c r="O1106" s="5"/>
      <c r="P1106" s="5"/>
      <c r="Q1106" s="14"/>
      <c r="R1106" s="15">
        <f t="shared" si="17"/>
        <v>0</v>
      </c>
    </row>
    <row r="1107" spans="2:18" x14ac:dyDescent="0.35">
      <c r="B1107" s="9">
        <v>1128</v>
      </c>
      <c r="C1107" s="9"/>
      <c r="D1107" s="9"/>
      <c r="E1107" s="9"/>
      <c r="F1107" s="9"/>
      <c r="G1107" s="9"/>
      <c r="H1107" s="9"/>
      <c r="I1107" s="11" t="e">
        <f>VLOOKUP(H1107,위치!B:C,2,0)</f>
        <v>#N/A</v>
      </c>
      <c r="J1107" s="9"/>
      <c r="K1107" s="9"/>
      <c r="L1107" s="9" t="e">
        <f>VLOOKUP(H1107,위치!B:D,3,0)</f>
        <v>#N/A</v>
      </c>
      <c r="M1107" s="12"/>
      <c r="N1107" s="5"/>
      <c r="O1107" s="5"/>
      <c r="P1107" s="5"/>
      <c r="Q1107" s="14"/>
      <c r="R1107" s="15">
        <f t="shared" si="17"/>
        <v>0</v>
      </c>
    </row>
    <row r="1108" spans="2:18" x14ac:dyDescent="0.35">
      <c r="B1108" s="9">
        <v>1129</v>
      </c>
      <c r="C1108" s="9"/>
      <c r="D1108" s="9"/>
      <c r="E1108" s="9"/>
      <c r="F1108" s="9"/>
      <c r="G1108" s="9"/>
      <c r="H1108" s="9"/>
      <c r="I1108" s="11" t="e">
        <f>VLOOKUP(H1108,위치!B:C,2,0)</f>
        <v>#N/A</v>
      </c>
      <c r="J1108" s="9"/>
      <c r="K1108" s="9"/>
      <c r="L1108" s="9" t="e">
        <f>VLOOKUP(H1108,위치!B:D,3,0)</f>
        <v>#N/A</v>
      </c>
      <c r="M1108" s="12"/>
      <c r="N1108" s="5"/>
      <c r="O1108" s="5"/>
      <c r="P1108" s="5"/>
      <c r="Q1108" s="14"/>
      <c r="R1108" s="15">
        <f t="shared" si="17"/>
        <v>0</v>
      </c>
    </row>
    <row r="1109" spans="2:18" x14ac:dyDescent="0.35">
      <c r="B1109" s="9">
        <v>1130</v>
      </c>
      <c r="C1109" s="9"/>
      <c r="D1109" s="9"/>
      <c r="E1109" s="9"/>
      <c r="F1109" s="9"/>
      <c r="G1109" s="9"/>
      <c r="H1109" s="9"/>
      <c r="I1109" s="11" t="e">
        <f>VLOOKUP(H1109,위치!B:C,2,0)</f>
        <v>#N/A</v>
      </c>
      <c r="J1109" s="9"/>
      <c r="K1109" s="9"/>
      <c r="L1109" s="9" t="e">
        <f>VLOOKUP(H1109,위치!B:D,3,0)</f>
        <v>#N/A</v>
      </c>
      <c r="M1109" s="12"/>
      <c r="N1109" s="5"/>
      <c r="O1109" s="5"/>
      <c r="P1109" s="5"/>
      <c r="Q1109" s="14"/>
      <c r="R1109" s="15">
        <f t="shared" si="17"/>
        <v>0</v>
      </c>
    </row>
    <row r="1110" spans="2:18" x14ac:dyDescent="0.35">
      <c r="B1110" s="9">
        <v>1131</v>
      </c>
      <c r="C1110" s="9"/>
      <c r="D1110" s="9"/>
      <c r="E1110" s="9"/>
      <c r="F1110" s="9"/>
      <c r="G1110" s="9"/>
      <c r="H1110" s="9"/>
      <c r="I1110" s="11" t="e">
        <f>VLOOKUP(H1110,위치!B:C,2,0)</f>
        <v>#N/A</v>
      </c>
      <c r="J1110" s="9"/>
      <c r="K1110" s="9"/>
      <c r="L1110" s="9" t="e">
        <f>VLOOKUP(H1110,위치!B:D,3,0)</f>
        <v>#N/A</v>
      </c>
      <c r="M1110" s="12"/>
      <c r="N1110" s="5"/>
      <c r="O1110" s="5"/>
      <c r="P1110" s="5"/>
      <c r="Q1110" s="14"/>
      <c r="R1110" s="15">
        <f t="shared" si="17"/>
        <v>0</v>
      </c>
    </row>
    <row r="1111" spans="2:18" x14ac:dyDescent="0.35">
      <c r="B1111" s="9">
        <v>1132</v>
      </c>
      <c r="C1111" s="9"/>
      <c r="D1111" s="9"/>
      <c r="E1111" s="9"/>
      <c r="F1111" s="9"/>
      <c r="G1111" s="9"/>
      <c r="H1111" s="9"/>
      <c r="I1111" s="11" t="e">
        <f>VLOOKUP(H1111,위치!B:C,2,0)</f>
        <v>#N/A</v>
      </c>
      <c r="J1111" s="9"/>
      <c r="K1111" s="9"/>
      <c r="L1111" s="9" t="e">
        <f>VLOOKUP(H1111,위치!B:D,3,0)</f>
        <v>#N/A</v>
      </c>
      <c r="M1111" s="12"/>
      <c r="N1111" s="5"/>
      <c r="O1111" s="5"/>
      <c r="P1111" s="5"/>
      <c r="Q1111" s="14"/>
      <c r="R1111" s="15">
        <f t="shared" si="17"/>
        <v>0</v>
      </c>
    </row>
    <row r="1112" spans="2:18" x14ac:dyDescent="0.35">
      <c r="B1112" s="9">
        <v>1133</v>
      </c>
      <c r="C1112" s="9"/>
      <c r="D1112" s="9"/>
      <c r="E1112" s="9"/>
      <c r="F1112" s="9"/>
      <c r="G1112" s="9"/>
      <c r="H1112" s="9"/>
      <c r="I1112" s="11" t="e">
        <f>VLOOKUP(H1112,위치!B:C,2,0)</f>
        <v>#N/A</v>
      </c>
      <c r="J1112" s="9"/>
      <c r="K1112" s="9"/>
      <c r="L1112" s="9" t="e">
        <f>VLOOKUP(H1112,위치!B:D,3,0)</f>
        <v>#N/A</v>
      </c>
      <c r="M1112" s="12"/>
      <c r="N1112" s="5"/>
      <c r="O1112" s="5"/>
      <c r="P1112" s="5"/>
      <c r="Q1112" s="14"/>
      <c r="R1112" s="15">
        <f t="shared" si="17"/>
        <v>0</v>
      </c>
    </row>
    <row r="1113" spans="2:18" x14ac:dyDescent="0.35">
      <c r="B1113" s="9">
        <v>1134</v>
      </c>
      <c r="C1113" s="9"/>
      <c r="D1113" s="9"/>
      <c r="E1113" s="9"/>
      <c r="F1113" s="9"/>
      <c r="G1113" s="9"/>
      <c r="H1113" s="9"/>
      <c r="I1113" s="11" t="e">
        <f>VLOOKUP(H1113,위치!B:C,2,0)</f>
        <v>#N/A</v>
      </c>
      <c r="J1113" s="9"/>
      <c r="K1113" s="9"/>
      <c r="L1113" s="9" t="e">
        <f>VLOOKUP(H1113,위치!B:D,3,0)</f>
        <v>#N/A</v>
      </c>
      <c r="M1113" s="12"/>
      <c r="N1113" s="5"/>
      <c r="O1113" s="5"/>
      <c r="P1113" s="5"/>
      <c r="Q1113" s="14"/>
      <c r="R1113" s="15">
        <f t="shared" si="17"/>
        <v>0</v>
      </c>
    </row>
    <row r="1114" spans="2:18" x14ac:dyDescent="0.35">
      <c r="B1114" s="9">
        <v>1135</v>
      </c>
      <c r="C1114" s="9"/>
      <c r="D1114" s="9"/>
      <c r="E1114" s="9"/>
      <c r="F1114" s="9"/>
      <c r="G1114" s="9"/>
      <c r="H1114" s="9"/>
      <c r="I1114" s="11" t="e">
        <f>VLOOKUP(H1114,위치!B:C,2,0)</f>
        <v>#N/A</v>
      </c>
      <c r="J1114" s="9"/>
      <c r="K1114" s="9"/>
      <c r="L1114" s="9" t="e">
        <f>VLOOKUP(H1114,위치!B:D,3,0)</f>
        <v>#N/A</v>
      </c>
      <c r="M1114" s="12"/>
      <c r="N1114" s="5"/>
      <c r="O1114" s="5"/>
      <c r="P1114" s="5"/>
      <c r="Q1114" s="14"/>
      <c r="R1114" s="15">
        <f t="shared" si="17"/>
        <v>0</v>
      </c>
    </row>
    <row r="1115" spans="2:18" x14ac:dyDescent="0.35">
      <c r="B1115" s="9">
        <v>1136</v>
      </c>
      <c r="C1115" s="9"/>
      <c r="D1115" s="9"/>
      <c r="E1115" s="9"/>
      <c r="F1115" s="9"/>
      <c r="G1115" s="9"/>
      <c r="H1115" s="9"/>
      <c r="I1115" s="11" t="e">
        <f>VLOOKUP(H1115,위치!B:C,2,0)</f>
        <v>#N/A</v>
      </c>
      <c r="J1115" s="9"/>
      <c r="K1115" s="9"/>
      <c r="L1115" s="9" t="e">
        <f>VLOOKUP(H1115,위치!B:D,3,0)</f>
        <v>#N/A</v>
      </c>
      <c r="M1115" s="12"/>
      <c r="N1115" s="5"/>
      <c r="O1115" s="5"/>
      <c r="P1115" s="5"/>
      <c r="Q1115" s="14"/>
      <c r="R1115" s="15">
        <f t="shared" si="17"/>
        <v>0</v>
      </c>
    </row>
    <row r="1116" spans="2:18" x14ac:dyDescent="0.35">
      <c r="B1116" s="9">
        <v>1137</v>
      </c>
      <c r="C1116" s="9"/>
      <c r="D1116" s="9"/>
      <c r="E1116" s="9"/>
      <c r="F1116" s="9"/>
      <c r="G1116" s="9"/>
      <c r="H1116" s="9"/>
      <c r="I1116" s="11" t="e">
        <f>VLOOKUP(H1116,위치!B:C,2,0)</f>
        <v>#N/A</v>
      </c>
      <c r="J1116" s="9"/>
      <c r="K1116" s="9"/>
      <c r="L1116" s="9" t="e">
        <f>VLOOKUP(H1116,위치!B:D,3,0)</f>
        <v>#N/A</v>
      </c>
      <c r="M1116" s="12"/>
      <c r="N1116" s="5"/>
      <c r="O1116" s="5"/>
      <c r="P1116" s="5"/>
      <c r="Q1116" s="14"/>
      <c r="R1116" s="15">
        <f t="shared" si="17"/>
        <v>0</v>
      </c>
    </row>
    <row r="1117" spans="2:18" x14ac:dyDescent="0.35">
      <c r="B1117" s="9">
        <v>1138</v>
      </c>
      <c r="C1117" s="9"/>
      <c r="D1117" s="9"/>
      <c r="E1117" s="9"/>
      <c r="F1117" s="9"/>
      <c r="G1117" s="9"/>
      <c r="H1117" s="9"/>
      <c r="I1117" s="11" t="e">
        <f>VLOOKUP(H1117,위치!B:C,2,0)</f>
        <v>#N/A</v>
      </c>
      <c r="J1117" s="9"/>
      <c r="K1117" s="9"/>
      <c r="L1117" s="9" t="e">
        <f>VLOOKUP(H1117,위치!B:D,3,0)</f>
        <v>#N/A</v>
      </c>
      <c r="M1117" s="12"/>
      <c r="N1117" s="5"/>
      <c r="O1117" s="5"/>
      <c r="P1117" s="5"/>
      <c r="Q1117" s="14"/>
      <c r="R1117" s="15">
        <f t="shared" si="17"/>
        <v>0</v>
      </c>
    </row>
    <row r="1118" spans="2:18" x14ac:dyDescent="0.35">
      <c r="B1118" s="9">
        <v>1139</v>
      </c>
      <c r="C1118" s="9"/>
      <c r="D1118" s="9"/>
      <c r="E1118" s="9"/>
      <c r="F1118" s="9"/>
      <c r="G1118" s="9"/>
      <c r="H1118" s="9"/>
      <c r="I1118" s="11" t="e">
        <f>VLOOKUP(H1118,위치!B:C,2,0)</f>
        <v>#N/A</v>
      </c>
      <c r="J1118" s="9"/>
      <c r="K1118" s="9"/>
      <c r="L1118" s="9" t="e">
        <f>VLOOKUP(H1118,위치!B:D,3,0)</f>
        <v>#N/A</v>
      </c>
      <c r="M1118" s="12"/>
      <c r="N1118" s="5"/>
      <c r="O1118" s="5"/>
      <c r="P1118" s="5"/>
      <c r="Q1118" s="14"/>
      <c r="R1118" s="15">
        <f t="shared" si="17"/>
        <v>0</v>
      </c>
    </row>
    <row r="1119" spans="2:18" x14ac:dyDescent="0.35">
      <c r="B1119" s="9">
        <v>1140</v>
      </c>
      <c r="C1119" s="9"/>
      <c r="D1119" s="9"/>
      <c r="E1119" s="9"/>
      <c r="F1119" s="9"/>
      <c r="G1119" s="9"/>
      <c r="H1119" s="9"/>
      <c r="I1119" s="11" t="e">
        <f>VLOOKUP(H1119,위치!B:C,2,0)</f>
        <v>#N/A</v>
      </c>
      <c r="J1119" s="9"/>
      <c r="K1119" s="9"/>
      <c r="L1119" s="9" t="e">
        <f>VLOOKUP(H1119,위치!B:D,3,0)</f>
        <v>#N/A</v>
      </c>
      <c r="M1119" s="12"/>
      <c r="N1119" s="5"/>
      <c r="O1119" s="5"/>
      <c r="P1119" s="5"/>
      <c r="Q1119" s="14"/>
      <c r="R1119" s="15">
        <f t="shared" si="17"/>
        <v>0</v>
      </c>
    </row>
    <row r="1120" spans="2:18" x14ac:dyDescent="0.35">
      <c r="B1120" s="9">
        <v>1141</v>
      </c>
      <c r="C1120" s="9"/>
      <c r="D1120" s="9"/>
      <c r="E1120" s="9"/>
      <c r="F1120" s="9"/>
      <c r="G1120" s="9"/>
      <c r="H1120" s="9"/>
      <c r="I1120" s="11" t="e">
        <f>VLOOKUP(H1120,위치!B:C,2,0)</f>
        <v>#N/A</v>
      </c>
      <c r="J1120" s="9"/>
      <c r="K1120" s="9"/>
      <c r="L1120" s="9" t="e">
        <f>VLOOKUP(H1120,위치!B:D,3,0)</f>
        <v>#N/A</v>
      </c>
      <c r="M1120" s="12"/>
      <c r="N1120" s="5"/>
      <c r="O1120" s="5"/>
      <c r="P1120" s="5"/>
      <c r="Q1120" s="14"/>
      <c r="R1120" s="15">
        <f t="shared" si="17"/>
        <v>0</v>
      </c>
    </row>
    <row r="1121" spans="2:18" x14ac:dyDescent="0.35">
      <c r="B1121" s="9">
        <v>1142</v>
      </c>
      <c r="C1121" s="9"/>
      <c r="D1121" s="9"/>
      <c r="E1121" s="9"/>
      <c r="F1121" s="9"/>
      <c r="G1121" s="9"/>
      <c r="H1121" s="9"/>
      <c r="I1121" s="11" t="e">
        <f>VLOOKUP(H1121,위치!B:C,2,0)</f>
        <v>#N/A</v>
      </c>
      <c r="J1121" s="9"/>
      <c r="K1121" s="9"/>
      <c r="L1121" s="9" t="e">
        <f>VLOOKUP(H1121,위치!B:D,3,0)</f>
        <v>#N/A</v>
      </c>
      <c r="M1121" s="12"/>
      <c r="N1121" s="5"/>
      <c r="O1121" s="5"/>
      <c r="P1121" s="5"/>
      <c r="Q1121" s="14"/>
      <c r="R1121" s="15">
        <f t="shared" si="17"/>
        <v>0</v>
      </c>
    </row>
    <row r="1122" spans="2:18" x14ac:dyDescent="0.35">
      <c r="B1122" s="9">
        <v>1143</v>
      </c>
      <c r="C1122" s="9"/>
      <c r="D1122" s="9"/>
      <c r="E1122" s="9"/>
      <c r="F1122" s="9"/>
      <c r="G1122" s="9"/>
      <c r="H1122" s="9"/>
      <c r="I1122" s="11" t="e">
        <f>VLOOKUP(H1122,위치!B:C,2,0)</f>
        <v>#N/A</v>
      </c>
      <c r="J1122" s="9"/>
      <c r="K1122" s="9"/>
      <c r="L1122" s="9" t="e">
        <f>VLOOKUP(H1122,위치!B:D,3,0)</f>
        <v>#N/A</v>
      </c>
      <c r="M1122" s="12"/>
      <c r="N1122" s="5"/>
      <c r="O1122" s="5"/>
      <c r="P1122" s="5"/>
      <c r="Q1122" s="14"/>
      <c r="R1122" s="15">
        <f t="shared" si="17"/>
        <v>0</v>
      </c>
    </row>
    <row r="1123" spans="2:18" x14ac:dyDescent="0.35">
      <c r="B1123" s="9">
        <v>1144</v>
      </c>
      <c r="C1123" s="9"/>
      <c r="D1123" s="9"/>
      <c r="E1123" s="9"/>
      <c r="F1123" s="9"/>
      <c r="G1123" s="9"/>
      <c r="H1123" s="9"/>
      <c r="I1123" s="11" t="e">
        <f>VLOOKUP(H1123,위치!B:C,2,0)</f>
        <v>#N/A</v>
      </c>
      <c r="J1123" s="9"/>
      <c r="K1123" s="9"/>
      <c r="L1123" s="9" t="e">
        <f>VLOOKUP(H1123,위치!B:D,3,0)</f>
        <v>#N/A</v>
      </c>
      <c r="M1123" s="12"/>
      <c r="N1123" s="5"/>
      <c r="O1123" s="5"/>
      <c r="P1123" s="5"/>
      <c r="Q1123" s="14"/>
      <c r="R1123" s="15">
        <f t="shared" si="17"/>
        <v>0</v>
      </c>
    </row>
    <row r="1124" spans="2:18" x14ac:dyDescent="0.35">
      <c r="B1124" s="9">
        <v>1145</v>
      </c>
      <c r="C1124" s="9"/>
      <c r="D1124" s="9"/>
      <c r="E1124" s="9"/>
      <c r="F1124" s="9"/>
      <c r="G1124" s="9"/>
      <c r="H1124" s="9"/>
      <c r="I1124" s="11" t="e">
        <f>VLOOKUP(H1124,위치!B:C,2,0)</f>
        <v>#N/A</v>
      </c>
      <c r="J1124" s="9"/>
      <c r="K1124" s="9"/>
      <c r="L1124" s="9" t="e">
        <f>VLOOKUP(H1124,위치!B:D,3,0)</f>
        <v>#N/A</v>
      </c>
      <c r="M1124" s="12"/>
      <c r="N1124" s="5"/>
      <c r="O1124" s="5"/>
      <c r="P1124" s="5"/>
      <c r="Q1124" s="14"/>
      <c r="R1124" s="15">
        <f t="shared" si="17"/>
        <v>0</v>
      </c>
    </row>
    <row r="1125" spans="2:18" x14ac:dyDescent="0.35">
      <c r="B1125" s="9">
        <v>1146</v>
      </c>
      <c r="C1125" s="9"/>
      <c r="D1125" s="9"/>
      <c r="E1125" s="9"/>
      <c r="F1125" s="9"/>
      <c r="G1125" s="9"/>
      <c r="H1125" s="9"/>
      <c r="I1125" s="11" t="e">
        <f>VLOOKUP(H1125,위치!B:C,2,0)</f>
        <v>#N/A</v>
      </c>
      <c r="J1125" s="9"/>
      <c r="K1125" s="9"/>
      <c r="L1125" s="9" t="e">
        <f>VLOOKUP(H1125,위치!B:D,3,0)</f>
        <v>#N/A</v>
      </c>
      <c r="M1125" s="12"/>
      <c r="N1125" s="5"/>
      <c r="O1125" s="5"/>
      <c r="P1125" s="5"/>
      <c r="Q1125" s="14"/>
      <c r="R1125" s="15">
        <f t="shared" si="17"/>
        <v>0</v>
      </c>
    </row>
    <row r="1126" spans="2:18" x14ac:dyDescent="0.35">
      <c r="B1126" s="9">
        <v>1147</v>
      </c>
      <c r="C1126" s="9"/>
      <c r="D1126" s="9"/>
      <c r="E1126" s="9"/>
      <c r="F1126" s="9"/>
      <c r="G1126" s="9"/>
      <c r="H1126" s="9"/>
      <c r="I1126" s="11" t="e">
        <f>VLOOKUP(H1126,위치!B:C,2,0)</f>
        <v>#N/A</v>
      </c>
      <c r="J1126" s="9"/>
      <c r="K1126" s="9"/>
      <c r="L1126" s="9" t="e">
        <f>VLOOKUP(H1126,위치!B:D,3,0)</f>
        <v>#N/A</v>
      </c>
      <c r="M1126" s="12"/>
      <c r="N1126" s="5"/>
      <c r="O1126" s="5"/>
      <c r="P1126" s="5"/>
      <c r="Q1126" s="14"/>
      <c r="R1126" s="15">
        <f t="shared" si="17"/>
        <v>0</v>
      </c>
    </row>
    <row r="1127" spans="2:18" x14ac:dyDescent="0.35">
      <c r="B1127" s="9">
        <v>1148</v>
      </c>
      <c r="C1127" s="9"/>
      <c r="D1127" s="9"/>
      <c r="E1127" s="9"/>
      <c r="F1127" s="9"/>
      <c r="G1127" s="9"/>
      <c r="H1127" s="9"/>
      <c r="I1127" s="11" t="e">
        <f>VLOOKUP(H1127,위치!B:C,2,0)</f>
        <v>#N/A</v>
      </c>
      <c r="J1127" s="9"/>
      <c r="K1127" s="9"/>
      <c r="L1127" s="9" t="e">
        <f>VLOOKUP(H1127,위치!B:D,3,0)</f>
        <v>#N/A</v>
      </c>
      <c r="M1127" s="12"/>
      <c r="N1127" s="5"/>
      <c r="O1127" s="5"/>
      <c r="P1127" s="5"/>
      <c r="Q1127" s="14"/>
      <c r="R1127" s="15">
        <f t="shared" si="17"/>
        <v>0</v>
      </c>
    </row>
    <row r="1128" spans="2:18" x14ac:dyDescent="0.35">
      <c r="B1128" s="9">
        <v>1149</v>
      </c>
      <c r="C1128" s="9"/>
      <c r="D1128" s="9"/>
      <c r="E1128" s="9"/>
      <c r="F1128" s="9"/>
      <c r="G1128" s="9"/>
      <c r="H1128" s="9"/>
      <c r="I1128" s="11" t="e">
        <f>VLOOKUP(H1128,위치!B:C,2,0)</f>
        <v>#N/A</v>
      </c>
      <c r="J1128" s="9"/>
      <c r="K1128" s="9"/>
      <c r="L1128" s="9" t="e">
        <f>VLOOKUP(H1128,위치!B:D,3,0)</f>
        <v>#N/A</v>
      </c>
      <c r="M1128" s="12"/>
      <c r="N1128" s="5"/>
      <c r="O1128" s="5"/>
      <c r="P1128" s="5"/>
      <c r="Q1128" s="14"/>
      <c r="R1128" s="15">
        <f t="shared" si="17"/>
        <v>0</v>
      </c>
    </row>
    <row r="1129" spans="2:18" x14ac:dyDescent="0.35">
      <c r="B1129" s="9">
        <v>1150</v>
      </c>
      <c r="C1129" s="9"/>
      <c r="D1129" s="9"/>
      <c r="E1129" s="9"/>
      <c r="F1129" s="9"/>
      <c r="G1129" s="9"/>
      <c r="H1129" s="9"/>
      <c r="I1129" s="11" t="e">
        <f>VLOOKUP(H1129,위치!B:C,2,0)</f>
        <v>#N/A</v>
      </c>
      <c r="J1129" s="9"/>
      <c r="K1129" s="9"/>
      <c r="L1129" s="9" t="e">
        <f>VLOOKUP(H1129,위치!B:D,3,0)</f>
        <v>#N/A</v>
      </c>
      <c r="M1129" s="12"/>
      <c r="N1129" s="5"/>
      <c r="O1129" s="5"/>
      <c r="P1129" s="5"/>
      <c r="Q1129" s="14"/>
      <c r="R1129" s="15">
        <f t="shared" si="17"/>
        <v>0</v>
      </c>
    </row>
    <row r="1130" spans="2:18" x14ac:dyDescent="0.35">
      <c r="B1130" s="9">
        <v>1151</v>
      </c>
      <c r="C1130" s="9"/>
      <c r="D1130" s="9"/>
      <c r="E1130" s="9"/>
      <c r="F1130" s="9"/>
      <c r="G1130" s="9"/>
      <c r="H1130" s="9"/>
      <c r="I1130" s="11" t="e">
        <f>VLOOKUP(H1130,위치!B:C,2,0)</f>
        <v>#N/A</v>
      </c>
      <c r="J1130" s="9"/>
      <c r="K1130" s="9"/>
      <c r="L1130" s="9" t="e">
        <f>VLOOKUP(H1130,위치!B:D,3,0)</f>
        <v>#N/A</v>
      </c>
      <c r="M1130" s="12"/>
      <c r="N1130" s="5"/>
      <c r="O1130" s="5"/>
      <c r="P1130" s="5"/>
      <c r="Q1130" s="14"/>
      <c r="R1130" s="15">
        <f t="shared" si="17"/>
        <v>0</v>
      </c>
    </row>
    <row r="1131" spans="2:18" x14ac:dyDescent="0.35">
      <c r="B1131" s="9">
        <v>1152</v>
      </c>
      <c r="C1131" s="9"/>
      <c r="D1131" s="9"/>
      <c r="E1131" s="9"/>
      <c r="F1131" s="9"/>
      <c r="G1131" s="9"/>
      <c r="H1131" s="9"/>
      <c r="I1131" s="11" t="e">
        <f>VLOOKUP(H1131,위치!B:C,2,0)</f>
        <v>#N/A</v>
      </c>
      <c r="J1131" s="9"/>
      <c r="K1131" s="9"/>
      <c r="L1131" s="9" t="e">
        <f>VLOOKUP(H1131,위치!B:D,3,0)</f>
        <v>#N/A</v>
      </c>
      <c r="M1131" s="12"/>
      <c r="N1131" s="5"/>
      <c r="O1131" s="5"/>
      <c r="P1131" s="5"/>
      <c r="Q1131" s="14"/>
      <c r="R1131" s="15">
        <f t="shared" si="17"/>
        <v>0</v>
      </c>
    </row>
    <row r="1132" spans="2:18" x14ac:dyDescent="0.35">
      <c r="B1132" s="9">
        <v>1153</v>
      </c>
      <c r="C1132" s="9"/>
      <c r="D1132" s="9"/>
      <c r="E1132" s="9"/>
      <c r="F1132" s="9"/>
      <c r="G1132" s="9"/>
      <c r="H1132" s="9"/>
      <c r="I1132" s="11" t="e">
        <f>VLOOKUP(H1132,위치!B:C,2,0)</f>
        <v>#N/A</v>
      </c>
      <c r="J1132" s="9"/>
      <c r="K1132" s="9"/>
      <c r="L1132" s="9" t="e">
        <f>VLOOKUP(H1132,위치!B:D,3,0)</f>
        <v>#N/A</v>
      </c>
      <c r="M1132" s="12"/>
      <c r="N1132" s="5"/>
      <c r="O1132" s="5"/>
      <c r="P1132" s="5"/>
      <c r="Q1132" s="14"/>
      <c r="R1132" s="15">
        <f t="shared" si="17"/>
        <v>0</v>
      </c>
    </row>
    <row r="1133" spans="2:18" x14ac:dyDescent="0.35">
      <c r="B1133" s="9">
        <v>1154</v>
      </c>
      <c r="C1133" s="9"/>
      <c r="D1133" s="9"/>
      <c r="E1133" s="9"/>
      <c r="F1133" s="9"/>
      <c r="G1133" s="9"/>
      <c r="H1133" s="9"/>
      <c r="I1133" s="11" t="e">
        <f>VLOOKUP(H1133,위치!B:C,2,0)</f>
        <v>#N/A</v>
      </c>
      <c r="J1133" s="9"/>
      <c r="K1133" s="9"/>
      <c r="L1133" s="9" t="e">
        <f>VLOOKUP(H1133,위치!B:D,3,0)</f>
        <v>#N/A</v>
      </c>
      <c r="M1133" s="12"/>
      <c r="N1133" s="5"/>
      <c r="O1133" s="5"/>
      <c r="P1133" s="5"/>
      <c r="Q1133" s="14"/>
      <c r="R1133" s="15">
        <f t="shared" si="17"/>
        <v>0</v>
      </c>
    </row>
    <row r="1134" spans="2:18" x14ac:dyDescent="0.35">
      <c r="B1134" s="9">
        <v>1155</v>
      </c>
      <c r="C1134" s="9"/>
      <c r="D1134" s="9"/>
      <c r="E1134" s="9"/>
      <c r="F1134" s="9"/>
      <c r="G1134" s="9"/>
      <c r="H1134" s="9"/>
      <c r="I1134" s="11" t="e">
        <f>VLOOKUP(H1134,위치!B:C,2,0)</f>
        <v>#N/A</v>
      </c>
      <c r="J1134" s="9"/>
      <c r="K1134" s="9"/>
      <c r="L1134" s="9" t="e">
        <f>VLOOKUP(H1134,위치!B:D,3,0)</f>
        <v>#N/A</v>
      </c>
      <c r="M1134" s="12"/>
      <c r="N1134" s="5"/>
      <c r="O1134" s="5"/>
      <c r="P1134" s="5"/>
      <c r="Q1134" s="14"/>
      <c r="R1134" s="15">
        <f t="shared" si="17"/>
        <v>0</v>
      </c>
    </row>
    <row r="1135" spans="2:18" x14ac:dyDescent="0.35">
      <c r="B1135" s="9">
        <v>1156</v>
      </c>
      <c r="C1135" s="9"/>
      <c r="D1135" s="9"/>
      <c r="E1135" s="9"/>
      <c r="F1135" s="9"/>
      <c r="G1135" s="9"/>
      <c r="H1135" s="9"/>
      <c r="I1135" s="11" t="e">
        <f>VLOOKUP(H1135,위치!B:C,2,0)</f>
        <v>#N/A</v>
      </c>
      <c r="J1135" s="9"/>
      <c r="K1135" s="9"/>
      <c r="L1135" s="9" t="e">
        <f>VLOOKUP(H1135,위치!B:D,3,0)</f>
        <v>#N/A</v>
      </c>
      <c r="M1135" s="12"/>
      <c r="N1135" s="5"/>
      <c r="O1135" s="5"/>
      <c r="P1135" s="5"/>
      <c r="Q1135" s="14"/>
      <c r="R1135" s="15">
        <f t="shared" si="17"/>
        <v>0</v>
      </c>
    </row>
    <row r="1136" spans="2:18" x14ac:dyDescent="0.35">
      <c r="B1136" s="9">
        <v>1157</v>
      </c>
      <c r="C1136" s="9"/>
      <c r="D1136" s="9"/>
      <c r="E1136" s="9"/>
      <c r="F1136" s="9"/>
      <c r="G1136" s="9"/>
      <c r="H1136" s="9"/>
      <c r="I1136" s="11" t="e">
        <f>VLOOKUP(H1136,위치!B:C,2,0)</f>
        <v>#N/A</v>
      </c>
      <c r="J1136" s="9"/>
      <c r="K1136" s="9"/>
      <c r="L1136" s="9" t="e">
        <f>VLOOKUP(H1136,위치!B:D,3,0)</f>
        <v>#N/A</v>
      </c>
      <c r="M1136" s="12"/>
      <c r="N1136" s="5"/>
      <c r="O1136" s="5"/>
      <c r="P1136" s="5"/>
      <c r="Q1136" s="14"/>
      <c r="R1136" s="15">
        <f t="shared" si="17"/>
        <v>0</v>
      </c>
    </row>
    <row r="1137" spans="2:18" x14ac:dyDescent="0.35">
      <c r="B1137" s="9">
        <v>1158</v>
      </c>
      <c r="C1137" s="9"/>
      <c r="D1137" s="9"/>
      <c r="E1137" s="9"/>
      <c r="F1137" s="9"/>
      <c r="G1137" s="9"/>
      <c r="H1137" s="9"/>
      <c r="I1137" s="11" t="e">
        <f>VLOOKUP(H1137,위치!B:C,2,0)</f>
        <v>#N/A</v>
      </c>
      <c r="J1137" s="9"/>
      <c r="K1137" s="9"/>
      <c r="L1137" s="9" t="e">
        <f>VLOOKUP(H1137,위치!B:D,3,0)</f>
        <v>#N/A</v>
      </c>
      <c r="M1137" s="12"/>
      <c r="N1137" s="5"/>
      <c r="O1137" s="5"/>
      <c r="P1137" s="5"/>
      <c r="Q1137" s="14"/>
      <c r="R1137" s="15">
        <f t="shared" si="17"/>
        <v>0</v>
      </c>
    </row>
    <row r="1138" spans="2:18" x14ac:dyDescent="0.35">
      <c r="B1138" s="9">
        <v>1159</v>
      </c>
      <c r="C1138" s="9"/>
      <c r="D1138" s="9"/>
      <c r="E1138" s="9"/>
      <c r="F1138" s="9"/>
      <c r="G1138" s="9"/>
      <c r="H1138" s="9"/>
      <c r="I1138" s="11" t="e">
        <f>VLOOKUP(H1138,위치!B:C,2,0)</f>
        <v>#N/A</v>
      </c>
      <c r="J1138" s="9"/>
      <c r="K1138" s="9"/>
      <c r="L1138" s="9" t="e">
        <f>VLOOKUP(H1138,위치!B:D,3,0)</f>
        <v>#N/A</v>
      </c>
      <c r="M1138" s="12"/>
      <c r="N1138" s="5"/>
      <c r="O1138" s="5"/>
      <c r="P1138" s="5"/>
      <c r="Q1138" s="14"/>
      <c r="R1138" s="15">
        <f t="shared" si="17"/>
        <v>0</v>
      </c>
    </row>
    <row r="1139" spans="2:18" x14ac:dyDescent="0.35">
      <c r="B1139" s="9">
        <v>1160</v>
      </c>
      <c r="C1139" s="9"/>
      <c r="D1139" s="9"/>
      <c r="E1139" s="9"/>
      <c r="F1139" s="9"/>
      <c r="G1139" s="9"/>
      <c r="H1139" s="9"/>
      <c r="I1139" s="11" t="e">
        <f>VLOOKUP(H1139,위치!B:C,2,0)</f>
        <v>#N/A</v>
      </c>
      <c r="J1139" s="9"/>
      <c r="K1139" s="9"/>
      <c r="L1139" s="9" t="e">
        <f>VLOOKUP(H1139,위치!B:D,3,0)</f>
        <v>#N/A</v>
      </c>
      <c r="M1139" s="12"/>
      <c r="N1139" s="5"/>
      <c r="O1139" s="5"/>
      <c r="P1139" s="5"/>
      <c r="Q1139" s="14"/>
      <c r="R1139" s="15">
        <f t="shared" si="17"/>
        <v>0</v>
      </c>
    </row>
    <row r="1140" spans="2:18" x14ac:dyDescent="0.35">
      <c r="B1140" s="9">
        <v>1161</v>
      </c>
      <c r="C1140" s="9"/>
      <c r="D1140" s="9"/>
      <c r="E1140" s="9"/>
      <c r="F1140" s="9"/>
      <c r="G1140" s="9"/>
      <c r="H1140" s="9"/>
      <c r="I1140" s="11" t="e">
        <f>VLOOKUP(H1140,위치!B:C,2,0)</f>
        <v>#N/A</v>
      </c>
      <c r="J1140" s="9"/>
      <c r="K1140" s="9"/>
      <c r="L1140" s="9" t="e">
        <f>VLOOKUP(H1140,위치!B:D,3,0)</f>
        <v>#N/A</v>
      </c>
      <c r="M1140" s="12"/>
      <c r="N1140" s="5"/>
      <c r="O1140" s="5"/>
      <c r="P1140" s="5"/>
      <c r="Q1140" s="14"/>
      <c r="R1140" s="15">
        <f t="shared" si="17"/>
        <v>0</v>
      </c>
    </row>
    <row r="1141" spans="2:18" x14ac:dyDescent="0.35">
      <c r="B1141" s="9">
        <v>1162</v>
      </c>
      <c r="C1141" s="9"/>
      <c r="D1141" s="9"/>
      <c r="E1141" s="9"/>
      <c r="F1141" s="9"/>
      <c r="G1141" s="9"/>
      <c r="H1141" s="9"/>
      <c r="I1141" s="11" t="e">
        <f>VLOOKUP(H1141,위치!B:C,2,0)</f>
        <v>#N/A</v>
      </c>
      <c r="J1141" s="9"/>
      <c r="K1141" s="9"/>
      <c r="L1141" s="9" t="e">
        <f>VLOOKUP(H1141,위치!B:D,3,0)</f>
        <v>#N/A</v>
      </c>
      <c r="M1141" s="12"/>
      <c r="N1141" s="5"/>
      <c r="O1141" s="5"/>
      <c r="P1141" s="5"/>
      <c r="Q1141" s="14"/>
      <c r="R1141" s="15">
        <f t="shared" si="17"/>
        <v>0</v>
      </c>
    </row>
    <row r="1142" spans="2:18" x14ac:dyDescent="0.35">
      <c r="B1142" s="9">
        <v>1163</v>
      </c>
      <c r="C1142" s="9"/>
      <c r="D1142" s="9"/>
      <c r="E1142" s="9"/>
      <c r="F1142" s="9"/>
      <c r="G1142" s="9"/>
      <c r="H1142" s="9"/>
      <c r="I1142" s="11" t="e">
        <f>VLOOKUP(H1142,위치!B:C,2,0)</f>
        <v>#N/A</v>
      </c>
      <c r="J1142" s="9"/>
      <c r="K1142" s="9"/>
      <c r="L1142" s="9" t="e">
        <f>VLOOKUP(H1142,위치!B:D,3,0)</f>
        <v>#N/A</v>
      </c>
      <c r="M1142" s="12"/>
      <c r="N1142" s="5"/>
      <c r="O1142" s="5"/>
      <c r="P1142" s="5"/>
      <c r="Q1142" s="14"/>
      <c r="R1142" s="15">
        <f t="shared" si="17"/>
        <v>0</v>
      </c>
    </row>
    <row r="1143" spans="2:18" x14ac:dyDescent="0.35">
      <c r="B1143" s="9">
        <v>1164</v>
      </c>
      <c r="C1143" s="9"/>
      <c r="D1143" s="9"/>
      <c r="E1143" s="9"/>
      <c r="F1143" s="9"/>
      <c r="G1143" s="9"/>
      <c r="H1143" s="9"/>
      <c r="I1143" s="11" t="e">
        <f>VLOOKUP(H1143,위치!B:C,2,0)</f>
        <v>#N/A</v>
      </c>
      <c r="J1143" s="9"/>
      <c r="K1143" s="9"/>
      <c r="L1143" s="9" t="e">
        <f>VLOOKUP(H1143,위치!B:D,3,0)</f>
        <v>#N/A</v>
      </c>
      <c r="M1143" s="12"/>
      <c r="N1143" s="5"/>
      <c r="O1143" s="5"/>
      <c r="P1143" s="5"/>
      <c r="Q1143" s="14"/>
      <c r="R1143" s="15">
        <f t="shared" si="17"/>
        <v>0</v>
      </c>
    </row>
    <row r="1144" spans="2:18" x14ac:dyDescent="0.35">
      <c r="B1144" s="9">
        <v>1165</v>
      </c>
      <c r="C1144" s="9"/>
      <c r="D1144" s="9"/>
      <c r="E1144" s="9"/>
      <c r="F1144" s="9"/>
      <c r="G1144" s="9"/>
      <c r="H1144" s="9"/>
      <c r="I1144" s="11" t="e">
        <f>VLOOKUP(H1144,위치!B:C,2,0)</f>
        <v>#N/A</v>
      </c>
      <c r="J1144" s="9"/>
      <c r="K1144" s="9"/>
      <c r="L1144" s="9" t="e">
        <f>VLOOKUP(H1144,위치!B:D,3,0)</f>
        <v>#N/A</v>
      </c>
      <c r="M1144" s="12"/>
      <c r="N1144" s="5"/>
      <c r="O1144" s="5"/>
      <c r="P1144" s="5"/>
      <c r="Q1144" s="14"/>
      <c r="R1144" s="15">
        <f t="shared" si="17"/>
        <v>0</v>
      </c>
    </row>
    <row r="1145" spans="2:18" x14ac:dyDescent="0.35">
      <c r="B1145" s="9">
        <v>1166</v>
      </c>
      <c r="C1145" s="9"/>
      <c r="D1145" s="9"/>
      <c r="E1145" s="9"/>
      <c r="F1145" s="9"/>
      <c r="G1145" s="9"/>
      <c r="H1145" s="9"/>
      <c r="I1145" s="11" t="e">
        <f>VLOOKUP(H1145,위치!B:C,2,0)</f>
        <v>#N/A</v>
      </c>
      <c r="J1145" s="9"/>
      <c r="K1145" s="9"/>
      <c r="L1145" s="9" t="e">
        <f>VLOOKUP(H1145,위치!B:D,3,0)</f>
        <v>#N/A</v>
      </c>
      <c r="M1145" s="12"/>
      <c r="N1145" s="5"/>
      <c r="O1145" s="5"/>
      <c r="P1145" s="5"/>
      <c r="Q1145" s="14"/>
      <c r="R1145" s="15">
        <f t="shared" si="17"/>
        <v>0</v>
      </c>
    </row>
    <row r="1146" spans="2:18" x14ac:dyDescent="0.35">
      <c r="B1146" s="9">
        <v>1167</v>
      </c>
      <c r="C1146" s="9"/>
      <c r="D1146" s="9"/>
      <c r="E1146" s="9"/>
      <c r="F1146" s="9"/>
      <c r="G1146" s="9"/>
      <c r="H1146" s="9"/>
      <c r="I1146" s="11" t="e">
        <f>VLOOKUP(H1146,위치!B:C,2,0)</f>
        <v>#N/A</v>
      </c>
      <c r="J1146" s="9"/>
      <c r="K1146" s="9"/>
      <c r="L1146" s="9" t="e">
        <f>VLOOKUP(H1146,위치!B:D,3,0)</f>
        <v>#N/A</v>
      </c>
      <c r="M1146" s="12"/>
      <c r="N1146" s="5"/>
      <c r="O1146" s="5"/>
      <c r="P1146" s="5"/>
      <c r="Q1146" s="14"/>
      <c r="R1146" s="15">
        <f t="shared" si="17"/>
        <v>0</v>
      </c>
    </row>
    <row r="1147" spans="2:18" x14ac:dyDescent="0.35">
      <c r="B1147" s="9">
        <v>1168</v>
      </c>
      <c r="C1147" s="9"/>
      <c r="D1147" s="9"/>
      <c r="E1147" s="9"/>
      <c r="F1147" s="9"/>
      <c r="G1147" s="9"/>
      <c r="H1147" s="9"/>
      <c r="I1147" s="11" t="e">
        <f>VLOOKUP(H1147,위치!B:C,2,0)</f>
        <v>#N/A</v>
      </c>
      <c r="J1147" s="9"/>
      <c r="K1147" s="9"/>
      <c r="L1147" s="9" t="e">
        <f>VLOOKUP(H1147,위치!B:D,3,0)</f>
        <v>#N/A</v>
      </c>
      <c r="M1147" s="12"/>
      <c r="N1147" s="5"/>
      <c r="O1147" s="5"/>
      <c r="P1147" s="5"/>
      <c r="Q1147" s="14"/>
      <c r="R1147" s="15">
        <f t="shared" si="17"/>
        <v>0</v>
      </c>
    </row>
    <row r="1148" spans="2:18" x14ac:dyDescent="0.35">
      <c r="B1148" s="9">
        <v>1169</v>
      </c>
      <c r="C1148" s="9"/>
      <c r="D1148" s="9"/>
      <c r="E1148" s="9"/>
      <c r="F1148" s="9"/>
      <c r="G1148" s="9"/>
      <c r="H1148" s="9"/>
      <c r="I1148" s="11" t="e">
        <f>VLOOKUP(H1148,위치!B:C,2,0)</f>
        <v>#N/A</v>
      </c>
      <c r="J1148" s="9"/>
      <c r="K1148" s="9"/>
      <c r="L1148" s="9" t="e">
        <f>VLOOKUP(H1148,위치!B:D,3,0)</f>
        <v>#N/A</v>
      </c>
      <c r="M1148" s="12"/>
      <c r="N1148" s="5"/>
      <c r="O1148" s="5"/>
      <c r="P1148" s="5"/>
      <c r="Q1148" s="14"/>
      <c r="R1148" s="15">
        <f t="shared" si="17"/>
        <v>0</v>
      </c>
    </row>
    <row r="1149" spans="2:18" x14ac:dyDescent="0.35">
      <c r="B1149" s="9">
        <v>1170</v>
      </c>
      <c r="C1149" s="9"/>
      <c r="D1149" s="9"/>
      <c r="E1149" s="9"/>
      <c r="F1149" s="9"/>
      <c r="G1149" s="9"/>
      <c r="H1149" s="9"/>
      <c r="I1149" s="11" t="e">
        <f>VLOOKUP(H1149,위치!B:C,2,0)</f>
        <v>#N/A</v>
      </c>
      <c r="J1149" s="9"/>
      <c r="K1149" s="9"/>
      <c r="L1149" s="9" t="e">
        <f>VLOOKUP(H1149,위치!B:D,3,0)</f>
        <v>#N/A</v>
      </c>
      <c r="M1149" s="12"/>
      <c r="N1149" s="5"/>
      <c r="O1149" s="5"/>
      <c r="P1149" s="5"/>
      <c r="Q1149" s="14"/>
      <c r="R1149" s="15">
        <f t="shared" si="17"/>
        <v>0</v>
      </c>
    </row>
    <row r="1150" spans="2:18" x14ac:dyDescent="0.35">
      <c r="B1150" s="9">
        <v>1171</v>
      </c>
      <c r="C1150" s="9"/>
      <c r="D1150" s="9"/>
      <c r="E1150" s="9"/>
      <c r="F1150" s="9"/>
      <c r="G1150" s="9"/>
      <c r="H1150" s="9"/>
      <c r="I1150" s="11" t="e">
        <f>VLOOKUP(H1150,위치!B:C,2,0)</f>
        <v>#N/A</v>
      </c>
      <c r="J1150" s="9"/>
      <c r="K1150" s="9"/>
      <c r="L1150" s="9" t="e">
        <f>VLOOKUP(H1150,위치!B:D,3,0)</f>
        <v>#N/A</v>
      </c>
      <c r="M1150" s="12"/>
      <c r="N1150" s="5"/>
      <c r="O1150" s="5"/>
      <c r="P1150" s="5"/>
      <c r="Q1150" s="14"/>
      <c r="R1150" s="15">
        <f t="shared" si="17"/>
        <v>0</v>
      </c>
    </row>
    <row r="1151" spans="2:18" x14ac:dyDescent="0.35">
      <c r="B1151" s="9">
        <v>1172</v>
      </c>
      <c r="C1151" s="9"/>
      <c r="D1151" s="9"/>
      <c r="E1151" s="9"/>
      <c r="F1151" s="9"/>
      <c r="G1151" s="9"/>
      <c r="H1151" s="9"/>
      <c r="I1151" s="11" t="e">
        <f>VLOOKUP(H1151,위치!B:C,2,0)</f>
        <v>#N/A</v>
      </c>
      <c r="J1151" s="9"/>
      <c r="K1151" s="9"/>
      <c r="L1151" s="9" t="e">
        <f>VLOOKUP(H1151,위치!B:D,3,0)</f>
        <v>#N/A</v>
      </c>
      <c r="M1151" s="12"/>
      <c r="N1151" s="5"/>
      <c r="O1151" s="5"/>
      <c r="P1151" s="5"/>
      <c r="Q1151" s="14"/>
      <c r="R1151" s="15">
        <f t="shared" si="17"/>
        <v>0</v>
      </c>
    </row>
    <row r="1152" spans="2:18" x14ac:dyDescent="0.35">
      <c r="B1152" s="9">
        <v>1173</v>
      </c>
      <c r="C1152" s="9"/>
      <c r="D1152" s="9"/>
      <c r="E1152" s="9"/>
      <c r="F1152" s="9"/>
      <c r="G1152" s="9"/>
      <c r="H1152" s="9"/>
      <c r="I1152" s="11" t="e">
        <f>VLOOKUP(H1152,위치!B:C,2,0)</f>
        <v>#N/A</v>
      </c>
      <c r="J1152" s="9"/>
      <c r="K1152" s="9"/>
      <c r="L1152" s="9" t="e">
        <f>VLOOKUP(H1152,위치!B:D,3,0)</f>
        <v>#N/A</v>
      </c>
      <c r="M1152" s="12"/>
      <c r="N1152" s="5"/>
      <c r="O1152" s="5"/>
      <c r="P1152" s="5"/>
      <c r="Q1152" s="14"/>
      <c r="R1152" s="15">
        <f t="shared" si="17"/>
        <v>0</v>
      </c>
    </row>
    <row r="1153" spans="2:18" x14ac:dyDescent="0.35">
      <c r="B1153" s="9">
        <v>1174</v>
      </c>
      <c r="C1153" s="9"/>
      <c r="D1153" s="9"/>
      <c r="E1153" s="9"/>
      <c r="F1153" s="9"/>
      <c r="G1153" s="9"/>
      <c r="H1153" s="9"/>
      <c r="I1153" s="11" t="e">
        <f>VLOOKUP(H1153,위치!B:C,2,0)</f>
        <v>#N/A</v>
      </c>
      <c r="J1153" s="9"/>
      <c r="K1153" s="9"/>
      <c r="L1153" s="9" t="e">
        <f>VLOOKUP(H1153,위치!B:D,3,0)</f>
        <v>#N/A</v>
      </c>
      <c r="M1153" s="12"/>
      <c r="N1153" s="5"/>
      <c r="O1153" s="5"/>
      <c r="P1153" s="5"/>
      <c r="Q1153" s="14"/>
      <c r="R1153" s="15">
        <f t="shared" si="17"/>
        <v>0</v>
      </c>
    </row>
    <row r="1154" spans="2:18" x14ac:dyDescent="0.35">
      <c r="B1154" s="9">
        <v>1175</v>
      </c>
      <c r="C1154" s="9"/>
      <c r="D1154" s="9"/>
      <c r="E1154" s="9"/>
      <c r="F1154" s="9"/>
      <c r="G1154" s="9"/>
      <c r="H1154" s="9"/>
      <c r="I1154" s="11" t="e">
        <f>VLOOKUP(H1154,위치!B:C,2,0)</f>
        <v>#N/A</v>
      </c>
      <c r="J1154" s="9"/>
      <c r="K1154" s="9"/>
      <c r="L1154" s="9" t="e">
        <f>VLOOKUP(H1154,위치!B:D,3,0)</f>
        <v>#N/A</v>
      </c>
      <c r="M1154" s="12"/>
      <c r="N1154" s="5"/>
      <c r="O1154" s="5"/>
      <c r="P1154" s="5"/>
      <c r="Q1154" s="14"/>
      <c r="R1154" s="15">
        <f t="shared" si="17"/>
        <v>0</v>
      </c>
    </row>
    <row r="1155" spans="2:18" x14ac:dyDescent="0.35">
      <c r="B1155" s="9">
        <v>1176</v>
      </c>
      <c r="C1155" s="9"/>
      <c r="D1155" s="9"/>
      <c r="E1155" s="9"/>
      <c r="F1155" s="9"/>
      <c r="G1155" s="9"/>
      <c r="H1155" s="9"/>
      <c r="I1155" s="11" t="e">
        <f>VLOOKUP(H1155,위치!B:C,2,0)</f>
        <v>#N/A</v>
      </c>
      <c r="J1155" s="9"/>
      <c r="K1155" s="9"/>
      <c r="L1155" s="9" t="e">
        <f>VLOOKUP(H1155,위치!B:D,3,0)</f>
        <v>#N/A</v>
      </c>
      <c r="M1155" s="12"/>
      <c r="N1155" s="5"/>
      <c r="O1155" s="5"/>
      <c r="P1155" s="5"/>
      <c r="Q1155" s="14"/>
      <c r="R1155" s="15">
        <f t="shared" si="17"/>
        <v>0</v>
      </c>
    </row>
    <row r="1156" spans="2:18" x14ac:dyDescent="0.35">
      <c r="B1156" s="9">
        <v>1177</v>
      </c>
      <c r="C1156" s="9"/>
      <c r="D1156" s="9"/>
      <c r="E1156" s="9"/>
      <c r="F1156" s="9"/>
      <c r="G1156" s="9"/>
      <c r="H1156" s="9"/>
      <c r="I1156" s="11" t="e">
        <f>VLOOKUP(H1156,위치!B:C,2,0)</f>
        <v>#N/A</v>
      </c>
      <c r="J1156" s="9"/>
      <c r="K1156" s="9"/>
      <c r="L1156" s="9" t="e">
        <f>VLOOKUP(H1156,위치!B:D,3,0)</f>
        <v>#N/A</v>
      </c>
      <c r="M1156" s="12"/>
      <c r="N1156" s="5"/>
      <c r="O1156" s="5"/>
      <c r="P1156" s="5"/>
      <c r="Q1156" s="14"/>
      <c r="R1156" s="15">
        <f t="shared" si="17"/>
        <v>0</v>
      </c>
    </row>
    <row r="1157" spans="2:18" x14ac:dyDescent="0.35">
      <c r="B1157" s="9">
        <v>1178</v>
      </c>
      <c r="C1157" s="9"/>
      <c r="D1157" s="9"/>
      <c r="E1157" s="9"/>
      <c r="F1157" s="9"/>
      <c r="G1157" s="9"/>
      <c r="H1157" s="9"/>
      <c r="I1157" s="11" t="e">
        <f>VLOOKUP(H1157,위치!B:C,2,0)</f>
        <v>#N/A</v>
      </c>
      <c r="J1157" s="9"/>
      <c r="K1157" s="9"/>
      <c r="L1157" s="9" t="e">
        <f>VLOOKUP(H1157,위치!B:D,3,0)</f>
        <v>#N/A</v>
      </c>
      <c r="M1157" s="12"/>
      <c r="N1157" s="5"/>
      <c r="O1157" s="5"/>
      <c r="P1157" s="5"/>
      <c r="Q1157" s="14"/>
      <c r="R1157" s="15">
        <f t="shared" si="17"/>
        <v>0</v>
      </c>
    </row>
    <row r="1158" spans="2:18" x14ac:dyDescent="0.35">
      <c r="B1158" s="9">
        <v>1179</v>
      </c>
      <c r="C1158" s="9"/>
      <c r="D1158" s="9"/>
      <c r="E1158" s="9"/>
      <c r="F1158" s="9"/>
      <c r="G1158" s="9"/>
      <c r="H1158" s="9"/>
      <c r="I1158" s="11" t="e">
        <f>VLOOKUP(H1158,위치!B:C,2,0)</f>
        <v>#N/A</v>
      </c>
      <c r="J1158" s="9"/>
      <c r="K1158" s="9"/>
      <c r="L1158" s="9" t="e">
        <f>VLOOKUP(H1158,위치!B:D,3,0)</f>
        <v>#N/A</v>
      </c>
      <c r="M1158" s="12"/>
      <c r="N1158" s="5"/>
      <c r="O1158" s="5"/>
      <c r="P1158" s="5"/>
      <c r="Q1158" s="14"/>
      <c r="R1158" s="15">
        <f t="shared" si="17"/>
        <v>0</v>
      </c>
    </row>
    <row r="1159" spans="2:18" x14ac:dyDescent="0.35">
      <c r="B1159" s="9">
        <v>1180</v>
      </c>
      <c r="C1159" s="9"/>
      <c r="D1159" s="9"/>
      <c r="E1159" s="9"/>
      <c r="F1159" s="9"/>
      <c r="G1159" s="9"/>
      <c r="H1159" s="9"/>
      <c r="I1159" s="11" t="e">
        <f>VLOOKUP(H1159,위치!B:C,2,0)</f>
        <v>#N/A</v>
      </c>
      <c r="J1159" s="9"/>
      <c r="K1159" s="9"/>
      <c r="L1159" s="9" t="e">
        <f>VLOOKUP(H1159,위치!B:D,3,0)</f>
        <v>#N/A</v>
      </c>
      <c r="M1159" s="12"/>
      <c r="N1159" s="5"/>
      <c r="O1159" s="5"/>
      <c r="P1159" s="5"/>
      <c r="Q1159" s="14"/>
      <c r="R1159" s="15">
        <f t="shared" ref="R1159:R1222" si="18">J1159-P1159</f>
        <v>0</v>
      </c>
    </row>
    <row r="1160" spans="2:18" x14ac:dyDescent="0.35">
      <c r="B1160" s="9">
        <v>1181</v>
      </c>
      <c r="C1160" s="9"/>
      <c r="D1160" s="9"/>
      <c r="E1160" s="9"/>
      <c r="F1160" s="9"/>
      <c r="G1160" s="9"/>
      <c r="H1160" s="9"/>
      <c r="I1160" s="11" t="e">
        <f>VLOOKUP(H1160,위치!B:C,2,0)</f>
        <v>#N/A</v>
      </c>
      <c r="J1160" s="9"/>
      <c r="K1160" s="9"/>
      <c r="L1160" s="9" t="e">
        <f>VLOOKUP(H1160,위치!B:D,3,0)</f>
        <v>#N/A</v>
      </c>
      <c r="M1160" s="12"/>
      <c r="N1160" s="5"/>
      <c r="O1160" s="5"/>
      <c r="P1160" s="5"/>
      <c r="Q1160" s="14"/>
      <c r="R1160" s="15">
        <f t="shared" si="18"/>
        <v>0</v>
      </c>
    </row>
    <row r="1161" spans="2:18" x14ac:dyDescent="0.35">
      <c r="B1161" s="9">
        <v>1182</v>
      </c>
      <c r="C1161" s="9"/>
      <c r="D1161" s="9"/>
      <c r="E1161" s="9"/>
      <c r="F1161" s="9"/>
      <c r="G1161" s="9"/>
      <c r="H1161" s="9"/>
      <c r="I1161" s="11" t="e">
        <f>VLOOKUP(H1161,위치!B:C,2,0)</f>
        <v>#N/A</v>
      </c>
      <c r="J1161" s="9"/>
      <c r="K1161" s="9"/>
      <c r="L1161" s="9" t="e">
        <f>VLOOKUP(H1161,위치!B:D,3,0)</f>
        <v>#N/A</v>
      </c>
      <c r="M1161" s="12"/>
      <c r="N1161" s="5"/>
      <c r="O1161" s="5"/>
      <c r="P1161" s="5"/>
      <c r="Q1161" s="14"/>
      <c r="R1161" s="15">
        <f t="shared" si="18"/>
        <v>0</v>
      </c>
    </row>
    <row r="1162" spans="2:18" x14ac:dyDescent="0.35">
      <c r="B1162" s="9">
        <v>1183</v>
      </c>
      <c r="C1162" s="9"/>
      <c r="D1162" s="9"/>
      <c r="E1162" s="9"/>
      <c r="F1162" s="9"/>
      <c r="G1162" s="9"/>
      <c r="H1162" s="9"/>
      <c r="I1162" s="11" t="e">
        <f>VLOOKUP(H1162,위치!B:C,2,0)</f>
        <v>#N/A</v>
      </c>
      <c r="J1162" s="9"/>
      <c r="K1162" s="9"/>
      <c r="L1162" s="9" t="e">
        <f>VLOOKUP(H1162,위치!B:D,3,0)</f>
        <v>#N/A</v>
      </c>
      <c r="M1162" s="12"/>
      <c r="N1162" s="5"/>
      <c r="O1162" s="5"/>
      <c r="P1162" s="5"/>
      <c r="Q1162" s="14"/>
      <c r="R1162" s="15">
        <f t="shared" si="18"/>
        <v>0</v>
      </c>
    </row>
    <row r="1163" spans="2:18" x14ac:dyDescent="0.35">
      <c r="B1163" s="9">
        <v>1184</v>
      </c>
      <c r="C1163" s="9"/>
      <c r="D1163" s="9"/>
      <c r="E1163" s="9"/>
      <c r="F1163" s="9"/>
      <c r="G1163" s="9"/>
      <c r="H1163" s="9"/>
      <c r="I1163" s="11" t="e">
        <f>VLOOKUP(H1163,위치!B:C,2,0)</f>
        <v>#N/A</v>
      </c>
      <c r="J1163" s="9"/>
      <c r="K1163" s="9"/>
      <c r="L1163" s="9" t="e">
        <f>VLOOKUP(H1163,위치!B:D,3,0)</f>
        <v>#N/A</v>
      </c>
      <c r="M1163" s="12"/>
      <c r="N1163" s="5"/>
      <c r="O1163" s="5"/>
      <c r="P1163" s="5"/>
      <c r="Q1163" s="14"/>
      <c r="R1163" s="15">
        <f t="shared" si="18"/>
        <v>0</v>
      </c>
    </row>
    <row r="1164" spans="2:18" x14ac:dyDescent="0.35">
      <c r="B1164" s="9">
        <v>1185</v>
      </c>
      <c r="C1164" s="9"/>
      <c r="D1164" s="9"/>
      <c r="E1164" s="9"/>
      <c r="F1164" s="9"/>
      <c r="G1164" s="9"/>
      <c r="H1164" s="9"/>
      <c r="I1164" s="11" t="e">
        <f>VLOOKUP(H1164,위치!B:C,2,0)</f>
        <v>#N/A</v>
      </c>
      <c r="J1164" s="9"/>
      <c r="K1164" s="9"/>
      <c r="L1164" s="9" t="e">
        <f>VLOOKUP(H1164,위치!B:D,3,0)</f>
        <v>#N/A</v>
      </c>
      <c r="M1164" s="12"/>
      <c r="N1164" s="5"/>
      <c r="O1164" s="5"/>
      <c r="P1164" s="5"/>
      <c r="Q1164" s="14"/>
      <c r="R1164" s="15">
        <f t="shared" si="18"/>
        <v>0</v>
      </c>
    </row>
    <row r="1165" spans="2:18" x14ac:dyDescent="0.35">
      <c r="B1165" s="9">
        <v>1186</v>
      </c>
      <c r="C1165" s="9"/>
      <c r="D1165" s="9"/>
      <c r="E1165" s="9"/>
      <c r="F1165" s="9"/>
      <c r="G1165" s="9"/>
      <c r="H1165" s="9"/>
      <c r="I1165" s="11" t="e">
        <f>VLOOKUP(H1165,위치!B:C,2,0)</f>
        <v>#N/A</v>
      </c>
      <c r="J1165" s="9"/>
      <c r="K1165" s="9"/>
      <c r="L1165" s="9" t="e">
        <f>VLOOKUP(H1165,위치!B:D,3,0)</f>
        <v>#N/A</v>
      </c>
      <c r="M1165" s="12"/>
      <c r="N1165" s="5"/>
      <c r="O1165" s="5"/>
      <c r="P1165" s="5"/>
      <c r="Q1165" s="14"/>
      <c r="R1165" s="15">
        <f t="shared" si="18"/>
        <v>0</v>
      </c>
    </row>
    <row r="1166" spans="2:18" x14ac:dyDescent="0.35">
      <c r="B1166" s="9">
        <v>1187</v>
      </c>
      <c r="C1166" s="9"/>
      <c r="D1166" s="9"/>
      <c r="E1166" s="9"/>
      <c r="F1166" s="9"/>
      <c r="G1166" s="9"/>
      <c r="H1166" s="9"/>
      <c r="I1166" s="11" t="e">
        <f>VLOOKUP(H1166,위치!B:C,2,0)</f>
        <v>#N/A</v>
      </c>
      <c r="J1166" s="9"/>
      <c r="K1166" s="9"/>
      <c r="L1166" s="9" t="e">
        <f>VLOOKUP(H1166,위치!B:D,3,0)</f>
        <v>#N/A</v>
      </c>
      <c r="M1166" s="12"/>
      <c r="N1166" s="5"/>
      <c r="O1166" s="5"/>
      <c r="P1166" s="5"/>
      <c r="Q1166" s="14"/>
      <c r="R1166" s="15">
        <f t="shared" si="18"/>
        <v>0</v>
      </c>
    </row>
    <row r="1167" spans="2:18" x14ac:dyDescent="0.35">
      <c r="B1167" s="9">
        <v>1188</v>
      </c>
      <c r="C1167" s="9"/>
      <c r="D1167" s="9"/>
      <c r="E1167" s="9"/>
      <c r="F1167" s="9"/>
      <c r="G1167" s="9"/>
      <c r="H1167" s="9"/>
      <c r="I1167" s="11" t="e">
        <f>VLOOKUP(H1167,위치!B:C,2,0)</f>
        <v>#N/A</v>
      </c>
      <c r="J1167" s="9"/>
      <c r="K1167" s="9"/>
      <c r="L1167" s="9" t="e">
        <f>VLOOKUP(H1167,위치!B:D,3,0)</f>
        <v>#N/A</v>
      </c>
      <c r="M1167" s="12"/>
      <c r="N1167" s="5"/>
      <c r="O1167" s="5"/>
      <c r="P1167" s="5"/>
      <c r="Q1167" s="14"/>
      <c r="R1167" s="15">
        <f t="shared" si="18"/>
        <v>0</v>
      </c>
    </row>
    <row r="1168" spans="2:18" x14ac:dyDescent="0.35">
      <c r="B1168" s="9">
        <v>1189</v>
      </c>
      <c r="C1168" s="9"/>
      <c r="D1168" s="9"/>
      <c r="E1168" s="9"/>
      <c r="F1168" s="9"/>
      <c r="G1168" s="9"/>
      <c r="H1168" s="9"/>
      <c r="I1168" s="11" t="e">
        <f>VLOOKUP(H1168,위치!B:C,2,0)</f>
        <v>#N/A</v>
      </c>
      <c r="J1168" s="9"/>
      <c r="K1168" s="9"/>
      <c r="L1168" s="9" t="e">
        <f>VLOOKUP(H1168,위치!B:D,3,0)</f>
        <v>#N/A</v>
      </c>
      <c r="M1168" s="12"/>
      <c r="N1168" s="5"/>
      <c r="O1168" s="5"/>
      <c r="P1168" s="5"/>
      <c r="Q1168" s="14"/>
      <c r="R1168" s="15">
        <f t="shared" si="18"/>
        <v>0</v>
      </c>
    </row>
    <row r="1169" spans="2:18" x14ac:dyDescent="0.35">
      <c r="B1169" s="9">
        <v>1190</v>
      </c>
      <c r="C1169" s="9"/>
      <c r="D1169" s="9"/>
      <c r="E1169" s="9"/>
      <c r="F1169" s="9"/>
      <c r="G1169" s="9"/>
      <c r="H1169" s="9"/>
      <c r="I1169" s="11" t="e">
        <f>VLOOKUP(H1169,위치!B:C,2,0)</f>
        <v>#N/A</v>
      </c>
      <c r="J1169" s="9"/>
      <c r="K1169" s="9"/>
      <c r="L1169" s="9" t="e">
        <f>VLOOKUP(H1169,위치!B:D,3,0)</f>
        <v>#N/A</v>
      </c>
      <c r="M1169" s="12"/>
      <c r="N1169" s="5"/>
      <c r="O1169" s="5"/>
      <c r="P1169" s="5"/>
      <c r="Q1169" s="14"/>
      <c r="R1169" s="15">
        <f t="shared" si="18"/>
        <v>0</v>
      </c>
    </row>
    <row r="1170" spans="2:18" x14ac:dyDescent="0.35">
      <c r="B1170" s="9">
        <v>1191</v>
      </c>
      <c r="C1170" s="9"/>
      <c r="D1170" s="9"/>
      <c r="E1170" s="9"/>
      <c r="F1170" s="9"/>
      <c r="G1170" s="9"/>
      <c r="H1170" s="9"/>
      <c r="I1170" s="11" t="e">
        <f>VLOOKUP(H1170,위치!B:C,2,0)</f>
        <v>#N/A</v>
      </c>
      <c r="J1170" s="9"/>
      <c r="K1170" s="9"/>
      <c r="L1170" s="9" t="e">
        <f>VLOOKUP(H1170,위치!B:D,3,0)</f>
        <v>#N/A</v>
      </c>
      <c r="M1170" s="12"/>
      <c r="N1170" s="5"/>
      <c r="O1170" s="5"/>
      <c r="P1170" s="5"/>
      <c r="Q1170" s="14"/>
      <c r="R1170" s="15">
        <f t="shared" si="18"/>
        <v>0</v>
      </c>
    </row>
    <row r="1171" spans="2:18" x14ac:dyDescent="0.35">
      <c r="B1171" s="9">
        <v>1192</v>
      </c>
      <c r="C1171" s="9"/>
      <c r="D1171" s="9"/>
      <c r="E1171" s="9"/>
      <c r="F1171" s="9"/>
      <c r="G1171" s="9"/>
      <c r="H1171" s="9"/>
      <c r="I1171" s="11" t="e">
        <f>VLOOKUP(H1171,위치!B:C,2,0)</f>
        <v>#N/A</v>
      </c>
      <c r="J1171" s="9"/>
      <c r="K1171" s="9"/>
      <c r="L1171" s="9" t="e">
        <f>VLOOKUP(H1171,위치!B:D,3,0)</f>
        <v>#N/A</v>
      </c>
      <c r="M1171" s="12"/>
      <c r="N1171" s="5"/>
      <c r="O1171" s="5"/>
      <c r="P1171" s="5"/>
      <c r="Q1171" s="14"/>
      <c r="R1171" s="15">
        <f t="shared" si="18"/>
        <v>0</v>
      </c>
    </row>
    <row r="1172" spans="2:18" x14ac:dyDescent="0.35">
      <c r="B1172" s="9">
        <v>1193</v>
      </c>
      <c r="C1172" s="9"/>
      <c r="D1172" s="9"/>
      <c r="E1172" s="9"/>
      <c r="F1172" s="9"/>
      <c r="G1172" s="9"/>
      <c r="H1172" s="9"/>
      <c r="I1172" s="11" t="e">
        <f>VLOOKUP(H1172,위치!B:C,2,0)</f>
        <v>#N/A</v>
      </c>
      <c r="J1172" s="9"/>
      <c r="K1172" s="9"/>
      <c r="L1172" s="9" t="e">
        <f>VLOOKUP(H1172,위치!B:D,3,0)</f>
        <v>#N/A</v>
      </c>
      <c r="M1172" s="12"/>
      <c r="N1172" s="5"/>
      <c r="O1172" s="5"/>
      <c r="P1172" s="5"/>
      <c r="Q1172" s="14"/>
      <c r="R1172" s="15">
        <f t="shared" si="18"/>
        <v>0</v>
      </c>
    </row>
    <row r="1173" spans="2:18" x14ac:dyDescent="0.35">
      <c r="B1173" s="9">
        <v>1194</v>
      </c>
      <c r="C1173" s="9"/>
      <c r="D1173" s="9"/>
      <c r="E1173" s="9"/>
      <c r="F1173" s="9"/>
      <c r="G1173" s="9"/>
      <c r="H1173" s="9"/>
      <c r="I1173" s="11" t="e">
        <f>VLOOKUP(H1173,위치!B:C,2,0)</f>
        <v>#N/A</v>
      </c>
      <c r="J1173" s="9"/>
      <c r="K1173" s="9"/>
      <c r="L1173" s="9" t="e">
        <f>VLOOKUP(H1173,위치!B:D,3,0)</f>
        <v>#N/A</v>
      </c>
      <c r="M1173" s="12"/>
      <c r="N1173" s="5"/>
      <c r="O1173" s="5"/>
      <c r="P1173" s="5"/>
      <c r="Q1173" s="14"/>
      <c r="R1173" s="15">
        <f t="shared" si="18"/>
        <v>0</v>
      </c>
    </row>
    <row r="1174" spans="2:18" x14ac:dyDescent="0.35">
      <c r="B1174" s="9">
        <v>1195</v>
      </c>
      <c r="C1174" s="9"/>
      <c r="D1174" s="9"/>
      <c r="E1174" s="9"/>
      <c r="F1174" s="9"/>
      <c r="G1174" s="9"/>
      <c r="H1174" s="9"/>
      <c r="I1174" s="11" t="e">
        <f>VLOOKUP(H1174,위치!B:C,2,0)</f>
        <v>#N/A</v>
      </c>
      <c r="J1174" s="9"/>
      <c r="K1174" s="9"/>
      <c r="L1174" s="9" t="e">
        <f>VLOOKUP(H1174,위치!B:D,3,0)</f>
        <v>#N/A</v>
      </c>
      <c r="M1174" s="12"/>
      <c r="N1174" s="5"/>
      <c r="O1174" s="5"/>
      <c r="P1174" s="5"/>
      <c r="Q1174" s="14"/>
      <c r="R1174" s="15">
        <f t="shared" si="18"/>
        <v>0</v>
      </c>
    </row>
    <row r="1175" spans="2:18" x14ac:dyDescent="0.35">
      <c r="B1175" s="9">
        <v>1196</v>
      </c>
      <c r="C1175" s="9"/>
      <c r="D1175" s="9"/>
      <c r="E1175" s="9"/>
      <c r="F1175" s="9"/>
      <c r="G1175" s="9"/>
      <c r="H1175" s="9"/>
      <c r="I1175" s="11" t="e">
        <f>VLOOKUP(H1175,위치!B:C,2,0)</f>
        <v>#N/A</v>
      </c>
      <c r="J1175" s="9"/>
      <c r="K1175" s="9"/>
      <c r="L1175" s="9" t="e">
        <f>VLOOKUP(H1175,위치!B:D,3,0)</f>
        <v>#N/A</v>
      </c>
      <c r="M1175" s="12"/>
      <c r="N1175" s="5"/>
      <c r="O1175" s="5"/>
      <c r="P1175" s="5"/>
      <c r="Q1175" s="14"/>
      <c r="R1175" s="15">
        <f t="shared" si="18"/>
        <v>0</v>
      </c>
    </row>
    <row r="1176" spans="2:18" x14ac:dyDescent="0.35">
      <c r="B1176" s="9">
        <v>1197</v>
      </c>
      <c r="C1176" s="9"/>
      <c r="D1176" s="9"/>
      <c r="E1176" s="9"/>
      <c r="F1176" s="9"/>
      <c r="G1176" s="9"/>
      <c r="H1176" s="9"/>
      <c r="I1176" s="11" t="e">
        <f>VLOOKUP(H1176,위치!B:C,2,0)</f>
        <v>#N/A</v>
      </c>
      <c r="J1176" s="9"/>
      <c r="K1176" s="9"/>
      <c r="L1176" s="9" t="e">
        <f>VLOOKUP(H1176,위치!B:D,3,0)</f>
        <v>#N/A</v>
      </c>
      <c r="M1176" s="12"/>
      <c r="N1176" s="5"/>
      <c r="O1176" s="5"/>
      <c r="P1176" s="5"/>
      <c r="Q1176" s="14"/>
      <c r="R1176" s="15">
        <f t="shared" si="18"/>
        <v>0</v>
      </c>
    </row>
    <row r="1177" spans="2:18" x14ac:dyDescent="0.35">
      <c r="B1177" s="9">
        <v>1198</v>
      </c>
      <c r="C1177" s="9"/>
      <c r="D1177" s="9"/>
      <c r="E1177" s="9"/>
      <c r="F1177" s="9"/>
      <c r="G1177" s="9"/>
      <c r="H1177" s="9"/>
      <c r="I1177" s="11" t="e">
        <f>VLOOKUP(H1177,위치!B:C,2,0)</f>
        <v>#N/A</v>
      </c>
      <c r="J1177" s="9"/>
      <c r="K1177" s="9"/>
      <c r="L1177" s="9" t="e">
        <f>VLOOKUP(H1177,위치!B:D,3,0)</f>
        <v>#N/A</v>
      </c>
      <c r="M1177" s="12"/>
      <c r="N1177" s="5"/>
      <c r="O1177" s="5"/>
      <c r="P1177" s="5"/>
      <c r="Q1177" s="14"/>
      <c r="R1177" s="15">
        <f t="shared" si="18"/>
        <v>0</v>
      </c>
    </row>
    <row r="1178" spans="2:18" x14ac:dyDescent="0.35">
      <c r="B1178" s="9">
        <v>1199</v>
      </c>
      <c r="C1178" s="9"/>
      <c r="D1178" s="9"/>
      <c r="E1178" s="9"/>
      <c r="F1178" s="9"/>
      <c r="G1178" s="9"/>
      <c r="H1178" s="9"/>
      <c r="I1178" s="11" t="e">
        <f>VLOOKUP(H1178,위치!B:C,2,0)</f>
        <v>#N/A</v>
      </c>
      <c r="J1178" s="9"/>
      <c r="K1178" s="9"/>
      <c r="L1178" s="9" t="e">
        <f>VLOOKUP(H1178,위치!B:D,3,0)</f>
        <v>#N/A</v>
      </c>
      <c r="M1178" s="12"/>
      <c r="N1178" s="5"/>
      <c r="O1178" s="5"/>
      <c r="P1178" s="5"/>
      <c r="Q1178" s="14"/>
      <c r="R1178" s="15">
        <f t="shared" si="18"/>
        <v>0</v>
      </c>
    </row>
    <row r="1179" spans="2:18" x14ac:dyDescent="0.35">
      <c r="B1179" s="9">
        <v>1200</v>
      </c>
      <c r="C1179" s="9"/>
      <c r="D1179" s="9"/>
      <c r="E1179" s="9"/>
      <c r="F1179" s="9"/>
      <c r="G1179" s="9"/>
      <c r="H1179" s="9"/>
      <c r="I1179" s="11" t="e">
        <f>VLOOKUP(H1179,위치!B:C,2,0)</f>
        <v>#N/A</v>
      </c>
      <c r="J1179" s="9"/>
      <c r="K1179" s="9"/>
      <c r="L1179" s="9" t="e">
        <f>VLOOKUP(H1179,위치!B:D,3,0)</f>
        <v>#N/A</v>
      </c>
      <c r="M1179" s="12"/>
      <c r="N1179" s="5"/>
      <c r="O1179" s="5"/>
      <c r="P1179" s="5"/>
      <c r="Q1179" s="14"/>
      <c r="R1179" s="15">
        <f t="shared" si="18"/>
        <v>0</v>
      </c>
    </row>
    <row r="1180" spans="2:18" x14ac:dyDescent="0.35">
      <c r="B1180" s="9">
        <v>1201</v>
      </c>
      <c r="C1180" s="9"/>
      <c r="D1180" s="9"/>
      <c r="E1180" s="9"/>
      <c r="F1180" s="9"/>
      <c r="G1180" s="9"/>
      <c r="H1180" s="9"/>
      <c r="I1180" s="11" t="e">
        <f>VLOOKUP(H1180,위치!B:C,2,0)</f>
        <v>#N/A</v>
      </c>
      <c r="J1180" s="9"/>
      <c r="K1180" s="9"/>
      <c r="L1180" s="9" t="e">
        <f>VLOOKUP(H1180,위치!B:D,3,0)</f>
        <v>#N/A</v>
      </c>
      <c r="M1180" s="12"/>
      <c r="N1180" s="5"/>
      <c r="O1180" s="5"/>
      <c r="P1180" s="5"/>
      <c r="Q1180" s="14"/>
      <c r="R1180" s="15">
        <f t="shared" si="18"/>
        <v>0</v>
      </c>
    </row>
    <row r="1181" spans="2:18" x14ac:dyDescent="0.35">
      <c r="B1181" s="9">
        <v>1202</v>
      </c>
      <c r="C1181" s="9"/>
      <c r="D1181" s="9"/>
      <c r="E1181" s="9"/>
      <c r="F1181" s="9"/>
      <c r="G1181" s="9"/>
      <c r="H1181" s="9"/>
      <c r="I1181" s="11" t="e">
        <f>VLOOKUP(H1181,위치!B:C,2,0)</f>
        <v>#N/A</v>
      </c>
      <c r="J1181" s="9"/>
      <c r="K1181" s="9"/>
      <c r="L1181" s="9" t="e">
        <f>VLOOKUP(H1181,위치!B:D,3,0)</f>
        <v>#N/A</v>
      </c>
      <c r="M1181" s="12"/>
      <c r="N1181" s="5"/>
      <c r="O1181" s="5"/>
      <c r="P1181" s="5"/>
      <c r="Q1181" s="14"/>
      <c r="R1181" s="15">
        <f t="shared" si="18"/>
        <v>0</v>
      </c>
    </row>
    <row r="1182" spans="2:18" x14ac:dyDescent="0.35">
      <c r="B1182" s="9">
        <v>1203</v>
      </c>
      <c r="C1182" s="9"/>
      <c r="D1182" s="9"/>
      <c r="E1182" s="9"/>
      <c r="F1182" s="9"/>
      <c r="G1182" s="9"/>
      <c r="H1182" s="9"/>
      <c r="I1182" s="11" t="e">
        <f>VLOOKUP(H1182,위치!B:C,2,0)</f>
        <v>#N/A</v>
      </c>
      <c r="J1182" s="9"/>
      <c r="K1182" s="9"/>
      <c r="L1182" s="9" t="e">
        <f>VLOOKUP(H1182,위치!B:D,3,0)</f>
        <v>#N/A</v>
      </c>
      <c r="M1182" s="12"/>
      <c r="N1182" s="5"/>
      <c r="O1182" s="5"/>
      <c r="P1182" s="5"/>
      <c r="Q1182" s="14"/>
      <c r="R1182" s="15">
        <f t="shared" si="18"/>
        <v>0</v>
      </c>
    </row>
    <row r="1183" spans="2:18" x14ac:dyDescent="0.35">
      <c r="B1183" s="9">
        <v>1204</v>
      </c>
      <c r="C1183" s="9"/>
      <c r="D1183" s="9"/>
      <c r="E1183" s="9"/>
      <c r="F1183" s="9"/>
      <c r="G1183" s="9"/>
      <c r="H1183" s="9"/>
      <c r="I1183" s="11" t="e">
        <f>VLOOKUP(H1183,위치!B:C,2,0)</f>
        <v>#N/A</v>
      </c>
      <c r="J1183" s="9"/>
      <c r="K1183" s="9"/>
      <c r="L1183" s="9" t="e">
        <f>VLOOKUP(H1183,위치!B:D,3,0)</f>
        <v>#N/A</v>
      </c>
      <c r="M1183" s="12"/>
      <c r="N1183" s="5"/>
      <c r="O1183" s="5"/>
      <c r="P1183" s="5"/>
      <c r="Q1183" s="14"/>
      <c r="R1183" s="15">
        <f t="shared" si="18"/>
        <v>0</v>
      </c>
    </row>
    <row r="1184" spans="2:18" x14ac:dyDescent="0.35">
      <c r="B1184" s="9">
        <v>1205</v>
      </c>
      <c r="C1184" s="9"/>
      <c r="D1184" s="9"/>
      <c r="E1184" s="9"/>
      <c r="F1184" s="9"/>
      <c r="G1184" s="9"/>
      <c r="H1184" s="9"/>
      <c r="I1184" s="11" t="e">
        <f>VLOOKUP(H1184,위치!B:C,2,0)</f>
        <v>#N/A</v>
      </c>
      <c r="J1184" s="9"/>
      <c r="K1184" s="9"/>
      <c r="L1184" s="9" t="e">
        <f>VLOOKUP(H1184,위치!B:D,3,0)</f>
        <v>#N/A</v>
      </c>
      <c r="M1184" s="12"/>
      <c r="N1184" s="5"/>
      <c r="O1184" s="5"/>
      <c r="P1184" s="5"/>
      <c r="Q1184" s="14"/>
      <c r="R1184" s="15">
        <f t="shared" si="18"/>
        <v>0</v>
      </c>
    </row>
    <row r="1185" spans="2:18" x14ac:dyDescent="0.35">
      <c r="B1185" s="9">
        <v>1206</v>
      </c>
      <c r="C1185" s="9"/>
      <c r="D1185" s="9"/>
      <c r="E1185" s="9"/>
      <c r="F1185" s="9"/>
      <c r="G1185" s="9"/>
      <c r="H1185" s="9"/>
      <c r="I1185" s="11" t="e">
        <f>VLOOKUP(H1185,위치!B:C,2,0)</f>
        <v>#N/A</v>
      </c>
      <c r="J1185" s="9"/>
      <c r="K1185" s="9"/>
      <c r="L1185" s="9" t="e">
        <f>VLOOKUP(H1185,위치!B:D,3,0)</f>
        <v>#N/A</v>
      </c>
      <c r="M1185" s="12"/>
      <c r="N1185" s="5"/>
      <c r="O1185" s="5"/>
      <c r="P1185" s="5"/>
      <c r="Q1185" s="14"/>
      <c r="R1185" s="15">
        <f t="shared" si="18"/>
        <v>0</v>
      </c>
    </row>
    <row r="1186" spans="2:18" x14ac:dyDescent="0.35">
      <c r="B1186" s="9">
        <v>1207</v>
      </c>
      <c r="C1186" s="9"/>
      <c r="D1186" s="9"/>
      <c r="E1186" s="9"/>
      <c r="F1186" s="9"/>
      <c r="G1186" s="9"/>
      <c r="H1186" s="9"/>
      <c r="I1186" s="11" t="e">
        <f>VLOOKUP(H1186,위치!B:C,2,0)</f>
        <v>#N/A</v>
      </c>
      <c r="J1186" s="9"/>
      <c r="K1186" s="9"/>
      <c r="L1186" s="9" t="e">
        <f>VLOOKUP(H1186,위치!B:D,3,0)</f>
        <v>#N/A</v>
      </c>
      <c r="M1186" s="12"/>
      <c r="N1186" s="5"/>
      <c r="O1186" s="5"/>
      <c r="P1186" s="5"/>
      <c r="Q1186" s="14"/>
      <c r="R1186" s="15">
        <f t="shared" si="18"/>
        <v>0</v>
      </c>
    </row>
    <row r="1187" spans="2:18" x14ac:dyDescent="0.35">
      <c r="B1187" s="9">
        <v>1208</v>
      </c>
      <c r="C1187" s="9"/>
      <c r="D1187" s="9"/>
      <c r="E1187" s="9"/>
      <c r="F1187" s="9"/>
      <c r="G1187" s="9"/>
      <c r="H1187" s="9"/>
      <c r="I1187" s="11" t="e">
        <f>VLOOKUP(H1187,위치!B:C,2,0)</f>
        <v>#N/A</v>
      </c>
      <c r="J1187" s="9"/>
      <c r="K1187" s="9"/>
      <c r="L1187" s="9" t="e">
        <f>VLOOKUP(H1187,위치!B:D,3,0)</f>
        <v>#N/A</v>
      </c>
      <c r="M1187" s="12"/>
      <c r="N1187" s="5"/>
      <c r="O1187" s="5"/>
      <c r="P1187" s="5"/>
      <c r="Q1187" s="14"/>
      <c r="R1187" s="15">
        <f t="shared" si="18"/>
        <v>0</v>
      </c>
    </row>
    <row r="1188" spans="2:18" x14ac:dyDescent="0.35">
      <c r="B1188" s="9">
        <v>1209</v>
      </c>
      <c r="C1188" s="9"/>
      <c r="D1188" s="9"/>
      <c r="E1188" s="9"/>
      <c r="F1188" s="9"/>
      <c r="G1188" s="9"/>
      <c r="H1188" s="9"/>
      <c r="I1188" s="11" t="e">
        <f>VLOOKUP(H1188,위치!B:C,2,0)</f>
        <v>#N/A</v>
      </c>
      <c r="J1188" s="9"/>
      <c r="K1188" s="9"/>
      <c r="L1188" s="9" t="e">
        <f>VLOOKUP(H1188,위치!B:D,3,0)</f>
        <v>#N/A</v>
      </c>
      <c r="M1188" s="12"/>
      <c r="N1188" s="5"/>
      <c r="O1188" s="5"/>
      <c r="P1188" s="5"/>
      <c r="Q1188" s="14"/>
      <c r="R1188" s="15">
        <f t="shared" si="18"/>
        <v>0</v>
      </c>
    </row>
    <row r="1189" spans="2:18" x14ac:dyDescent="0.35">
      <c r="B1189" s="9">
        <v>1210</v>
      </c>
      <c r="C1189" s="9"/>
      <c r="D1189" s="9"/>
      <c r="E1189" s="9"/>
      <c r="F1189" s="9"/>
      <c r="G1189" s="9"/>
      <c r="H1189" s="9"/>
      <c r="I1189" s="11" t="e">
        <f>VLOOKUP(H1189,위치!B:C,2,0)</f>
        <v>#N/A</v>
      </c>
      <c r="J1189" s="9"/>
      <c r="K1189" s="9"/>
      <c r="L1189" s="9" t="e">
        <f>VLOOKUP(H1189,위치!B:D,3,0)</f>
        <v>#N/A</v>
      </c>
      <c r="M1189" s="12"/>
      <c r="N1189" s="5"/>
      <c r="O1189" s="5"/>
      <c r="P1189" s="5"/>
      <c r="Q1189" s="14"/>
      <c r="R1189" s="15">
        <f t="shared" si="18"/>
        <v>0</v>
      </c>
    </row>
    <row r="1190" spans="2:18" x14ac:dyDescent="0.35">
      <c r="B1190" s="9">
        <v>1211</v>
      </c>
      <c r="C1190" s="9"/>
      <c r="D1190" s="9"/>
      <c r="E1190" s="9"/>
      <c r="F1190" s="9"/>
      <c r="G1190" s="9"/>
      <c r="H1190" s="9"/>
      <c r="I1190" s="11" t="e">
        <f>VLOOKUP(H1190,위치!B:C,2,0)</f>
        <v>#N/A</v>
      </c>
      <c r="J1190" s="9"/>
      <c r="K1190" s="9"/>
      <c r="L1190" s="9" t="e">
        <f>VLOOKUP(H1190,위치!B:D,3,0)</f>
        <v>#N/A</v>
      </c>
      <c r="M1190" s="12"/>
      <c r="N1190" s="5"/>
      <c r="O1190" s="5"/>
      <c r="P1190" s="5"/>
      <c r="Q1190" s="14"/>
      <c r="R1190" s="15">
        <f t="shared" si="18"/>
        <v>0</v>
      </c>
    </row>
    <row r="1191" spans="2:18" x14ac:dyDescent="0.35">
      <c r="B1191" s="9">
        <v>1212</v>
      </c>
      <c r="C1191" s="9"/>
      <c r="D1191" s="9"/>
      <c r="E1191" s="9"/>
      <c r="F1191" s="9"/>
      <c r="G1191" s="9"/>
      <c r="H1191" s="9"/>
      <c r="I1191" s="11" t="e">
        <f>VLOOKUP(H1191,위치!B:C,2,0)</f>
        <v>#N/A</v>
      </c>
      <c r="J1191" s="9"/>
      <c r="K1191" s="9"/>
      <c r="L1191" s="9" t="e">
        <f>VLOOKUP(H1191,위치!B:D,3,0)</f>
        <v>#N/A</v>
      </c>
      <c r="M1191" s="12"/>
      <c r="N1191" s="5"/>
      <c r="O1191" s="5"/>
      <c r="P1191" s="5"/>
      <c r="Q1191" s="14"/>
      <c r="R1191" s="15">
        <f t="shared" si="18"/>
        <v>0</v>
      </c>
    </row>
    <row r="1192" spans="2:18" x14ac:dyDescent="0.35">
      <c r="B1192" s="9">
        <v>1213</v>
      </c>
      <c r="C1192" s="9"/>
      <c r="D1192" s="9"/>
      <c r="E1192" s="9"/>
      <c r="F1192" s="9"/>
      <c r="G1192" s="9"/>
      <c r="H1192" s="9"/>
      <c r="I1192" s="11" t="e">
        <f>VLOOKUP(H1192,위치!B:C,2,0)</f>
        <v>#N/A</v>
      </c>
      <c r="J1192" s="9"/>
      <c r="K1192" s="9"/>
      <c r="L1192" s="9" t="e">
        <f>VLOOKUP(H1192,위치!B:D,3,0)</f>
        <v>#N/A</v>
      </c>
      <c r="M1192" s="12"/>
      <c r="N1192" s="5"/>
      <c r="O1192" s="5"/>
      <c r="P1192" s="5"/>
      <c r="Q1192" s="14"/>
      <c r="R1192" s="15">
        <f t="shared" si="18"/>
        <v>0</v>
      </c>
    </row>
    <row r="1193" spans="2:18" x14ac:dyDescent="0.35">
      <c r="B1193" s="9">
        <v>1214</v>
      </c>
      <c r="C1193" s="9"/>
      <c r="D1193" s="9"/>
      <c r="E1193" s="9"/>
      <c r="F1193" s="9"/>
      <c r="G1193" s="9"/>
      <c r="H1193" s="9"/>
      <c r="I1193" s="11" t="e">
        <f>VLOOKUP(H1193,위치!B:C,2,0)</f>
        <v>#N/A</v>
      </c>
      <c r="J1193" s="9"/>
      <c r="K1193" s="9"/>
      <c r="L1193" s="9" t="e">
        <f>VLOOKUP(H1193,위치!B:D,3,0)</f>
        <v>#N/A</v>
      </c>
      <c r="M1193" s="12"/>
      <c r="N1193" s="5"/>
      <c r="O1193" s="5"/>
      <c r="P1193" s="5"/>
      <c r="Q1193" s="14"/>
      <c r="R1193" s="15">
        <f t="shared" si="18"/>
        <v>0</v>
      </c>
    </row>
    <row r="1194" spans="2:18" x14ac:dyDescent="0.35">
      <c r="B1194" s="9">
        <v>1215</v>
      </c>
      <c r="C1194" s="9"/>
      <c r="D1194" s="9"/>
      <c r="E1194" s="9"/>
      <c r="F1194" s="9"/>
      <c r="G1194" s="9"/>
      <c r="H1194" s="9"/>
      <c r="I1194" s="11" t="e">
        <f>VLOOKUP(H1194,위치!B:C,2,0)</f>
        <v>#N/A</v>
      </c>
      <c r="J1194" s="9"/>
      <c r="K1194" s="9"/>
      <c r="L1194" s="9" t="e">
        <f>VLOOKUP(H1194,위치!B:D,3,0)</f>
        <v>#N/A</v>
      </c>
      <c r="M1194" s="12"/>
      <c r="N1194" s="5"/>
      <c r="O1194" s="5"/>
      <c r="P1194" s="5"/>
      <c r="Q1194" s="14"/>
      <c r="R1194" s="15">
        <f t="shared" si="18"/>
        <v>0</v>
      </c>
    </row>
    <row r="1195" spans="2:18" x14ac:dyDescent="0.35">
      <c r="B1195" s="9">
        <v>1216</v>
      </c>
      <c r="C1195" s="9"/>
      <c r="D1195" s="9"/>
      <c r="E1195" s="9"/>
      <c r="F1195" s="9"/>
      <c r="G1195" s="9"/>
      <c r="H1195" s="9"/>
      <c r="I1195" s="11" t="e">
        <f>VLOOKUP(H1195,위치!B:C,2,0)</f>
        <v>#N/A</v>
      </c>
      <c r="J1195" s="9"/>
      <c r="K1195" s="9"/>
      <c r="L1195" s="9" t="e">
        <f>VLOOKUP(H1195,위치!B:D,3,0)</f>
        <v>#N/A</v>
      </c>
      <c r="M1195" s="12"/>
      <c r="N1195" s="5"/>
      <c r="O1195" s="5"/>
      <c r="P1195" s="5"/>
      <c r="Q1195" s="14"/>
      <c r="R1195" s="15">
        <f t="shared" si="18"/>
        <v>0</v>
      </c>
    </row>
    <row r="1196" spans="2:18" x14ac:dyDescent="0.35">
      <c r="B1196" s="9">
        <v>1217</v>
      </c>
      <c r="C1196" s="9"/>
      <c r="D1196" s="9"/>
      <c r="E1196" s="9"/>
      <c r="F1196" s="9"/>
      <c r="G1196" s="9"/>
      <c r="H1196" s="9"/>
      <c r="I1196" s="11" t="e">
        <f>VLOOKUP(H1196,위치!B:C,2,0)</f>
        <v>#N/A</v>
      </c>
      <c r="J1196" s="9"/>
      <c r="K1196" s="9"/>
      <c r="L1196" s="9" t="e">
        <f>VLOOKUP(H1196,위치!B:D,3,0)</f>
        <v>#N/A</v>
      </c>
      <c r="M1196" s="12"/>
      <c r="N1196" s="5"/>
      <c r="O1196" s="5"/>
      <c r="P1196" s="5"/>
      <c r="Q1196" s="14"/>
      <c r="R1196" s="15">
        <f t="shared" si="18"/>
        <v>0</v>
      </c>
    </row>
    <row r="1197" spans="2:18" x14ac:dyDescent="0.35">
      <c r="B1197" s="9">
        <v>1218</v>
      </c>
      <c r="C1197" s="9"/>
      <c r="D1197" s="9"/>
      <c r="E1197" s="9"/>
      <c r="F1197" s="9"/>
      <c r="G1197" s="9"/>
      <c r="H1197" s="9"/>
      <c r="I1197" s="11" t="e">
        <f>VLOOKUP(H1197,위치!B:C,2,0)</f>
        <v>#N/A</v>
      </c>
      <c r="J1197" s="9"/>
      <c r="K1197" s="9"/>
      <c r="L1197" s="9" t="e">
        <f>VLOOKUP(H1197,위치!B:D,3,0)</f>
        <v>#N/A</v>
      </c>
      <c r="M1197" s="12"/>
      <c r="N1197" s="5"/>
      <c r="O1197" s="5"/>
      <c r="P1197" s="5"/>
      <c r="Q1197" s="14"/>
      <c r="R1197" s="15">
        <f t="shared" si="18"/>
        <v>0</v>
      </c>
    </row>
    <row r="1198" spans="2:18" x14ac:dyDescent="0.35">
      <c r="B1198" s="9">
        <v>1219</v>
      </c>
      <c r="C1198" s="9"/>
      <c r="D1198" s="9"/>
      <c r="E1198" s="9"/>
      <c r="F1198" s="9"/>
      <c r="G1198" s="9"/>
      <c r="H1198" s="9"/>
      <c r="I1198" s="11" t="e">
        <f>VLOOKUP(H1198,위치!B:C,2,0)</f>
        <v>#N/A</v>
      </c>
      <c r="J1198" s="9"/>
      <c r="K1198" s="9"/>
      <c r="L1198" s="9" t="e">
        <f>VLOOKUP(H1198,위치!B:D,3,0)</f>
        <v>#N/A</v>
      </c>
      <c r="M1198" s="12"/>
      <c r="N1198" s="5"/>
      <c r="O1198" s="5"/>
      <c r="P1198" s="5"/>
      <c r="Q1198" s="14"/>
      <c r="R1198" s="15">
        <f t="shared" si="18"/>
        <v>0</v>
      </c>
    </row>
    <row r="1199" spans="2:18" x14ac:dyDescent="0.35">
      <c r="B1199" s="9">
        <v>1220</v>
      </c>
      <c r="C1199" s="9"/>
      <c r="D1199" s="9"/>
      <c r="E1199" s="9"/>
      <c r="F1199" s="9"/>
      <c r="G1199" s="9"/>
      <c r="H1199" s="9"/>
      <c r="I1199" s="11" t="e">
        <f>VLOOKUP(H1199,위치!B:C,2,0)</f>
        <v>#N/A</v>
      </c>
      <c r="J1199" s="9"/>
      <c r="K1199" s="9"/>
      <c r="L1199" s="9" t="e">
        <f>VLOOKUP(H1199,위치!B:D,3,0)</f>
        <v>#N/A</v>
      </c>
      <c r="M1199" s="12"/>
      <c r="N1199" s="5"/>
      <c r="O1199" s="5"/>
      <c r="P1199" s="5"/>
      <c r="Q1199" s="14"/>
      <c r="R1199" s="15">
        <f t="shared" si="18"/>
        <v>0</v>
      </c>
    </row>
    <row r="1200" spans="2:18" x14ac:dyDescent="0.35">
      <c r="B1200" s="9">
        <v>1221</v>
      </c>
      <c r="C1200" s="9"/>
      <c r="D1200" s="9"/>
      <c r="E1200" s="9"/>
      <c r="F1200" s="9"/>
      <c r="G1200" s="9"/>
      <c r="H1200" s="9"/>
      <c r="I1200" s="11" t="e">
        <f>VLOOKUP(H1200,위치!B:C,2,0)</f>
        <v>#N/A</v>
      </c>
      <c r="J1200" s="9"/>
      <c r="K1200" s="9"/>
      <c r="L1200" s="9" t="e">
        <f>VLOOKUP(H1200,위치!B:D,3,0)</f>
        <v>#N/A</v>
      </c>
      <c r="M1200" s="12"/>
      <c r="N1200" s="5"/>
      <c r="O1200" s="5"/>
      <c r="P1200" s="5"/>
      <c r="Q1200" s="14"/>
      <c r="R1200" s="15">
        <f t="shared" si="18"/>
        <v>0</v>
      </c>
    </row>
    <row r="1201" spans="2:18" x14ac:dyDescent="0.35">
      <c r="B1201" s="9">
        <v>1222</v>
      </c>
      <c r="C1201" s="9"/>
      <c r="D1201" s="9"/>
      <c r="E1201" s="9"/>
      <c r="F1201" s="9"/>
      <c r="G1201" s="9"/>
      <c r="H1201" s="9"/>
      <c r="I1201" s="11" t="e">
        <f>VLOOKUP(H1201,위치!B:C,2,0)</f>
        <v>#N/A</v>
      </c>
      <c r="J1201" s="9"/>
      <c r="K1201" s="9"/>
      <c r="L1201" s="9" t="e">
        <f>VLOOKUP(H1201,위치!B:D,3,0)</f>
        <v>#N/A</v>
      </c>
      <c r="M1201" s="12"/>
      <c r="N1201" s="5"/>
      <c r="O1201" s="5"/>
      <c r="P1201" s="5"/>
      <c r="Q1201" s="14"/>
      <c r="R1201" s="15">
        <f t="shared" si="18"/>
        <v>0</v>
      </c>
    </row>
    <row r="1202" spans="2:18" x14ac:dyDescent="0.35">
      <c r="B1202" s="9">
        <v>1223</v>
      </c>
      <c r="C1202" s="9"/>
      <c r="D1202" s="9"/>
      <c r="E1202" s="9"/>
      <c r="F1202" s="9"/>
      <c r="G1202" s="9"/>
      <c r="H1202" s="9"/>
      <c r="I1202" s="11" t="e">
        <f>VLOOKUP(H1202,위치!B:C,2,0)</f>
        <v>#N/A</v>
      </c>
      <c r="J1202" s="9"/>
      <c r="K1202" s="9"/>
      <c r="L1202" s="9" t="e">
        <f>VLOOKUP(H1202,위치!B:D,3,0)</f>
        <v>#N/A</v>
      </c>
      <c r="M1202" s="12"/>
      <c r="N1202" s="5"/>
      <c r="O1202" s="5"/>
      <c r="P1202" s="5"/>
      <c r="Q1202" s="14"/>
      <c r="R1202" s="15">
        <f t="shared" si="18"/>
        <v>0</v>
      </c>
    </row>
    <row r="1203" spans="2:18" x14ac:dyDescent="0.35">
      <c r="B1203" s="9">
        <v>1224</v>
      </c>
      <c r="C1203" s="9"/>
      <c r="D1203" s="9"/>
      <c r="E1203" s="9"/>
      <c r="F1203" s="9"/>
      <c r="G1203" s="9"/>
      <c r="H1203" s="9"/>
      <c r="I1203" s="11" t="e">
        <f>VLOOKUP(H1203,위치!B:C,2,0)</f>
        <v>#N/A</v>
      </c>
      <c r="J1203" s="9"/>
      <c r="K1203" s="9"/>
      <c r="L1203" s="9" t="e">
        <f>VLOOKUP(H1203,위치!B:D,3,0)</f>
        <v>#N/A</v>
      </c>
      <c r="M1203" s="12"/>
      <c r="N1203" s="5"/>
      <c r="O1203" s="5"/>
      <c r="P1203" s="5"/>
      <c r="Q1203" s="14"/>
      <c r="R1203" s="15">
        <f t="shared" si="18"/>
        <v>0</v>
      </c>
    </row>
    <row r="1204" spans="2:18" x14ac:dyDescent="0.35">
      <c r="B1204" s="9">
        <v>1225</v>
      </c>
      <c r="C1204" s="9"/>
      <c r="D1204" s="9"/>
      <c r="E1204" s="9"/>
      <c r="F1204" s="9"/>
      <c r="G1204" s="9"/>
      <c r="H1204" s="9"/>
      <c r="I1204" s="11" t="e">
        <f>VLOOKUP(H1204,위치!B:C,2,0)</f>
        <v>#N/A</v>
      </c>
      <c r="J1204" s="9"/>
      <c r="K1204" s="9"/>
      <c r="L1204" s="9" t="e">
        <f>VLOOKUP(H1204,위치!B:D,3,0)</f>
        <v>#N/A</v>
      </c>
      <c r="M1204" s="12"/>
      <c r="N1204" s="5"/>
      <c r="O1204" s="5"/>
      <c r="P1204" s="5"/>
      <c r="Q1204" s="14"/>
      <c r="R1204" s="15">
        <f t="shared" si="18"/>
        <v>0</v>
      </c>
    </row>
    <row r="1205" spans="2:18" x14ac:dyDescent="0.35">
      <c r="B1205" s="9">
        <v>1226</v>
      </c>
      <c r="C1205" s="9"/>
      <c r="D1205" s="9"/>
      <c r="E1205" s="9"/>
      <c r="F1205" s="9"/>
      <c r="G1205" s="9"/>
      <c r="H1205" s="9"/>
      <c r="I1205" s="11" t="e">
        <f>VLOOKUP(H1205,위치!B:C,2,0)</f>
        <v>#N/A</v>
      </c>
      <c r="J1205" s="9"/>
      <c r="K1205" s="9"/>
      <c r="L1205" s="9" t="e">
        <f>VLOOKUP(H1205,위치!B:D,3,0)</f>
        <v>#N/A</v>
      </c>
      <c r="M1205" s="12"/>
      <c r="N1205" s="5"/>
      <c r="O1205" s="5"/>
      <c r="P1205" s="5"/>
      <c r="Q1205" s="14"/>
      <c r="R1205" s="15">
        <f t="shared" si="18"/>
        <v>0</v>
      </c>
    </row>
    <row r="1206" spans="2:18" x14ac:dyDescent="0.35">
      <c r="B1206" s="9">
        <v>1227</v>
      </c>
      <c r="C1206" s="9"/>
      <c r="D1206" s="9"/>
      <c r="E1206" s="9"/>
      <c r="F1206" s="9"/>
      <c r="G1206" s="9"/>
      <c r="H1206" s="9"/>
      <c r="I1206" s="11" t="e">
        <f>VLOOKUP(H1206,위치!B:C,2,0)</f>
        <v>#N/A</v>
      </c>
      <c r="J1206" s="9"/>
      <c r="K1206" s="9"/>
      <c r="L1206" s="9" t="e">
        <f>VLOOKUP(H1206,위치!B:D,3,0)</f>
        <v>#N/A</v>
      </c>
      <c r="M1206" s="12"/>
      <c r="N1206" s="5"/>
      <c r="O1206" s="5"/>
      <c r="P1206" s="5"/>
      <c r="Q1206" s="14"/>
      <c r="R1206" s="15">
        <f t="shared" si="18"/>
        <v>0</v>
      </c>
    </row>
    <row r="1207" spans="2:18" x14ac:dyDescent="0.35">
      <c r="B1207" s="9">
        <v>1228</v>
      </c>
      <c r="C1207" s="9"/>
      <c r="D1207" s="9"/>
      <c r="E1207" s="9"/>
      <c r="F1207" s="9"/>
      <c r="G1207" s="9"/>
      <c r="H1207" s="9"/>
      <c r="I1207" s="11" t="e">
        <f>VLOOKUP(H1207,위치!B:C,2,0)</f>
        <v>#N/A</v>
      </c>
      <c r="J1207" s="9"/>
      <c r="K1207" s="9"/>
      <c r="L1207" s="9" t="e">
        <f>VLOOKUP(H1207,위치!B:D,3,0)</f>
        <v>#N/A</v>
      </c>
      <c r="M1207" s="12"/>
      <c r="N1207" s="5"/>
      <c r="O1207" s="5"/>
      <c r="P1207" s="5"/>
      <c r="Q1207" s="14"/>
      <c r="R1207" s="15">
        <f t="shared" si="18"/>
        <v>0</v>
      </c>
    </row>
    <row r="1208" spans="2:18" x14ac:dyDescent="0.35">
      <c r="B1208" s="9">
        <v>1229</v>
      </c>
      <c r="C1208" s="9"/>
      <c r="D1208" s="9"/>
      <c r="E1208" s="9"/>
      <c r="F1208" s="9"/>
      <c r="G1208" s="9"/>
      <c r="H1208" s="9"/>
      <c r="I1208" s="11" t="e">
        <f>VLOOKUP(H1208,위치!B:C,2,0)</f>
        <v>#N/A</v>
      </c>
      <c r="J1208" s="9"/>
      <c r="K1208" s="9"/>
      <c r="L1208" s="9" t="e">
        <f>VLOOKUP(H1208,위치!B:D,3,0)</f>
        <v>#N/A</v>
      </c>
      <c r="M1208" s="12"/>
      <c r="N1208" s="5"/>
      <c r="O1208" s="5"/>
      <c r="P1208" s="5"/>
      <c r="Q1208" s="14"/>
      <c r="R1208" s="15">
        <f t="shared" si="18"/>
        <v>0</v>
      </c>
    </row>
    <row r="1209" spans="2:18" x14ac:dyDescent="0.35">
      <c r="B1209" s="9">
        <v>1230</v>
      </c>
      <c r="C1209" s="9"/>
      <c r="D1209" s="9"/>
      <c r="E1209" s="9"/>
      <c r="F1209" s="9"/>
      <c r="G1209" s="9"/>
      <c r="H1209" s="9"/>
      <c r="I1209" s="11" t="e">
        <f>VLOOKUP(H1209,위치!B:C,2,0)</f>
        <v>#N/A</v>
      </c>
      <c r="J1209" s="9"/>
      <c r="K1209" s="9"/>
      <c r="L1209" s="9" t="e">
        <f>VLOOKUP(H1209,위치!B:D,3,0)</f>
        <v>#N/A</v>
      </c>
      <c r="M1209" s="12"/>
      <c r="N1209" s="5"/>
      <c r="O1209" s="5"/>
      <c r="P1209" s="5"/>
      <c r="Q1209" s="14"/>
      <c r="R1209" s="15">
        <f t="shared" si="18"/>
        <v>0</v>
      </c>
    </row>
    <row r="1210" spans="2:18" x14ac:dyDescent="0.35">
      <c r="B1210" s="9">
        <v>1231</v>
      </c>
      <c r="C1210" s="9"/>
      <c r="D1210" s="9"/>
      <c r="E1210" s="9"/>
      <c r="F1210" s="9"/>
      <c r="G1210" s="9"/>
      <c r="H1210" s="9"/>
      <c r="I1210" s="11" t="e">
        <f>VLOOKUP(H1210,위치!B:C,2,0)</f>
        <v>#N/A</v>
      </c>
      <c r="J1210" s="9"/>
      <c r="K1210" s="9"/>
      <c r="L1210" s="9" t="e">
        <f>VLOOKUP(H1210,위치!B:D,3,0)</f>
        <v>#N/A</v>
      </c>
      <c r="M1210" s="12"/>
      <c r="N1210" s="5"/>
      <c r="O1210" s="5"/>
      <c r="P1210" s="5"/>
      <c r="Q1210" s="14"/>
      <c r="R1210" s="15">
        <f t="shared" si="18"/>
        <v>0</v>
      </c>
    </row>
    <row r="1211" spans="2:18" x14ac:dyDescent="0.35">
      <c r="B1211" s="9">
        <v>1232</v>
      </c>
      <c r="C1211" s="9"/>
      <c r="D1211" s="9"/>
      <c r="E1211" s="9"/>
      <c r="F1211" s="9"/>
      <c r="G1211" s="9"/>
      <c r="H1211" s="9"/>
      <c r="I1211" s="11" t="e">
        <f>VLOOKUP(H1211,위치!B:C,2,0)</f>
        <v>#N/A</v>
      </c>
      <c r="J1211" s="9"/>
      <c r="K1211" s="9"/>
      <c r="L1211" s="9" t="e">
        <f>VLOOKUP(H1211,위치!B:D,3,0)</f>
        <v>#N/A</v>
      </c>
      <c r="M1211" s="12"/>
      <c r="N1211" s="5"/>
      <c r="O1211" s="5"/>
      <c r="P1211" s="5"/>
      <c r="Q1211" s="14"/>
      <c r="R1211" s="15">
        <f t="shared" si="18"/>
        <v>0</v>
      </c>
    </row>
    <row r="1212" spans="2:18" x14ac:dyDescent="0.35">
      <c r="B1212" s="9">
        <v>1233</v>
      </c>
      <c r="C1212" s="9"/>
      <c r="D1212" s="9"/>
      <c r="E1212" s="9"/>
      <c r="F1212" s="9"/>
      <c r="G1212" s="9"/>
      <c r="H1212" s="9"/>
      <c r="I1212" s="11" t="e">
        <f>VLOOKUP(H1212,위치!B:C,2,0)</f>
        <v>#N/A</v>
      </c>
      <c r="J1212" s="9"/>
      <c r="K1212" s="9"/>
      <c r="L1212" s="9" t="e">
        <f>VLOOKUP(H1212,위치!B:D,3,0)</f>
        <v>#N/A</v>
      </c>
      <c r="M1212" s="12"/>
      <c r="N1212" s="5"/>
      <c r="O1212" s="5"/>
      <c r="P1212" s="5"/>
      <c r="Q1212" s="14"/>
      <c r="R1212" s="15">
        <f t="shared" si="18"/>
        <v>0</v>
      </c>
    </row>
    <row r="1213" spans="2:18" x14ac:dyDescent="0.35">
      <c r="B1213" s="9">
        <v>1234</v>
      </c>
      <c r="C1213" s="9"/>
      <c r="D1213" s="9"/>
      <c r="E1213" s="9"/>
      <c r="F1213" s="9"/>
      <c r="G1213" s="9"/>
      <c r="H1213" s="9"/>
      <c r="I1213" s="11" t="e">
        <f>VLOOKUP(H1213,위치!B:C,2,0)</f>
        <v>#N/A</v>
      </c>
      <c r="J1213" s="9"/>
      <c r="K1213" s="9"/>
      <c r="L1213" s="9" t="e">
        <f>VLOOKUP(H1213,위치!B:D,3,0)</f>
        <v>#N/A</v>
      </c>
      <c r="M1213" s="12"/>
      <c r="N1213" s="5"/>
      <c r="O1213" s="5"/>
      <c r="P1213" s="5"/>
      <c r="Q1213" s="14"/>
      <c r="R1213" s="15">
        <f t="shared" si="18"/>
        <v>0</v>
      </c>
    </row>
    <row r="1214" spans="2:18" x14ac:dyDescent="0.35">
      <c r="B1214" s="9">
        <v>1235</v>
      </c>
      <c r="C1214" s="9"/>
      <c r="D1214" s="9"/>
      <c r="E1214" s="9"/>
      <c r="F1214" s="9"/>
      <c r="G1214" s="9"/>
      <c r="H1214" s="9"/>
      <c r="I1214" s="11" t="e">
        <f>VLOOKUP(H1214,위치!B:C,2,0)</f>
        <v>#N/A</v>
      </c>
      <c r="J1214" s="9"/>
      <c r="K1214" s="9"/>
      <c r="L1214" s="9" t="e">
        <f>VLOOKUP(H1214,위치!B:D,3,0)</f>
        <v>#N/A</v>
      </c>
      <c r="M1214" s="12"/>
      <c r="N1214" s="5"/>
      <c r="O1214" s="5"/>
      <c r="P1214" s="5"/>
      <c r="Q1214" s="14"/>
      <c r="R1214" s="15">
        <f t="shared" si="18"/>
        <v>0</v>
      </c>
    </row>
    <row r="1215" spans="2:18" x14ac:dyDescent="0.35">
      <c r="B1215" s="9">
        <v>1236</v>
      </c>
      <c r="C1215" s="9"/>
      <c r="D1215" s="9"/>
      <c r="E1215" s="9"/>
      <c r="F1215" s="9"/>
      <c r="G1215" s="9"/>
      <c r="H1215" s="9"/>
      <c r="I1215" s="11" t="e">
        <f>VLOOKUP(H1215,위치!B:C,2,0)</f>
        <v>#N/A</v>
      </c>
      <c r="J1215" s="9"/>
      <c r="K1215" s="9"/>
      <c r="L1215" s="9" t="e">
        <f>VLOOKUP(H1215,위치!B:D,3,0)</f>
        <v>#N/A</v>
      </c>
      <c r="M1215" s="12"/>
      <c r="N1215" s="5"/>
      <c r="O1215" s="5"/>
      <c r="P1215" s="5"/>
      <c r="Q1215" s="14"/>
      <c r="R1215" s="15">
        <f t="shared" si="18"/>
        <v>0</v>
      </c>
    </row>
    <row r="1216" spans="2:18" x14ac:dyDescent="0.35">
      <c r="B1216" s="9">
        <v>1237</v>
      </c>
      <c r="C1216" s="9"/>
      <c r="D1216" s="9"/>
      <c r="E1216" s="9"/>
      <c r="F1216" s="9"/>
      <c r="G1216" s="9"/>
      <c r="H1216" s="9"/>
      <c r="I1216" s="11" t="e">
        <f>VLOOKUP(H1216,위치!B:C,2,0)</f>
        <v>#N/A</v>
      </c>
      <c r="J1216" s="9"/>
      <c r="K1216" s="9"/>
      <c r="L1216" s="9" t="e">
        <f>VLOOKUP(H1216,위치!B:D,3,0)</f>
        <v>#N/A</v>
      </c>
      <c r="M1216" s="12"/>
      <c r="N1216" s="5"/>
      <c r="O1216" s="5"/>
      <c r="P1216" s="5"/>
      <c r="Q1216" s="14"/>
      <c r="R1216" s="15">
        <f t="shared" si="18"/>
        <v>0</v>
      </c>
    </row>
    <row r="1217" spans="2:18" x14ac:dyDescent="0.35">
      <c r="B1217" s="9">
        <v>1238</v>
      </c>
      <c r="C1217" s="9"/>
      <c r="D1217" s="9"/>
      <c r="E1217" s="9"/>
      <c r="F1217" s="9"/>
      <c r="G1217" s="9"/>
      <c r="H1217" s="9"/>
      <c r="I1217" s="11" t="e">
        <f>VLOOKUP(H1217,위치!B:C,2,0)</f>
        <v>#N/A</v>
      </c>
      <c r="J1217" s="9"/>
      <c r="K1217" s="9"/>
      <c r="L1217" s="9" t="e">
        <f>VLOOKUP(H1217,위치!B:D,3,0)</f>
        <v>#N/A</v>
      </c>
      <c r="M1217" s="12"/>
      <c r="N1217" s="5"/>
      <c r="O1217" s="5"/>
      <c r="P1217" s="5"/>
      <c r="Q1217" s="14"/>
      <c r="R1217" s="15">
        <f t="shared" si="18"/>
        <v>0</v>
      </c>
    </row>
    <row r="1218" spans="2:18" x14ac:dyDescent="0.35">
      <c r="B1218" s="9">
        <v>1239</v>
      </c>
      <c r="C1218" s="9"/>
      <c r="D1218" s="9"/>
      <c r="E1218" s="9"/>
      <c r="F1218" s="9"/>
      <c r="G1218" s="9"/>
      <c r="H1218" s="9"/>
      <c r="I1218" s="11" t="e">
        <f>VLOOKUP(H1218,위치!B:C,2,0)</f>
        <v>#N/A</v>
      </c>
      <c r="J1218" s="9"/>
      <c r="K1218" s="9"/>
      <c r="L1218" s="9" t="e">
        <f>VLOOKUP(H1218,위치!B:D,3,0)</f>
        <v>#N/A</v>
      </c>
      <c r="M1218" s="12"/>
      <c r="N1218" s="5"/>
      <c r="O1218" s="5"/>
      <c r="P1218" s="5"/>
      <c r="Q1218" s="14"/>
      <c r="R1218" s="15">
        <f t="shared" si="18"/>
        <v>0</v>
      </c>
    </row>
    <row r="1219" spans="2:18" x14ac:dyDescent="0.35">
      <c r="B1219" s="9">
        <v>1240</v>
      </c>
      <c r="C1219" s="9"/>
      <c r="D1219" s="9"/>
      <c r="E1219" s="9"/>
      <c r="F1219" s="9"/>
      <c r="G1219" s="9"/>
      <c r="H1219" s="9"/>
      <c r="I1219" s="11" t="e">
        <f>VLOOKUP(H1219,위치!B:C,2,0)</f>
        <v>#N/A</v>
      </c>
      <c r="J1219" s="9"/>
      <c r="K1219" s="9"/>
      <c r="L1219" s="9" t="e">
        <f>VLOOKUP(H1219,위치!B:D,3,0)</f>
        <v>#N/A</v>
      </c>
      <c r="M1219" s="12"/>
      <c r="N1219" s="5"/>
      <c r="O1219" s="5"/>
      <c r="P1219" s="5"/>
      <c r="Q1219" s="14"/>
      <c r="R1219" s="15">
        <f t="shared" si="18"/>
        <v>0</v>
      </c>
    </row>
    <row r="1220" spans="2:18" x14ac:dyDescent="0.35">
      <c r="B1220" s="9">
        <v>1241</v>
      </c>
      <c r="C1220" s="9"/>
      <c r="D1220" s="9"/>
      <c r="E1220" s="9"/>
      <c r="F1220" s="9"/>
      <c r="G1220" s="9"/>
      <c r="H1220" s="9"/>
      <c r="I1220" s="11" t="e">
        <f>VLOOKUP(H1220,위치!B:C,2,0)</f>
        <v>#N/A</v>
      </c>
      <c r="J1220" s="9"/>
      <c r="K1220" s="9"/>
      <c r="L1220" s="9" t="e">
        <f>VLOOKUP(H1220,위치!B:D,3,0)</f>
        <v>#N/A</v>
      </c>
      <c r="M1220" s="12"/>
      <c r="N1220" s="5"/>
      <c r="O1220" s="5"/>
      <c r="P1220" s="5"/>
      <c r="Q1220" s="14"/>
      <c r="R1220" s="15">
        <f t="shared" si="18"/>
        <v>0</v>
      </c>
    </row>
    <row r="1221" spans="2:18" x14ac:dyDescent="0.35">
      <c r="B1221" s="9">
        <v>1242</v>
      </c>
      <c r="C1221" s="9"/>
      <c r="D1221" s="9"/>
      <c r="E1221" s="9"/>
      <c r="F1221" s="9"/>
      <c r="G1221" s="9"/>
      <c r="H1221" s="9"/>
      <c r="I1221" s="11" t="e">
        <f>VLOOKUP(H1221,위치!B:C,2,0)</f>
        <v>#N/A</v>
      </c>
      <c r="J1221" s="9"/>
      <c r="K1221" s="9"/>
      <c r="L1221" s="9" t="e">
        <f>VLOOKUP(H1221,위치!B:D,3,0)</f>
        <v>#N/A</v>
      </c>
      <c r="M1221" s="12"/>
      <c r="N1221" s="5"/>
      <c r="O1221" s="5"/>
      <c r="P1221" s="5"/>
      <c r="Q1221" s="14"/>
      <c r="R1221" s="15">
        <f t="shared" si="18"/>
        <v>0</v>
      </c>
    </row>
    <row r="1222" spans="2:18" x14ac:dyDescent="0.35">
      <c r="B1222" s="9">
        <v>1243</v>
      </c>
      <c r="C1222" s="9"/>
      <c r="D1222" s="9"/>
      <c r="E1222" s="9"/>
      <c r="F1222" s="9"/>
      <c r="G1222" s="9"/>
      <c r="H1222" s="9"/>
      <c r="I1222" s="11" t="e">
        <f>VLOOKUP(H1222,위치!B:C,2,0)</f>
        <v>#N/A</v>
      </c>
      <c r="J1222" s="9"/>
      <c r="K1222" s="9"/>
      <c r="L1222" s="9" t="e">
        <f>VLOOKUP(H1222,위치!B:D,3,0)</f>
        <v>#N/A</v>
      </c>
      <c r="M1222" s="12"/>
      <c r="N1222" s="5"/>
      <c r="O1222" s="5"/>
      <c r="P1222" s="5"/>
      <c r="Q1222" s="14"/>
      <c r="R1222" s="15">
        <f t="shared" si="18"/>
        <v>0</v>
      </c>
    </row>
    <row r="1223" spans="2:18" x14ac:dyDescent="0.35">
      <c r="B1223" s="9">
        <v>1244</v>
      </c>
      <c r="C1223" s="9"/>
      <c r="D1223" s="9"/>
      <c r="E1223" s="9"/>
      <c r="F1223" s="9"/>
      <c r="G1223" s="9"/>
      <c r="H1223" s="9"/>
      <c r="I1223" s="11" t="e">
        <f>VLOOKUP(H1223,위치!B:C,2,0)</f>
        <v>#N/A</v>
      </c>
      <c r="J1223" s="9"/>
      <c r="K1223" s="9"/>
      <c r="L1223" s="9" t="e">
        <f>VLOOKUP(H1223,위치!B:D,3,0)</f>
        <v>#N/A</v>
      </c>
      <c r="M1223" s="12"/>
      <c r="N1223" s="5"/>
      <c r="O1223" s="5"/>
      <c r="P1223" s="5"/>
      <c r="Q1223" s="14"/>
      <c r="R1223" s="15">
        <f t="shared" ref="R1223:R1286" si="19">J1223-P1223</f>
        <v>0</v>
      </c>
    </row>
    <row r="1224" spans="2:18" x14ac:dyDescent="0.35">
      <c r="B1224" s="9">
        <v>1245</v>
      </c>
      <c r="C1224" s="9"/>
      <c r="D1224" s="9"/>
      <c r="E1224" s="9"/>
      <c r="F1224" s="9"/>
      <c r="G1224" s="9"/>
      <c r="H1224" s="9"/>
      <c r="I1224" s="11" t="e">
        <f>VLOOKUP(H1224,위치!B:C,2,0)</f>
        <v>#N/A</v>
      </c>
      <c r="J1224" s="9"/>
      <c r="K1224" s="9"/>
      <c r="L1224" s="9" t="e">
        <f>VLOOKUP(H1224,위치!B:D,3,0)</f>
        <v>#N/A</v>
      </c>
      <c r="M1224" s="12"/>
      <c r="N1224" s="5"/>
      <c r="O1224" s="5"/>
      <c r="P1224" s="5"/>
      <c r="Q1224" s="14"/>
      <c r="R1224" s="15">
        <f t="shared" si="19"/>
        <v>0</v>
      </c>
    </row>
    <row r="1225" spans="2:18" x14ac:dyDescent="0.35">
      <c r="B1225" s="9">
        <v>1246</v>
      </c>
      <c r="C1225" s="9"/>
      <c r="D1225" s="9"/>
      <c r="E1225" s="9"/>
      <c r="F1225" s="9"/>
      <c r="G1225" s="9"/>
      <c r="H1225" s="9"/>
      <c r="I1225" s="11" t="e">
        <f>VLOOKUP(H1225,위치!B:C,2,0)</f>
        <v>#N/A</v>
      </c>
      <c r="J1225" s="9"/>
      <c r="K1225" s="9"/>
      <c r="L1225" s="9" t="e">
        <f>VLOOKUP(H1225,위치!B:D,3,0)</f>
        <v>#N/A</v>
      </c>
      <c r="M1225" s="12"/>
      <c r="N1225" s="5"/>
      <c r="O1225" s="5"/>
      <c r="P1225" s="5"/>
      <c r="Q1225" s="14"/>
      <c r="R1225" s="15">
        <f t="shared" si="19"/>
        <v>0</v>
      </c>
    </row>
    <row r="1226" spans="2:18" x14ac:dyDescent="0.35">
      <c r="B1226" s="9">
        <v>1247</v>
      </c>
      <c r="C1226" s="9"/>
      <c r="D1226" s="9"/>
      <c r="E1226" s="9"/>
      <c r="F1226" s="9"/>
      <c r="G1226" s="9"/>
      <c r="H1226" s="9"/>
      <c r="I1226" s="11" t="e">
        <f>VLOOKUP(H1226,위치!B:C,2,0)</f>
        <v>#N/A</v>
      </c>
      <c r="J1226" s="9"/>
      <c r="K1226" s="9"/>
      <c r="L1226" s="9" t="e">
        <f>VLOOKUP(H1226,위치!B:D,3,0)</f>
        <v>#N/A</v>
      </c>
      <c r="M1226" s="12"/>
      <c r="N1226" s="5"/>
      <c r="O1226" s="5"/>
      <c r="P1226" s="5"/>
      <c r="Q1226" s="14"/>
      <c r="R1226" s="15">
        <f t="shared" si="19"/>
        <v>0</v>
      </c>
    </row>
    <row r="1227" spans="2:18" x14ac:dyDescent="0.35">
      <c r="B1227" s="9">
        <v>1248</v>
      </c>
      <c r="C1227" s="9"/>
      <c r="D1227" s="9"/>
      <c r="E1227" s="9"/>
      <c r="F1227" s="9"/>
      <c r="G1227" s="9"/>
      <c r="H1227" s="9"/>
      <c r="I1227" s="11" t="e">
        <f>VLOOKUP(H1227,위치!B:C,2,0)</f>
        <v>#N/A</v>
      </c>
      <c r="J1227" s="9"/>
      <c r="K1227" s="9"/>
      <c r="L1227" s="9" t="e">
        <f>VLOOKUP(H1227,위치!B:D,3,0)</f>
        <v>#N/A</v>
      </c>
      <c r="M1227" s="12"/>
      <c r="N1227" s="5"/>
      <c r="O1227" s="5"/>
      <c r="P1227" s="5"/>
      <c r="Q1227" s="14"/>
      <c r="R1227" s="15">
        <f t="shared" si="19"/>
        <v>0</v>
      </c>
    </row>
    <row r="1228" spans="2:18" x14ac:dyDescent="0.35">
      <c r="B1228" s="9">
        <v>1249</v>
      </c>
      <c r="C1228" s="9"/>
      <c r="D1228" s="9"/>
      <c r="E1228" s="9"/>
      <c r="F1228" s="9"/>
      <c r="G1228" s="9"/>
      <c r="H1228" s="9"/>
      <c r="I1228" s="11" t="e">
        <f>VLOOKUP(H1228,위치!B:C,2,0)</f>
        <v>#N/A</v>
      </c>
      <c r="J1228" s="9"/>
      <c r="K1228" s="9"/>
      <c r="L1228" s="9" t="e">
        <f>VLOOKUP(H1228,위치!B:D,3,0)</f>
        <v>#N/A</v>
      </c>
      <c r="M1228" s="12"/>
      <c r="N1228" s="5"/>
      <c r="O1228" s="5"/>
      <c r="P1228" s="5"/>
      <c r="Q1228" s="14"/>
      <c r="R1228" s="15">
        <f t="shared" si="19"/>
        <v>0</v>
      </c>
    </row>
    <row r="1229" spans="2:18" x14ac:dyDescent="0.35">
      <c r="B1229" s="9">
        <v>1250</v>
      </c>
      <c r="C1229" s="9"/>
      <c r="D1229" s="9"/>
      <c r="E1229" s="9"/>
      <c r="F1229" s="9"/>
      <c r="G1229" s="9"/>
      <c r="H1229" s="9"/>
      <c r="I1229" s="11" t="e">
        <f>VLOOKUP(H1229,위치!B:C,2,0)</f>
        <v>#N/A</v>
      </c>
      <c r="J1229" s="9"/>
      <c r="K1229" s="9"/>
      <c r="L1229" s="9" t="e">
        <f>VLOOKUP(H1229,위치!B:D,3,0)</f>
        <v>#N/A</v>
      </c>
      <c r="M1229" s="12"/>
      <c r="N1229" s="5"/>
      <c r="O1229" s="5"/>
      <c r="P1229" s="5"/>
      <c r="Q1229" s="14"/>
      <c r="R1229" s="15">
        <f t="shared" si="19"/>
        <v>0</v>
      </c>
    </row>
    <row r="1230" spans="2:18" x14ac:dyDescent="0.35">
      <c r="B1230" s="9">
        <v>1251</v>
      </c>
      <c r="C1230" s="9"/>
      <c r="D1230" s="9"/>
      <c r="E1230" s="9"/>
      <c r="F1230" s="9"/>
      <c r="G1230" s="9"/>
      <c r="H1230" s="9"/>
      <c r="I1230" s="11" t="e">
        <f>VLOOKUP(H1230,위치!B:C,2,0)</f>
        <v>#N/A</v>
      </c>
      <c r="J1230" s="9"/>
      <c r="K1230" s="9"/>
      <c r="L1230" s="9" t="e">
        <f>VLOOKUP(H1230,위치!B:D,3,0)</f>
        <v>#N/A</v>
      </c>
      <c r="M1230" s="12"/>
      <c r="N1230" s="5"/>
      <c r="O1230" s="5"/>
      <c r="P1230" s="5"/>
      <c r="Q1230" s="14"/>
      <c r="R1230" s="15">
        <f t="shared" si="19"/>
        <v>0</v>
      </c>
    </row>
    <row r="1231" spans="2:18" x14ac:dyDescent="0.35">
      <c r="B1231" s="9">
        <v>1252</v>
      </c>
      <c r="C1231" s="9"/>
      <c r="D1231" s="9"/>
      <c r="E1231" s="9"/>
      <c r="F1231" s="9"/>
      <c r="G1231" s="9"/>
      <c r="H1231" s="9"/>
      <c r="I1231" s="11" t="e">
        <f>VLOOKUP(H1231,위치!B:C,2,0)</f>
        <v>#N/A</v>
      </c>
      <c r="J1231" s="9"/>
      <c r="K1231" s="9"/>
      <c r="L1231" s="9" t="e">
        <f>VLOOKUP(H1231,위치!B:D,3,0)</f>
        <v>#N/A</v>
      </c>
      <c r="M1231" s="12"/>
      <c r="N1231" s="5"/>
      <c r="O1231" s="5"/>
      <c r="P1231" s="5"/>
      <c r="Q1231" s="14"/>
      <c r="R1231" s="15">
        <f t="shared" si="19"/>
        <v>0</v>
      </c>
    </row>
    <row r="1232" spans="2:18" x14ac:dyDescent="0.35">
      <c r="B1232" s="9">
        <v>1253</v>
      </c>
      <c r="C1232" s="9"/>
      <c r="D1232" s="9"/>
      <c r="E1232" s="9"/>
      <c r="F1232" s="9"/>
      <c r="G1232" s="9"/>
      <c r="H1232" s="9"/>
      <c r="I1232" s="11" t="e">
        <f>VLOOKUP(H1232,위치!B:C,2,0)</f>
        <v>#N/A</v>
      </c>
      <c r="J1232" s="9"/>
      <c r="K1232" s="9"/>
      <c r="L1232" s="9" t="e">
        <f>VLOOKUP(H1232,위치!B:D,3,0)</f>
        <v>#N/A</v>
      </c>
      <c r="M1232" s="12"/>
      <c r="N1232" s="5"/>
      <c r="O1232" s="5"/>
      <c r="P1232" s="5"/>
      <c r="Q1232" s="14"/>
      <c r="R1232" s="15">
        <f t="shared" si="19"/>
        <v>0</v>
      </c>
    </row>
    <row r="1233" spans="2:18" x14ac:dyDescent="0.35">
      <c r="B1233" s="9">
        <v>1254</v>
      </c>
      <c r="C1233" s="9"/>
      <c r="D1233" s="9"/>
      <c r="E1233" s="9"/>
      <c r="F1233" s="9"/>
      <c r="G1233" s="9"/>
      <c r="H1233" s="9"/>
      <c r="I1233" s="11" t="e">
        <f>VLOOKUP(H1233,위치!B:C,2,0)</f>
        <v>#N/A</v>
      </c>
      <c r="J1233" s="9"/>
      <c r="K1233" s="9"/>
      <c r="L1233" s="9" t="e">
        <f>VLOOKUP(H1233,위치!B:D,3,0)</f>
        <v>#N/A</v>
      </c>
      <c r="M1233" s="12"/>
      <c r="N1233" s="5"/>
      <c r="O1233" s="5"/>
      <c r="P1233" s="5"/>
      <c r="Q1233" s="14"/>
      <c r="R1233" s="15">
        <f t="shared" si="19"/>
        <v>0</v>
      </c>
    </row>
    <row r="1234" spans="2:18" x14ac:dyDescent="0.35">
      <c r="B1234" s="9">
        <v>1255</v>
      </c>
      <c r="C1234" s="9"/>
      <c r="D1234" s="9"/>
      <c r="E1234" s="9"/>
      <c r="F1234" s="9"/>
      <c r="G1234" s="9"/>
      <c r="H1234" s="9"/>
      <c r="I1234" s="11" t="e">
        <f>VLOOKUP(H1234,위치!B:C,2,0)</f>
        <v>#N/A</v>
      </c>
      <c r="J1234" s="9"/>
      <c r="K1234" s="9"/>
      <c r="L1234" s="9" t="e">
        <f>VLOOKUP(H1234,위치!B:D,3,0)</f>
        <v>#N/A</v>
      </c>
      <c r="M1234" s="12"/>
      <c r="N1234" s="5"/>
      <c r="O1234" s="5"/>
      <c r="P1234" s="5"/>
      <c r="Q1234" s="14"/>
      <c r="R1234" s="15">
        <f t="shared" si="19"/>
        <v>0</v>
      </c>
    </row>
    <row r="1235" spans="2:18" x14ac:dyDescent="0.35">
      <c r="B1235" s="9">
        <v>1256</v>
      </c>
      <c r="C1235" s="9"/>
      <c r="D1235" s="9"/>
      <c r="E1235" s="9"/>
      <c r="F1235" s="9"/>
      <c r="G1235" s="9"/>
      <c r="H1235" s="9"/>
      <c r="I1235" s="11" t="e">
        <f>VLOOKUP(H1235,위치!B:C,2,0)</f>
        <v>#N/A</v>
      </c>
      <c r="J1235" s="9"/>
      <c r="K1235" s="9"/>
      <c r="L1235" s="9" t="e">
        <f>VLOOKUP(H1235,위치!B:D,3,0)</f>
        <v>#N/A</v>
      </c>
      <c r="M1235" s="12"/>
      <c r="N1235" s="5"/>
      <c r="O1235" s="5"/>
      <c r="P1235" s="5"/>
      <c r="Q1235" s="14"/>
      <c r="R1235" s="15">
        <f t="shared" si="19"/>
        <v>0</v>
      </c>
    </row>
    <row r="1236" spans="2:18" x14ac:dyDescent="0.35">
      <c r="B1236" s="9">
        <v>1257</v>
      </c>
      <c r="C1236" s="9"/>
      <c r="D1236" s="9"/>
      <c r="E1236" s="9"/>
      <c r="F1236" s="9"/>
      <c r="G1236" s="9"/>
      <c r="H1236" s="9"/>
      <c r="I1236" s="11" t="e">
        <f>VLOOKUP(H1236,위치!B:C,2,0)</f>
        <v>#N/A</v>
      </c>
      <c r="J1236" s="9"/>
      <c r="K1236" s="9"/>
      <c r="L1236" s="9" t="e">
        <f>VLOOKUP(H1236,위치!B:D,3,0)</f>
        <v>#N/A</v>
      </c>
      <c r="M1236" s="12"/>
      <c r="N1236" s="5"/>
      <c r="O1236" s="5"/>
      <c r="P1236" s="5"/>
      <c r="Q1236" s="14"/>
      <c r="R1236" s="15">
        <f t="shared" si="19"/>
        <v>0</v>
      </c>
    </row>
    <row r="1237" spans="2:18" x14ac:dyDescent="0.35">
      <c r="B1237" s="9">
        <v>1258</v>
      </c>
      <c r="C1237" s="9"/>
      <c r="D1237" s="9"/>
      <c r="E1237" s="9"/>
      <c r="F1237" s="9"/>
      <c r="G1237" s="9"/>
      <c r="H1237" s="9"/>
      <c r="I1237" s="11" t="e">
        <f>VLOOKUP(H1237,위치!B:C,2,0)</f>
        <v>#N/A</v>
      </c>
      <c r="J1237" s="9"/>
      <c r="K1237" s="9"/>
      <c r="L1237" s="9" t="e">
        <f>VLOOKUP(H1237,위치!B:D,3,0)</f>
        <v>#N/A</v>
      </c>
      <c r="M1237" s="12"/>
      <c r="N1237" s="5"/>
      <c r="O1237" s="5"/>
      <c r="P1237" s="5"/>
      <c r="Q1237" s="14"/>
      <c r="R1237" s="15">
        <f t="shared" si="19"/>
        <v>0</v>
      </c>
    </row>
    <row r="1238" spans="2:18" x14ac:dyDescent="0.35">
      <c r="B1238" s="9">
        <v>1259</v>
      </c>
      <c r="C1238" s="9"/>
      <c r="D1238" s="9"/>
      <c r="E1238" s="9"/>
      <c r="F1238" s="9"/>
      <c r="G1238" s="9"/>
      <c r="H1238" s="9"/>
      <c r="I1238" s="11" t="e">
        <f>VLOOKUP(H1238,위치!B:C,2,0)</f>
        <v>#N/A</v>
      </c>
      <c r="J1238" s="9"/>
      <c r="K1238" s="9"/>
      <c r="L1238" s="9" t="e">
        <f>VLOOKUP(H1238,위치!B:D,3,0)</f>
        <v>#N/A</v>
      </c>
      <c r="M1238" s="12"/>
      <c r="N1238" s="5"/>
      <c r="O1238" s="5"/>
      <c r="P1238" s="5"/>
      <c r="Q1238" s="14"/>
      <c r="R1238" s="15">
        <f t="shared" si="19"/>
        <v>0</v>
      </c>
    </row>
    <row r="1239" spans="2:18" x14ac:dyDescent="0.35">
      <c r="B1239" s="9">
        <v>1260</v>
      </c>
      <c r="C1239" s="9"/>
      <c r="D1239" s="9"/>
      <c r="E1239" s="9"/>
      <c r="F1239" s="9"/>
      <c r="G1239" s="9"/>
      <c r="H1239" s="9"/>
      <c r="I1239" s="11" t="e">
        <f>VLOOKUP(H1239,위치!B:C,2,0)</f>
        <v>#N/A</v>
      </c>
      <c r="J1239" s="9"/>
      <c r="K1239" s="9"/>
      <c r="L1239" s="9" t="e">
        <f>VLOOKUP(H1239,위치!B:D,3,0)</f>
        <v>#N/A</v>
      </c>
      <c r="M1239" s="12"/>
      <c r="N1239" s="5"/>
      <c r="O1239" s="5"/>
      <c r="P1239" s="5"/>
      <c r="Q1239" s="14"/>
      <c r="R1239" s="15">
        <f t="shared" si="19"/>
        <v>0</v>
      </c>
    </row>
    <row r="1240" spans="2:18" x14ac:dyDescent="0.35">
      <c r="B1240" s="9">
        <v>1261</v>
      </c>
      <c r="C1240" s="9"/>
      <c r="D1240" s="9"/>
      <c r="E1240" s="9"/>
      <c r="F1240" s="9"/>
      <c r="G1240" s="9"/>
      <c r="H1240" s="9"/>
      <c r="I1240" s="11" t="e">
        <f>VLOOKUP(H1240,위치!B:C,2,0)</f>
        <v>#N/A</v>
      </c>
      <c r="J1240" s="9"/>
      <c r="K1240" s="9"/>
      <c r="L1240" s="9" t="e">
        <f>VLOOKUP(H1240,위치!B:D,3,0)</f>
        <v>#N/A</v>
      </c>
      <c r="M1240" s="12"/>
      <c r="N1240" s="5"/>
      <c r="O1240" s="5"/>
      <c r="P1240" s="5"/>
      <c r="Q1240" s="14"/>
      <c r="R1240" s="15">
        <f t="shared" si="19"/>
        <v>0</v>
      </c>
    </row>
    <row r="1241" spans="2:18" x14ac:dyDescent="0.35">
      <c r="B1241" s="9">
        <v>1262</v>
      </c>
      <c r="C1241" s="9"/>
      <c r="D1241" s="9"/>
      <c r="E1241" s="9"/>
      <c r="F1241" s="9"/>
      <c r="G1241" s="9"/>
      <c r="H1241" s="9"/>
      <c r="I1241" s="11" t="e">
        <f>VLOOKUP(H1241,위치!B:C,2,0)</f>
        <v>#N/A</v>
      </c>
      <c r="J1241" s="9"/>
      <c r="K1241" s="9"/>
      <c r="L1241" s="9" t="e">
        <f>VLOOKUP(H1241,위치!B:D,3,0)</f>
        <v>#N/A</v>
      </c>
      <c r="M1241" s="12"/>
      <c r="N1241" s="5"/>
      <c r="O1241" s="5"/>
      <c r="P1241" s="5"/>
      <c r="Q1241" s="14"/>
      <c r="R1241" s="15">
        <f t="shared" si="19"/>
        <v>0</v>
      </c>
    </row>
    <row r="1242" spans="2:18" x14ac:dyDescent="0.35">
      <c r="B1242" s="9">
        <v>1263</v>
      </c>
      <c r="C1242" s="9"/>
      <c r="D1242" s="9"/>
      <c r="E1242" s="9"/>
      <c r="F1242" s="9"/>
      <c r="G1242" s="9"/>
      <c r="H1242" s="9"/>
      <c r="I1242" s="11" t="e">
        <f>VLOOKUP(H1242,위치!B:C,2,0)</f>
        <v>#N/A</v>
      </c>
      <c r="J1242" s="9"/>
      <c r="K1242" s="9"/>
      <c r="L1242" s="9" t="e">
        <f>VLOOKUP(H1242,위치!B:D,3,0)</f>
        <v>#N/A</v>
      </c>
      <c r="M1242" s="12"/>
      <c r="N1242" s="5"/>
      <c r="O1242" s="5"/>
      <c r="P1242" s="5"/>
      <c r="Q1242" s="14"/>
      <c r="R1242" s="15">
        <f t="shared" si="19"/>
        <v>0</v>
      </c>
    </row>
    <row r="1243" spans="2:18" x14ac:dyDescent="0.35">
      <c r="B1243" s="9">
        <v>1264</v>
      </c>
      <c r="C1243" s="9"/>
      <c r="D1243" s="9"/>
      <c r="E1243" s="9"/>
      <c r="F1243" s="9"/>
      <c r="G1243" s="9"/>
      <c r="H1243" s="9"/>
      <c r="I1243" s="11" t="e">
        <f>VLOOKUP(H1243,위치!B:C,2,0)</f>
        <v>#N/A</v>
      </c>
      <c r="J1243" s="9"/>
      <c r="K1243" s="9"/>
      <c r="L1243" s="9" t="e">
        <f>VLOOKUP(H1243,위치!B:D,3,0)</f>
        <v>#N/A</v>
      </c>
      <c r="M1243" s="12"/>
      <c r="N1243" s="5"/>
      <c r="O1243" s="5"/>
      <c r="P1243" s="5"/>
      <c r="Q1243" s="14"/>
      <c r="R1243" s="15">
        <f t="shared" si="19"/>
        <v>0</v>
      </c>
    </row>
    <row r="1244" spans="2:18" x14ac:dyDescent="0.35">
      <c r="B1244" s="9">
        <v>1265</v>
      </c>
      <c r="C1244" s="9"/>
      <c r="D1244" s="9"/>
      <c r="E1244" s="9"/>
      <c r="F1244" s="9"/>
      <c r="G1244" s="9"/>
      <c r="H1244" s="9"/>
      <c r="I1244" s="11" t="e">
        <f>VLOOKUP(H1244,위치!B:C,2,0)</f>
        <v>#N/A</v>
      </c>
      <c r="J1244" s="9"/>
      <c r="K1244" s="9"/>
      <c r="L1244" s="9" t="e">
        <f>VLOOKUP(H1244,위치!B:D,3,0)</f>
        <v>#N/A</v>
      </c>
      <c r="M1244" s="12"/>
      <c r="N1244" s="5"/>
      <c r="O1244" s="5"/>
      <c r="P1244" s="5"/>
      <c r="Q1244" s="14"/>
      <c r="R1244" s="15">
        <f t="shared" si="19"/>
        <v>0</v>
      </c>
    </row>
    <row r="1245" spans="2:18" x14ac:dyDescent="0.35">
      <c r="B1245" s="9">
        <v>1266</v>
      </c>
      <c r="C1245" s="9"/>
      <c r="D1245" s="9"/>
      <c r="E1245" s="9"/>
      <c r="F1245" s="9"/>
      <c r="G1245" s="9"/>
      <c r="H1245" s="9"/>
      <c r="I1245" s="11" t="e">
        <f>VLOOKUP(H1245,위치!B:C,2,0)</f>
        <v>#N/A</v>
      </c>
      <c r="J1245" s="9"/>
      <c r="K1245" s="9"/>
      <c r="L1245" s="9" t="e">
        <f>VLOOKUP(H1245,위치!B:D,3,0)</f>
        <v>#N/A</v>
      </c>
      <c r="M1245" s="12"/>
      <c r="N1245" s="5"/>
      <c r="O1245" s="5"/>
      <c r="P1245" s="5"/>
      <c r="Q1245" s="14"/>
      <c r="R1245" s="15">
        <f t="shared" si="19"/>
        <v>0</v>
      </c>
    </row>
    <row r="1246" spans="2:18" x14ac:dyDescent="0.35">
      <c r="B1246" s="9">
        <v>1267</v>
      </c>
      <c r="C1246" s="9"/>
      <c r="D1246" s="9"/>
      <c r="E1246" s="9"/>
      <c r="F1246" s="9"/>
      <c r="G1246" s="9"/>
      <c r="H1246" s="9"/>
      <c r="I1246" s="11" t="e">
        <f>VLOOKUP(H1246,위치!B:C,2,0)</f>
        <v>#N/A</v>
      </c>
      <c r="J1246" s="9"/>
      <c r="K1246" s="9"/>
      <c r="L1246" s="9" t="e">
        <f>VLOOKUP(H1246,위치!B:D,3,0)</f>
        <v>#N/A</v>
      </c>
      <c r="M1246" s="12"/>
      <c r="N1246" s="5"/>
      <c r="O1246" s="5"/>
      <c r="P1246" s="5"/>
      <c r="Q1246" s="14"/>
      <c r="R1246" s="15">
        <f t="shared" si="19"/>
        <v>0</v>
      </c>
    </row>
    <row r="1247" spans="2:18" x14ac:dyDescent="0.35">
      <c r="B1247" s="9">
        <v>1268</v>
      </c>
      <c r="C1247" s="9"/>
      <c r="D1247" s="9"/>
      <c r="E1247" s="9"/>
      <c r="F1247" s="9"/>
      <c r="G1247" s="9"/>
      <c r="H1247" s="9"/>
      <c r="I1247" s="11" t="e">
        <f>VLOOKUP(H1247,위치!B:C,2,0)</f>
        <v>#N/A</v>
      </c>
      <c r="J1247" s="9"/>
      <c r="K1247" s="9"/>
      <c r="L1247" s="9" t="e">
        <f>VLOOKUP(H1247,위치!B:D,3,0)</f>
        <v>#N/A</v>
      </c>
      <c r="M1247" s="12"/>
      <c r="N1247" s="5"/>
      <c r="O1247" s="5"/>
      <c r="P1247" s="5"/>
      <c r="Q1247" s="14"/>
      <c r="R1247" s="15">
        <f t="shared" si="19"/>
        <v>0</v>
      </c>
    </row>
    <row r="1248" spans="2:18" x14ac:dyDescent="0.35">
      <c r="B1248" s="9">
        <v>1269</v>
      </c>
      <c r="C1248" s="9"/>
      <c r="D1248" s="9"/>
      <c r="E1248" s="9"/>
      <c r="F1248" s="9"/>
      <c r="G1248" s="9"/>
      <c r="H1248" s="9"/>
      <c r="I1248" s="11" t="e">
        <f>VLOOKUP(H1248,위치!B:C,2,0)</f>
        <v>#N/A</v>
      </c>
      <c r="J1248" s="9"/>
      <c r="K1248" s="9"/>
      <c r="L1248" s="9" t="e">
        <f>VLOOKUP(H1248,위치!B:D,3,0)</f>
        <v>#N/A</v>
      </c>
      <c r="M1248" s="12"/>
      <c r="N1248" s="5"/>
      <c r="O1248" s="5"/>
      <c r="P1248" s="5"/>
      <c r="Q1248" s="14"/>
      <c r="R1248" s="15">
        <f t="shared" si="19"/>
        <v>0</v>
      </c>
    </row>
    <row r="1249" spans="2:18" x14ac:dyDescent="0.35">
      <c r="B1249" s="9">
        <v>1270</v>
      </c>
      <c r="C1249" s="9"/>
      <c r="D1249" s="9"/>
      <c r="E1249" s="9"/>
      <c r="F1249" s="9"/>
      <c r="G1249" s="9"/>
      <c r="H1249" s="9"/>
      <c r="I1249" s="11" t="e">
        <f>VLOOKUP(H1249,위치!B:C,2,0)</f>
        <v>#N/A</v>
      </c>
      <c r="J1249" s="9"/>
      <c r="K1249" s="9"/>
      <c r="L1249" s="9" t="e">
        <f>VLOOKUP(H1249,위치!B:D,3,0)</f>
        <v>#N/A</v>
      </c>
      <c r="M1249" s="12"/>
      <c r="N1249" s="5"/>
      <c r="O1249" s="5"/>
      <c r="P1249" s="5"/>
      <c r="Q1249" s="14"/>
      <c r="R1249" s="15">
        <f t="shared" si="19"/>
        <v>0</v>
      </c>
    </row>
    <row r="1250" spans="2:18" x14ac:dyDescent="0.35">
      <c r="B1250" s="9">
        <v>1271</v>
      </c>
      <c r="C1250" s="9"/>
      <c r="D1250" s="9"/>
      <c r="E1250" s="9"/>
      <c r="F1250" s="9"/>
      <c r="G1250" s="9"/>
      <c r="H1250" s="9"/>
      <c r="I1250" s="11" t="e">
        <f>VLOOKUP(H1250,위치!B:C,2,0)</f>
        <v>#N/A</v>
      </c>
      <c r="J1250" s="9"/>
      <c r="K1250" s="9"/>
      <c r="L1250" s="9" t="e">
        <f>VLOOKUP(H1250,위치!B:D,3,0)</f>
        <v>#N/A</v>
      </c>
      <c r="M1250" s="12"/>
      <c r="N1250" s="5"/>
      <c r="O1250" s="5"/>
      <c r="P1250" s="5"/>
      <c r="Q1250" s="14"/>
      <c r="R1250" s="15">
        <f t="shared" si="19"/>
        <v>0</v>
      </c>
    </row>
    <row r="1251" spans="2:18" x14ac:dyDescent="0.35">
      <c r="B1251" s="9">
        <v>1272</v>
      </c>
      <c r="C1251" s="9"/>
      <c r="D1251" s="9"/>
      <c r="E1251" s="9"/>
      <c r="F1251" s="9"/>
      <c r="G1251" s="9"/>
      <c r="H1251" s="9"/>
      <c r="I1251" s="11" t="e">
        <f>VLOOKUP(H1251,위치!B:C,2,0)</f>
        <v>#N/A</v>
      </c>
      <c r="J1251" s="9"/>
      <c r="K1251" s="9"/>
      <c r="L1251" s="9" t="e">
        <f>VLOOKUP(H1251,위치!B:D,3,0)</f>
        <v>#N/A</v>
      </c>
      <c r="M1251" s="12"/>
      <c r="N1251" s="5"/>
      <c r="O1251" s="5"/>
      <c r="P1251" s="5"/>
      <c r="Q1251" s="14"/>
      <c r="R1251" s="15">
        <f t="shared" si="19"/>
        <v>0</v>
      </c>
    </row>
    <row r="1252" spans="2:18" x14ac:dyDescent="0.35">
      <c r="B1252" s="9">
        <v>1273</v>
      </c>
      <c r="C1252" s="9"/>
      <c r="D1252" s="9"/>
      <c r="E1252" s="9"/>
      <c r="F1252" s="9"/>
      <c r="G1252" s="9"/>
      <c r="H1252" s="9"/>
      <c r="I1252" s="11" t="e">
        <f>VLOOKUP(H1252,위치!B:C,2,0)</f>
        <v>#N/A</v>
      </c>
      <c r="J1252" s="9"/>
      <c r="K1252" s="9"/>
      <c r="L1252" s="9" t="e">
        <f>VLOOKUP(H1252,위치!B:D,3,0)</f>
        <v>#N/A</v>
      </c>
      <c r="M1252" s="12"/>
      <c r="N1252" s="5"/>
      <c r="O1252" s="5"/>
      <c r="P1252" s="5"/>
      <c r="Q1252" s="14"/>
      <c r="R1252" s="15">
        <f t="shared" si="19"/>
        <v>0</v>
      </c>
    </row>
    <row r="1253" spans="2:18" x14ac:dyDescent="0.35">
      <c r="B1253" s="9">
        <v>1274</v>
      </c>
      <c r="C1253" s="9"/>
      <c r="D1253" s="9"/>
      <c r="E1253" s="9"/>
      <c r="F1253" s="9"/>
      <c r="G1253" s="9"/>
      <c r="H1253" s="9"/>
      <c r="I1253" s="11" t="e">
        <f>VLOOKUP(H1253,위치!B:C,2,0)</f>
        <v>#N/A</v>
      </c>
      <c r="J1253" s="9"/>
      <c r="K1253" s="9"/>
      <c r="L1253" s="9" t="e">
        <f>VLOOKUP(H1253,위치!B:D,3,0)</f>
        <v>#N/A</v>
      </c>
      <c r="M1253" s="12"/>
      <c r="N1253" s="5"/>
      <c r="O1253" s="5"/>
      <c r="P1253" s="5"/>
      <c r="Q1253" s="14"/>
      <c r="R1253" s="15">
        <f t="shared" si="19"/>
        <v>0</v>
      </c>
    </row>
    <row r="1254" spans="2:18" x14ac:dyDescent="0.35">
      <c r="B1254" s="9">
        <v>1275</v>
      </c>
      <c r="C1254" s="9"/>
      <c r="D1254" s="9"/>
      <c r="E1254" s="9"/>
      <c r="F1254" s="9"/>
      <c r="G1254" s="9"/>
      <c r="H1254" s="9"/>
      <c r="I1254" s="11" t="e">
        <f>VLOOKUP(H1254,위치!B:C,2,0)</f>
        <v>#N/A</v>
      </c>
      <c r="J1254" s="9"/>
      <c r="K1254" s="9"/>
      <c r="L1254" s="9" t="e">
        <f>VLOOKUP(H1254,위치!B:D,3,0)</f>
        <v>#N/A</v>
      </c>
      <c r="M1254" s="12"/>
      <c r="N1254" s="5"/>
      <c r="O1254" s="5"/>
      <c r="P1254" s="5"/>
      <c r="Q1254" s="14"/>
      <c r="R1254" s="15">
        <f t="shared" si="19"/>
        <v>0</v>
      </c>
    </row>
    <row r="1255" spans="2:18" x14ac:dyDescent="0.35">
      <c r="B1255" s="9">
        <v>1276</v>
      </c>
      <c r="C1255" s="9"/>
      <c r="D1255" s="9"/>
      <c r="E1255" s="9"/>
      <c r="F1255" s="9"/>
      <c r="G1255" s="9"/>
      <c r="H1255" s="9"/>
      <c r="I1255" s="11" t="e">
        <f>VLOOKUP(H1255,위치!B:C,2,0)</f>
        <v>#N/A</v>
      </c>
      <c r="J1255" s="9"/>
      <c r="K1255" s="9"/>
      <c r="L1255" s="9" t="e">
        <f>VLOOKUP(H1255,위치!B:D,3,0)</f>
        <v>#N/A</v>
      </c>
      <c r="M1255" s="12"/>
      <c r="N1255" s="5"/>
      <c r="O1255" s="5"/>
      <c r="P1255" s="5"/>
      <c r="Q1255" s="14"/>
      <c r="R1255" s="15">
        <f t="shared" si="19"/>
        <v>0</v>
      </c>
    </row>
    <row r="1256" spans="2:18" x14ac:dyDescent="0.35">
      <c r="B1256" s="9">
        <v>1277</v>
      </c>
      <c r="C1256" s="9"/>
      <c r="D1256" s="9"/>
      <c r="E1256" s="9"/>
      <c r="F1256" s="9"/>
      <c r="G1256" s="9"/>
      <c r="H1256" s="9"/>
      <c r="I1256" s="11" t="e">
        <f>VLOOKUP(H1256,위치!B:C,2,0)</f>
        <v>#N/A</v>
      </c>
      <c r="J1256" s="9"/>
      <c r="K1256" s="9"/>
      <c r="L1256" s="9" t="e">
        <f>VLOOKUP(H1256,위치!B:D,3,0)</f>
        <v>#N/A</v>
      </c>
      <c r="M1256" s="12"/>
      <c r="N1256" s="5"/>
      <c r="O1256" s="5"/>
      <c r="P1256" s="5"/>
      <c r="Q1256" s="14"/>
      <c r="R1256" s="15">
        <f t="shared" si="19"/>
        <v>0</v>
      </c>
    </row>
    <row r="1257" spans="2:18" x14ac:dyDescent="0.35">
      <c r="B1257" s="9">
        <v>1278</v>
      </c>
      <c r="C1257" s="9"/>
      <c r="D1257" s="9"/>
      <c r="E1257" s="9"/>
      <c r="F1257" s="9"/>
      <c r="G1257" s="9"/>
      <c r="H1257" s="9"/>
      <c r="I1257" s="11" t="e">
        <f>VLOOKUP(H1257,위치!B:C,2,0)</f>
        <v>#N/A</v>
      </c>
      <c r="J1257" s="9"/>
      <c r="K1257" s="9"/>
      <c r="L1257" s="9" t="e">
        <f>VLOOKUP(H1257,위치!B:D,3,0)</f>
        <v>#N/A</v>
      </c>
      <c r="M1257" s="12"/>
      <c r="N1257" s="5"/>
      <c r="O1257" s="5"/>
      <c r="P1257" s="5"/>
      <c r="Q1257" s="14"/>
      <c r="R1257" s="15">
        <f t="shared" si="19"/>
        <v>0</v>
      </c>
    </row>
    <row r="1258" spans="2:18" x14ac:dyDescent="0.35">
      <c r="B1258" s="9">
        <v>1279</v>
      </c>
      <c r="C1258" s="9"/>
      <c r="D1258" s="9"/>
      <c r="E1258" s="9"/>
      <c r="F1258" s="9"/>
      <c r="G1258" s="9"/>
      <c r="H1258" s="9"/>
      <c r="I1258" s="11" t="e">
        <f>VLOOKUP(H1258,위치!B:C,2,0)</f>
        <v>#N/A</v>
      </c>
      <c r="J1258" s="9"/>
      <c r="K1258" s="9"/>
      <c r="L1258" s="9" t="e">
        <f>VLOOKUP(H1258,위치!B:D,3,0)</f>
        <v>#N/A</v>
      </c>
      <c r="M1258" s="12"/>
      <c r="N1258" s="5"/>
      <c r="O1258" s="5"/>
      <c r="P1258" s="5"/>
      <c r="Q1258" s="14"/>
      <c r="R1258" s="15">
        <f t="shared" si="19"/>
        <v>0</v>
      </c>
    </row>
    <row r="1259" spans="2:18" x14ac:dyDescent="0.35">
      <c r="B1259" s="9">
        <v>1280</v>
      </c>
      <c r="C1259" s="9"/>
      <c r="D1259" s="9"/>
      <c r="E1259" s="9"/>
      <c r="F1259" s="9"/>
      <c r="G1259" s="9"/>
      <c r="H1259" s="9"/>
      <c r="I1259" s="11" t="e">
        <f>VLOOKUP(H1259,위치!B:C,2,0)</f>
        <v>#N/A</v>
      </c>
      <c r="J1259" s="9"/>
      <c r="K1259" s="9"/>
      <c r="L1259" s="9" t="e">
        <f>VLOOKUP(H1259,위치!B:D,3,0)</f>
        <v>#N/A</v>
      </c>
      <c r="M1259" s="12"/>
      <c r="N1259" s="5"/>
      <c r="O1259" s="5"/>
      <c r="P1259" s="5"/>
      <c r="Q1259" s="14"/>
      <c r="R1259" s="15">
        <f t="shared" si="19"/>
        <v>0</v>
      </c>
    </row>
    <row r="1260" spans="2:18" x14ac:dyDescent="0.35">
      <c r="B1260" s="9">
        <v>1281</v>
      </c>
      <c r="C1260" s="9"/>
      <c r="D1260" s="9"/>
      <c r="E1260" s="9"/>
      <c r="F1260" s="9"/>
      <c r="G1260" s="9"/>
      <c r="H1260" s="9"/>
      <c r="I1260" s="11" t="e">
        <f>VLOOKUP(H1260,위치!B:C,2,0)</f>
        <v>#N/A</v>
      </c>
      <c r="J1260" s="9"/>
      <c r="K1260" s="9"/>
      <c r="L1260" s="9" t="e">
        <f>VLOOKUP(H1260,위치!B:D,3,0)</f>
        <v>#N/A</v>
      </c>
      <c r="M1260" s="12"/>
      <c r="N1260" s="5"/>
      <c r="O1260" s="5"/>
      <c r="P1260" s="5"/>
      <c r="Q1260" s="14"/>
      <c r="R1260" s="15">
        <f t="shared" si="19"/>
        <v>0</v>
      </c>
    </row>
    <row r="1261" spans="2:18" x14ac:dyDescent="0.35">
      <c r="B1261" s="9">
        <v>1282</v>
      </c>
      <c r="C1261" s="9"/>
      <c r="D1261" s="9"/>
      <c r="E1261" s="9"/>
      <c r="F1261" s="9"/>
      <c r="G1261" s="9"/>
      <c r="H1261" s="9"/>
      <c r="I1261" s="11" t="e">
        <f>VLOOKUP(H1261,위치!B:C,2,0)</f>
        <v>#N/A</v>
      </c>
      <c r="J1261" s="9"/>
      <c r="K1261" s="9"/>
      <c r="L1261" s="9" t="e">
        <f>VLOOKUP(H1261,위치!B:D,3,0)</f>
        <v>#N/A</v>
      </c>
      <c r="M1261" s="12"/>
      <c r="N1261" s="5"/>
      <c r="O1261" s="5"/>
      <c r="P1261" s="5"/>
      <c r="Q1261" s="14"/>
      <c r="R1261" s="15">
        <f t="shared" si="19"/>
        <v>0</v>
      </c>
    </row>
    <row r="1262" spans="2:18" x14ac:dyDescent="0.35">
      <c r="B1262" s="9">
        <v>1283</v>
      </c>
      <c r="C1262" s="9"/>
      <c r="D1262" s="9"/>
      <c r="E1262" s="9"/>
      <c r="F1262" s="9"/>
      <c r="G1262" s="9"/>
      <c r="H1262" s="9"/>
      <c r="I1262" s="11" t="e">
        <f>VLOOKUP(H1262,위치!B:C,2,0)</f>
        <v>#N/A</v>
      </c>
      <c r="J1262" s="9"/>
      <c r="K1262" s="9"/>
      <c r="L1262" s="9" t="e">
        <f>VLOOKUP(H1262,위치!B:D,3,0)</f>
        <v>#N/A</v>
      </c>
      <c r="M1262" s="12"/>
      <c r="N1262" s="5"/>
      <c r="O1262" s="5"/>
      <c r="P1262" s="5"/>
      <c r="Q1262" s="14"/>
      <c r="R1262" s="15">
        <f t="shared" si="19"/>
        <v>0</v>
      </c>
    </row>
    <row r="1263" spans="2:18" x14ac:dyDescent="0.35">
      <c r="B1263" s="9">
        <v>1284</v>
      </c>
      <c r="C1263" s="9"/>
      <c r="D1263" s="9"/>
      <c r="E1263" s="9"/>
      <c r="F1263" s="9"/>
      <c r="G1263" s="9"/>
      <c r="H1263" s="9"/>
      <c r="I1263" s="11" t="e">
        <f>VLOOKUP(H1263,위치!B:C,2,0)</f>
        <v>#N/A</v>
      </c>
      <c r="J1263" s="9"/>
      <c r="K1263" s="9"/>
      <c r="L1263" s="9" t="e">
        <f>VLOOKUP(H1263,위치!B:D,3,0)</f>
        <v>#N/A</v>
      </c>
      <c r="M1263" s="12"/>
      <c r="N1263" s="5"/>
      <c r="O1263" s="5"/>
      <c r="P1263" s="5"/>
      <c r="Q1263" s="14"/>
      <c r="R1263" s="15">
        <f t="shared" si="19"/>
        <v>0</v>
      </c>
    </row>
    <row r="1264" spans="2:18" x14ac:dyDescent="0.35">
      <c r="B1264" s="9">
        <v>1285</v>
      </c>
      <c r="C1264" s="9"/>
      <c r="D1264" s="9"/>
      <c r="E1264" s="9"/>
      <c r="F1264" s="9"/>
      <c r="G1264" s="9"/>
      <c r="H1264" s="9"/>
      <c r="I1264" s="11" t="e">
        <f>VLOOKUP(H1264,위치!B:C,2,0)</f>
        <v>#N/A</v>
      </c>
      <c r="J1264" s="9"/>
      <c r="K1264" s="9"/>
      <c r="L1264" s="9" t="e">
        <f>VLOOKUP(H1264,위치!B:D,3,0)</f>
        <v>#N/A</v>
      </c>
      <c r="M1264" s="12"/>
      <c r="N1264" s="5"/>
      <c r="O1264" s="5"/>
      <c r="P1264" s="5"/>
      <c r="Q1264" s="14"/>
      <c r="R1264" s="15">
        <f t="shared" si="19"/>
        <v>0</v>
      </c>
    </row>
    <row r="1265" spans="2:18" x14ac:dyDescent="0.35">
      <c r="B1265" s="9">
        <v>1286</v>
      </c>
      <c r="C1265" s="9"/>
      <c r="D1265" s="9"/>
      <c r="E1265" s="9"/>
      <c r="F1265" s="9"/>
      <c r="G1265" s="9"/>
      <c r="H1265" s="9"/>
      <c r="I1265" s="11" t="e">
        <f>VLOOKUP(H1265,위치!B:C,2,0)</f>
        <v>#N/A</v>
      </c>
      <c r="J1265" s="9"/>
      <c r="K1265" s="9"/>
      <c r="L1265" s="9" t="e">
        <f>VLOOKUP(H1265,위치!B:D,3,0)</f>
        <v>#N/A</v>
      </c>
      <c r="M1265" s="12"/>
      <c r="N1265" s="5"/>
      <c r="O1265" s="5"/>
      <c r="P1265" s="5"/>
      <c r="Q1265" s="14"/>
      <c r="R1265" s="15">
        <f t="shared" si="19"/>
        <v>0</v>
      </c>
    </row>
    <row r="1266" spans="2:18" x14ac:dyDescent="0.35">
      <c r="B1266" s="9">
        <v>1287</v>
      </c>
      <c r="C1266" s="9"/>
      <c r="D1266" s="9"/>
      <c r="E1266" s="9"/>
      <c r="F1266" s="9"/>
      <c r="G1266" s="9"/>
      <c r="H1266" s="9"/>
      <c r="I1266" s="11" t="e">
        <f>VLOOKUP(H1266,위치!B:C,2,0)</f>
        <v>#N/A</v>
      </c>
      <c r="J1266" s="9"/>
      <c r="K1266" s="9"/>
      <c r="L1266" s="9" t="e">
        <f>VLOOKUP(H1266,위치!B:D,3,0)</f>
        <v>#N/A</v>
      </c>
      <c r="M1266" s="12"/>
      <c r="N1266" s="5"/>
      <c r="O1266" s="5"/>
      <c r="P1266" s="5"/>
      <c r="Q1266" s="14"/>
      <c r="R1266" s="15">
        <f t="shared" si="19"/>
        <v>0</v>
      </c>
    </row>
    <row r="1267" spans="2:18" x14ac:dyDescent="0.35">
      <c r="B1267" s="9">
        <v>1288</v>
      </c>
      <c r="C1267" s="9"/>
      <c r="D1267" s="9"/>
      <c r="E1267" s="9"/>
      <c r="F1267" s="9"/>
      <c r="G1267" s="9"/>
      <c r="H1267" s="9"/>
      <c r="I1267" s="11" t="e">
        <f>VLOOKUP(H1267,위치!B:C,2,0)</f>
        <v>#N/A</v>
      </c>
      <c r="J1267" s="9"/>
      <c r="K1267" s="9"/>
      <c r="L1267" s="9" t="e">
        <f>VLOOKUP(H1267,위치!B:D,3,0)</f>
        <v>#N/A</v>
      </c>
      <c r="M1267" s="12"/>
      <c r="N1267" s="5"/>
      <c r="O1267" s="5"/>
      <c r="P1267" s="5"/>
      <c r="Q1267" s="14"/>
      <c r="R1267" s="15">
        <f t="shared" si="19"/>
        <v>0</v>
      </c>
    </row>
    <row r="1268" spans="2:18" x14ac:dyDescent="0.35">
      <c r="B1268" s="9">
        <v>1289</v>
      </c>
      <c r="C1268" s="9"/>
      <c r="D1268" s="9"/>
      <c r="E1268" s="9"/>
      <c r="F1268" s="9"/>
      <c r="G1268" s="9"/>
      <c r="H1268" s="9"/>
      <c r="I1268" s="11" t="e">
        <f>VLOOKUP(H1268,위치!B:C,2,0)</f>
        <v>#N/A</v>
      </c>
      <c r="J1268" s="9"/>
      <c r="K1268" s="9"/>
      <c r="L1268" s="9" t="e">
        <f>VLOOKUP(H1268,위치!B:D,3,0)</f>
        <v>#N/A</v>
      </c>
      <c r="M1268" s="12"/>
      <c r="N1268" s="5"/>
      <c r="O1268" s="5"/>
      <c r="P1268" s="5"/>
      <c r="Q1268" s="14"/>
      <c r="R1268" s="15">
        <f t="shared" si="19"/>
        <v>0</v>
      </c>
    </row>
    <row r="1269" spans="2:18" x14ac:dyDescent="0.35">
      <c r="B1269" s="9">
        <v>1290</v>
      </c>
      <c r="C1269" s="9"/>
      <c r="D1269" s="9"/>
      <c r="E1269" s="9"/>
      <c r="F1269" s="9"/>
      <c r="G1269" s="9"/>
      <c r="H1269" s="9"/>
      <c r="I1269" s="11" t="e">
        <f>VLOOKUP(H1269,위치!B:C,2,0)</f>
        <v>#N/A</v>
      </c>
      <c r="J1269" s="9"/>
      <c r="K1269" s="9"/>
      <c r="L1269" s="9" t="e">
        <f>VLOOKUP(H1269,위치!B:D,3,0)</f>
        <v>#N/A</v>
      </c>
      <c r="M1269" s="12"/>
      <c r="N1269" s="5"/>
      <c r="O1269" s="5"/>
      <c r="P1269" s="5"/>
      <c r="Q1269" s="14"/>
      <c r="R1269" s="15">
        <f t="shared" si="19"/>
        <v>0</v>
      </c>
    </row>
    <row r="1270" spans="2:18" x14ac:dyDescent="0.35">
      <c r="B1270" s="9">
        <v>1291</v>
      </c>
      <c r="C1270" s="9"/>
      <c r="D1270" s="9"/>
      <c r="E1270" s="9"/>
      <c r="F1270" s="9"/>
      <c r="G1270" s="9"/>
      <c r="H1270" s="9"/>
      <c r="I1270" s="11" t="e">
        <f>VLOOKUP(H1270,위치!B:C,2,0)</f>
        <v>#N/A</v>
      </c>
      <c r="J1270" s="9"/>
      <c r="K1270" s="9"/>
      <c r="L1270" s="9" t="e">
        <f>VLOOKUP(H1270,위치!B:D,3,0)</f>
        <v>#N/A</v>
      </c>
      <c r="M1270" s="12"/>
      <c r="N1270" s="5"/>
      <c r="O1270" s="5"/>
      <c r="P1270" s="5"/>
      <c r="Q1270" s="14"/>
      <c r="R1270" s="15">
        <f t="shared" si="19"/>
        <v>0</v>
      </c>
    </row>
    <row r="1271" spans="2:18" x14ac:dyDescent="0.35">
      <c r="B1271" s="9">
        <v>1292</v>
      </c>
      <c r="C1271" s="9"/>
      <c r="D1271" s="9"/>
      <c r="E1271" s="9"/>
      <c r="F1271" s="9"/>
      <c r="G1271" s="9"/>
      <c r="H1271" s="9"/>
      <c r="I1271" s="11" t="e">
        <f>VLOOKUP(H1271,위치!B:C,2,0)</f>
        <v>#N/A</v>
      </c>
      <c r="J1271" s="9"/>
      <c r="K1271" s="9"/>
      <c r="L1271" s="9" t="e">
        <f>VLOOKUP(H1271,위치!B:D,3,0)</f>
        <v>#N/A</v>
      </c>
      <c r="M1271" s="12"/>
      <c r="N1271" s="5"/>
      <c r="O1271" s="5"/>
      <c r="P1271" s="5"/>
      <c r="Q1271" s="14"/>
      <c r="R1271" s="15">
        <f t="shared" si="19"/>
        <v>0</v>
      </c>
    </row>
    <row r="1272" spans="2:18" x14ac:dyDescent="0.35">
      <c r="B1272" s="9">
        <v>1293</v>
      </c>
      <c r="C1272" s="9"/>
      <c r="D1272" s="9"/>
      <c r="E1272" s="9"/>
      <c r="F1272" s="9"/>
      <c r="G1272" s="9"/>
      <c r="H1272" s="9"/>
      <c r="I1272" s="11" t="e">
        <f>VLOOKUP(H1272,위치!B:C,2,0)</f>
        <v>#N/A</v>
      </c>
      <c r="J1272" s="9"/>
      <c r="K1272" s="9"/>
      <c r="L1272" s="9" t="e">
        <f>VLOOKUP(H1272,위치!B:D,3,0)</f>
        <v>#N/A</v>
      </c>
      <c r="M1272" s="12"/>
      <c r="N1272" s="5"/>
      <c r="O1272" s="5"/>
      <c r="P1272" s="5"/>
      <c r="Q1272" s="14"/>
      <c r="R1272" s="15">
        <f t="shared" si="19"/>
        <v>0</v>
      </c>
    </row>
    <row r="1273" spans="2:18" x14ac:dyDescent="0.35">
      <c r="B1273" s="9">
        <v>1294</v>
      </c>
      <c r="C1273" s="9"/>
      <c r="D1273" s="9"/>
      <c r="E1273" s="9"/>
      <c r="F1273" s="9"/>
      <c r="G1273" s="9"/>
      <c r="H1273" s="9"/>
      <c r="I1273" s="11" t="e">
        <f>VLOOKUP(H1273,위치!B:C,2,0)</f>
        <v>#N/A</v>
      </c>
      <c r="J1273" s="9"/>
      <c r="K1273" s="9"/>
      <c r="L1273" s="9" t="e">
        <f>VLOOKUP(H1273,위치!B:D,3,0)</f>
        <v>#N/A</v>
      </c>
      <c r="M1273" s="12"/>
      <c r="N1273" s="5"/>
      <c r="O1273" s="5"/>
      <c r="P1273" s="5"/>
      <c r="Q1273" s="14"/>
      <c r="R1273" s="15">
        <f t="shared" si="19"/>
        <v>0</v>
      </c>
    </row>
    <row r="1274" spans="2:18" x14ac:dyDescent="0.35">
      <c r="B1274" s="9">
        <v>1295</v>
      </c>
      <c r="C1274" s="9"/>
      <c r="D1274" s="9"/>
      <c r="E1274" s="9"/>
      <c r="F1274" s="9"/>
      <c r="G1274" s="9"/>
      <c r="H1274" s="9"/>
      <c r="I1274" s="11" t="e">
        <f>VLOOKUP(H1274,위치!B:C,2,0)</f>
        <v>#N/A</v>
      </c>
      <c r="J1274" s="9"/>
      <c r="K1274" s="9"/>
      <c r="L1274" s="9" t="e">
        <f>VLOOKUP(H1274,위치!B:D,3,0)</f>
        <v>#N/A</v>
      </c>
      <c r="M1274" s="12"/>
      <c r="N1274" s="5"/>
      <c r="O1274" s="5"/>
      <c r="P1274" s="5"/>
      <c r="Q1274" s="14"/>
      <c r="R1274" s="15">
        <f t="shared" si="19"/>
        <v>0</v>
      </c>
    </row>
    <row r="1275" spans="2:18" x14ac:dyDescent="0.35">
      <c r="B1275" s="9">
        <v>1296</v>
      </c>
      <c r="C1275" s="9"/>
      <c r="D1275" s="9"/>
      <c r="E1275" s="9"/>
      <c r="F1275" s="9"/>
      <c r="G1275" s="9"/>
      <c r="H1275" s="9"/>
      <c r="I1275" s="11" t="e">
        <f>VLOOKUP(H1275,위치!B:C,2,0)</f>
        <v>#N/A</v>
      </c>
      <c r="J1275" s="9"/>
      <c r="K1275" s="9"/>
      <c r="L1275" s="9" t="e">
        <f>VLOOKUP(H1275,위치!B:D,3,0)</f>
        <v>#N/A</v>
      </c>
      <c r="M1275" s="12"/>
      <c r="N1275" s="5"/>
      <c r="O1275" s="5"/>
      <c r="P1275" s="5"/>
      <c r="Q1275" s="14"/>
      <c r="R1275" s="15">
        <f t="shared" si="19"/>
        <v>0</v>
      </c>
    </row>
    <row r="1276" spans="2:18" x14ac:dyDescent="0.35">
      <c r="B1276" s="9">
        <v>1297</v>
      </c>
      <c r="C1276" s="9"/>
      <c r="D1276" s="9"/>
      <c r="E1276" s="9"/>
      <c r="F1276" s="9"/>
      <c r="G1276" s="9"/>
      <c r="H1276" s="9"/>
      <c r="I1276" s="11" t="e">
        <f>VLOOKUP(H1276,위치!B:C,2,0)</f>
        <v>#N/A</v>
      </c>
      <c r="J1276" s="9"/>
      <c r="K1276" s="9"/>
      <c r="L1276" s="9" t="e">
        <f>VLOOKUP(H1276,위치!B:D,3,0)</f>
        <v>#N/A</v>
      </c>
      <c r="M1276" s="12"/>
      <c r="N1276" s="5"/>
      <c r="O1276" s="5"/>
      <c r="P1276" s="5"/>
      <c r="Q1276" s="14"/>
      <c r="R1276" s="15">
        <f t="shared" si="19"/>
        <v>0</v>
      </c>
    </row>
    <row r="1277" spans="2:18" x14ac:dyDescent="0.35">
      <c r="B1277" s="9">
        <v>1298</v>
      </c>
      <c r="C1277" s="9"/>
      <c r="D1277" s="9"/>
      <c r="E1277" s="9"/>
      <c r="F1277" s="9"/>
      <c r="G1277" s="9"/>
      <c r="H1277" s="9"/>
      <c r="I1277" s="11" t="e">
        <f>VLOOKUP(H1277,위치!B:C,2,0)</f>
        <v>#N/A</v>
      </c>
      <c r="J1277" s="9"/>
      <c r="K1277" s="9"/>
      <c r="L1277" s="9" t="e">
        <f>VLOOKUP(H1277,위치!B:D,3,0)</f>
        <v>#N/A</v>
      </c>
      <c r="M1277" s="12"/>
      <c r="N1277" s="5"/>
      <c r="O1277" s="5"/>
      <c r="P1277" s="5"/>
      <c r="Q1277" s="14"/>
      <c r="R1277" s="15">
        <f t="shared" si="19"/>
        <v>0</v>
      </c>
    </row>
    <row r="1278" spans="2:18" x14ac:dyDescent="0.35">
      <c r="B1278" s="9">
        <v>1299</v>
      </c>
      <c r="C1278" s="9"/>
      <c r="D1278" s="9"/>
      <c r="E1278" s="9"/>
      <c r="F1278" s="9"/>
      <c r="G1278" s="9"/>
      <c r="H1278" s="9"/>
      <c r="I1278" s="11" t="e">
        <f>VLOOKUP(H1278,위치!B:C,2,0)</f>
        <v>#N/A</v>
      </c>
      <c r="J1278" s="9"/>
      <c r="K1278" s="9"/>
      <c r="L1278" s="9" t="e">
        <f>VLOOKUP(H1278,위치!B:D,3,0)</f>
        <v>#N/A</v>
      </c>
      <c r="M1278" s="12"/>
      <c r="N1278" s="5"/>
      <c r="O1278" s="5"/>
      <c r="P1278" s="5"/>
      <c r="Q1278" s="14"/>
      <c r="R1278" s="15">
        <f t="shared" si="19"/>
        <v>0</v>
      </c>
    </row>
    <row r="1279" spans="2:18" x14ac:dyDescent="0.35">
      <c r="B1279" s="9">
        <v>1300</v>
      </c>
      <c r="C1279" s="9"/>
      <c r="D1279" s="9"/>
      <c r="E1279" s="9"/>
      <c r="F1279" s="9"/>
      <c r="G1279" s="9"/>
      <c r="H1279" s="9"/>
      <c r="I1279" s="11" t="e">
        <f>VLOOKUP(H1279,위치!B:C,2,0)</f>
        <v>#N/A</v>
      </c>
      <c r="J1279" s="9"/>
      <c r="K1279" s="9"/>
      <c r="L1279" s="9" t="e">
        <f>VLOOKUP(H1279,위치!B:D,3,0)</f>
        <v>#N/A</v>
      </c>
      <c r="M1279" s="12"/>
      <c r="N1279" s="5"/>
      <c r="O1279" s="5"/>
      <c r="P1279" s="5"/>
      <c r="Q1279" s="14"/>
      <c r="R1279" s="15">
        <f t="shared" si="19"/>
        <v>0</v>
      </c>
    </row>
    <row r="1280" spans="2:18" x14ac:dyDescent="0.35">
      <c r="B1280" s="9">
        <v>1301</v>
      </c>
      <c r="C1280" s="9"/>
      <c r="D1280" s="9"/>
      <c r="E1280" s="9"/>
      <c r="F1280" s="9"/>
      <c r="G1280" s="9"/>
      <c r="H1280" s="9"/>
      <c r="I1280" s="11" t="e">
        <f>VLOOKUP(H1280,위치!B:C,2,0)</f>
        <v>#N/A</v>
      </c>
      <c r="J1280" s="9"/>
      <c r="K1280" s="9"/>
      <c r="L1280" s="9" t="e">
        <f>VLOOKUP(H1280,위치!B:D,3,0)</f>
        <v>#N/A</v>
      </c>
      <c r="M1280" s="12"/>
      <c r="N1280" s="5"/>
      <c r="O1280" s="5"/>
      <c r="P1280" s="5"/>
      <c r="Q1280" s="14"/>
      <c r="R1280" s="15">
        <f t="shared" si="19"/>
        <v>0</v>
      </c>
    </row>
    <row r="1281" spans="2:18" x14ac:dyDescent="0.35">
      <c r="B1281" s="9">
        <v>1302</v>
      </c>
      <c r="C1281" s="9"/>
      <c r="D1281" s="9"/>
      <c r="E1281" s="9"/>
      <c r="F1281" s="9"/>
      <c r="G1281" s="9"/>
      <c r="H1281" s="9"/>
      <c r="I1281" s="11" t="e">
        <f>VLOOKUP(H1281,위치!B:C,2,0)</f>
        <v>#N/A</v>
      </c>
      <c r="J1281" s="9"/>
      <c r="K1281" s="9"/>
      <c r="L1281" s="9" t="e">
        <f>VLOOKUP(H1281,위치!B:D,3,0)</f>
        <v>#N/A</v>
      </c>
      <c r="M1281" s="12"/>
      <c r="N1281" s="5"/>
      <c r="O1281" s="5"/>
      <c r="P1281" s="5"/>
      <c r="Q1281" s="14"/>
      <c r="R1281" s="15">
        <f t="shared" si="19"/>
        <v>0</v>
      </c>
    </row>
    <row r="1282" spans="2:18" x14ac:dyDescent="0.35">
      <c r="B1282" s="9">
        <v>1303</v>
      </c>
      <c r="C1282" s="9"/>
      <c r="D1282" s="9"/>
      <c r="E1282" s="9"/>
      <c r="F1282" s="9"/>
      <c r="G1282" s="9"/>
      <c r="H1282" s="9"/>
      <c r="I1282" s="11" t="e">
        <f>VLOOKUP(H1282,위치!B:C,2,0)</f>
        <v>#N/A</v>
      </c>
      <c r="J1282" s="9"/>
      <c r="K1282" s="9"/>
      <c r="L1282" s="9" t="e">
        <f>VLOOKUP(H1282,위치!B:D,3,0)</f>
        <v>#N/A</v>
      </c>
      <c r="M1282" s="12"/>
      <c r="N1282" s="5"/>
      <c r="O1282" s="5"/>
      <c r="P1282" s="5"/>
      <c r="Q1282" s="14"/>
      <c r="R1282" s="15">
        <f t="shared" si="19"/>
        <v>0</v>
      </c>
    </row>
    <row r="1283" spans="2:18" x14ac:dyDescent="0.35">
      <c r="B1283" s="9">
        <v>1304</v>
      </c>
      <c r="C1283" s="9"/>
      <c r="D1283" s="9"/>
      <c r="E1283" s="9"/>
      <c r="F1283" s="9"/>
      <c r="G1283" s="9"/>
      <c r="H1283" s="9"/>
      <c r="I1283" s="11" t="e">
        <f>VLOOKUP(H1283,위치!B:C,2,0)</f>
        <v>#N/A</v>
      </c>
      <c r="J1283" s="9"/>
      <c r="K1283" s="9"/>
      <c r="L1283" s="9" t="e">
        <f>VLOOKUP(H1283,위치!B:D,3,0)</f>
        <v>#N/A</v>
      </c>
      <c r="M1283" s="12"/>
      <c r="N1283" s="5"/>
      <c r="O1283" s="5"/>
      <c r="P1283" s="5"/>
      <c r="Q1283" s="14"/>
      <c r="R1283" s="15">
        <f t="shared" si="19"/>
        <v>0</v>
      </c>
    </row>
    <row r="1284" spans="2:18" x14ac:dyDescent="0.35">
      <c r="B1284" s="9">
        <v>1305</v>
      </c>
      <c r="C1284" s="9"/>
      <c r="D1284" s="9"/>
      <c r="E1284" s="9"/>
      <c r="F1284" s="9"/>
      <c r="G1284" s="9"/>
      <c r="H1284" s="9"/>
      <c r="I1284" s="11" t="e">
        <f>VLOOKUP(H1284,위치!B:C,2,0)</f>
        <v>#N/A</v>
      </c>
      <c r="J1284" s="9"/>
      <c r="K1284" s="9"/>
      <c r="L1284" s="9" t="e">
        <f>VLOOKUP(H1284,위치!B:D,3,0)</f>
        <v>#N/A</v>
      </c>
      <c r="M1284" s="12"/>
      <c r="N1284" s="5"/>
      <c r="O1284" s="5"/>
      <c r="P1284" s="5"/>
      <c r="Q1284" s="14"/>
      <c r="R1284" s="15">
        <f t="shared" si="19"/>
        <v>0</v>
      </c>
    </row>
    <row r="1285" spans="2:18" x14ac:dyDescent="0.35">
      <c r="B1285" s="9">
        <v>1306</v>
      </c>
      <c r="C1285" s="9"/>
      <c r="D1285" s="9"/>
      <c r="E1285" s="9"/>
      <c r="F1285" s="9"/>
      <c r="G1285" s="9"/>
      <c r="H1285" s="9"/>
      <c r="I1285" s="11" t="e">
        <f>VLOOKUP(H1285,위치!B:C,2,0)</f>
        <v>#N/A</v>
      </c>
      <c r="J1285" s="9"/>
      <c r="K1285" s="9"/>
      <c r="L1285" s="9" t="e">
        <f>VLOOKUP(H1285,위치!B:D,3,0)</f>
        <v>#N/A</v>
      </c>
      <c r="M1285" s="12"/>
      <c r="N1285" s="5"/>
      <c r="O1285" s="5"/>
      <c r="P1285" s="5"/>
      <c r="Q1285" s="14"/>
      <c r="R1285" s="15">
        <f t="shared" si="19"/>
        <v>0</v>
      </c>
    </row>
    <row r="1286" spans="2:18" x14ac:dyDescent="0.35">
      <c r="B1286" s="9">
        <v>1307</v>
      </c>
      <c r="C1286" s="9"/>
      <c r="D1286" s="9"/>
      <c r="E1286" s="9"/>
      <c r="F1286" s="9"/>
      <c r="G1286" s="9"/>
      <c r="H1286" s="9"/>
      <c r="I1286" s="11" t="e">
        <f>VLOOKUP(H1286,위치!B:C,2,0)</f>
        <v>#N/A</v>
      </c>
      <c r="J1286" s="9"/>
      <c r="K1286" s="9"/>
      <c r="L1286" s="9" t="e">
        <f>VLOOKUP(H1286,위치!B:D,3,0)</f>
        <v>#N/A</v>
      </c>
      <c r="M1286" s="12"/>
      <c r="N1286" s="5"/>
      <c r="O1286" s="5"/>
      <c r="P1286" s="5"/>
      <c r="Q1286" s="14"/>
      <c r="R1286" s="15">
        <f t="shared" si="19"/>
        <v>0</v>
      </c>
    </row>
    <row r="1287" spans="2:18" x14ac:dyDescent="0.35">
      <c r="B1287" s="9">
        <v>1308</v>
      </c>
      <c r="C1287" s="9"/>
      <c r="D1287" s="9"/>
      <c r="E1287" s="9"/>
      <c r="F1287" s="9"/>
      <c r="G1287" s="9"/>
      <c r="H1287" s="9"/>
      <c r="I1287" s="11" t="e">
        <f>VLOOKUP(H1287,위치!B:C,2,0)</f>
        <v>#N/A</v>
      </c>
      <c r="J1287" s="9"/>
      <c r="K1287" s="9"/>
      <c r="L1287" s="9" t="e">
        <f>VLOOKUP(H1287,위치!B:D,3,0)</f>
        <v>#N/A</v>
      </c>
      <c r="M1287" s="12"/>
      <c r="N1287" s="5"/>
      <c r="O1287" s="5"/>
      <c r="P1287" s="5"/>
      <c r="Q1287" s="14"/>
      <c r="R1287" s="15">
        <f t="shared" ref="R1287:R1350" si="20">J1287-P1287</f>
        <v>0</v>
      </c>
    </row>
    <row r="1288" spans="2:18" x14ac:dyDescent="0.35">
      <c r="B1288" s="9">
        <v>1309</v>
      </c>
      <c r="C1288" s="9"/>
      <c r="D1288" s="9"/>
      <c r="E1288" s="9"/>
      <c r="F1288" s="9"/>
      <c r="G1288" s="9"/>
      <c r="H1288" s="9"/>
      <c r="I1288" s="11" t="e">
        <f>VLOOKUP(H1288,위치!B:C,2,0)</f>
        <v>#N/A</v>
      </c>
      <c r="J1288" s="9"/>
      <c r="K1288" s="9"/>
      <c r="L1288" s="9" t="e">
        <f>VLOOKUP(H1288,위치!B:D,3,0)</f>
        <v>#N/A</v>
      </c>
      <c r="M1288" s="12"/>
      <c r="N1288" s="5"/>
      <c r="O1288" s="5"/>
      <c r="P1288" s="5"/>
      <c r="Q1288" s="14"/>
      <c r="R1288" s="15">
        <f t="shared" si="20"/>
        <v>0</v>
      </c>
    </row>
    <row r="1289" spans="2:18" x14ac:dyDescent="0.35">
      <c r="B1289" s="9">
        <v>1310</v>
      </c>
      <c r="C1289" s="9"/>
      <c r="D1289" s="9"/>
      <c r="E1289" s="9"/>
      <c r="F1289" s="9"/>
      <c r="G1289" s="9"/>
      <c r="H1289" s="9"/>
      <c r="I1289" s="11" t="e">
        <f>VLOOKUP(H1289,위치!B:C,2,0)</f>
        <v>#N/A</v>
      </c>
      <c r="J1289" s="9"/>
      <c r="K1289" s="9"/>
      <c r="L1289" s="9" t="e">
        <f>VLOOKUP(H1289,위치!B:D,3,0)</f>
        <v>#N/A</v>
      </c>
      <c r="M1289" s="12"/>
      <c r="N1289" s="5"/>
      <c r="O1289" s="5"/>
      <c r="P1289" s="5"/>
      <c r="Q1289" s="14"/>
      <c r="R1289" s="15">
        <f t="shared" si="20"/>
        <v>0</v>
      </c>
    </row>
    <row r="1290" spans="2:18" x14ac:dyDescent="0.35">
      <c r="B1290" s="9">
        <v>1311</v>
      </c>
      <c r="C1290" s="9"/>
      <c r="D1290" s="9"/>
      <c r="E1290" s="9"/>
      <c r="F1290" s="9"/>
      <c r="G1290" s="9"/>
      <c r="H1290" s="9"/>
      <c r="I1290" s="11" t="e">
        <f>VLOOKUP(H1290,위치!B:C,2,0)</f>
        <v>#N/A</v>
      </c>
      <c r="J1290" s="9"/>
      <c r="K1290" s="9"/>
      <c r="L1290" s="9" t="e">
        <f>VLOOKUP(H1290,위치!B:D,3,0)</f>
        <v>#N/A</v>
      </c>
      <c r="M1290" s="12"/>
      <c r="N1290" s="5"/>
      <c r="O1290" s="5"/>
      <c r="P1290" s="5"/>
      <c r="Q1290" s="14"/>
      <c r="R1290" s="15">
        <f t="shared" si="20"/>
        <v>0</v>
      </c>
    </row>
    <row r="1291" spans="2:18" x14ac:dyDescent="0.35">
      <c r="B1291" s="9">
        <v>1312</v>
      </c>
      <c r="C1291" s="9"/>
      <c r="D1291" s="9"/>
      <c r="E1291" s="9"/>
      <c r="F1291" s="9"/>
      <c r="G1291" s="9"/>
      <c r="H1291" s="9"/>
      <c r="I1291" s="11" t="e">
        <f>VLOOKUP(H1291,위치!B:C,2,0)</f>
        <v>#N/A</v>
      </c>
      <c r="J1291" s="9"/>
      <c r="K1291" s="9"/>
      <c r="L1291" s="9" t="e">
        <f>VLOOKUP(H1291,위치!B:D,3,0)</f>
        <v>#N/A</v>
      </c>
      <c r="M1291" s="12"/>
      <c r="N1291" s="5"/>
      <c r="O1291" s="5"/>
      <c r="P1291" s="5"/>
      <c r="Q1291" s="14"/>
      <c r="R1291" s="15">
        <f t="shared" si="20"/>
        <v>0</v>
      </c>
    </row>
    <row r="1292" spans="2:18" x14ac:dyDescent="0.35">
      <c r="B1292" s="9">
        <v>1313</v>
      </c>
      <c r="C1292" s="9"/>
      <c r="D1292" s="9"/>
      <c r="E1292" s="9"/>
      <c r="F1292" s="9"/>
      <c r="G1292" s="9"/>
      <c r="H1292" s="9"/>
      <c r="I1292" s="11" t="e">
        <f>VLOOKUP(H1292,위치!B:C,2,0)</f>
        <v>#N/A</v>
      </c>
      <c r="J1292" s="9"/>
      <c r="K1292" s="9"/>
      <c r="L1292" s="9" t="e">
        <f>VLOOKUP(H1292,위치!B:D,3,0)</f>
        <v>#N/A</v>
      </c>
      <c r="M1292" s="12"/>
      <c r="N1292" s="5"/>
      <c r="O1292" s="5"/>
      <c r="P1292" s="5"/>
      <c r="Q1292" s="14"/>
      <c r="R1292" s="15">
        <f t="shared" si="20"/>
        <v>0</v>
      </c>
    </row>
    <row r="1293" spans="2:18" x14ac:dyDescent="0.35">
      <c r="B1293" s="9">
        <v>1314</v>
      </c>
      <c r="C1293" s="9"/>
      <c r="D1293" s="9"/>
      <c r="E1293" s="9"/>
      <c r="F1293" s="9"/>
      <c r="G1293" s="9"/>
      <c r="H1293" s="9"/>
      <c r="I1293" s="11" t="e">
        <f>VLOOKUP(H1293,위치!B:C,2,0)</f>
        <v>#N/A</v>
      </c>
      <c r="J1293" s="9"/>
      <c r="K1293" s="9"/>
      <c r="L1293" s="9" t="e">
        <f>VLOOKUP(H1293,위치!B:D,3,0)</f>
        <v>#N/A</v>
      </c>
      <c r="M1293" s="12"/>
      <c r="N1293" s="5"/>
      <c r="O1293" s="5"/>
      <c r="P1293" s="5"/>
      <c r="Q1293" s="14"/>
      <c r="R1293" s="15">
        <f t="shared" si="20"/>
        <v>0</v>
      </c>
    </row>
    <row r="1294" spans="2:18" x14ac:dyDescent="0.35">
      <c r="B1294" s="9">
        <v>1315</v>
      </c>
      <c r="C1294" s="9"/>
      <c r="D1294" s="9"/>
      <c r="E1294" s="9"/>
      <c r="F1294" s="9"/>
      <c r="G1294" s="9"/>
      <c r="H1294" s="9"/>
      <c r="I1294" s="11" t="e">
        <f>VLOOKUP(H1294,위치!B:C,2,0)</f>
        <v>#N/A</v>
      </c>
      <c r="J1294" s="9"/>
      <c r="K1294" s="9"/>
      <c r="L1294" s="9" t="e">
        <f>VLOOKUP(H1294,위치!B:D,3,0)</f>
        <v>#N/A</v>
      </c>
      <c r="M1294" s="12"/>
      <c r="N1294" s="5"/>
      <c r="O1294" s="5"/>
      <c r="P1294" s="5"/>
      <c r="Q1294" s="14"/>
      <c r="R1294" s="15">
        <f t="shared" si="20"/>
        <v>0</v>
      </c>
    </row>
    <row r="1295" spans="2:18" x14ac:dyDescent="0.35">
      <c r="B1295" s="9">
        <v>1316</v>
      </c>
      <c r="C1295" s="9"/>
      <c r="D1295" s="9"/>
      <c r="E1295" s="9"/>
      <c r="F1295" s="9"/>
      <c r="G1295" s="9"/>
      <c r="H1295" s="9"/>
      <c r="I1295" s="11" t="e">
        <f>VLOOKUP(H1295,위치!B:C,2,0)</f>
        <v>#N/A</v>
      </c>
      <c r="J1295" s="9"/>
      <c r="K1295" s="9"/>
      <c r="L1295" s="9" t="e">
        <f>VLOOKUP(H1295,위치!B:D,3,0)</f>
        <v>#N/A</v>
      </c>
      <c r="M1295" s="12"/>
      <c r="N1295" s="5"/>
      <c r="O1295" s="5"/>
      <c r="P1295" s="5"/>
      <c r="Q1295" s="14"/>
      <c r="R1295" s="15">
        <f t="shared" si="20"/>
        <v>0</v>
      </c>
    </row>
    <row r="1296" spans="2:18" x14ac:dyDescent="0.35">
      <c r="B1296" s="9">
        <v>1317</v>
      </c>
      <c r="C1296" s="9"/>
      <c r="D1296" s="9"/>
      <c r="E1296" s="9"/>
      <c r="F1296" s="9"/>
      <c r="G1296" s="9"/>
      <c r="H1296" s="9"/>
      <c r="I1296" s="11" t="e">
        <f>VLOOKUP(H1296,위치!B:C,2,0)</f>
        <v>#N/A</v>
      </c>
      <c r="J1296" s="9"/>
      <c r="K1296" s="9"/>
      <c r="L1296" s="9" t="e">
        <f>VLOOKUP(H1296,위치!B:D,3,0)</f>
        <v>#N/A</v>
      </c>
      <c r="M1296" s="12"/>
      <c r="N1296" s="5"/>
      <c r="O1296" s="5"/>
      <c r="P1296" s="5"/>
      <c r="Q1296" s="14"/>
      <c r="R1296" s="15">
        <f t="shared" si="20"/>
        <v>0</v>
      </c>
    </row>
    <row r="1297" spans="2:18" x14ac:dyDescent="0.35">
      <c r="B1297" s="9">
        <v>1318</v>
      </c>
      <c r="C1297" s="9"/>
      <c r="D1297" s="9"/>
      <c r="E1297" s="9"/>
      <c r="F1297" s="9"/>
      <c r="G1297" s="9"/>
      <c r="H1297" s="9"/>
      <c r="I1297" s="11" t="e">
        <f>VLOOKUP(H1297,위치!B:C,2,0)</f>
        <v>#N/A</v>
      </c>
      <c r="J1297" s="9"/>
      <c r="K1297" s="9"/>
      <c r="L1297" s="9" t="e">
        <f>VLOOKUP(H1297,위치!B:D,3,0)</f>
        <v>#N/A</v>
      </c>
      <c r="M1297" s="12"/>
      <c r="N1297" s="5"/>
      <c r="O1297" s="5"/>
      <c r="P1297" s="5"/>
      <c r="Q1297" s="14"/>
      <c r="R1297" s="15">
        <f t="shared" si="20"/>
        <v>0</v>
      </c>
    </row>
    <row r="1298" spans="2:18" x14ac:dyDescent="0.35">
      <c r="B1298" s="9">
        <v>1319</v>
      </c>
      <c r="C1298" s="9"/>
      <c r="D1298" s="9"/>
      <c r="E1298" s="9"/>
      <c r="F1298" s="9"/>
      <c r="G1298" s="9"/>
      <c r="H1298" s="9"/>
      <c r="I1298" s="11" t="e">
        <f>VLOOKUP(H1298,위치!B:C,2,0)</f>
        <v>#N/A</v>
      </c>
      <c r="J1298" s="9"/>
      <c r="K1298" s="9"/>
      <c r="L1298" s="9" t="e">
        <f>VLOOKUP(H1298,위치!B:D,3,0)</f>
        <v>#N/A</v>
      </c>
      <c r="M1298" s="12"/>
      <c r="N1298" s="5"/>
      <c r="O1298" s="5"/>
      <c r="P1298" s="5"/>
      <c r="Q1298" s="14"/>
      <c r="R1298" s="15">
        <f t="shared" si="20"/>
        <v>0</v>
      </c>
    </row>
    <row r="1299" spans="2:18" x14ac:dyDescent="0.35">
      <c r="B1299" s="9">
        <v>1320</v>
      </c>
      <c r="C1299" s="9"/>
      <c r="D1299" s="9"/>
      <c r="E1299" s="9"/>
      <c r="F1299" s="9"/>
      <c r="G1299" s="9"/>
      <c r="H1299" s="9"/>
      <c r="I1299" s="11" t="e">
        <f>VLOOKUP(H1299,위치!B:C,2,0)</f>
        <v>#N/A</v>
      </c>
      <c r="J1299" s="9"/>
      <c r="K1299" s="9"/>
      <c r="L1299" s="9" t="e">
        <f>VLOOKUP(H1299,위치!B:D,3,0)</f>
        <v>#N/A</v>
      </c>
      <c r="M1299" s="12"/>
      <c r="N1299" s="5"/>
      <c r="O1299" s="5"/>
      <c r="P1299" s="5"/>
      <c r="Q1299" s="14"/>
      <c r="R1299" s="15">
        <f t="shared" si="20"/>
        <v>0</v>
      </c>
    </row>
    <row r="1300" spans="2:18" x14ac:dyDescent="0.35">
      <c r="B1300" s="9">
        <v>1321</v>
      </c>
      <c r="C1300" s="9"/>
      <c r="D1300" s="9"/>
      <c r="E1300" s="9"/>
      <c r="F1300" s="9"/>
      <c r="G1300" s="9"/>
      <c r="H1300" s="9"/>
      <c r="I1300" s="11" t="e">
        <f>VLOOKUP(H1300,위치!B:C,2,0)</f>
        <v>#N/A</v>
      </c>
      <c r="J1300" s="9"/>
      <c r="K1300" s="9"/>
      <c r="L1300" s="9" t="e">
        <f>VLOOKUP(H1300,위치!B:D,3,0)</f>
        <v>#N/A</v>
      </c>
      <c r="M1300" s="12"/>
      <c r="N1300" s="5"/>
      <c r="O1300" s="5"/>
      <c r="P1300" s="5"/>
      <c r="Q1300" s="14"/>
      <c r="R1300" s="15">
        <f t="shared" si="20"/>
        <v>0</v>
      </c>
    </row>
    <row r="1301" spans="2:18" x14ac:dyDescent="0.35">
      <c r="B1301" s="9">
        <v>1322</v>
      </c>
      <c r="C1301" s="9"/>
      <c r="D1301" s="9"/>
      <c r="E1301" s="9"/>
      <c r="F1301" s="9"/>
      <c r="G1301" s="9"/>
      <c r="H1301" s="9"/>
      <c r="I1301" s="11" t="e">
        <f>VLOOKUP(H1301,위치!B:C,2,0)</f>
        <v>#N/A</v>
      </c>
      <c r="J1301" s="9"/>
      <c r="K1301" s="9"/>
      <c r="L1301" s="9" t="e">
        <f>VLOOKUP(H1301,위치!B:D,3,0)</f>
        <v>#N/A</v>
      </c>
      <c r="M1301" s="12"/>
      <c r="N1301" s="5"/>
      <c r="O1301" s="5"/>
      <c r="P1301" s="5"/>
      <c r="Q1301" s="14"/>
      <c r="R1301" s="15">
        <f t="shared" si="20"/>
        <v>0</v>
      </c>
    </row>
    <row r="1302" spans="2:18" x14ac:dyDescent="0.35">
      <c r="B1302" s="9">
        <v>1323</v>
      </c>
      <c r="C1302" s="9"/>
      <c r="D1302" s="9"/>
      <c r="E1302" s="9"/>
      <c r="F1302" s="9"/>
      <c r="G1302" s="9"/>
      <c r="H1302" s="9"/>
      <c r="I1302" s="11" t="e">
        <f>VLOOKUP(H1302,위치!B:C,2,0)</f>
        <v>#N/A</v>
      </c>
      <c r="J1302" s="9"/>
      <c r="K1302" s="9"/>
      <c r="L1302" s="9" t="e">
        <f>VLOOKUP(H1302,위치!B:D,3,0)</f>
        <v>#N/A</v>
      </c>
      <c r="M1302" s="12"/>
      <c r="N1302" s="5"/>
      <c r="O1302" s="5"/>
      <c r="P1302" s="5"/>
      <c r="Q1302" s="14"/>
      <c r="R1302" s="15">
        <f t="shared" si="20"/>
        <v>0</v>
      </c>
    </row>
    <row r="1303" spans="2:18" x14ac:dyDescent="0.35">
      <c r="B1303" s="9">
        <v>1324</v>
      </c>
      <c r="C1303" s="9"/>
      <c r="D1303" s="9"/>
      <c r="E1303" s="9"/>
      <c r="F1303" s="9"/>
      <c r="G1303" s="9"/>
      <c r="H1303" s="9"/>
      <c r="I1303" s="11" t="e">
        <f>VLOOKUP(H1303,위치!B:C,2,0)</f>
        <v>#N/A</v>
      </c>
      <c r="J1303" s="9"/>
      <c r="K1303" s="9"/>
      <c r="L1303" s="9" t="e">
        <f>VLOOKUP(H1303,위치!B:D,3,0)</f>
        <v>#N/A</v>
      </c>
      <c r="M1303" s="12"/>
      <c r="N1303" s="5"/>
      <c r="O1303" s="5"/>
      <c r="P1303" s="5"/>
      <c r="Q1303" s="14"/>
      <c r="R1303" s="15">
        <f t="shared" si="20"/>
        <v>0</v>
      </c>
    </row>
    <row r="1304" spans="2:18" x14ac:dyDescent="0.35">
      <c r="B1304" s="9">
        <v>1325</v>
      </c>
      <c r="C1304" s="9"/>
      <c r="D1304" s="9"/>
      <c r="E1304" s="9"/>
      <c r="F1304" s="9"/>
      <c r="G1304" s="9"/>
      <c r="H1304" s="9"/>
      <c r="I1304" s="11" t="e">
        <f>VLOOKUP(H1304,위치!B:C,2,0)</f>
        <v>#N/A</v>
      </c>
      <c r="J1304" s="9"/>
      <c r="K1304" s="9"/>
      <c r="L1304" s="9" t="e">
        <f>VLOOKUP(H1304,위치!B:D,3,0)</f>
        <v>#N/A</v>
      </c>
      <c r="M1304" s="12"/>
      <c r="N1304" s="5"/>
      <c r="O1304" s="5"/>
      <c r="P1304" s="5"/>
      <c r="Q1304" s="14"/>
      <c r="R1304" s="15">
        <f t="shared" si="20"/>
        <v>0</v>
      </c>
    </row>
    <row r="1305" spans="2:18" x14ac:dyDescent="0.35">
      <c r="B1305" s="9">
        <v>1326</v>
      </c>
      <c r="C1305" s="9"/>
      <c r="D1305" s="9"/>
      <c r="E1305" s="9"/>
      <c r="F1305" s="9"/>
      <c r="G1305" s="9"/>
      <c r="H1305" s="9"/>
      <c r="I1305" s="11" t="e">
        <f>VLOOKUP(H1305,위치!B:C,2,0)</f>
        <v>#N/A</v>
      </c>
      <c r="J1305" s="9"/>
      <c r="K1305" s="9"/>
      <c r="L1305" s="9" t="e">
        <f>VLOOKUP(H1305,위치!B:D,3,0)</f>
        <v>#N/A</v>
      </c>
      <c r="M1305" s="12"/>
      <c r="N1305" s="5"/>
      <c r="O1305" s="5"/>
      <c r="P1305" s="5"/>
      <c r="Q1305" s="14"/>
      <c r="R1305" s="15">
        <f t="shared" si="20"/>
        <v>0</v>
      </c>
    </row>
    <row r="1306" spans="2:18" x14ac:dyDescent="0.35">
      <c r="B1306" s="9">
        <v>1327</v>
      </c>
      <c r="C1306" s="9"/>
      <c r="D1306" s="9"/>
      <c r="E1306" s="9"/>
      <c r="F1306" s="9"/>
      <c r="G1306" s="9"/>
      <c r="H1306" s="9"/>
      <c r="I1306" s="11" t="e">
        <f>VLOOKUP(H1306,위치!B:C,2,0)</f>
        <v>#N/A</v>
      </c>
      <c r="J1306" s="9"/>
      <c r="K1306" s="9"/>
      <c r="L1306" s="9" t="e">
        <f>VLOOKUP(H1306,위치!B:D,3,0)</f>
        <v>#N/A</v>
      </c>
      <c r="M1306" s="12"/>
      <c r="N1306" s="5"/>
      <c r="O1306" s="5"/>
      <c r="P1306" s="5"/>
      <c r="Q1306" s="14"/>
      <c r="R1306" s="15">
        <f t="shared" si="20"/>
        <v>0</v>
      </c>
    </row>
    <row r="1307" spans="2:18" x14ac:dyDescent="0.35">
      <c r="B1307" s="9">
        <v>1328</v>
      </c>
      <c r="C1307" s="9"/>
      <c r="D1307" s="9"/>
      <c r="E1307" s="9"/>
      <c r="F1307" s="9"/>
      <c r="G1307" s="9"/>
      <c r="H1307" s="9"/>
      <c r="I1307" s="11" t="e">
        <f>VLOOKUP(H1307,위치!B:C,2,0)</f>
        <v>#N/A</v>
      </c>
      <c r="J1307" s="9"/>
      <c r="K1307" s="9"/>
      <c r="L1307" s="9" t="e">
        <f>VLOOKUP(H1307,위치!B:D,3,0)</f>
        <v>#N/A</v>
      </c>
      <c r="M1307" s="12"/>
      <c r="N1307" s="5"/>
      <c r="O1307" s="5"/>
      <c r="P1307" s="5"/>
      <c r="Q1307" s="14"/>
      <c r="R1307" s="15">
        <f t="shared" si="20"/>
        <v>0</v>
      </c>
    </row>
    <row r="1308" spans="2:18" x14ac:dyDescent="0.35">
      <c r="B1308" s="9">
        <v>1329</v>
      </c>
      <c r="C1308" s="9"/>
      <c r="D1308" s="9"/>
      <c r="E1308" s="9"/>
      <c r="F1308" s="9"/>
      <c r="G1308" s="9"/>
      <c r="H1308" s="9"/>
      <c r="I1308" s="11" t="e">
        <f>VLOOKUP(H1308,위치!B:C,2,0)</f>
        <v>#N/A</v>
      </c>
      <c r="J1308" s="9"/>
      <c r="K1308" s="9"/>
      <c r="L1308" s="9" t="e">
        <f>VLOOKUP(H1308,위치!B:D,3,0)</f>
        <v>#N/A</v>
      </c>
      <c r="M1308" s="12"/>
      <c r="N1308" s="5"/>
      <c r="O1308" s="5"/>
      <c r="P1308" s="5"/>
      <c r="Q1308" s="14"/>
      <c r="R1308" s="15">
        <f t="shared" si="20"/>
        <v>0</v>
      </c>
    </row>
    <row r="1309" spans="2:18" x14ac:dyDescent="0.35">
      <c r="B1309" s="9">
        <v>1330</v>
      </c>
      <c r="C1309" s="9"/>
      <c r="D1309" s="9"/>
      <c r="E1309" s="9"/>
      <c r="F1309" s="9"/>
      <c r="G1309" s="9"/>
      <c r="H1309" s="9"/>
      <c r="I1309" s="11" t="e">
        <f>VLOOKUP(H1309,위치!B:C,2,0)</f>
        <v>#N/A</v>
      </c>
      <c r="J1309" s="9"/>
      <c r="K1309" s="9"/>
      <c r="L1309" s="9" t="e">
        <f>VLOOKUP(H1309,위치!B:D,3,0)</f>
        <v>#N/A</v>
      </c>
      <c r="M1309" s="12"/>
      <c r="N1309" s="5"/>
      <c r="O1309" s="5"/>
      <c r="P1309" s="5"/>
      <c r="Q1309" s="14"/>
      <c r="R1309" s="15">
        <f t="shared" si="20"/>
        <v>0</v>
      </c>
    </row>
    <row r="1310" spans="2:18" x14ac:dyDescent="0.35">
      <c r="B1310" s="9">
        <v>1331</v>
      </c>
      <c r="C1310" s="9"/>
      <c r="D1310" s="9"/>
      <c r="E1310" s="9"/>
      <c r="F1310" s="9"/>
      <c r="G1310" s="9"/>
      <c r="H1310" s="9"/>
      <c r="I1310" s="11" t="e">
        <f>VLOOKUP(H1310,위치!B:C,2,0)</f>
        <v>#N/A</v>
      </c>
      <c r="J1310" s="9"/>
      <c r="K1310" s="9"/>
      <c r="L1310" s="9" t="e">
        <f>VLOOKUP(H1310,위치!B:D,3,0)</f>
        <v>#N/A</v>
      </c>
      <c r="M1310" s="12"/>
      <c r="N1310" s="5"/>
      <c r="O1310" s="5"/>
      <c r="P1310" s="5"/>
      <c r="Q1310" s="14"/>
      <c r="R1310" s="15">
        <f t="shared" si="20"/>
        <v>0</v>
      </c>
    </row>
    <row r="1311" spans="2:18" x14ac:dyDescent="0.35">
      <c r="B1311" s="9">
        <v>1332</v>
      </c>
      <c r="C1311" s="9"/>
      <c r="D1311" s="9"/>
      <c r="E1311" s="9"/>
      <c r="F1311" s="9"/>
      <c r="G1311" s="9"/>
      <c r="H1311" s="9"/>
      <c r="I1311" s="11" t="e">
        <f>VLOOKUP(H1311,위치!B:C,2,0)</f>
        <v>#N/A</v>
      </c>
      <c r="J1311" s="9"/>
      <c r="K1311" s="9"/>
      <c r="L1311" s="9" t="e">
        <f>VLOOKUP(H1311,위치!B:D,3,0)</f>
        <v>#N/A</v>
      </c>
      <c r="M1311" s="12"/>
      <c r="N1311" s="5"/>
      <c r="O1311" s="5"/>
      <c r="P1311" s="5"/>
      <c r="Q1311" s="14"/>
      <c r="R1311" s="15">
        <f t="shared" si="20"/>
        <v>0</v>
      </c>
    </row>
    <row r="1312" spans="2:18" x14ac:dyDescent="0.35">
      <c r="B1312" s="9">
        <v>1333</v>
      </c>
      <c r="C1312" s="9"/>
      <c r="D1312" s="9"/>
      <c r="E1312" s="9"/>
      <c r="F1312" s="9"/>
      <c r="G1312" s="9"/>
      <c r="H1312" s="9"/>
      <c r="I1312" s="11" t="e">
        <f>VLOOKUP(H1312,위치!B:C,2,0)</f>
        <v>#N/A</v>
      </c>
      <c r="J1312" s="9"/>
      <c r="K1312" s="9"/>
      <c r="L1312" s="9" t="e">
        <f>VLOOKUP(H1312,위치!B:D,3,0)</f>
        <v>#N/A</v>
      </c>
      <c r="M1312" s="12"/>
      <c r="N1312" s="5"/>
      <c r="O1312" s="5"/>
      <c r="P1312" s="5"/>
      <c r="Q1312" s="14"/>
      <c r="R1312" s="15">
        <f t="shared" si="20"/>
        <v>0</v>
      </c>
    </row>
    <row r="1313" spans="2:18" x14ac:dyDescent="0.35">
      <c r="B1313" s="9">
        <v>1334</v>
      </c>
      <c r="C1313" s="9"/>
      <c r="D1313" s="9"/>
      <c r="E1313" s="9"/>
      <c r="F1313" s="9"/>
      <c r="G1313" s="9"/>
      <c r="H1313" s="9"/>
      <c r="I1313" s="11" t="e">
        <f>VLOOKUP(H1313,위치!B:C,2,0)</f>
        <v>#N/A</v>
      </c>
      <c r="J1313" s="9"/>
      <c r="K1313" s="9"/>
      <c r="L1313" s="9" t="e">
        <f>VLOOKUP(H1313,위치!B:D,3,0)</f>
        <v>#N/A</v>
      </c>
      <c r="M1313" s="12"/>
      <c r="N1313" s="5"/>
      <c r="O1313" s="5"/>
      <c r="P1313" s="5"/>
      <c r="Q1313" s="14"/>
      <c r="R1313" s="15">
        <f t="shared" si="20"/>
        <v>0</v>
      </c>
    </row>
    <row r="1314" spans="2:18" x14ac:dyDescent="0.35">
      <c r="B1314" s="9">
        <v>1335</v>
      </c>
      <c r="C1314" s="9"/>
      <c r="D1314" s="9"/>
      <c r="E1314" s="9"/>
      <c r="F1314" s="9"/>
      <c r="G1314" s="9"/>
      <c r="H1314" s="9"/>
      <c r="I1314" s="11" t="e">
        <f>VLOOKUP(H1314,위치!B:C,2,0)</f>
        <v>#N/A</v>
      </c>
      <c r="J1314" s="9"/>
      <c r="K1314" s="9"/>
      <c r="L1314" s="9" t="e">
        <f>VLOOKUP(H1314,위치!B:D,3,0)</f>
        <v>#N/A</v>
      </c>
      <c r="M1314" s="12"/>
      <c r="N1314" s="5"/>
      <c r="O1314" s="5"/>
      <c r="P1314" s="5"/>
      <c r="Q1314" s="14"/>
      <c r="R1314" s="15">
        <f t="shared" si="20"/>
        <v>0</v>
      </c>
    </row>
    <row r="1315" spans="2:18" x14ac:dyDescent="0.35">
      <c r="B1315" s="9">
        <v>1336</v>
      </c>
      <c r="C1315" s="9"/>
      <c r="D1315" s="9"/>
      <c r="E1315" s="9"/>
      <c r="F1315" s="9"/>
      <c r="G1315" s="9"/>
      <c r="H1315" s="9"/>
      <c r="I1315" s="11" t="e">
        <f>VLOOKUP(H1315,위치!B:C,2,0)</f>
        <v>#N/A</v>
      </c>
      <c r="J1315" s="9"/>
      <c r="K1315" s="9"/>
      <c r="L1315" s="9" t="e">
        <f>VLOOKUP(H1315,위치!B:D,3,0)</f>
        <v>#N/A</v>
      </c>
      <c r="M1315" s="12"/>
      <c r="N1315" s="5"/>
      <c r="O1315" s="5"/>
      <c r="P1315" s="5"/>
      <c r="Q1315" s="14"/>
      <c r="R1315" s="15">
        <f t="shared" si="20"/>
        <v>0</v>
      </c>
    </row>
    <row r="1316" spans="2:18" x14ac:dyDescent="0.35">
      <c r="B1316" s="9">
        <v>1337</v>
      </c>
      <c r="C1316" s="9"/>
      <c r="D1316" s="9"/>
      <c r="E1316" s="9"/>
      <c r="F1316" s="9"/>
      <c r="G1316" s="9"/>
      <c r="H1316" s="9"/>
      <c r="I1316" s="11" t="e">
        <f>VLOOKUP(H1316,위치!B:C,2,0)</f>
        <v>#N/A</v>
      </c>
      <c r="J1316" s="9"/>
      <c r="K1316" s="9"/>
      <c r="L1316" s="9" t="e">
        <f>VLOOKUP(H1316,위치!B:D,3,0)</f>
        <v>#N/A</v>
      </c>
      <c r="M1316" s="12"/>
      <c r="N1316" s="5"/>
      <c r="O1316" s="5"/>
      <c r="P1316" s="5"/>
      <c r="Q1316" s="14"/>
      <c r="R1316" s="15">
        <f t="shared" si="20"/>
        <v>0</v>
      </c>
    </row>
    <row r="1317" spans="2:18" x14ac:dyDescent="0.35">
      <c r="B1317" s="9">
        <v>1338</v>
      </c>
      <c r="C1317" s="9"/>
      <c r="D1317" s="9"/>
      <c r="E1317" s="9"/>
      <c r="F1317" s="9"/>
      <c r="G1317" s="9"/>
      <c r="H1317" s="9"/>
      <c r="I1317" s="11" t="e">
        <f>VLOOKUP(H1317,위치!B:C,2,0)</f>
        <v>#N/A</v>
      </c>
      <c r="J1317" s="9"/>
      <c r="K1317" s="9"/>
      <c r="L1317" s="9" t="e">
        <f>VLOOKUP(H1317,위치!B:D,3,0)</f>
        <v>#N/A</v>
      </c>
      <c r="M1317" s="12"/>
      <c r="N1317" s="5"/>
      <c r="O1317" s="5"/>
      <c r="P1317" s="5"/>
      <c r="Q1317" s="14"/>
      <c r="R1317" s="15">
        <f t="shared" si="20"/>
        <v>0</v>
      </c>
    </row>
    <row r="1318" spans="2:18" x14ac:dyDescent="0.35">
      <c r="B1318" s="9">
        <v>1339</v>
      </c>
      <c r="C1318" s="9"/>
      <c r="D1318" s="9"/>
      <c r="E1318" s="9"/>
      <c r="F1318" s="9"/>
      <c r="G1318" s="9"/>
      <c r="H1318" s="9"/>
      <c r="I1318" s="11" t="e">
        <f>VLOOKUP(H1318,위치!B:C,2,0)</f>
        <v>#N/A</v>
      </c>
      <c r="J1318" s="9"/>
      <c r="K1318" s="9"/>
      <c r="L1318" s="9" t="e">
        <f>VLOOKUP(H1318,위치!B:D,3,0)</f>
        <v>#N/A</v>
      </c>
      <c r="M1318" s="12"/>
      <c r="N1318" s="5"/>
      <c r="O1318" s="5"/>
      <c r="P1318" s="5"/>
      <c r="Q1318" s="14"/>
      <c r="R1318" s="15">
        <f t="shared" si="20"/>
        <v>0</v>
      </c>
    </row>
    <row r="1319" spans="2:18" x14ac:dyDescent="0.35">
      <c r="B1319" s="9">
        <v>1340</v>
      </c>
      <c r="C1319" s="9"/>
      <c r="D1319" s="9"/>
      <c r="E1319" s="9"/>
      <c r="F1319" s="9"/>
      <c r="G1319" s="9"/>
      <c r="H1319" s="9"/>
      <c r="I1319" s="11" t="e">
        <f>VLOOKUP(H1319,위치!B:C,2,0)</f>
        <v>#N/A</v>
      </c>
      <c r="J1319" s="9"/>
      <c r="K1319" s="9"/>
      <c r="L1319" s="9" t="e">
        <f>VLOOKUP(H1319,위치!B:D,3,0)</f>
        <v>#N/A</v>
      </c>
      <c r="M1319" s="12"/>
      <c r="N1319" s="5"/>
      <c r="O1319" s="5"/>
      <c r="P1319" s="5"/>
      <c r="Q1319" s="14"/>
      <c r="R1319" s="15">
        <f t="shared" si="20"/>
        <v>0</v>
      </c>
    </row>
    <row r="1320" spans="2:18" x14ac:dyDescent="0.35">
      <c r="B1320" s="9">
        <v>1341</v>
      </c>
      <c r="C1320" s="9"/>
      <c r="D1320" s="9"/>
      <c r="E1320" s="9"/>
      <c r="F1320" s="9"/>
      <c r="G1320" s="9"/>
      <c r="H1320" s="9"/>
      <c r="I1320" s="11" t="e">
        <f>VLOOKUP(H1320,위치!B:C,2,0)</f>
        <v>#N/A</v>
      </c>
      <c r="J1320" s="9"/>
      <c r="K1320" s="9"/>
      <c r="L1320" s="9" t="e">
        <f>VLOOKUP(H1320,위치!B:D,3,0)</f>
        <v>#N/A</v>
      </c>
      <c r="M1320" s="12"/>
      <c r="N1320" s="5"/>
      <c r="O1320" s="5"/>
      <c r="P1320" s="5"/>
      <c r="Q1320" s="14"/>
      <c r="R1320" s="15">
        <f t="shared" si="20"/>
        <v>0</v>
      </c>
    </row>
    <row r="1321" spans="2:18" x14ac:dyDescent="0.35">
      <c r="B1321" s="9">
        <v>1342</v>
      </c>
      <c r="C1321" s="9"/>
      <c r="D1321" s="9"/>
      <c r="E1321" s="9"/>
      <c r="F1321" s="9"/>
      <c r="G1321" s="9"/>
      <c r="H1321" s="9"/>
      <c r="I1321" s="11" t="e">
        <f>VLOOKUP(H1321,위치!B:C,2,0)</f>
        <v>#N/A</v>
      </c>
      <c r="J1321" s="9"/>
      <c r="K1321" s="9"/>
      <c r="L1321" s="9" t="e">
        <f>VLOOKUP(H1321,위치!B:D,3,0)</f>
        <v>#N/A</v>
      </c>
      <c r="M1321" s="12"/>
      <c r="N1321" s="5"/>
      <c r="O1321" s="5"/>
      <c r="P1321" s="5"/>
      <c r="Q1321" s="14"/>
      <c r="R1321" s="15">
        <f t="shared" si="20"/>
        <v>0</v>
      </c>
    </row>
    <row r="1322" spans="2:18" x14ac:dyDescent="0.35">
      <c r="B1322" s="9">
        <v>1343</v>
      </c>
      <c r="C1322" s="9"/>
      <c r="D1322" s="9"/>
      <c r="E1322" s="9"/>
      <c r="F1322" s="9"/>
      <c r="G1322" s="9"/>
      <c r="H1322" s="9"/>
      <c r="I1322" s="11" t="e">
        <f>VLOOKUP(H1322,위치!B:C,2,0)</f>
        <v>#N/A</v>
      </c>
      <c r="J1322" s="9"/>
      <c r="K1322" s="9"/>
      <c r="L1322" s="9" t="e">
        <f>VLOOKUP(H1322,위치!B:D,3,0)</f>
        <v>#N/A</v>
      </c>
      <c r="M1322" s="12"/>
      <c r="N1322" s="5"/>
      <c r="O1322" s="5"/>
      <c r="P1322" s="5"/>
      <c r="Q1322" s="14"/>
      <c r="R1322" s="15">
        <f t="shared" si="20"/>
        <v>0</v>
      </c>
    </row>
    <row r="1323" spans="2:18" x14ac:dyDescent="0.35">
      <c r="B1323" s="9">
        <v>1344</v>
      </c>
      <c r="C1323" s="9"/>
      <c r="D1323" s="9"/>
      <c r="E1323" s="9"/>
      <c r="F1323" s="9"/>
      <c r="G1323" s="9"/>
      <c r="H1323" s="9"/>
      <c r="I1323" s="11" t="e">
        <f>VLOOKUP(H1323,위치!B:C,2,0)</f>
        <v>#N/A</v>
      </c>
      <c r="J1323" s="9"/>
      <c r="K1323" s="9"/>
      <c r="L1323" s="9" t="e">
        <f>VLOOKUP(H1323,위치!B:D,3,0)</f>
        <v>#N/A</v>
      </c>
      <c r="M1323" s="12"/>
      <c r="N1323" s="5"/>
      <c r="O1323" s="5"/>
      <c r="P1323" s="5"/>
      <c r="Q1323" s="14"/>
      <c r="R1323" s="15">
        <f t="shared" si="20"/>
        <v>0</v>
      </c>
    </row>
    <row r="1324" spans="2:18" x14ac:dyDescent="0.35">
      <c r="B1324" s="9">
        <v>1345</v>
      </c>
      <c r="C1324" s="9"/>
      <c r="D1324" s="9"/>
      <c r="E1324" s="9"/>
      <c r="F1324" s="9"/>
      <c r="G1324" s="9"/>
      <c r="H1324" s="9"/>
      <c r="I1324" s="11" t="e">
        <f>VLOOKUP(H1324,위치!B:C,2,0)</f>
        <v>#N/A</v>
      </c>
      <c r="J1324" s="9"/>
      <c r="K1324" s="9"/>
      <c r="L1324" s="9" t="e">
        <f>VLOOKUP(H1324,위치!B:D,3,0)</f>
        <v>#N/A</v>
      </c>
      <c r="M1324" s="12"/>
      <c r="N1324" s="5"/>
      <c r="O1324" s="5"/>
      <c r="P1324" s="5"/>
      <c r="Q1324" s="14"/>
      <c r="R1324" s="15">
        <f t="shared" si="20"/>
        <v>0</v>
      </c>
    </row>
    <row r="1325" spans="2:18" x14ac:dyDescent="0.35">
      <c r="B1325" s="9">
        <v>1346</v>
      </c>
      <c r="C1325" s="9"/>
      <c r="D1325" s="9"/>
      <c r="E1325" s="9"/>
      <c r="F1325" s="9"/>
      <c r="G1325" s="9"/>
      <c r="H1325" s="9"/>
      <c r="I1325" s="11" t="e">
        <f>VLOOKUP(H1325,위치!B:C,2,0)</f>
        <v>#N/A</v>
      </c>
      <c r="J1325" s="9"/>
      <c r="K1325" s="9"/>
      <c r="L1325" s="9" t="e">
        <f>VLOOKUP(H1325,위치!B:D,3,0)</f>
        <v>#N/A</v>
      </c>
      <c r="M1325" s="12"/>
      <c r="N1325" s="5"/>
      <c r="O1325" s="5"/>
      <c r="P1325" s="5"/>
      <c r="Q1325" s="14"/>
      <c r="R1325" s="15">
        <f t="shared" si="20"/>
        <v>0</v>
      </c>
    </row>
    <row r="1326" spans="2:18" x14ac:dyDescent="0.35">
      <c r="B1326" s="9">
        <v>1347</v>
      </c>
      <c r="C1326" s="9"/>
      <c r="D1326" s="9"/>
      <c r="E1326" s="9"/>
      <c r="F1326" s="9"/>
      <c r="G1326" s="9"/>
      <c r="H1326" s="9"/>
      <c r="I1326" s="11" t="e">
        <f>VLOOKUP(H1326,위치!B:C,2,0)</f>
        <v>#N/A</v>
      </c>
      <c r="J1326" s="9"/>
      <c r="K1326" s="9"/>
      <c r="L1326" s="9" t="e">
        <f>VLOOKUP(H1326,위치!B:D,3,0)</f>
        <v>#N/A</v>
      </c>
      <c r="M1326" s="12"/>
      <c r="N1326" s="5"/>
      <c r="O1326" s="5"/>
      <c r="P1326" s="5"/>
      <c r="Q1326" s="14"/>
      <c r="R1326" s="15">
        <f t="shared" si="20"/>
        <v>0</v>
      </c>
    </row>
    <row r="1327" spans="2:18" x14ac:dyDescent="0.35">
      <c r="B1327" s="9">
        <v>1348</v>
      </c>
      <c r="C1327" s="9"/>
      <c r="D1327" s="9"/>
      <c r="E1327" s="9"/>
      <c r="F1327" s="9"/>
      <c r="G1327" s="9"/>
      <c r="H1327" s="9"/>
      <c r="I1327" s="11" t="e">
        <f>VLOOKUP(H1327,위치!B:C,2,0)</f>
        <v>#N/A</v>
      </c>
      <c r="J1327" s="9"/>
      <c r="K1327" s="9"/>
      <c r="L1327" s="9" t="e">
        <f>VLOOKUP(H1327,위치!B:D,3,0)</f>
        <v>#N/A</v>
      </c>
      <c r="M1327" s="12"/>
      <c r="N1327" s="5"/>
      <c r="O1327" s="5"/>
      <c r="P1327" s="5"/>
      <c r="Q1327" s="14"/>
      <c r="R1327" s="15">
        <f t="shared" si="20"/>
        <v>0</v>
      </c>
    </row>
    <row r="1328" spans="2:18" x14ac:dyDescent="0.35">
      <c r="B1328" s="9">
        <v>1349</v>
      </c>
      <c r="C1328" s="9"/>
      <c r="D1328" s="9"/>
      <c r="E1328" s="9"/>
      <c r="F1328" s="9"/>
      <c r="G1328" s="9"/>
      <c r="H1328" s="9"/>
      <c r="I1328" s="11" t="e">
        <f>VLOOKUP(H1328,위치!B:C,2,0)</f>
        <v>#N/A</v>
      </c>
      <c r="J1328" s="9"/>
      <c r="K1328" s="9"/>
      <c r="L1328" s="9" t="e">
        <f>VLOOKUP(H1328,위치!B:D,3,0)</f>
        <v>#N/A</v>
      </c>
      <c r="M1328" s="12"/>
      <c r="N1328" s="5"/>
      <c r="O1328" s="5"/>
      <c r="P1328" s="5"/>
      <c r="Q1328" s="14"/>
      <c r="R1328" s="15">
        <f t="shared" si="20"/>
        <v>0</v>
      </c>
    </row>
    <row r="1329" spans="2:18" x14ac:dyDescent="0.35">
      <c r="B1329" s="9">
        <v>1350</v>
      </c>
      <c r="C1329" s="9"/>
      <c r="D1329" s="9"/>
      <c r="E1329" s="9"/>
      <c r="F1329" s="9"/>
      <c r="G1329" s="9"/>
      <c r="H1329" s="9"/>
      <c r="I1329" s="11" t="e">
        <f>VLOOKUP(H1329,위치!B:C,2,0)</f>
        <v>#N/A</v>
      </c>
      <c r="J1329" s="9"/>
      <c r="K1329" s="9"/>
      <c r="L1329" s="9" t="e">
        <f>VLOOKUP(H1329,위치!B:D,3,0)</f>
        <v>#N/A</v>
      </c>
      <c r="M1329" s="12"/>
      <c r="N1329" s="5"/>
      <c r="O1329" s="5"/>
      <c r="P1329" s="5"/>
      <c r="Q1329" s="14"/>
      <c r="R1329" s="15">
        <f t="shared" si="20"/>
        <v>0</v>
      </c>
    </row>
    <row r="1330" spans="2:18" x14ac:dyDescent="0.35">
      <c r="B1330" s="9">
        <v>1351</v>
      </c>
      <c r="C1330" s="9"/>
      <c r="D1330" s="9"/>
      <c r="E1330" s="9"/>
      <c r="F1330" s="9"/>
      <c r="G1330" s="9"/>
      <c r="H1330" s="9"/>
      <c r="I1330" s="11" t="e">
        <f>VLOOKUP(H1330,위치!B:C,2,0)</f>
        <v>#N/A</v>
      </c>
      <c r="J1330" s="9"/>
      <c r="K1330" s="9"/>
      <c r="L1330" s="9" t="e">
        <f>VLOOKUP(H1330,위치!B:D,3,0)</f>
        <v>#N/A</v>
      </c>
      <c r="M1330" s="12"/>
      <c r="N1330" s="5"/>
      <c r="O1330" s="5"/>
      <c r="P1330" s="5"/>
      <c r="Q1330" s="14"/>
      <c r="R1330" s="15">
        <f t="shared" si="20"/>
        <v>0</v>
      </c>
    </row>
    <row r="1331" spans="2:18" x14ac:dyDescent="0.35">
      <c r="B1331" s="9">
        <v>1352</v>
      </c>
      <c r="C1331" s="9"/>
      <c r="D1331" s="9"/>
      <c r="E1331" s="9"/>
      <c r="F1331" s="9"/>
      <c r="G1331" s="9"/>
      <c r="H1331" s="9"/>
      <c r="I1331" s="11" t="e">
        <f>VLOOKUP(H1331,위치!B:C,2,0)</f>
        <v>#N/A</v>
      </c>
      <c r="J1331" s="9"/>
      <c r="K1331" s="9"/>
      <c r="L1331" s="9" t="e">
        <f>VLOOKUP(H1331,위치!B:D,3,0)</f>
        <v>#N/A</v>
      </c>
      <c r="M1331" s="12"/>
      <c r="N1331" s="5"/>
      <c r="O1331" s="5"/>
      <c r="P1331" s="5"/>
      <c r="Q1331" s="14"/>
      <c r="R1331" s="15">
        <f t="shared" si="20"/>
        <v>0</v>
      </c>
    </row>
    <row r="1332" spans="2:18" x14ac:dyDescent="0.35">
      <c r="B1332" s="9">
        <v>1353</v>
      </c>
      <c r="C1332" s="9"/>
      <c r="D1332" s="9"/>
      <c r="E1332" s="9"/>
      <c r="F1332" s="9"/>
      <c r="G1332" s="9"/>
      <c r="H1332" s="9"/>
      <c r="I1332" s="11" t="e">
        <f>VLOOKUP(H1332,위치!B:C,2,0)</f>
        <v>#N/A</v>
      </c>
      <c r="J1332" s="9"/>
      <c r="K1332" s="9"/>
      <c r="L1332" s="9" t="e">
        <f>VLOOKUP(H1332,위치!B:D,3,0)</f>
        <v>#N/A</v>
      </c>
      <c r="M1332" s="12"/>
      <c r="N1332" s="5"/>
      <c r="O1332" s="5"/>
      <c r="P1332" s="5"/>
      <c r="Q1332" s="14"/>
      <c r="R1332" s="15">
        <f t="shared" si="20"/>
        <v>0</v>
      </c>
    </row>
    <row r="1333" spans="2:18" x14ac:dyDescent="0.35">
      <c r="B1333" s="9">
        <v>1354</v>
      </c>
      <c r="C1333" s="9"/>
      <c r="D1333" s="9"/>
      <c r="E1333" s="9"/>
      <c r="F1333" s="9"/>
      <c r="G1333" s="9"/>
      <c r="H1333" s="9"/>
      <c r="I1333" s="11" t="e">
        <f>VLOOKUP(H1333,위치!B:C,2,0)</f>
        <v>#N/A</v>
      </c>
      <c r="J1333" s="9"/>
      <c r="K1333" s="9"/>
      <c r="L1333" s="9" t="e">
        <f>VLOOKUP(H1333,위치!B:D,3,0)</f>
        <v>#N/A</v>
      </c>
      <c r="M1333" s="12"/>
      <c r="N1333" s="5"/>
      <c r="O1333" s="5"/>
      <c r="P1333" s="5"/>
      <c r="Q1333" s="14"/>
      <c r="R1333" s="15">
        <f t="shared" si="20"/>
        <v>0</v>
      </c>
    </row>
    <row r="1334" spans="2:18" x14ac:dyDescent="0.35">
      <c r="B1334" s="9">
        <v>1355</v>
      </c>
      <c r="C1334" s="9"/>
      <c r="D1334" s="9"/>
      <c r="E1334" s="9"/>
      <c r="F1334" s="9"/>
      <c r="G1334" s="9"/>
      <c r="H1334" s="9"/>
      <c r="I1334" s="11" t="e">
        <f>VLOOKUP(H1334,위치!B:C,2,0)</f>
        <v>#N/A</v>
      </c>
      <c r="J1334" s="9"/>
      <c r="K1334" s="9"/>
      <c r="L1334" s="9" t="e">
        <f>VLOOKUP(H1334,위치!B:D,3,0)</f>
        <v>#N/A</v>
      </c>
      <c r="M1334" s="12"/>
      <c r="N1334" s="5"/>
      <c r="O1334" s="5"/>
      <c r="P1334" s="5"/>
      <c r="Q1334" s="14"/>
      <c r="R1334" s="15">
        <f t="shared" si="20"/>
        <v>0</v>
      </c>
    </row>
    <row r="1335" spans="2:18" x14ac:dyDescent="0.35">
      <c r="B1335" s="9">
        <v>1356</v>
      </c>
      <c r="C1335" s="9"/>
      <c r="D1335" s="9"/>
      <c r="E1335" s="9"/>
      <c r="F1335" s="9"/>
      <c r="G1335" s="9"/>
      <c r="H1335" s="9"/>
      <c r="I1335" s="11" t="e">
        <f>VLOOKUP(H1335,위치!B:C,2,0)</f>
        <v>#N/A</v>
      </c>
      <c r="J1335" s="9"/>
      <c r="K1335" s="9"/>
      <c r="L1335" s="9" t="e">
        <f>VLOOKUP(H1335,위치!B:D,3,0)</f>
        <v>#N/A</v>
      </c>
      <c r="M1335" s="12"/>
      <c r="N1335" s="5"/>
      <c r="O1335" s="5"/>
      <c r="P1335" s="5"/>
      <c r="Q1335" s="14"/>
      <c r="R1335" s="15">
        <f t="shared" si="20"/>
        <v>0</v>
      </c>
    </row>
    <row r="1336" spans="2:18" x14ac:dyDescent="0.35">
      <c r="B1336" s="9">
        <v>1357</v>
      </c>
      <c r="C1336" s="9"/>
      <c r="D1336" s="9"/>
      <c r="E1336" s="9"/>
      <c r="F1336" s="9"/>
      <c r="G1336" s="9"/>
      <c r="H1336" s="9"/>
      <c r="I1336" s="11" t="e">
        <f>VLOOKUP(H1336,위치!B:C,2,0)</f>
        <v>#N/A</v>
      </c>
      <c r="J1336" s="9"/>
      <c r="K1336" s="9"/>
      <c r="L1336" s="9" t="e">
        <f>VLOOKUP(H1336,위치!B:D,3,0)</f>
        <v>#N/A</v>
      </c>
      <c r="M1336" s="12"/>
      <c r="N1336" s="5"/>
      <c r="O1336" s="5"/>
      <c r="P1336" s="5"/>
      <c r="Q1336" s="14"/>
      <c r="R1336" s="15">
        <f t="shared" si="20"/>
        <v>0</v>
      </c>
    </row>
    <row r="1337" spans="2:18" x14ac:dyDescent="0.35">
      <c r="B1337" s="9">
        <v>1358</v>
      </c>
      <c r="C1337" s="9"/>
      <c r="D1337" s="9"/>
      <c r="E1337" s="9"/>
      <c r="F1337" s="9"/>
      <c r="G1337" s="9"/>
      <c r="H1337" s="9"/>
      <c r="I1337" s="11" t="e">
        <f>VLOOKUP(H1337,위치!B:C,2,0)</f>
        <v>#N/A</v>
      </c>
      <c r="J1337" s="9"/>
      <c r="K1337" s="9"/>
      <c r="L1337" s="9" t="e">
        <f>VLOOKUP(H1337,위치!B:D,3,0)</f>
        <v>#N/A</v>
      </c>
      <c r="M1337" s="12"/>
      <c r="N1337" s="5"/>
      <c r="O1337" s="5"/>
      <c r="P1337" s="5"/>
      <c r="Q1337" s="14"/>
      <c r="R1337" s="15">
        <f t="shared" si="20"/>
        <v>0</v>
      </c>
    </row>
    <row r="1338" spans="2:18" x14ac:dyDescent="0.35">
      <c r="B1338" s="9">
        <v>1359</v>
      </c>
      <c r="C1338" s="9"/>
      <c r="D1338" s="9"/>
      <c r="E1338" s="9"/>
      <c r="F1338" s="9"/>
      <c r="G1338" s="9"/>
      <c r="H1338" s="9"/>
      <c r="I1338" s="11" t="e">
        <f>VLOOKUP(H1338,위치!B:C,2,0)</f>
        <v>#N/A</v>
      </c>
      <c r="J1338" s="9"/>
      <c r="K1338" s="9"/>
      <c r="L1338" s="9" t="e">
        <f>VLOOKUP(H1338,위치!B:D,3,0)</f>
        <v>#N/A</v>
      </c>
      <c r="M1338" s="12"/>
      <c r="N1338" s="5"/>
      <c r="O1338" s="5"/>
      <c r="P1338" s="5"/>
      <c r="Q1338" s="14"/>
      <c r="R1338" s="15">
        <f t="shared" si="20"/>
        <v>0</v>
      </c>
    </row>
    <row r="1339" spans="2:18" x14ac:dyDescent="0.35">
      <c r="B1339" s="9">
        <v>1360</v>
      </c>
      <c r="C1339" s="9"/>
      <c r="D1339" s="9"/>
      <c r="E1339" s="9"/>
      <c r="F1339" s="9"/>
      <c r="G1339" s="9"/>
      <c r="H1339" s="9"/>
      <c r="I1339" s="11" t="e">
        <f>VLOOKUP(H1339,위치!B:C,2,0)</f>
        <v>#N/A</v>
      </c>
      <c r="J1339" s="9"/>
      <c r="K1339" s="9"/>
      <c r="L1339" s="9" t="e">
        <f>VLOOKUP(H1339,위치!B:D,3,0)</f>
        <v>#N/A</v>
      </c>
      <c r="M1339" s="12"/>
      <c r="N1339" s="5"/>
      <c r="O1339" s="5"/>
      <c r="P1339" s="5"/>
      <c r="Q1339" s="14"/>
      <c r="R1339" s="15">
        <f t="shared" si="20"/>
        <v>0</v>
      </c>
    </row>
    <row r="1340" spans="2:18" x14ac:dyDescent="0.35">
      <c r="B1340" s="9">
        <v>1361</v>
      </c>
      <c r="C1340" s="9"/>
      <c r="D1340" s="9"/>
      <c r="E1340" s="9"/>
      <c r="F1340" s="9"/>
      <c r="G1340" s="9"/>
      <c r="H1340" s="9"/>
      <c r="I1340" s="11" t="e">
        <f>VLOOKUP(H1340,위치!B:C,2,0)</f>
        <v>#N/A</v>
      </c>
      <c r="J1340" s="9"/>
      <c r="K1340" s="9"/>
      <c r="L1340" s="9" t="e">
        <f>VLOOKUP(H1340,위치!B:D,3,0)</f>
        <v>#N/A</v>
      </c>
      <c r="M1340" s="12"/>
      <c r="N1340" s="5"/>
      <c r="O1340" s="5"/>
      <c r="P1340" s="5"/>
      <c r="Q1340" s="14"/>
      <c r="R1340" s="15">
        <f t="shared" si="20"/>
        <v>0</v>
      </c>
    </row>
    <row r="1341" spans="2:18" x14ac:dyDescent="0.35">
      <c r="B1341" s="9">
        <v>1362</v>
      </c>
      <c r="C1341" s="9"/>
      <c r="D1341" s="9"/>
      <c r="E1341" s="9"/>
      <c r="F1341" s="9"/>
      <c r="G1341" s="9"/>
      <c r="H1341" s="9"/>
      <c r="I1341" s="11" t="e">
        <f>VLOOKUP(H1341,위치!B:C,2,0)</f>
        <v>#N/A</v>
      </c>
      <c r="J1341" s="9"/>
      <c r="K1341" s="9"/>
      <c r="L1341" s="9" t="e">
        <f>VLOOKUP(H1341,위치!B:D,3,0)</f>
        <v>#N/A</v>
      </c>
      <c r="M1341" s="12"/>
      <c r="N1341" s="5"/>
      <c r="O1341" s="5"/>
      <c r="P1341" s="5"/>
      <c r="Q1341" s="14"/>
      <c r="R1341" s="15">
        <f t="shared" si="20"/>
        <v>0</v>
      </c>
    </row>
    <row r="1342" spans="2:18" x14ac:dyDescent="0.35">
      <c r="B1342" s="9">
        <v>1363</v>
      </c>
      <c r="C1342" s="9"/>
      <c r="D1342" s="9"/>
      <c r="E1342" s="9"/>
      <c r="F1342" s="9"/>
      <c r="G1342" s="9"/>
      <c r="H1342" s="9"/>
      <c r="I1342" s="11" t="e">
        <f>VLOOKUP(H1342,위치!B:C,2,0)</f>
        <v>#N/A</v>
      </c>
      <c r="J1342" s="9"/>
      <c r="K1342" s="9"/>
      <c r="L1342" s="9" t="e">
        <f>VLOOKUP(H1342,위치!B:D,3,0)</f>
        <v>#N/A</v>
      </c>
      <c r="M1342" s="12"/>
      <c r="N1342" s="5"/>
      <c r="O1342" s="5"/>
      <c r="P1342" s="5"/>
      <c r="Q1342" s="14"/>
      <c r="R1342" s="15">
        <f t="shared" si="20"/>
        <v>0</v>
      </c>
    </row>
    <row r="1343" spans="2:18" x14ac:dyDescent="0.35">
      <c r="B1343" s="9">
        <v>1364</v>
      </c>
      <c r="C1343" s="9"/>
      <c r="D1343" s="9"/>
      <c r="E1343" s="9"/>
      <c r="F1343" s="9"/>
      <c r="G1343" s="9"/>
      <c r="H1343" s="9"/>
      <c r="I1343" s="11" t="e">
        <f>VLOOKUP(H1343,위치!B:C,2,0)</f>
        <v>#N/A</v>
      </c>
      <c r="J1343" s="9"/>
      <c r="K1343" s="9"/>
      <c r="L1343" s="9" t="e">
        <f>VLOOKUP(H1343,위치!B:D,3,0)</f>
        <v>#N/A</v>
      </c>
      <c r="M1343" s="12"/>
      <c r="N1343" s="5"/>
      <c r="O1343" s="5"/>
      <c r="P1343" s="5"/>
      <c r="Q1343" s="14"/>
      <c r="R1343" s="15">
        <f t="shared" si="20"/>
        <v>0</v>
      </c>
    </row>
    <row r="1344" spans="2:18" x14ac:dyDescent="0.35">
      <c r="B1344" s="9">
        <v>1365</v>
      </c>
      <c r="C1344" s="9"/>
      <c r="D1344" s="9"/>
      <c r="E1344" s="9"/>
      <c r="F1344" s="9"/>
      <c r="G1344" s="9"/>
      <c r="H1344" s="9"/>
      <c r="I1344" s="11" t="e">
        <f>VLOOKUP(H1344,위치!B:C,2,0)</f>
        <v>#N/A</v>
      </c>
      <c r="J1344" s="9"/>
      <c r="K1344" s="9"/>
      <c r="L1344" s="9" t="e">
        <f>VLOOKUP(H1344,위치!B:D,3,0)</f>
        <v>#N/A</v>
      </c>
      <c r="M1344" s="12"/>
      <c r="N1344" s="5"/>
      <c r="O1344" s="5"/>
      <c r="P1344" s="5"/>
      <c r="Q1344" s="14"/>
      <c r="R1344" s="15">
        <f t="shared" si="20"/>
        <v>0</v>
      </c>
    </row>
    <row r="1345" spans="2:18" x14ac:dyDescent="0.35">
      <c r="B1345" s="9">
        <v>1366</v>
      </c>
      <c r="C1345" s="9"/>
      <c r="D1345" s="9"/>
      <c r="E1345" s="9"/>
      <c r="F1345" s="9"/>
      <c r="G1345" s="9"/>
      <c r="H1345" s="9"/>
      <c r="I1345" s="11" t="e">
        <f>VLOOKUP(H1345,위치!B:C,2,0)</f>
        <v>#N/A</v>
      </c>
      <c r="J1345" s="9"/>
      <c r="K1345" s="9"/>
      <c r="L1345" s="9" t="e">
        <f>VLOOKUP(H1345,위치!B:D,3,0)</f>
        <v>#N/A</v>
      </c>
      <c r="M1345" s="12"/>
      <c r="N1345" s="5"/>
      <c r="O1345" s="5"/>
      <c r="P1345" s="5"/>
      <c r="Q1345" s="14"/>
      <c r="R1345" s="15">
        <f t="shared" si="20"/>
        <v>0</v>
      </c>
    </row>
    <row r="1346" spans="2:18" x14ac:dyDescent="0.35">
      <c r="B1346" s="9">
        <v>1367</v>
      </c>
      <c r="C1346" s="9"/>
      <c r="D1346" s="9"/>
      <c r="E1346" s="9"/>
      <c r="F1346" s="9"/>
      <c r="G1346" s="9"/>
      <c r="H1346" s="9"/>
      <c r="I1346" s="11" t="e">
        <f>VLOOKUP(H1346,위치!B:C,2,0)</f>
        <v>#N/A</v>
      </c>
      <c r="J1346" s="9"/>
      <c r="K1346" s="9"/>
      <c r="L1346" s="9" t="e">
        <f>VLOOKUP(H1346,위치!B:D,3,0)</f>
        <v>#N/A</v>
      </c>
      <c r="M1346" s="12"/>
      <c r="N1346" s="5"/>
      <c r="O1346" s="5"/>
      <c r="P1346" s="5"/>
      <c r="Q1346" s="14"/>
      <c r="R1346" s="15">
        <f t="shared" si="20"/>
        <v>0</v>
      </c>
    </row>
    <row r="1347" spans="2:18" x14ac:dyDescent="0.35">
      <c r="B1347" s="9">
        <v>1368</v>
      </c>
      <c r="C1347" s="9"/>
      <c r="D1347" s="9"/>
      <c r="E1347" s="9"/>
      <c r="F1347" s="9"/>
      <c r="G1347" s="9"/>
      <c r="H1347" s="9"/>
      <c r="I1347" s="11" t="e">
        <f>VLOOKUP(H1347,위치!B:C,2,0)</f>
        <v>#N/A</v>
      </c>
      <c r="J1347" s="9"/>
      <c r="K1347" s="9"/>
      <c r="L1347" s="9" t="e">
        <f>VLOOKUP(H1347,위치!B:D,3,0)</f>
        <v>#N/A</v>
      </c>
      <c r="M1347" s="12"/>
      <c r="N1347" s="5"/>
      <c r="O1347" s="5"/>
      <c r="P1347" s="5"/>
      <c r="Q1347" s="14"/>
      <c r="R1347" s="15">
        <f t="shared" si="20"/>
        <v>0</v>
      </c>
    </row>
    <row r="1348" spans="2:18" x14ac:dyDescent="0.35">
      <c r="B1348" s="9">
        <v>1369</v>
      </c>
      <c r="C1348" s="9"/>
      <c r="D1348" s="9"/>
      <c r="E1348" s="9"/>
      <c r="F1348" s="9"/>
      <c r="G1348" s="9"/>
      <c r="H1348" s="9"/>
      <c r="I1348" s="11" t="e">
        <f>VLOOKUP(H1348,위치!B:C,2,0)</f>
        <v>#N/A</v>
      </c>
      <c r="J1348" s="9"/>
      <c r="K1348" s="9"/>
      <c r="L1348" s="9" t="e">
        <f>VLOOKUP(H1348,위치!B:D,3,0)</f>
        <v>#N/A</v>
      </c>
      <c r="M1348" s="12"/>
      <c r="N1348" s="5"/>
      <c r="O1348" s="5"/>
      <c r="P1348" s="5"/>
      <c r="Q1348" s="14"/>
      <c r="R1348" s="15">
        <f t="shared" si="20"/>
        <v>0</v>
      </c>
    </row>
    <row r="1349" spans="2:18" x14ac:dyDescent="0.35">
      <c r="B1349" s="9">
        <v>1370</v>
      </c>
      <c r="C1349" s="9"/>
      <c r="D1349" s="9"/>
      <c r="E1349" s="9"/>
      <c r="F1349" s="9"/>
      <c r="G1349" s="9"/>
      <c r="H1349" s="9"/>
      <c r="I1349" s="11" t="e">
        <f>VLOOKUP(H1349,위치!B:C,2,0)</f>
        <v>#N/A</v>
      </c>
      <c r="J1349" s="9"/>
      <c r="K1349" s="9"/>
      <c r="L1349" s="9" t="e">
        <f>VLOOKUP(H1349,위치!B:D,3,0)</f>
        <v>#N/A</v>
      </c>
      <c r="M1349" s="12"/>
      <c r="N1349" s="5"/>
      <c r="O1349" s="5"/>
      <c r="P1349" s="5"/>
      <c r="Q1349" s="14"/>
      <c r="R1349" s="15">
        <f t="shared" si="20"/>
        <v>0</v>
      </c>
    </row>
    <row r="1350" spans="2:18" x14ac:dyDescent="0.35">
      <c r="B1350" s="9">
        <v>1371</v>
      </c>
      <c r="C1350" s="9"/>
      <c r="D1350" s="9"/>
      <c r="E1350" s="9"/>
      <c r="F1350" s="9"/>
      <c r="G1350" s="9"/>
      <c r="H1350" s="9"/>
      <c r="I1350" s="11" t="e">
        <f>VLOOKUP(H1350,위치!B:C,2,0)</f>
        <v>#N/A</v>
      </c>
      <c r="J1350" s="9"/>
      <c r="K1350" s="9"/>
      <c r="L1350" s="9" t="e">
        <f>VLOOKUP(H1350,위치!B:D,3,0)</f>
        <v>#N/A</v>
      </c>
      <c r="M1350" s="12"/>
      <c r="N1350" s="5"/>
      <c r="O1350" s="5"/>
      <c r="P1350" s="5"/>
      <c r="Q1350" s="14"/>
      <c r="R1350" s="15">
        <f t="shared" si="20"/>
        <v>0</v>
      </c>
    </row>
    <row r="1351" spans="2:18" x14ac:dyDescent="0.35">
      <c r="B1351" s="9">
        <v>1372</v>
      </c>
      <c r="C1351" s="9"/>
      <c r="D1351" s="9"/>
      <c r="E1351" s="9"/>
      <c r="F1351" s="9"/>
      <c r="G1351" s="9"/>
      <c r="H1351" s="9"/>
      <c r="I1351" s="11" t="e">
        <f>VLOOKUP(H1351,위치!B:C,2,0)</f>
        <v>#N/A</v>
      </c>
      <c r="J1351" s="9"/>
      <c r="K1351" s="9"/>
      <c r="L1351" s="9" t="e">
        <f>VLOOKUP(H1351,위치!B:D,3,0)</f>
        <v>#N/A</v>
      </c>
      <c r="M1351" s="12"/>
      <c r="N1351" s="5"/>
      <c r="O1351" s="5"/>
      <c r="P1351" s="5"/>
      <c r="Q1351" s="14"/>
      <c r="R1351" s="15">
        <f t="shared" ref="R1351:R1414" si="21">J1351-P1351</f>
        <v>0</v>
      </c>
    </row>
    <row r="1352" spans="2:18" x14ac:dyDescent="0.35">
      <c r="B1352" s="9">
        <v>1373</v>
      </c>
      <c r="C1352" s="9"/>
      <c r="D1352" s="9"/>
      <c r="E1352" s="9"/>
      <c r="F1352" s="9"/>
      <c r="G1352" s="9"/>
      <c r="H1352" s="9"/>
      <c r="I1352" s="11" t="e">
        <f>VLOOKUP(H1352,위치!B:C,2,0)</f>
        <v>#N/A</v>
      </c>
      <c r="J1352" s="9"/>
      <c r="K1352" s="9"/>
      <c r="L1352" s="9" t="e">
        <f>VLOOKUP(H1352,위치!B:D,3,0)</f>
        <v>#N/A</v>
      </c>
      <c r="M1352" s="12"/>
      <c r="N1352" s="5"/>
      <c r="O1352" s="5"/>
      <c r="P1352" s="5"/>
      <c r="Q1352" s="14"/>
      <c r="R1352" s="15">
        <f t="shared" si="21"/>
        <v>0</v>
      </c>
    </row>
    <row r="1353" spans="2:18" x14ac:dyDescent="0.35">
      <c r="B1353" s="9">
        <v>1374</v>
      </c>
      <c r="C1353" s="9"/>
      <c r="D1353" s="9"/>
      <c r="E1353" s="9"/>
      <c r="F1353" s="9"/>
      <c r="G1353" s="9"/>
      <c r="H1353" s="9"/>
      <c r="I1353" s="11" t="e">
        <f>VLOOKUP(H1353,위치!B:C,2,0)</f>
        <v>#N/A</v>
      </c>
      <c r="J1353" s="9"/>
      <c r="K1353" s="9"/>
      <c r="L1353" s="9" t="e">
        <f>VLOOKUP(H1353,위치!B:D,3,0)</f>
        <v>#N/A</v>
      </c>
      <c r="M1353" s="12"/>
      <c r="N1353" s="5"/>
      <c r="O1353" s="5"/>
      <c r="P1353" s="5"/>
      <c r="Q1353" s="14"/>
      <c r="R1353" s="15">
        <f t="shared" si="21"/>
        <v>0</v>
      </c>
    </row>
    <row r="1354" spans="2:18" x14ac:dyDescent="0.35">
      <c r="B1354" s="9">
        <v>1375</v>
      </c>
      <c r="C1354" s="9"/>
      <c r="D1354" s="9"/>
      <c r="E1354" s="9"/>
      <c r="F1354" s="9"/>
      <c r="G1354" s="9"/>
      <c r="H1354" s="9"/>
      <c r="I1354" s="11" t="e">
        <f>VLOOKUP(H1354,위치!B:C,2,0)</f>
        <v>#N/A</v>
      </c>
      <c r="J1354" s="9"/>
      <c r="K1354" s="9"/>
      <c r="L1354" s="9" t="e">
        <f>VLOOKUP(H1354,위치!B:D,3,0)</f>
        <v>#N/A</v>
      </c>
      <c r="M1354" s="12"/>
      <c r="N1354" s="5"/>
      <c r="O1354" s="5"/>
      <c r="P1354" s="5"/>
      <c r="Q1354" s="14"/>
      <c r="R1354" s="15">
        <f t="shared" si="21"/>
        <v>0</v>
      </c>
    </row>
    <row r="1355" spans="2:18" x14ac:dyDescent="0.35">
      <c r="B1355" s="9">
        <v>1376</v>
      </c>
      <c r="C1355" s="9"/>
      <c r="D1355" s="9"/>
      <c r="E1355" s="9"/>
      <c r="F1355" s="9"/>
      <c r="G1355" s="9"/>
      <c r="H1355" s="9"/>
      <c r="I1355" s="11" t="e">
        <f>VLOOKUP(H1355,위치!B:C,2,0)</f>
        <v>#N/A</v>
      </c>
      <c r="J1355" s="9"/>
      <c r="K1355" s="9"/>
      <c r="L1355" s="9" t="e">
        <f>VLOOKUP(H1355,위치!B:D,3,0)</f>
        <v>#N/A</v>
      </c>
      <c r="M1355" s="12"/>
      <c r="N1355" s="5"/>
      <c r="O1355" s="5"/>
      <c r="P1355" s="5"/>
      <c r="Q1355" s="14"/>
      <c r="R1355" s="15">
        <f t="shared" si="21"/>
        <v>0</v>
      </c>
    </row>
    <row r="1356" spans="2:18" x14ac:dyDescent="0.35">
      <c r="B1356" s="9">
        <v>1377</v>
      </c>
      <c r="C1356" s="9"/>
      <c r="D1356" s="9"/>
      <c r="E1356" s="9"/>
      <c r="F1356" s="9"/>
      <c r="G1356" s="9"/>
      <c r="H1356" s="9"/>
      <c r="I1356" s="11" t="e">
        <f>VLOOKUP(H1356,위치!B:C,2,0)</f>
        <v>#N/A</v>
      </c>
      <c r="J1356" s="9"/>
      <c r="K1356" s="9"/>
      <c r="L1356" s="9" t="e">
        <f>VLOOKUP(H1356,위치!B:D,3,0)</f>
        <v>#N/A</v>
      </c>
      <c r="M1356" s="12"/>
      <c r="N1356" s="5"/>
      <c r="O1356" s="5"/>
      <c r="P1356" s="5"/>
      <c r="Q1356" s="14"/>
      <c r="R1356" s="15">
        <f t="shared" si="21"/>
        <v>0</v>
      </c>
    </row>
    <row r="1357" spans="2:18" x14ac:dyDescent="0.35">
      <c r="B1357" s="9">
        <v>1378</v>
      </c>
      <c r="C1357" s="9"/>
      <c r="D1357" s="9"/>
      <c r="E1357" s="9"/>
      <c r="F1357" s="9"/>
      <c r="G1357" s="9"/>
      <c r="H1357" s="9"/>
      <c r="I1357" s="11" t="e">
        <f>VLOOKUP(H1357,위치!B:C,2,0)</f>
        <v>#N/A</v>
      </c>
      <c r="J1357" s="9"/>
      <c r="K1357" s="9"/>
      <c r="L1357" s="9" t="e">
        <f>VLOOKUP(H1357,위치!B:D,3,0)</f>
        <v>#N/A</v>
      </c>
      <c r="M1357" s="12"/>
      <c r="N1357" s="5"/>
      <c r="O1357" s="5"/>
      <c r="P1357" s="5"/>
      <c r="Q1357" s="14"/>
      <c r="R1357" s="15">
        <f t="shared" si="21"/>
        <v>0</v>
      </c>
    </row>
    <row r="1358" spans="2:18" x14ac:dyDescent="0.35">
      <c r="B1358" s="9">
        <v>1379</v>
      </c>
      <c r="C1358" s="9"/>
      <c r="D1358" s="9"/>
      <c r="E1358" s="9"/>
      <c r="F1358" s="9"/>
      <c r="G1358" s="9"/>
      <c r="H1358" s="9"/>
      <c r="I1358" s="11" t="e">
        <f>VLOOKUP(H1358,위치!B:C,2,0)</f>
        <v>#N/A</v>
      </c>
      <c r="J1358" s="9"/>
      <c r="K1358" s="9"/>
      <c r="L1358" s="9" t="e">
        <f>VLOOKUP(H1358,위치!B:D,3,0)</f>
        <v>#N/A</v>
      </c>
      <c r="M1358" s="12"/>
      <c r="N1358" s="5"/>
      <c r="O1358" s="5"/>
      <c r="P1358" s="5"/>
      <c r="Q1358" s="14"/>
      <c r="R1358" s="15">
        <f t="shared" si="21"/>
        <v>0</v>
      </c>
    </row>
    <row r="1359" spans="2:18" x14ac:dyDescent="0.35">
      <c r="B1359" s="9">
        <v>1380</v>
      </c>
      <c r="C1359" s="9"/>
      <c r="D1359" s="9"/>
      <c r="E1359" s="9"/>
      <c r="F1359" s="9"/>
      <c r="G1359" s="9"/>
      <c r="H1359" s="9"/>
      <c r="I1359" s="11" t="e">
        <f>VLOOKUP(H1359,위치!B:C,2,0)</f>
        <v>#N/A</v>
      </c>
      <c r="J1359" s="9"/>
      <c r="K1359" s="9"/>
      <c r="L1359" s="9" t="e">
        <f>VLOOKUP(H1359,위치!B:D,3,0)</f>
        <v>#N/A</v>
      </c>
      <c r="M1359" s="12"/>
      <c r="N1359" s="5"/>
      <c r="O1359" s="5"/>
      <c r="P1359" s="5"/>
      <c r="Q1359" s="14"/>
      <c r="R1359" s="15">
        <f t="shared" si="21"/>
        <v>0</v>
      </c>
    </row>
    <row r="1360" spans="2:18" x14ac:dyDescent="0.35">
      <c r="B1360" s="9">
        <v>1381</v>
      </c>
      <c r="C1360" s="9"/>
      <c r="D1360" s="9"/>
      <c r="E1360" s="9"/>
      <c r="F1360" s="9"/>
      <c r="G1360" s="9"/>
      <c r="H1360" s="9"/>
      <c r="I1360" s="11" t="e">
        <f>VLOOKUP(H1360,위치!B:C,2,0)</f>
        <v>#N/A</v>
      </c>
      <c r="J1360" s="9"/>
      <c r="K1360" s="9"/>
      <c r="L1360" s="9" t="e">
        <f>VLOOKUP(H1360,위치!B:D,3,0)</f>
        <v>#N/A</v>
      </c>
      <c r="M1360" s="12"/>
      <c r="N1360" s="5"/>
      <c r="O1360" s="5"/>
      <c r="P1360" s="5"/>
      <c r="Q1360" s="14"/>
      <c r="R1360" s="15">
        <f t="shared" si="21"/>
        <v>0</v>
      </c>
    </row>
    <row r="1361" spans="2:18" x14ac:dyDescent="0.35">
      <c r="B1361" s="9">
        <v>1382</v>
      </c>
      <c r="C1361" s="9"/>
      <c r="D1361" s="9"/>
      <c r="E1361" s="9"/>
      <c r="F1361" s="9"/>
      <c r="G1361" s="9"/>
      <c r="H1361" s="9"/>
      <c r="I1361" s="11" t="e">
        <f>VLOOKUP(H1361,위치!B:C,2,0)</f>
        <v>#N/A</v>
      </c>
      <c r="J1361" s="9"/>
      <c r="K1361" s="9"/>
      <c r="L1361" s="9" t="e">
        <f>VLOOKUP(H1361,위치!B:D,3,0)</f>
        <v>#N/A</v>
      </c>
      <c r="M1361" s="12"/>
      <c r="N1361" s="5"/>
      <c r="O1361" s="5"/>
      <c r="P1361" s="5"/>
      <c r="Q1361" s="14"/>
      <c r="R1361" s="15">
        <f t="shared" si="21"/>
        <v>0</v>
      </c>
    </row>
    <row r="1362" spans="2:18" x14ac:dyDescent="0.35">
      <c r="B1362" s="9">
        <v>1383</v>
      </c>
      <c r="C1362" s="9"/>
      <c r="D1362" s="9"/>
      <c r="E1362" s="9"/>
      <c r="F1362" s="9"/>
      <c r="G1362" s="9"/>
      <c r="H1362" s="9"/>
      <c r="I1362" s="11" t="e">
        <f>VLOOKUP(H1362,위치!B:C,2,0)</f>
        <v>#N/A</v>
      </c>
      <c r="J1362" s="9"/>
      <c r="K1362" s="9"/>
      <c r="L1362" s="9" t="e">
        <f>VLOOKUP(H1362,위치!B:D,3,0)</f>
        <v>#N/A</v>
      </c>
      <c r="M1362" s="12"/>
      <c r="N1362" s="5"/>
      <c r="O1362" s="5"/>
      <c r="P1362" s="5"/>
      <c r="Q1362" s="14"/>
      <c r="R1362" s="15">
        <f t="shared" si="21"/>
        <v>0</v>
      </c>
    </row>
    <row r="1363" spans="2:18" x14ac:dyDescent="0.35">
      <c r="B1363" s="9">
        <v>1384</v>
      </c>
      <c r="C1363" s="9"/>
      <c r="D1363" s="9"/>
      <c r="E1363" s="9"/>
      <c r="F1363" s="9"/>
      <c r="G1363" s="9"/>
      <c r="H1363" s="9"/>
      <c r="I1363" s="11" t="e">
        <f>VLOOKUP(H1363,위치!B:C,2,0)</f>
        <v>#N/A</v>
      </c>
      <c r="J1363" s="9"/>
      <c r="K1363" s="9"/>
      <c r="L1363" s="9" t="e">
        <f>VLOOKUP(H1363,위치!B:D,3,0)</f>
        <v>#N/A</v>
      </c>
      <c r="M1363" s="12"/>
      <c r="N1363" s="5"/>
      <c r="O1363" s="5"/>
      <c r="P1363" s="5"/>
      <c r="Q1363" s="14"/>
      <c r="R1363" s="15">
        <f t="shared" si="21"/>
        <v>0</v>
      </c>
    </row>
    <row r="1364" spans="2:18" x14ac:dyDescent="0.35">
      <c r="B1364" s="9">
        <v>1385</v>
      </c>
      <c r="C1364" s="9"/>
      <c r="D1364" s="9"/>
      <c r="E1364" s="9"/>
      <c r="F1364" s="9"/>
      <c r="G1364" s="9"/>
      <c r="H1364" s="9"/>
      <c r="I1364" s="11" t="e">
        <f>VLOOKUP(H1364,위치!B:C,2,0)</f>
        <v>#N/A</v>
      </c>
      <c r="J1364" s="9"/>
      <c r="K1364" s="9"/>
      <c r="L1364" s="9" t="e">
        <f>VLOOKUP(H1364,위치!B:D,3,0)</f>
        <v>#N/A</v>
      </c>
      <c r="M1364" s="12"/>
      <c r="N1364" s="5"/>
      <c r="O1364" s="5"/>
      <c r="P1364" s="5"/>
      <c r="Q1364" s="14"/>
      <c r="R1364" s="15">
        <f t="shared" si="21"/>
        <v>0</v>
      </c>
    </row>
    <row r="1365" spans="2:18" x14ac:dyDescent="0.35">
      <c r="B1365" s="9">
        <v>1386</v>
      </c>
      <c r="C1365" s="9"/>
      <c r="D1365" s="9"/>
      <c r="E1365" s="9"/>
      <c r="F1365" s="9"/>
      <c r="G1365" s="9"/>
      <c r="H1365" s="9"/>
      <c r="I1365" s="11" t="e">
        <f>VLOOKUP(H1365,위치!B:C,2,0)</f>
        <v>#N/A</v>
      </c>
      <c r="J1365" s="9"/>
      <c r="K1365" s="9"/>
      <c r="L1365" s="9" t="e">
        <f>VLOOKUP(H1365,위치!B:D,3,0)</f>
        <v>#N/A</v>
      </c>
      <c r="M1365" s="12"/>
      <c r="N1365" s="5"/>
      <c r="O1365" s="5"/>
      <c r="P1365" s="5"/>
      <c r="Q1365" s="14"/>
      <c r="R1365" s="15">
        <f t="shared" si="21"/>
        <v>0</v>
      </c>
    </row>
    <row r="1366" spans="2:18" x14ac:dyDescent="0.35">
      <c r="B1366" s="9">
        <v>1387</v>
      </c>
      <c r="C1366" s="9"/>
      <c r="D1366" s="9"/>
      <c r="E1366" s="9"/>
      <c r="F1366" s="9"/>
      <c r="G1366" s="9"/>
      <c r="H1366" s="9"/>
      <c r="I1366" s="11" t="e">
        <f>VLOOKUP(H1366,위치!B:C,2,0)</f>
        <v>#N/A</v>
      </c>
      <c r="J1366" s="9"/>
      <c r="K1366" s="9"/>
      <c r="L1366" s="9" t="e">
        <f>VLOOKUP(H1366,위치!B:D,3,0)</f>
        <v>#N/A</v>
      </c>
      <c r="M1366" s="12"/>
      <c r="N1366" s="5"/>
      <c r="O1366" s="5"/>
      <c r="P1366" s="5"/>
      <c r="Q1366" s="14"/>
      <c r="R1366" s="15">
        <f t="shared" si="21"/>
        <v>0</v>
      </c>
    </row>
    <row r="1367" spans="2:18" x14ac:dyDescent="0.35">
      <c r="B1367" s="9">
        <v>1388</v>
      </c>
      <c r="C1367" s="9"/>
      <c r="D1367" s="9"/>
      <c r="E1367" s="9"/>
      <c r="F1367" s="9"/>
      <c r="G1367" s="9"/>
      <c r="H1367" s="9"/>
      <c r="I1367" s="11" t="e">
        <f>VLOOKUP(H1367,위치!B:C,2,0)</f>
        <v>#N/A</v>
      </c>
      <c r="J1367" s="9"/>
      <c r="K1367" s="9"/>
      <c r="L1367" s="9" t="e">
        <f>VLOOKUP(H1367,위치!B:D,3,0)</f>
        <v>#N/A</v>
      </c>
      <c r="M1367" s="12"/>
      <c r="N1367" s="5"/>
      <c r="O1367" s="5"/>
      <c r="P1367" s="5"/>
      <c r="Q1367" s="14"/>
      <c r="R1367" s="15">
        <f t="shared" si="21"/>
        <v>0</v>
      </c>
    </row>
    <row r="1368" spans="2:18" x14ac:dyDescent="0.35">
      <c r="B1368" s="9">
        <v>1389</v>
      </c>
      <c r="C1368" s="9"/>
      <c r="D1368" s="9"/>
      <c r="E1368" s="9"/>
      <c r="F1368" s="9"/>
      <c r="G1368" s="9"/>
      <c r="H1368" s="9"/>
      <c r="I1368" s="11" t="e">
        <f>VLOOKUP(H1368,위치!B:C,2,0)</f>
        <v>#N/A</v>
      </c>
      <c r="J1368" s="9"/>
      <c r="K1368" s="9"/>
      <c r="L1368" s="9" t="e">
        <f>VLOOKUP(H1368,위치!B:D,3,0)</f>
        <v>#N/A</v>
      </c>
      <c r="M1368" s="12"/>
      <c r="N1368" s="5"/>
      <c r="O1368" s="5"/>
      <c r="P1368" s="5"/>
      <c r="Q1368" s="14"/>
      <c r="R1368" s="15">
        <f t="shared" si="21"/>
        <v>0</v>
      </c>
    </row>
    <row r="1369" spans="2:18" x14ac:dyDescent="0.35">
      <c r="B1369" s="9">
        <v>1390</v>
      </c>
      <c r="C1369" s="9"/>
      <c r="D1369" s="9"/>
      <c r="E1369" s="9"/>
      <c r="F1369" s="9"/>
      <c r="G1369" s="9"/>
      <c r="H1369" s="9"/>
      <c r="I1369" s="11" t="e">
        <f>VLOOKUP(H1369,위치!B:C,2,0)</f>
        <v>#N/A</v>
      </c>
      <c r="J1369" s="9"/>
      <c r="K1369" s="9"/>
      <c r="L1369" s="9" t="e">
        <f>VLOOKUP(H1369,위치!B:D,3,0)</f>
        <v>#N/A</v>
      </c>
      <c r="M1369" s="12"/>
      <c r="N1369" s="5"/>
      <c r="O1369" s="5"/>
      <c r="P1369" s="5"/>
      <c r="Q1369" s="14"/>
      <c r="R1369" s="15">
        <f t="shared" si="21"/>
        <v>0</v>
      </c>
    </row>
    <row r="1370" spans="2:18" x14ac:dyDescent="0.35">
      <c r="B1370" s="9">
        <v>1391</v>
      </c>
      <c r="C1370" s="9"/>
      <c r="D1370" s="9"/>
      <c r="E1370" s="9"/>
      <c r="F1370" s="9"/>
      <c r="G1370" s="9"/>
      <c r="H1370" s="9"/>
      <c r="I1370" s="11" t="e">
        <f>VLOOKUP(H1370,위치!B:C,2,0)</f>
        <v>#N/A</v>
      </c>
      <c r="J1370" s="9"/>
      <c r="K1370" s="9"/>
      <c r="L1370" s="9" t="e">
        <f>VLOOKUP(H1370,위치!B:D,3,0)</f>
        <v>#N/A</v>
      </c>
      <c r="M1370" s="12"/>
      <c r="N1370" s="5"/>
      <c r="O1370" s="5"/>
      <c r="P1370" s="5"/>
      <c r="Q1370" s="14"/>
      <c r="R1370" s="15">
        <f t="shared" si="21"/>
        <v>0</v>
      </c>
    </row>
    <row r="1371" spans="2:18" x14ac:dyDescent="0.35">
      <c r="B1371" s="9">
        <v>1392</v>
      </c>
      <c r="C1371" s="9"/>
      <c r="D1371" s="9"/>
      <c r="E1371" s="9"/>
      <c r="F1371" s="9"/>
      <c r="G1371" s="9"/>
      <c r="H1371" s="9"/>
      <c r="I1371" s="11" t="e">
        <f>VLOOKUP(H1371,위치!B:C,2,0)</f>
        <v>#N/A</v>
      </c>
      <c r="J1371" s="9"/>
      <c r="K1371" s="9"/>
      <c r="L1371" s="9" t="e">
        <f>VLOOKUP(H1371,위치!B:D,3,0)</f>
        <v>#N/A</v>
      </c>
      <c r="M1371" s="12"/>
      <c r="N1371" s="5"/>
      <c r="O1371" s="5"/>
      <c r="P1371" s="5"/>
      <c r="Q1371" s="14"/>
      <c r="R1371" s="15">
        <f t="shared" si="21"/>
        <v>0</v>
      </c>
    </row>
    <row r="1372" spans="2:18" x14ac:dyDescent="0.35">
      <c r="B1372" s="9">
        <v>1393</v>
      </c>
      <c r="C1372" s="9"/>
      <c r="D1372" s="9"/>
      <c r="E1372" s="9"/>
      <c r="F1372" s="9"/>
      <c r="G1372" s="9"/>
      <c r="H1372" s="9"/>
      <c r="I1372" s="11" t="e">
        <f>VLOOKUP(H1372,위치!B:C,2,0)</f>
        <v>#N/A</v>
      </c>
      <c r="J1372" s="9"/>
      <c r="K1372" s="9"/>
      <c r="L1372" s="9" t="e">
        <f>VLOOKUP(H1372,위치!B:D,3,0)</f>
        <v>#N/A</v>
      </c>
      <c r="M1372" s="12"/>
      <c r="N1372" s="5"/>
      <c r="O1372" s="5"/>
      <c r="P1372" s="5"/>
      <c r="Q1372" s="14"/>
      <c r="R1372" s="15">
        <f t="shared" si="21"/>
        <v>0</v>
      </c>
    </row>
    <row r="1373" spans="2:18" x14ac:dyDescent="0.35">
      <c r="B1373" s="9">
        <v>1394</v>
      </c>
      <c r="C1373" s="9"/>
      <c r="D1373" s="9"/>
      <c r="E1373" s="9"/>
      <c r="F1373" s="9"/>
      <c r="G1373" s="9"/>
      <c r="H1373" s="9"/>
      <c r="I1373" s="11" t="e">
        <f>VLOOKUP(H1373,위치!B:C,2,0)</f>
        <v>#N/A</v>
      </c>
      <c r="J1373" s="9"/>
      <c r="K1373" s="9"/>
      <c r="L1373" s="9" t="e">
        <f>VLOOKUP(H1373,위치!B:D,3,0)</f>
        <v>#N/A</v>
      </c>
      <c r="M1373" s="12"/>
      <c r="N1373" s="5"/>
      <c r="O1373" s="5"/>
      <c r="P1373" s="5"/>
      <c r="Q1373" s="14"/>
      <c r="R1373" s="15">
        <f t="shared" si="21"/>
        <v>0</v>
      </c>
    </row>
    <row r="1374" spans="2:18" x14ac:dyDescent="0.35">
      <c r="B1374" s="9">
        <v>1395</v>
      </c>
      <c r="C1374" s="9"/>
      <c r="D1374" s="9"/>
      <c r="E1374" s="9"/>
      <c r="F1374" s="9"/>
      <c r="G1374" s="9"/>
      <c r="H1374" s="9"/>
      <c r="I1374" s="11" t="e">
        <f>VLOOKUP(H1374,위치!B:C,2,0)</f>
        <v>#N/A</v>
      </c>
      <c r="J1374" s="9"/>
      <c r="K1374" s="9"/>
      <c r="L1374" s="9" t="e">
        <f>VLOOKUP(H1374,위치!B:D,3,0)</f>
        <v>#N/A</v>
      </c>
      <c r="M1374" s="12"/>
      <c r="N1374" s="5"/>
      <c r="O1374" s="5"/>
      <c r="P1374" s="5"/>
      <c r="Q1374" s="14"/>
      <c r="R1374" s="15">
        <f t="shared" si="21"/>
        <v>0</v>
      </c>
    </row>
    <row r="1375" spans="2:18" x14ac:dyDescent="0.35">
      <c r="B1375" s="9">
        <v>1396</v>
      </c>
      <c r="C1375" s="9"/>
      <c r="D1375" s="9"/>
      <c r="E1375" s="9"/>
      <c r="F1375" s="9"/>
      <c r="G1375" s="9"/>
      <c r="H1375" s="9"/>
      <c r="I1375" s="11" t="e">
        <f>VLOOKUP(H1375,위치!B:C,2,0)</f>
        <v>#N/A</v>
      </c>
      <c r="J1375" s="9"/>
      <c r="K1375" s="9"/>
      <c r="L1375" s="9" t="e">
        <f>VLOOKUP(H1375,위치!B:D,3,0)</f>
        <v>#N/A</v>
      </c>
      <c r="M1375" s="12"/>
      <c r="N1375" s="5"/>
      <c r="O1375" s="5"/>
      <c r="P1375" s="5"/>
      <c r="Q1375" s="14"/>
      <c r="R1375" s="15">
        <f t="shared" si="21"/>
        <v>0</v>
      </c>
    </row>
    <row r="1376" spans="2:18" x14ac:dyDescent="0.35">
      <c r="B1376" s="9">
        <v>1397</v>
      </c>
      <c r="C1376" s="9"/>
      <c r="D1376" s="9"/>
      <c r="E1376" s="9"/>
      <c r="F1376" s="9"/>
      <c r="G1376" s="9"/>
      <c r="H1376" s="9"/>
      <c r="I1376" s="11" t="e">
        <f>VLOOKUP(H1376,위치!B:C,2,0)</f>
        <v>#N/A</v>
      </c>
      <c r="J1376" s="9"/>
      <c r="K1376" s="9"/>
      <c r="L1376" s="9" t="e">
        <f>VLOOKUP(H1376,위치!B:D,3,0)</f>
        <v>#N/A</v>
      </c>
      <c r="M1376" s="12"/>
      <c r="N1376" s="5"/>
      <c r="O1376" s="5"/>
      <c r="P1376" s="5"/>
      <c r="Q1376" s="14"/>
      <c r="R1376" s="15">
        <f t="shared" si="21"/>
        <v>0</v>
      </c>
    </row>
    <row r="1377" spans="2:18" x14ac:dyDescent="0.35">
      <c r="B1377" s="9">
        <v>1398</v>
      </c>
      <c r="C1377" s="9"/>
      <c r="D1377" s="9"/>
      <c r="E1377" s="9"/>
      <c r="F1377" s="9"/>
      <c r="G1377" s="9"/>
      <c r="H1377" s="9"/>
      <c r="I1377" s="11" t="e">
        <f>VLOOKUP(H1377,위치!B:C,2,0)</f>
        <v>#N/A</v>
      </c>
      <c r="J1377" s="9"/>
      <c r="K1377" s="9"/>
      <c r="L1377" s="9" t="e">
        <f>VLOOKUP(H1377,위치!B:D,3,0)</f>
        <v>#N/A</v>
      </c>
      <c r="M1377" s="12"/>
      <c r="N1377" s="5"/>
      <c r="O1377" s="5"/>
      <c r="P1377" s="5"/>
      <c r="Q1377" s="14"/>
      <c r="R1377" s="15">
        <f t="shared" si="21"/>
        <v>0</v>
      </c>
    </row>
    <row r="1378" spans="2:18" x14ac:dyDescent="0.35">
      <c r="B1378" s="9">
        <v>1399</v>
      </c>
      <c r="C1378" s="9"/>
      <c r="D1378" s="9"/>
      <c r="E1378" s="9"/>
      <c r="F1378" s="9"/>
      <c r="G1378" s="9"/>
      <c r="H1378" s="9"/>
      <c r="I1378" s="11" t="e">
        <f>VLOOKUP(H1378,위치!B:C,2,0)</f>
        <v>#N/A</v>
      </c>
      <c r="J1378" s="9"/>
      <c r="K1378" s="9"/>
      <c r="L1378" s="9" t="e">
        <f>VLOOKUP(H1378,위치!B:D,3,0)</f>
        <v>#N/A</v>
      </c>
      <c r="M1378" s="12"/>
      <c r="N1378" s="5"/>
      <c r="O1378" s="5"/>
      <c r="P1378" s="5"/>
      <c r="Q1378" s="14"/>
      <c r="R1378" s="15">
        <f t="shared" si="21"/>
        <v>0</v>
      </c>
    </row>
    <row r="1379" spans="2:18" x14ac:dyDescent="0.35">
      <c r="B1379" s="9">
        <v>1400</v>
      </c>
      <c r="C1379" s="9"/>
      <c r="D1379" s="9"/>
      <c r="E1379" s="9"/>
      <c r="F1379" s="9"/>
      <c r="G1379" s="9"/>
      <c r="H1379" s="9"/>
      <c r="I1379" s="11" t="e">
        <f>VLOOKUP(H1379,위치!B:C,2,0)</f>
        <v>#N/A</v>
      </c>
      <c r="J1379" s="9"/>
      <c r="K1379" s="9"/>
      <c r="L1379" s="9" t="e">
        <f>VLOOKUP(H1379,위치!B:D,3,0)</f>
        <v>#N/A</v>
      </c>
      <c r="M1379" s="12"/>
      <c r="N1379" s="5"/>
      <c r="O1379" s="5"/>
      <c r="P1379" s="5"/>
      <c r="Q1379" s="14"/>
      <c r="R1379" s="15">
        <f t="shared" si="21"/>
        <v>0</v>
      </c>
    </row>
    <row r="1380" spans="2:18" x14ac:dyDescent="0.35">
      <c r="B1380" s="9">
        <v>1401</v>
      </c>
      <c r="C1380" s="9"/>
      <c r="D1380" s="9"/>
      <c r="E1380" s="9"/>
      <c r="F1380" s="9"/>
      <c r="G1380" s="9"/>
      <c r="H1380" s="9"/>
      <c r="I1380" s="11" t="e">
        <f>VLOOKUP(H1380,위치!B:C,2,0)</f>
        <v>#N/A</v>
      </c>
      <c r="J1380" s="9"/>
      <c r="K1380" s="9"/>
      <c r="L1380" s="9" t="e">
        <f>VLOOKUP(H1380,위치!B:D,3,0)</f>
        <v>#N/A</v>
      </c>
      <c r="M1380" s="12"/>
      <c r="N1380" s="5"/>
      <c r="O1380" s="5"/>
      <c r="P1380" s="5"/>
      <c r="Q1380" s="14"/>
      <c r="R1380" s="15">
        <f t="shared" si="21"/>
        <v>0</v>
      </c>
    </row>
    <row r="1381" spans="2:18" x14ac:dyDescent="0.35">
      <c r="B1381" s="9">
        <v>1402</v>
      </c>
      <c r="C1381" s="9"/>
      <c r="D1381" s="9"/>
      <c r="E1381" s="9"/>
      <c r="F1381" s="9"/>
      <c r="G1381" s="9"/>
      <c r="H1381" s="9"/>
      <c r="I1381" s="11" t="e">
        <f>VLOOKUP(H1381,위치!B:C,2,0)</f>
        <v>#N/A</v>
      </c>
      <c r="J1381" s="9"/>
      <c r="K1381" s="9"/>
      <c r="L1381" s="9" t="e">
        <f>VLOOKUP(H1381,위치!B:D,3,0)</f>
        <v>#N/A</v>
      </c>
      <c r="M1381" s="12"/>
      <c r="N1381" s="5"/>
      <c r="O1381" s="5"/>
      <c r="P1381" s="5"/>
      <c r="Q1381" s="14"/>
      <c r="R1381" s="15">
        <f t="shared" si="21"/>
        <v>0</v>
      </c>
    </row>
    <row r="1382" spans="2:18" x14ac:dyDescent="0.35">
      <c r="B1382" s="9">
        <v>1403</v>
      </c>
      <c r="C1382" s="9"/>
      <c r="D1382" s="9"/>
      <c r="E1382" s="9"/>
      <c r="F1382" s="9"/>
      <c r="G1382" s="9"/>
      <c r="H1382" s="9"/>
      <c r="I1382" s="11" t="e">
        <f>VLOOKUP(H1382,위치!B:C,2,0)</f>
        <v>#N/A</v>
      </c>
      <c r="J1382" s="9"/>
      <c r="K1382" s="9"/>
      <c r="L1382" s="9" t="e">
        <f>VLOOKUP(H1382,위치!B:D,3,0)</f>
        <v>#N/A</v>
      </c>
      <c r="M1382" s="12"/>
      <c r="N1382" s="5"/>
      <c r="O1382" s="5"/>
      <c r="P1382" s="5"/>
      <c r="Q1382" s="14"/>
      <c r="R1382" s="15">
        <f t="shared" si="21"/>
        <v>0</v>
      </c>
    </row>
    <row r="1383" spans="2:18" x14ac:dyDescent="0.35">
      <c r="B1383" s="9">
        <v>1404</v>
      </c>
      <c r="C1383" s="9"/>
      <c r="D1383" s="9"/>
      <c r="E1383" s="9"/>
      <c r="F1383" s="9"/>
      <c r="G1383" s="9"/>
      <c r="H1383" s="9"/>
      <c r="I1383" s="11" t="e">
        <f>VLOOKUP(H1383,위치!B:C,2,0)</f>
        <v>#N/A</v>
      </c>
      <c r="J1383" s="9"/>
      <c r="K1383" s="9"/>
      <c r="L1383" s="9" t="e">
        <f>VLOOKUP(H1383,위치!B:D,3,0)</f>
        <v>#N/A</v>
      </c>
      <c r="M1383" s="12"/>
      <c r="N1383" s="5"/>
      <c r="O1383" s="5"/>
      <c r="P1383" s="5"/>
      <c r="Q1383" s="14"/>
      <c r="R1383" s="15">
        <f t="shared" si="21"/>
        <v>0</v>
      </c>
    </row>
    <row r="1384" spans="2:18" x14ac:dyDescent="0.35">
      <c r="B1384" s="9">
        <v>1405</v>
      </c>
      <c r="C1384" s="9"/>
      <c r="D1384" s="9"/>
      <c r="E1384" s="9"/>
      <c r="F1384" s="9"/>
      <c r="G1384" s="9"/>
      <c r="H1384" s="9"/>
      <c r="I1384" s="11" t="e">
        <f>VLOOKUP(H1384,위치!B:C,2,0)</f>
        <v>#N/A</v>
      </c>
      <c r="J1384" s="9"/>
      <c r="K1384" s="9"/>
      <c r="L1384" s="9" t="e">
        <f>VLOOKUP(H1384,위치!B:D,3,0)</f>
        <v>#N/A</v>
      </c>
      <c r="M1384" s="12"/>
      <c r="N1384" s="5"/>
      <c r="O1384" s="5"/>
      <c r="P1384" s="5"/>
      <c r="Q1384" s="14"/>
      <c r="R1384" s="15">
        <f t="shared" si="21"/>
        <v>0</v>
      </c>
    </row>
    <row r="1385" spans="2:18" x14ac:dyDescent="0.35">
      <c r="B1385" s="9">
        <v>1406</v>
      </c>
      <c r="C1385" s="9"/>
      <c r="D1385" s="9"/>
      <c r="E1385" s="9"/>
      <c r="F1385" s="9"/>
      <c r="G1385" s="9"/>
      <c r="H1385" s="9"/>
      <c r="I1385" s="11" t="e">
        <f>VLOOKUP(H1385,위치!B:C,2,0)</f>
        <v>#N/A</v>
      </c>
      <c r="J1385" s="9"/>
      <c r="K1385" s="9"/>
      <c r="L1385" s="9" t="e">
        <f>VLOOKUP(H1385,위치!B:D,3,0)</f>
        <v>#N/A</v>
      </c>
      <c r="M1385" s="12"/>
      <c r="N1385" s="5"/>
      <c r="O1385" s="5"/>
      <c r="P1385" s="5"/>
      <c r="Q1385" s="14"/>
      <c r="R1385" s="15">
        <f t="shared" si="21"/>
        <v>0</v>
      </c>
    </row>
    <row r="1386" spans="2:18" x14ac:dyDescent="0.35">
      <c r="B1386" s="9">
        <v>1407</v>
      </c>
      <c r="C1386" s="9"/>
      <c r="D1386" s="9"/>
      <c r="E1386" s="9"/>
      <c r="F1386" s="9"/>
      <c r="G1386" s="9"/>
      <c r="H1386" s="9"/>
      <c r="I1386" s="11" t="e">
        <f>VLOOKUP(H1386,위치!B:C,2,0)</f>
        <v>#N/A</v>
      </c>
      <c r="J1386" s="9"/>
      <c r="K1386" s="9"/>
      <c r="L1386" s="9" t="e">
        <f>VLOOKUP(H1386,위치!B:D,3,0)</f>
        <v>#N/A</v>
      </c>
      <c r="M1386" s="12"/>
      <c r="N1386" s="5"/>
      <c r="O1386" s="5"/>
      <c r="P1386" s="5"/>
      <c r="Q1386" s="14"/>
      <c r="R1386" s="15">
        <f t="shared" si="21"/>
        <v>0</v>
      </c>
    </row>
    <row r="1387" spans="2:18" x14ac:dyDescent="0.35">
      <c r="B1387" s="9">
        <v>1408</v>
      </c>
      <c r="C1387" s="9"/>
      <c r="D1387" s="9"/>
      <c r="E1387" s="9"/>
      <c r="F1387" s="9"/>
      <c r="G1387" s="9"/>
      <c r="H1387" s="9"/>
      <c r="I1387" s="11" t="e">
        <f>VLOOKUP(H1387,위치!B:C,2,0)</f>
        <v>#N/A</v>
      </c>
      <c r="J1387" s="9"/>
      <c r="K1387" s="9"/>
      <c r="L1387" s="9" t="e">
        <f>VLOOKUP(H1387,위치!B:D,3,0)</f>
        <v>#N/A</v>
      </c>
      <c r="M1387" s="12"/>
      <c r="N1387" s="5"/>
      <c r="O1387" s="5"/>
      <c r="P1387" s="5"/>
      <c r="Q1387" s="14"/>
      <c r="R1387" s="15">
        <f t="shared" si="21"/>
        <v>0</v>
      </c>
    </row>
    <row r="1388" spans="2:18" x14ac:dyDescent="0.35">
      <c r="B1388" s="9">
        <v>1409</v>
      </c>
      <c r="C1388" s="9"/>
      <c r="D1388" s="9"/>
      <c r="E1388" s="9"/>
      <c r="F1388" s="9"/>
      <c r="G1388" s="9"/>
      <c r="H1388" s="9"/>
      <c r="I1388" s="11" t="e">
        <f>VLOOKUP(H1388,위치!B:C,2,0)</f>
        <v>#N/A</v>
      </c>
      <c r="J1388" s="9"/>
      <c r="K1388" s="9"/>
      <c r="L1388" s="9" t="e">
        <f>VLOOKUP(H1388,위치!B:D,3,0)</f>
        <v>#N/A</v>
      </c>
      <c r="M1388" s="12"/>
      <c r="N1388" s="5"/>
      <c r="O1388" s="5"/>
      <c r="P1388" s="5"/>
      <c r="Q1388" s="14"/>
      <c r="R1388" s="15">
        <f t="shared" si="21"/>
        <v>0</v>
      </c>
    </row>
    <row r="1389" spans="2:18" x14ac:dyDescent="0.35">
      <c r="B1389" s="9">
        <v>1410</v>
      </c>
      <c r="C1389" s="9"/>
      <c r="D1389" s="9"/>
      <c r="E1389" s="9"/>
      <c r="F1389" s="9"/>
      <c r="G1389" s="9"/>
      <c r="H1389" s="9"/>
      <c r="I1389" s="11" t="e">
        <f>VLOOKUP(H1389,위치!B:C,2,0)</f>
        <v>#N/A</v>
      </c>
      <c r="J1389" s="9"/>
      <c r="K1389" s="9"/>
      <c r="L1389" s="9" t="e">
        <f>VLOOKUP(H1389,위치!B:D,3,0)</f>
        <v>#N/A</v>
      </c>
      <c r="M1389" s="12"/>
      <c r="N1389" s="5"/>
      <c r="O1389" s="5"/>
      <c r="P1389" s="5"/>
      <c r="Q1389" s="14"/>
      <c r="R1389" s="15">
        <f t="shared" si="21"/>
        <v>0</v>
      </c>
    </row>
    <row r="1390" spans="2:18" x14ac:dyDescent="0.35">
      <c r="B1390" s="9">
        <v>1411</v>
      </c>
      <c r="C1390" s="9"/>
      <c r="D1390" s="9"/>
      <c r="E1390" s="9"/>
      <c r="F1390" s="9"/>
      <c r="G1390" s="9"/>
      <c r="H1390" s="9"/>
      <c r="I1390" s="11" t="e">
        <f>VLOOKUP(H1390,위치!B:C,2,0)</f>
        <v>#N/A</v>
      </c>
      <c r="J1390" s="9"/>
      <c r="K1390" s="9"/>
      <c r="L1390" s="9" t="e">
        <f>VLOOKUP(H1390,위치!B:D,3,0)</f>
        <v>#N/A</v>
      </c>
      <c r="M1390" s="12"/>
      <c r="N1390" s="5"/>
      <c r="O1390" s="5"/>
      <c r="P1390" s="5"/>
      <c r="Q1390" s="14"/>
      <c r="R1390" s="15">
        <f t="shared" si="21"/>
        <v>0</v>
      </c>
    </row>
    <row r="1391" spans="2:18" x14ac:dyDescent="0.35">
      <c r="B1391" s="9">
        <v>1412</v>
      </c>
      <c r="C1391" s="9"/>
      <c r="D1391" s="9"/>
      <c r="E1391" s="9"/>
      <c r="F1391" s="9"/>
      <c r="G1391" s="9"/>
      <c r="H1391" s="9"/>
      <c r="I1391" s="11" t="e">
        <f>VLOOKUP(H1391,위치!B:C,2,0)</f>
        <v>#N/A</v>
      </c>
      <c r="J1391" s="9"/>
      <c r="K1391" s="9"/>
      <c r="L1391" s="9" t="e">
        <f>VLOOKUP(H1391,위치!B:D,3,0)</f>
        <v>#N/A</v>
      </c>
      <c r="M1391" s="12"/>
      <c r="N1391" s="5"/>
      <c r="O1391" s="5"/>
      <c r="P1391" s="5"/>
      <c r="Q1391" s="14"/>
      <c r="R1391" s="15">
        <f t="shared" si="21"/>
        <v>0</v>
      </c>
    </row>
    <row r="1392" spans="2:18" x14ac:dyDescent="0.35">
      <c r="B1392" s="9">
        <v>1413</v>
      </c>
      <c r="C1392" s="9"/>
      <c r="D1392" s="9"/>
      <c r="E1392" s="9"/>
      <c r="F1392" s="9"/>
      <c r="G1392" s="9"/>
      <c r="H1392" s="9"/>
      <c r="I1392" s="11" t="e">
        <f>VLOOKUP(H1392,위치!B:C,2,0)</f>
        <v>#N/A</v>
      </c>
      <c r="J1392" s="9"/>
      <c r="K1392" s="9"/>
      <c r="L1392" s="9" t="e">
        <f>VLOOKUP(H1392,위치!B:D,3,0)</f>
        <v>#N/A</v>
      </c>
      <c r="M1392" s="12"/>
      <c r="N1392" s="5"/>
      <c r="O1392" s="5"/>
      <c r="P1392" s="5"/>
      <c r="Q1392" s="14"/>
      <c r="R1392" s="15">
        <f t="shared" si="21"/>
        <v>0</v>
      </c>
    </row>
    <row r="1393" spans="2:18" x14ac:dyDescent="0.35">
      <c r="B1393" s="9">
        <v>1414</v>
      </c>
      <c r="C1393" s="9"/>
      <c r="D1393" s="9"/>
      <c r="E1393" s="9"/>
      <c r="F1393" s="9"/>
      <c r="G1393" s="9"/>
      <c r="H1393" s="9"/>
      <c r="I1393" s="11" t="e">
        <f>VLOOKUP(H1393,위치!B:C,2,0)</f>
        <v>#N/A</v>
      </c>
      <c r="J1393" s="9"/>
      <c r="K1393" s="9"/>
      <c r="L1393" s="9" t="e">
        <f>VLOOKUP(H1393,위치!B:D,3,0)</f>
        <v>#N/A</v>
      </c>
      <c r="M1393" s="12"/>
      <c r="N1393" s="5"/>
      <c r="O1393" s="5"/>
      <c r="P1393" s="5"/>
      <c r="Q1393" s="14"/>
      <c r="R1393" s="15">
        <f t="shared" si="21"/>
        <v>0</v>
      </c>
    </row>
    <row r="1394" spans="2:18" x14ac:dyDescent="0.35">
      <c r="B1394" s="9">
        <v>1415</v>
      </c>
      <c r="C1394" s="9"/>
      <c r="D1394" s="9"/>
      <c r="E1394" s="9"/>
      <c r="F1394" s="9"/>
      <c r="G1394" s="9"/>
      <c r="H1394" s="9"/>
      <c r="I1394" s="11" t="e">
        <f>VLOOKUP(H1394,위치!B:C,2,0)</f>
        <v>#N/A</v>
      </c>
      <c r="J1394" s="9"/>
      <c r="K1394" s="9"/>
      <c r="L1394" s="9" t="e">
        <f>VLOOKUP(H1394,위치!B:D,3,0)</f>
        <v>#N/A</v>
      </c>
      <c r="M1394" s="12"/>
      <c r="N1394" s="5"/>
      <c r="O1394" s="5"/>
      <c r="P1394" s="5"/>
      <c r="Q1394" s="14"/>
      <c r="R1394" s="15">
        <f t="shared" si="21"/>
        <v>0</v>
      </c>
    </row>
    <row r="1395" spans="2:18" x14ac:dyDescent="0.35">
      <c r="B1395" s="9">
        <v>1416</v>
      </c>
      <c r="C1395" s="9"/>
      <c r="D1395" s="9"/>
      <c r="E1395" s="9"/>
      <c r="F1395" s="9"/>
      <c r="G1395" s="9"/>
      <c r="H1395" s="9"/>
      <c r="I1395" s="11" t="e">
        <f>VLOOKUP(H1395,위치!B:C,2,0)</f>
        <v>#N/A</v>
      </c>
      <c r="J1395" s="9"/>
      <c r="K1395" s="9"/>
      <c r="L1395" s="9" t="e">
        <f>VLOOKUP(H1395,위치!B:D,3,0)</f>
        <v>#N/A</v>
      </c>
      <c r="M1395" s="12"/>
      <c r="N1395" s="5"/>
      <c r="O1395" s="5"/>
      <c r="P1395" s="5"/>
      <c r="Q1395" s="14"/>
      <c r="R1395" s="15">
        <f t="shared" si="21"/>
        <v>0</v>
      </c>
    </row>
    <row r="1396" spans="2:18" x14ac:dyDescent="0.35">
      <c r="B1396" s="9">
        <v>1417</v>
      </c>
      <c r="C1396" s="9"/>
      <c r="D1396" s="9"/>
      <c r="E1396" s="9"/>
      <c r="F1396" s="9"/>
      <c r="G1396" s="9"/>
      <c r="H1396" s="9"/>
      <c r="I1396" s="11" t="e">
        <f>VLOOKUP(H1396,위치!B:C,2,0)</f>
        <v>#N/A</v>
      </c>
      <c r="J1396" s="9"/>
      <c r="K1396" s="9"/>
      <c r="L1396" s="9" t="e">
        <f>VLOOKUP(H1396,위치!B:D,3,0)</f>
        <v>#N/A</v>
      </c>
      <c r="M1396" s="12"/>
      <c r="N1396" s="5"/>
      <c r="O1396" s="5"/>
      <c r="P1396" s="5"/>
      <c r="Q1396" s="14"/>
      <c r="R1396" s="15">
        <f t="shared" si="21"/>
        <v>0</v>
      </c>
    </row>
    <row r="1397" spans="2:18" x14ac:dyDescent="0.35">
      <c r="B1397" s="9">
        <v>1418</v>
      </c>
      <c r="C1397" s="9"/>
      <c r="D1397" s="9"/>
      <c r="E1397" s="9"/>
      <c r="F1397" s="9"/>
      <c r="G1397" s="9"/>
      <c r="H1397" s="9"/>
      <c r="I1397" s="11" t="e">
        <f>VLOOKUP(H1397,위치!B:C,2,0)</f>
        <v>#N/A</v>
      </c>
      <c r="J1397" s="9"/>
      <c r="K1397" s="9"/>
      <c r="L1397" s="9" t="e">
        <f>VLOOKUP(H1397,위치!B:D,3,0)</f>
        <v>#N/A</v>
      </c>
      <c r="M1397" s="12"/>
      <c r="N1397" s="5"/>
      <c r="O1397" s="5"/>
      <c r="P1397" s="5"/>
      <c r="Q1397" s="14"/>
      <c r="R1397" s="15">
        <f t="shared" si="21"/>
        <v>0</v>
      </c>
    </row>
    <row r="1398" spans="2:18" x14ac:dyDescent="0.35">
      <c r="B1398" s="9">
        <v>1419</v>
      </c>
      <c r="C1398" s="9"/>
      <c r="D1398" s="9"/>
      <c r="E1398" s="9"/>
      <c r="F1398" s="9"/>
      <c r="G1398" s="9"/>
      <c r="H1398" s="9"/>
      <c r="I1398" s="11" t="e">
        <f>VLOOKUP(H1398,위치!B:C,2,0)</f>
        <v>#N/A</v>
      </c>
      <c r="J1398" s="9"/>
      <c r="K1398" s="9"/>
      <c r="L1398" s="9" t="e">
        <f>VLOOKUP(H1398,위치!B:D,3,0)</f>
        <v>#N/A</v>
      </c>
      <c r="M1398" s="12"/>
      <c r="N1398" s="5"/>
      <c r="O1398" s="5"/>
      <c r="P1398" s="5"/>
      <c r="Q1398" s="14"/>
      <c r="R1398" s="15">
        <f t="shared" si="21"/>
        <v>0</v>
      </c>
    </row>
    <row r="1399" spans="2:18" x14ac:dyDescent="0.35">
      <c r="B1399" s="9">
        <v>1420</v>
      </c>
      <c r="C1399" s="9"/>
      <c r="D1399" s="9"/>
      <c r="E1399" s="9"/>
      <c r="F1399" s="9"/>
      <c r="G1399" s="9"/>
      <c r="H1399" s="9"/>
      <c r="I1399" s="11" t="e">
        <f>VLOOKUP(H1399,위치!B:C,2,0)</f>
        <v>#N/A</v>
      </c>
      <c r="J1399" s="9"/>
      <c r="K1399" s="9"/>
      <c r="L1399" s="9" t="e">
        <f>VLOOKUP(H1399,위치!B:D,3,0)</f>
        <v>#N/A</v>
      </c>
      <c r="M1399" s="12"/>
      <c r="N1399" s="5"/>
      <c r="O1399" s="5"/>
      <c r="P1399" s="5"/>
      <c r="Q1399" s="14"/>
      <c r="R1399" s="15">
        <f t="shared" si="21"/>
        <v>0</v>
      </c>
    </row>
    <row r="1400" spans="2:18" x14ac:dyDescent="0.35">
      <c r="B1400" s="9">
        <v>1421</v>
      </c>
      <c r="C1400" s="9"/>
      <c r="D1400" s="9"/>
      <c r="E1400" s="9"/>
      <c r="F1400" s="9"/>
      <c r="G1400" s="9"/>
      <c r="H1400" s="9"/>
      <c r="I1400" s="11" t="e">
        <f>VLOOKUP(H1400,위치!B:C,2,0)</f>
        <v>#N/A</v>
      </c>
      <c r="J1400" s="9"/>
      <c r="K1400" s="9"/>
      <c r="L1400" s="9" t="e">
        <f>VLOOKUP(H1400,위치!B:D,3,0)</f>
        <v>#N/A</v>
      </c>
      <c r="M1400" s="12"/>
      <c r="N1400" s="5"/>
      <c r="O1400" s="5"/>
      <c r="P1400" s="5"/>
      <c r="Q1400" s="14"/>
      <c r="R1400" s="15">
        <f t="shared" si="21"/>
        <v>0</v>
      </c>
    </row>
    <row r="1401" spans="2:18" x14ac:dyDescent="0.35">
      <c r="B1401" s="9">
        <v>1422</v>
      </c>
      <c r="C1401" s="9"/>
      <c r="D1401" s="9"/>
      <c r="E1401" s="9"/>
      <c r="F1401" s="9"/>
      <c r="G1401" s="9"/>
      <c r="H1401" s="9"/>
      <c r="I1401" s="11" t="e">
        <f>VLOOKUP(H1401,위치!B:C,2,0)</f>
        <v>#N/A</v>
      </c>
      <c r="J1401" s="9"/>
      <c r="K1401" s="9"/>
      <c r="L1401" s="9" t="e">
        <f>VLOOKUP(H1401,위치!B:D,3,0)</f>
        <v>#N/A</v>
      </c>
      <c r="M1401" s="12"/>
      <c r="N1401" s="5"/>
      <c r="O1401" s="5"/>
      <c r="P1401" s="5"/>
      <c r="Q1401" s="14"/>
      <c r="R1401" s="15">
        <f t="shared" si="21"/>
        <v>0</v>
      </c>
    </row>
    <row r="1402" spans="2:18" x14ac:dyDescent="0.35">
      <c r="B1402" s="9">
        <v>1423</v>
      </c>
      <c r="C1402" s="9"/>
      <c r="D1402" s="9"/>
      <c r="E1402" s="9"/>
      <c r="F1402" s="9"/>
      <c r="G1402" s="9"/>
      <c r="H1402" s="9"/>
      <c r="I1402" s="11" t="e">
        <f>VLOOKUP(H1402,위치!B:C,2,0)</f>
        <v>#N/A</v>
      </c>
      <c r="J1402" s="9"/>
      <c r="K1402" s="9"/>
      <c r="L1402" s="9" t="e">
        <f>VLOOKUP(H1402,위치!B:D,3,0)</f>
        <v>#N/A</v>
      </c>
      <c r="M1402" s="12"/>
      <c r="N1402" s="5"/>
      <c r="O1402" s="5"/>
      <c r="P1402" s="5"/>
      <c r="Q1402" s="14"/>
      <c r="R1402" s="15">
        <f t="shared" si="21"/>
        <v>0</v>
      </c>
    </row>
    <row r="1403" spans="2:18" x14ac:dyDescent="0.35">
      <c r="B1403" s="9">
        <v>1424</v>
      </c>
      <c r="C1403" s="9"/>
      <c r="D1403" s="9"/>
      <c r="E1403" s="9"/>
      <c r="F1403" s="9"/>
      <c r="G1403" s="9"/>
      <c r="H1403" s="9"/>
      <c r="I1403" s="11" t="e">
        <f>VLOOKUP(H1403,위치!B:C,2,0)</f>
        <v>#N/A</v>
      </c>
      <c r="J1403" s="9"/>
      <c r="K1403" s="9"/>
      <c r="L1403" s="9" t="e">
        <f>VLOOKUP(H1403,위치!B:D,3,0)</f>
        <v>#N/A</v>
      </c>
      <c r="M1403" s="12"/>
      <c r="N1403" s="5"/>
      <c r="O1403" s="5"/>
      <c r="P1403" s="5"/>
      <c r="Q1403" s="14"/>
      <c r="R1403" s="15">
        <f t="shared" si="21"/>
        <v>0</v>
      </c>
    </row>
    <row r="1404" spans="2:18" x14ac:dyDescent="0.35">
      <c r="B1404" s="9">
        <v>1425</v>
      </c>
      <c r="C1404" s="9"/>
      <c r="D1404" s="9"/>
      <c r="E1404" s="9"/>
      <c r="F1404" s="9"/>
      <c r="G1404" s="9"/>
      <c r="H1404" s="9"/>
      <c r="I1404" s="11" t="e">
        <f>VLOOKUP(H1404,위치!B:C,2,0)</f>
        <v>#N/A</v>
      </c>
      <c r="J1404" s="9"/>
      <c r="K1404" s="9"/>
      <c r="L1404" s="9" t="e">
        <f>VLOOKUP(H1404,위치!B:D,3,0)</f>
        <v>#N/A</v>
      </c>
      <c r="M1404" s="12"/>
      <c r="N1404" s="5"/>
      <c r="O1404" s="5"/>
      <c r="P1404" s="5"/>
      <c r="Q1404" s="14"/>
      <c r="R1404" s="15">
        <f t="shared" si="21"/>
        <v>0</v>
      </c>
    </row>
    <row r="1405" spans="2:18" x14ac:dyDescent="0.35">
      <c r="B1405" s="9">
        <v>1426</v>
      </c>
      <c r="C1405" s="9"/>
      <c r="D1405" s="9"/>
      <c r="E1405" s="9"/>
      <c r="F1405" s="9"/>
      <c r="G1405" s="9"/>
      <c r="H1405" s="9"/>
      <c r="I1405" s="11" t="e">
        <f>VLOOKUP(H1405,위치!B:C,2,0)</f>
        <v>#N/A</v>
      </c>
      <c r="J1405" s="9"/>
      <c r="K1405" s="9"/>
      <c r="L1405" s="9" t="e">
        <f>VLOOKUP(H1405,위치!B:D,3,0)</f>
        <v>#N/A</v>
      </c>
      <c r="M1405" s="12"/>
      <c r="N1405" s="5"/>
      <c r="O1405" s="5"/>
      <c r="P1405" s="5"/>
      <c r="Q1405" s="14"/>
      <c r="R1405" s="15">
        <f t="shared" si="21"/>
        <v>0</v>
      </c>
    </row>
    <row r="1406" spans="2:18" x14ac:dyDescent="0.35">
      <c r="B1406" s="9">
        <v>1427</v>
      </c>
      <c r="C1406" s="9"/>
      <c r="D1406" s="9"/>
      <c r="E1406" s="9"/>
      <c r="F1406" s="9"/>
      <c r="G1406" s="9"/>
      <c r="H1406" s="9"/>
      <c r="I1406" s="11" t="e">
        <f>VLOOKUP(H1406,위치!B:C,2,0)</f>
        <v>#N/A</v>
      </c>
      <c r="J1406" s="9"/>
      <c r="K1406" s="9"/>
      <c r="L1406" s="9" t="e">
        <f>VLOOKUP(H1406,위치!B:D,3,0)</f>
        <v>#N/A</v>
      </c>
      <c r="M1406" s="12"/>
      <c r="N1406" s="5"/>
      <c r="O1406" s="5"/>
      <c r="P1406" s="5"/>
      <c r="Q1406" s="14"/>
      <c r="R1406" s="15">
        <f t="shared" si="21"/>
        <v>0</v>
      </c>
    </row>
    <row r="1407" spans="2:18" x14ac:dyDescent="0.35">
      <c r="B1407" s="9">
        <v>1428</v>
      </c>
      <c r="C1407" s="9"/>
      <c r="D1407" s="9"/>
      <c r="E1407" s="9"/>
      <c r="F1407" s="9"/>
      <c r="G1407" s="9"/>
      <c r="H1407" s="9"/>
      <c r="I1407" s="11" t="e">
        <f>VLOOKUP(H1407,위치!B:C,2,0)</f>
        <v>#N/A</v>
      </c>
      <c r="J1407" s="9"/>
      <c r="K1407" s="9"/>
      <c r="L1407" s="9" t="e">
        <f>VLOOKUP(H1407,위치!B:D,3,0)</f>
        <v>#N/A</v>
      </c>
      <c r="M1407" s="12"/>
      <c r="N1407" s="5"/>
      <c r="O1407" s="5"/>
      <c r="P1407" s="5"/>
      <c r="Q1407" s="14"/>
      <c r="R1407" s="15">
        <f t="shared" si="21"/>
        <v>0</v>
      </c>
    </row>
    <row r="1408" spans="2:18" x14ac:dyDescent="0.35">
      <c r="B1408" s="9">
        <v>1429</v>
      </c>
      <c r="C1408" s="9"/>
      <c r="D1408" s="9"/>
      <c r="E1408" s="9"/>
      <c r="F1408" s="9"/>
      <c r="G1408" s="9"/>
      <c r="H1408" s="9"/>
      <c r="I1408" s="11" t="e">
        <f>VLOOKUP(H1408,위치!B:C,2,0)</f>
        <v>#N/A</v>
      </c>
      <c r="J1408" s="9"/>
      <c r="K1408" s="9"/>
      <c r="L1408" s="9" t="e">
        <f>VLOOKUP(H1408,위치!B:D,3,0)</f>
        <v>#N/A</v>
      </c>
      <c r="M1408" s="12"/>
      <c r="N1408" s="5"/>
      <c r="O1408" s="5"/>
      <c r="P1408" s="5"/>
      <c r="Q1408" s="14"/>
      <c r="R1408" s="15">
        <f t="shared" si="21"/>
        <v>0</v>
      </c>
    </row>
    <row r="1409" spans="2:18" x14ac:dyDescent="0.35">
      <c r="B1409" s="9">
        <v>1430</v>
      </c>
      <c r="C1409" s="9"/>
      <c r="D1409" s="9"/>
      <c r="E1409" s="9"/>
      <c r="F1409" s="9"/>
      <c r="G1409" s="9"/>
      <c r="H1409" s="9"/>
      <c r="I1409" s="11" t="e">
        <f>VLOOKUP(H1409,위치!B:C,2,0)</f>
        <v>#N/A</v>
      </c>
      <c r="J1409" s="9"/>
      <c r="K1409" s="9"/>
      <c r="L1409" s="9" t="e">
        <f>VLOOKUP(H1409,위치!B:D,3,0)</f>
        <v>#N/A</v>
      </c>
      <c r="M1409" s="12"/>
      <c r="N1409" s="5"/>
      <c r="O1409" s="5"/>
      <c r="P1409" s="5"/>
      <c r="Q1409" s="14"/>
      <c r="R1409" s="15">
        <f t="shared" si="21"/>
        <v>0</v>
      </c>
    </row>
    <row r="1410" spans="2:18" x14ac:dyDescent="0.35">
      <c r="B1410" s="9">
        <v>1431</v>
      </c>
      <c r="C1410" s="9"/>
      <c r="D1410" s="9"/>
      <c r="E1410" s="9"/>
      <c r="F1410" s="9"/>
      <c r="G1410" s="9"/>
      <c r="H1410" s="9"/>
      <c r="I1410" s="11" t="e">
        <f>VLOOKUP(H1410,위치!B:C,2,0)</f>
        <v>#N/A</v>
      </c>
      <c r="J1410" s="9"/>
      <c r="K1410" s="9"/>
      <c r="L1410" s="9" t="e">
        <f>VLOOKUP(H1410,위치!B:D,3,0)</f>
        <v>#N/A</v>
      </c>
      <c r="M1410" s="12"/>
      <c r="N1410" s="5"/>
      <c r="O1410" s="5"/>
      <c r="P1410" s="5"/>
      <c r="Q1410" s="14"/>
      <c r="R1410" s="15">
        <f t="shared" si="21"/>
        <v>0</v>
      </c>
    </row>
    <row r="1411" spans="2:18" x14ac:dyDescent="0.35">
      <c r="B1411" s="9">
        <v>1432</v>
      </c>
      <c r="C1411" s="9"/>
      <c r="D1411" s="9"/>
      <c r="E1411" s="9"/>
      <c r="F1411" s="9"/>
      <c r="G1411" s="9"/>
      <c r="H1411" s="9"/>
      <c r="I1411" s="11" t="e">
        <f>VLOOKUP(H1411,위치!B:C,2,0)</f>
        <v>#N/A</v>
      </c>
      <c r="J1411" s="9"/>
      <c r="K1411" s="9"/>
      <c r="L1411" s="9" t="e">
        <f>VLOOKUP(H1411,위치!B:D,3,0)</f>
        <v>#N/A</v>
      </c>
      <c r="M1411" s="12"/>
      <c r="N1411" s="5"/>
      <c r="O1411" s="5"/>
      <c r="P1411" s="5"/>
      <c r="Q1411" s="14"/>
      <c r="R1411" s="15">
        <f t="shared" si="21"/>
        <v>0</v>
      </c>
    </row>
    <row r="1412" spans="2:18" x14ac:dyDescent="0.35">
      <c r="B1412" s="9">
        <v>1433</v>
      </c>
      <c r="C1412" s="9"/>
      <c r="D1412" s="9"/>
      <c r="E1412" s="9"/>
      <c r="F1412" s="9"/>
      <c r="G1412" s="9"/>
      <c r="H1412" s="9"/>
      <c r="I1412" s="11" t="e">
        <f>VLOOKUP(H1412,위치!B:C,2,0)</f>
        <v>#N/A</v>
      </c>
      <c r="J1412" s="9"/>
      <c r="K1412" s="9"/>
      <c r="L1412" s="9" t="e">
        <f>VLOOKUP(H1412,위치!B:D,3,0)</f>
        <v>#N/A</v>
      </c>
      <c r="M1412" s="12"/>
      <c r="N1412" s="5"/>
      <c r="O1412" s="5"/>
      <c r="P1412" s="5"/>
      <c r="Q1412" s="14"/>
      <c r="R1412" s="15">
        <f t="shared" si="21"/>
        <v>0</v>
      </c>
    </row>
    <row r="1413" spans="2:18" x14ac:dyDescent="0.35">
      <c r="B1413" s="9">
        <v>1434</v>
      </c>
      <c r="C1413" s="9"/>
      <c r="D1413" s="9"/>
      <c r="E1413" s="9"/>
      <c r="F1413" s="9"/>
      <c r="G1413" s="9"/>
      <c r="H1413" s="9"/>
      <c r="I1413" s="11" t="e">
        <f>VLOOKUP(H1413,위치!B:C,2,0)</f>
        <v>#N/A</v>
      </c>
      <c r="J1413" s="9"/>
      <c r="K1413" s="9"/>
      <c r="L1413" s="9" t="e">
        <f>VLOOKUP(H1413,위치!B:D,3,0)</f>
        <v>#N/A</v>
      </c>
      <c r="M1413" s="12"/>
      <c r="N1413" s="5"/>
      <c r="O1413" s="5"/>
      <c r="P1413" s="5"/>
      <c r="Q1413" s="14"/>
      <c r="R1413" s="15">
        <f t="shared" si="21"/>
        <v>0</v>
      </c>
    </row>
    <row r="1414" spans="2:18" x14ac:dyDescent="0.35">
      <c r="B1414" s="9">
        <v>1435</v>
      </c>
      <c r="C1414" s="9"/>
      <c r="D1414" s="9"/>
      <c r="E1414" s="9"/>
      <c r="F1414" s="9"/>
      <c r="G1414" s="9"/>
      <c r="H1414" s="9"/>
      <c r="I1414" s="11" t="e">
        <f>VLOOKUP(H1414,위치!B:C,2,0)</f>
        <v>#N/A</v>
      </c>
      <c r="J1414" s="9"/>
      <c r="K1414" s="9"/>
      <c r="L1414" s="9" t="e">
        <f>VLOOKUP(H1414,위치!B:D,3,0)</f>
        <v>#N/A</v>
      </c>
      <c r="M1414" s="12"/>
      <c r="N1414" s="5"/>
      <c r="O1414" s="5"/>
      <c r="P1414" s="5"/>
      <c r="Q1414" s="14"/>
      <c r="R1414" s="15">
        <f t="shared" si="21"/>
        <v>0</v>
      </c>
    </row>
    <row r="1415" spans="2:18" x14ac:dyDescent="0.35">
      <c r="B1415" s="9">
        <v>1436</v>
      </c>
      <c r="C1415" s="9"/>
      <c r="D1415" s="9"/>
      <c r="E1415" s="9"/>
      <c r="F1415" s="9"/>
      <c r="G1415" s="9"/>
      <c r="H1415" s="9"/>
      <c r="I1415" s="11" t="e">
        <f>VLOOKUP(H1415,위치!B:C,2,0)</f>
        <v>#N/A</v>
      </c>
      <c r="J1415" s="9"/>
      <c r="K1415" s="9"/>
      <c r="L1415" s="9" t="e">
        <f>VLOOKUP(H1415,위치!B:D,3,0)</f>
        <v>#N/A</v>
      </c>
      <c r="M1415" s="12"/>
      <c r="N1415" s="5"/>
      <c r="O1415" s="5"/>
      <c r="P1415" s="5"/>
      <c r="Q1415" s="14"/>
      <c r="R1415" s="15">
        <f t="shared" ref="R1415:R1478" si="22">J1415-P1415</f>
        <v>0</v>
      </c>
    </row>
    <row r="1416" spans="2:18" x14ac:dyDescent="0.35">
      <c r="B1416" s="9">
        <v>1437</v>
      </c>
      <c r="C1416" s="9"/>
      <c r="D1416" s="9"/>
      <c r="E1416" s="9"/>
      <c r="F1416" s="9"/>
      <c r="G1416" s="9"/>
      <c r="H1416" s="9"/>
      <c r="I1416" s="11" t="e">
        <f>VLOOKUP(H1416,위치!B:C,2,0)</f>
        <v>#N/A</v>
      </c>
      <c r="J1416" s="9"/>
      <c r="K1416" s="9"/>
      <c r="L1416" s="9" t="e">
        <f>VLOOKUP(H1416,위치!B:D,3,0)</f>
        <v>#N/A</v>
      </c>
      <c r="M1416" s="12"/>
      <c r="N1416" s="5"/>
      <c r="O1416" s="5"/>
      <c r="P1416" s="5"/>
      <c r="Q1416" s="14"/>
      <c r="R1416" s="15">
        <f t="shared" si="22"/>
        <v>0</v>
      </c>
    </row>
    <row r="1417" spans="2:18" x14ac:dyDescent="0.35">
      <c r="B1417" s="9">
        <v>1438</v>
      </c>
      <c r="C1417" s="9"/>
      <c r="D1417" s="9"/>
      <c r="E1417" s="9"/>
      <c r="F1417" s="9"/>
      <c r="G1417" s="9"/>
      <c r="H1417" s="9"/>
      <c r="I1417" s="11" t="e">
        <f>VLOOKUP(H1417,위치!B:C,2,0)</f>
        <v>#N/A</v>
      </c>
      <c r="J1417" s="9"/>
      <c r="K1417" s="9"/>
      <c r="L1417" s="9" t="e">
        <f>VLOOKUP(H1417,위치!B:D,3,0)</f>
        <v>#N/A</v>
      </c>
      <c r="M1417" s="12"/>
      <c r="N1417" s="5"/>
      <c r="O1417" s="5"/>
      <c r="P1417" s="5"/>
      <c r="Q1417" s="14"/>
      <c r="R1417" s="15">
        <f t="shared" si="22"/>
        <v>0</v>
      </c>
    </row>
    <row r="1418" spans="2:18" x14ac:dyDescent="0.35">
      <c r="B1418" s="9">
        <v>1439</v>
      </c>
      <c r="C1418" s="9"/>
      <c r="D1418" s="9"/>
      <c r="E1418" s="9"/>
      <c r="F1418" s="9"/>
      <c r="G1418" s="9"/>
      <c r="H1418" s="9"/>
      <c r="I1418" s="11" t="e">
        <f>VLOOKUP(H1418,위치!B:C,2,0)</f>
        <v>#N/A</v>
      </c>
      <c r="J1418" s="9"/>
      <c r="K1418" s="9"/>
      <c r="L1418" s="9" t="e">
        <f>VLOOKUP(H1418,위치!B:D,3,0)</f>
        <v>#N/A</v>
      </c>
      <c r="M1418" s="12"/>
      <c r="N1418" s="5"/>
      <c r="O1418" s="5"/>
      <c r="P1418" s="5"/>
      <c r="Q1418" s="14"/>
      <c r="R1418" s="15">
        <f t="shared" si="22"/>
        <v>0</v>
      </c>
    </row>
    <row r="1419" spans="2:18" x14ac:dyDescent="0.35">
      <c r="B1419" s="9">
        <v>1440</v>
      </c>
      <c r="C1419" s="9"/>
      <c r="D1419" s="9"/>
      <c r="E1419" s="9"/>
      <c r="F1419" s="9"/>
      <c r="G1419" s="9"/>
      <c r="H1419" s="9"/>
      <c r="I1419" s="11" t="e">
        <f>VLOOKUP(H1419,위치!B:C,2,0)</f>
        <v>#N/A</v>
      </c>
      <c r="J1419" s="9"/>
      <c r="K1419" s="9"/>
      <c r="L1419" s="9" t="e">
        <f>VLOOKUP(H1419,위치!B:D,3,0)</f>
        <v>#N/A</v>
      </c>
      <c r="M1419" s="12"/>
      <c r="N1419" s="5"/>
      <c r="O1419" s="5"/>
      <c r="P1419" s="5"/>
      <c r="Q1419" s="14"/>
      <c r="R1419" s="15">
        <f t="shared" si="22"/>
        <v>0</v>
      </c>
    </row>
    <row r="1420" spans="2:18" x14ac:dyDescent="0.35">
      <c r="B1420" s="9">
        <v>1441</v>
      </c>
      <c r="C1420" s="9"/>
      <c r="D1420" s="9"/>
      <c r="E1420" s="9"/>
      <c r="F1420" s="9"/>
      <c r="G1420" s="9"/>
      <c r="H1420" s="9"/>
      <c r="I1420" s="11" t="e">
        <f>VLOOKUP(H1420,위치!B:C,2,0)</f>
        <v>#N/A</v>
      </c>
      <c r="J1420" s="9"/>
      <c r="K1420" s="9"/>
      <c r="L1420" s="9" t="e">
        <f>VLOOKUP(H1420,위치!B:D,3,0)</f>
        <v>#N/A</v>
      </c>
      <c r="M1420" s="12"/>
      <c r="N1420" s="5"/>
      <c r="O1420" s="5"/>
      <c r="P1420" s="5"/>
      <c r="Q1420" s="14"/>
      <c r="R1420" s="15">
        <f t="shared" si="22"/>
        <v>0</v>
      </c>
    </row>
    <row r="1421" spans="2:18" x14ac:dyDescent="0.35">
      <c r="B1421" s="9">
        <v>1442</v>
      </c>
      <c r="C1421" s="9"/>
      <c r="D1421" s="9"/>
      <c r="E1421" s="9"/>
      <c r="F1421" s="9"/>
      <c r="G1421" s="9"/>
      <c r="H1421" s="9"/>
      <c r="I1421" s="11" t="e">
        <f>VLOOKUP(H1421,위치!B:C,2,0)</f>
        <v>#N/A</v>
      </c>
      <c r="J1421" s="9"/>
      <c r="K1421" s="9"/>
      <c r="L1421" s="9" t="e">
        <f>VLOOKUP(H1421,위치!B:D,3,0)</f>
        <v>#N/A</v>
      </c>
      <c r="M1421" s="12"/>
      <c r="N1421" s="5"/>
      <c r="O1421" s="5"/>
      <c r="P1421" s="5"/>
      <c r="Q1421" s="14"/>
      <c r="R1421" s="15">
        <f t="shared" si="22"/>
        <v>0</v>
      </c>
    </row>
    <row r="1422" spans="2:18" x14ac:dyDescent="0.35">
      <c r="B1422" s="9">
        <v>1443</v>
      </c>
      <c r="C1422" s="9"/>
      <c r="D1422" s="9"/>
      <c r="E1422" s="9"/>
      <c r="F1422" s="9"/>
      <c r="G1422" s="9"/>
      <c r="H1422" s="9"/>
      <c r="I1422" s="11" t="e">
        <f>VLOOKUP(H1422,위치!B:C,2,0)</f>
        <v>#N/A</v>
      </c>
      <c r="J1422" s="9"/>
      <c r="K1422" s="9"/>
      <c r="L1422" s="9" t="e">
        <f>VLOOKUP(H1422,위치!B:D,3,0)</f>
        <v>#N/A</v>
      </c>
      <c r="M1422" s="12"/>
      <c r="N1422" s="5"/>
      <c r="O1422" s="5"/>
      <c r="P1422" s="5"/>
      <c r="Q1422" s="14"/>
      <c r="R1422" s="15">
        <f t="shared" si="22"/>
        <v>0</v>
      </c>
    </row>
    <row r="1423" spans="2:18" x14ac:dyDescent="0.35">
      <c r="B1423" s="9">
        <v>1444</v>
      </c>
      <c r="C1423" s="9"/>
      <c r="D1423" s="9"/>
      <c r="E1423" s="9"/>
      <c r="F1423" s="9"/>
      <c r="G1423" s="9"/>
      <c r="H1423" s="9"/>
      <c r="I1423" s="11" t="e">
        <f>VLOOKUP(H1423,위치!B:C,2,0)</f>
        <v>#N/A</v>
      </c>
      <c r="J1423" s="9"/>
      <c r="K1423" s="9"/>
      <c r="L1423" s="9" t="e">
        <f>VLOOKUP(H1423,위치!B:D,3,0)</f>
        <v>#N/A</v>
      </c>
      <c r="M1423" s="12"/>
      <c r="N1423" s="5"/>
      <c r="O1423" s="5"/>
      <c r="P1423" s="5"/>
      <c r="Q1423" s="14"/>
      <c r="R1423" s="15">
        <f t="shared" si="22"/>
        <v>0</v>
      </c>
    </row>
    <row r="1424" spans="2:18" x14ac:dyDescent="0.35">
      <c r="B1424" s="9">
        <v>1445</v>
      </c>
      <c r="C1424" s="9"/>
      <c r="D1424" s="9"/>
      <c r="E1424" s="9"/>
      <c r="F1424" s="9"/>
      <c r="G1424" s="9"/>
      <c r="H1424" s="9"/>
      <c r="I1424" s="11" t="e">
        <f>VLOOKUP(H1424,위치!B:C,2,0)</f>
        <v>#N/A</v>
      </c>
      <c r="J1424" s="9"/>
      <c r="K1424" s="9"/>
      <c r="L1424" s="9" t="e">
        <f>VLOOKUP(H1424,위치!B:D,3,0)</f>
        <v>#N/A</v>
      </c>
      <c r="M1424" s="12"/>
      <c r="N1424" s="5"/>
      <c r="O1424" s="5"/>
      <c r="P1424" s="5"/>
      <c r="Q1424" s="14"/>
      <c r="R1424" s="15">
        <f t="shared" si="22"/>
        <v>0</v>
      </c>
    </row>
    <row r="1425" spans="2:18" x14ac:dyDescent="0.35">
      <c r="B1425" s="9">
        <v>1446</v>
      </c>
      <c r="C1425" s="9"/>
      <c r="D1425" s="9"/>
      <c r="E1425" s="9"/>
      <c r="F1425" s="9"/>
      <c r="G1425" s="9"/>
      <c r="H1425" s="9"/>
      <c r="I1425" s="11" t="e">
        <f>VLOOKUP(H1425,위치!B:C,2,0)</f>
        <v>#N/A</v>
      </c>
      <c r="J1425" s="9"/>
      <c r="K1425" s="9"/>
      <c r="L1425" s="9" t="e">
        <f>VLOOKUP(H1425,위치!B:D,3,0)</f>
        <v>#N/A</v>
      </c>
      <c r="M1425" s="12"/>
      <c r="N1425" s="5"/>
      <c r="O1425" s="5"/>
      <c r="P1425" s="5"/>
      <c r="Q1425" s="14"/>
      <c r="R1425" s="15">
        <f t="shared" si="22"/>
        <v>0</v>
      </c>
    </row>
    <row r="1426" spans="2:18" x14ac:dyDescent="0.35">
      <c r="B1426" s="9">
        <v>1447</v>
      </c>
      <c r="C1426" s="9"/>
      <c r="D1426" s="9"/>
      <c r="E1426" s="9"/>
      <c r="F1426" s="9"/>
      <c r="G1426" s="9"/>
      <c r="H1426" s="9"/>
      <c r="I1426" s="11" t="e">
        <f>VLOOKUP(H1426,위치!B:C,2,0)</f>
        <v>#N/A</v>
      </c>
      <c r="J1426" s="9"/>
      <c r="K1426" s="9"/>
      <c r="L1426" s="9" t="e">
        <f>VLOOKUP(H1426,위치!B:D,3,0)</f>
        <v>#N/A</v>
      </c>
      <c r="M1426" s="12"/>
      <c r="N1426" s="5"/>
      <c r="O1426" s="5"/>
      <c r="P1426" s="5"/>
      <c r="Q1426" s="14"/>
      <c r="R1426" s="15">
        <f t="shared" si="22"/>
        <v>0</v>
      </c>
    </row>
    <row r="1427" spans="2:18" x14ac:dyDescent="0.35">
      <c r="B1427" s="9">
        <v>1448</v>
      </c>
      <c r="C1427" s="9"/>
      <c r="D1427" s="9"/>
      <c r="E1427" s="9"/>
      <c r="F1427" s="9"/>
      <c r="G1427" s="9"/>
      <c r="H1427" s="9"/>
      <c r="I1427" s="11" t="e">
        <f>VLOOKUP(H1427,위치!B:C,2,0)</f>
        <v>#N/A</v>
      </c>
      <c r="J1427" s="9"/>
      <c r="K1427" s="9"/>
      <c r="L1427" s="9" t="e">
        <f>VLOOKUP(H1427,위치!B:D,3,0)</f>
        <v>#N/A</v>
      </c>
      <c r="M1427" s="12"/>
      <c r="N1427" s="5"/>
      <c r="O1427" s="5"/>
      <c r="P1427" s="5"/>
      <c r="Q1427" s="14"/>
      <c r="R1427" s="15">
        <f t="shared" si="22"/>
        <v>0</v>
      </c>
    </row>
    <row r="1428" spans="2:18" x14ac:dyDescent="0.35">
      <c r="B1428" s="9">
        <v>1449</v>
      </c>
      <c r="C1428" s="9"/>
      <c r="D1428" s="9"/>
      <c r="E1428" s="9"/>
      <c r="F1428" s="9"/>
      <c r="G1428" s="9"/>
      <c r="H1428" s="9"/>
      <c r="I1428" s="11" t="e">
        <f>VLOOKUP(H1428,위치!B:C,2,0)</f>
        <v>#N/A</v>
      </c>
      <c r="J1428" s="9"/>
      <c r="K1428" s="9"/>
      <c r="L1428" s="9" t="e">
        <f>VLOOKUP(H1428,위치!B:D,3,0)</f>
        <v>#N/A</v>
      </c>
      <c r="M1428" s="12"/>
      <c r="N1428" s="5"/>
      <c r="O1428" s="5"/>
      <c r="P1428" s="5"/>
      <c r="Q1428" s="14"/>
      <c r="R1428" s="15">
        <f t="shared" si="22"/>
        <v>0</v>
      </c>
    </row>
    <row r="1429" spans="2:18" x14ac:dyDescent="0.35">
      <c r="B1429" s="9">
        <v>1450</v>
      </c>
      <c r="C1429" s="9"/>
      <c r="D1429" s="9"/>
      <c r="E1429" s="9"/>
      <c r="F1429" s="9"/>
      <c r="G1429" s="9"/>
      <c r="H1429" s="9"/>
      <c r="I1429" s="11" t="e">
        <f>VLOOKUP(H1429,위치!B:C,2,0)</f>
        <v>#N/A</v>
      </c>
      <c r="J1429" s="9"/>
      <c r="K1429" s="9"/>
      <c r="L1429" s="9" t="e">
        <f>VLOOKUP(H1429,위치!B:D,3,0)</f>
        <v>#N/A</v>
      </c>
      <c r="M1429" s="12"/>
      <c r="N1429" s="5"/>
      <c r="O1429" s="5"/>
      <c r="P1429" s="5"/>
      <c r="Q1429" s="14"/>
      <c r="R1429" s="15">
        <f t="shared" si="22"/>
        <v>0</v>
      </c>
    </row>
    <row r="1430" spans="2:18" x14ac:dyDescent="0.35">
      <c r="B1430" s="9">
        <v>1451</v>
      </c>
      <c r="C1430" s="9"/>
      <c r="D1430" s="9"/>
      <c r="E1430" s="9"/>
      <c r="F1430" s="9"/>
      <c r="G1430" s="9"/>
      <c r="H1430" s="9"/>
      <c r="I1430" s="11" t="e">
        <f>VLOOKUP(H1430,위치!B:C,2,0)</f>
        <v>#N/A</v>
      </c>
      <c r="J1430" s="9"/>
      <c r="K1430" s="9"/>
      <c r="L1430" s="9" t="e">
        <f>VLOOKUP(H1430,위치!B:D,3,0)</f>
        <v>#N/A</v>
      </c>
      <c r="M1430" s="12"/>
      <c r="N1430" s="5"/>
      <c r="O1430" s="5"/>
      <c r="P1430" s="5"/>
      <c r="Q1430" s="14"/>
      <c r="R1430" s="15">
        <f t="shared" si="22"/>
        <v>0</v>
      </c>
    </row>
    <row r="1431" spans="2:18" x14ac:dyDescent="0.35">
      <c r="B1431" s="9">
        <v>1452</v>
      </c>
      <c r="C1431" s="9"/>
      <c r="D1431" s="9"/>
      <c r="E1431" s="9"/>
      <c r="F1431" s="9"/>
      <c r="G1431" s="9"/>
      <c r="H1431" s="9"/>
      <c r="I1431" s="11" t="e">
        <f>VLOOKUP(H1431,위치!B:C,2,0)</f>
        <v>#N/A</v>
      </c>
      <c r="J1431" s="9"/>
      <c r="K1431" s="9"/>
      <c r="L1431" s="9" t="e">
        <f>VLOOKUP(H1431,위치!B:D,3,0)</f>
        <v>#N/A</v>
      </c>
      <c r="M1431" s="12"/>
      <c r="N1431" s="5"/>
      <c r="O1431" s="5"/>
      <c r="P1431" s="5"/>
      <c r="Q1431" s="14"/>
      <c r="R1431" s="15">
        <f t="shared" si="22"/>
        <v>0</v>
      </c>
    </row>
    <row r="1432" spans="2:18" x14ac:dyDescent="0.35">
      <c r="B1432" s="9">
        <v>1453</v>
      </c>
      <c r="C1432" s="9"/>
      <c r="D1432" s="9"/>
      <c r="E1432" s="9"/>
      <c r="F1432" s="9"/>
      <c r="G1432" s="9"/>
      <c r="H1432" s="9"/>
      <c r="I1432" s="11" t="e">
        <f>VLOOKUP(H1432,위치!B:C,2,0)</f>
        <v>#N/A</v>
      </c>
      <c r="J1432" s="9"/>
      <c r="K1432" s="9"/>
      <c r="L1432" s="9" t="e">
        <f>VLOOKUP(H1432,위치!B:D,3,0)</f>
        <v>#N/A</v>
      </c>
      <c r="M1432" s="12"/>
      <c r="N1432" s="5"/>
      <c r="O1432" s="5"/>
      <c r="P1432" s="5"/>
      <c r="Q1432" s="14"/>
      <c r="R1432" s="15">
        <f t="shared" si="22"/>
        <v>0</v>
      </c>
    </row>
    <row r="1433" spans="2:18" x14ac:dyDescent="0.35">
      <c r="B1433" s="9">
        <v>1454</v>
      </c>
      <c r="C1433" s="9"/>
      <c r="D1433" s="9"/>
      <c r="E1433" s="9"/>
      <c r="F1433" s="9"/>
      <c r="G1433" s="9"/>
      <c r="H1433" s="9"/>
      <c r="I1433" s="11" t="e">
        <f>VLOOKUP(H1433,위치!B:C,2,0)</f>
        <v>#N/A</v>
      </c>
      <c r="J1433" s="9"/>
      <c r="K1433" s="9"/>
      <c r="L1433" s="9" t="e">
        <f>VLOOKUP(H1433,위치!B:D,3,0)</f>
        <v>#N/A</v>
      </c>
      <c r="M1433" s="12"/>
      <c r="N1433" s="5"/>
      <c r="O1433" s="5"/>
      <c r="P1433" s="5"/>
      <c r="Q1433" s="14"/>
      <c r="R1433" s="15">
        <f t="shared" si="22"/>
        <v>0</v>
      </c>
    </row>
    <row r="1434" spans="2:18" x14ac:dyDescent="0.35">
      <c r="B1434" s="9">
        <v>1455</v>
      </c>
      <c r="C1434" s="9"/>
      <c r="D1434" s="9"/>
      <c r="E1434" s="9"/>
      <c r="F1434" s="9"/>
      <c r="G1434" s="9"/>
      <c r="H1434" s="9"/>
      <c r="I1434" s="11" t="e">
        <f>VLOOKUP(H1434,위치!B:C,2,0)</f>
        <v>#N/A</v>
      </c>
      <c r="J1434" s="9"/>
      <c r="K1434" s="9"/>
      <c r="L1434" s="9" t="e">
        <f>VLOOKUP(H1434,위치!B:D,3,0)</f>
        <v>#N/A</v>
      </c>
      <c r="M1434" s="12"/>
      <c r="N1434" s="5"/>
      <c r="O1434" s="5"/>
      <c r="P1434" s="5"/>
      <c r="Q1434" s="14"/>
      <c r="R1434" s="15">
        <f t="shared" si="22"/>
        <v>0</v>
      </c>
    </row>
    <row r="1435" spans="2:18" x14ac:dyDescent="0.35">
      <c r="B1435" s="9">
        <v>1456</v>
      </c>
      <c r="C1435" s="9"/>
      <c r="D1435" s="9"/>
      <c r="E1435" s="9"/>
      <c r="F1435" s="9"/>
      <c r="G1435" s="9"/>
      <c r="H1435" s="9"/>
      <c r="I1435" s="11" t="e">
        <f>VLOOKUP(H1435,위치!B:C,2,0)</f>
        <v>#N/A</v>
      </c>
      <c r="J1435" s="9"/>
      <c r="K1435" s="9"/>
      <c r="L1435" s="9" t="e">
        <f>VLOOKUP(H1435,위치!B:D,3,0)</f>
        <v>#N/A</v>
      </c>
      <c r="M1435" s="12"/>
      <c r="N1435" s="5"/>
      <c r="O1435" s="5"/>
      <c r="P1435" s="5"/>
      <c r="Q1435" s="14"/>
      <c r="R1435" s="15">
        <f t="shared" si="22"/>
        <v>0</v>
      </c>
    </row>
    <row r="1436" spans="2:18" x14ac:dyDescent="0.35">
      <c r="B1436" s="9">
        <v>1457</v>
      </c>
      <c r="C1436" s="9"/>
      <c r="D1436" s="9"/>
      <c r="E1436" s="9"/>
      <c r="F1436" s="9"/>
      <c r="G1436" s="9"/>
      <c r="H1436" s="9"/>
      <c r="I1436" s="11" t="e">
        <f>VLOOKUP(H1436,위치!B:C,2,0)</f>
        <v>#N/A</v>
      </c>
      <c r="J1436" s="9"/>
      <c r="K1436" s="9"/>
      <c r="L1436" s="9" t="e">
        <f>VLOOKUP(H1436,위치!B:D,3,0)</f>
        <v>#N/A</v>
      </c>
      <c r="M1436" s="12"/>
      <c r="N1436" s="5"/>
      <c r="O1436" s="5"/>
      <c r="P1436" s="5"/>
      <c r="Q1436" s="14"/>
      <c r="R1436" s="15">
        <f t="shared" si="22"/>
        <v>0</v>
      </c>
    </row>
    <row r="1437" spans="2:18" x14ac:dyDescent="0.35">
      <c r="B1437" s="9">
        <v>1458</v>
      </c>
      <c r="C1437" s="9"/>
      <c r="D1437" s="9"/>
      <c r="E1437" s="9"/>
      <c r="F1437" s="9"/>
      <c r="G1437" s="9"/>
      <c r="H1437" s="9"/>
      <c r="I1437" s="11" t="e">
        <f>VLOOKUP(H1437,위치!B:C,2,0)</f>
        <v>#N/A</v>
      </c>
      <c r="J1437" s="9"/>
      <c r="K1437" s="9"/>
      <c r="L1437" s="9" t="e">
        <f>VLOOKUP(H1437,위치!B:D,3,0)</f>
        <v>#N/A</v>
      </c>
      <c r="M1437" s="12"/>
      <c r="N1437" s="5"/>
      <c r="O1437" s="5"/>
      <c r="P1437" s="5"/>
      <c r="Q1437" s="14"/>
      <c r="R1437" s="15">
        <f t="shared" si="22"/>
        <v>0</v>
      </c>
    </row>
    <row r="1438" spans="2:18" x14ac:dyDescent="0.35">
      <c r="B1438" s="9">
        <v>1459</v>
      </c>
      <c r="C1438" s="9"/>
      <c r="D1438" s="9"/>
      <c r="E1438" s="9"/>
      <c r="F1438" s="9"/>
      <c r="G1438" s="9"/>
      <c r="H1438" s="9"/>
      <c r="I1438" s="11" t="e">
        <f>VLOOKUP(H1438,위치!B:C,2,0)</f>
        <v>#N/A</v>
      </c>
      <c r="J1438" s="9"/>
      <c r="K1438" s="9"/>
      <c r="L1438" s="9" t="e">
        <f>VLOOKUP(H1438,위치!B:D,3,0)</f>
        <v>#N/A</v>
      </c>
      <c r="M1438" s="12"/>
      <c r="N1438" s="5"/>
      <c r="O1438" s="5"/>
      <c r="P1438" s="5"/>
      <c r="Q1438" s="14"/>
      <c r="R1438" s="15">
        <f t="shared" si="22"/>
        <v>0</v>
      </c>
    </row>
    <row r="1439" spans="2:18" x14ac:dyDescent="0.35">
      <c r="B1439" s="9">
        <v>1460</v>
      </c>
      <c r="C1439" s="9"/>
      <c r="D1439" s="9"/>
      <c r="E1439" s="9"/>
      <c r="F1439" s="9"/>
      <c r="G1439" s="9"/>
      <c r="H1439" s="9"/>
      <c r="I1439" s="11" t="e">
        <f>VLOOKUP(H1439,위치!B:C,2,0)</f>
        <v>#N/A</v>
      </c>
      <c r="J1439" s="9"/>
      <c r="K1439" s="9"/>
      <c r="L1439" s="9" t="e">
        <f>VLOOKUP(H1439,위치!B:D,3,0)</f>
        <v>#N/A</v>
      </c>
      <c r="M1439" s="12"/>
      <c r="N1439" s="5"/>
      <c r="O1439" s="5"/>
      <c r="P1439" s="5"/>
      <c r="Q1439" s="14"/>
      <c r="R1439" s="15">
        <f t="shared" si="22"/>
        <v>0</v>
      </c>
    </row>
    <row r="1440" spans="2:18" x14ac:dyDescent="0.35">
      <c r="B1440" s="9">
        <v>1461</v>
      </c>
      <c r="C1440" s="9"/>
      <c r="D1440" s="9"/>
      <c r="E1440" s="9"/>
      <c r="F1440" s="9"/>
      <c r="G1440" s="9"/>
      <c r="H1440" s="9"/>
      <c r="I1440" s="11" t="e">
        <f>VLOOKUP(H1440,위치!B:C,2,0)</f>
        <v>#N/A</v>
      </c>
      <c r="J1440" s="9"/>
      <c r="K1440" s="9"/>
      <c r="L1440" s="9" t="e">
        <f>VLOOKUP(H1440,위치!B:D,3,0)</f>
        <v>#N/A</v>
      </c>
      <c r="M1440" s="12"/>
      <c r="N1440" s="5"/>
      <c r="O1440" s="5"/>
      <c r="P1440" s="5"/>
      <c r="Q1440" s="14"/>
      <c r="R1440" s="15">
        <f t="shared" si="22"/>
        <v>0</v>
      </c>
    </row>
    <row r="1441" spans="2:18" x14ac:dyDescent="0.35">
      <c r="B1441" s="9">
        <v>1462</v>
      </c>
      <c r="C1441" s="9"/>
      <c r="D1441" s="9"/>
      <c r="E1441" s="9"/>
      <c r="F1441" s="9"/>
      <c r="G1441" s="9"/>
      <c r="H1441" s="9"/>
      <c r="I1441" s="11" t="e">
        <f>VLOOKUP(H1441,위치!B:C,2,0)</f>
        <v>#N/A</v>
      </c>
      <c r="J1441" s="9"/>
      <c r="K1441" s="9"/>
      <c r="L1441" s="9" t="e">
        <f>VLOOKUP(H1441,위치!B:D,3,0)</f>
        <v>#N/A</v>
      </c>
      <c r="M1441" s="12"/>
      <c r="N1441" s="5"/>
      <c r="O1441" s="5"/>
      <c r="P1441" s="5"/>
      <c r="Q1441" s="14"/>
      <c r="R1441" s="15">
        <f t="shared" si="22"/>
        <v>0</v>
      </c>
    </row>
    <row r="1442" spans="2:18" x14ac:dyDescent="0.35">
      <c r="B1442" s="9">
        <v>1463</v>
      </c>
      <c r="C1442" s="9"/>
      <c r="D1442" s="9"/>
      <c r="E1442" s="9"/>
      <c r="F1442" s="9"/>
      <c r="G1442" s="9"/>
      <c r="H1442" s="9"/>
      <c r="I1442" s="11" t="e">
        <f>VLOOKUP(H1442,위치!B:C,2,0)</f>
        <v>#N/A</v>
      </c>
      <c r="J1442" s="9"/>
      <c r="K1442" s="9"/>
      <c r="L1442" s="9" t="e">
        <f>VLOOKUP(H1442,위치!B:D,3,0)</f>
        <v>#N/A</v>
      </c>
      <c r="M1442" s="12"/>
      <c r="N1442" s="5"/>
      <c r="O1442" s="5"/>
      <c r="P1442" s="5"/>
      <c r="Q1442" s="14"/>
      <c r="R1442" s="15">
        <f t="shared" si="22"/>
        <v>0</v>
      </c>
    </row>
    <row r="1443" spans="2:18" x14ac:dyDescent="0.35">
      <c r="B1443" s="9">
        <v>1464</v>
      </c>
      <c r="C1443" s="9"/>
      <c r="D1443" s="9"/>
      <c r="E1443" s="9"/>
      <c r="F1443" s="9"/>
      <c r="G1443" s="9"/>
      <c r="H1443" s="9"/>
      <c r="I1443" s="11" t="e">
        <f>VLOOKUP(H1443,위치!B:C,2,0)</f>
        <v>#N/A</v>
      </c>
      <c r="J1443" s="9"/>
      <c r="K1443" s="9"/>
      <c r="L1443" s="9" t="e">
        <f>VLOOKUP(H1443,위치!B:D,3,0)</f>
        <v>#N/A</v>
      </c>
      <c r="M1443" s="12"/>
      <c r="N1443" s="5"/>
      <c r="O1443" s="5"/>
      <c r="P1443" s="5"/>
      <c r="Q1443" s="14"/>
      <c r="R1443" s="15">
        <f t="shared" si="22"/>
        <v>0</v>
      </c>
    </row>
    <row r="1444" spans="2:18" x14ac:dyDescent="0.35">
      <c r="B1444" s="9">
        <v>1465</v>
      </c>
      <c r="C1444" s="9"/>
      <c r="D1444" s="9"/>
      <c r="E1444" s="9"/>
      <c r="F1444" s="9"/>
      <c r="G1444" s="9"/>
      <c r="H1444" s="9"/>
      <c r="I1444" s="11" t="e">
        <f>VLOOKUP(H1444,위치!B:C,2,0)</f>
        <v>#N/A</v>
      </c>
      <c r="J1444" s="9"/>
      <c r="K1444" s="9"/>
      <c r="L1444" s="9" t="e">
        <f>VLOOKUP(H1444,위치!B:D,3,0)</f>
        <v>#N/A</v>
      </c>
      <c r="M1444" s="12"/>
      <c r="N1444" s="5"/>
      <c r="O1444" s="5"/>
      <c r="P1444" s="5"/>
      <c r="Q1444" s="14"/>
      <c r="R1444" s="15">
        <f t="shared" si="22"/>
        <v>0</v>
      </c>
    </row>
    <row r="1445" spans="2:18" x14ac:dyDescent="0.35">
      <c r="B1445" s="9">
        <v>1466</v>
      </c>
      <c r="C1445" s="9"/>
      <c r="D1445" s="9"/>
      <c r="E1445" s="9"/>
      <c r="F1445" s="9"/>
      <c r="G1445" s="9"/>
      <c r="H1445" s="9"/>
      <c r="I1445" s="11" t="e">
        <f>VLOOKUP(H1445,위치!B:C,2,0)</f>
        <v>#N/A</v>
      </c>
      <c r="J1445" s="9"/>
      <c r="K1445" s="9"/>
      <c r="L1445" s="9" t="e">
        <f>VLOOKUP(H1445,위치!B:D,3,0)</f>
        <v>#N/A</v>
      </c>
      <c r="M1445" s="12"/>
      <c r="N1445" s="5"/>
      <c r="O1445" s="5"/>
      <c r="P1445" s="5"/>
      <c r="Q1445" s="14"/>
      <c r="R1445" s="15">
        <f t="shared" si="22"/>
        <v>0</v>
      </c>
    </row>
    <row r="1446" spans="2:18" x14ac:dyDescent="0.35">
      <c r="B1446" s="9">
        <v>1467</v>
      </c>
      <c r="C1446" s="9"/>
      <c r="D1446" s="9"/>
      <c r="E1446" s="9"/>
      <c r="F1446" s="9"/>
      <c r="G1446" s="9"/>
      <c r="H1446" s="9"/>
      <c r="I1446" s="11" t="e">
        <f>VLOOKUP(H1446,위치!B:C,2,0)</f>
        <v>#N/A</v>
      </c>
      <c r="J1446" s="9"/>
      <c r="K1446" s="9"/>
      <c r="L1446" s="9" t="e">
        <f>VLOOKUP(H1446,위치!B:D,3,0)</f>
        <v>#N/A</v>
      </c>
      <c r="M1446" s="12"/>
      <c r="N1446" s="5"/>
      <c r="O1446" s="5"/>
      <c r="P1446" s="5"/>
      <c r="Q1446" s="14"/>
      <c r="R1446" s="15">
        <f t="shared" si="22"/>
        <v>0</v>
      </c>
    </row>
    <row r="1447" spans="2:18" x14ac:dyDescent="0.35">
      <c r="B1447" s="9">
        <v>1468</v>
      </c>
      <c r="C1447" s="9"/>
      <c r="D1447" s="9"/>
      <c r="E1447" s="9"/>
      <c r="F1447" s="9"/>
      <c r="G1447" s="9"/>
      <c r="H1447" s="9"/>
      <c r="I1447" s="11" t="e">
        <f>VLOOKUP(H1447,위치!B:C,2,0)</f>
        <v>#N/A</v>
      </c>
      <c r="J1447" s="9"/>
      <c r="K1447" s="9"/>
      <c r="L1447" s="9" t="e">
        <f>VLOOKUP(H1447,위치!B:D,3,0)</f>
        <v>#N/A</v>
      </c>
      <c r="M1447" s="12"/>
      <c r="N1447" s="5"/>
      <c r="O1447" s="5"/>
      <c r="P1447" s="5"/>
      <c r="Q1447" s="14"/>
      <c r="R1447" s="15">
        <f t="shared" si="22"/>
        <v>0</v>
      </c>
    </row>
    <row r="1448" spans="2:18" x14ac:dyDescent="0.35">
      <c r="B1448" s="9">
        <v>1469</v>
      </c>
      <c r="C1448" s="9"/>
      <c r="D1448" s="9"/>
      <c r="E1448" s="9"/>
      <c r="F1448" s="9"/>
      <c r="G1448" s="9"/>
      <c r="H1448" s="9"/>
      <c r="I1448" s="11" t="e">
        <f>VLOOKUP(H1448,위치!B:C,2,0)</f>
        <v>#N/A</v>
      </c>
      <c r="J1448" s="9"/>
      <c r="K1448" s="9"/>
      <c r="L1448" s="9" t="e">
        <f>VLOOKUP(H1448,위치!B:D,3,0)</f>
        <v>#N/A</v>
      </c>
      <c r="M1448" s="12"/>
      <c r="N1448" s="5"/>
      <c r="O1448" s="5"/>
      <c r="P1448" s="5"/>
      <c r="Q1448" s="14"/>
      <c r="R1448" s="15">
        <f t="shared" si="22"/>
        <v>0</v>
      </c>
    </row>
    <row r="1449" spans="2:18" x14ac:dyDescent="0.35">
      <c r="B1449" s="9">
        <v>1470</v>
      </c>
      <c r="C1449" s="9"/>
      <c r="D1449" s="9"/>
      <c r="E1449" s="9"/>
      <c r="F1449" s="9"/>
      <c r="G1449" s="9"/>
      <c r="H1449" s="9"/>
      <c r="I1449" s="11" t="e">
        <f>VLOOKUP(H1449,위치!B:C,2,0)</f>
        <v>#N/A</v>
      </c>
      <c r="J1449" s="9"/>
      <c r="K1449" s="9"/>
      <c r="L1449" s="9" t="e">
        <f>VLOOKUP(H1449,위치!B:D,3,0)</f>
        <v>#N/A</v>
      </c>
      <c r="M1449" s="12"/>
      <c r="N1449" s="5"/>
      <c r="O1449" s="5"/>
      <c r="P1449" s="5"/>
      <c r="Q1449" s="14"/>
      <c r="R1449" s="15">
        <f t="shared" si="22"/>
        <v>0</v>
      </c>
    </row>
    <row r="1450" spans="2:18" x14ac:dyDescent="0.35">
      <c r="B1450" s="9">
        <v>1471</v>
      </c>
      <c r="C1450" s="9"/>
      <c r="D1450" s="9"/>
      <c r="E1450" s="9"/>
      <c r="F1450" s="9"/>
      <c r="G1450" s="9"/>
      <c r="H1450" s="9"/>
      <c r="I1450" s="11" t="e">
        <f>VLOOKUP(H1450,위치!B:C,2,0)</f>
        <v>#N/A</v>
      </c>
      <c r="J1450" s="9"/>
      <c r="K1450" s="9"/>
      <c r="L1450" s="9" t="e">
        <f>VLOOKUP(H1450,위치!B:D,3,0)</f>
        <v>#N/A</v>
      </c>
      <c r="M1450" s="12"/>
      <c r="N1450" s="5"/>
      <c r="O1450" s="5"/>
      <c r="P1450" s="5"/>
      <c r="Q1450" s="14"/>
      <c r="R1450" s="15">
        <f t="shared" si="22"/>
        <v>0</v>
      </c>
    </row>
    <row r="1451" spans="2:18" x14ac:dyDescent="0.35">
      <c r="B1451" s="9">
        <v>1472</v>
      </c>
      <c r="C1451" s="9"/>
      <c r="D1451" s="9"/>
      <c r="E1451" s="9"/>
      <c r="F1451" s="9"/>
      <c r="G1451" s="9"/>
      <c r="H1451" s="9"/>
      <c r="I1451" s="11" t="e">
        <f>VLOOKUP(H1451,위치!B:C,2,0)</f>
        <v>#N/A</v>
      </c>
      <c r="J1451" s="9"/>
      <c r="K1451" s="9"/>
      <c r="L1451" s="9" t="e">
        <f>VLOOKUP(H1451,위치!B:D,3,0)</f>
        <v>#N/A</v>
      </c>
      <c r="M1451" s="12"/>
      <c r="N1451" s="5"/>
      <c r="O1451" s="5"/>
      <c r="P1451" s="5"/>
      <c r="Q1451" s="14"/>
      <c r="R1451" s="15">
        <f t="shared" si="22"/>
        <v>0</v>
      </c>
    </row>
    <row r="1452" spans="2:18" x14ac:dyDescent="0.35">
      <c r="B1452" s="9">
        <v>1473</v>
      </c>
      <c r="C1452" s="9"/>
      <c r="D1452" s="9"/>
      <c r="E1452" s="9"/>
      <c r="F1452" s="9"/>
      <c r="G1452" s="9"/>
      <c r="H1452" s="9"/>
      <c r="I1452" s="11" t="e">
        <f>VLOOKUP(H1452,위치!B:C,2,0)</f>
        <v>#N/A</v>
      </c>
      <c r="J1452" s="9"/>
      <c r="K1452" s="9"/>
      <c r="L1452" s="9" t="e">
        <f>VLOOKUP(H1452,위치!B:D,3,0)</f>
        <v>#N/A</v>
      </c>
      <c r="M1452" s="12"/>
      <c r="N1452" s="5"/>
      <c r="O1452" s="5"/>
      <c r="P1452" s="5"/>
      <c r="Q1452" s="14"/>
      <c r="R1452" s="15">
        <f t="shared" si="22"/>
        <v>0</v>
      </c>
    </row>
    <row r="1453" spans="2:18" x14ac:dyDescent="0.35">
      <c r="B1453" s="9">
        <v>1474</v>
      </c>
      <c r="C1453" s="9"/>
      <c r="D1453" s="9"/>
      <c r="E1453" s="9"/>
      <c r="F1453" s="9"/>
      <c r="G1453" s="9"/>
      <c r="H1453" s="9"/>
      <c r="I1453" s="11" t="e">
        <f>VLOOKUP(H1453,위치!B:C,2,0)</f>
        <v>#N/A</v>
      </c>
      <c r="J1453" s="9"/>
      <c r="K1453" s="9"/>
      <c r="L1453" s="9" t="e">
        <f>VLOOKUP(H1453,위치!B:D,3,0)</f>
        <v>#N/A</v>
      </c>
      <c r="M1453" s="12"/>
      <c r="N1453" s="5"/>
      <c r="O1453" s="5"/>
      <c r="P1453" s="5"/>
      <c r="Q1453" s="14"/>
      <c r="R1453" s="15">
        <f t="shared" si="22"/>
        <v>0</v>
      </c>
    </row>
    <row r="1454" spans="2:18" x14ac:dyDescent="0.35">
      <c r="B1454" s="9">
        <v>1475</v>
      </c>
      <c r="C1454" s="9"/>
      <c r="D1454" s="9"/>
      <c r="E1454" s="9"/>
      <c r="F1454" s="9"/>
      <c r="G1454" s="9"/>
      <c r="H1454" s="9"/>
      <c r="I1454" s="11" t="e">
        <f>VLOOKUP(H1454,위치!B:C,2,0)</f>
        <v>#N/A</v>
      </c>
      <c r="J1454" s="9"/>
      <c r="K1454" s="9"/>
      <c r="L1454" s="9" t="e">
        <f>VLOOKUP(H1454,위치!B:D,3,0)</f>
        <v>#N/A</v>
      </c>
      <c r="M1454" s="12"/>
      <c r="N1454" s="5"/>
      <c r="O1454" s="5"/>
      <c r="P1454" s="5"/>
      <c r="Q1454" s="14"/>
      <c r="R1454" s="15">
        <f t="shared" si="22"/>
        <v>0</v>
      </c>
    </row>
    <row r="1455" spans="2:18" x14ac:dyDescent="0.35">
      <c r="B1455" s="9">
        <v>1476</v>
      </c>
      <c r="C1455" s="9"/>
      <c r="D1455" s="9"/>
      <c r="E1455" s="9"/>
      <c r="F1455" s="9"/>
      <c r="G1455" s="9"/>
      <c r="H1455" s="9"/>
      <c r="I1455" s="11" t="e">
        <f>VLOOKUP(H1455,위치!B:C,2,0)</f>
        <v>#N/A</v>
      </c>
      <c r="J1455" s="9"/>
      <c r="K1455" s="9"/>
      <c r="L1455" s="9" t="e">
        <f>VLOOKUP(H1455,위치!B:D,3,0)</f>
        <v>#N/A</v>
      </c>
      <c r="M1455" s="12"/>
      <c r="N1455" s="5"/>
      <c r="O1455" s="5"/>
      <c r="P1455" s="5"/>
      <c r="Q1455" s="14"/>
      <c r="R1455" s="15">
        <f t="shared" si="22"/>
        <v>0</v>
      </c>
    </row>
    <row r="1456" spans="2:18" x14ac:dyDescent="0.35">
      <c r="B1456" s="9">
        <v>1477</v>
      </c>
      <c r="C1456" s="9"/>
      <c r="D1456" s="9"/>
      <c r="E1456" s="9"/>
      <c r="F1456" s="9"/>
      <c r="G1456" s="9"/>
      <c r="H1456" s="9"/>
      <c r="I1456" s="11" t="e">
        <f>VLOOKUP(H1456,위치!B:C,2,0)</f>
        <v>#N/A</v>
      </c>
      <c r="J1456" s="9"/>
      <c r="K1456" s="9"/>
      <c r="L1456" s="9" t="e">
        <f>VLOOKUP(H1456,위치!B:D,3,0)</f>
        <v>#N/A</v>
      </c>
      <c r="M1456" s="12"/>
      <c r="N1456" s="5"/>
      <c r="O1456" s="5"/>
      <c r="P1456" s="5"/>
      <c r="Q1456" s="14"/>
      <c r="R1456" s="15">
        <f t="shared" si="22"/>
        <v>0</v>
      </c>
    </row>
    <row r="1457" spans="2:18" x14ac:dyDescent="0.35">
      <c r="B1457" s="9">
        <v>1478</v>
      </c>
      <c r="C1457" s="9"/>
      <c r="D1457" s="9"/>
      <c r="E1457" s="9"/>
      <c r="F1457" s="9"/>
      <c r="G1457" s="9"/>
      <c r="H1457" s="9"/>
      <c r="I1457" s="11" t="e">
        <f>VLOOKUP(H1457,위치!B:C,2,0)</f>
        <v>#N/A</v>
      </c>
      <c r="J1457" s="9"/>
      <c r="K1457" s="9"/>
      <c r="L1457" s="9" t="e">
        <f>VLOOKUP(H1457,위치!B:D,3,0)</f>
        <v>#N/A</v>
      </c>
      <c r="M1457" s="12"/>
      <c r="N1457" s="5"/>
      <c r="O1457" s="5"/>
      <c r="P1457" s="5"/>
      <c r="Q1457" s="14"/>
      <c r="R1457" s="15">
        <f t="shared" si="22"/>
        <v>0</v>
      </c>
    </row>
    <row r="1458" spans="2:18" x14ac:dyDescent="0.35">
      <c r="B1458" s="9">
        <v>1479</v>
      </c>
      <c r="C1458" s="9"/>
      <c r="D1458" s="9"/>
      <c r="E1458" s="9"/>
      <c r="F1458" s="9"/>
      <c r="G1458" s="9"/>
      <c r="H1458" s="9"/>
      <c r="I1458" s="11" t="e">
        <f>VLOOKUP(H1458,위치!B:C,2,0)</f>
        <v>#N/A</v>
      </c>
      <c r="J1458" s="9"/>
      <c r="K1458" s="9"/>
      <c r="L1458" s="9" t="e">
        <f>VLOOKUP(H1458,위치!B:D,3,0)</f>
        <v>#N/A</v>
      </c>
      <c r="M1458" s="12"/>
      <c r="N1458" s="5"/>
      <c r="O1458" s="5"/>
      <c r="P1458" s="5"/>
      <c r="Q1458" s="14"/>
      <c r="R1458" s="15">
        <f t="shared" si="22"/>
        <v>0</v>
      </c>
    </row>
    <row r="1459" spans="2:18" x14ac:dyDescent="0.35">
      <c r="B1459" s="9">
        <v>1480</v>
      </c>
      <c r="C1459" s="9"/>
      <c r="D1459" s="9"/>
      <c r="E1459" s="9"/>
      <c r="F1459" s="9"/>
      <c r="G1459" s="9"/>
      <c r="H1459" s="9"/>
      <c r="I1459" s="11" t="e">
        <f>VLOOKUP(H1459,위치!B:C,2,0)</f>
        <v>#N/A</v>
      </c>
      <c r="J1459" s="9"/>
      <c r="K1459" s="9"/>
      <c r="L1459" s="9" t="e">
        <f>VLOOKUP(H1459,위치!B:D,3,0)</f>
        <v>#N/A</v>
      </c>
      <c r="M1459" s="12"/>
      <c r="N1459" s="5"/>
      <c r="O1459" s="5"/>
      <c r="P1459" s="5"/>
      <c r="Q1459" s="14"/>
      <c r="R1459" s="15">
        <f t="shared" si="22"/>
        <v>0</v>
      </c>
    </row>
    <row r="1460" spans="2:18" x14ac:dyDescent="0.35">
      <c r="B1460" s="9">
        <v>1481</v>
      </c>
      <c r="C1460" s="9"/>
      <c r="D1460" s="9"/>
      <c r="E1460" s="9"/>
      <c r="F1460" s="9"/>
      <c r="G1460" s="9"/>
      <c r="H1460" s="9"/>
      <c r="I1460" s="11" t="e">
        <f>VLOOKUP(H1460,위치!B:C,2,0)</f>
        <v>#N/A</v>
      </c>
      <c r="J1460" s="9"/>
      <c r="K1460" s="9"/>
      <c r="L1460" s="9" t="e">
        <f>VLOOKUP(H1460,위치!B:D,3,0)</f>
        <v>#N/A</v>
      </c>
      <c r="M1460" s="12"/>
      <c r="N1460" s="5"/>
      <c r="O1460" s="5"/>
      <c r="P1460" s="5"/>
      <c r="Q1460" s="14"/>
      <c r="R1460" s="15">
        <f t="shared" si="22"/>
        <v>0</v>
      </c>
    </row>
    <row r="1461" spans="2:18" x14ac:dyDescent="0.35">
      <c r="B1461" s="9">
        <v>1482</v>
      </c>
      <c r="C1461" s="9"/>
      <c r="D1461" s="9"/>
      <c r="E1461" s="9"/>
      <c r="F1461" s="9"/>
      <c r="G1461" s="9"/>
      <c r="H1461" s="9"/>
      <c r="I1461" s="11" t="e">
        <f>VLOOKUP(H1461,위치!B:C,2,0)</f>
        <v>#N/A</v>
      </c>
      <c r="J1461" s="9"/>
      <c r="K1461" s="9"/>
      <c r="L1461" s="9" t="e">
        <f>VLOOKUP(H1461,위치!B:D,3,0)</f>
        <v>#N/A</v>
      </c>
      <c r="M1461" s="12"/>
      <c r="N1461" s="5"/>
      <c r="O1461" s="5"/>
      <c r="P1461" s="5"/>
      <c r="Q1461" s="14"/>
      <c r="R1461" s="15">
        <f t="shared" si="22"/>
        <v>0</v>
      </c>
    </row>
    <row r="1462" spans="2:18" x14ac:dyDescent="0.35">
      <c r="B1462" s="9">
        <v>1483</v>
      </c>
      <c r="C1462" s="9"/>
      <c r="D1462" s="9"/>
      <c r="E1462" s="9"/>
      <c r="F1462" s="9"/>
      <c r="G1462" s="9"/>
      <c r="H1462" s="9"/>
      <c r="I1462" s="11" t="e">
        <f>VLOOKUP(H1462,위치!B:C,2,0)</f>
        <v>#N/A</v>
      </c>
      <c r="J1462" s="9"/>
      <c r="K1462" s="9"/>
      <c r="L1462" s="9" t="e">
        <f>VLOOKUP(H1462,위치!B:D,3,0)</f>
        <v>#N/A</v>
      </c>
      <c r="M1462" s="12"/>
      <c r="N1462" s="5"/>
      <c r="O1462" s="5"/>
      <c r="P1462" s="5"/>
      <c r="Q1462" s="14"/>
      <c r="R1462" s="15">
        <f t="shared" si="22"/>
        <v>0</v>
      </c>
    </row>
    <row r="1463" spans="2:18" x14ac:dyDescent="0.35">
      <c r="B1463" s="9">
        <v>1484</v>
      </c>
      <c r="C1463" s="9"/>
      <c r="D1463" s="9"/>
      <c r="E1463" s="9"/>
      <c r="F1463" s="9"/>
      <c r="G1463" s="9"/>
      <c r="H1463" s="9"/>
      <c r="I1463" s="11" t="e">
        <f>VLOOKUP(H1463,위치!B:C,2,0)</f>
        <v>#N/A</v>
      </c>
      <c r="J1463" s="9"/>
      <c r="K1463" s="9"/>
      <c r="L1463" s="9" t="e">
        <f>VLOOKUP(H1463,위치!B:D,3,0)</f>
        <v>#N/A</v>
      </c>
      <c r="M1463" s="12"/>
      <c r="N1463" s="5"/>
      <c r="O1463" s="5"/>
      <c r="P1463" s="5"/>
      <c r="Q1463" s="14"/>
      <c r="R1463" s="15">
        <f t="shared" si="22"/>
        <v>0</v>
      </c>
    </row>
    <row r="1464" spans="2:18" x14ac:dyDescent="0.35">
      <c r="B1464" s="9">
        <v>1485</v>
      </c>
      <c r="C1464" s="9"/>
      <c r="D1464" s="9"/>
      <c r="E1464" s="9"/>
      <c r="F1464" s="9"/>
      <c r="G1464" s="9"/>
      <c r="H1464" s="9"/>
      <c r="I1464" s="11" t="e">
        <f>VLOOKUP(H1464,위치!B:C,2,0)</f>
        <v>#N/A</v>
      </c>
      <c r="J1464" s="9"/>
      <c r="K1464" s="9"/>
      <c r="L1464" s="9" t="e">
        <f>VLOOKUP(H1464,위치!B:D,3,0)</f>
        <v>#N/A</v>
      </c>
      <c r="M1464" s="12"/>
      <c r="N1464" s="5"/>
      <c r="O1464" s="5"/>
      <c r="P1464" s="5"/>
      <c r="Q1464" s="14"/>
      <c r="R1464" s="15">
        <f t="shared" si="22"/>
        <v>0</v>
      </c>
    </row>
    <row r="1465" spans="2:18" x14ac:dyDescent="0.35">
      <c r="B1465" s="9">
        <v>1486</v>
      </c>
      <c r="C1465" s="9"/>
      <c r="D1465" s="9"/>
      <c r="E1465" s="9"/>
      <c r="F1465" s="9"/>
      <c r="G1465" s="9"/>
      <c r="H1465" s="9"/>
      <c r="I1465" s="11" t="e">
        <f>VLOOKUP(H1465,위치!B:C,2,0)</f>
        <v>#N/A</v>
      </c>
      <c r="J1465" s="9"/>
      <c r="K1465" s="9"/>
      <c r="L1465" s="9" t="e">
        <f>VLOOKUP(H1465,위치!B:D,3,0)</f>
        <v>#N/A</v>
      </c>
      <c r="M1465" s="12"/>
      <c r="N1465" s="5"/>
      <c r="O1465" s="5"/>
      <c r="P1465" s="5"/>
      <c r="Q1465" s="14"/>
      <c r="R1465" s="15">
        <f t="shared" si="22"/>
        <v>0</v>
      </c>
    </row>
    <row r="1466" spans="2:18" x14ac:dyDescent="0.35">
      <c r="B1466" s="9">
        <v>1487</v>
      </c>
      <c r="C1466" s="9"/>
      <c r="D1466" s="9"/>
      <c r="E1466" s="9"/>
      <c r="F1466" s="9"/>
      <c r="G1466" s="9"/>
      <c r="H1466" s="9"/>
      <c r="I1466" s="11" t="e">
        <f>VLOOKUP(H1466,위치!B:C,2,0)</f>
        <v>#N/A</v>
      </c>
      <c r="J1466" s="9"/>
      <c r="K1466" s="9"/>
      <c r="L1466" s="9" t="e">
        <f>VLOOKUP(H1466,위치!B:D,3,0)</f>
        <v>#N/A</v>
      </c>
      <c r="M1466" s="12"/>
      <c r="N1466" s="5"/>
      <c r="O1466" s="5"/>
      <c r="P1466" s="5"/>
      <c r="Q1466" s="14"/>
      <c r="R1466" s="15">
        <f t="shared" si="22"/>
        <v>0</v>
      </c>
    </row>
    <row r="1467" spans="2:18" x14ac:dyDescent="0.35">
      <c r="B1467" s="9">
        <v>1488</v>
      </c>
      <c r="C1467" s="9"/>
      <c r="D1467" s="9"/>
      <c r="E1467" s="9"/>
      <c r="F1467" s="9"/>
      <c r="G1467" s="9"/>
      <c r="H1467" s="9"/>
      <c r="I1467" s="11" t="e">
        <f>VLOOKUP(H1467,위치!B:C,2,0)</f>
        <v>#N/A</v>
      </c>
      <c r="J1467" s="9"/>
      <c r="K1467" s="9"/>
      <c r="L1467" s="9" t="e">
        <f>VLOOKUP(H1467,위치!B:D,3,0)</f>
        <v>#N/A</v>
      </c>
      <c r="M1467" s="12"/>
      <c r="N1467" s="5"/>
      <c r="O1467" s="5"/>
      <c r="P1467" s="5"/>
      <c r="Q1467" s="14"/>
      <c r="R1467" s="15">
        <f t="shared" si="22"/>
        <v>0</v>
      </c>
    </row>
    <row r="1468" spans="2:18" x14ac:dyDescent="0.35">
      <c r="B1468" s="9">
        <v>1489</v>
      </c>
      <c r="C1468" s="9"/>
      <c r="D1468" s="9"/>
      <c r="E1468" s="9"/>
      <c r="F1468" s="9"/>
      <c r="G1468" s="9"/>
      <c r="H1468" s="9"/>
      <c r="I1468" s="11" t="e">
        <f>VLOOKUP(H1468,위치!B:C,2,0)</f>
        <v>#N/A</v>
      </c>
      <c r="J1468" s="9"/>
      <c r="K1468" s="9"/>
      <c r="L1468" s="9" t="e">
        <f>VLOOKUP(H1468,위치!B:D,3,0)</f>
        <v>#N/A</v>
      </c>
      <c r="M1468" s="12"/>
      <c r="N1468" s="5"/>
      <c r="O1468" s="5"/>
      <c r="P1468" s="5"/>
      <c r="Q1468" s="14"/>
      <c r="R1468" s="15">
        <f t="shared" si="22"/>
        <v>0</v>
      </c>
    </row>
    <row r="1469" spans="2:18" x14ac:dyDescent="0.35">
      <c r="B1469" s="9">
        <v>1490</v>
      </c>
      <c r="C1469" s="9"/>
      <c r="D1469" s="9"/>
      <c r="E1469" s="9"/>
      <c r="F1469" s="9"/>
      <c r="G1469" s="9"/>
      <c r="H1469" s="9"/>
      <c r="I1469" s="11" t="e">
        <f>VLOOKUP(H1469,위치!B:C,2,0)</f>
        <v>#N/A</v>
      </c>
      <c r="J1469" s="9"/>
      <c r="K1469" s="9"/>
      <c r="L1469" s="9" t="e">
        <f>VLOOKUP(H1469,위치!B:D,3,0)</f>
        <v>#N/A</v>
      </c>
      <c r="M1469" s="12"/>
      <c r="N1469" s="5"/>
      <c r="O1469" s="5"/>
      <c r="P1469" s="5"/>
      <c r="Q1469" s="14"/>
      <c r="R1469" s="15">
        <f t="shared" si="22"/>
        <v>0</v>
      </c>
    </row>
    <row r="1470" spans="2:18" x14ac:dyDescent="0.35">
      <c r="B1470" s="9">
        <v>1491</v>
      </c>
      <c r="C1470" s="9"/>
      <c r="D1470" s="9"/>
      <c r="E1470" s="9"/>
      <c r="F1470" s="9"/>
      <c r="G1470" s="9"/>
      <c r="H1470" s="9"/>
      <c r="I1470" s="11" t="e">
        <f>VLOOKUP(H1470,위치!B:C,2,0)</f>
        <v>#N/A</v>
      </c>
      <c r="J1470" s="9"/>
      <c r="K1470" s="9"/>
      <c r="L1470" s="9" t="e">
        <f>VLOOKUP(H1470,위치!B:D,3,0)</f>
        <v>#N/A</v>
      </c>
      <c r="M1470" s="12"/>
      <c r="N1470" s="5"/>
      <c r="O1470" s="5"/>
      <c r="P1470" s="5"/>
      <c r="Q1470" s="14"/>
      <c r="R1470" s="15">
        <f t="shared" si="22"/>
        <v>0</v>
      </c>
    </row>
    <row r="1471" spans="2:18" x14ac:dyDescent="0.35">
      <c r="B1471" s="9">
        <v>1492</v>
      </c>
      <c r="C1471" s="9"/>
      <c r="D1471" s="9"/>
      <c r="E1471" s="9"/>
      <c r="F1471" s="9"/>
      <c r="G1471" s="9"/>
      <c r="H1471" s="9"/>
      <c r="I1471" s="11" t="e">
        <f>VLOOKUP(H1471,위치!B:C,2,0)</f>
        <v>#N/A</v>
      </c>
      <c r="J1471" s="9"/>
      <c r="K1471" s="9"/>
      <c r="L1471" s="9" t="e">
        <f>VLOOKUP(H1471,위치!B:D,3,0)</f>
        <v>#N/A</v>
      </c>
      <c r="M1471" s="12"/>
      <c r="N1471" s="5"/>
      <c r="O1471" s="5"/>
      <c r="P1471" s="5"/>
      <c r="Q1471" s="14"/>
      <c r="R1471" s="15">
        <f t="shared" si="22"/>
        <v>0</v>
      </c>
    </row>
    <row r="1472" spans="2:18" x14ac:dyDescent="0.35">
      <c r="B1472" s="9">
        <v>1493</v>
      </c>
      <c r="C1472" s="9"/>
      <c r="D1472" s="9"/>
      <c r="E1472" s="9"/>
      <c r="F1472" s="9"/>
      <c r="G1472" s="9"/>
      <c r="H1472" s="9"/>
      <c r="I1472" s="11" t="e">
        <f>VLOOKUP(H1472,위치!B:C,2,0)</f>
        <v>#N/A</v>
      </c>
      <c r="J1472" s="9"/>
      <c r="K1472" s="9"/>
      <c r="L1472" s="9" t="e">
        <f>VLOOKUP(H1472,위치!B:D,3,0)</f>
        <v>#N/A</v>
      </c>
      <c r="M1472" s="12"/>
      <c r="N1472" s="5"/>
      <c r="O1472" s="5"/>
      <c r="P1472" s="5"/>
      <c r="Q1472" s="14"/>
      <c r="R1472" s="15">
        <f t="shared" si="22"/>
        <v>0</v>
      </c>
    </row>
    <row r="1473" spans="2:18" x14ac:dyDescent="0.35">
      <c r="B1473" s="9">
        <v>1494</v>
      </c>
      <c r="C1473" s="9"/>
      <c r="D1473" s="9"/>
      <c r="E1473" s="9"/>
      <c r="F1473" s="9"/>
      <c r="G1473" s="9"/>
      <c r="H1473" s="9"/>
      <c r="I1473" s="11" t="e">
        <f>VLOOKUP(H1473,위치!B:C,2,0)</f>
        <v>#N/A</v>
      </c>
      <c r="J1473" s="9"/>
      <c r="K1473" s="9"/>
      <c r="L1473" s="9" t="e">
        <f>VLOOKUP(H1473,위치!B:D,3,0)</f>
        <v>#N/A</v>
      </c>
      <c r="M1473" s="12"/>
      <c r="N1473" s="5"/>
      <c r="O1473" s="5"/>
      <c r="P1473" s="5"/>
      <c r="Q1473" s="14"/>
      <c r="R1473" s="15">
        <f t="shared" si="22"/>
        <v>0</v>
      </c>
    </row>
    <row r="1474" spans="2:18" x14ac:dyDescent="0.35">
      <c r="B1474" s="9">
        <v>1495</v>
      </c>
      <c r="C1474" s="9"/>
      <c r="D1474" s="9"/>
      <c r="E1474" s="9"/>
      <c r="F1474" s="9"/>
      <c r="G1474" s="9"/>
      <c r="H1474" s="9"/>
      <c r="I1474" s="11" t="e">
        <f>VLOOKUP(H1474,위치!B:C,2,0)</f>
        <v>#N/A</v>
      </c>
      <c r="J1474" s="9"/>
      <c r="K1474" s="9"/>
      <c r="L1474" s="9" t="e">
        <f>VLOOKUP(H1474,위치!B:D,3,0)</f>
        <v>#N/A</v>
      </c>
      <c r="M1474" s="12"/>
      <c r="N1474" s="5"/>
      <c r="O1474" s="5"/>
      <c r="P1474" s="5"/>
      <c r="Q1474" s="14"/>
      <c r="R1474" s="15">
        <f t="shared" si="22"/>
        <v>0</v>
      </c>
    </row>
    <row r="1475" spans="2:18" x14ac:dyDescent="0.35">
      <c r="B1475" s="9">
        <v>1496</v>
      </c>
      <c r="C1475" s="9"/>
      <c r="D1475" s="9"/>
      <c r="E1475" s="9"/>
      <c r="F1475" s="9"/>
      <c r="G1475" s="9"/>
      <c r="H1475" s="9"/>
      <c r="I1475" s="11" t="e">
        <f>VLOOKUP(H1475,위치!B:C,2,0)</f>
        <v>#N/A</v>
      </c>
      <c r="J1475" s="9"/>
      <c r="K1475" s="9"/>
      <c r="L1475" s="9" t="e">
        <f>VLOOKUP(H1475,위치!B:D,3,0)</f>
        <v>#N/A</v>
      </c>
      <c r="M1475" s="12"/>
      <c r="N1475" s="5"/>
      <c r="O1475" s="5"/>
      <c r="P1475" s="5"/>
      <c r="Q1475" s="14"/>
      <c r="R1475" s="15">
        <f t="shared" si="22"/>
        <v>0</v>
      </c>
    </row>
    <row r="1476" spans="2:18" x14ac:dyDescent="0.35">
      <c r="B1476" s="9">
        <v>1497</v>
      </c>
      <c r="C1476" s="9"/>
      <c r="D1476" s="9"/>
      <c r="E1476" s="9"/>
      <c r="F1476" s="9"/>
      <c r="G1476" s="9"/>
      <c r="H1476" s="9"/>
      <c r="I1476" s="11" t="e">
        <f>VLOOKUP(H1476,위치!B:C,2,0)</f>
        <v>#N/A</v>
      </c>
      <c r="J1476" s="9"/>
      <c r="K1476" s="9"/>
      <c r="L1476" s="9" t="e">
        <f>VLOOKUP(H1476,위치!B:D,3,0)</f>
        <v>#N/A</v>
      </c>
      <c r="M1476" s="12"/>
      <c r="N1476" s="5"/>
      <c r="O1476" s="5"/>
      <c r="P1476" s="5"/>
      <c r="Q1476" s="14"/>
      <c r="R1476" s="15">
        <f t="shared" si="22"/>
        <v>0</v>
      </c>
    </row>
    <row r="1477" spans="2:18" x14ac:dyDescent="0.35">
      <c r="B1477" s="9">
        <v>1498</v>
      </c>
      <c r="C1477" s="9"/>
      <c r="D1477" s="9"/>
      <c r="E1477" s="9"/>
      <c r="F1477" s="9"/>
      <c r="G1477" s="9"/>
      <c r="H1477" s="9"/>
      <c r="I1477" s="11" t="e">
        <f>VLOOKUP(H1477,위치!B:C,2,0)</f>
        <v>#N/A</v>
      </c>
      <c r="J1477" s="9"/>
      <c r="K1477" s="9"/>
      <c r="L1477" s="9" t="e">
        <f>VLOOKUP(H1477,위치!B:D,3,0)</f>
        <v>#N/A</v>
      </c>
      <c r="M1477" s="12"/>
      <c r="N1477" s="5"/>
      <c r="O1477" s="5"/>
      <c r="P1477" s="5"/>
      <c r="Q1477" s="14"/>
      <c r="R1477" s="15">
        <f t="shared" si="22"/>
        <v>0</v>
      </c>
    </row>
    <row r="1478" spans="2:18" x14ac:dyDescent="0.35">
      <c r="B1478" s="9">
        <v>1499</v>
      </c>
      <c r="C1478" s="9"/>
      <c r="D1478" s="9"/>
      <c r="E1478" s="9"/>
      <c r="F1478" s="9"/>
      <c r="G1478" s="9"/>
      <c r="H1478" s="9"/>
      <c r="I1478" s="11" t="e">
        <f>VLOOKUP(H1478,위치!B:C,2,0)</f>
        <v>#N/A</v>
      </c>
      <c r="J1478" s="9"/>
      <c r="K1478" s="9"/>
      <c r="L1478" s="9" t="e">
        <f>VLOOKUP(H1478,위치!B:D,3,0)</f>
        <v>#N/A</v>
      </c>
      <c r="M1478" s="12"/>
      <c r="N1478" s="5"/>
      <c r="O1478" s="5"/>
      <c r="P1478" s="5"/>
      <c r="Q1478" s="14"/>
      <c r="R1478" s="15">
        <f t="shared" si="22"/>
        <v>0</v>
      </c>
    </row>
    <row r="1479" spans="2:18" x14ac:dyDescent="0.35">
      <c r="B1479" s="9">
        <v>1500</v>
      </c>
      <c r="C1479" s="9"/>
      <c r="D1479" s="9"/>
      <c r="E1479" s="9"/>
      <c r="F1479" s="9"/>
      <c r="G1479" s="9"/>
      <c r="H1479" s="9"/>
      <c r="I1479" s="11" t="e">
        <f>VLOOKUP(H1479,위치!B:C,2,0)</f>
        <v>#N/A</v>
      </c>
      <c r="J1479" s="9"/>
      <c r="K1479" s="9"/>
      <c r="L1479" s="9" t="e">
        <f>VLOOKUP(H1479,위치!B:D,3,0)</f>
        <v>#N/A</v>
      </c>
      <c r="M1479" s="12"/>
      <c r="N1479" s="5"/>
      <c r="O1479" s="5"/>
      <c r="P1479" s="5"/>
      <c r="Q1479" s="14"/>
      <c r="R1479" s="15">
        <f t="shared" ref="R1479:R1542" si="23">J1479-P1479</f>
        <v>0</v>
      </c>
    </row>
    <row r="1480" spans="2:18" x14ac:dyDescent="0.35">
      <c r="B1480" s="9">
        <v>1501</v>
      </c>
      <c r="C1480" s="9"/>
      <c r="D1480" s="9"/>
      <c r="E1480" s="9"/>
      <c r="F1480" s="9"/>
      <c r="G1480" s="9"/>
      <c r="H1480" s="9"/>
      <c r="I1480" s="11" t="e">
        <f>VLOOKUP(H1480,위치!B:C,2,0)</f>
        <v>#N/A</v>
      </c>
      <c r="J1480" s="9"/>
      <c r="K1480" s="9"/>
      <c r="L1480" s="9" t="e">
        <f>VLOOKUP(H1480,위치!B:D,3,0)</f>
        <v>#N/A</v>
      </c>
      <c r="M1480" s="12"/>
      <c r="N1480" s="5"/>
      <c r="O1480" s="5"/>
      <c r="P1480" s="5"/>
      <c r="Q1480" s="14"/>
      <c r="R1480" s="15">
        <f t="shared" si="23"/>
        <v>0</v>
      </c>
    </row>
    <row r="1481" spans="2:18" x14ac:dyDescent="0.35">
      <c r="B1481" s="9">
        <v>1502</v>
      </c>
      <c r="C1481" s="9"/>
      <c r="D1481" s="9"/>
      <c r="E1481" s="9"/>
      <c r="F1481" s="9"/>
      <c r="G1481" s="9"/>
      <c r="H1481" s="9"/>
      <c r="I1481" s="11" t="e">
        <f>VLOOKUP(H1481,위치!B:C,2,0)</f>
        <v>#N/A</v>
      </c>
      <c r="J1481" s="9"/>
      <c r="K1481" s="9"/>
      <c r="L1481" s="9" t="e">
        <f>VLOOKUP(H1481,위치!B:D,3,0)</f>
        <v>#N/A</v>
      </c>
      <c r="M1481" s="12"/>
      <c r="N1481" s="5"/>
      <c r="O1481" s="5"/>
      <c r="P1481" s="5"/>
      <c r="Q1481" s="14"/>
      <c r="R1481" s="15">
        <f t="shared" si="23"/>
        <v>0</v>
      </c>
    </row>
    <row r="1482" spans="2:18" x14ac:dyDescent="0.35">
      <c r="B1482" s="9">
        <v>1503</v>
      </c>
      <c r="C1482" s="9"/>
      <c r="D1482" s="9"/>
      <c r="E1482" s="9"/>
      <c r="F1482" s="9"/>
      <c r="G1482" s="9"/>
      <c r="H1482" s="9"/>
      <c r="I1482" s="11" t="e">
        <f>VLOOKUP(H1482,위치!B:C,2,0)</f>
        <v>#N/A</v>
      </c>
      <c r="J1482" s="9"/>
      <c r="K1482" s="9"/>
      <c r="L1482" s="9" t="e">
        <f>VLOOKUP(H1482,위치!B:D,3,0)</f>
        <v>#N/A</v>
      </c>
      <c r="M1482" s="12"/>
      <c r="N1482" s="5"/>
      <c r="O1482" s="5"/>
      <c r="P1482" s="5"/>
      <c r="Q1482" s="14"/>
      <c r="R1482" s="15">
        <f t="shared" si="23"/>
        <v>0</v>
      </c>
    </row>
    <row r="1483" spans="2:18" x14ac:dyDescent="0.35">
      <c r="B1483" s="9">
        <v>1504</v>
      </c>
      <c r="C1483" s="9"/>
      <c r="D1483" s="9"/>
      <c r="E1483" s="9"/>
      <c r="F1483" s="9"/>
      <c r="G1483" s="9"/>
      <c r="H1483" s="9"/>
      <c r="I1483" s="11" t="e">
        <f>VLOOKUP(H1483,위치!B:C,2,0)</f>
        <v>#N/A</v>
      </c>
      <c r="J1483" s="9"/>
      <c r="K1483" s="9"/>
      <c r="L1483" s="9" t="e">
        <f>VLOOKUP(H1483,위치!B:D,3,0)</f>
        <v>#N/A</v>
      </c>
      <c r="M1483" s="12"/>
      <c r="N1483" s="5"/>
      <c r="O1483" s="5"/>
      <c r="P1483" s="5"/>
      <c r="Q1483" s="14"/>
      <c r="R1483" s="15">
        <f t="shared" si="23"/>
        <v>0</v>
      </c>
    </row>
    <row r="1484" spans="2:18" x14ac:dyDescent="0.35">
      <c r="B1484" s="9">
        <v>1505</v>
      </c>
      <c r="C1484" s="9"/>
      <c r="D1484" s="9"/>
      <c r="E1484" s="9"/>
      <c r="F1484" s="9"/>
      <c r="G1484" s="9"/>
      <c r="H1484" s="9"/>
      <c r="I1484" s="11" t="e">
        <f>VLOOKUP(H1484,위치!B:C,2,0)</f>
        <v>#N/A</v>
      </c>
      <c r="J1484" s="9"/>
      <c r="K1484" s="9"/>
      <c r="L1484" s="9" t="e">
        <f>VLOOKUP(H1484,위치!B:D,3,0)</f>
        <v>#N/A</v>
      </c>
      <c r="M1484" s="12"/>
      <c r="N1484" s="5"/>
      <c r="O1484" s="5"/>
      <c r="P1484" s="5"/>
      <c r="Q1484" s="14"/>
      <c r="R1484" s="15">
        <f t="shared" si="23"/>
        <v>0</v>
      </c>
    </row>
    <row r="1485" spans="2:18" x14ac:dyDescent="0.35">
      <c r="B1485" s="9">
        <v>1506</v>
      </c>
      <c r="C1485" s="9"/>
      <c r="D1485" s="9"/>
      <c r="E1485" s="9"/>
      <c r="F1485" s="9"/>
      <c r="G1485" s="9"/>
      <c r="H1485" s="9"/>
      <c r="I1485" s="11" t="e">
        <f>VLOOKUP(H1485,위치!B:C,2,0)</f>
        <v>#N/A</v>
      </c>
      <c r="J1485" s="9"/>
      <c r="K1485" s="9"/>
      <c r="L1485" s="9" t="e">
        <f>VLOOKUP(H1485,위치!B:D,3,0)</f>
        <v>#N/A</v>
      </c>
      <c r="M1485" s="12"/>
      <c r="N1485" s="5"/>
      <c r="O1485" s="5"/>
      <c r="P1485" s="5"/>
      <c r="Q1485" s="14"/>
      <c r="R1485" s="15">
        <f t="shared" si="23"/>
        <v>0</v>
      </c>
    </row>
    <row r="1486" spans="2:18" x14ac:dyDescent="0.35">
      <c r="B1486" s="9">
        <v>1507</v>
      </c>
      <c r="C1486" s="9"/>
      <c r="D1486" s="9"/>
      <c r="E1486" s="9"/>
      <c r="F1486" s="9"/>
      <c r="G1486" s="9"/>
      <c r="H1486" s="9"/>
      <c r="I1486" s="11" t="e">
        <f>VLOOKUP(H1486,위치!B:C,2,0)</f>
        <v>#N/A</v>
      </c>
      <c r="J1486" s="9"/>
      <c r="K1486" s="9"/>
      <c r="L1486" s="9" t="e">
        <f>VLOOKUP(H1486,위치!B:D,3,0)</f>
        <v>#N/A</v>
      </c>
      <c r="M1486" s="12"/>
      <c r="N1486" s="5"/>
      <c r="O1486" s="5"/>
      <c r="P1486" s="5"/>
      <c r="Q1486" s="14"/>
      <c r="R1486" s="15">
        <f t="shared" si="23"/>
        <v>0</v>
      </c>
    </row>
    <row r="1487" spans="2:18" x14ac:dyDescent="0.35">
      <c r="B1487" s="9">
        <v>1508</v>
      </c>
      <c r="C1487" s="9"/>
      <c r="D1487" s="9"/>
      <c r="E1487" s="9"/>
      <c r="F1487" s="9"/>
      <c r="G1487" s="9"/>
      <c r="H1487" s="9"/>
      <c r="I1487" s="11" t="e">
        <f>VLOOKUP(H1487,위치!B:C,2,0)</f>
        <v>#N/A</v>
      </c>
      <c r="J1487" s="9"/>
      <c r="K1487" s="9"/>
      <c r="L1487" s="9" t="e">
        <f>VLOOKUP(H1487,위치!B:D,3,0)</f>
        <v>#N/A</v>
      </c>
      <c r="M1487" s="12"/>
      <c r="N1487" s="5"/>
      <c r="O1487" s="5"/>
      <c r="P1487" s="5"/>
      <c r="Q1487" s="14"/>
      <c r="R1487" s="15">
        <f t="shared" si="23"/>
        <v>0</v>
      </c>
    </row>
    <row r="1488" spans="2:18" x14ac:dyDescent="0.35">
      <c r="B1488" s="9">
        <v>1509</v>
      </c>
      <c r="C1488" s="9"/>
      <c r="D1488" s="9"/>
      <c r="E1488" s="9"/>
      <c r="F1488" s="9"/>
      <c r="G1488" s="9"/>
      <c r="H1488" s="9"/>
      <c r="I1488" s="11" t="e">
        <f>VLOOKUP(H1488,위치!B:C,2,0)</f>
        <v>#N/A</v>
      </c>
      <c r="J1488" s="9"/>
      <c r="K1488" s="9"/>
      <c r="L1488" s="9" t="e">
        <f>VLOOKUP(H1488,위치!B:D,3,0)</f>
        <v>#N/A</v>
      </c>
      <c r="M1488" s="12"/>
      <c r="N1488" s="5"/>
      <c r="O1488" s="5"/>
      <c r="P1488" s="5"/>
      <c r="Q1488" s="14"/>
      <c r="R1488" s="15">
        <f t="shared" si="23"/>
        <v>0</v>
      </c>
    </row>
    <row r="1489" spans="2:18" x14ac:dyDescent="0.35">
      <c r="B1489" s="9">
        <v>1510</v>
      </c>
      <c r="C1489" s="9"/>
      <c r="D1489" s="9"/>
      <c r="E1489" s="9"/>
      <c r="F1489" s="9"/>
      <c r="G1489" s="9"/>
      <c r="H1489" s="9"/>
      <c r="I1489" s="11" t="e">
        <f>VLOOKUP(H1489,위치!B:C,2,0)</f>
        <v>#N/A</v>
      </c>
      <c r="J1489" s="9"/>
      <c r="K1489" s="9"/>
      <c r="L1489" s="9" t="e">
        <f>VLOOKUP(H1489,위치!B:D,3,0)</f>
        <v>#N/A</v>
      </c>
      <c r="M1489" s="12"/>
      <c r="N1489" s="5"/>
      <c r="O1489" s="5"/>
      <c r="P1489" s="5"/>
      <c r="Q1489" s="14"/>
      <c r="R1489" s="15">
        <f t="shared" si="23"/>
        <v>0</v>
      </c>
    </row>
    <row r="1490" spans="2:18" x14ac:dyDescent="0.35">
      <c r="B1490" s="9">
        <v>1511</v>
      </c>
      <c r="C1490" s="9"/>
      <c r="D1490" s="9"/>
      <c r="E1490" s="9"/>
      <c r="F1490" s="9"/>
      <c r="G1490" s="9"/>
      <c r="H1490" s="9"/>
      <c r="I1490" s="11" t="e">
        <f>VLOOKUP(H1490,위치!B:C,2,0)</f>
        <v>#N/A</v>
      </c>
      <c r="J1490" s="9"/>
      <c r="K1490" s="9"/>
      <c r="L1490" s="9" t="e">
        <f>VLOOKUP(H1490,위치!B:D,3,0)</f>
        <v>#N/A</v>
      </c>
      <c r="M1490" s="12"/>
      <c r="N1490" s="5"/>
      <c r="O1490" s="5"/>
      <c r="P1490" s="5"/>
      <c r="Q1490" s="14"/>
      <c r="R1490" s="15">
        <f t="shared" si="23"/>
        <v>0</v>
      </c>
    </row>
    <row r="1491" spans="2:18" x14ac:dyDescent="0.35">
      <c r="B1491" s="9">
        <v>1512</v>
      </c>
      <c r="C1491" s="9"/>
      <c r="D1491" s="9"/>
      <c r="E1491" s="9"/>
      <c r="F1491" s="9"/>
      <c r="G1491" s="9"/>
      <c r="H1491" s="9"/>
      <c r="I1491" s="11" t="e">
        <f>VLOOKUP(H1491,위치!B:C,2,0)</f>
        <v>#N/A</v>
      </c>
      <c r="J1491" s="9"/>
      <c r="K1491" s="9"/>
      <c r="L1491" s="9" t="e">
        <f>VLOOKUP(H1491,위치!B:D,3,0)</f>
        <v>#N/A</v>
      </c>
      <c r="M1491" s="12"/>
      <c r="N1491" s="5"/>
      <c r="O1491" s="5"/>
      <c r="P1491" s="5"/>
      <c r="Q1491" s="14"/>
      <c r="R1491" s="15">
        <f t="shared" si="23"/>
        <v>0</v>
      </c>
    </row>
    <row r="1492" spans="2:18" x14ac:dyDescent="0.35">
      <c r="B1492" s="9">
        <v>1513</v>
      </c>
      <c r="C1492" s="9"/>
      <c r="D1492" s="9"/>
      <c r="E1492" s="9"/>
      <c r="F1492" s="9"/>
      <c r="G1492" s="9"/>
      <c r="H1492" s="9"/>
      <c r="I1492" s="11" t="e">
        <f>VLOOKUP(H1492,위치!B:C,2,0)</f>
        <v>#N/A</v>
      </c>
      <c r="J1492" s="9"/>
      <c r="K1492" s="9"/>
      <c r="L1492" s="9" t="e">
        <f>VLOOKUP(H1492,위치!B:D,3,0)</f>
        <v>#N/A</v>
      </c>
      <c r="M1492" s="12"/>
      <c r="N1492" s="5"/>
      <c r="O1492" s="5"/>
      <c r="P1492" s="5"/>
      <c r="Q1492" s="14"/>
      <c r="R1492" s="15">
        <f t="shared" si="23"/>
        <v>0</v>
      </c>
    </row>
    <row r="1493" spans="2:18" x14ac:dyDescent="0.35">
      <c r="B1493" s="9">
        <v>1514</v>
      </c>
      <c r="C1493" s="9"/>
      <c r="D1493" s="9"/>
      <c r="E1493" s="9"/>
      <c r="F1493" s="9"/>
      <c r="G1493" s="9"/>
      <c r="H1493" s="9"/>
      <c r="I1493" s="11" t="e">
        <f>VLOOKUP(H1493,위치!B:C,2,0)</f>
        <v>#N/A</v>
      </c>
      <c r="J1493" s="9"/>
      <c r="K1493" s="9"/>
      <c r="L1493" s="9" t="e">
        <f>VLOOKUP(H1493,위치!B:D,3,0)</f>
        <v>#N/A</v>
      </c>
      <c r="M1493" s="12"/>
      <c r="N1493" s="5"/>
      <c r="O1493" s="5"/>
      <c r="P1493" s="5"/>
      <c r="Q1493" s="14"/>
      <c r="R1493" s="15">
        <f t="shared" si="23"/>
        <v>0</v>
      </c>
    </row>
    <row r="1494" spans="2:18" x14ac:dyDescent="0.35">
      <c r="B1494" s="9">
        <v>1515</v>
      </c>
      <c r="C1494" s="9"/>
      <c r="D1494" s="9"/>
      <c r="E1494" s="9"/>
      <c r="F1494" s="9"/>
      <c r="G1494" s="9"/>
      <c r="H1494" s="9"/>
      <c r="I1494" s="11" t="e">
        <f>VLOOKUP(H1494,위치!B:C,2,0)</f>
        <v>#N/A</v>
      </c>
      <c r="J1494" s="9"/>
      <c r="K1494" s="9"/>
      <c r="L1494" s="9" t="e">
        <f>VLOOKUP(H1494,위치!B:D,3,0)</f>
        <v>#N/A</v>
      </c>
      <c r="M1494" s="12"/>
      <c r="N1494" s="5"/>
      <c r="O1494" s="5"/>
      <c r="P1494" s="5"/>
      <c r="Q1494" s="14"/>
      <c r="R1494" s="15">
        <f t="shared" si="23"/>
        <v>0</v>
      </c>
    </row>
    <row r="1495" spans="2:18" x14ac:dyDescent="0.35">
      <c r="B1495" s="9">
        <v>1516</v>
      </c>
      <c r="C1495" s="9"/>
      <c r="D1495" s="9"/>
      <c r="E1495" s="9"/>
      <c r="F1495" s="9"/>
      <c r="G1495" s="9"/>
      <c r="H1495" s="9"/>
      <c r="I1495" s="11" t="e">
        <f>VLOOKUP(H1495,위치!B:C,2,0)</f>
        <v>#N/A</v>
      </c>
      <c r="J1495" s="9"/>
      <c r="K1495" s="9"/>
      <c r="L1495" s="9" t="e">
        <f>VLOOKUP(H1495,위치!B:D,3,0)</f>
        <v>#N/A</v>
      </c>
      <c r="M1495" s="12"/>
      <c r="N1495" s="5"/>
      <c r="O1495" s="5"/>
      <c r="P1495" s="5"/>
      <c r="Q1495" s="14"/>
      <c r="R1495" s="15">
        <f t="shared" si="23"/>
        <v>0</v>
      </c>
    </row>
    <row r="1496" spans="2:18" x14ac:dyDescent="0.35">
      <c r="B1496" s="9">
        <v>1517</v>
      </c>
      <c r="C1496" s="9"/>
      <c r="D1496" s="9"/>
      <c r="E1496" s="9"/>
      <c r="F1496" s="9"/>
      <c r="G1496" s="9"/>
      <c r="H1496" s="9"/>
      <c r="I1496" s="11" t="e">
        <f>VLOOKUP(H1496,위치!B:C,2,0)</f>
        <v>#N/A</v>
      </c>
      <c r="J1496" s="9"/>
      <c r="K1496" s="9"/>
      <c r="L1496" s="9" t="e">
        <f>VLOOKUP(H1496,위치!B:D,3,0)</f>
        <v>#N/A</v>
      </c>
      <c r="M1496" s="12"/>
      <c r="N1496" s="5"/>
      <c r="O1496" s="5"/>
      <c r="P1496" s="5"/>
      <c r="Q1496" s="14"/>
      <c r="R1496" s="15">
        <f t="shared" si="23"/>
        <v>0</v>
      </c>
    </row>
    <row r="1497" spans="2:18" x14ac:dyDescent="0.35">
      <c r="B1497" s="9">
        <v>1518</v>
      </c>
      <c r="C1497" s="9"/>
      <c r="D1497" s="9"/>
      <c r="E1497" s="9"/>
      <c r="F1497" s="9"/>
      <c r="G1497" s="9"/>
      <c r="H1497" s="9"/>
      <c r="I1497" s="11" t="e">
        <f>VLOOKUP(H1497,위치!B:C,2,0)</f>
        <v>#N/A</v>
      </c>
      <c r="J1497" s="9"/>
      <c r="K1497" s="9"/>
      <c r="L1497" s="9" t="e">
        <f>VLOOKUP(H1497,위치!B:D,3,0)</f>
        <v>#N/A</v>
      </c>
      <c r="M1497" s="12"/>
      <c r="N1497" s="5"/>
      <c r="O1497" s="5"/>
      <c r="P1497" s="5"/>
      <c r="Q1497" s="14"/>
      <c r="R1497" s="15">
        <f t="shared" si="23"/>
        <v>0</v>
      </c>
    </row>
    <row r="1498" spans="2:18" x14ac:dyDescent="0.35">
      <c r="B1498" s="9">
        <v>1519</v>
      </c>
      <c r="C1498" s="9"/>
      <c r="D1498" s="9"/>
      <c r="E1498" s="9"/>
      <c r="F1498" s="9"/>
      <c r="G1498" s="9"/>
      <c r="H1498" s="9"/>
      <c r="I1498" s="11" t="e">
        <f>VLOOKUP(H1498,위치!B:C,2,0)</f>
        <v>#N/A</v>
      </c>
      <c r="J1498" s="9"/>
      <c r="K1498" s="9"/>
      <c r="L1498" s="9" t="e">
        <f>VLOOKUP(H1498,위치!B:D,3,0)</f>
        <v>#N/A</v>
      </c>
      <c r="M1498" s="12"/>
      <c r="N1498" s="5"/>
      <c r="O1498" s="5"/>
      <c r="P1498" s="5"/>
      <c r="Q1498" s="14"/>
      <c r="R1498" s="15">
        <f t="shared" si="23"/>
        <v>0</v>
      </c>
    </row>
    <row r="1499" spans="2:18" x14ac:dyDescent="0.35">
      <c r="B1499" s="9">
        <v>1520</v>
      </c>
      <c r="C1499" s="9"/>
      <c r="D1499" s="9"/>
      <c r="E1499" s="9"/>
      <c r="F1499" s="9"/>
      <c r="G1499" s="9"/>
      <c r="H1499" s="9"/>
      <c r="I1499" s="11" t="e">
        <f>VLOOKUP(H1499,위치!B:C,2,0)</f>
        <v>#N/A</v>
      </c>
      <c r="J1499" s="9"/>
      <c r="K1499" s="9"/>
      <c r="L1499" s="9" t="e">
        <f>VLOOKUP(H1499,위치!B:D,3,0)</f>
        <v>#N/A</v>
      </c>
      <c r="M1499" s="12"/>
      <c r="N1499" s="5"/>
      <c r="O1499" s="5"/>
      <c r="P1499" s="5"/>
      <c r="Q1499" s="14"/>
      <c r="R1499" s="15">
        <f t="shared" si="23"/>
        <v>0</v>
      </c>
    </row>
    <row r="1500" spans="2:18" x14ac:dyDescent="0.35">
      <c r="B1500" s="9">
        <v>1521</v>
      </c>
      <c r="C1500" s="9"/>
      <c r="D1500" s="9"/>
      <c r="E1500" s="9"/>
      <c r="F1500" s="9"/>
      <c r="G1500" s="9"/>
      <c r="H1500" s="9"/>
      <c r="I1500" s="11" t="e">
        <f>VLOOKUP(H1500,위치!B:C,2,0)</f>
        <v>#N/A</v>
      </c>
      <c r="J1500" s="9"/>
      <c r="K1500" s="9"/>
      <c r="L1500" s="9" t="e">
        <f>VLOOKUP(H1500,위치!B:D,3,0)</f>
        <v>#N/A</v>
      </c>
      <c r="M1500" s="12"/>
      <c r="N1500" s="5"/>
      <c r="O1500" s="5"/>
      <c r="P1500" s="5"/>
      <c r="Q1500" s="14"/>
      <c r="R1500" s="15">
        <f t="shared" si="23"/>
        <v>0</v>
      </c>
    </row>
    <row r="1501" spans="2:18" x14ac:dyDescent="0.35">
      <c r="B1501" s="9">
        <v>1522</v>
      </c>
      <c r="C1501" s="9"/>
      <c r="D1501" s="9"/>
      <c r="E1501" s="9"/>
      <c r="F1501" s="9"/>
      <c r="G1501" s="9"/>
      <c r="H1501" s="9"/>
      <c r="I1501" s="11" t="e">
        <f>VLOOKUP(H1501,위치!B:C,2,0)</f>
        <v>#N/A</v>
      </c>
      <c r="J1501" s="9"/>
      <c r="K1501" s="9"/>
      <c r="L1501" s="9" t="e">
        <f>VLOOKUP(H1501,위치!B:D,3,0)</f>
        <v>#N/A</v>
      </c>
      <c r="M1501" s="12"/>
      <c r="N1501" s="5"/>
      <c r="O1501" s="5"/>
      <c r="P1501" s="5"/>
      <c r="Q1501" s="14"/>
      <c r="R1501" s="15">
        <f t="shared" si="23"/>
        <v>0</v>
      </c>
    </row>
    <row r="1502" spans="2:18" x14ac:dyDescent="0.35">
      <c r="B1502" s="9">
        <v>1523</v>
      </c>
      <c r="C1502" s="9"/>
      <c r="D1502" s="9"/>
      <c r="E1502" s="9"/>
      <c r="F1502" s="9"/>
      <c r="G1502" s="9"/>
      <c r="H1502" s="9"/>
      <c r="I1502" s="11" t="e">
        <f>VLOOKUP(H1502,위치!B:C,2,0)</f>
        <v>#N/A</v>
      </c>
      <c r="J1502" s="9"/>
      <c r="K1502" s="9"/>
      <c r="L1502" s="9" t="e">
        <f>VLOOKUP(H1502,위치!B:D,3,0)</f>
        <v>#N/A</v>
      </c>
      <c r="M1502" s="12"/>
      <c r="N1502" s="5"/>
      <c r="O1502" s="5"/>
      <c r="P1502" s="5"/>
      <c r="Q1502" s="14"/>
      <c r="R1502" s="15">
        <f t="shared" si="23"/>
        <v>0</v>
      </c>
    </row>
    <row r="1503" spans="2:18" x14ac:dyDescent="0.35">
      <c r="B1503" s="9">
        <v>1524</v>
      </c>
      <c r="C1503" s="9"/>
      <c r="D1503" s="9"/>
      <c r="E1503" s="9"/>
      <c r="F1503" s="9"/>
      <c r="G1503" s="9"/>
      <c r="H1503" s="9"/>
      <c r="I1503" s="11" t="e">
        <f>VLOOKUP(H1503,위치!B:C,2,0)</f>
        <v>#N/A</v>
      </c>
      <c r="J1503" s="9"/>
      <c r="K1503" s="9"/>
      <c r="L1503" s="9" t="e">
        <f>VLOOKUP(H1503,위치!B:D,3,0)</f>
        <v>#N/A</v>
      </c>
      <c r="M1503" s="12"/>
      <c r="N1503" s="5"/>
      <c r="O1503" s="5"/>
      <c r="P1503" s="5"/>
      <c r="Q1503" s="14"/>
      <c r="R1503" s="15">
        <f t="shared" si="23"/>
        <v>0</v>
      </c>
    </row>
    <row r="1504" spans="2:18" x14ac:dyDescent="0.35">
      <c r="B1504" s="9">
        <v>1525</v>
      </c>
      <c r="C1504" s="9"/>
      <c r="D1504" s="9"/>
      <c r="E1504" s="9"/>
      <c r="F1504" s="9"/>
      <c r="G1504" s="9"/>
      <c r="H1504" s="9"/>
      <c r="I1504" s="11" t="e">
        <f>VLOOKUP(H1504,위치!B:C,2,0)</f>
        <v>#N/A</v>
      </c>
      <c r="J1504" s="9"/>
      <c r="K1504" s="9"/>
      <c r="L1504" s="9" t="e">
        <f>VLOOKUP(H1504,위치!B:D,3,0)</f>
        <v>#N/A</v>
      </c>
      <c r="M1504" s="12"/>
      <c r="N1504" s="5"/>
      <c r="O1504" s="5"/>
      <c r="P1504" s="5"/>
      <c r="Q1504" s="14"/>
      <c r="R1504" s="15">
        <f t="shared" si="23"/>
        <v>0</v>
      </c>
    </row>
    <row r="1505" spans="2:18" x14ac:dyDescent="0.35">
      <c r="B1505" s="9">
        <v>1526</v>
      </c>
      <c r="C1505" s="9"/>
      <c r="D1505" s="9"/>
      <c r="E1505" s="9"/>
      <c r="F1505" s="9"/>
      <c r="G1505" s="9"/>
      <c r="H1505" s="9"/>
      <c r="I1505" s="11" t="e">
        <f>VLOOKUP(H1505,위치!B:C,2,0)</f>
        <v>#N/A</v>
      </c>
      <c r="J1505" s="9"/>
      <c r="K1505" s="9"/>
      <c r="L1505" s="9" t="e">
        <f>VLOOKUP(H1505,위치!B:D,3,0)</f>
        <v>#N/A</v>
      </c>
      <c r="M1505" s="12"/>
      <c r="N1505" s="5"/>
      <c r="O1505" s="5"/>
      <c r="P1505" s="5"/>
      <c r="Q1505" s="14"/>
      <c r="R1505" s="15">
        <f t="shared" si="23"/>
        <v>0</v>
      </c>
    </row>
    <row r="1506" spans="2:18" x14ac:dyDescent="0.35">
      <c r="B1506" s="9">
        <v>1527</v>
      </c>
      <c r="C1506" s="9"/>
      <c r="D1506" s="9"/>
      <c r="E1506" s="9"/>
      <c r="F1506" s="9"/>
      <c r="G1506" s="9"/>
      <c r="H1506" s="9"/>
      <c r="I1506" s="11" t="e">
        <f>VLOOKUP(H1506,위치!B:C,2,0)</f>
        <v>#N/A</v>
      </c>
      <c r="J1506" s="9"/>
      <c r="K1506" s="9"/>
      <c r="L1506" s="9" t="e">
        <f>VLOOKUP(H1506,위치!B:D,3,0)</f>
        <v>#N/A</v>
      </c>
      <c r="M1506" s="12"/>
      <c r="N1506" s="5"/>
      <c r="O1506" s="5"/>
      <c r="P1506" s="5"/>
      <c r="Q1506" s="14"/>
      <c r="R1506" s="15">
        <f t="shared" si="23"/>
        <v>0</v>
      </c>
    </row>
    <row r="1507" spans="2:18" x14ac:dyDescent="0.35">
      <c r="B1507" s="9">
        <v>1528</v>
      </c>
      <c r="C1507" s="9"/>
      <c r="D1507" s="9"/>
      <c r="E1507" s="9"/>
      <c r="F1507" s="9"/>
      <c r="G1507" s="9"/>
      <c r="H1507" s="9"/>
      <c r="I1507" s="11" t="e">
        <f>VLOOKUP(H1507,위치!B:C,2,0)</f>
        <v>#N/A</v>
      </c>
      <c r="J1507" s="9"/>
      <c r="K1507" s="9"/>
      <c r="L1507" s="9" t="e">
        <f>VLOOKUP(H1507,위치!B:D,3,0)</f>
        <v>#N/A</v>
      </c>
      <c r="M1507" s="12"/>
      <c r="N1507" s="5"/>
      <c r="O1507" s="5"/>
      <c r="P1507" s="5"/>
      <c r="Q1507" s="14"/>
      <c r="R1507" s="15">
        <f t="shared" si="23"/>
        <v>0</v>
      </c>
    </row>
    <row r="1508" spans="2:18" x14ac:dyDescent="0.35">
      <c r="B1508" s="9">
        <v>1530</v>
      </c>
      <c r="C1508" s="9"/>
      <c r="D1508" s="9"/>
      <c r="E1508" s="9"/>
      <c r="F1508" s="9"/>
      <c r="G1508" s="9"/>
      <c r="H1508" s="9"/>
      <c r="I1508" s="11" t="e">
        <f>VLOOKUP(H1508,위치!B:C,2,0)</f>
        <v>#N/A</v>
      </c>
      <c r="J1508" s="9"/>
      <c r="K1508" s="9"/>
      <c r="L1508" s="9" t="e">
        <f>VLOOKUP(H1508,위치!B:D,3,0)</f>
        <v>#N/A</v>
      </c>
      <c r="M1508" s="12"/>
      <c r="N1508" s="5"/>
      <c r="O1508" s="5"/>
      <c r="P1508" s="5"/>
      <c r="Q1508" s="14"/>
      <c r="R1508" s="15">
        <f t="shared" si="23"/>
        <v>0</v>
      </c>
    </row>
    <row r="1509" spans="2:18" x14ac:dyDescent="0.35">
      <c r="B1509" s="9">
        <v>1531</v>
      </c>
      <c r="C1509" s="9"/>
      <c r="D1509" s="9"/>
      <c r="E1509" s="9"/>
      <c r="F1509" s="9"/>
      <c r="G1509" s="9"/>
      <c r="H1509" s="9"/>
      <c r="I1509" s="11" t="e">
        <f>VLOOKUP(H1509,위치!B:C,2,0)</f>
        <v>#N/A</v>
      </c>
      <c r="J1509" s="9"/>
      <c r="K1509" s="9"/>
      <c r="L1509" s="9" t="e">
        <f>VLOOKUP(H1509,위치!B:D,3,0)</f>
        <v>#N/A</v>
      </c>
      <c r="M1509" s="12"/>
      <c r="N1509" s="5"/>
      <c r="O1509" s="5"/>
      <c r="P1509" s="5"/>
      <c r="Q1509" s="14"/>
      <c r="R1509" s="15">
        <f t="shared" si="23"/>
        <v>0</v>
      </c>
    </row>
    <row r="1510" spans="2:18" x14ac:dyDescent="0.35">
      <c r="B1510" s="9">
        <v>1532</v>
      </c>
      <c r="C1510" s="9"/>
      <c r="D1510" s="9"/>
      <c r="E1510" s="9"/>
      <c r="F1510" s="9"/>
      <c r="G1510" s="9"/>
      <c r="H1510" s="9"/>
      <c r="I1510" s="11" t="e">
        <f>VLOOKUP(H1510,위치!B:C,2,0)</f>
        <v>#N/A</v>
      </c>
      <c r="J1510" s="9"/>
      <c r="K1510" s="9"/>
      <c r="L1510" s="9" t="e">
        <f>VLOOKUP(H1510,위치!B:D,3,0)</f>
        <v>#N/A</v>
      </c>
      <c r="M1510" s="12"/>
      <c r="N1510" s="5"/>
      <c r="O1510" s="5"/>
      <c r="P1510" s="5"/>
      <c r="Q1510" s="14"/>
      <c r="R1510" s="15">
        <f t="shared" si="23"/>
        <v>0</v>
      </c>
    </row>
    <row r="1511" spans="2:18" x14ac:dyDescent="0.35">
      <c r="B1511" s="9">
        <v>1533</v>
      </c>
      <c r="C1511" s="9"/>
      <c r="D1511" s="9"/>
      <c r="E1511" s="9"/>
      <c r="F1511" s="9"/>
      <c r="G1511" s="9"/>
      <c r="H1511" s="9"/>
      <c r="I1511" s="11" t="e">
        <f>VLOOKUP(H1511,위치!B:C,2,0)</f>
        <v>#N/A</v>
      </c>
      <c r="J1511" s="9"/>
      <c r="K1511" s="9"/>
      <c r="L1511" s="9" t="e">
        <f>VLOOKUP(H1511,위치!B:D,3,0)</f>
        <v>#N/A</v>
      </c>
      <c r="M1511" s="12"/>
      <c r="N1511" s="5"/>
      <c r="O1511" s="5"/>
      <c r="P1511" s="5"/>
      <c r="Q1511" s="14"/>
      <c r="R1511" s="15">
        <f t="shared" si="23"/>
        <v>0</v>
      </c>
    </row>
    <row r="1512" spans="2:18" x14ac:dyDescent="0.35">
      <c r="B1512" s="9">
        <v>1534</v>
      </c>
      <c r="C1512" s="9"/>
      <c r="D1512" s="9"/>
      <c r="E1512" s="9"/>
      <c r="F1512" s="9"/>
      <c r="G1512" s="9"/>
      <c r="H1512" s="9"/>
      <c r="I1512" s="11" t="e">
        <f>VLOOKUP(H1512,위치!B:C,2,0)</f>
        <v>#N/A</v>
      </c>
      <c r="J1512" s="9"/>
      <c r="K1512" s="9"/>
      <c r="L1512" s="9" t="e">
        <f>VLOOKUP(H1512,위치!B:D,3,0)</f>
        <v>#N/A</v>
      </c>
      <c r="M1512" s="12"/>
      <c r="N1512" s="5"/>
      <c r="O1512" s="5"/>
      <c r="P1512" s="5"/>
      <c r="Q1512" s="14"/>
      <c r="R1512" s="15">
        <f t="shared" si="23"/>
        <v>0</v>
      </c>
    </row>
    <row r="1513" spans="2:18" x14ac:dyDescent="0.35">
      <c r="B1513" s="9">
        <v>1535</v>
      </c>
      <c r="C1513" s="9"/>
      <c r="D1513" s="9"/>
      <c r="E1513" s="9"/>
      <c r="F1513" s="9"/>
      <c r="G1513" s="9"/>
      <c r="H1513" s="9"/>
      <c r="I1513" s="11" t="e">
        <f>VLOOKUP(H1513,위치!B:C,2,0)</f>
        <v>#N/A</v>
      </c>
      <c r="J1513" s="9"/>
      <c r="K1513" s="9"/>
      <c r="L1513" s="9" t="e">
        <f>VLOOKUP(H1513,위치!B:D,3,0)</f>
        <v>#N/A</v>
      </c>
      <c r="M1513" s="12"/>
      <c r="N1513" s="5"/>
      <c r="O1513" s="5"/>
      <c r="P1513" s="5"/>
      <c r="Q1513" s="14"/>
      <c r="R1513" s="15">
        <f t="shared" si="23"/>
        <v>0</v>
      </c>
    </row>
    <row r="1514" spans="2:18" x14ac:dyDescent="0.35">
      <c r="B1514" s="9">
        <v>1536</v>
      </c>
      <c r="C1514" s="9"/>
      <c r="D1514" s="9"/>
      <c r="E1514" s="9"/>
      <c r="F1514" s="9"/>
      <c r="G1514" s="9"/>
      <c r="H1514" s="9"/>
      <c r="I1514" s="11" t="e">
        <f>VLOOKUP(H1514,위치!B:C,2,0)</f>
        <v>#N/A</v>
      </c>
      <c r="J1514" s="9"/>
      <c r="K1514" s="9"/>
      <c r="L1514" s="9" t="e">
        <f>VLOOKUP(H1514,위치!B:D,3,0)</f>
        <v>#N/A</v>
      </c>
      <c r="M1514" s="12"/>
      <c r="N1514" s="5"/>
      <c r="O1514" s="5"/>
      <c r="P1514" s="5"/>
      <c r="Q1514" s="14"/>
      <c r="R1514" s="15">
        <f t="shared" si="23"/>
        <v>0</v>
      </c>
    </row>
    <row r="1515" spans="2:18" x14ac:dyDescent="0.35">
      <c r="B1515" s="9">
        <v>1537</v>
      </c>
      <c r="C1515" s="9"/>
      <c r="D1515" s="9"/>
      <c r="E1515" s="9"/>
      <c r="F1515" s="9"/>
      <c r="G1515" s="9"/>
      <c r="H1515" s="9"/>
      <c r="I1515" s="11" t="e">
        <f>VLOOKUP(H1515,위치!B:C,2,0)</f>
        <v>#N/A</v>
      </c>
      <c r="J1515" s="9"/>
      <c r="K1515" s="9"/>
      <c r="L1515" s="9" t="e">
        <f>VLOOKUP(H1515,위치!B:D,3,0)</f>
        <v>#N/A</v>
      </c>
      <c r="M1515" s="12"/>
      <c r="N1515" s="5"/>
      <c r="O1515" s="5"/>
      <c r="P1515" s="5"/>
      <c r="Q1515" s="14"/>
      <c r="R1515" s="15">
        <f t="shared" si="23"/>
        <v>0</v>
      </c>
    </row>
    <row r="1516" spans="2:18" x14ac:dyDescent="0.35">
      <c r="B1516" s="9">
        <v>1538</v>
      </c>
      <c r="C1516" s="9"/>
      <c r="D1516" s="9"/>
      <c r="E1516" s="9"/>
      <c r="F1516" s="9"/>
      <c r="G1516" s="9"/>
      <c r="H1516" s="9"/>
      <c r="I1516" s="11" t="e">
        <f>VLOOKUP(H1516,위치!B:C,2,0)</f>
        <v>#N/A</v>
      </c>
      <c r="J1516" s="9"/>
      <c r="K1516" s="9"/>
      <c r="L1516" s="9" t="e">
        <f>VLOOKUP(H1516,위치!B:D,3,0)</f>
        <v>#N/A</v>
      </c>
      <c r="M1516" s="12"/>
      <c r="N1516" s="5"/>
      <c r="O1516" s="5"/>
      <c r="P1516" s="5"/>
      <c r="Q1516" s="14"/>
      <c r="R1516" s="15">
        <f t="shared" si="23"/>
        <v>0</v>
      </c>
    </row>
    <row r="1517" spans="2:18" x14ac:dyDescent="0.35">
      <c r="B1517" s="9">
        <v>1539</v>
      </c>
      <c r="C1517" s="9"/>
      <c r="D1517" s="9"/>
      <c r="E1517" s="9"/>
      <c r="F1517" s="9"/>
      <c r="G1517" s="9"/>
      <c r="H1517" s="9"/>
      <c r="I1517" s="11" t="e">
        <f>VLOOKUP(H1517,위치!B:C,2,0)</f>
        <v>#N/A</v>
      </c>
      <c r="J1517" s="9"/>
      <c r="K1517" s="9"/>
      <c r="L1517" s="9" t="e">
        <f>VLOOKUP(H1517,위치!B:D,3,0)</f>
        <v>#N/A</v>
      </c>
      <c r="M1517" s="12"/>
      <c r="N1517" s="5"/>
      <c r="O1517" s="5"/>
      <c r="P1517" s="5"/>
      <c r="Q1517" s="14"/>
      <c r="R1517" s="15">
        <f t="shared" si="23"/>
        <v>0</v>
      </c>
    </row>
    <row r="1518" spans="2:18" x14ac:dyDescent="0.35">
      <c r="B1518" s="9">
        <v>1540</v>
      </c>
      <c r="C1518" s="9"/>
      <c r="D1518" s="9"/>
      <c r="E1518" s="9"/>
      <c r="F1518" s="9"/>
      <c r="G1518" s="9"/>
      <c r="H1518" s="9"/>
      <c r="I1518" s="11" t="e">
        <f>VLOOKUP(H1518,위치!B:C,2,0)</f>
        <v>#N/A</v>
      </c>
      <c r="J1518" s="9"/>
      <c r="K1518" s="9"/>
      <c r="L1518" s="9" t="e">
        <f>VLOOKUP(H1518,위치!B:D,3,0)</f>
        <v>#N/A</v>
      </c>
      <c r="M1518" s="12"/>
      <c r="N1518" s="5"/>
      <c r="O1518" s="5"/>
      <c r="P1518" s="5"/>
      <c r="Q1518" s="14"/>
      <c r="R1518" s="15">
        <f t="shared" si="23"/>
        <v>0</v>
      </c>
    </row>
    <row r="1519" spans="2:18" x14ac:dyDescent="0.35">
      <c r="B1519" s="9">
        <v>1541</v>
      </c>
      <c r="C1519" s="9"/>
      <c r="D1519" s="9"/>
      <c r="E1519" s="9"/>
      <c r="F1519" s="9"/>
      <c r="G1519" s="9"/>
      <c r="H1519" s="9"/>
      <c r="I1519" s="11" t="e">
        <f>VLOOKUP(H1519,위치!B:C,2,0)</f>
        <v>#N/A</v>
      </c>
      <c r="J1519" s="9"/>
      <c r="K1519" s="9"/>
      <c r="L1519" s="9" t="e">
        <f>VLOOKUP(H1519,위치!B:D,3,0)</f>
        <v>#N/A</v>
      </c>
      <c r="M1519" s="12"/>
      <c r="N1519" s="5"/>
      <c r="O1519" s="5"/>
      <c r="P1519" s="5"/>
      <c r="Q1519" s="14"/>
      <c r="R1519" s="15">
        <f t="shared" si="23"/>
        <v>0</v>
      </c>
    </row>
    <row r="1520" spans="2:18" x14ac:dyDescent="0.35">
      <c r="B1520" s="9">
        <v>1542</v>
      </c>
      <c r="C1520" s="9"/>
      <c r="D1520" s="9"/>
      <c r="E1520" s="9"/>
      <c r="F1520" s="9"/>
      <c r="G1520" s="9"/>
      <c r="H1520" s="9"/>
      <c r="I1520" s="11" t="e">
        <f>VLOOKUP(H1520,위치!B:C,2,0)</f>
        <v>#N/A</v>
      </c>
      <c r="J1520" s="9"/>
      <c r="K1520" s="9"/>
      <c r="L1520" s="9" t="e">
        <f>VLOOKUP(H1520,위치!B:D,3,0)</f>
        <v>#N/A</v>
      </c>
      <c r="M1520" s="12"/>
      <c r="N1520" s="5"/>
      <c r="O1520" s="5"/>
      <c r="P1520" s="5"/>
      <c r="Q1520" s="14"/>
      <c r="R1520" s="15">
        <f t="shared" si="23"/>
        <v>0</v>
      </c>
    </row>
    <row r="1521" spans="2:18" x14ac:dyDescent="0.35">
      <c r="B1521" s="9">
        <v>1543</v>
      </c>
      <c r="C1521" s="9"/>
      <c r="D1521" s="9"/>
      <c r="E1521" s="9"/>
      <c r="F1521" s="9"/>
      <c r="G1521" s="9"/>
      <c r="H1521" s="9"/>
      <c r="I1521" s="11" t="e">
        <f>VLOOKUP(H1521,위치!B:C,2,0)</f>
        <v>#N/A</v>
      </c>
      <c r="J1521" s="9"/>
      <c r="K1521" s="9"/>
      <c r="L1521" s="9" t="e">
        <f>VLOOKUP(H1521,위치!B:D,3,0)</f>
        <v>#N/A</v>
      </c>
      <c r="M1521" s="12"/>
      <c r="N1521" s="5"/>
      <c r="O1521" s="5"/>
      <c r="P1521" s="5"/>
      <c r="Q1521" s="14"/>
      <c r="R1521" s="15">
        <f t="shared" si="23"/>
        <v>0</v>
      </c>
    </row>
    <row r="1522" spans="2:18" x14ac:dyDescent="0.35">
      <c r="B1522" s="9">
        <v>1544</v>
      </c>
      <c r="C1522" s="9"/>
      <c r="D1522" s="9"/>
      <c r="E1522" s="9"/>
      <c r="F1522" s="9"/>
      <c r="G1522" s="9"/>
      <c r="H1522" s="9"/>
      <c r="I1522" s="11" t="e">
        <f>VLOOKUP(H1522,위치!B:C,2,0)</f>
        <v>#N/A</v>
      </c>
      <c r="J1522" s="9"/>
      <c r="K1522" s="9"/>
      <c r="L1522" s="9" t="e">
        <f>VLOOKUP(H1522,위치!B:D,3,0)</f>
        <v>#N/A</v>
      </c>
      <c r="M1522" s="12"/>
      <c r="N1522" s="5"/>
      <c r="O1522" s="5"/>
      <c r="P1522" s="5"/>
      <c r="Q1522" s="14"/>
      <c r="R1522" s="15">
        <f t="shared" si="23"/>
        <v>0</v>
      </c>
    </row>
    <row r="1523" spans="2:18" x14ac:dyDescent="0.35">
      <c r="B1523" s="9">
        <v>1545</v>
      </c>
      <c r="C1523" s="9"/>
      <c r="D1523" s="9"/>
      <c r="E1523" s="9"/>
      <c r="F1523" s="9"/>
      <c r="G1523" s="9"/>
      <c r="H1523" s="9"/>
      <c r="I1523" s="11" t="e">
        <f>VLOOKUP(H1523,위치!B:C,2,0)</f>
        <v>#N/A</v>
      </c>
      <c r="J1523" s="9"/>
      <c r="K1523" s="9"/>
      <c r="L1523" s="9" t="e">
        <f>VLOOKUP(H1523,위치!B:D,3,0)</f>
        <v>#N/A</v>
      </c>
      <c r="M1523" s="12"/>
      <c r="N1523" s="5"/>
      <c r="O1523" s="5"/>
      <c r="P1523" s="5"/>
      <c r="Q1523" s="14"/>
      <c r="R1523" s="15">
        <f t="shared" si="23"/>
        <v>0</v>
      </c>
    </row>
    <row r="1524" spans="2:18" x14ac:dyDescent="0.35">
      <c r="B1524" s="9">
        <v>1546</v>
      </c>
      <c r="C1524" s="9"/>
      <c r="D1524" s="9"/>
      <c r="E1524" s="9"/>
      <c r="F1524" s="9"/>
      <c r="G1524" s="9"/>
      <c r="H1524" s="9"/>
      <c r="I1524" s="11" t="e">
        <f>VLOOKUP(H1524,위치!B:C,2,0)</f>
        <v>#N/A</v>
      </c>
      <c r="J1524" s="9"/>
      <c r="K1524" s="9"/>
      <c r="L1524" s="9" t="e">
        <f>VLOOKUP(H1524,위치!B:D,3,0)</f>
        <v>#N/A</v>
      </c>
      <c r="M1524" s="12"/>
      <c r="N1524" s="5"/>
      <c r="O1524" s="5"/>
      <c r="P1524" s="5"/>
      <c r="Q1524" s="14"/>
      <c r="R1524" s="15">
        <f t="shared" si="23"/>
        <v>0</v>
      </c>
    </row>
    <row r="1525" spans="2:18" x14ac:dyDescent="0.35">
      <c r="B1525" s="9">
        <v>1547</v>
      </c>
      <c r="C1525" s="9"/>
      <c r="D1525" s="9"/>
      <c r="E1525" s="9"/>
      <c r="F1525" s="9"/>
      <c r="G1525" s="9"/>
      <c r="H1525" s="9"/>
      <c r="I1525" s="11" t="e">
        <f>VLOOKUP(H1525,위치!B:C,2,0)</f>
        <v>#N/A</v>
      </c>
      <c r="J1525" s="9"/>
      <c r="K1525" s="9"/>
      <c r="L1525" s="9" t="e">
        <f>VLOOKUP(H1525,위치!B:D,3,0)</f>
        <v>#N/A</v>
      </c>
      <c r="M1525" s="12"/>
      <c r="N1525" s="5"/>
      <c r="O1525" s="5"/>
      <c r="P1525" s="5"/>
      <c r="Q1525" s="14"/>
      <c r="R1525" s="15">
        <f t="shared" si="23"/>
        <v>0</v>
      </c>
    </row>
    <row r="1526" spans="2:18" x14ac:dyDescent="0.35">
      <c r="B1526" s="9">
        <v>1548</v>
      </c>
      <c r="C1526" s="9"/>
      <c r="D1526" s="9"/>
      <c r="E1526" s="9"/>
      <c r="F1526" s="9"/>
      <c r="G1526" s="9"/>
      <c r="H1526" s="9"/>
      <c r="I1526" s="11" t="e">
        <f>VLOOKUP(H1526,위치!B:C,2,0)</f>
        <v>#N/A</v>
      </c>
      <c r="J1526" s="9"/>
      <c r="K1526" s="9"/>
      <c r="L1526" s="9" t="e">
        <f>VLOOKUP(H1526,위치!B:D,3,0)</f>
        <v>#N/A</v>
      </c>
      <c r="M1526" s="12"/>
      <c r="N1526" s="5"/>
      <c r="O1526" s="5"/>
      <c r="P1526" s="5"/>
      <c r="Q1526" s="14"/>
      <c r="R1526" s="15">
        <f t="shared" si="23"/>
        <v>0</v>
      </c>
    </row>
    <row r="1527" spans="2:18" x14ac:dyDescent="0.35">
      <c r="B1527" s="9">
        <v>1549</v>
      </c>
      <c r="C1527" s="9"/>
      <c r="D1527" s="9"/>
      <c r="E1527" s="9"/>
      <c r="F1527" s="9"/>
      <c r="G1527" s="9"/>
      <c r="H1527" s="9"/>
      <c r="I1527" s="11" t="e">
        <f>VLOOKUP(H1527,위치!B:C,2,0)</f>
        <v>#N/A</v>
      </c>
      <c r="J1527" s="9"/>
      <c r="K1527" s="9"/>
      <c r="L1527" s="9" t="e">
        <f>VLOOKUP(H1527,위치!B:D,3,0)</f>
        <v>#N/A</v>
      </c>
      <c r="M1527" s="12"/>
      <c r="N1527" s="5"/>
      <c r="O1527" s="5"/>
      <c r="P1527" s="5"/>
      <c r="Q1527" s="14"/>
      <c r="R1527" s="15">
        <f t="shared" si="23"/>
        <v>0</v>
      </c>
    </row>
    <row r="1528" spans="2:18" x14ac:dyDescent="0.35">
      <c r="B1528" s="9">
        <v>1550</v>
      </c>
      <c r="C1528" s="9"/>
      <c r="D1528" s="9"/>
      <c r="E1528" s="9"/>
      <c r="F1528" s="9"/>
      <c r="G1528" s="9"/>
      <c r="H1528" s="10"/>
      <c r="I1528" s="11" t="e">
        <f>VLOOKUP(H1528,위치!B:C,2,0)</f>
        <v>#N/A</v>
      </c>
      <c r="J1528" s="9"/>
      <c r="K1528" s="9"/>
      <c r="L1528" s="9" t="e">
        <f>VLOOKUP(H1528,위치!B:D,3,0)</f>
        <v>#N/A</v>
      </c>
      <c r="M1528" s="12"/>
      <c r="N1528" s="5"/>
      <c r="O1528" s="5"/>
      <c r="P1528" s="5"/>
      <c r="Q1528" s="14"/>
      <c r="R1528" s="15">
        <f t="shared" si="23"/>
        <v>0</v>
      </c>
    </row>
    <row r="1529" spans="2:18" x14ac:dyDescent="0.35">
      <c r="B1529" s="9">
        <v>1551</v>
      </c>
      <c r="C1529" s="9"/>
      <c r="D1529" s="9"/>
      <c r="E1529" s="9"/>
      <c r="F1529" s="9"/>
      <c r="G1529" s="9"/>
      <c r="H1529" s="9"/>
      <c r="I1529" s="11" t="e">
        <f>VLOOKUP(H1529,위치!B:C,2,0)</f>
        <v>#N/A</v>
      </c>
      <c r="J1529" s="9"/>
      <c r="K1529" s="9"/>
      <c r="L1529" s="9" t="e">
        <f>VLOOKUP(H1529,위치!B:D,3,0)</f>
        <v>#N/A</v>
      </c>
      <c r="M1529" s="12"/>
      <c r="N1529" s="5"/>
      <c r="O1529" s="5"/>
      <c r="P1529" s="5"/>
      <c r="Q1529" s="14"/>
      <c r="R1529" s="15">
        <f t="shared" si="23"/>
        <v>0</v>
      </c>
    </row>
    <row r="1530" spans="2:18" x14ac:dyDescent="0.35">
      <c r="B1530" s="9">
        <v>1552</v>
      </c>
      <c r="C1530" s="9"/>
      <c r="D1530" s="9"/>
      <c r="E1530" s="9"/>
      <c r="F1530" s="9"/>
      <c r="G1530" s="9"/>
      <c r="H1530" s="9"/>
      <c r="I1530" s="11" t="e">
        <f>VLOOKUP(H1530,위치!B:C,2,0)</f>
        <v>#N/A</v>
      </c>
      <c r="J1530" s="9"/>
      <c r="K1530" s="9"/>
      <c r="L1530" s="9" t="e">
        <f>VLOOKUP(H1530,위치!B:D,3,0)</f>
        <v>#N/A</v>
      </c>
      <c r="M1530" s="12"/>
      <c r="N1530" s="5"/>
      <c r="O1530" s="5"/>
      <c r="P1530" s="5"/>
      <c r="Q1530" s="14"/>
      <c r="R1530" s="15">
        <f t="shared" si="23"/>
        <v>0</v>
      </c>
    </row>
    <row r="1531" spans="2:18" x14ac:dyDescent="0.35">
      <c r="B1531" s="9">
        <v>1553</v>
      </c>
      <c r="C1531" s="9"/>
      <c r="D1531" s="9"/>
      <c r="E1531" s="9"/>
      <c r="F1531" s="9"/>
      <c r="G1531" s="9"/>
      <c r="H1531" s="9"/>
      <c r="I1531" s="11" t="e">
        <f>VLOOKUP(H1531,위치!B:C,2,0)</f>
        <v>#N/A</v>
      </c>
      <c r="J1531" s="9"/>
      <c r="K1531" s="9"/>
      <c r="L1531" s="9" t="e">
        <f>VLOOKUP(H1531,위치!B:D,3,0)</f>
        <v>#N/A</v>
      </c>
      <c r="M1531" s="12"/>
      <c r="N1531" s="5"/>
      <c r="O1531" s="5"/>
      <c r="P1531" s="5"/>
      <c r="Q1531" s="14"/>
      <c r="R1531" s="15">
        <f t="shared" si="23"/>
        <v>0</v>
      </c>
    </row>
    <row r="1532" spans="2:18" x14ac:dyDescent="0.35">
      <c r="B1532" s="9">
        <v>1554</v>
      </c>
      <c r="C1532" s="9"/>
      <c r="D1532" s="9"/>
      <c r="E1532" s="9"/>
      <c r="F1532" s="9"/>
      <c r="G1532" s="9"/>
      <c r="H1532" s="9"/>
      <c r="I1532" s="11" t="e">
        <f>VLOOKUP(H1532,위치!B:C,2,0)</f>
        <v>#N/A</v>
      </c>
      <c r="J1532" s="9"/>
      <c r="K1532" s="9"/>
      <c r="L1532" s="9" t="e">
        <f>VLOOKUP(H1532,위치!B:D,3,0)</f>
        <v>#N/A</v>
      </c>
      <c r="M1532" s="12"/>
      <c r="N1532" s="5"/>
      <c r="O1532" s="5"/>
      <c r="P1532" s="5"/>
      <c r="Q1532" s="14"/>
      <c r="R1532" s="15">
        <f t="shared" si="23"/>
        <v>0</v>
      </c>
    </row>
    <row r="1533" spans="2:18" x14ac:dyDescent="0.35">
      <c r="B1533" s="9">
        <v>1555</v>
      </c>
      <c r="C1533" s="9"/>
      <c r="D1533" s="9"/>
      <c r="E1533" s="9"/>
      <c r="F1533" s="9"/>
      <c r="G1533" s="9"/>
      <c r="H1533" s="9"/>
      <c r="I1533" s="11" t="e">
        <f>VLOOKUP(H1533,위치!B:C,2,0)</f>
        <v>#N/A</v>
      </c>
      <c r="J1533" s="9"/>
      <c r="K1533" s="9"/>
      <c r="L1533" s="9" t="e">
        <f>VLOOKUP(H1533,위치!B:D,3,0)</f>
        <v>#N/A</v>
      </c>
      <c r="M1533" s="12"/>
      <c r="N1533" s="5"/>
      <c r="O1533" s="5"/>
      <c r="P1533" s="5"/>
      <c r="Q1533" s="14"/>
      <c r="R1533" s="15">
        <f t="shared" si="23"/>
        <v>0</v>
      </c>
    </row>
    <row r="1534" spans="2:18" x14ac:dyDescent="0.35">
      <c r="B1534" s="9">
        <v>1556</v>
      </c>
      <c r="C1534" s="9"/>
      <c r="D1534" s="9"/>
      <c r="E1534" s="9"/>
      <c r="F1534" s="9"/>
      <c r="G1534" s="9"/>
      <c r="H1534" s="9"/>
      <c r="I1534" s="11" t="e">
        <f>VLOOKUP(H1534,위치!B:C,2,0)</f>
        <v>#N/A</v>
      </c>
      <c r="J1534" s="9"/>
      <c r="K1534" s="9"/>
      <c r="L1534" s="9" t="e">
        <f>VLOOKUP(H1534,위치!B:D,3,0)</f>
        <v>#N/A</v>
      </c>
      <c r="M1534" s="12"/>
      <c r="N1534" s="5"/>
      <c r="O1534" s="5"/>
      <c r="P1534" s="5"/>
      <c r="Q1534" s="14"/>
      <c r="R1534" s="15">
        <f t="shared" si="23"/>
        <v>0</v>
      </c>
    </row>
    <row r="1535" spans="2:18" x14ac:dyDescent="0.35">
      <c r="B1535" s="9">
        <v>1557</v>
      </c>
      <c r="C1535" s="9"/>
      <c r="D1535" s="9"/>
      <c r="E1535" s="9"/>
      <c r="F1535" s="9"/>
      <c r="G1535" s="9"/>
      <c r="H1535" s="9"/>
      <c r="I1535" s="11" t="e">
        <f>VLOOKUP(H1535,위치!B:C,2,0)</f>
        <v>#N/A</v>
      </c>
      <c r="J1535" s="9"/>
      <c r="K1535" s="9"/>
      <c r="L1535" s="9" t="e">
        <f>VLOOKUP(H1535,위치!B:D,3,0)</f>
        <v>#N/A</v>
      </c>
      <c r="M1535" s="12"/>
      <c r="N1535" s="5"/>
      <c r="O1535" s="5"/>
      <c r="P1535" s="5"/>
      <c r="Q1535" s="14"/>
      <c r="R1535" s="15">
        <f t="shared" si="23"/>
        <v>0</v>
      </c>
    </row>
    <row r="1536" spans="2:18" x14ac:dyDescent="0.35">
      <c r="B1536" s="9">
        <v>1558</v>
      </c>
      <c r="C1536" s="9"/>
      <c r="D1536" s="9"/>
      <c r="E1536" s="9"/>
      <c r="F1536" s="9"/>
      <c r="G1536" s="9"/>
      <c r="H1536" s="9"/>
      <c r="I1536" s="11" t="e">
        <f>VLOOKUP(H1536,위치!B:C,2,0)</f>
        <v>#N/A</v>
      </c>
      <c r="J1536" s="9"/>
      <c r="K1536" s="9"/>
      <c r="L1536" s="9" t="e">
        <f>VLOOKUP(H1536,위치!B:D,3,0)</f>
        <v>#N/A</v>
      </c>
      <c r="M1536" s="12"/>
      <c r="N1536" s="5"/>
      <c r="O1536" s="5"/>
      <c r="P1536" s="5"/>
      <c r="Q1536" s="14"/>
      <c r="R1536" s="15">
        <f t="shared" si="23"/>
        <v>0</v>
      </c>
    </row>
    <row r="1537" spans="2:18" x14ac:dyDescent="0.35">
      <c r="B1537" s="9">
        <v>1559</v>
      </c>
      <c r="C1537" s="9"/>
      <c r="D1537" s="9"/>
      <c r="E1537" s="9"/>
      <c r="F1537" s="9"/>
      <c r="G1537" s="9"/>
      <c r="H1537" s="9"/>
      <c r="I1537" s="11" t="e">
        <f>VLOOKUP(H1537,위치!B:C,2,0)</f>
        <v>#N/A</v>
      </c>
      <c r="J1537" s="9"/>
      <c r="K1537" s="9"/>
      <c r="L1537" s="9" t="e">
        <f>VLOOKUP(H1537,위치!B:D,3,0)</f>
        <v>#N/A</v>
      </c>
      <c r="M1537" s="12"/>
      <c r="N1537" s="5"/>
      <c r="O1537" s="5"/>
      <c r="P1537" s="5"/>
      <c r="Q1537" s="14"/>
      <c r="R1537" s="15">
        <f t="shared" si="23"/>
        <v>0</v>
      </c>
    </row>
    <row r="1538" spans="2:18" x14ac:dyDescent="0.35">
      <c r="B1538" s="9">
        <v>1560</v>
      </c>
      <c r="C1538" s="9"/>
      <c r="D1538" s="9"/>
      <c r="E1538" s="9"/>
      <c r="F1538" s="9"/>
      <c r="G1538" s="9"/>
      <c r="H1538" s="9"/>
      <c r="I1538" s="11" t="e">
        <f>VLOOKUP(H1538,위치!B:C,2,0)</f>
        <v>#N/A</v>
      </c>
      <c r="J1538" s="9"/>
      <c r="K1538" s="9"/>
      <c r="L1538" s="9" t="e">
        <f>VLOOKUP(H1538,위치!B:D,3,0)</f>
        <v>#N/A</v>
      </c>
      <c r="M1538" s="12"/>
      <c r="N1538" s="5"/>
      <c r="O1538" s="5"/>
      <c r="P1538" s="5"/>
      <c r="Q1538" s="14"/>
      <c r="R1538" s="15">
        <f t="shared" si="23"/>
        <v>0</v>
      </c>
    </row>
    <row r="1539" spans="2:18" x14ac:dyDescent="0.35">
      <c r="B1539" s="9">
        <v>1561</v>
      </c>
      <c r="C1539" s="9"/>
      <c r="D1539" s="9"/>
      <c r="E1539" s="9"/>
      <c r="F1539" s="9"/>
      <c r="G1539" s="9"/>
      <c r="H1539" s="9"/>
      <c r="I1539" s="11" t="e">
        <f>VLOOKUP(H1539,위치!B:C,2,0)</f>
        <v>#N/A</v>
      </c>
      <c r="J1539" s="9"/>
      <c r="K1539" s="9"/>
      <c r="L1539" s="9" t="e">
        <f>VLOOKUP(H1539,위치!B:D,3,0)</f>
        <v>#N/A</v>
      </c>
      <c r="M1539" s="12"/>
      <c r="N1539" s="5"/>
      <c r="O1539" s="5"/>
      <c r="P1539" s="5"/>
      <c r="Q1539" s="14"/>
      <c r="R1539" s="15">
        <f t="shared" si="23"/>
        <v>0</v>
      </c>
    </row>
    <row r="1540" spans="2:18" x14ac:dyDescent="0.35">
      <c r="B1540" s="9">
        <v>1562</v>
      </c>
      <c r="C1540" s="9"/>
      <c r="D1540" s="9"/>
      <c r="E1540" s="9"/>
      <c r="F1540" s="9"/>
      <c r="G1540" s="9"/>
      <c r="H1540" s="9"/>
      <c r="I1540" s="11" t="e">
        <f>VLOOKUP(H1540,위치!B:C,2,0)</f>
        <v>#N/A</v>
      </c>
      <c r="J1540" s="9"/>
      <c r="K1540" s="9"/>
      <c r="L1540" s="9" t="e">
        <f>VLOOKUP(H1540,위치!B:D,3,0)</f>
        <v>#N/A</v>
      </c>
      <c r="M1540" s="12"/>
      <c r="N1540" s="5"/>
      <c r="O1540" s="5"/>
      <c r="P1540" s="5"/>
      <c r="Q1540" s="14"/>
      <c r="R1540" s="15">
        <f t="shared" si="23"/>
        <v>0</v>
      </c>
    </row>
    <row r="1541" spans="2:18" x14ac:dyDescent="0.35">
      <c r="B1541" s="9">
        <v>1563</v>
      </c>
      <c r="C1541" s="9"/>
      <c r="D1541" s="9"/>
      <c r="E1541" s="9"/>
      <c r="F1541" s="9"/>
      <c r="G1541" s="9"/>
      <c r="H1541" s="9"/>
      <c r="I1541" s="11" t="e">
        <f>VLOOKUP(H1541,위치!B:C,2,0)</f>
        <v>#N/A</v>
      </c>
      <c r="J1541" s="9"/>
      <c r="K1541" s="9"/>
      <c r="L1541" s="9" t="e">
        <f>VLOOKUP(H1541,위치!B:D,3,0)</f>
        <v>#N/A</v>
      </c>
      <c r="M1541" s="12"/>
      <c r="N1541" s="5"/>
      <c r="O1541" s="5"/>
      <c r="P1541" s="5"/>
      <c r="Q1541" s="14"/>
      <c r="R1541" s="15">
        <f t="shared" si="23"/>
        <v>0</v>
      </c>
    </row>
    <row r="1542" spans="2:18" x14ac:dyDescent="0.35">
      <c r="B1542" s="9">
        <v>1564</v>
      </c>
      <c r="C1542" s="9"/>
      <c r="D1542" s="9"/>
      <c r="E1542" s="9"/>
      <c r="F1542" s="9"/>
      <c r="G1542" s="9"/>
      <c r="H1542" s="9"/>
      <c r="I1542" s="11" t="e">
        <f>VLOOKUP(H1542,위치!B:C,2,0)</f>
        <v>#N/A</v>
      </c>
      <c r="J1542" s="9"/>
      <c r="K1542" s="9"/>
      <c r="L1542" s="9" t="e">
        <f>VLOOKUP(H1542,위치!B:D,3,0)</f>
        <v>#N/A</v>
      </c>
      <c r="M1542" s="12"/>
      <c r="N1542" s="5"/>
      <c r="O1542" s="5"/>
      <c r="P1542" s="5"/>
      <c r="Q1542" s="14"/>
      <c r="R1542" s="15">
        <f t="shared" si="23"/>
        <v>0</v>
      </c>
    </row>
    <row r="1543" spans="2:18" x14ac:dyDescent="0.35">
      <c r="B1543" s="9">
        <v>1565</v>
      </c>
      <c r="C1543" s="9"/>
      <c r="D1543" s="9"/>
      <c r="E1543" s="9"/>
      <c r="F1543" s="9"/>
      <c r="G1543" s="9"/>
      <c r="H1543" s="9"/>
      <c r="I1543" s="11" t="e">
        <f>VLOOKUP(H1543,위치!B:C,2,0)</f>
        <v>#N/A</v>
      </c>
      <c r="J1543" s="9"/>
      <c r="K1543" s="9"/>
      <c r="L1543" s="9" t="e">
        <f>VLOOKUP(H1543,위치!B:D,3,0)</f>
        <v>#N/A</v>
      </c>
      <c r="M1543" s="12"/>
      <c r="N1543" s="5"/>
      <c r="O1543" s="5"/>
      <c r="P1543" s="5"/>
      <c r="Q1543" s="14"/>
      <c r="R1543" s="15">
        <f t="shared" ref="R1543:R1606" si="24">J1543-P1543</f>
        <v>0</v>
      </c>
    </row>
    <row r="1544" spans="2:18" x14ac:dyDescent="0.35">
      <c r="B1544" s="9">
        <v>1566</v>
      </c>
      <c r="C1544" s="9"/>
      <c r="D1544" s="9"/>
      <c r="E1544" s="9"/>
      <c r="F1544" s="9"/>
      <c r="G1544" s="9"/>
      <c r="H1544" s="9"/>
      <c r="I1544" s="11" t="e">
        <f>VLOOKUP(H1544,위치!B:C,2,0)</f>
        <v>#N/A</v>
      </c>
      <c r="J1544" s="9"/>
      <c r="K1544" s="9"/>
      <c r="L1544" s="9" t="e">
        <f>VLOOKUP(H1544,위치!B:D,3,0)</f>
        <v>#N/A</v>
      </c>
      <c r="M1544" s="12"/>
      <c r="N1544" s="5"/>
      <c r="O1544" s="5"/>
      <c r="P1544" s="5"/>
      <c r="Q1544" s="14"/>
      <c r="R1544" s="15">
        <f t="shared" si="24"/>
        <v>0</v>
      </c>
    </row>
    <row r="1545" spans="2:18" x14ac:dyDescent="0.35">
      <c r="B1545" s="9">
        <v>1567</v>
      </c>
      <c r="C1545" s="9"/>
      <c r="D1545" s="9"/>
      <c r="E1545" s="9"/>
      <c r="F1545" s="9"/>
      <c r="G1545" s="9"/>
      <c r="H1545" s="9"/>
      <c r="I1545" s="11" t="e">
        <f>VLOOKUP(H1545,위치!B:C,2,0)</f>
        <v>#N/A</v>
      </c>
      <c r="J1545" s="9"/>
      <c r="K1545" s="9"/>
      <c r="L1545" s="9" t="e">
        <f>VLOOKUP(H1545,위치!B:D,3,0)</f>
        <v>#N/A</v>
      </c>
      <c r="M1545" s="12"/>
      <c r="N1545" s="5"/>
      <c r="O1545" s="5"/>
      <c r="P1545" s="5"/>
      <c r="Q1545" s="14"/>
      <c r="R1545" s="15">
        <f t="shared" si="24"/>
        <v>0</v>
      </c>
    </row>
    <row r="1546" spans="2:18" x14ac:dyDescent="0.35">
      <c r="B1546" s="9">
        <v>1568</v>
      </c>
      <c r="C1546" s="9"/>
      <c r="D1546" s="9"/>
      <c r="E1546" s="9"/>
      <c r="F1546" s="9"/>
      <c r="G1546" s="9"/>
      <c r="H1546" s="9"/>
      <c r="I1546" s="11" t="e">
        <f>VLOOKUP(H1546,위치!B:C,2,0)</f>
        <v>#N/A</v>
      </c>
      <c r="J1546" s="9"/>
      <c r="K1546" s="9"/>
      <c r="L1546" s="9" t="e">
        <f>VLOOKUP(H1546,위치!B:D,3,0)</f>
        <v>#N/A</v>
      </c>
      <c r="M1546" s="12"/>
      <c r="N1546" s="5"/>
      <c r="O1546" s="5"/>
      <c r="P1546" s="5"/>
      <c r="Q1546" s="14"/>
      <c r="R1546" s="15">
        <f t="shared" si="24"/>
        <v>0</v>
      </c>
    </row>
    <row r="1547" spans="2:18" x14ac:dyDescent="0.35">
      <c r="B1547" s="9">
        <v>1569</v>
      </c>
      <c r="C1547" s="9"/>
      <c r="D1547" s="9"/>
      <c r="E1547" s="9"/>
      <c r="F1547" s="9"/>
      <c r="G1547" s="9"/>
      <c r="H1547" s="9"/>
      <c r="I1547" s="11" t="e">
        <f>VLOOKUP(H1547,위치!B:C,2,0)</f>
        <v>#N/A</v>
      </c>
      <c r="J1547" s="9"/>
      <c r="K1547" s="9"/>
      <c r="L1547" s="9" t="e">
        <f>VLOOKUP(H1547,위치!B:D,3,0)</f>
        <v>#N/A</v>
      </c>
      <c r="M1547" s="12"/>
      <c r="N1547" s="5"/>
      <c r="O1547" s="5"/>
      <c r="P1547" s="5"/>
      <c r="Q1547" s="14"/>
      <c r="R1547" s="15">
        <f t="shared" si="24"/>
        <v>0</v>
      </c>
    </row>
    <row r="1548" spans="2:18" x14ac:dyDescent="0.35">
      <c r="B1548" s="9">
        <v>1570</v>
      </c>
      <c r="C1548" s="9"/>
      <c r="D1548" s="9"/>
      <c r="E1548" s="9"/>
      <c r="F1548" s="9"/>
      <c r="G1548" s="9"/>
      <c r="H1548" s="9"/>
      <c r="I1548" s="11" t="e">
        <f>VLOOKUP(H1548,위치!B:C,2,0)</f>
        <v>#N/A</v>
      </c>
      <c r="J1548" s="9"/>
      <c r="K1548" s="9"/>
      <c r="L1548" s="9" t="e">
        <f>VLOOKUP(H1548,위치!B:D,3,0)</f>
        <v>#N/A</v>
      </c>
      <c r="M1548" s="12"/>
      <c r="N1548" s="5"/>
      <c r="O1548" s="5"/>
      <c r="P1548" s="5"/>
      <c r="Q1548" s="14"/>
      <c r="R1548" s="15">
        <f t="shared" si="24"/>
        <v>0</v>
      </c>
    </row>
    <row r="1549" spans="2:18" x14ac:dyDescent="0.35">
      <c r="B1549" s="9">
        <v>1571</v>
      </c>
      <c r="C1549" s="9"/>
      <c r="D1549" s="9"/>
      <c r="E1549" s="9"/>
      <c r="F1549" s="9"/>
      <c r="G1549" s="9"/>
      <c r="H1549" s="9"/>
      <c r="I1549" s="11" t="e">
        <f>VLOOKUP(H1549,위치!B:C,2,0)</f>
        <v>#N/A</v>
      </c>
      <c r="J1549" s="9"/>
      <c r="K1549" s="9"/>
      <c r="L1549" s="9" t="e">
        <f>VLOOKUP(H1549,위치!B:D,3,0)</f>
        <v>#N/A</v>
      </c>
      <c r="M1549" s="12"/>
      <c r="N1549" s="5"/>
      <c r="O1549" s="5"/>
      <c r="P1549" s="5"/>
      <c r="Q1549" s="14"/>
      <c r="R1549" s="15">
        <f t="shared" si="24"/>
        <v>0</v>
      </c>
    </row>
    <row r="1550" spans="2:18" x14ac:dyDescent="0.35">
      <c r="B1550" s="9">
        <v>1572</v>
      </c>
      <c r="C1550" s="9"/>
      <c r="D1550" s="9"/>
      <c r="E1550" s="9"/>
      <c r="F1550" s="9"/>
      <c r="G1550" s="9"/>
      <c r="H1550" s="9"/>
      <c r="I1550" s="11" t="e">
        <f>VLOOKUP(H1550,위치!B:C,2,0)</f>
        <v>#N/A</v>
      </c>
      <c r="J1550" s="9"/>
      <c r="K1550" s="9"/>
      <c r="L1550" s="9" t="e">
        <f>VLOOKUP(H1550,위치!B:D,3,0)</f>
        <v>#N/A</v>
      </c>
      <c r="M1550" s="12"/>
      <c r="N1550" s="5"/>
      <c r="O1550" s="5"/>
      <c r="P1550" s="5"/>
      <c r="Q1550" s="14"/>
      <c r="R1550" s="15">
        <f t="shared" si="24"/>
        <v>0</v>
      </c>
    </row>
    <row r="1551" spans="2:18" x14ac:dyDescent="0.35">
      <c r="B1551" s="9">
        <v>1573</v>
      </c>
      <c r="C1551" s="9"/>
      <c r="D1551" s="9"/>
      <c r="E1551" s="9"/>
      <c r="F1551" s="9"/>
      <c r="G1551" s="9"/>
      <c r="H1551" s="9"/>
      <c r="I1551" s="11" t="e">
        <f>VLOOKUP(H1551,위치!B:C,2,0)</f>
        <v>#N/A</v>
      </c>
      <c r="J1551" s="9"/>
      <c r="K1551" s="9"/>
      <c r="L1551" s="9" t="e">
        <f>VLOOKUP(H1551,위치!B:D,3,0)</f>
        <v>#N/A</v>
      </c>
      <c r="M1551" s="12"/>
      <c r="N1551" s="5"/>
      <c r="O1551" s="5"/>
      <c r="P1551" s="5"/>
      <c r="Q1551" s="14"/>
      <c r="R1551" s="15">
        <f t="shared" si="24"/>
        <v>0</v>
      </c>
    </row>
    <row r="1552" spans="2:18" x14ac:dyDescent="0.35">
      <c r="B1552" s="9">
        <v>1574</v>
      </c>
      <c r="C1552" s="9"/>
      <c r="D1552" s="9"/>
      <c r="E1552" s="9"/>
      <c r="F1552" s="9"/>
      <c r="G1552" s="9"/>
      <c r="H1552" s="9"/>
      <c r="I1552" s="11" t="e">
        <f>VLOOKUP(H1552,위치!B:C,2,0)</f>
        <v>#N/A</v>
      </c>
      <c r="J1552" s="9"/>
      <c r="K1552" s="9"/>
      <c r="L1552" s="9" t="e">
        <f>VLOOKUP(H1552,위치!B:D,3,0)</f>
        <v>#N/A</v>
      </c>
      <c r="M1552" s="12"/>
      <c r="N1552" s="5"/>
      <c r="O1552" s="5"/>
      <c r="P1552" s="5"/>
      <c r="Q1552" s="14"/>
      <c r="R1552" s="15">
        <f t="shared" si="24"/>
        <v>0</v>
      </c>
    </row>
    <row r="1553" spans="2:18" x14ac:dyDescent="0.35">
      <c r="B1553" s="9">
        <v>1575</v>
      </c>
      <c r="C1553" s="9"/>
      <c r="D1553" s="9"/>
      <c r="E1553" s="9"/>
      <c r="F1553" s="9"/>
      <c r="G1553" s="9"/>
      <c r="H1553" s="9"/>
      <c r="I1553" s="11" t="e">
        <f>VLOOKUP(H1553,위치!B:C,2,0)</f>
        <v>#N/A</v>
      </c>
      <c r="J1553" s="9"/>
      <c r="K1553" s="9"/>
      <c r="L1553" s="9" t="e">
        <f>VLOOKUP(H1553,위치!B:D,3,0)</f>
        <v>#N/A</v>
      </c>
      <c r="M1553" s="12"/>
      <c r="N1553" s="5"/>
      <c r="O1553" s="5"/>
      <c r="P1553" s="5"/>
      <c r="Q1553" s="14"/>
      <c r="R1553" s="15">
        <f t="shared" si="24"/>
        <v>0</v>
      </c>
    </row>
    <row r="1554" spans="2:18" x14ac:dyDescent="0.35">
      <c r="B1554" s="9">
        <v>1576</v>
      </c>
      <c r="C1554" s="9"/>
      <c r="D1554" s="9"/>
      <c r="E1554" s="9"/>
      <c r="F1554" s="9"/>
      <c r="G1554" s="9"/>
      <c r="H1554" s="9"/>
      <c r="I1554" s="11" t="e">
        <f>VLOOKUP(H1554,위치!B:C,2,0)</f>
        <v>#N/A</v>
      </c>
      <c r="J1554" s="9"/>
      <c r="K1554" s="9"/>
      <c r="L1554" s="9" t="e">
        <f>VLOOKUP(H1554,위치!B:D,3,0)</f>
        <v>#N/A</v>
      </c>
      <c r="M1554" s="12"/>
      <c r="N1554" s="5"/>
      <c r="O1554" s="5"/>
      <c r="P1554" s="5"/>
      <c r="Q1554" s="14"/>
      <c r="R1554" s="15">
        <f t="shared" si="24"/>
        <v>0</v>
      </c>
    </row>
    <row r="1555" spans="2:18" x14ac:dyDescent="0.35">
      <c r="B1555" s="9">
        <v>1577</v>
      </c>
      <c r="C1555" s="9"/>
      <c r="D1555" s="9"/>
      <c r="E1555" s="9"/>
      <c r="F1555" s="9"/>
      <c r="G1555" s="9"/>
      <c r="H1555" s="9"/>
      <c r="I1555" s="11" t="e">
        <f>VLOOKUP(H1555,위치!B:C,2,0)</f>
        <v>#N/A</v>
      </c>
      <c r="J1555" s="9"/>
      <c r="K1555" s="9"/>
      <c r="L1555" s="9" t="e">
        <f>VLOOKUP(H1555,위치!B:D,3,0)</f>
        <v>#N/A</v>
      </c>
      <c r="M1555" s="12"/>
      <c r="N1555" s="5"/>
      <c r="O1555" s="5"/>
      <c r="P1555" s="5"/>
      <c r="Q1555" s="14"/>
      <c r="R1555" s="15">
        <f t="shared" si="24"/>
        <v>0</v>
      </c>
    </row>
    <row r="1556" spans="2:18" x14ac:dyDescent="0.35">
      <c r="B1556" s="9">
        <v>1578</v>
      </c>
      <c r="C1556" s="9"/>
      <c r="D1556" s="9"/>
      <c r="E1556" s="9"/>
      <c r="F1556" s="9"/>
      <c r="G1556" s="9"/>
      <c r="H1556" s="9"/>
      <c r="I1556" s="11" t="e">
        <f>VLOOKUP(H1556,위치!B:C,2,0)</f>
        <v>#N/A</v>
      </c>
      <c r="J1556" s="9"/>
      <c r="K1556" s="9"/>
      <c r="L1556" s="9" t="e">
        <f>VLOOKUP(H1556,위치!B:D,3,0)</f>
        <v>#N/A</v>
      </c>
      <c r="M1556" s="12"/>
      <c r="N1556" s="5"/>
      <c r="O1556" s="5"/>
      <c r="P1556" s="5"/>
      <c r="Q1556" s="14"/>
      <c r="R1556" s="15">
        <f t="shared" si="24"/>
        <v>0</v>
      </c>
    </row>
    <row r="1557" spans="2:18" x14ac:dyDescent="0.35">
      <c r="B1557" s="9">
        <v>1579</v>
      </c>
      <c r="C1557" s="9"/>
      <c r="D1557" s="9"/>
      <c r="E1557" s="9"/>
      <c r="F1557" s="9"/>
      <c r="G1557" s="9"/>
      <c r="H1557" s="9"/>
      <c r="I1557" s="11" t="e">
        <f>VLOOKUP(H1557,위치!B:C,2,0)</f>
        <v>#N/A</v>
      </c>
      <c r="J1557" s="9"/>
      <c r="K1557" s="9"/>
      <c r="L1557" s="9" t="e">
        <f>VLOOKUP(H1557,위치!B:D,3,0)</f>
        <v>#N/A</v>
      </c>
      <c r="M1557" s="12"/>
      <c r="N1557" s="5"/>
      <c r="O1557" s="5"/>
      <c r="P1557" s="5"/>
      <c r="Q1557" s="14"/>
      <c r="R1557" s="15">
        <f t="shared" si="24"/>
        <v>0</v>
      </c>
    </row>
    <row r="1558" spans="2:18" x14ac:dyDescent="0.35">
      <c r="B1558" s="9">
        <v>1580</v>
      </c>
      <c r="C1558" s="9"/>
      <c r="D1558" s="9"/>
      <c r="E1558" s="9"/>
      <c r="F1558" s="9"/>
      <c r="G1558" s="9"/>
      <c r="H1558" s="9"/>
      <c r="I1558" s="11" t="e">
        <f>VLOOKUP(H1558,위치!B:C,2,0)</f>
        <v>#N/A</v>
      </c>
      <c r="J1558" s="9"/>
      <c r="K1558" s="9"/>
      <c r="L1558" s="9" t="e">
        <f>VLOOKUP(H1558,위치!B:D,3,0)</f>
        <v>#N/A</v>
      </c>
      <c r="M1558" s="12"/>
      <c r="N1558" s="5"/>
      <c r="O1558" s="5"/>
      <c r="P1558" s="5"/>
      <c r="Q1558" s="14"/>
      <c r="R1558" s="15">
        <f t="shared" si="24"/>
        <v>0</v>
      </c>
    </row>
    <row r="1559" spans="2:18" x14ac:dyDescent="0.35">
      <c r="B1559" s="9">
        <v>1581</v>
      </c>
      <c r="C1559" s="9"/>
      <c r="D1559" s="9"/>
      <c r="E1559" s="9"/>
      <c r="F1559" s="9"/>
      <c r="G1559" s="9"/>
      <c r="H1559" s="9"/>
      <c r="I1559" s="11" t="e">
        <f>VLOOKUP(H1559,위치!B:C,2,0)</f>
        <v>#N/A</v>
      </c>
      <c r="J1559" s="9"/>
      <c r="K1559" s="9"/>
      <c r="L1559" s="9" t="e">
        <f>VLOOKUP(H1559,위치!B:D,3,0)</f>
        <v>#N/A</v>
      </c>
      <c r="M1559" s="12"/>
      <c r="N1559" s="5"/>
      <c r="O1559" s="5"/>
      <c r="P1559" s="5"/>
      <c r="Q1559" s="14"/>
      <c r="R1559" s="15">
        <f t="shared" si="24"/>
        <v>0</v>
      </c>
    </row>
    <row r="1560" spans="2:18" x14ac:dyDescent="0.35">
      <c r="B1560" s="9">
        <v>1582</v>
      </c>
      <c r="C1560" s="9"/>
      <c r="D1560" s="9"/>
      <c r="E1560" s="9"/>
      <c r="F1560" s="9"/>
      <c r="G1560" s="9"/>
      <c r="H1560" s="9"/>
      <c r="I1560" s="11" t="e">
        <f>VLOOKUP(H1560,위치!B:C,2,0)</f>
        <v>#N/A</v>
      </c>
      <c r="J1560" s="9"/>
      <c r="K1560" s="9"/>
      <c r="L1560" s="9" t="e">
        <f>VLOOKUP(H1560,위치!B:D,3,0)</f>
        <v>#N/A</v>
      </c>
      <c r="M1560" s="12"/>
      <c r="N1560" s="5"/>
      <c r="O1560" s="5"/>
      <c r="P1560" s="5"/>
      <c r="Q1560" s="14"/>
      <c r="R1560" s="15">
        <f t="shared" si="24"/>
        <v>0</v>
      </c>
    </row>
    <row r="1561" spans="2:18" x14ac:dyDescent="0.35">
      <c r="B1561" s="9">
        <v>1583</v>
      </c>
      <c r="C1561" s="9"/>
      <c r="D1561" s="9"/>
      <c r="E1561" s="9"/>
      <c r="F1561" s="9"/>
      <c r="G1561" s="9"/>
      <c r="H1561" s="10"/>
      <c r="I1561" s="11" t="e">
        <f>VLOOKUP(H1561,위치!B:C,2,0)</f>
        <v>#N/A</v>
      </c>
      <c r="J1561" s="9"/>
      <c r="K1561" s="9"/>
      <c r="L1561" s="9" t="e">
        <f>VLOOKUP(H1561,위치!B:D,3,0)</f>
        <v>#N/A</v>
      </c>
      <c r="M1561" s="12"/>
      <c r="N1561" s="5"/>
      <c r="O1561" s="5"/>
      <c r="P1561" s="5"/>
      <c r="Q1561" s="14"/>
      <c r="R1561" s="15">
        <f t="shared" si="24"/>
        <v>0</v>
      </c>
    </row>
    <row r="1562" spans="2:18" x14ac:dyDescent="0.35">
      <c r="B1562" s="9">
        <v>1584</v>
      </c>
      <c r="C1562" s="9"/>
      <c r="D1562" s="9"/>
      <c r="E1562" s="9"/>
      <c r="F1562" s="9"/>
      <c r="G1562" s="9"/>
      <c r="H1562" s="9"/>
      <c r="I1562" s="11" t="e">
        <f>VLOOKUP(H1562,위치!B:C,2,0)</f>
        <v>#N/A</v>
      </c>
      <c r="J1562" s="9"/>
      <c r="K1562" s="9"/>
      <c r="L1562" s="9" t="e">
        <f>VLOOKUP(H1562,위치!B:D,3,0)</f>
        <v>#N/A</v>
      </c>
      <c r="M1562" s="12"/>
      <c r="N1562" s="5"/>
      <c r="O1562" s="5"/>
      <c r="P1562" s="5"/>
      <c r="Q1562" s="14"/>
      <c r="R1562" s="15">
        <f t="shared" si="24"/>
        <v>0</v>
      </c>
    </row>
    <row r="1563" spans="2:18" x14ac:dyDescent="0.35">
      <c r="B1563" s="9">
        <v>1585</v>
      </c>
      <c r="C1563" s="9"/>
      <c r="D1563" s="9"/>
      <c r="E1563" s="9"/>
      <c r="F1563" s="9"/>
      <c r="G1563" s="9"/>
      <c r="H1563" s="9"/>
      <c r="I1563" s="11" t="e">
        <f>VLOOKUP(H1563,위치!B:C,2,0)</f>
        <v>#N/A</v>
      </c>
      <c r="J1563" s="9"/>
      <c r="K1563" s="9"/>
      <c r="L1563" s="9" t="e">
        <f>VLOOKUP(H1563,위치!B:D,3,0)</f>
        <v>#N/A</v>
      </c>
      <c r="M1563" s="12"/>
      <c r="N1563" s="5"/>
      <c r="O1563" s="5"/>
      <c r="P1563" s="5"/>
      <c r="Q1563" s="14"/>
      <c r="R1563" s="15">
        <f t="shared" si="24"/>
        <v>0</v>
      </c>
    </row>
    <row r="1564" spans="2:18" x14ac:dyDescent="0.35">
      <c r="B1564" s="9">
        <v>1586</v>
      </c>
      <c r="C1564" s="9"/>
      <c r="D1564" s="9"/>
      <c r="E1564" s="9"/>
      <c r="F1564" s="9"/>
      <c r="G1564" s="9"/>
      <c r="H1564" s="9"/>
      <c r="I1564" s="11" t="e">
        <f>VLOOKUP(H1564,위치!B:C,2,0)</f>
        <v>#N/A</v>
      </c>
      <c r="J1564" s="9"/>
      <c r="K1564" s="9"/>
      <c r="L1564" s="9" t="e">
        <f>VLOOKUP(H1564,위치!B:D,3,0)</f>
        <v>#N/A</v>
      </c>
      <c r="M1564" s="12"/>
      <c r="N1564" s="5"/>
      <c r="O1564" s="5"/>
      <c r="P1564" s="5"/>
      <c r="Q1564" s="14"/>
      <c r="R1564" s="15">
        <f t="shared" si="24"/>
        <v>0</v>
      </c>
    </row>
    <row r="1565" spans="2:18" x14ac:dyDescent="0.35">
      <c r="B1565" s="9">
        <v>1587</v>
      </c>
      <c r="C1565" s="9"/>
      <c r="D1565" s="9"/>
      <c r="E1565" s="9"/>
      <c r="F1565" s="9"/>
      <c r="G1565" s="9"/>
      <c r="H1565" s="9"/>
      <c r="I1565" s="11" t="e">
        <f>VLOOKUP(H1565,위치!B:C,2,0)</f>
        <v>#N/A</v>
      </c>
      <c r="J1565" s="9"/>
      <c r="K1565" s="9"/>
      <c r="L1565" s="9" t="e">
        <f>VLOOKUP(H1565,위치!B:D,3,0)</f>
        <v>#N/A</v>
      </c>
      <c r="M1565" s="12"/>
      <c r="N1565" s="5"/>
      <c r="O1565" s="5"/>
      <c r="P1565" s="5"/>
      <c r="Q1565" s="14"/>
      <c r="R1565" s="15">
        <f t="shared" si="24"/>
        <v>0</v>
      </c>
    </row>
    <row r="1566" spans="2:18" x14ac:dyDescent="0.35">
      <c r="B1566" s="9">
        <v>1588</v>
      </c>
      <c r="C1566" s="9"/>
      <c r="D1566" s="9"/>
      <c r="E1566" s="9"/>
      <c r="F1566" s="9"/>
      <c r="G1566" s="9"/>
      <c r="H1566" s="9"/>
      <c r="I1566" s="11" t="e">
        <f>VLOOKUP(H1566,위치!B:C,2,0)</f>
        <v>#N/A</v>
      </c>
      <c r="J1566" s="9"/>
      <c r="K1566" s="9"/>
      <c r="L1566" s="9" t="e">
        <f>VLOOKUP(H1566,위치!B:D,3,0)</f>
        <v>#N/A</v>
      </c>
      <c r="M1566" s="12"/>
      <c r="N1566" s="5"/>
      <c r="O1566" s="5"/>
      <c r="P1566" s="5"/>
      <c r="Q1566" s="14"/>
      <c r="R1566" s="15">
        <f t="shared" si="24"/>
        <v>0</v>
      </c>
    </row>
    <row r="1567" spans="2:18" x14ac:dyDescent="0.35">
      <c r="B1567" s="9">
        <v>1589</v>
      </c>
      <c r="C1567" s="9"/>
      <c r="D1567" s="9"/>
      <c r="E1567" s="9"/>
      <c r="F1567" s="9"/>
      <c r="G1567" s="9"/>
      <c r="H1567" s="9"/>
      <c r="I1567" s="11" t="e">
        <f>VLOOKUP(H1567,위치!B:C,2,0)</f>
        <v>#N/A</v>
      </c>
      <c r="J1567" s="9"/>
      <c r="K1567" s="9"/>
      <c r="L1567" s="9" t="e">
        <f>VLOOKUP(H1567,위치!B:D,3,0)</f>
        <v>#N/A</v>
      </c>
      <c r="M1567" s="12"/>
      <c r="N1567" s="5"/>
      <c r="O1567" s="5"/>
      <c r="P1567" s="5"/>
      <c r="Q1567" s="14"/>
      <c r="R1567" s="15">
        <f t="shared" si="24"/>
        <v>0</v>
      </c>
    </row>
    <row r="1568" spans="2:18" x14ac:dyDescent="0.35">
      <c r="B1568" s="9">
        <v>1590</v>
      </c>
      <c r="C1568" s="9"/>
      <c r="D1568" s="9"/>
      <c r="E1568" s="9"/>
      <c r="F1568" s="9"/>
      <c r="G1568" s="9"/>
      <c r="H1568" s="9"/>
      <c r="I1568" s="11" t="e">
        <f>VLOOKUP(H1568,위치!B:C,2,0)</f>
        <v>#N/A</v>
      </c>
      <c r="J1568" s="9"/>
      <c r="K1568" s="9"/>
      <c r="L1568" s="9" t="e">
        <f>VLOOKUP(H1568,위치!B:D,3,0)</f>
        <v>#N/A</v>
      </c>
      <c r="M1568" s="12"/>
      <c r="N1568" s="5"/>
      <c r="O1568" s="5"/>
      <c r="P1568" s="5"/>
      <c r="Q1568" s="14"/>
      <c r="R1568" s="15">
        <f t="shared" si="24"/>
        <v>0</v>
      </c>
    </row>
    <row r="1569" spans="2:18" x14ac:dyDescent="0.35">
      <c r="B1569" s="9">
        <v>1591</v>
      </c>
      <c r="C1569" s="9"/>
      <c r="D1569" s="9"/>
      <c r="E1569" s="9"/>
      <c r="F1569" s="9"/>
      <c r="G1569" s="9"/>
      <c r="H1569" s="9"/>
      <c r="I1569" s="11" t="e">
        <f>VLOOKUP(H1569,위치!B:C,2,0)</f>
        <v>#N/A</v>
      </c>
      <c r="J1569" s="9"/>
      <c r="K1569" s="9"/>
      <c r="L1569" s="9" t="e">
        <f>VLOOKUP(H1569,위치!B:D,3,0)</f>
        <v>#N/A</v>
      </c>
      <c r="M1569" s="12"/>
      <c r="N1569" s="5"/>
      <c r="O1569" s="5"/>
      <c r="P1569" s="5"/>
      <c r="Q1569" s="14"/>
      <c r="R1569" s="15">
        <f t="shared" si="24"/>
        <v>0</v>
      </c>
    </row>
    <row r="1570" spans="2:18" x14ac:dyDescent="0.35">
      <c r="B1570" s="9">
        <v>1592</v>
      </c>
      <c r="C1570" s="9"/>
      <c r="D1570" s="9"/>
      <c r="E1570" s="9"/>
      <c r="F1570" s="9"/>
      <c r="G1570" s="9"/>
      <c r="H1570" s="9"/>
      <c r="I1570" s="11" t="e">
        <f>VLOOKUP(H1570,위치!B:C,2,0)</f>
        <v>#N/A</v>
      </c>
      <c r="J1570" s="9"/>
      <c r="K1570" s="9"/>
      <c r="L1570" s="9" t="e">
        <f>VLOOKUP(H1570,위치!B:D,3,0)</f>
        <v>#N/A</v>
      </c>
      <c r="M1570" s="12"/>
      <c r="N1570" s="5"/>
      <c r="O1570" s="5"/>
      <c r="P1570" s="5"/>
      <c r="Q1570" s="14"/>
      <c r="R1570" s="15">
        <f t="shared" si="24"/>
        <v>0</v>
      </c>
    </row>
    <row r="1571" spans="2:18" x14ac:dyDescent="0.35">
      <c r="B1571" s="9">
        <v>1593</v>
      </c>
      <c r="C1571" s="9"/>
      <c r="D1571" s="9"/>
      <c r="E1571" s="9"/>
      <c r="F1571" s="9"/>
      <c r="G1571" s="9"/>
      <c r="H1571" s="9"/>
      <c r="I1571" s="11" t="e">
        <f>VLOOKUP(H1571,위치!B:C,2,0)</f>
        <v>#N/A</v>
      </c>
      <c r="J1571" s="9"/>
      <c r="K1571" s="9"/>
      <c r="L1571" s="9" t="e">
        <f>VLOOKUP(H1571,위치!B:D,3,0)</f>
        <v>#N/A</v>
      </c>
      <c r="M1571" s="12"/>
      <c r="N1571" s="5"/>
      <c r="O1571" s="5"/>
      <c r="P1571" s="5"/>
      <c r="Q1571" s="14"/>
      <c r="R1571" s="15">
        <f t="shared" si="24"/>
        <v>0</v>
      </c>
    </row>
    <row r="1572" spans="2:18" x14ac:dyDescent="0.35">
      <c r="B1572" s="9">
        <v>1594</v>
      </c>
      <c r="C1572" s="9"/>
      <c r="D1572" s="9"/>
      <c r="E1572" s="9"/>
      <c r="F1572" s="9"/>
      <c r="G1572" s="9"/>
      <c r="H1572" s="9"/>
      <c r="I1572" s="11" t="e">
        <f>VLOOKUP(H1572,위치!B:C,2,0)</f>
        <v>#N/A</v>
      </c>
      <c r="J1572" s="9"/>
      <c r="K1572" s="9"/>
      <c r="L1572" s="9" t="e">
        <f>VLOOKUP(H1572,위치!B:D,3,0)</f>
        <v>#N/A</v>
      </c>
      <c r="M1572" s="12"/>
      <c r="N1572" s="5"/>
      <c r="O1572" s="5"/>
      <c r="P1572" s="5"/>
      <c r="Q1572" s="14"/>
      <c r="R1572" s="15">
        <f t="shared" si="24"/>
        <v>0</v>
      </c>
    </row>
    <row r="1573" spans="2:18" x14ac:dyDescent="0.35">
      <c r="B1573" s="9">
        <v>1595</v>
      </c>
      <c r="C1573" s="9"/>
      <c r="D1573" s="9"/>
      <c r="E1573" s="9"/>
      <c r="F1573" s="9"/>
      <c r="G1573" s="9"/>
      <c r="H1573" s="9"/>
      <c r="I1573" s="11" t="e">
        <f>VLOOKUP(H1573,위치!B:C,2,0)</f>
        <v>#N/A</v>
      </c>
      <c r="J1573" s="9"/>
      <c r="K1573" s="9"/>
      <c r="L1573" s="9" t="e">
        <f>VLOOKUP(H1573,위치!B:D,3,0)</f>
        <v>#N/A</v>
      </c>
      <c r="M1573" s="12"/>
      <c r="N1573" s="5"/>
      <c r="O1573" s="5"/>
      <c r="P1573" s="5"/>
      <c r="Q1573" s="14"/>
      <c r="R1573" s="15">
        <f t="shared" si="24"/>
        <v>0</v>
      </c>
    </row>
    <row r="1574" spans="2:18" x14ac:dyDescent="0.35">
      <c r="B1574" s="9">
        <v>1596</v>
      </c>
      <c r="C1574" s="9"/>
      <c r="D1574" s="9"/>
      <c r="E1574" s="9"/>
      <c r="F1574" s="9"/>
      <c r="G1574" s="9"/>
      <c r="H1574" s="9"/>
      <c r="I1574" s="11" t="e">
        <f>VLOOKUP(H1574,위치!B:C,2,0)</f>
        <v>#N/A</v>
      </c>
      <c r="J1574" s="9"/>
      <c r="K1574" s="9"/>
      <c r="L1574" s="9" t="e">
        <f>VLOOKUP(H1574,위치!B:D,3,0)</f>
        <v>#N/A</v>
      </c>
      <c r="M1574" s="12"/>
      <c r="N1574" s="5"/>
      <c r="O1574" s="5"/>
      <c r="P1574" s="5"/>
      <c r="Q1574" s="14"/>
      <c r="R1574" s="15">
        <f t="shared" si="24"/>
        <v>0</v>
      </c>
    </row>
    <row r="1575" spans="2:18" x14ac:dyDescent="0.35">
      <c r="B1575" s="9">
        <v>1597</v>
      </c>
      <c r="C1575" s="9"/>
      <c r="D1575" s="9"/>
      <c r="E1575" s="9"/>
      <c r="F1575" s="9"/>
      <c r="G1575" s="9"/>
      <c r="H1575" s="9"/>
      <c r="I1575" s="11" t="e">
        <f>VLOOKUP(H1575,위치!B:C,2,0)</f>
        <v>#N/A</v>
      </c>
      <c r="J1575" s="9"/>
      <c r="K1575" s="9"/>
      <c r="L1575" s="9" t="e">
        <f>VLOOKUP(H1575,위치!B:D,3,0)</f>
        <v>#N/A</v>
      </c>
      <c r="M1575" s="12"/>
      <c r="N1575" s="5"/>
      <c r="O1575" s="5"/>
      <c r="P1575" s="5"/>
      <c r="Q1575" s="14"/>
      <c r="R1575" s="15">
        <f t="shared" si="24"/>
        <v>0</v>
      </c>
    </row>
    <row r="1576" spans="2:18" x14ac:dyDescent="0.35">
      <c r="B1576" s="9">
        <v>1598</v>
      </c>
      <c r="C1576" s="9"/>
      <c r="D1576" s="9"/>
      <c r="E1576" s="9"/>
      <c r="F1576" s="9"/>
      <c r="G1576" s="9"/>
      <c r="H1576" s="9"/>
      <c r="I1576" s="11" t="e">
        <f>VLOOKUP(H1576,위치!B:C,2,0)</f>
        <v>#N/A</v>
      </c>
      <c r="J1576" s="9"/>
      <c r="K1576" s="9"/>
      <c r="L1576" s="9" t="e">
        <f>VLOOKUP(H1576,위치!B:D,3,0)</f>
        <v>#N/A</v>
      </c>
      <c r="M1576" s="12"/>
      <c r="N1576" s="5"/>
      <c r="O1576" s="5"/>
      <c r="P1576" s="5"/>
      <c r="Q1576" s="14"/>
      <c r="R1576" s="15">
        <f t="shared" si="24"/>
        <v>0</v>
      </c>
    </row>
    <row r="1577" spans="2:18" x14ac:dyDescent="0.35">
      <c r="B1577" s="9">
        <v>1599</v>
      </c>
      <c r="C1577" s="9"/>
      <c r="D1577" s="9"/>
      <c r="E1577" s="9"/>
      <c r="F1577" s="9"/>
      <c r="G1577" s="9"/>
      <c r="H1577" s="9"/>
      <c r="I1577" s="11" t="e">
        <f>VLOOKUP(H1577,위치!B:C,2,0)</f>
        <v>#N/A</v>
      </c>
      <c r="J1577" s="9"/>
      <c r="K1577" s="9"/>
      <c r="L1577" s="9" t="e">
        <f>VLOOKUP(H1577,위치!B:D,3,0)</f>
        <v>#N/A</v>
      </c>
      <c r="M1577" s="12"/>
      <c r="N1577" s="5"/>
      <c r="O1577" s="5"/>
      <c r="P1577" s="5"/>
      <c r="Q1577" s="14"/>
      <c r="R1577" s="15">
        <f t="shared" si="24"/>
        <v>0</v>
      </c>
    </row>
    <row r="1578" spans="2:18" x14ac:dyDescent="0.35">
      <c r="B1578" s="9">
        <v>1600</v>
      </c>
      <c r="C1578" s="9"/>
      <c r="D1578" s="9"/>
      <c r="E1578" s="9"/>
      <c r="F1578" s="9"/>
      <c r="G1578" s="9"/>
      <c r="H1578" s="9"/>
      <c r="I1578" s="11" t="e">
        <f>VLOOKUP(H1578,위치!B:C,2,0)</f>
        <v>#N/A</v>
      </c>
      <c r="J1578" s="9"/>
      <c r="K1578" s="9"/>
      <c r="L1578" s="9" t="e">
        <f>VLOOKUP(H1578,위치!B:D,3,0)</f>
        <v>#N/A</v>
      </c>
      <c r="M1578" s="12"/>
      <c r="N1578" s="5"/>
      <c r="O1578" s="5"/>
      <c r="P1578" s="5"/>
      <c r="Q1578" s="14"/>
      <c r="R1578" s="15">
        <f t="shared" si="24"/>
        <v>0</v>
      </c>
    </row>
    <row r="1579" spans="2:18" x14ac:dyDescent="0.35">
      <c r="B1579" s="9">
        <v>1601</v>
      </c>
      <c r="C1579" s="9"/>
      <c r="D1579" s="9"/>
      <c r="E1579" s="9"/>
      <c r="F1579" s="9"/>
      <c r="G1579" s="9"/>
      <c r="H1579" s="9"/>
      <c r="I1579" s="11" t="e">
        <f>VLOOKUP(H1579,위치!B:C,2,0)</f>
        <v>#N/A</v>
      </c>
      <c r="J1579" s="9"/>
      <c r="K1579" s="9"/>
      <c r="L1579" s="9" t="e">
        <f>VLOOKUP(H1579,위치!B:D,3,0)</f>
        <v>#N/A</v>
      </c>
      <c r="M1579" s="12"/>
      <c r="N1579" s="5"/>
      <c r="O1579" s="5"/>
      <c r="P1579" s="5"/>
      <c r="Q1579" s="14"/>
      <c r="R1579" s="15">
        <f t="shared" si="24"/>
        <v>0</v>
      </c>
    </row>
    <row r="1580" spans="2:18" x14ac:dyDescent="0.35">
      <c r="B1580" s="9">
        <v>1602</v>
      </c>
      <c r="C1580" s="9"/>
      <c r="D1580" s="9"/>
      <c r="E1580" s="9"/>
      <c r="F1580" s="9"/>
      <c r="G1580" s="9"/>
      <c r="H1580" s="9"/>
      <c r="I1580" s="11" t="e">
        <f>VLOOKUP(H1580,위치!B:C,2,0)</f>
        <v>#N/A</v>
      </c>
      <c r="J1580" s="9"/>
      <c r="K1580" s="9"/>
      <c r="L1580" s="9" t="e">
        <f>VLOOKUP(H1580,위치!B:D,3,0)</f>
        <v>#N/A</v>
      </c>
      <c r="M1580" s="12"/>
      <c r="N1580" s="5"/>
      <c r="O1580" s="5"/>
      <c r="P1580" s="5"/>
      <c r="Q1580" s="14"/>
      <c r="R1580" s="15">
        <f t="shared" si="24"/>
        <v>0</v>
      </c>
    </row>
    <row r="1581" spans="2:18" x14ac:dyDescent="0.35">
      <c r="B1581" s="9">
        <v>1603</v>
      </c>
      <c r="C1581" s="9"/>
      <c r="D1581" s="9"/>
      <c r="E1581" s="9"/>
      <c r="F1581" s="9"/>
      <c r="G1581" s="9"/>
      <c r="H1581" s="9"/>
      <c r="I1581" s="11" t="e">
        <f>VLOOKUP(H1581,위치!B:C,2,0)</f>
        <v>#N/A</v>
      </c>
      <c r="J1581" s="9"/>
      <c r="K1581" s="9"/>
      <c r="L1581" s="9" t="e">
        <f>VLOOKUP(H1581,위치!B:D,3,0)</f>
        <v>#N/A</v>
      </c>
      <c r="M1581" s="12"/>
      <c r="N1581" s="5"/>
      <c r="O1581" s="5"/>
      <c r="P1581" s="5"/>
      <c r="Q1581" s="14"/>
      <c r="R1581" s="15">
        <f t="shared" si="24"/>
        <v>0</v>
      </c>
    </row>
    <row r="1582" spans="2:18" x14ac:dyDescent="0.35">
      <c r="B1582" s="9">
        <v>1604</v>
      </c>
      <c r="C1582" s="9"/>
      <c r="D1582" s="9"/>
      <c r="E1582" s="9"/>
      <c r="F1582" s="9"/>
      <c r="G1582" s="9"/>
      <c r="H1582" s="9"/>
      <c r="I1582" s="11" t="e">
        <f>VLOOKUP(H1582,위치!B:C,2,0)</f>
        <v>#N/A</v>
      </c>
      <c r="J1582" s="9"/>
      <c r="K1582" s="9"/>
      <c r="L1582" s="9" t="e">
        <f>VLOOKUP(H1582,위치!B:D,3,0)</f>
        <v>#N/A</v>
      </c>
      <c r="M1582" s="12"/>
      <c r="N1582" s="5"/>
      <c r="O1582" s="5"/>
      <c r="P1582" s="5"/>
      <c r="Q1582" s="14"/>
      <c r="R1582" s="15">
        <f t="shared" si="24"/>
        <v>0</v>
      </c>
    </row>
    <row r="1583" spans="2:18" x14ac:dyDescent="0.35">
      <c r="B1583" s="9">
        <v>1605</v>
      </c>
      <c r="C1583" s="9"/>
      <c r="D1583" s="9"/>
      <c r="E1583" s="9"/>
      <c r="F1583" s="9"/>
      <c r="G1583" s="9"/>
      <c r="H1583" s="9"/>
      <c r="I1583" s="11" t="e">
        <f>VLOOKUP(H1583,위치!B:C,2,0)</f>
        <v>#N/A</v>
      </c>
      <c r="J1583" s="9"/>
      <c r="K1583" s="9"/>
      <c r="L1583" s="9" t="e">
        <f>VLOOKUP(H1583,위치!B:D,3,0)</f>
        <v>#N/A</v>
      </c>
      <c r="M1583" s="12"/>
      <c r="N1583" s="5"/>
      <c r="O1583" s="5"/>
      <c r="P1583" s="5"/>
      <c r="Q1583" s="14"/>
      <c r="R1583" s="15">
        <f t="shared" si="24"/>
        <v>0</v>
      </c>
    </row>
    <row r="1584" spans="2:18" x14ac:dyDescent="0.35">
      <c r="B1584" s="9">
        <v>1606</v>
      </c>
      <c r="C1584" s="9"/>
      <c r="D1584" s="9"/>
      <c r="E1584" s="9"/>
      <c r="F1584" s="9"/>
      <c r="G1584" s="9"/>
      <c r="H1584" s="9"/>
      <c r="I1584" s="11" t="e">
        <f>VLOOKUP(H1584,위치!B:C,2,0)</f>
        <v>#N/A</v>
      </c>
      <c r="J1584" s="9"/>
      <c r="K1584" s="9"/>
      <c r="L1584" s="9" t="e">
        <f>VLOOKUP(H1584,위치!B:D,3,0)</f>
        <v>#N/A</v>
      </c>
      <c r="M1584" s="12"/>
      <c r="N1584" s="5"/>
      <c r="O1584" s="5"/>
      <c r="P1584" s="5"/>
      <c r="Q1584" s="14"/>
      <c r="R1584" s="15">
        <f t="shared" si="24"/>
        <v>0</v>
      </c>
    </row>
    <row r="1585" spans="2:18" x14ac:dyDescent="0.35">
      <c r="B1585" s="9">
        <v>1607</v>
      </c>
      <c r="C1585" s="9"/>
      <c r="D1585" s="9"/>
      <c r="E1585" s="9"/>
      <c r="F1585" s="9"/>
      <c r="G1585" s="9"/>
      <c r="H1585" s="9"/>
      <c r="I1585" s="11" t="e">
        <f>VLOOKUP(H1585,위치!B:C,2,0)</f>
        <v>#N/A</v>
      </c>
      <c r="J1585" s="9"/>
      <c r="K1585" s="9"/>
      <c r="L1585" s="9" t="e">
        <f>VLOOKUP(H1585,위치!B:D,3,0)</f>
        <v>#N/A</v>
      </c>
      <c r="M1585" s="12"/>
      <c r="N1585" s="5"/>
      <c r="O1585" s="5"/>
      <c r="P1585" s="5"/>
      <c r="Q1585" s="14"/>
      <c r="R1585" s="15">
        <f t="shared" si="24"/>
        <v>0</v>
      </c>
    </row>
    <row r="1586" spans="2:18" x14ac:dyDescent="0.35">
      <c r="B1586" s="9">
        <v>1608</v>
      </c>
      <c r="C1586" s="9"/>
      <c r="D1586" s="9"/>
      <c r="E1586" s="9"/>
      <c r="F1586" s="9"/>
      <c r="G1586" s="9"/>
      <c r="H1586" s="9"/>
      <c r="I1586" s="11" t="e">
        <f>VLOOKUP(H1586,위치!B:C,2,0)</f>
        <v>#N/A</v>
      </c>
      <c r="J1586" s="9"/>
      <c r="K1586" s="9"/>
      <c r="L1586" s="9" t="e">
        <f>VLOOKUP(H1586,위치!B:D,3,0)</f>
        <v>#N/A</v>
      </c>
      <c r="M1586" s="12"/>
      <c r="N1586" s="5"/>
      <c r="O1586" s="5"/>
      <c r="P1586" s="5"/>
      <c r="Q1586" s="14"/>
      <c r="R1586" s="15">
        <f t="shared" si="24"/>
        <v>0</v>
      </c>
    </row>
    <row r="1587" spans="2:18" x14ac:dyDescent="0.35">
      <c r="B1587" s="9">
        <v>1609</v>
      </c>
      <c r="C1587" s="9"/>
      <c r="D1587" s="9"/>
      <c r="E1587" s="9"/>
      <c r="F1587" s="9"/>
      <c r="G1587" s="9"/>
      <c r="H1587" s="9"/>
      <c r="I1587" s="11" t="e">
        <f>VLOOKUP(H1587,위치!B:C,2,0)</f>
        <v>#N/A</v>
      </c>
      <c r="J1587" s="9"/>
      <c r="K1587" s="9"/>
      <c r="L1587" s="9" t="e">
        <f>VLOOKUP(H1587,위치!B:D,3,0)</f>
        <v>#N/A</v>
      </c>
      <c r="M1587" s="12"/>
      <c r="N1587" s="5"/>
      <c r="O1587" s="5"/>
      <c r="P1587" s="5"/>
      <c r="Q1587" s="14"/>
      <c r="R1587" s="15">
        <f t="shared" si="24"/>
        <v>0</v>
      </c>
    </row>
    <row r="1588" spans="2:18" x14ac:dyDescent="0.35">
      <c r="B1588" s="9">
        <v>1610</v>
      </c>
      <c r="C1588" s="9"/>
      <c r="D1588" s="9"/>
      <c r="E1588" s="9"/>
      <c r="F1588" s="9"/>
      <c r="G1588" s="9"/>
      <c r="H1588" s="9"/>
      <c r="I1588" s="11" t="e">
        <f>VLOOKUP(H1588,위치!B:C,2,0)</f>
        <v>#N/A</v>
      </c>
      <c r="J1588" s="9"/>
      <c r="K1588" s="9"/>
      <c r="L1588" s="9" t="e">
        <f>VLOOKUP(H1588,위치!B:D,3,0)</f>
        <v>#N/A</v>
      </c>
      <c r="M1588" s="12"/>
      <c r="N1588" s="5"/>
      <c r="O1588" s="5"/>
      <c r="P1588" s="5"/>
      <c r="Q1588" s="14"/>
      <c r="R1588" s="15">
        <f t="shared" si="24"/>
        <v>0</v>
      </c>
    </row>
    <row r="1589" spans="2:18" x14ac:dyDescent="0.35">
      <c r="B1589" s="9">
        <v>1611</v>
      </c>
      <c r="C1589" s="9"/>
      <c r="D1589" s="9"/>
      <c r="E1589" s="9"/>
      <c r="F1589" s="9"/>
      <c r="G1589" s="9"/>
      <c r="H1589" s="9"/>
      <c r="I1589" s="11" t="e">
        <f>VLOOKUP(H1589,위치!B:C,2,0)</f>
        <v>#N/A</v>
      </c>
      <c r="J1589" s="9"/>
      <c r="K1589" s="9"/>
      <c r="L1589" s="9" t="e">
        <f>VLOOKUP(H1589,위치!B:D,3,0)</f>
        <v>#N/A</v>
      </c>
      <c r="M1589" s="12"/>
      <c r="N1589" s="5"/>
      <c r="O1589" s="5"/>
      <c r="P1589" s="5"/>
      <c r="Q1589" s="14"/>
      <c r="R1589" s="15">
        <f t="shared" si="24"/>
        <v>0</v>
      </c>
    </row>
    <row r="1590" spans="2:18" x14ac:dyDescent="0.35">
      <c r="B1590" s="9">
        <v>1612</v>
      </c>
      <c r="C1590" s="9"/>
      <c r="D1590" s="9"/>
      <c r="E1590" s="9"/>
      <c r="F1590" s="9"/>
      <c r="G1590" s="9"/>
      <c r="H1590" s="9"/>
      <c r="I1590" s="11" t="e">
        <f>VLOOKUP(H1590,위치!B:C,2,0)</f>
        <v>#N/A</v>
      </c>
      <c r="J1590" s="9"/>
      <c r="K1590" s="9"/>
      <c r="L1590" s="9" t="e">
        <f>VLOOKUP(H1590,위치!B:D,3,0)</f>
        <v>#N/A</v>
      </c>
      <c r="M1590" s="12"/>
      <c r="N1590" s="5"/>
      <c r="O1590" s="5"/>
      <c r="P1590" s="5"/>
      <c r="Q1590" s="14"/>
      <c r="R1590" s="15">
        <f t="shared" si="24"/>
        <v>0</v>
      </c>
    </row>
    <row r="1591" spans="2:18" x14ac:dyDescent="0.35">
      <c r="B1591" s="9">
        <v>1613</v>
      </c>
      <c r="C1591" s="9"/>
      <c r="D1591" s="9"/>
      <c r="E1591" s="9"/>
      <c r="F1591" s="9"/>
      <c r="G1591" s="9"/>
      <c r="H1591" s="9"/>
      <c r="I1591" s="11" t="e">
        <f>VLOOKUP(H1591,위치!B:C,2,0)</f>
        <v>#N/A</v>
      </c>
      <c r="J1591" s="9"/>
      <c r="K1591" s="9"/>
      <c r="L1591" s="9" t="e">
        <f>VLOOKUP(H1591,위치!B:D,3,0)</f>
        <v>#N/A</v>
      </c>
      <c r="M1591" s="12"/>
      <c r="N1591" s="5"/>
      <c r="O1591" s="5"/>
      <c r="P1591" s="5"/>
      <c r="Q1591" s="14"/>
      <c r="R1591" s="15">
        <f t="shared" si="24"/>
        <v>0</v>
      </c>
    </row>
    <row r="1592" spans="2:18" x14ac:dyDescent="0.35">
      <c r="B1592" s="9">
        <v>1614</v>
      </c>
      <c r="C1592" s="9"/>
      <c r="D1592" s="9"/>
      <c r="E1592" s="9"/>
      <c r="F1592" s="9"/>
      <c r="G1592" s="9"/>
      <c r="H1592" s="9"/>
      <c r="I1592" s="11" t="e">
        <f>VLOOKUP(H1592,위치!B:C,2,0)</f>
        <v>#N/A</v>
      </c>
      <c r="J1592" s="9"/>
      <c r="K1592" s="9"/>
      <c r="L1592" s="9" t="e">
        <f>VLOOKUP(H1592,위치!B:D,3,0)</f>
        <v>#N/A</v>
      </c>
      <c r="M1592" s="12"/>
      <c r="N1592" s="5"/>
      <c r="O1592" s="5"/>
      <c r="P1592" s="5"/>
      <c r="Q1592" s="14"/>
      <c r="R1592" s="15">
        <f t="shared" si="24"/>
        <v>0</v>
      </c>
    </row>
    <row r="1593" spans="2:18" x14ac:dyDescent="0.35">
      <c r="B1593" s="9">
        <v>1615</v>
      </c>
      <c r="C1593" s="9"/>
      <c r="D1593" s="9"/>
      <c r="E1593" s="9"/>
      <c r="F1593" s="9"/>
      <c r="G1593" s="9"/>
      <c r="H1593" s="9"/>
      <c r="I1593" s="11" t="e">
        <f>VLOOKUP(H1593,위치!B:C,2,0)</f>
        <v>#N/A</v>
      </c>
      <c r="J1593" s="9"/>
      <c r="K1593" s="9"/>
      <c r="L1593" s="9" t="e">
        <f>VLOOKUP(H1593,위치!B:D,3,0)</f>
        <v>#N/A</v>
      </c>
      <c r="M1593" s="12"/>
      <c r="N1593" s="5"/>
      <c r="O1593" s="5"/>
      <c r="P1593" s="5"/>
      <c r="Q1593" s="14"/>
      <c r="R1593" s="15">
        <f t="shared" si="24"/>
        <v>0</v>
      </c>
    </row>
    <row r="1594" spans="2:18" x14ac:dyDescent="0.35">
      <c r="B1594" s="9">
        <v>1616</v>
      </c>
      <c r="C1594" s="9"/>
      <c r="D1594" s="9"/>
      <c r="E1594" s="9"/>
      <c r="F1594" s="9"/>
      <c r="G1594" s="9"/>
      <c r="H1594" s="9"/>
      <c r="I1594" s="11" t="e">
        <f>VLOOKUP(H1594,위치!B:C,2,0)</f>
        <v>#N/A</v>
      </c>
      <c r="J1594" s="9"/>
      <c r="K1594" s="9"/>
      <c r="L1594" s="9" t="e">
        <f>VLOOKUP(H1594,위치!B:D,3,0)</f>
        <v>#N/A</v>
      </c>
      <c r="M1594" s="12"/>
      <c r="N1594" s="5"/>
      <c r="O1594" s="5"/>
      <c r="P1594" s="5"/>
      <c r="Q1594" s="14"/>
      <c r="R1594" s="15">
        <f t="shared" si="24"/>
        <v>0</v>
      </c>
    </row>
    <row r="1595" spans="2:18" x14ac:dyDescent="0.35">
      <c r="B1595" s="9">
        <v>1617</v>
      </c>
      <c r="C1595" s="9"/>
      <c r="D1595" s="9"/>
      <c r="E1595" s="9"/>
      <c r="F1595" s="9"/>
      <c r="G1595" s="9"/>
      <c r="H1595" s="9"/>
      <c r="I1595" s="11" t="e">
        <f>VLOOKUP(H1595,위치!B:C,2,0)</f>
        <v>#N/A</v>
      </c>
      <c r="J1595" s="9"/>
      <c r="K1595" s="9"/>
      <c r="L1595" s="9" t="e">
        <f>VLOOKUP(H1595,위치!B:D,3,0)</f>
        <v>#N/A</v>
      </c>
      <c r="M1595" s="12"/>
      <c r="N1595" s="5"/>
      <c r="O1595" s="5"/>
      <c r="P1595" s="5"/>
      <c r="Q1595" s="14"/>
      <c r="R1595" s="15">
        <f t="shared" si="24"/>
        <v>0</v>
      </c>
    </row>
    <row r="1596" spans="2:18" x14ac:dyDescent="0.35">
      <c r="B1596" s="9">
        <v>1618</v>
      </c>
      <c r="C1596" s="9"/>
      <c r="D1596" s="9"/>
      <c r="E1596" s="9"/>
      <c r="F1596" s="9"/>
      <c r="G1596" s="9"/>
      <c r="H1596" s="9"/>
      <c r="I1596" s="11" t="e">
        <f>VLOOKUP(H1596,위치!B:C,2,0)</f>
        <v>#N/A</v>
      </c>
      <c r="J1596" s="9"/>
      <c r="K1596" s="9"/>
      <c r="L1596" s="9" t="e">
        <f>VLOOKUP(H1596,위치!B:D,3,0)</f>
        <v>#N/A</v>
      </c>
      <c r="M1596" s="12"/>
      <c r="N1596" s="5"/>
      <c r="O1596" s="5"/>
      <c r="P1596" s="5"/>
      <c r="Q1596" s="14"/>
      <c r="R1596" s="15">
        <f t="shared" si="24"/>
        <v>0</v>
      </c>
    </row>
    <row r="1597" spans="2:18" x14ac:dyDescent="0.35">
      <c r="B1597" s="9">
        <v>1619</v>
      </c>
      <c r="C1597" s="9"/>
      <c r="D1597" s="9"/>
      <c r="E1597" s="9"/>
      <c r="F1597" s="9"/>
      <c r="G1597" s="9"/>
      <c r="H1597" s="9"/>
      <c r="I1597" s="11" t="e">
        <f>VLOOKUP(H1597,위치!B:C,2,0)</f>
        <v>#N/A</v>
      </c>
      <c r="J1597" s="9"/>
      <c r="K1597" s="9"/>
      <c r="L1597" s="9" t="e">
        <f>VLOOKUP(H1597,위치!B:D,3,0)</f>
        <v>#N/A</v>
      </c>
      <c r="M1597" s="12"/>
      <c r="N1597" s="5"/>
      <c r="O1597" s="5"/>
      <c r="P1597" s="5"/>
      <c r="Q1597" s="14"/>
      <c r="R1597" s="15">
        <f t="shared" si="24"/>
        <v>0</v>
      </c>
    </row>
    <row r="1598" spans="2:18" x14ac:dyDescent="0.35">
      <c r="B1598" s="9">
        <v>1620</v>
      </c>
      <c r="C1598" s="9"/>
      <c r="D1598" s="9"/>
      <c r="E1598" s="9"/>
      <c r="F1598" s="9"/>
      <c r="G1598" s="9"/>
      <c r="H1598" s="9"/>
      <c r="I1598" s="11" t="e">
        <f>VLOOKUP(H1598,위치!B:C,2,0)</f>
        <v>#N/A</v>
      </c>
      <c r="J1598" s="9"/>
      <c r="K1598" s="9"/>
      <c r="L1598" s="9" t="e">
        <f>VLOOKUP(H1598,위치!B:D,3,0)</f>
        <v>#N/A</v>
      </c>
      <c r="M1598" s="12"/>
      <c r="N1598" s="5"/>
      <c r="O1598" s="5"/>
      <c r="P1598" s="5"/>
      <c r="Q1598" s="14"/>
      <c r="R1598" s="15">
        <f t="shared" si="24"/>
        <v>0</v>
      </c>
    </row>
    <row r="1599" spans="2:18" x14ac:dyDescent="0.35">
      <c r="B1599" s="9">
        <v>1621</v>
      </c>
      <c r="C1599" s="9"/>
      <c r="D1599" s="9"/>
      <c r="E1599" s="9"/>
      <c r="F1599" s="9"/>
      <c r="G1599" s="9"/>
      <c r="H1599" s="9"/>
      <c r="I1599" s="11" t="e">
        <f>VLOOKUP(H1599,위치!B:C,2,0)</f>
        <v>#N/A</v>
      </c>
      <c r="J1599" s="9"/>
      <c r="K1599" s="9"/>
      <c r="L1599" s="9" t="e">
        <f>VLOOKUP(H1599,위치!B:D,3,0)</f>
        <v>#N/A</v>
      </c>
      <c r="M1599" s="12"/>
      <c r="N1599" s="5"/>
      <c r="O1599" s="5"/>
      <c r="P1599" s="5"/>
      <c r="Q1599" s="14"/>
      <c r="R1599" s="15">
        <f t="shared" si="24"/>
        <v>0</v>
      </c>
    </row>
    <row r="1600" spans="2:18" x14ac:dyDescent="0.35">
      <c r="B1600" s="9">
        <v>1622</v>
      </c>
      <c r="C1600" s="9"/>
      <c r="D1600" s="9"/>
      <c r="E1600" s="9"/>
      <c r="F1600" s="9"/>
      <c r="G1600" s="9"/>
      <c r="H1600" s="9"/>
      <c r="I1600" s="11" t="e">
        <f>VLOOKUP(H1600,위치!B:C,2,0)</f>
        <v>#N/A</v>
      </c>
      <c r="J1600" s="9"/>
      <c r="K1600" s="9"/>
      <c r="L1600" s="9" t="e">
        <f>VLOOKUP(H1600,위치!B:D,3,0)</f>
        <v>#N/A</v>
      </c>
      <c r="M1600" s="12"/>
      <c r="N1600" s="5"/>
      <c r="O1600" s="5"/>
      <c r="P1600" s="5"/>
      <c r="Q1600" s="14"/>
      <c r="R1600" s="15">
        <f t="shared" si="24"/>
        <v>0</v>
      </c>
    </row>
    <row r="1601" spans="2:18" x14ac:dyDescent="0.35">
      <c r="B1601" s="9">
        <v>1623</v>
      </c>
      <c r="C1601" s="9"/>
      <c r="D1601" s="9"/>
      <c r="E1601" s="9"/>
      <c r="F1601" s="9"/>
      <c r="G1601" s="9"/>
      <c r="H1601" s="9"/>
      <c r="I1601" s="11" t="e">
        <f>VLOOKUP(H1601,위치!B:C,2,0)</f>
        <v>#N/A</v>
      </c>
      <c r="J1601" s="9"/>
      <c r="K1601" s="9"/>
      <c r="L1601" s="9" t="e">
        <f>VLOOKUP(H1601,위치!B:D,3,0)</f>
        <v>#N/A</v>
      </c>
      <c r="M1601" s="12"/>
      <c r="N1601" s="5"/>
      <c r="O1601" s="5"/>
      <c r="P1601" s="5"/>
      <c r="Q1601" s="14"/>
      <c r="R1601" s="15">
        <f t="shared" si="24"/>
        <v>0</v>
      </c>
    </row>
    <row r="1602" spans="2:18" x14ac:dyDescent="0.35">
      <c r="B1602" s="9">
        <v>1624</v>
      </c>
      <c r="C1602" s="9"/>
      <c r="D1602" s="9"/>
      <c r="E1602" s="9"/>
      <c r="F1602" s="9"/>
      <c r="G1602" s="9"/>
      <c r="H1602" s="9"/>
      <c r="I1602" s="11" t="e">
        <f>VLOOKUP(H1602,위치!B:C,2,0)</f>
        <v>#N/A</v>
      </c>
      <c r="J1602" s="9"/>
      <c r="K1602" s="9"/>
      <c r="L1602" s="9" t="e">
        <f>VLOOKUP(H1602,위치!B:D,3,0)</f>
        <v>#N/A</v>
      </c>
      <c r="M1602" s="12"/>
      <c r="N1602" s="5"/>
      <c r="O1602" s="5"/>
      <c r="P1602" s="5"/>
      <c r="Q1602" s="14"/>
      <c r="R1602" s="15">
        <f t="shared" si="24"/>
        <v>0</v>
      </c>
    </row>
    <row r="1603" spans="2:18" x14ac:dyDescent="0.35">
      <c r="B1603" s="9">
        <v>1625</v>
      </c>
      <c r="C1603" s="9"/>
      <c r="D1603" s="9"/>
      <c r="E1603" s="9"/>
      <c r="F1603" s="9"/>
      <c r="G1603" s="9"/>
      <c r="H1603" s="9"/>
      <c r="I1603" s="11" t="e">
        <f>VLOOKUP(H1603,위치!B:C,2,0)</f>
        <v>#N/A</v>
      </c>
      <c r="J1603" s="9"/>
      <c r="K1603" s="9"/>
      <c r="L1603" s="9" t="e">
        <f>VLOOKUP(H1603,위치!B:D,3,0)</f>
        <v>#N/A</v>
      </c>
      <c r="M1603" s="12"/>
      <c r="N1603" s="5"/>
      <c r="O1603" s="5"/>
      <c r="P1603" s="5"/>
      <c r="Q1603" s="14"/>
      <c r="R1603" s="15">
        <f t="shared" si="24"/>
        <v>0</v>
      </c>
    </row>
    <row r="1604" spans="2:18" x14ac:dyDescent="0.35">
      <c r="B1604" s="9">
        <v>1626</v>
      </c>
      <c r="C1604" s="9"/>
      <c r="D1604" s="9"/>
      <c r="E1604" s="9"/>
      <c r="F1604" s="9"/>
      <c r="G1604" s="9"/>
      <c r="H1604" s="9"/>
      <c r="I1604" s="11" t="e">
        <f>VLOOKUP(H1604,위치!B:C,2,0)</f>
        <v>#N/A</v>
      </c>
      <c r="J1604" s="9"/>
      <c r="K1604" s="9"/>
      <c r="L1604" s="9" t="e">
        <f>VLOOKUP(H1604,위치!B:D,3,0)</f>
        <v>#N/A</v>
      </c>
      <c r="M1604" s="12"/>
      <c r="N1604" s="5"/>
      <c r="O1604" s="5"/>
      <c r="P1604" s="5"/>
      <c r="Q1604" s="14"/>
      <c r="R1604" s="15">
        <f t="shared" si="24"/>
        <v>0</v>
      </c>
    </row>
    <row r="1605" spans="2:18" x14ac:dyDescent="0.35">
      <c r="B1605" s="9">
        <v>1627</v>
      </c>
      <c r="C1605" s="9"/>
      <c r="D1605" s="9"/>
      <c r="E1605" s="9"/>
      <c r="F1605" s="9"/>
      <c r="G1605" s="9"/>
      <c r="H1605" s="9"/>
      <c r="I1605" s="11" t="e">
        <f>VLOOKUP(H1605,위치!B:C,2,0)</f>
        <v>#N/A</v>
      </c>
      <c r="J1605" s="9"/>
      <c r="K1605" s="9"/>
      <c r="L1605" s="9" t="e">
        <f>VLOOKUP(H1605,위치!B:D,3,0)</f>
        <v>#N/A</v>
      </c>
      <c r="M1605" s="12"/>
      <c r="N1605" s="5"/>
      <c r="O1605" s="5"/>
      <c r="P1605" s="5"/>
      <c r="Q1605" s="14"/>
      <c r="R1605" s="15">
        <f t="shared" si="24"/>
        <v>0</v>
      </c>
    </row>
    <row r="1606" spans="2:18" x14ac:dyDescent="0.35">
      <c r="B1606" s="9">
        <v>1628</v>
      </c>
      <c r="C1606" s="9"/>
      <c r="D1606" s="9"/>
      <c r="E1606" s="9"/>
      <c r="F1606" s="9"/>
      <c r="G1606" s="9"/>
      <c r="H1606" s="9"/>
      <c r="I1606" s="11" t="e">
        <f>VLOOKUP(H1606,위치!B:C,2,0)</f>
        <v>#N/A</v>
      </c>
      <c r="J1606" s="9"/>
      <c r="K1606" s="9"/>
      <c r="L1606" s="9" t="e">
        <f>VLOOKUP(H1606,위치!B:D,3,0)</f>
        <v>#N/A</v>
      </c>
      <c r="M1606" s="12"/>
      <c r="N1606" s="5"/>
      <c r="O1606" s="5"/>
      <c r="P1606" s="5"/>
      <c r="Q1606" s="14"/>
      <c r="R1606" s="15">
        <f t="shared" si="24"/>
        <v>0</v>
      </c>
    </row>
    <row r="1607" spans="2:18" x14ac:dyDescent="0.35">
      <c r="B1607" s="9">
        <v>1629</v>
      </c>
      <c r="C1607" s="9"/>
      <c r="D1607" s="9"/>
      <c r="E1607" s="9"/>
      <c r="F1607" s="9"/>
      <c r="G1607" s="9"/>
      <c r="H1607" s="9"/>
      <c r="I1607" s="11" t="e">
        <f>VLOOKUP(H1607,위치!B:C,2,0)</f>
        <v>#N/A</v>
      </c>
      <c r="J1607" s="9"/>
      <c r="K1607" s="9"/>
      <c r="L1607" s="9" t="e">
        <f>VLOOKUP(H1607,위치!B:D,3,0)</f>
        <v>#N/A</v>
      </c>
      <c r="M1607" s="12"/>
      <c r="N1607" s="5"/>
      <c r="O1607" s="5"/>
      <c r="P1607" s="5"/>
      <c r="Q1607" s="14"/>
      <c r="R1607" s="15">
        <f t="shared" ref="R1607:R1670" si="25">J1607-P1607</f>
        <v>0</v>
      </c>
    </row>
    <row r="1608" spans="2:18" x14ac:dyDescent="0.35">
      <c r="B1608" s="9">
        <v>1630</v>
      </c>
      <c r="C1608" s="9"/>
      <c r="D1608" s="9"/>
      <c r="E1608" s="9"/>
      <c r="F1608" s="9"/>
      <c r="G1608" s="9"/>
      <c r="H1608" s="9"/>
      <c r="I1608" s="11" t="e">
        <f>VLOOKUP(H1608,위치!B:C,2,0)</f>
        <v>#N/A</v>
      </c>
      <c r="J1608" s="9"/>
      <c r="K1608" s="9"/>
      <c r="L1608" s="9" t="e">
        <f>VLOOKUP(H1608,위치!B:D,3,0)</f>
        <v>#N/A</v>
      </c>
      <c r="M1608" s="12"/>
      <c r="N1608" s="5"/>
      <c r="O1608" s="5"/>
      <c r="P1608" s="5"/>
      <c r="Q1608" s="14"/>
      <c r="R1608" s="15">
        <f t="shared" si="25"/>
        <v>0</v>
      </c>
    </row>
    <row r="1609" spans="2:18" x14ac:dyDescent="0.35">
      <c r="B1609" s="9">
        <v>1631</v>
      </c>
      <c r="C1609" s="9"/>
      <c r="D1609" s="9"/>
      <c r="E1609" s="9"/>
      <c r="F1609" s="9"/>
      <c r="G1609" s="9"/>
      <c r="H1609" s="9"/>
      <c r="I1609" s="11" t="e">
        <f>VLOOKUP(H1609,위치!B:C,2,0)</f>
        <v>#N/A</v>
      </c>
      <c r="J1609" s="9"/>
      <c r="K1609" s="9"/>
      <c r="L1609" s="9" t="e">
        <f>VLOOKUP(H1609,위치!B:D,3,0)</f>
        <v>#N/A</v>
      </c>
      <c r="M1609" s="12"/>
      <c r="N1609" s="5"/>
      <c r="O1609" s="5"/>
      <c r="P1609" s="5"/>
      <c r="Q1609" s="14"/>
      <c r="R1609" s="15">
        <f t="shared" si="25"/>
        <v>0</v>
      </c>
    </row>
    <row r="1610" spans="2:18" x14ac:dyDescent="0.35">
      <c r="B1610" s="9">
        <v>1632</v>
      </c>
      <c r="C1610" s="9"/>
      <c r="D1610" s="9"/>
      <c r="E1610" s="9"/>
      <c r="F1610" s="9"/>
      <c r="G1610" s="9"/>
      <c r="H1610" s="9"/>
      <c r="I1610" s="11" t="e">
        <f>VLOOKUP(H1610,위치!B:C,2,0)</f>
        <v>#N/A</v>
      </c>
      <c r="J1610" s="9"/>
      <c r="K1610" s="9"/>
      <c r="L1610" s="9" t="e">
        <f>VLOOKUP(H1610,위치!B:D,3,0)</f>
        <v>#N/A</v>
      </c>
      <c r="M1610" s="12"/>
      <c r="N1610" s="5"/>
      <c r="O1610" s="5"/>
      <c r="P1610" s="5"/>
      <c r="Q1610" s="14"/>
      <c r="R1610" s="15">
        <f t="shared" si="25"/>
        <v>0</v>
      </c>
    </row>
    <row r="1611" spans="2:18" x14ac:dyDescent="0.35">
      <c r="B1611" s="9">
        <v>1633</v>
      </c>
      <c r="C1611" s="9"/>
      <c r="D1611" s="9"/>
      <c r="E1611" s="9"/>
      <c r="F1611" s="9"/>
      <c r="G1611" s="9"/>
      <c r="H1611" s="9"/>
      <c r="I1611" s="11" t="e">
        <f>VLOOKUP(H1611,위치!B:C,2,0)</f>
        <v>#N/A</v>
      </c>
      <c r="J1611" s="9"/>
      <c r="K1611" s="9"/>
      <c r="L1611" s="9" t="e">
        <f>VLOOKUP(H1611,위치!B:D,3,0)</f>
        <v>#N/A</v>
      </c>
      <c r="M1611" s="12"/>
      <c r="N1611" s="5"/>
      <c r="O1611" s="5"/>
      <c r="P1611" s="5"/>
      <c r="Q1611" s="14"/>
      <c r="R1611" s="15">
        <f t="shared" si="25"/>
        <v>0</v>
      </c>
    </row>
    <row r="1612" spans="2:18" x14ac:dyDescent="0.35">
      <c r="B1612" s="9">
        <v>1634</v>
      </c>
      <c r="C1612" s="9"/>
      <c r="D1612" s="9"/>
      <c r="E1612" s="9"/>
      <c r="F1612" s="9"/>
      <c r="G1612" s="9"/>
      <c r="H1612" s="9"/>
      <c r="I1612" s="11" t="e">
        <f>VLOOKUP(H1612,위치!B:C,2,0)</f>
        <v>#N/A</v>
      </c>
      <c r="J1612" s="9"/>
      <c r="K1612" s="9"/>
      <c r="L1612" s="9" t="e">
        <f>VLOOKUP(H1612,위치!B:D,3,0)</f>
        <v>#N/A</v>
      </c>
      <c r="M1612" s="12"/>
      <c r="N1612" s="5"/>
      <c r="O1612" s="5"/>
      <c r="P1612" s="5"/>
      <c r="Q1612" s="14"/>
      <c r="R1612" s="15">
        <f t="shared" si="25"/>
        <v>0</v>
      </c>
    </row>
    <row r="1613" spans="2:18" x14ac:dyDescent="0.35">
      <c r="B1613" s="9">
        <v>1635</v>
      </c>
      <c r="C1613" s="9"/>
      <c r="D1613" s="9"/>
      <c r="E1613" s="9"/>
      <c r="F1613" s="9"/>
      <c r="G1613" s="9"/>
      <c r="H1613" s="9"/>
      <c r="I1613" s="11" t="e">
        <f>VLOOKUP(H1613,위치!B:C,2,0)</f>
        <v>#N/A</v>
      </c>
      <c r="J1613" s="9"/>
      <c r="K1613" s="9"/>
      <c r="L1613" s="9" t="e">
        <f>VLOOKUP(H1613,위치!B:D,3,0)</f>
        <v>#N/A</v>
      </c>
      <c r="M1613" s="12"/>
      <c r="N1613" s="5"/>
      <c r="O1613" s="5"/>
      <c r="P1613" s="5"/>
      <c r="Q1613" s="14"/>
      <c r="R1613" s="15">
        <f t="shared" si="25"/>
        <v>0</v>
      </c>
    </row>
    <row r="1614" spans="2:18" x14ac:dyDescent="0.35">
      <c r="B1614" s="9">
        <v>1636</v>
      </c>
      <c r="C1614" s="31"/>
      <c r="D1614" s="31"/>
      <c r="E1614" s="31"/>
      <c r="F1614" s="31"/>
      <c r="G1614" s="31"/>
      <c r="H1614" s="31"/>
      <c r="I1614" s="11" t="e">
        <f>VLOOKUP(H1614,위치!B:C,2,0)</f>
        <v>#N/A</v>
      </c>
      <c r="J1614" s="9"/>
      <c r="K1614" s="9"/>
      <c r="L1614" s="9" t="e">
        <f>VLOOKUP(H1614,위치!B:D,3,0)</f>
        <v>#N/A</v>
      </c>
      <c r="M1614" s="32"/>
      <c r="N1614" s="5"/>
      <c r="O1614" s="5"/>
      <c r="P1614" s="5"/>
      <c r="Q1614" s="14"/>
      <c r="R1614" s="15">
        <f t="shared" si="25"/>
        <v>0</v>
      </c>
    </row>
    <row r="1615" spans="2:18" x14ac:dyDescent="0.35">
      <c r="B1615" s="9">
        <v>1637</v>
      </c>
      <c r="C1615" s="9"/>
      <c r="D1615" s="9"/>
      <c r="E1615" s="9"/>
      <c r="F1615" s="9"/>
      <c r="G1615" s="9"/>
      <c r="H1615" s="9"/>
      <c r="I1615" s="11" t="e">
        <f>VLOOKUP(H1615,위치!B:C,2,0)</f>
        <v>#N/A</v>
      </c>
      <c r="J1615" s="9"/>
      <c r="K1615" s="9"/>
      <c r="L1615" s="9" t="e">
        <f>VLOOKUP(H1615,위치!B:D,3,0)</f>
        <v>#N/A</v>
      </c>
      <c r="M1615" s="12"/>
      <c r="N1615" s="5"/>
      <c r="O1615" s="5"/>
      <c r="P1615" s="5"/>
      <c r="Q1615" s="14"/>
      <c r="R1615" s="15">
        <f t="shared" si="25"/>
        <v>0</v>
      </c>
    </row>
    <row r="1616" spans="2:18" x14ac:dyDescent="0.35">
      <c r="B1616" s="9">
        <v>1638</v>
      </c>
      <c r="C1616" s="9"/>
      <c r="D1616" s="9"/>
      <c r="E1616" s="9"/>
      <c r="F1616" s="9"/>
      <c r="G1616" s="9"/>
      <c r="H1616" s="9"/>
      <c r="I1616" s="11" t="e">
        <f>VLOOKUP(H1616,위치!B:C,2,0)</f>
        <v>#N/A</v>
      </c>
      <c r="J1616" s="9"/>
      <c r="K1616" s="9"/>
      <c r="L1616" s="9" t="e">
        <f>VLOOKUP(H1616,위치!B:D,3,0)</f>
        <v>#N/A</v>
      </c>
      <c r="M1616" s="12"/>
      <c r="N1616" s="5"/>
      <c r="O1616" s="5"/>
      <c r="P1616" s="5"/>
      <c r="Q1616" s="14"/>
      <c r="R1616" s="15">
        <f t="shared" si="25"/>
        <v>0</v>
      </c>
    </row>
    <row r="1617" spans="2:18" x14ac:dyDescent="0.35">
      <c r="B1617" s="9">
        <v>1639</v>
      </c>
      <c r="C1617" s="9"/>
      <c r="D1617" s="9"/>
      <c r="E1617" s="9"/>
      <c r="F1617" s="9"/>
      <c r="G1617" s="9"/>
      <c r="H1617" s="9"/>
      <c r="I1617" s="11" t="e">
        <f>VLOOKUP(H1617,위치!B:C,2,0)</f>
        <v>#N/A</v>
      </c>
      <c r="J1617" s="9"/>
      <c r="K1617" s="9"/>
      <c r="L1617" s="9" t="e">
        <f>VLOOKUP(H1617,위치!B:D,3,0)</f>
        <v>#N/A</v>
      </c>
      <c r="M1617" s="12"/>
      <c r="N1617" s="5"/>
      <c r="O1617" s="5"/>
      <c r="P1617" s="5"/>
      <c r="Q1617" s="14"/>
      <c r="R1617" s="15">
        <f t="shared" si="25"/>
        <v>0</v>
      </c>
    </row>
    <row r="1618" spans="2:18" x14ac:dyDescent="0.35">
      <c r="B1618" s="9">
        <v>1640</v>
      </c>
      <c r="C1618" s="9"/>
      <c r="D1618" s="9"/>
      <c r="E1618" s="9"/>
      <c r="F1618" s="9"/>
      <c r="G1618" s="9"/>
      <c r="H1618" s="9"/>
      <c r="I1618" s="11" t="e">
        <f>VLOOKUP(H1618,위치!B:C,2,0)</f>
        <v>#N/A</v>
      </c>
      <c r="J1618" s="9"/>
      <c r="K1618" s="9"/>
      <c r="L1618" s="9" t="e">
        <f>VLOOKUP(H1618,위치!B:D,3,0)</f>
        <v>#N/A</v>
      </c>
      <c r="M1618" s="12"/>
      <c r="N1618" s="5"/>
      <c r="O1618" s="5"/>
      <c r="P1618" s="5"/>
      <c r="Q1618" s="14"/>
      <c r="R1618" s="15">
        <f t="shared" si="25"/>
        <v>0</v>
      </c>
    </row>
    <row r="1619" spans="2:18" x14ac:dyDescent="0.35">
      <c r="B1619" s="9">
        <v>1641</v>
      </c>
      <c r="C1619" s="9"/>
      <c r="D1619" s="9"/>
      <c r="E1619" s="9"/>
      <c r="F1619" s="9"/>
      <c r="G1619" s="9"/>
      <c r="H1619" s="9"/>
      <c r="I1619" s="11" t="e">
        <f>VLOOKUP(H1619,위치!B:C,2,0)</f>
        <v>#N/A</v>
      </c>
      <c r="J1619" s="9"/>
      <c r="K1619" s="9"/>
      <c r="L1619" s="9" t="e">
        <f>VLOOKUP(H1619,위치!B:D,3,0)</f>
        <v>#N/A</v>
      </c>
      <c r="M1619" s="12"/>
      <c r="N1619" s="5"/>
      <c r="O1619" s="5"/>
      <c r="P1619" s="5"/>
      <c r="Q1619" s="14"/>
      <c r="R1619" s="15">
        <f t="shared" si="25"/>
        <v>0</v>
      </c>
    </row>
    <row r="1620" spans="2:18" x14ac:dyDescent="0.35">
      <c r="B1620" s="9">
        <v>1642</v>
      </c>
      <c r="C1620" s="9"/>
      <c r="D1620" s="9"/>
      <c r="E1620" s="9"/>
      <c r="F1620" s="9"/>
      <c r="G1620" s="9"/>
      <c r="H1620" s="9"/>
      <c r="I1620" s="11" t="e">
        <f>VLOOKUP(H1620,위치!B:C,2,0)</f>
        <v>#N/A</v>
      </c>
      <c r="J1620" s="9"/>
      <c r="K1620" s="9"/>
      <c r="L1620" s="9" t="e">
        <f>VLOOKUP(H1620,위치!B:D,3,0)</f>
        <v>#N/A</v>
      </c>
      <c r="M1620" s="12"/>
      <c r="N1620" s="5"/>
      <c r="O1620" s="5"/>
      <c r="P1620" s="5"/>
      <c r="Q1620" s="14"/>
      <c r="R1620" s="15">
        <f t="shared" si="25"/>
        <v>0</v>
      </c>
    </row>
    <row r="1621" spans="2:18" x14ac:dyDescent="0.35">
      <c r="B1621" s="9">
        <v>1643</v>
      </c>
      <c r="C1621" s="9"/>
      <c r="D1621" s="9"/>
      <c r="E1621" s="9"/>
      <c r="F1621" s="9"/>
      <c r="G1621" s="9"/>
      <c r="H1621" s="9"/>
      <c r="I1621" s="11" t="e">
        <f>VLOOKUP(H1621,위치!B:C,2,0)</f>
        <v>#N/A</v>
      </c>
      <c r="J1621" s="9"/>
      <c r="K1621" s="9"/>
      <c r="L1621" s="9" t="e">
        <f>VLOOKUP(H1621,위치!B:D,3,0)</f>
        <v>#N/A</v>
      </c>
      <c r="M1621" s="12"/>
      <c r="N1621" s="5"/>
      <c r="O1621" s="5"/>
      <c r="P1621" s="5"/>
      <c r="Q1621" s="14"/>
      <c r="R1621" s="15">
        <f t="shared" si="25"/>
        <v>0</v>
      </c>
    </row>
    <row r="1622" spans="2:18" x14ac:dyDescent="0.35">
      <c r="B1622" s="9">
        <v>1645</v>
      </c>
      <c r="C1622" s="9"/>
      <c r="D1622" s="9"/>
      <c r="E1622" s="9"/>
      <c r="F1622" s="9"/>
      <c r="G1622" s="9"/>
      <c r="H1622" s="9"/>
      <c r="I1622" s="11" t="e">
        <f>VLOOKUP(H1622,위치!B:C,2,0)</f>
        <v>#N/A</v>
      </c>
      <c r="J1622" s="9"/>
      <c r="K1622" s="9"/>
      <c r="L1622" s="9" t="e">
        <f>VLOOKUP(H1622,위치!B:D,3,0)</f>
        <v>#N/A</v>
      </c>
      <c r="M1622" s="12"/>
      <c r="N1622" s="5"/>
      <c r="O1622" s="5"/>
      <c r="P1622" s="5"/>
      <c r="Q1622" s="14"/>
      <c r="R1622" s="15">
        <f t="shared" si="25"/>
        <v>0</v>
      </c>
    </row>
    <row r="1623" spans="2:18" x14ac:dyDescent="0.35">
      <c r="B1623" s="9">
        <v>1646</v>
      </c>
      <c r="C1623" s="9"/>
      <c r="D1623" s="9"/>
      <c r="E1623" s="9"/>
      <c r="F1623" s="9"/>
      <c r="G1623" s="9"/>
      <c r="H1623" s="9"/>
      <c r="I1623" s="11" t="e">
        <f>VLOOKUP(H1623,위치!B:C,2,0)</f>
        <v>#N/A</v>
      </c>
      <c r="J1623" s="9"/>
      <c r="K1623" s="9"/>
      <c r="L1623" s="9" t="e">
        <f>VLOOKUP(H1623,위치!B:D,3,0)</f>
        <v>#N/A</v>
      </c>
      <c r="M1623" s="12"/>
      <c r="N1623" s="5"/>
      <c r="O1623" s="5"/>
      <c r="P1623" s="5"/>
      <c r="Q1623" s="14"/>
      <c r="R1623" s="15">
        <f t="shared" si="25"/>
        <v>0</v>
      </c>
    </row>
    <row r="1624" spans="2:18" x14ac:dyDescent="0.35">
      <c r="B1624" s="9">
        <v>1649</v>
      </c>
      <c r="C1624" s="9"/>
      <c r="D1624" s="9"/>
      <c r="E1624" s="9"/>
      <c r="F1624" s="9"/>
      <c r="G1624" s="9"/>
      <c r="H1624" s="9"/>
      <c r="I1624" s="11" t="e">
        <f>VLOOKUP(H1624,위치!B:C,2,0)</f>
        <v>#N/A</v>
      </c>
      <c r="J1624" s="9"/>
      <c r="K1624" s="9"/>
      <c r="L1624" s="9" t="e">
        <f>VLOOKUP(H1624,위치!B:D,3,0)</f>
        <v>#N/A</v>
      </c>
      <c r="M1624" s="12"/>
      <c r="N1624" s="5"/>
      <c r="O1624" s="5"/>
      <c r="P1624" s="5"/>
      <c r="Q1624" s="14"/>
      <c r="R1624" s="15">
        <f t="shared" si="25"/>
        <v>0</v>
      </c>
    </row>
    <row r="1625" spans="2:18" x14ac:dyDescent="0.35">
      <c r="B1625" s="9">
        <v>1650</v>
      </c>
      <c r="C1625" s="9"/>
      <c r="D1625" s="9"/>
      <c r="E1625" s="9"/>
      <c r="F1625" s="9"/>
      <c r="G1625" s="9"/>
      <c r="H1625" s="9"/>
      <c r="I1625" s="11" t="e">
        <f>VLOOKUP(H1625,위치!B:C,2,0)</f>
        <v>#N/A</v>
      </c>
      <c r="J1625" s="9"/>
      <c r="K1625" s="9"/>
      <c r="L1625" s="9" t="e">
        <f>VLOOKUP(H1625,위치!B:D,3,0)</f>
        <v>#N/A</v>
      </c>
      <c r="M1625" s="12"/>
      <c r="N1625" s="5"/>
      <c r="O1625" s="5"/>
      <c r="P1625" s="5"/>
      <c r="Q1625" s="14"/>
      <c r="R1625" s="15">
        <f t="shared" si="25"/>
        <v>0</v>
      </c>
    </row>
    <row r="1626" spans="2:18" x14ac:dyDescent="0.35">
      <c r="B1626" s="9">
        <v>1651</v>
      </c>
      <c r="C1626" s="9"/>
      <c r="D1626" s="9"/>
      <c r="E1626" s="9"/>
      <c r="F1626" s="9"/>
      <c r="G1626" s="9"/>
      <c r="H1626" s="9"/>
      <c r="I1626" s="11" t="e">
        <f>VLOOKUP(H1626,위치!B:C,2,0)</f>
        <v>#N/A</v>
      </c>
      <c r="J1626" s="9"/>
      <c r="K1626" s="9"/>
      <c r="L1626" s="9" t="e">
        <f>VLOOKUP(H1626,위치!B:D,3,0)</f>
        <v>#N/A</v>
      </c>
      <c r="M1626" s="12"/>
      <c r="N1626" s="5"/>
      <c r="O1626" s="5"/>
      <c r="P1626" s="5"/>
      <c r="Q1626" s="14"/>
      <c r="R1626" s="15">
        <f t="shared" si="25"/>
        <v>0</v>
      </c>
    </row>
    <row r="1627" spans="2:18" x14ac:dyDescent="0.35">
      <c r="B1627" s="9">
        <v>1652</v>
      </c>
      <c r="C1627" s="9"/>
      <c r="D1627" s="9"/>
      <c r="E1627" s="9"/>
      <c r="F1627" s="9"/>
      <c r="G1627" s="9"/>
      <c r="H1627" s="9"/>
      <c r="I1627" s="11" t="e">
        <f>VLOOKUP(H1627,위치!B:C,2,0)</f>
        <v>#N/A</v>
      </c>
      <c r="J1627" s="9"/>
      <c r="K1627" s="9"/>
      <c r="L1627" s="9" t="e">
        <f>VLOOKUP(H1627,위치!B:D,3,0)</f>
        <v>#N/A</v>
      </c>
      <c r="M1627" s="12"/>
      <c r="N1627" s="5"/>
      <c r="O1627" s="5"/>
      <c r="P1627" s="5"/>
      <c r="Q1627" s="14"/>
      <c r="R1627" s="15">
        <f t="shared" si="25"/>
        <v>0</v>
      </c>
    </row>
    <row r="1628" spans="2:18" x14ac:dyDescent="0.35">
      <c r="B1628" s="9">
        <v>1653</v>
      </c>
      <c r="C1628" s="9"/>
      <c r="D1628" s="9"/>
      <c r="E1628" s="9"/>
      <c r="F1628" s="9"/>
      <c r="G1628" s="9"/>
      <c r="H1628" s="9"/>
      <c r="I1628" s="11" t="e">
        <f>VLOOKUP(H1628,위치!B:C,2,0)</f>
        <v>#N/A</v>
      </c>
      <c r="J1628" s="9"/>
      <c r="K1628" s="9"/>
      <c r="L1628" s="9" t="e">
        <f>VLOOKUP(H1628,위치!B:D,3,0)</f>
        <v>#N/A</v>
      </c>
      <c r="M1628" s="12"/>
      <c r="N1628" s="5"/>
      <c r="O1628" s="5"/>
      <c r="P1628" s="5"/>
      <c r="Q1628" s="14"/>
      <c r="R1628" s="15">
        <f t="shared" si="25"/>
        <v>0</v>
      </c>
    </row>
    <row r="1629" spans="2:18" x14ac:dyDescent="0.35">
      <c r="B1629" s="9">
        <v>1654</v>
      </c>
      <c r="C1629" s="9"/>
      <c r="D1629" s="9"/>
      <c r="E1629" s="9"/>
      <c r="F1629" s="9"/>
      <c r="G1629" s="9"/>
      <c r="H1629" s="9"/>
      <c r="I1629" s="11" t="e">
        <f>VLOOKUP(H1629,위치!B:C,2,0)</f>
        <v>#N/A</v>
      </c>
      <c r="J1629" s="9"/>
      <c r="K1629" s="9"/>
      <c r="L1629" s="9" t="e">
        <f>VLOOKUP(H1629,위치!B:D,3,0)</f>
        <v>#N/A</v>
      </c>
      <c r="M1629" s="12"/>
      <c r="N1629" s="5"/>
      <c r="O1629" s="5"/>
      <c r="P1629" s="5"/>
      <c r="Q1629" s="14"/>
      <c r="R1629" s="15">
        <f t="shared" si="25"/>
        <v>0</v>
      </c>
    </row>
    <row r="1630" spans="2:18" x14ac:dyDescent="0.35">
      <c r="B1630" s="9">
        <v>1655</v>
      </c>
      <c r="C1630" s="9"/>
      <c r="D1630" s="9"/>
      <c r="E1630" s="9"/>
      <c r="F1630" s="9"/>
      <c r="G1630" s="9"/>
      <c r="H1630" s="9"/>
      <c r="I1630" s="11" t="e">
        <f>VLOOKUP(H1630,위치!B:C,2,0)</f>
        <v>#N/A</v>
      </c>
      <c r="J1630" s="9"/>
      <c r="K1630" s="9"/>
      <c r="L1630" s="9" t="e">
        <f>VLOOKUP(H1630,위치!B:D,3,0)</f>
        <v>#N/A</v>
      </c>
      <c r="M1630" s="12"/>
      <c r="N1630" s="5"/>
      <c r="O1630" s="5"/>
      <c r="P1630" s="5"/>
      <c r="Q1630" s="14"/>
      <c r="R1630" s="15">
        <f t="shared" si="25"/>
        <v>0</v>
      </c>
    </row>
    <row r="1631" spans="2:18" x14ac:dyDescent="0.35">
      <c r="B1631" s="9">
        <v>1656</v>
      </c>
      <c r="C1631" s="9"/>
      <c r="D1631" s="9"/>
      <c r="E1631" s="9"/>
      <c r="F1631" s="9"/>
      <c r="G1631" s="9"/>
      <c r="H1631" s="9"/>
      <c r="I1631" s="11" t="e">
        <f>VLOOKUP(H1631,위치!B:C,2,0)</f>
        <v>#N/A</v>
      </c>
      <c r="J1631" s="9"/>
      <c r="K1631" s="9"/>
      <c r="L1631" s="9" t="e">
        <f>VLOOKUP(H1631,위치!B:D,3,0)</f>
        <v>#N/A</v>
      </c>
      <c r="M1631" s="12"/>
      <c r="N1631" s="5"/>
      <c r="O1631" s="5"/>
      <c r="P1631" s="5"/>
      <c r="Q1631" s="14"/>
      <c r="R1631" s="15">
        <f t="shared" si="25"/>
        <v>0</v>
      </c>
    </row>
    <row r="1632" spans="2:18" x14ac:dyDescent="0.35">
      <c r="B1632" s="9">
        <v>1657</v>
      </c>
      <c r="C1632" s="9"/>
      <c r="D1632" s="9"/>
      <c r="E1632" s="9"/>
      <c r="F1632" s="9"/>
      <c r="G1632" s="9"/>
      <c r="H1632" s="9"/>
      <c r="I1632" s="11" t="e">
        <f>VLOOKUP(H1632,위치!B:C,2,0)</f>
        <v>#N/A</v>
      </c>
      <c r="J1632" s="9"/>
      <c r="K1632" s="9"/>
      <c r="L1632" s="9" t="e">
        <f>VLOOKUP(H1632,위치!B:D,3,0)</f>
        <v>#N/A</v>
      </c>
      <c r="M1632" s="12"/>
      <c r="N1632" s="5"/>
      <c r="O1632" s="5"/>
      <c r="P1632" s="5"/>
      <c r="Q1632" s="14"/>
      <c r="R1632" s="15">
        <f t="shared" si="25"/>
        <v>0</v>
      </c>
    </row>
    <row r="1633" spans="2:18" x14ac:dyDescent="0.35">
      <c r="B1633" s="9">
        <v>1658</v>
      </c>
      <c r="C1633" s="9"/>
      <c r="D1633" s="9"/>
      <c r="E1633" s="9"/>
      <c r="F1633" s="9"/>
      <c r="G1633" s="9"/>
      <c r="H1633" s="9"/>
      <c r="I1633" s="11" t="e">
        <f>VLOOKUP(H1633,위치!B:C,2,0)</f>
        <v>#N/A</v>
      </c>
      <c r="J1633" s="9"/>
      <c r="K1633" s="9"/>
      <c r="L1633" s="9" t="e">
        <f>VLOOKUP(H1633,위치!B:D,3,0)</f>
        <v>#N/A</v>
      </c>
      <c r="M1633" s="12"/>
      <c r="N1633" s="5"/>
      <c r="O1633" s="5"/>
      <c r="P1633" s="5"/>
      <c r="Q1633" s="14"/>
      <c r="R1633" s="15">
        <f t="shared" si="25"/>
        <v>0</v>
      </c>
    </row>
    <row r="1634" spans="2:18" x14ac:dyDescent="0.35">
      <c r="B1634" s="9">
        <v>1660</v>
      </c>
      <c r="C1634" s="9"/>
      <c r="D1634" s="9"/>
      <c r="E1634" s="9"/>
      <c r="F1634" s="9"/>
      <c r="G1634" s="9"/>
      <c r="H1634" s="9"/>
      <c r="I1634" s="11" t="e">
        <f>VLOOKUP(H1634,위치!B:C,2,0)</f>
        <v>#N/A</v>
      </c>
      <c r="J1634" s="9"/>
      <c r="K1634" s="9"/>
      <c r="L1634" s="9" t="e">
        <f>VLOOKUP(H1634,위치!B:D,3,0)</f>
        <v>#N/A</v>
      </c>
      <c r="M1634" s="12"/>
      <c r="N1634" s="5"/>
      <c r="O1634" s="5"/>
      <c r="P1634" s="5"/>
      <c r="Q1634" s="14"/>
      <c r="R1634" s="15">
        <f t="shared" si="25"/>
        <v>0</v>
      </c>
    </row>
    <row r="1635" spans="2:18" x14ac:dyDescent="0.35">
      <c r="B1635" s="9">
        <v>1661</v>
      </c>
      <c r="C1635" s="9"/>
      <c r="D1635" s="9"/>
      <c r="E1635" s="9"/>
      <c r="F1635" s="9"/>
      <c r="G1635" s="9"/>
      <c r="H1635" s="9"/>
      <c r="I1635" s="11" t="e">
        <f>VLOOKUP(H1635,위치!B:C,2,0)</f>
        <v>#N/A</v>
      </c>
      <c r="J1635" s="9"/>
      <c r="K1635" s="9"/>
      <c r="L1635" s="9" t="e">
        <f>VLOOKUP(H1635,위치!B:D,3,0)</f>
        <v>#N/A</v>
      </c>
      <c r="M1635" s="12"/>
      <c r="N1635" s="5"/>
      <c r="O1635" s="5"/>
      <c r="P1635" s="5"/>
      <c r="Q1635" s="14"/>
      <c r="R1635" s="15">
        <f t="shared" si="25"/>
        <v>0</v>
      </c>
    </row>
    <row r="1636" spans="2:18" x14ac:dyDescent="0.35">
      <c r="B1636" s="9">
        <v>1662</v>
      </c>
      <c r="C1636" s="9"/>
      <c r="D1636" s="9"/>
      <c r="E1636" s="9"/>
      <c r="F1636" s="9"/>
      <c r="G1636" s="9"/>
      <c r="H1636" s="9"/>
      <c r="I1636" s="11" t="e">
        <f>VLOOKUP(H1636,위치!B:C,2,0)</f>
        <v>#N/A</v>
      </c>
      <c r="J1636" s="9"/>
      <c r="K1636" s="9"/>
      <c r="L1636" s="9" t="e">
        <f>VLOOKUP(H1636,위치!B:D,3,0)</f>
        <v>#N/A</v>
      </c>
      <c r="M1636" s="12"/>
      <c r="N1636" s="5"/>
      <c r="O1636" s="5"/>
      <c r="P1636" s="5"/>
      <c r="Q1636" s="14"/>
      <c r="R1636" s="15">
        <f t="shared" si="25"/>
        <v>0</v>
      </c>
    </row>
    <row r="1637" spans="2:18" x14ac:dyDescent="0.35">
      <c r="B1637" s="9">
        <v>1663</v>
      </c>
      <c r="C1637" s="9"/>
      <c r="D1637" s="9"/>
      <c r="E1637" s="9"/>
      <c r="F1637" s="9"/>
      <c r="G1637" s="9"/>
      <c r="H1637" s="9"/>
      <c r="I1637" s="11" t="e">
        <f>VLOOKUP(H1637,위치!B:C,2,0)</f>
        <v>#N/A</v>
      </c>
      <c r="J1637" s="9"/>
      <c r="K1637" s="9"/>
      <c r="L1637" s="9" t="e">
        <f>VLOOKUP(H1637,위치!B:D,3,0)</f>
        <v>#N/A</v>
      </c>
      <c r="M1637" s="12"/>
      <c r="N1637" s="5"/>
      <c r="O1637" s="5"/>
      <c r="P1637" s="5"/>
      <c r="Q1637" s="14"/>
      <c r="R1637" s="15">
        <f t="shared" si="25"/>
        <v>0</v>
      </c>
    </row>
    <row r="1638" spans="2:18" x14ac:dyDescent="0.35">
      <c r="B1638" s="9">
        <v>1664</v>
      </c>
      <c r="C1638" s="9"/>
      <c r="D1638" s="9"/>
      <c r="E1638" s="9"/>
      <c r="F1638" s="9"/>
      <c r="G1638" s="9"/>
      <c r="H1638" s="9"/>
      <c r="I1638" s="11" t="e">
        <f>VLOOKUP(H1638,위치!B:C,2,0)</f>
        <v>#N/A</v>
      </c>
      <c r="J1638" s="9"/>
      <c r="K1638" s="9"/>
      <c r="L1638" s="9" t="e">
        <f>VLOOKUP(H1638,위치!B:D,3,0)</f>
        <v>#N/A</v>
      </c>
      <c r="M1638" s="12"/>
      <c r="N1638" s="5"/>
      <c r="O1638" s="5"/>
      <c r="P1638" s="5"/>
      <c r="Q1638" s="14"/>
      <c r="R1638" s="15">
        <f t="shared" si="25"/>
        <v>0</v>
      </c>
    </row>
    <row r="1639" spans="2:18" x14ac:dyDescent="0.35">
      <c r="B1639" s="9">
        <v>1665</v>
      </c>
      <c r="C1639" s="9"/>
      <c r="D1639" s="9"/>
      <c r="E1639" s="9"/>
      <c r="F1639" s="9"/>
      <c r="G1639" s="9"/>
      <c r="H1639" s="9"/>
      <c r="I1639" s="11" t="e">
        <f>VLOOKUP(H1639,위치!B:C,2,0)</f>
        <v>#N/A</v>
      </c>
      <c r="J1639" s="9"/>
      <c r="K1639" s="9"/>
      <c r="L1639" s="9" t="e">
        <f>VLOOKUP(H1639,위치!B:D,3,0)</f>
        <v>#N/A</v>
      </c>
      <c r="M1639" s="12"/>
      <c r="N1639" s="5"/>
      <c r="O1639" s="5"/>
      <c r="P1639" s="5"/>
      <c r="Q1639" s="14"/>
      <c r="R1639" s="15">
        <f t="shared" si="25"/>
        <v>0</v>
      </c>
    </row>
    <row r="1640" spans="2:18" x14ac:dyDescent="0.35">
      <c r="B1640" s="9">
        <v>1666</v>
      </c>
      <c r="C1640" s="9"/>
      <c r="D1640" s="9"/>
      <c r="E1640" s="9"/>
      <c r="F1640" s="9"/>
      <c r="G1640" s="9"/>
      <c r="H1640" s="9"/>
      <c r="I1640" s="11" t="e">
        <f>VLOOKUP(H1640,위치!B:C,2,0)</f>
        <v>#N/A</v>
      </c>
      <c r="J1640" s="9"/>
      <c r="K1640" s="9"/>
      <c r="L1640" s="9" t="e">
        <f>VLOOKUP(H1640,위치!B:D,3,0)</f>
        <v>#N/A</v>
      </c>
      <c r="M1640" s="12"/>
      <c r="N1640" s="5"/>
      <c r="O1640" s="5"/>
      <c r="P1640" s="5"/>
      <c r="Q1640" s="14"/>
      <c r="R1640" s="15">
        <f t="shared" si="25"/>
        <v>0</v>
      </c>
    </row>
    <row r="1641" spans="2:18" x14ac:dyDescent="0.35">
      <c r="B1641" s="9">
        <v>1667</v>
      </c>
      <c r="C1641" s="9"/>
      <c r="D1641" s="9"/>
      <c r="E1641" s="9"/>
      <c r="F1641" s="9"/>
      <c r="G1641" s="9"/>
      <c r="H1641" s="9"/>
      <c r="I1641" s="11" t="e">
        <f>VLOOKUP(H1641,위치!B:C,2,0)</f>
        <v>#N/A</v>
      </c>
      <c r="J1641" s="9"/>
      <c r="K1641" s="9"/>
      <c r="L1641" s="9" t="e">
        <f>VLOOKUP(H1641,위치!B:D,3,0)</f>
        <v>#N/A</v>
      </c>
      <c r="M1641" s="12"/>
      <c r="N1641" s="5"/>
      <c r="O1641" s="5"/>
      <c r="P1641" s="5"/>
      <c r="Q1641" s="14"/>
      <c r="R1641" s="15">
        <f t="shared" si="25"/>
        <v>0</v>
      </c>
    </row>
    <row r="1642" spans="2:18" x14ac:dyDescent="0.35">
      <c r="B1642" s="9">
        <v>1668</v>
      </c>
      <c r="C1642" s="9"/>
      <c r="D1642" s="9"/>
      <c r="E1642" s="9"/>
      <c r="F1642" s="9"/>
      <c r="G1642" s="9"/>
      <c r="H1642" s="9"/>
      <c r="I1642" s="11" t="e">
        <f>VLOOKUP(H1642,위치!B:C,2,0)</f>
        <v>#N/A</v>
      </c>
      <c r="J1642" s="9"/>
      <c r="K1642" s="9"/>
      <c r="L1642" s="9" t="e">
        <f>VLOOKUP(H1642,위치!B:D,3,0)</f>
        <v>#N/A</v>
      </c>
      <c r="M1642" s="12"/>
      <c r="N1642" s="5"/>
      <c r="O1642" s="5"/>
      <c r="P1642" s="5"/>
      <c r="Q1642" s="14"/>
      <c r="R1642" s="15">
        <f t="shared" si="25"/>
        <v>0</v>
      </c>
    </row>
    <row r="1643" spans="2:18" x14ac:dyDescent="0.35">
      <c r="B1643" s="9">
        <v>1669</v>
      </c>
      <c r="C1643" s="9"/>
      <c r="D1643" s="9"/>
      <c r="E1643" s="9"/>
      <c r="F1643" s="9"/>
      <c r="G1643" s="9"/>
      <c r="H1643" s="9"/>
      <c r="I1643" s="11" t="e">
        <f>VLOOKUP(H1643,위치!B:C,2,0)</f>
        <v>#N/A</v>
      </c>
      <c r="J1643" s="9"/>
      <c r="K1643" s="9"/>
      <c r="L1643" s="9" t="e">
        <f>VLOOKUP(H1643,위치!B:D,3,0)</f>
        <v>#N/A</v>
      </c>
      <c r="M1643" s="12"/>
      <c r="N1643" s="5"/>
      <c r="O1643" s="5"/>
      <c r="P1643" s="5"/>
      <c r="Q1643" s="14"/>
      <c r="R1643" s="15">
        <f t="shared" si="25"/>
        <v>0</v>
      </c>
    </row>
    <row r="1644" spans="2:18" x14ac:dyDescent="0.35">
      <c r="B1644" s="9">
        <v>1670</v>
      </c>
      <c r="C1644" s="9"/>
      <c r="D1644" s="9"/>
      <c r="E1644" s="9"/>
      <c r="F1644" s="9"/>
      <c r="G1644" s="9"/>
      <c r="H1644" s="9"/>
      <c r="I1644" s="11" t="e">
        <f>VLOOKUP(H1644,위치!B:C,2,0)</f>
        <v>#N/A</v>
      </c>
      <c r="J1644" s="9"/>
      <c r="K1644" s="9"/>
      <c r="L1644" s="9" t="e">
        <f>VLOOKUP(H1644,위치!B:D,3,0)</f>
        <v>#N/A</v>
      </c>
      <c r="M1644" s="12"/>
      <c r="N1644" s="5"/>
      <c r="O1644" s="5"/>
      <c r="P1644" s="5"/>
      <c r="Q1644" s="14"/>
      <c r="R1644" s="15">
        <f t="shared" si="25"/>
        <v>0</v>
      </c>
    </row>
    <row r="1645" spans="2:18" x14ac:dyDescent="0.35">
      <c r="B1645" s="9">
        <v>1671</v>
      </c>
      <c r="C1645" s="9"/>
      <c r="D1645" s="9"/>
      <c r="E1645" s="9"/>
      <c r="F1645" s="9"/>
      <c r="G1645" s="9"/>
      <c r="H1645" s="9"/>
      <c r="I1645" s="11" t="e">
        <f>VLOOKUP(H1645,위치!B:C,2,0)</f>
        <v>#N/A</v>
      </c>
      <c r="J1645" s="9"/>
      <c r="K1645" s="9"/>
      <c r="L1645" s="9" t="e">
        <f>VLOOKUP(H1645,위치!B:D,3,0)</f>
        <v>#N/A</v>
      </c>
      <c r="M1645" s="12"/>
      <c r="N1645" s="5"/>
      <c r="O1645" s="5"/>
      <c r="P1645" s="5"/>
      <c r="Q1645" s="14"/>
      <c r="R1645" s="15">
        <f t="shared" si="25"/>
        <v>0</v>
      </c>
    </row>
    <row r="1646" spans="2:18" x14ac:dyDescent="0.35">
      <c r="B1646" s="9">
        <v>1672</v>
      </c>
      <c r="C1646" s="9"/>
      <c r="D1646" s="9"/>
      <c r="E1646" s="9"/>
      <c r="F1646" s="9"/>
      <c r="G1646" s="9"/>
      <c r="H1646" s="9"/>
      <c r="I1646" s="11" t="e">
        <f>VLOOKUP(H1646,위치!B:C,2,0)</f>
        <v>#N/A</v>
      </c>
      <c r="J1646" s="9"/>
      <c r="K1646" s="9"/>
      <c r="L1646" s="9" t="e">
        <f>VLOOKUP(H1646,위치!B:D,3,0)</f>
        <v>#N/A</v>
      </c>
      <c r="M1646" s="12"/>
      <c r="N1646" s="5"/>
      <c r="O1646" s="5"/>
      <c r="P1646" s="5"/>
      <c r="Q1646" s="14"/>
      <c r="R1646" s="15">
        <f t="shared" si="25"/>
        <v>0</v>
      </c>
    </row>
    <row r="1647" spans="2:18" x14ac:dyDescent="0.35">
      <c r="B1647" s="9">
        <v>1673</v>
      </c>
      <c r="C1647" s="9"/>
      <c r="D1647" s="9"/>
      <c r="E1647" s="9"/>
      <c r="F1647" s="9"/>
      <c r="G1647" s="9"/>
      <c r="H1647" s="10"/>
      <c r="I1647" s="11" t="e">
        <f>VLOOKUP(H1647,위치!B:C,2,0)</f>
        <v>#N/A</v>
      </c>
      <c r="J1647" s="9"/>
      <c r="K1647" s="9"/>
      <c r="L1647" s="9" t="e">
        <f>VLOOKUP(H1647,위치!B:D,3,0)</f>
        <v>#N/A</v>
      </c>
      <c r="M1647" s="12"/>
      <c r="N1647" s="5"/>
      <c r="O1647" s="5"/>
      <c r="P1647" s="5"/>
      <c r="Q1647" s="14"/>
      <c r="R1647" s="15">
        <f t="shared" si="25"/>
        <v>0</v>
      </c>
    </row>
    <row r="1648" spans="2:18" x14ac:dyDescent="0.35">
      <c r="B1648" s="9">
        <v>1674</v>
      </c>
      <c r="C1648" s="9"/>
      <c r="D1648" s="9"/>
      <c r="E1648" s="9"/>
      <c r="F1648" s="9"/>
      <c r="G1648" s="9"/>
      <c r="H1648" s="9"/>
      <c r="I1648" s="11" t="e">
        <f>VLOOKUP(H1648,위치!B:C,2,0)</f>
        <v>#N/A</v>
      </c>
      <c r="J1648" s="9"/>
      <c r="K1648" s="9"/>
      <c r="L1648" s="9" t="e">
        <f>VLOOKUP(H1648,위치!B:D,3,0)</f>
        <v>#N/A</v>
      </c>
      <c r="M1648" s="12"/>
      <c r="N1648" s="5"/>
      <c r="O1648" s="5"/>
      <c r="P1648" s="5"/>
      <c r="Q1648" s="14"/>
      <c r="R1648" s="15">
        <f t="shared" si="25"/>
        <v>0</v>
      </c>
    </row>
    <row r="1649" spans="2:18" x14ac:dyDescent="0.35">
      <c r="B1649" s="9">
        <v>1675</v>
      </c>
      <c r="C1649" s="9"/>
      <c r="D1649" s="9"/>
      <c r="E1649" s="9"/>
      <c r="F1649" s="9"/>
      <c r="G1649" s="9"/>
      <c r="H1649" s="9"/>
      <c r="I1649" s="11" t="e">
        <f>VLOOKUP(H1649,위치!B:C,2,0)</f>
        <v>#N/A</v>
      </c>
      <c r="J1649" s="9"/>
      <c r="K1649" s="9"/>
      <c r="L1649" s="9" t="e">
        <f>VLOOKUP(H1649,위치!B:D,3,0)</f>
        <v>#N/A</v>
      </c>
      <c r="M1649" s="12"/>
      <c r="N1649" s="5"/>
      <c r="O1649" s="5"/>
      <c r="P1649" s="5"/>
      <c r="Q1649" s="14"/>
      <c r="R1649" s="15">
        <f t="shared" si="25"/>
        <v>0</v>
      </c>
    </row>
    <row r="1650" spans="2:18" x14ac:dyDescent="0.35">
      <c r="B1650" s="9">
        <v>1676</v>
      </c>
      <c r="C1650" s="9"/>
      <c r="D1650" s="9"/>
      <c r="E1650" s="9"/>
      <c r="F1650" s="9"/>
      <c r="G1650" s="9"/>
      <c r="H1650" s="9"/>
      <c r="I1650" s="11" t="e">
        <f>VLOOKUP(H1650,위치!B:C,2,0)</f>
        <v>#N/A</v>
      </c>
      <c r="J1650" s="9"/>
      <c r="K1650" s="9"/>
      <c r="L1650" s="9" t="e">
        <f>VLOOKUP(H1650,위치!B:D,3,0)</f>
        <v>#N/A</v>
      </c>
      <c r="M1650" s="12"/>
      <c r="N1650" s="5"/>
      <c r="O1650" s="5"/>
      <c r="P1650" s="5"/>
      <c r="Q1650" s="14"/>
      <c r="R1650" s="15">
        <f t="shared" si="25"/>
        <v>0</v>
      </c>
    </row>
    <row r="1651" spans="2:18" x14ac:dyDescent="0.35">
      <c r="B1651" s="9">
        <v>1677</v>
      </c>
      <c r="C1651" s="9"/>
      <c r="D1651" s="9"/>
      <c r="E1651" s="9"/>
      <c r="F1651" s="9"/>
      <c r="G1651" s="9"/>
      <c r="H1651" s="9"/>
      <c r="I1651" s="11" t="e">
        <f>VLOOKUP(H1651,위치!B:C,2,0)</f>
        <v>#N/A</v>
      </c>
      <c r="J1651" s="9"/>
      <c r="K1651" s="9"/>
      <c r="L1651" s="9" t="e">
        <f>VLOOKUP(H1651,위치!B:D,3,0)</f>
        <v>#N/A</v>
      </c>
      <c r="M1651" s="12"/>
      <c r="N1651" s="5"/>
      <c r="O1651" s="5"/>
      <c r="P1651" s="5"/>
      <c r="Q1651" s="14"/>
      <c r="R1651" s="15">
        <f t="shared" si="25"/>
        <v>0</v>
      </c>
    </row>
    <row r="1652" spans="2:18" x14ac:dyDescent="0.35">
      <c r="B1652" s="9">
        <v>1678</v>
      </c>
      <c r="C1652" s="9"/>
      <c r="D1652" s="9"/>
      <c r="E1652" s="9"/>
      <c r="F1652" s="9"/>
      <c r="G1652" s="9"/>
      <c r="H1652" s="9"/>
      <c r="I1652" s="11" t="e">
        <f>VLOOKUP(H1652,위치!B:C,2,0)</f>
        <v>#N/A</v>
      </c>
      <c r="J1652" s="9"/>
      <c r="K1652" s="9"/>
      <c r="L1652" s="9" t="e">
        <f>VLOOKUP(H1652,위치!B:D,3,0)</f>
        <v>#N/A</v>
      </c>
      <c r="M1652" s="12"/>
      <c r="N1652" s="5"/>
      <c r="O1652" s="5"/>
      <c r="P1652" s="5"/>
      <c r="Q1652" s="14"/>
      <c r="R1652" s="15">
        <f t="shared" si="25"/>
        <v>0</v>
      </c>
    </row>
    <row r="1653" spans="2:18" x14ac:dyDescent="0.35">
      <c r="B1653" s="9">
        <v>1679</v>
      </c>
      <c r="C1653" s="9"/>
      <c r="D1653" s="9"/>
      <c r="E1653" s="9"/>
      <c r="F1653" s="9"/>
      <c r="G1653" s="9"/>
      <c r="H1653" s="9"/>
      <c r="I1653" s="11" t="e">
        <f>VLOOKUP(H1653,위치!B:C,2,0)</f>
        <v>#N/A</v>
      </c>
      <c r="J1653" s="9"/>
      <c r="K1653" s="9"/>
      <c r="L1653" s="9" t="e">
        <f>VLOOKUP(H1653,위치!B:D,3,0)</f>
        <v>#N/A</v>
      </c>
      <c r="M1653" s="12"/>
      <c r="N1653" s="5"/>
      <c r="O1653" s="5"/>
      <c r="P1653" s="5"/>
      <c r="Q1653" s="14"/>
      <c r="R1653" s="15">
        <f t="shared" si="25"/>
        <v>0</v>
      </c>
    </row>
    <row r="1654" spans="2:18" x14ac:dyDescent="0.35">
      <c r="B1654" s="9">
        <v>1680</v>
      </c>
      <c r="C1654" s="9"/>
      <c r="D1654" s="9"/>
      <c r="E1654" s="9"/>
      <c r="F1654" s="9"/>
      <c r="G1654" s="9"/>
      <c r="H1654" s="9"/>
      <c r="I1654" s="11" t="e">
        <f>VLOOKUP(H1654,위치!B:C,2,0)</f>
        <v>#N/A</v>
      </c>
      <c r="J1654" s="9"/>
      <c r="K1654" s="9"/>
      <c r="L1654" s="9" t="e">
        <f>VLOOKUP(H1654,위치!B:D,3,0)</f>
        <v>#N/A</v>
      </c>
      <c r="M1654" s="12"/>
      <c r="N1654" s="5"/>
      <c r="O1654" s="5"/>
      <c r="P1654" s="5"/>
      <c r="Q1654" s="14"/>
      <c r="R1654" s="15">
        <f t="shared" si="25"/>
        <v>0</v>
      </c>
    </row>
    <row r="1655" spans="2:18" x14ac:dyDescent="0.35">
      <c r="B1655" s="9">
        <v>1681</v>
      </c>
      <c r="C1655" s="9"/>
      <c r="D1655" s="9"/>
      <c r="E1655" s="9"/>
      <c r="F1655" s="9"/>
      <c r="G1655" s="9"/>
      <c r="H1655" s="9"/>
      <c r="I1655" s="11" t="e">
        <f>VLOOKUP(H1655,위치!B:C,2,0)</f>
        <v>#N/A</v>
      </c>
      <c r="J1655" s="9"/>
      <c r="K1655" s="9"/>
      <c r="L1655" s="9" t="e">
        <f>VLOOKUP(H1655,위치!B:D,3,0)</f>
        <v>#N/A</v>
      </c>
      <c r="M1655" s="12"/>
      <c r="N1655" s="5"/>
      <c r="O1655" s="5"/>
      <c r="P1655" s="5"/>
      <c r="Q1655" s="14"/>
      <c r="R1655" s="15">
        <f t="shared" si="25"/>
        <v>0</v>
      </c>
    </row>
    <row r="1656" spans="2:18" x14ac:dyDescent="0.35">
      <c r="B1656" s="9">
        <v>1682</v>
      </c>
      <c r="C1656" s="9"/>
      <c r="D1656" s="9"/>
      <c r="E1656" s="9"/>
      <c r="F1656" s="9"/>
      <c r="G1656" s="9"/>
      <c r="H1656" s="9"/>
      <c r="I1656" s="11" t="e">
        <f>VLOOKUP(H1656,위치!B:C,2,0)</f>
        <v>#N/A</v>
      </c>
      <c r="J1656" s="9"/>
      <c r="K1656" s="9"/>
      <c r="L1656" s="9" t="e">
        <f>VLOOKUP(H1656,위치!B:D,3,0)</f>
        <v>#N/A</v>
      </c>
      <c r="M1656" s="12"/>
      <c r="N1656" s="5"/>
      <c r="O1656" s="5"/>
      <c r="P1656" s="5"/>
      <c r="Q1656" s="14"/>
      <c r="R1656" s="15">
        <f t="shared" si="25"/>
        <v>0</v>
      </c>
    </row>
    <row r="1657" spans="2:18" x14ac:dyDescent="0.35">
      <c r="B1657" s="9">
        <v>1683</v>
      </c>
      <c r="C1657" s="9"/>
      <c r="D1657" s="9"/>
      <c r="E1657" s="9"/>
      <c r="F1657" s="9"/>
      <c r="G1657" s="9"/>
      <c r="H1657" s="9"/>
      <c r="I1657" s="11" t="e">
        <f>VLOOKUP(H1657,위치!B:C,2,0)</f>
        <v>#N/A</v>
      </c>
      <c r="J1657" s="9"/>
      <c r="K1657" s="9"/>
      <c r="L1657" s="9" t="e">
        <f>VLOOKUP(H1657,위치!B:D,3,0)</f>
        <v>#N/A</v>
      </c>
      <c r="M1657" s="12"/>
      <c r="N1657" s="5"/>
      <c r="O1657" s="5"/>
      <c r="P1657" s="5"/>
      <c r="Q1657" s="14"/>
      <c r="R1657" s="15">
        <f t="shared" si="25"/>
        <v>0</v>
      </c>
    </row>
    <row r="1658" spans="2:18" x14ac:dyDescent="0.35">
      <c r="B1658" s="9">
        <v>1684</v>
      </c>
      <c r="C1658" s="9"/>
      <c r="D1658" s="9"/>
      <c r="E1658" s="9"/>
      <c r="F1658" s="9"/>
      <c r="G1658" s="9"/>
      <c r="H1658" s="9"/>
      <c r="I1658" s="11" t="e">
        <f>VLOOKUP(H1658,위치!B:C,2,0)</f>
        <v>#N/A</v>
      </c>
      <c r="J1658" s="9"/>
      <c r="K1658" s="9"/>
      <c r="L1658" s="9" t="e">
        <f>VLOOKUP(H1658,위치!B:D,3,0)</f>
        <v>#N/A</v>
      </c>
      <c r="M1658" s="12"/>
      <c r="N1658" s="5"/>
      <c r="O1658" s="5"/>
      <c r="P1658" s="5"/>
      <c r="Q1658" s="14"/>
      <c r="R1658" s="15">
        <f t="shared" si="25"/>
        <v>0</v>
      </c>
    </row>
    <row r="1659" spans="2:18" x14ac:dyDescent="0.35">
      <c r="B1659" s="9">
        <v>1685</v>
      </c>
      <c r="C1659" s="9"/>
      <c r="D1659" s="9"/>
      <c r="E1659" s="9"/>
      <c r="F1659" s="9"/>
      <c r="G1659" s="9"/>
      <c r="H1659" s="9"/>
      <c r="I1659" s="11" t="e">
        <f>VLOOKUP(H1659,위치!B:C,2,0)</f>
        <v>#N/A</v>
      </c>
      <c r="J1659" s="9"/>
      <c r="K1659" s="9"/>
      <c r="L1659" s="9" t="e">
        <f>VLOOKUP(H1659,위치!B:D,3,0)</f>
        <v>#N/A</v>
      </c>
      <c r="M1659" s="12"/>
      <c r="N1659" s="5"/>
      <c r="O1659" s="5"/>
      <c r="P1659" s="5"/>
      <c r="Q1659" s="14"/>
      <c r="R1659" s="15">
        <f t="shared" si="25"/>
        <v>0</v>
      </c>
    </row>
    <row r="1660" spans="2:18" x14ac:dyDescent="0.35">
      <c r="B1660" s="9">
        <v>1686</v>
      </c>
      <c r="C1660" s="9"/>
      <c r="D1660" s="9"/>
      <c r="E1660" s="9"/>
      <c r="F1660" s="9"/>
      <c r="G1660" s="9"/>
      <c r="H1660" s="9"/>
      <c r="I1660" s="11" t="e">
        <f>VLOOKUP(H1660,위치!B:C,2,0)</f>
        <v>#N/A</v>
      </c>
      <c r="J1660" s="9"/>
      <c r="K1660" s="9"/>
      <c r="L1660" s="9" t="e">
        <f>VLOOKUP(H1660,위치!B:D,3,0)</f>
        <v>#N/A</v>
      </c>
      <c r="M1660" s="12"/>
      <c r="N1660" s="5"/>
      <c r="O1660" s="5"/>
      <c r="P1660" s="5"/>
      <c r="Q1660" s="14"/>
      <c r="R1660" s="15">
        <f t="shared" si="25"/>
        <v>0</v>
      </c>
    </row>
    <row r="1661" spans="2:18" x14ac:dyDescent="0.35">
      <c r="B1661" s="9">
        <v>1687</v>
      </c>
      <c r="C1661" s="9"/>
      <c r="D1661" s="9"/>
      <c r="E1661" s="9"/>
      <c r="F1661" s="9"/>
      <c r="G1661" s="9"/>
      <c r="H1661" s="9"/>
      <c r="I1661" s="11" t="e">
        <f>VLOOKUP(H1661,위치!B:C,2,0)</f>
        <v>#N/A</v>
      </c>
      <c r="J1661" s="9"/>
      <c r="K1661" s="9"/>
      <c r="L1661" s="9" t="e">
        <f>VLOOKUP(H1661,위치!B:D,3,0)</f>
        <v>#N/A</v>
      </c>
      <c r="M1661" s="12"/>
      <c r="N1661" s="5"/>
      <c r="O1661" s="5"/>
      <c r="P1661" s="5"/>
      <c r="Q1661" s="14"/>
      <c r="R1661" s="15">
        <f t="shared" si="25"/>
        <v>0</v>
      </c>
    </row>
    <row r="1662" spans="2:18" x14ac:dyDescent="0.35">
      <c r="B1662" s="9">
        <v>1688</v>
      </c>
      <c r="C1662" s="9"/>
      <c r="D1662" s="9"/>
      <c r="E1662" s="9"/>
      <c r="F1662" s="9"/>
      <c r="G1662" s="9"/>
      <c r="H1662" s="9"/>
      <c r="I1662" s="11" t="e">
        <f>VLOOKUP(H1662,위치!B:C,2,0)</f>
        <v>#N/A</v>
      </c>
      <c r="J1662" s="9"/>
      <c r="K1662" s="9"/>
      <c r="L1662" s="9" t="e">
        <f>VLOOKUP(H1662,위치!B:D,3,0)</f>
        <v>#N/A</v>
      </c>
      <c r="M1662" s="12"/>
      <c r="N1662" s="5"/>
      <c r="O1662" s="5"/>
      <c r="P1662" s="5"/>
      <c r="Q1662" s="14"/>
      <c r="R1662" s="15">
        <f t="shared" si="25"/>
        <v>0</v>
      </c>
    </row>
    <row r="1663" spans="2:18" x14ac:dyDescent="0.35">
      <c r="B1663" s="9">
        <v>1689</v>
      </c>
      <c r="C1663" s="9"/>
      <c r="D1663" s="9"/>
      <c r="E1663" s="9"/>
      <c r="F1663" s="9"/>
      <c r="G1663" s="9"/>
      <c r="H1663" s="9"/>
      <c r="I1663" s="11" t="e">
        <f>VLOOKUP(H1663,위치!B:C,2,0)</f>
        <v>#N/A</v>
      </c>
      <c r="J1663" s="9"/>
      <c r="K1663" s="9"/>
      <c r="L1663" s="9" t="e">
        <f>VLOOKUP(H1663,위치!B:D,3,0)</f>
        <v>#N/A</v>
      </c>
      <c r="M1663" s="12"/>
      <c r="N1663" s="5"/>
      <c r="O1663" s="5"/>
      <c r="P1663" s="5"/>
      <c r="Q1663" s="14"/>
      <c r="R1663" s="15">
        <f t="shared" si="25"/>
        <v>0</v>
      </c>
    </row>
    <row r="1664" spans="2:18" x14ac:dyDescent="0.35">
      <c r="B1664" s="9">
        <v>1690</v>
      </c>
      <c r="C1664" s="9"/>
      <c r="D1664" s="9"/>
      <c r="E1664" s="9"/>
      <c r="F1664" s="9"/>
      <c r="G1664" s="9"/>
      <c r="H1664" s="9"/>
      <c r="I1664" s="11" t="e">
        <f>VLOOKUP(H1664,위치!B:C,2,0)</f>
        <v>#N/A</v>
      </c>
      <c r="J1664" s="9"/>
      <c r="K1664" s="9"/>
      <c r="L1664" s="9" t="e">
        <f>VLOOKUP(H1664,위치!B:D,3,0)</f>
        <v>#N/A</v>
      </c>
      <c r="M1664" s="12"/>
      <c r="N1664" s="5"/>
      <c r="O1664" s="5"/>
      <c r="P1664" s="5"/>
      <c r="Q1664" s="14"/>
      <c r="R1664" s="15">
        <f t="shared" si="25"/>
        <v>0</v>
      </c>
    </row>
    <row r="1665" spans="2:18" x14ac:dyDescent="0.35">
      <c r="B1665" s="9">
        <v>1691</v>
      </c>
      <c r="C1665" s="9"/>
      <c r="D1665" s="9"/>
      <c r="E1665" s="9"/>
      <c r="F1665" s="9"/>
      <c r="G1665" s="9"/>
      <c r="H1665" s="9"/>
      <c r="I1665" s="11" t="e">
        <f>VLOOKUP(H1665,위치!B:C,2,0)</f>
        <v>#N/A</v>
      </c>
      <c r="J1665" s="9"/>
      <c r="K1665" s="9"/>
      <c r="L1665" s="9" t="e">
        <f>VLOOKUP(H1665,위치!B:D,3,0)</f>
        <v>#N/A</v>
      </c>
      <c r="M1665" s="12"/>
      <c r="N1665" s="5"/>
      <c r="O1665" s="5"/>
      <c r="P1665" s="5"/>
      <c r="Q1665" s="14"/>
      <c r="R1665" s="15">
        <f t="shared" si="25"/>
        <v>0</v>
      </c>
    </row>
    <row r="1666" spans="2:18" x14ac:dyDescent="0.35">
      <c r="B1666" s="9">
        <v>1692</v>
      </c>
      <c r="C1666" s="9"/>
      <c r="D1666" s="9"/>
      <c r="E1666" s="9"/>
      <c r="F1666" s="9"/>
      <c r="G1666" s="9"/>
      <c r="H1666" s="9"/>
      <c r="I1666" s="11" t="e">
        <f>VLOOKUP(H1666,위치!B:C,2,0)</f>
        <v>#N/A</v>
      </c>
      <c r="J1666" s="9"/>
      <c r="K1666" s="9"/>
      <c r="L1666" s="9" t="e">
        <f>VLOOKUP(H1666,위치!B:D,3,0)</f>
        <v>#N/A</v>
      </c>
      <c r="M1666" s="12"/>
      <c r="N1666" s="5"/>
      <c r="O1666" s="5"/>
      <c r="P1666" s="5"/>
      <c r="Q1666" s="14"/>
      <c r="R1666" s="15">
        <f t="shared" si="25"/>
        <v>0</v>
      </c>
    </row>
    <row r="1667" spans="2:18" x14ac:dyDescent="0.35">
      <c r="B1667" s="9">
        <v>1693</v>
      </c>
      <c r="C1667" s="9"/>
      <c r="D1667" s="9"/>
      <c r="E1667" s="9"/>
      <c r="F1667" s="9"/>
      <c r="G1667" s="9"/>
      <c r="H1667" s="9"/>
      <c r="I1667" s="11" t="e">
        <f>VLOOKUP(H1667,위치!B:C,2,0)</f>
        <v>#N/A</v>
      </c>
      <c r="J1667" s="9"/>
      <c r="K1667" s="9"/>
      <c r="L1667" s="9" t="e">
        <f>VLOOKUP(H1667,위치!B:D,3,0)</f>
        <v>#N/A</v>
      </c>
      <c r="M1667" s="12"/>
      <c r="N1667" s="5"/>
      <c r="O1667" s="5"/>
      <c r="P1667" s="5"/>
      <c r="Q1667" s="14"/>
      <c r="R1667" s="15">
        <f t="shared" si="25"/>
        <v>0</v>
      </c>
    </row>
    <row r="1668" spans="2:18" x14ac:dyDescent="0.35">
      <c r="B1668" s="9">
        <v>1694</v>
      </c>
      <c r="C1668" s="9"/>
      <c r="D1668" s="9"/>
      <c r="E1668" s="9"/>
      <c r="F1668" s="9"/>
      <c r="G1668" s="9"/>
      <c r="H1668" s="9"/>
      <c r="I1668" s="11" t="e">
        <f>VLOOKUP(H1668,위치!B:C,2,0)</f>
        <v>#N/A</v>
      </c>
      <c r="J1668" s="9"/>
      <c r="K1668" s="9"/>
      <c r="L1668" s="9" t="e">
        <f>VLOOKUP(H1668,위치!B:D,3,0)</f>
        <v>#N/A</v>
      </c>
      <c r="M1668" s="12"/>
      <c r="N1668" s="5"/>
      <c r="O1668" s="5"/>
      <c r="P1668" s="5"/>
      <c r="Q1668" s="14"/>
      <c r="R1668" s="15">
        <f t="shared" si="25"/>
        <v>0</v>
      </c>
    </row>
    <row r="1669" spans="2:18" x14ac:dyDescent="0.35">
      <c r="B1669" s="9">
        <v>1695</v>
      </c>
      <c r="C1669" s="9"/>
      <c r="D1669" s="9"/>
      <c r="E1669" s="9"/>
      <c r="F1669" s="9"/>
      <c r="G1669" s="9"/>
      <c r="H1669" s="9"/>
      <c r="I1669" s="11" t="e">
        <f>VLOOKUP(H1669,위치!B:C,2,0)</f>
        <v>#N/A</v>
      </c>
      <c r="J1669" s="9"/>
      <c r="K1669" s="9"/>
      <c r="L1669" s="9" t="e">
        <f>VLOOKUP(H1669,위치!B:D,3,0)</f>
        <v>#N/A</v>
      </c>
      <c r="M1669" s="12"/>
      <c r="N1669" s="5"/>
      <c r="O1669" s="5"/>
      <c r="P1669" s="5"/>
      <c r="Q1669" s="14"/>
      <c r="R1669" s="15">
        <f t="shared" si="25"/>
        <v>0</v>
      </c>
    </row>
    <row r="1670" spans="2:18" x14ac:dyDescent="0.35">
      <c r="B1670" s="9">
        <v>1696</v>
      </c>
      <c r="C1670" s="9"/>
      <c r="D1670" s="9"/>
      <c r="E1670" s="9"/>
      <c r="F1670" s="9"/>
      <c r="G1670" s="9"/>
      <c r="H1670" s="9"/>
      <c r="I1670" s="11" t="e">
        <f>VLOOKUP(H1670,위치!B:C,2,0)</f>
        <v>#N/A</v>
      </c>
      <c r="J1670" s="9"/>
      <c r="K1670" s="9"/>
      <c r="L1670" s="9" t="e">
        <f>VLOOKUP(H1670,위치!B:D,3,0)</f>
        <v>#N/A</v>
      </c>
      <c r="M1670" s="12"/>
      <c r="N1670" s="5"/>
      <c r="O1670" s="5"/>
      <c r="P1670" s="5"/>
      <c r="Q1670" s="14"/>
      <c r="R1670" s="15">
        <f t="shared" si="25"/>
        <v>0</v>
      </c>
    </row>
    <row r="1671" spans="2:18" x14ac:dyDescent="0.35">
      <c r="B1671" s="9">
        <v>1697</v>
      </c>
      <c r="C1671" s="9"/>
      <c r="D1671" s="9"/>
      <c r="E1671" s="9"/>
      <c r="F1671" s="9"/>
      <c r="G1671" s="9"/>
      <c r="H1671" s="9"/>
      <c r="I1671" s="11" t="e">
        <f>VLOOKUP(H1671,위치!B:C,2,0)</f>
        <v>#N/A</v>
      </c>
      <c r="J1671" s="9"/>
      <c r="K1671" s="9"/>
      <c r="L1671" s="9" t="e">
        <f>VLOOKUP(H1671,위치!B:D,3,0)</f>
        <v>#N/A</v>
      </c>
      <c r="M1671" s="12"/>
      <c r="N1671" s="5"/>
      <c r="O1671" s="5"/>
      <c r="P1671" s="5"/>
      <c r="Q1671" s="14"/>
      <c r="R1671" s="15">
        <f t="shared" ref="R1671:R1734" si="26">J1671-P1671</f>
        <v>0</v>
      </c>
    </row>
    <row r="1672" spans="2:18" x14ac:dyDescent="0.35">
      <c r="B1672" s="9">
        <v>1698</v>
      </c>
      <c r="C1672" s="9"/>
      <c r="D1672" s="9"/>
      <c r="E1672" s="9"/>
      <c r="F1672" s="9"/>
      <c r="G1672" s="9"/>
      <c r="H1672" s="9"/>
      <c r="I1672" s="11" t="e">
        <f>VLOOKUP(H1672,위치!B:C,2,0)</f>
        <v>#N/A</v>
      </c>
      <c r="J1672" s="9"/>
      <c r="K1672" s="9"/>
      <c r="L1672" s="9" t="e">
        <f>VLOOKUP(H1672,위치!B:D,3,0)</f>
        <v>#N/A</v>
      </c>
      <c r="M1672" s="12"/>
      <c r="N1672" s="5"/>
      <c r="O1672" s="5"/>
      <c r="P1672" s="5"/>
      <c r="Q1672" s="14"/>
      <c r="R1672" s="15">
        <f t="shared" si="26"/>
        <v>0</v>
      </c>
    </row>
    <row r="1673" spans="2:18" x14ac:dyDescent="0.35">
      <c r="B1673" s="9">
        <v>1699</v>
      </c>
      <c r="C1673" s="9"/>
      <c r="D1673" s="9"/>
      <c r="E1673" s="9"/>
      <c r="F1673" s="9"/>
      <c r="G1673" s="9"/>
      <c r="H1673" s="9"/>
      <c r="I1673" s="11" t="e">
        <f>VLOOKUP(H1673,위치!B:C,2,0)</f>
        <v>#N/A</v>
      </c>
      <c r="J1673" s="9"/>
      <c r="K1673" s="9"/>
      <c r="L1673" s="9" t="e">
        <f>VLOOKUP(H1673,위치!B:D,3,0)</f>
        <v>#N/A</v>
      </c>
      <c r="M1673" s="12"/>
      <c r="N1673" s="5"/>
      <c r="O1673" s="5"/>
      <c r="P1673" s="5"/>
      <c r="Q1673" s="14"/>
      <c r="R1673" s="15">
        <f t="shared" si="26"/>
        <v>0</v>
      </c>
    </row>
    <row r="1674" spans="2:18" x14ac:dyDescent="0.35">
      <c r="B1674" s="9">
        <v>1700</v>
      </c>
      <c r="C1674" s="9"/>
      <c r="D1674" s="9"/>
      <c r="E1674" s="9"/>
      <c r="F1674" s="9"/>
      <c r="G1674" s="9"/>
      <c r="H1674" s="9"/>
      <c r="I1674" s="11" t="e">
        <f>VLOOKUP(H1674,위치!B:C,2,0)</f>
        <v>#N/A</v>
      </c>
      <c r="J1674" s="9"/>
      <c r="K1674" s="9"/>
      <c r="L1674" s="9" t="e">
        <f>VLOOKUP(H1674,위치!B:D,3,0)</f>
        <v>#N/A</v>
      </c>
      <c r="M1674" s="12"/>
      <c r="N1674" s="5"/>
      <c r="O1674" s="5"/>
      <c r="P1674" s="5"/>
      <c r="Q1674" s="14"/>
      <c r="R1674" s="15">
        <f t="shared" si="26"/>
        <v>0</v>
      </c>
    </row>
    <row r="1675" spans="2:18" x14ac:dyDescent="0.35">
      <c r="B1675" s="9">
        <v>1701</v>
      </c>
      <c r="C1675" s="9"/>
      <c r="D1675" s="9"/>
      <c r="E1675" s="9"/>
      <c r="F1675" s="9"/>
      <c r="G1675" s="9"/>
      <c r="H1675" s="9"/>
      <c r="I1675" s="11" t="e">
        <f>VLOOKUP(H1675,위치!B:C,2,0)</f>
        <v>#N/A</v>
      </c>
      <c r="J1675" s="9"/>
      <c r="K1675" s="9"/>
      <c r="L1675" s="9" t="e">
        <f>VLOOKUP(H1675,위치!B:D,3,0)</f>
        <v>#N/A</v>
      </c>
      <c r="M1675" s="12"/>
      <c r="N1675" s="5"/>
      <c r="O1675" s="5"/>
      <c r="P1675" s="5"/>
      <c r="Q1675" s="14"/>
      <c r="R1675" s="15">
        <f t="shared" si="26"/>
        <v>0</v>
      </c>
    </row>
    <row r="1676" spans="2:18" x14ac:dyDescent="0.35">
      <c r="B1676" s="9">
        <v>1702</v>
      </c>
      <c r="C1676" s="9"/>
      <c r="D1676" s="9"/>
      <c r="E1676" s="9"/>
      <c r="F1676" s="9"/>
      <c r="G1676" s="9"/>
      <c r="H1676" s="9"/>
      <c r="I1676" s="11" t="e">
        <f>VLOOKUP(H1676,위치!B:C,2,0)</f>
        <v>#N/A</v>
      </c>
      <c r="J1676" s="9"/>
      <c r="K1676" s="9"/>
      <c r="L1676" s="9" t="e">
        <f>VLOOKUP(H1676,위치!B:D,3,0)</f>
        <v>#N/A</v>
      </c>
      <c r="M1676" s="12"/>
      <c r="N1676" s="5"/>
      <c r="O1676" s="5"/>
      <c r="P1676" s="5"/>
      <c r="Q1676" s="14"/>
      <c r="R1676" s="15">
        <f t="shared" si="26"/>
        <v>0</v>
      </c>
    </row>
    <row r="1677" spans="2:18" x14ac:dyDescent="0.35">
      <c r="B1677" s="9">
        <v>1703</v>
      </c>
      <c r="C1677" s="9"/>
      <c r="D1677" s="9"/>
      <c r="E1677" s="9"/>
      <c r="F1677" s="9"/>
      <c r="G1677" s="9"/>
      <c r="H1677" s="9"/>
      <c r="I1677" s="11" t="e">
        <f>VLOOKUP(H1677,위치!B:C,2,0)</f>
        <v>#N/A</v>
      </c>
      <c r="J1677" s="9"/>
      <c r="K1677" s="9"/>
      <c r="L1677" s="9" t="e">
        <f>VLOOKUP(H1677,위치!B:D,3,0)</f>
        <v>#N/A</v>
      </c>
      <c r="M1677" s="12"/>
      <c r="N1677" s="5"/>
      <c r="O1677" s="5"/>
      <c r="P1677" s="5"/>
      <c r="Q1677" s="14"/>
      <c r="R1677" s="15">
        <f t="shared" si="26"/>
        <v>0</v>
      </c>
    </row>
    <row r="1678" spans="2:18" x14ac:dyDescent="0.35">
      <c r="B1678" s="9">
        <v>1704</v>
      </c>
      <c r="C1678" s="9"/>
      <c r="D1678" s="9"/>
      <c r="E1678" s="9"/>
      <c r="F1678" s="9"/>
      <c r="G1678" s="9"/>
      <c r="H1678" s="9"/>
      <c r="I1678" s="11" t="e">
        <f>VLOOKUP(H1678,위치!B:C,2,0)</f>
        <v>#N/A</v>
      </c>
      <c r="J1678" s="9"/>
      <c r="K1678" s="9"/>
      <c r="L1678" s="9" t="e">
        <f>VLOOKUP(H1678,위치!B:D,3,0)</f>
        <v>#N/A</v>
      </c>
      <c r="M1678" s="12"/>
      <c r="N1678" s="5"/>
      <c r="O1678" s="5"/>
      <c r="P1678" s="5"/>
      <c r="Q1678" s="14"/>
      <c r="R1678" s="15">
        <f t="shared" si="26"/>
        <v>0</v>
      </c>
    </row>
    <row r="1679" spans="2:18" x14ac:dyDescent="0.35">
      <c r="B1679" s="9">
        <v>1705</v>
      </c>
      <c r="C1679" s="9"/>
      <c r="D1679" s="9"/>
      <c r="E1679" s="9"/>
      <c r="F1679" s="9"/>
      <c r="G1679" s="9"/>
      <c r="H1679" s="9"/>
      <c r="I1679" s="11" t="e">
        <f>VLOOKUP(H1679,위치!B:C,2,0)</f>
        <v>#N/A</v>
      </c>
      <c r="J1679" s="9"/>
      <c r="K1679" s="9"/>
      <c r="L1679" s="9" t="e">
        <f>VLOOKUP(H1679,위치!B:D,3,0)</f>
        <v>#N/A</v>
      </c>
      <c r="M1679" s="12"/>
      <c r="N1679" s="5"/>
      <c r="O1679" s="5"/>
      <c r="P1679" s="5"/>
      <c r="Q1679" s="14"/>
      <c r="R1679" s="15">
        <f t="shared" si="26"/>
        <v>0</v>
      </c>
    </row>
    <row r="1680" spans="2:18" x14ac:dyDescent="0.35">
      <c r="B1680" s="9">
        <v>1706</v>
      </c>
      <c r="C1680" s="9"/>
      <c r="D1680" s="9"/>
      <c r="E1680" s="9"/>
      <c r="F1680" s="9"/>
      <c r="G1680" s="9"/>
      <c r="H1680" s="9"/>
      <c r="I1680" s="11" t="e">
        <f>VLOOKUP(H1680,위치!B:C,2,0)</f>
        <v>#N/A</v>
      </c>
      <c r="J1680" s="9"/>
      <c r="K1680" s="9"/>
      <c r="L1680" s="9" t="e">
        <f>VLOOKUP(H1680,위치!B:D,3,0)</f>
        <v>#N/A</v>
      </c>
      <c r="M1680" s="12"/>
      <c r="N1680" s="5"/>
      <c r="O1680" s="5"/>
      <c r="P1680" s="5"/>
      <c r="Q1680" s="14"/>
      <c r="R1680" s="15">
        <f t="shared" si="26"/>
        <v>0</v>
      </c>
    </row>
    <row r="1681" spans="2:18" x14ac:dyDescent="0.35">
      <c r="B1681" s="9">
        <v>1707</v>
      </c>
      <c r="C1681" s="9"/>
      <c r="D1681" s="9"/>
      <c r="E1681" s="9"/>
      <c r="F1681" s="9"/>
      <c r="G1681" s="9"/>
      <c r="H1681" s="9"/>
      <c r="I1681" s="11" t="e">
        <f>VLOOKUP(H1681,위치!B:C,2,0)</f>
        <v>#N/A</v>
      </c>
      <c r="J1681" s="9"/>
      <c r="K1681" s="9"/>
      <c r="L1681" s="9" t="e">
        <f>VLOOKUP(H1681,위치!B:D,3,0)</f>
        <v>#N/A</v>
      </c>
      <c r="M1681" s="12"/>
      <c r="N1681" s="5"/>
      <c r="O1681" s="5"/>
      <c r="P1681" s="5"/>
      <c r="Q1681" s="14"/>
      <c r="R1681" s="15">
        <f t="shared" si="26"/>
        <v>0</v>
      </c>
    </row>
    <row r="1682" spans="2:18" x14ac:dyDescent="0.35">
      <c r="B1682" s="9">
        <v>1708</v>
      </c>
      <c r="C1682" s="9"/>
      <c r="D1682" s="9"/>
      <c r="E1682" s="9"/>
      <c r="F1682" s="9"/>
      <c r="G1682" s="9"/>
      <c r="H1682" s="9"/>
      <c r="I1682" s="11" t="e">
        <f>VLOOKUP(H1682,위치!B:C,2,0)</f>
        <v>#N/A</v>
      </c>
      <c r="J1682" s="9"/>
      <c r="K1682" s="9"/>
      <c r="L1682" s="9" t="e">
        <f>VLOOKUP(H1682,위치!B:D,3,0)</f>
        <v>#N/A</v>
      </c>
      <c r="M1682" s="12"/>
      <c r="N1682" s="5"/>
      <c r="O1682" s="5"/>
      <c r="P1682" s="5"/>
      <c r="Q1682" s="14"/>
      <c r="R1682" s="15">
        <f t="shared" si="26"/>
        <v>0</v>
      </c>
    </row>
    <row r="1683" spans="2:18" x14ac:dyDescent="0.35">
      <c r="B1683" s="9">
        <v>1709</v>
      </c>
      <c r="C1683" s="9"/>
      <c r="D1683" s="9"/>
      <c r="E1683" s="9"/>
      <c r="F1683" s="9"/>
      <c r="G1683" s="9"/>
      <c r="H1683" s="9"/>
      <c r="I1683" s="11" t="e">
        <f>VLOOKUP(H1683,위치!B:C,2,0)</f>
        <v>#N/A</v>
      </c>
      <c r="J1683" s="9"/>
      <c r="K1683" s="9"/>
      <c r="L1683" s="9" t="e">
        <f>VLOOKUP(H1683,위치!B:D,3,0)</f>
        <v>#N/A</v>
      </c>
      <c r="M1683" s="12"/>
      <c r="N1683" s="5"/>
      <c r="O1683" s="5"/>
      <c r="P1683" s="5"/>
      <c r="Q1683" s="14"/>
      <c r="R1683" s="15">
        <f t="shared" si="26"/>
        <v>0</v>
      </c>
    </row>
    <row r="1684" spans="2:18" x14ac:dyDescent="0.35">
      <c r="B1684" s="9">
        <v>1710</v>
      </c>
      <c r="C1684" s="9"/>
      <c r="D1684" s="9"/>
      <c r="E1684" s="9"/>
      <c r="F1684" s="9"/>
      <c r="G1684" s="9"/>
      <c r="H1684" s="9"/>
      <c r="I1684" s="11" t="e">
        <f>VLOOKUP(H1684,위치!B:C,2,0)</f>
        <v>#N/A</v>
      </c>
      <c r="J1684" s="9"/>
      <c r="K1684" s="9"/>
      <c r="L1684" s="9" t="e">
        <f>VLOOKUP(H1684,위치!B:D,3,0)</f>
        <v>#N/A</v>
      </c>
      <c r="M1684" s="12"/>
      <c r="N1684" s="5"/>
      <c r="O1684" s="5"/>
      <c r="P1684" s="5"/>
      <c r="Q1684" s="14"/>
      <c r="R1684" s="15">
        <f t="shared" si="26"/>
        <v>0</v>
      </c>
    </row>
    <row r="1685" spans="2:18" x14ac:dyDescent="0.35">
      <c r="B1685" s="9">
        <v>1711</v>
      </c>
      <c r="C1685" s="9"/>
      <c r="D1685" s="9"/>
      <c r="E1685" s="9"/>
      <c r="F1685" s="9"/>
      <c r="G1685" s="9"/>
      <c r="H1685" s="9"/>
      <c r="I1685" s="11" t="e">
        <f>VLOOKUP(H1685,위치!B:C,2,0)</f>
        <v>#N/A</v>
      </c>
      <c r="J1685" s="9"/>
      <c r="K1685" s="9"/>
      <c r="L1685" s="9" t="e">
        <f>VLOOKUP(H1685,위치!B:D,3,0)</f>
        <v>#N/A</v>
      </c>
      <c r="M1685" s="12"/>
      <c r="N1685" s="5"/>
      <c r="O1685" s="5"/>
      <c r="P1685" s="5"/>
      <c r="Q1685" s="14"/>
      <c r="R1685" s="15">
        <f t="shared" si="26"/>
        <v>0</v>
      </c>
    </row>
    <row r="1686" spans="2:18" x14ac:dyDescent="0.35">
      <c r="B1686" s="9">
        <v>1712</v>
      </c>
      <c r="C1686" s="9"/>
      <c r="D1686" s="9"/>
      <c r="E1686" s="9"/>
      <c r="F1686" s="9"/>
      <c r="G1686" s="9"/>
      <c r="H1686" s="9"/>
      <c r="I1686" s="11" t="e">
        <f>VLOOKUP(H1686,위치!B:C,2,0)</f>
        <v>#N/A</v>
      </c>
      <c r="J1686" s="9"/>
      <c r="K1686" s="9"/>
      <c r="L1686" s="9" t="e">
        <f>VLOOKUP(H1686,위치!B:D,3,0)</f>
        <v>#N/A</v>
      </c>
      <c r="M1686" s="12"/>
      <c r="N1686" s="5"/>
      <c r="O1686" s="5"/>
      <c r="P1686" s="5"/>
      <c r="Q1686" s="14"/>
      <c r="R1686" s="15">
        <f t="shared" si="26"/>
        <v>0</v>
      </c>
    </row>
    <row r="1687" spans="2:18" x14ac:dyDescent="0.35">
      <c r="B1687" s="9">
        <v>1713</v>
      </c>
      <c r="C1687" s="9"/>
      <c r="D1687" s="9"/>
      <c r="E1687" s="9"/>
      <c r="F1687" s="9"/>
      <c r="G1687" s="9"/>
      <c r="H1687" s="9"/>
      <c r="I1687" s="11" t="e">
        <f>VLOOKUP(H1687,위치!B:C,2,0)</f>
        <v>#N/A</v>
      </c>
      <c r="J1687" s="9"/>
      <c r="K1687" s="9"/>
      <c r="L1687" s="9" t="e">
        <f>VLOOKUP(H1687,위치!B:D,3,0)</f>
        <v>#N/A</v>
      </c>
      <c r="M1687" s="12"/>
      <c r="N1687" s="5"/>
      <c r="O1687" s="5"/>
      <c r="P1687" s="5"/>
      <c r="Q1687" s="14"/>
      <c r="R1687" s="15">
        <f t="shared" si="26"/>
        <v>0</v>
      </c>
    </row>
    <row r="1688" spans="2:18" x14ac:dyDescent="0.35">
      <c r="B1688" s="9">
        <v>1714</v>
      </c>
      <c r="C1688" s="9"/>
      <c r="D1688" s="9"/>
      <c r="E1688" s="9"/>
      <c r="F1688" s="9"/>
      <c r="G1688" s="9"/>
      <c r="H1688" s="9"/>
      <c r="I1688" s="11" t="e">
        <f>VLOOKUP(H1688,위치!B:C,2,0)</f>
        <v>#N/A</v>
      </c>
      <c r="J1688" s="9"/>
      <c r="K1688" s="9"/>
      <c r="L1688" s="9" t="e">
        <f>VLOOKUP(H1688,위치!B:D,3,0)</f>
        <v>#N/A</v>
      </c>
      <c r="M1688" s="12"/>
      <c r="N1688" s="5"/>
      <c r="O1688" s="5"/>
      <c r="P1688" s="5"/>
      <c r="Q1688" s="14"/>
      <c r="R1688" s="15">
        <f t="shared" si="26"/>
        <v>0</v>
      </c>
    </row>
    <row r="1689" spans="2:18" x14ac:dyDescent="0.35">
      <c r="B1689" s="9">
        <v>1715</v>
      </c>
      <c r="C1689" s="9"/>
      <c r="D1689" s="9"/>
      <c r="E1689" s="9"/>
      <c r="F1689" s="9"/>
      <c r="G1689" s="9"/>
      <c r="H1689" s="9"/>
      <c r="I1689" s="11" t="e">
        <f>VLOOKUP(H1689,위치!B:C,2,0)</f>
        <v>#N/A</v>
      </c>
      <c r="J1689" s="9"/>
      <c r="K1689" s="9"/>
      <c r="L1689" s="9" t="e">
        <f>VLOOKUP(H1689,위치!B:D,3,0)</f>
        <v>#N/A</v>
      </c>
      <c r="M1689" s="12"/>
      <c r="N1689" s="5"/>
      <c r="O1689" s="5"/>
      <c r="P1689" s="5"/>
      <c r="Q1689" s="14"/>
      <c r="R1689" s="15">
        <f t="shared" si="26"/>
        <v>0</v>
      </c>
    </row>
    <row r="1690" spans="2:18" x14ac:dyDescent="0.35">
      <c r="B1690" s="9">
        <v>1716</v>
      </c>
      <c r="C1690" s="9"/>
      <c r="D1690" s="9"/>
      <c r="E1690" s="9"/>
      <c r="F1690" s="9"/>
      <c r="G1690" s="9"/>
      <c r="H1690" s="9"/>
      <c r="I1690" s="11" t="e">
        <f>VLOOKUP(H1690,위치!B:C,2,0)</f>
        <v>#N/A</v>
      </c>
      <c r="J1690" s="9"/>
      <c r="K1690" s="9"/>
      <c r="L1690" s="9" t="e">
        <f>VLOOKUP(H1690,위치!B:D,3,0)</f>
        <v>#N/A</v>
      </c>
      <c r="M1690" s="12"/>
      <c r="N1690" s="5"/>
      <c r="O1690" s="5"/>
      <c r="P1690" s="5"/>
      <c r="Q1690" s="14"/>
      <c r="R1690" s="15">
        <f t="shared" si="26"/>
        <v>0</v>
      </c>
    </row>
    <row r="1691" spans="2:18" x14ac:dyDescent="0.35">
      <c r="B1691" s="9">
        <v>1717</v>
      </c>
      <c r="C1691" s="9"/>
      <c r="D1691" s="9"/>
      <c r="E1691" s="9"/>
      <c r="F1691" s="9"/>
      <c r="G1691" s="9"/>
      <c r="H1691" s="9"/>
      <c r="I1691" s="11" t="e">
        <f>VLOOKUP(H1691,위치!B:C,2,0)</f>
        <v>#N/A</v>
      </c>
      <c r="J1691" s="9"/>
      <c r="K1691" s="9"/>
      <c r="L1691" s="9" t="e">
        <f>VLOOKUP(H1691,위치!B:D,3,0)</f>
        <v>#N/A</v>
      </c>
      <c r="M1691" s="12"/>
      <c r="N1691" s="5"/>
      <c r="O1691" s="5"/>
      <c r="P1691" s="5"/>
      <c r="Q1691" s="14"/>
      <c r="R1691" s="15">
        <f t="shared" si="26"/>
        <v>0</v>
      </c>
    </row>
    <row r="1692" spans="2:18" x14ac:dyDescent="0.35">
      <c r="B1692" s="9">
        <v>1718</v>
      </c>
      <c r="C1692" s="9"/>
      <c r="D1692" s="9"/>
      <c r="E1692" s="9"/>
      <c r="F1692" s="9"/>
      <c r="G1692" s="9"/>
      <c r="H1692" s="9"/>
      <c r="I1692" s="11" t="e">
        <f>VLOOKUP(H1692,위치!B:C,2,0)</f>
        <v>#N/A</v>
      </c>
      <c r="J1692" s="9"/>
      <c r="K1692" s="9"/>
      <c r="L1692" s="9" t="e">
        <f>VLOOKUP(H1692,위치!B:D,3,0)</f>
        <v>#N/A</v>
      </c>
      <c r="M1692" s="12"/>
      <c r="N1692" s="5"/>
      <c r="O1692" s="5"/>
      <c r="P1692" s="5"/>
      <c r="Q1692" s="14"/>
      <c r="R1692" s="15">
        <f t="shared" si="26"/>
        <v>0</v>
      </c>
    </row>
    <row r="1693" spans="2:18" x14ac:dyDescent="0.35">
      <c r="B1693" s="9">
        <v>1719</v>
      </c>
      <c r="C1693" s="9"/>
      <c r="D1693" s="9"/>
      <c r="E1693" s="9"/>
      <c r="F1693" s="9"/>
      <c r="G1693" s="9"/>
      <c r="H1693" s="9"/>
      <c r="I1693" s="11" t="e">
        <f>VLOOKUP(H1693,위치!B:C,2,0)</f>
        <v>#N/A</v>
      </c>
      <c r="J1693" s="9"/>
      <c r="K1693" s="9"/>
      <c r="L1693" s="9" t="e">
        <f>VLOOKUP(H1693,위치!B:D,3,0)</f>
        <v>#N/A</v>
      </c>
      <c r="M1693" s="12"/>
      <c r="N1693" s="5"/>
      <c r="O1693" s="5"/>
      <c r="P1693" s="5"/>
      <c r="Q1693" s="14"/>
      <c r="R1693" s="15">
        <f t="shared" si="26"/>
        <v>0</v>
      </c>
    </row>
    <row r="1694" spans="2:18" x14ac:dyDescent="0.35">
      <c r="B1694" s="9">
        <v>1720</v>
      </c>
      <c r="C1694" s="9"/>
      <c r="D1694" s="9"/>
      <c r="E1694" s="9"/>
      <c r="F1694" s="9"/>
      <c r="G1694" s="9"/>
      <c r="H1694" s="9"/>
      <c r="I1694" s="11" t="e">
        <f>VLOOKUP(H1694,위치!B:C,2,0)</f>
        <v>#N/A</v>
      </c>
      <c r="J1694" s="9"/>
      <c r="K1694" s="9"/>
      <c r="L1694" s="9" t="e">
        <f>VLOOKUP(H1694,위치!B:D,3,0)</f>
        <v>#N/A</v>
      </c>
      <c r="M1694" s="12"/>
      <c r="N1694" s="5"/>
      <c r="O1694" s="5"/>
      <c r="P1694" s="5"/>
      <c r="Q1694" s="14"/>
      <c r="R1694" s="15">
        <f t="shared" si="26"/>
        <v>0</v>
      </c>
    </row>
    <row r="1695" spans="2:18" x14ac:dyDescent="0.35">
      <c r="B1695" s="9">
        <v>1721</v>
      </c>
      <c r="C1695" s="9"/>
      <c r="D1695" s="9"/>
      <c r="E1695" s="9"/>
      <c r="F1695" s="9"/>
      <c r="G1695" s="9"/>
      <c r="H1695" s="9"/>
      <c r="I1695" s="11" t="e">
        <f>VLOOKUP(H1695,위치!B:C,2,0)</f>
        <v>#N/A</v>
      </c>
      <c r="J1695" s="9"/>
      <c r="K1695" s="9"/>
      <c r="L1695" s="9" t="e">
        <f>VLOOKUP(H1695,위치!B:D,3,0)</f>
        <v>#N/A</v>
      </c>
      <c r="M1695" s="12"/>
      <c r="N1695" s="5"/>
      <c r="O1695" s="5"/>
      <c r="P1695" s="5"/>
      <c r="Q1695" s="14"/>
      <c r="R1695" s="15">
        <f t="shared" si="26"/>
        <v>0</v>
      </c>
    </row>
    <row r="1696" spans="2:18" x14ac:dyDescent="0.35">
      <c r="B1696" s="9">
        <v>1722</v>
      </c>
      <c r="C1696" s="9"/>
      <c r="D1696" s="9"/>
      <c r="E1696" s="9"/>
      <c r="F1696" s="9"/>
      <c r="G1696" s="9"/>
      <c r="H1696" s="9"/>
      <c r="I1696" s="11" t="e">
        <f>VLOOKUP(H1696,위치!B:C,2,0)</f>
        <v>#N/A</v>
      </c>
      <c r="J1696" s="9"/>
      <c r="K1696" s="9"/>
      <c r="L1696" s="9" t="e">
        <f>VLOOKUP(H1696,위치!B:D,3,0)</f>
        <v>#N/A</v>
      </c>
      <c r="M1696" s="12"/>
      <c r="N1696" s="5"/>
      <c r="O1696" s="5"/>
      <c r="P1696" s="5"/>
      <c r="Q1696" s="14"/>
      <c r="R1696" s="15">
        <f t="shared" si="26"/>
        <v>0</v>
      </c>
    </row>
    <row r="1697" spans="2:18" x14ac:dyDescent="0.35">
      <c r="B1697" s="9">
        <v>1723</v>
      </c>
      <c r="C1697" s="9"/>
      <c r="D1697" s="9"/>
      <c r="E1697" s="9"/>
      <c r="F1697" s="9"/>
      <c r="G1697" s="9"/>
      <c r="H1697" s="9"/>
      <c r="I1697" s="11" t="e">
        <f>VLOOKUP(H1697,위치!B:C,2,0)</f>
        <v>#N/A</v>
      </c>
      <c r="J1697" s="9"/>
      <c r="K1697" s="9"/>
      <c r="L1697" s="9" t="e">
        <f>VLOOKUP(H1697,위치!B:D,3,0)</f>
        <v>#N/A</v>
      </c>
      <c r="M1697" s="12"/>
      <c r="N1697" s="5"/>
      <c r="O1697" s="5"/>
      <c r="P1697" s="5"/>
      <c r="Q1697" s="14"/>
      <c r="R1697" s="15">
        <f t="shared" si="26"/>
        <v>0</v>
      </c>
    </row>
    <row r="1698" spans="2:18" x14ac:dyDescent="0.35">
      <c r="B1698" s="9">
        <v>1724</v>
      </c>
      <c r="C1698" s="9"/>
      <c r="D1698" s="9"/>
      <c r="E1698" s="9"/>
      <c r="F1698" s="9"/>
      <c r="G1698" s="9"/>
      <c r="H1698" s="9"/>
      <c r="I1698" s="11" t="e">
        <f>VLOOKUP(H1698,위치!B:C,2,0)</f>
        <v>#N/A</v>
      </c>
      <c r="J1698" s="9"/>
      <c r="K1698" s="9"/>
      <c r="L1698" s="9" t="e">
        <f>VLOOKUP(H1698,위치!B:D,3,0)</f>
        <v>#N/A</v>
      </c>
      <c r="M1698" s="12"/>
      <c r="N1698" s="5"/>
      <c r="O1698" s="5"/>
      <c r="P1698" s="5"/>
      <c r="Q1698" s="14"/>
      <c r="R1698" s="15">
        <f t="shared" si="26"/>
        <v>0</v>
      </c>
    </row>
    <row r="1699" spans="2:18" x14ac:dyDescent="0.35">
      <c r="B1699" s="9">
        <v>1725</v>
      </c>
      <c r="C1699" s="9"/>
      <c r="D1699" s="9"/>
      <c r="E1699" s="9"/>
      <c r="F1699" s="9"/>
      <c r="G1699" s="9"/>
      <c r="H1699" s="9"/>
      <c r="I1699" s="11" t="e">
        <f>VLOOKUP(H1699,위치!B:C,2,0)</f>
        <v>#N/A</v>
      </c>
      <c r="J1699" s="9"/>
      <c r="K1699" s="9"/>
      <c r="L1699" s="9" t="e">
        <f>VLOOKUP(H1699,위치!B:D,3,0)</f>
        <v>#N/A</v>
      </c>
      <c r="M1699" s="12"/>
      <c r="N1699" s="5"/>
      <c r="O1699" s="5"/>
      <c r="P1699" s="5"/>
      <c r="Q1699" s="14"/>
      <c r="R1699" s="15">
        <f t="shared" si="26"/>
        <v>0</v>
      </c>
    </row>
    <row r="1700" spans="2:18" x14ac:dyDescent="0.35">
      <c r="B1700" s="9">
        <v>1726</v>
      </c>
      <c r="C1700" s="9"/>
      <c r="D1700" s="9"/>
      <c r="E1700" s="9"/>
      <c r="F1700" s="9"/>
      <c r="G1700" s="9"/>
      <c r="H1700" s="9"/>
      <c r="I1700" s="11" t="e">
        <f>VLOOKUP(H1700,위치!B:C,2,0)</f>
        <v>#N/A</v>
      </c>
      <c r="J1700" s="9"/>
      <c r="K1700" s="9"/>
      <c r="L1700" s="9" t="e">
        <f>VLOOKUP(H1700,위치!B:D,3,0)</f>
        <v>#N/A</v>
      </c>
      <c r="M1700" s="12"/>
      <c r="N1700" s="5"/>
      <c r="O1700" s="5"/>
      <c r="P1700" s="5"/>
      <c r="Q1700" s="14"/>
      <c r="R1700" s="15">
        <f t="shared" si="26"/>
        <v>0</v>
      </c>
    </row>
    <row r="1701" spans="2:18" x14ac:dyDescent="0.35">
      <c r="B1701" s="9">
        <v>1727</v>
      </c>
      <c r="C1701" s="9"/>
      <c r="D1701" s="9"/>
      <c r="E1701" s="9"/>
      <c r="F1701" s="9"/>
      <c r="G1701" s="9"/>
      <c r="H1701" s="9"/>
      <c r="I1701" s="11" t="e">
        <f>VLOOKUP(H1701,위치!B:C,2,0)</f>
        <v>#N/A</v>
      </c>
      <c r="J1701" s="9"/>
      <c r="K1701" s="9"/>
      <c r="L1701" s="9" t="e">
        <f>VLOOKUP(H1701,위치!B:D,3,0)</f>
        <v>#N/A</v>
      </c>
      <c r="M1701" s="12"/>
      <c r="N1701" s="5"/>
      <c r="O1701" s="5"/>
      <c r="P1701" s="5"/>
      <c r="Q1701" s="14"/>
      <c r="R1701" s="15">
        <f t="shared" si="26"/>
        <v>0</v>
      </c>
    </row>
    <row r="1702" spans="2:18" x14ac:dyDescent="0.35">
      <c r="B1702" s="9">
        <v>1728</v>
      </c>
      <c r="C1702" s="9"/>
      <c r="D1702" s="9"/>
      <c r="E1702" s="9"/>
      <c r="F1702" s="9"/>
      <c r="G1702" s="9"/>
      <c r="H1702" s="9"/>
      <c r="I1702" s="11" t="e">
        <f>VLOOKUP(H1702,위치!B:C,2,0)</f>
        <v>#N/A</v>
      </c>
      <c r="J1702" s="9"/>
      <c r="K1702" s="9"/>
      <c r="L1702" s="9" t="e">
        <f>VLOOKUP(H1702,위치!B:D,3,0)</f>
        <v>#N/A</v>
      </c>
      <c r="M1702" s="12"/>
      <c r="N1702" s="5"/>
      <c r="O1702" s="5"/>
      <c r="P1702" s="5"/>
      <c r="Q1702" s="14"/>
      <c r="R1702" s="15">
        <f t="shared" si="26"/>
        <v>0</v>
      </c>
    </row>
    <row r="1703" spans="2:18" x14ac:dyDescent="0.35">
      <c r="B1703" s="9">
        <v>1729</v>
      </c>
      <c r="C1703" s="9"/>
      <c r="D1703" s="9"/>
      <c r="E1703" s="9"/>
      <c r="F1703" s="9"/>
      <c r="G1703" s="9"/>
      <c r="H1703" s="9"/>
      <c r="I1703" s="11" t="e">
        <f>VLOOKUP(H1703,위치!B:C,2,0)</f>
        <v>#N/A</v>
      </c>
      <c r="J1703" s="9"/>
      <c r="K1703" s="9"/>
      <c r="L1703" s="9" t="e">
        <f>VLOOKUP(H1703,위치!B:D,3,0)</f>
        <v>#N/A</v>
      </c>
      <c r="M1703" s="12"/>
      <c r="N1703" s="5"/>
      <c r="O1703" s="5"/>
      <c r="P1703" s="5"/>
      <c r="Q1703" s="14"/>
      <c r="R1703" s="15">
        <f t="shared" si="26"/>
        <v>0</v>
      </c>
    </row>
    <row r="1704" spans="2:18" x14ac:dyDescent="0.35">
      <c r="B1704" s="9">
        <v>1730</v>
      </c>
      <c r="C1704" s="9"/>
      <c r="D1704" s="9"/>
      <c r="E1704" s="9"/>
      <c r="F1704" s="9"/>
      <c r="G1704" s="9"/>
      <c r="H1704" s="9"/>
      <c r="I1704" s="11" t="e">
        <f>VLOOKUP(H1704,위치!B:C,2,0)</f>
        <v>#N/A</v>
      </c>
      <c r="J1704" s="9"/>
      <c r="K1704" s="9"/>
      <c r="L1704" s="9" t="e">
        <f>VLOOKUP(H1704,위치!B:D,3,0)</f>
        <v>#N/A</v>
      </c>
      <c r="M1704" s="12"/>
      <c r="N1704" s="5"/>
      <c r="O1704" s="5"/>
      <c r="P1704" s="5"/>
      <c r="Q1704" s="14"/>
      <c r="R1704" s="15">
        <f t="shared" si="26"/>
        <v>0</v>
      </c>
    </row>
    <row r="1705" spans="2:18" x14ac:dyDescent="0.35">
      <c r="B1705" s="9">
        <v>1731</v>
      </c>
      <c r="C1705" s="9"/>
      <c r="D1705" s="9"/>
      <c r="E1705" s="9"/>
      <c r="F1705" s="9"/>
      <c r="G1705" s="9"/>
      <c r="H1705" s="9"/>
      <c r="I1705" s="11" t="e">
        <f>VLOOKUP(H1705,위치!B:C,2,0)</f>
        <v>#N/A</v>
      </c>
      <c r="J1705" s="9"/>
      <c r="K1705" s="9"/>
      <c r="L1705" s="9" t="e">
        <f>VLOOKUP(H1705,위치!B:D,3,0)</f>
        <v>#N/A</v>
      </c>
      <c r="M1705" s="12"/>
      <c r="N1705" s="5"/>
      <c r="O1705" s="5"/>
      <c r="P1705" s="5"/>
      <c r="Q1705" s="14"/>
      <c r="R1705" s="15">
        <f t="shared" si="26"/>
        <v>0</v>
      </c>
    </row>
    <row r="1706" spans="2:18" x14ac:dyDescent="0.35">
      <c r="B1706" s="9">
        <v>1732</v>
      </c>
      <c r="C1706" s="9"/>
      <c r="D1706" s="9"/>
      <c r="E1706" s="9"/>
      <c r="F1706" s="9"/>
      <c r="G1706" s="9"/>
      <c r="H1706" s="9"/>
      <c r="I1706" s="11" t="e">
        <f>VLOOKUP(H1706,위치!B:C,2,0)</f>
        <v>#N/A</v>
      </c>
      <c r="J1706" s="9"/>
      <c r="K1706" s="9"/>
      <c r="L1706" s="9" t="e">
        <f>VLOOKUP(H1706,위치!B:D,3,0)</f>
        <v>#N/A</v>
      </c>
      <c r="M1706" s="12"/>
      <c r="N1706" s="5"/>
      <c r="O1706" s="5"/>
      <c r="P1706" s="5"/>
      <c r="Q1706" s="14"/>
      <c r="R1706" s="15">
        <f t="shared" si="26"/>
        <v>0</v>
      </c>
    </row>
    <row r="1707" spans="2:18" x14ac:dyDescent="0.35">
      <c r="B1707" s="9">
        <v>1733</v>
      </c>
      <c r="C1707" s="9"/>
      <c r="D1707" s="9"/>
      <c r="E1707" s="9"/>
      <c r="F1707" s="9"/>
      <c r="G1707" s="9"/>
      <c r="H1707" s="9"/>
      <c r="I1707" s="11" t="e">
        <f>VLOOKUP(H1707,위치!B:C,2,0)</f>
        <v>#N/A</v>
      </c>
      <c r="J1707" s="9"/>
      <c r="K1707" s="9"/>
      <c r="L1707" s="9" t="e">
        <f>VLOOKUP(H1707,위치!B:D,3,0)</f>
        <v>#N/A</v>
      </c>
      <c r="M1707" s="12"/>
      <c r="N1707" s="5"/>
      <c r="O1707" s="5"/>
      <c r="P1707" s="5"/>
      <c r="Q1707" s="14"/>
      <c r="R1707" s="15">
        <f t="shared" si="26"/>
        <v>0</v>
      </c>
    </row>
    <row r="1708" spans="2:18" x14ac:dyDescent="0.35">
      <c r="B1708" s="9">
        <v>1734</v>
      </c>
      <c r="C1708" s="9"/>
      <c r="D1708" s="9"/>
      <c r="E1708" s="9"/>
      <c r="F1708" s="9"/>
      <c r="G1708" s="9"/>
      <c r="H1708" s="9"/>
      <c r="I1708" s="11" t="e">
        <f>VLOOKUP(H1708,위치!B:C,2,0)</f>
        <v>#N/A</v>
      </c>
      <c r="J1708" s="9"/>
      <c r="K1708" s="9"/>
      <c r="L1708" s="9" t="e">
        <f>VLOOKUP(H1708,위치!B:D,3,0)</f>
        <v>#N/A</v>
      </c>
      <c r="M1708" s="12"/>
      <c r="N1708" s="5"/>
      <c r="O1708" s="5"/>
      <c r="P1708" s="5"/>
      <c r="Q1708" s="14"/>
      <c r="R1708" s="15">
        <f t="shared" si="26"/>
        <v>0</v>
      </c>
    </row>
    <row r="1709" spans="2:18" x14ac:dyDescent="0.35">
      <c r="B1709" s="9">
        <v>1735</v>
      </c>
      <c r="C1709" s="9"/>
      <c r="D1709" s="9"/>
      <c r="E1709" s="9"/>
      <c r="F1709" s="9"/>
      <c r="G1709" s="9"/>
      <c r="H1709" s="9"/>
      <c r="I1709" s="11" t="e">
        <f>VLOOKUP(H1709,위치!B:C,2,0)</f>
        <v>#N/A</v>
      </c>
      <c r="J1709" s="9"/>
      <c r="K1709" s="9"/>
      <c r="L1709" s="9" t="e">
        <f>VLOOKUP(H1709,위치!B:D,3,0)</f>
        <v>#N/A</v>
      </c>
      <c r="M1709" s="12"/>
      <c r="N1709" s="5"/>
      <c r="O1709" s="5"/>
      <c r="P1709" s="5"/>
      <c r="Q1709" s="14"/>
      <c r="R1709" s="15">
        <f t="shared" si="26"/>
        <v>0</v>
      </c>
    </row>
    <row r="1710" spans="2:18" x14ac:dyDescent="0.35">
      <c r="B1710" s="9">
        <v>1736</v>
      </c>
      <c r="C1710" s="9"/>
      <c r="D1710" s="9"/>
      <c r="E1710" s="9"/>
      <c r="F1710" s="9"/>
      <c r="G1710" s="9"/>
      <c r="H1710" s="9"/>
      <c r="I1710" s="11" t="e">
        <f>VLOOKUP(H1710,위치!B:C,2,0)</f>
        <v>#N/A</v>
      </c>
      <c r="J1710" s="9"/>
      <c r="K1710" s="9"/>
      <c r="L1710" s="9" t="e">
        <f>VLOOKUP(H1710,위치!B:D,3,0)</f>
        <v>#N/A</v>
      </c>
      <c r="M1710" s="12"/>
      <c r="N1710" s="5"/>
      <c r="O1710" s="5"/>
      <c r="P1710" s="5"/>
      <c r="Q1710" s="14"/>
      <c r="R1710" s="15">
        <f t="shared" si="26"/>
        <v>0</v>
      </c>
    </row>
    <row r="1711" spans="2:18" x14ac:dyDescent="0.35">
      <c r="B1711" s="9">
        <v>1737</v>
      </c>
      <c r="C1711" s="9"/>
      <c r="D1711" s="9"/>
      <c r="E1711" s="9"/>
      <c r="F1711" s="9"/>
      <c r="G1711" s="9"/>
      <c r="H1711" s="9"/>
      <c r="I1711" s="11" t="e">
        <f>VLOOKUP(H1711,위치!B:C,2,0)</f>
        <v>#N/A</v>
      </c>
      <c r="J1711" s="9"/>
      <c r="K1711" s="9"/>
      <c r="L1711" s="9" t="e">
        <f>VLOOKUP(H1711,위치!B:D,3,0)</f>
        <v>#N/A</v>
      </c>
      <c r="M1711" s="12"/>
      <c r="N1711" s="5"/>
      <c r="O1711" s="5"/>
      <c r="P1711" s="5"/>
      <c r="Q1711" s="14"/>
      <c r="R1711" s="15">
        <f t="shared" si="26"/>
        <v>0</v>
      </c>
    </row>
    <row r="1712" spans="2:18" x14ac:dyDescent="0.35">
      <c r="B1712" s="9">
        <v>1738</v>
      </c>
      <c r="C1712" s="9"/>
      <c r="D1712" s="9"/>
      <c r="E1712" s="9"/>
      <c r="F1712" s="9"/>
      <c r="G1712" s="9"/>
      <c r="H1712" s="9"/>
      <c r="I1712" s="11" t="e">
        <f>VLOOKUP(H1712,위치!B:C,2,0)</f>
        <v>#N/A</v>
      </c>
      <c r="J1712" s="9"/>
      <c r="K1712" s="9"/>
      <c r="L1712" s="9" t="e">
        <f>VLOOKUP(H1712,위치!B:D,3,0)</f>
        <v>#N/A</v>
      </c>
      <c r="M1712" s="12"/>
      <c r="N1712" s="5"/>
      <c r="O1712" s="5"/>
      <c r="P1712" s="5"/>
      <c r="Q1712" s="14"/>
      <c r="R1712" s="15">
        <f t="shared" si="26"/>
        <v>0</v>
      </c>
    </row>
    <row r="1713" spans="2:18" x14ac:dyDescent="0.35">
      <c r="B1713" s="9">
        <v>1739</v>
      </c>
      <c r="C1713" s="9"/>
      <c r="D1713" s="9"/>
      <c r="E1713" s="9"/>
      <c r="F1713" s="9"/>
      <c r="G1713" s="9"/>
      <c r="H1713" s="9"/>
      <c r="I1713" s="11" t="e">
        <f>VLOOKUP(H1713,위치!B:C,2,0)</f>
        <v>#N/A</v>
      </c>
      <c r="J1713" s="9"/>
      <c r="K1713" s="9"/>
      <c r="L1713" s="9" t="e">
        <f>VLOOKUP(H1713,위치!B:D,3,0)</f>
        <v>#N/A</v>
      </c>
      <c r="M1713" s="12"/>
      <c r="N1713" s="5"/>
      <c r="O1713" s="5"/>
      <c r="P1713" s="5"/>
      <c r="Q1713" s="14"/>
      <c r="R1713" s="15">
        <f t="shared" si="26"/>
        <v>0</v>
      </c>
    </row>
    <row r="1714" spans="2:18" x14ac:dyDescent="0.35">
      <c r="B1714" s="9">
        <v>1740</v>
      </c>
      <c r="C1714" s="9"/>
      <c r="D1714" s="9"/>
      <c r="E1714" s="9"/>
      <c r="F1714" s="9"/>
      <c r="G1714" s="9"/>
      <c r="H1714" s="9"/>
      <c r="I1714" s="11" t="e">
        <f>VLOOKUP(H1714,위치!B:C,2,0)</f>
        <v>#N/A</v>
      </c>
      <c r="J1714" s="9"/>
      <c r="K1714" s="9"/>
      <c r="L1714" s="9" t="e">
        <f>VLOOKUP(H1714,위치!B:D,3,0)</f>
        <v>#N/A</v>
      </c>
      <c r="M1714" s="12"/>
      <c r="N1714" s="5"/>
      <c r="O1714" s="5"/>
      <c r="P1714" s="5"/>
      <c r="Q1714" s="14"/>
      <c r="R1714" s="15">
        <f t="shared" si="26"/>
        <v>0</v>
      </c>
    </row>
    <row r="1715" spans="2:18" x14ac:dyDescent="0.35">
      <c r="B1715" s="9">
        <v>1741</v>
      </c>
      <c r="C1715" s="9"/>
      <c r="D1715" s="9"/>
      <c r="E1715" s="9"/>
      <c r="F1715" s="9"/>
      <c r="G1715" s="9"/>
      <c r="H1715" s="9"/>
      <c r="I1715" s="11" t="e">
        <f>VLOOKUP(H1715,위치!B:C,2,0)</f>
        <v>#N/A</v>
      </c>
      <c r="J1715" s="9"/>
      <c r="K1715" s="9"/>
      <c r="L1715" s="9" t="e">
        <f>VLOOKUP(H1715,위치!B:D,3,0)</f>
        <v>#N/A</v>
      </c>
      <c r="M1715" s="12"/>
      <c r="N1715" s="5"/>
      <c r="O1715" s="5"/>
      <c r="P1715" s="5"/>
      <c r="Q1715" s="14"/>
      <c r="R1715" s="15">
        <f t="shared" si="26"/>
        <v>0</v>
      </c>
    </row>
    <row r="1716" spans="2:18" x14ac:dyDescent="0.35">
      <c r="B1716" s="9">
        <v>1742</v>
      </c>
      <c r="C1716" s="9"/>
      <c r="D1716" s="9"/>
      <c r="E1716" s="9"/>
      <c r="F1716" s="9"/>
      <c r="G1716" s="9"/>
      <c r="H1716" s="9"/>
      <c r="I1716" s="11" t="e">
        <f>VLOOKUP(H1716,위치!B:C,2,0)</f>
        <v>#N/A</v>
      </c>
      <c r="J1716" s="9"/>
      <c r="K1716" s="9"/>
      <c r="L1716" s="9" t="e">
        <f>VLOOKUP(H1716,위치!B:D,3,0)</f>
        <v>#N/A</v>
      </c>
      <c r="M1716" s="12"/>
      <c r="N1716" s="5"/>
      <c r="O1716" s="5"/>
      <c r="P1716" s="5"/>
      <c r="Q1716" s="14"/>
      <c r="R1716" s="15">
        <f t="shared" si="26"/>
        <v>0</v>
      </c>
    </row>
    <row r="1717" spans="2:18" x14ac:dyDescent="0.35">
      <c r="B1717" s="9">
        <v>1743</v>
      </c>
      <c r="C1717" s="9"/>
      <c r="D1717" s="9"/>
      <c r="E1717" s="9"/>
      <c r="F1717" s="9"/>
      <c r="G1717" s="9"/>
      <c r="H1717" s="9"/>
      <c r="I1717" s="11" t="e">
        <f>VLOOKUP(H1717,위치!B:C,2,0)</f>
        <v>#N/A</v>
      </c>
      <c r="J1717" s="9"/>
      <c r="K1717" s="9"/>
      <c r="L1717" s="9" t="e">
        <f>VLOOKUP(H1717,위치!B:D,3,0)</f>
        <v>#N/A</v>
      </c>
      <c r="M1717" s="12"/>
      <c r="N1717" s="5"/>
      <c r="O1717" s="5"/>
      <c r="P1717" s="5"/>
      <c r="Q1717" s="14"/>
      <c r="R1717" s="15">
        <f t="shared" si="26"/>
        <v>0</v>
      </c>
    </row>
    <row r="1718" spans="2:18" x14ac:dyDescent="0.35">
      <c r="B1718" s="9">
        <v>1744</v>
      </c>
      <c r="C1718" s="9"/>
      <c r="D1718" s="9"/>
      <c r="E1718" s="9"/>
      <c r="F1718" s="9"/>
      <c r="G1718" s="9"/>
      <c r="H1718" s="9"/>
      <c r="I1718" s="11" t="e">
        <f>VLOOKUP(H1718,위치!B:C,2,0)</f>
        <v>#N/A</v>
      </c>
      <c r="J1718" s="9"/>
      <c r="K1718" s="9"/>
      <c r="L1718" s="9" t="e">
        <f>VLOOKUP(H1718,위치!B:D,3,0)</f>
        <v>#N/A</v>
      </c>
      <c r="M1718" s="12"/>
      <c r="N1718" s="5"/>
      <c r="O1718" s="5"/>
      <c r="P1718" s="5"/>
      <c r="Q1718" s="14"/>
      <c r="R1718" s="15">
        <f t="shared" si="26"/>
        <v>0</v>
      </c>
    </row>
    <row r="1719" spans="2:18" x14ac:dyDescent="0.35">
      <c r="B1719" s="9">
        <v>1745</v>
      </c>
      <c r="C1719" s="9"/>
      <c r="D1719" s="9"/>
      <c r="E1719" s="9"/>
      <c r="F1719" s="9"/>
      <c r="G1719" s="9"/>
      <c r="H1719" s="9"/>
      <c r="I1719" s="11" t="e">
        <f>VLOOKUP(H1719,위치!B:C,2,0)</f>
        <v>#N/A</v>
      </c>
      <c r="J1719" s="9"/>
      <c r="K1719" s="9"/>
      <c r="L1719" s="9" t="e">
        <f>VLOOKUP(H1719,위치!B:D,3,0)</f>
        <v>#N/A</v>
      </c>
      <c r="M1719" s="12"/>
      <c r="N1719" s="5"/>
      <c r="O1719" s="5"/>
      <c r="P1719" s="5"/>
      <c r="Q1719" s="14"/>
      <c r="R1719" s="15">
        <f t="shared" si="26"/>
        <v>0</v>
      </c>
    </row>
    <row r="1720" spans="2:18" x14ac:dyDescent="0.35">
      <c r="B1720" s="9">
        <v>1746</v>
      </c>
      <c r="C1720" s="9"/>
      <c r="D1720" s="9"/>
      <c r="E1720" s="9"/>
      <c r="F1720" s="9"/>
      <c r="G1720" s="9"/>
      <c r="H1720" s="9"/>
      <c r="I1720" s="11" t="e">
        <f>VLOOKUP(H1720,위치!B:C,2,0)</f>
        <v>#N/A</v>
      </c>
      <c r="J1720" s="9"/>
      <c r="K1720" s="9"/>
      <c r="L1720" s="9" t="e">
        <f>VLOOKUP(H1720,위치!B:D,3,0)</f>
        <v>#N/A</v>
      </c>
      <c r="M1720" s="12"/>
      <c r="N1720" s="5"/>
      <c r="O1720" s="5"/>
      <c r="P1720" s="5"/>
      <c r="Q1720" s="14"/>
      <c r="R1720" s="15">
        <f t="shared" si="26"/>
        <v>0</v>
      </c>
    </row>
    <row r="1721" spans="2:18" x14ac:dyDescent="0.35">
      <c r="B1721" s="9">
        <v>1747</v>
      </c>
      <c r="C1721" s="9"/>
      <c r="D1721" s="9"/>
      <c r="E1721" s="9"/>
      <c r="F1721" s="9"/>
      <c r="G1721" s="9"/>
      <c r="H1721" s="9"/>
      <c r="I1721" s="11" t="e">
        <f>VLOOKUP(H1721,위치!B:C,2,0)</f>
        <v>#N/A</v>
      </c>
      <c r="J1721" s="9"/>
      <c r="K1721" s="9"/>
      <c r="L1721" s="9" t="e">
        <f>VLOOKUP(H1721,위치!B:D,3,0)</f>
        <v>#N/A</v>
      </c>
      <c r="M1721" s="12"/>
      <c r="N1721" s="5"/>
      <c r="O1721" s="5"/>
      <c r="P1721" s="5"/>
      <c r="Q1721" s="14"/>
      <c r="R1721" s="15">
        <f t="shared" si="26"/>
        <v>0</v>
      </c>
    </row>
    <row r="1722" spans="2:18" x14ac:dyDescent="0.35">
      <c r="B1722" s="9">
        <v>1748</v>
      </c>
      <c r="C1722" s="9"/>
      <c r="D1722" s="9"/>
      <c r="E1722" s="9"/>
      <c r="F1722" s="9"/>
      <c r="G1722" s="9"/>
      <c r="H1722" s="9"/>
      <c r="I1722" s="11" t="e">
        <f>VLOOKUP(H1722,위치!B:C,2,0)</f>
        <v>#N/A</v>
      </c>
      <c r="J1722" s="9"/>
      <c r="K1722" s="9"/>
      <c r="L1722" s="9" t="e">
        <f>VLOOKUP(H1722,위치!B:D,3,0)</f>
        <v>#N/A</v>
      </c>
      <c r="M1722" s="12"/>
      <c r="N1722" s="5"/>
      <c r="O1722" s="5"/>
      <c r="P1722" s="5"/>
      <c r="Q1722" s="14"/>
      <c r="R1722" s="15">
        <f t="shared" si="26"/>
        <v>0</v>
      </c>
    </row>
    <row r="1723" spans="2:18" x14ac:dyDescent="0.35">
      <c r="B1723" s="9">
        <v>1749</v>
      </c>
      <c r="C1723" s="9"/>
      <c r="D1723" s="9"/>
      <c r="E1723" s="9"/>
      <c r="F1723" s="9"/>
      <c r="G1723" s="9"/>
      <c r="H1723" s="9"/>
      <c r="I1723" s="11" t="e">
        <f>VLOOKUP(H1723,위치!B:C,2,0)</f>
        <v>#N/A</v>
      </c>
      <c r="J1723" s="9"/>
      <c r="K1723" s="9"/>
      <c r="L1723" s="9" t="e">
        <f>VLOOKUP(H1723,위치!B:D,3,0)</f>
        <v>#N/A</v>
      </c>
      <c r="M1723" s="12"/>
      <c r="N1723" s="5"/>
      <c r="O1723" s="5"/>
      <c r="P1723" s="5"/>
      <c r="Q1723" s="14"/>
      <c r="R1723" s="15">
        <f t="shared" si="26"/>
        <v>0</v>
      </c>
    </row>
    <row r="1724" spans="2:18" x14ac:dyDescent="0.35">
      <c r="B1724" s="9">
        <v>1750</v>
      </c>
      <c r="C1724" s="9"/>
      <c r="D1724" s="9"/>
      <c r="E1724" s="9"/>
      <c r="F1724" s="9"/>
      <c r="G1724" s="9"/>
      <c r="H1724" s="9"/>
      <c r="I1724" s="11" t="e">
        <f>VLOOKUP(H1724,위치!B:C,2,0)</f>
        <v>#N/A</v>
      </c>
      <c r="J1724" s="9"/>
      <c r="K1724" s="9"/>
      <c r="L1724" s="9" t="e">
        <f>VLOOKUP(H1724,위치!B:D,3,0)</f>
        <v>#N/A</v>
      </c>
      <c r="M1724" s="12"/>
      <c r="N1724" s="5"/>
      <c r="O1724" s="5"/>
      <c r="P1724" s="5"/>
      <c r="Q1724" s="14"/>
      <c r="R1724" s="15">
        <f t="shared" si="26"/>
        <v>0</v>
      </c>
    </row>
    <row r="1725" spans="2:18" x14ac:dyDescent="0.35">
      <c r="B1725" s="9">
        <v>1751</v>
      </c>
      <c r="C1725" s="9"/>
      <c r="D1725" s="9"/>
      <c r="E1725" s="9"/>
      <c r="F1725" s="9"/>
      <c r="G1725" s="9"/>
      <c r="H1725" s="9"/>
      <c r="I1725" s="11" t="e">
        <f>VLOOKUP(H1725,위치!B:C,2,0)</f>
        <v>#N/A</v>
      </c>
      <c r="J1725" s="9"/>
      <c r="K1725" s="9"/>
      <c r="L1725" s="9" t="e">
        <f>VLOOKUP(H1725,위치!B:D,3,0)</f>
        <v>#N/A</v>
      </c>
      <c r="M1725" s="12"/>
      <c r="N1725" s="5"/>
      <c r="O1725" s="5"/>
      <c r="P1725" s="5"/>
      <c r="Q1725" s="14"/>
      <c r="R1725" s="15">
        <f t="shared" si="26"/>
        <v>0</v>
      </c>
    </row>
    <row r="1726" spans="2:18" x14ac:dyDescent="0.35">
      <c r="B1726" s="9">
        <v>1752</v>
      </c>
      <c r="C1726" s="9"/>
      <c r="D1726" s="9"/>
      <c r="E1726" s="9"/>
      <c r="F1726" s="9"/>
      <c r="G1726" s="9"/>
      <c r="H1726" s="9"/>
      <c r="I1726" s="11" t="e">
        <f>VLOOKUP(H1726,위치!B:C,2,0)</f>
        <v>#N/A</v>
      </c>
      <c r="J1726" s="9"/>
      <c r="K1726" s="9"/>
      <c r="L1726" s="9" t="e">
        <f>VLOOKUP(H1726,위치!B:D,3,0)</f>
        <v>#N/A</v>
      </c>
      <c r="M1726" s="12"/>
      <c r="N1726" s="5"/>
      <c r="O1726" s="5"/>
      <c r="P1726" s="5"/>
      <c r="Q1726" s="14"/>
      <c r="R1726" s="15">
        <f t="shared" si="26"/>
        <v>0</v>
      </c>
    </row>
    <row r="1727" spans="2:18" x14ac:dyDescent="0.35">
      <c r="B1727" s="9">
        <v>1753</v>
      </c>
      <c r="C1727" s="9"/>
      <c r="D1727" s="9"/>
      <c r="E1727" s="9"/>
      <c r="F1727" s="9"/>
      <c r="G1727" s="9"/>
      <c r="H1727" s="9"/>
      <c r="I1727" s="11" t="e">
        <f>VLOOKUP(H1727,위치!B:C,2,0)</f>
        <v>#N/A</v>
      </c>
      <c r="J1727" s="9"/>
      <c r="K1727" s="9"/>
      <c r="L1727" s="9" t="e">
        <f>VLOOKUP(H1727,위치!B:D,3,0)</f>
        <v>#N/A</v>
      </c>
      <c r="M1727" s="12"/>
      <c r="N1727" s="5"/>
      <c r="O1727" s="5"/>
      <c r="P1727" s="5"/>
      <c r="Q1727" s="14"/>
      <c r="R1727" s="15">
        <f t="shared" si="26"/>
        <v>0</v>
      </c>
    </row>
    <row r="1728" spans="2:18" x14ac:dyDescent="0.35">
      <c r="B1728" s="9">
        <v>1754</v>
      </c>
      <c r="C1728" s="9"/>
      <c r="D1728" s="9"/>
      <c r="E1728" s="9"/>
      <c r="F1728" s="9"/>
      <c r="G1728" s="9"/>
      <c r="H1728" s="9"/>
      <c r="I1728" s="11" t="e">
        <f>VLOOKUP(H1728,위치!B:C,2,0)</f>
        <v>#N/A</v>
      </c>
      <c r="J1728" s="9"/>
      <c r="K1728" s="9"/>
      <c r="L1728" s="9" t="e">
        <f>VLOOKUP(H1728,위치!B:D,3,0)</f>
        <v>#N/A</v>
      </c>
      <c r="M1728" s="12"/>
      <c r="N1728" s="5"/>
      <c r="O1728" s="5"/>
      <c r="P1728" s="5"/>
      <c r="Q1728" s="14"/>
      <c r="R1728" s="15">
        <f t="shared" si="26"/>
        <v>0</v>
      </c>
    </row>
    <row r="1729" spans="2:18" x14ac:dyDescent="0.35">
      <c r="B1729" s="9">
        <v>1755</v>
      </c>
      <c r="C1729" s="9"/>
      <c r="D1729" s="9"/>
      <c r="E1729" s="9"/>
      <c r="F1729" s="9"/>
      <c r="G1729" s="9"/>
      <c r="H1729" s="9"/>
      <c r="I1729" s="11" t="e">
        <f>VLOOKUP(H1729,위치!B:C,2,0)</f>
        <v>#N/A</v>
      </c>
      <c r="J1729" s="9"/>
      <c r="K1729" s="9"/>
      <c r="L1729" s="9" t="e">
        <f>VLOOKUP(H1729,위치!B:D,3,0)</f>
        <v>#N/A</v>
      </c>
      <c r="M1729" s="12"/>
      <c r="N1729" s="5"/>
      <c r="O1729" s="5"/>
      <c r="P1729" s="5"/>
      <c r="Q1729" s="14"/>
      <c r="R1729" s="15">
        <f t="shared" si="26"/>
        <v>0</v>
      </c>
    </row>
    <row r="1730" spans="2:18" x14ac:dyDescent="0.35">
      <c r="B1730" s="9">
        <v>1756</v>
      </c>
      <c r="C1730" s="9"/>
      <c r="D1730" s="9"/>
      <c r="E1730" s="9"/>
      <c r="F1730" s="9"/>
      <c r="G1730" s="9"/>
      <c r="H1730" s="9"/>
      <c r="I1730" s="11" t="e">
        <f>VLOOKUP(H1730,위치!B:C,2,0)</f>
        <v>#N/A</v>
      </c>
      <c r="J1730" s="9"/>
      <c r="K1730" s="9"/>
      <c r="L1730" s="9" t="e">
        <f>VLOOKUP(H1730,위치!B:D,3,0)</f>
        <v>#N/A</v>
      </c>
      <c r="M1730" s="12"/>
      <c r="N1730" s="5"/>
      <c r="O1730" s="5"/>
      <c r="P1730" s="5"/>
      <c r="Q1730" s="14"/>
      <c r="R1730" s="15">
        <f t="shared" si="26"/>
        <v>0</v>
      </c>
    </row>
    <row r="1731" spans="2:18" x14ac:dyDescent="0.35">
      <c r="B1731" s="9">
        <v>1757</v>
      </c>
      <c r="C1731" s="9"/>
      <c r="D1731" s="9"/>
      <c r="E1731" s="9"/>
      <c r="F1731" s="9"/>
      <c r="G1731" s="9"/>
      <c r="H1731" s="9"/>
      <c r="I1731" s="11" t="e">
        <f>VLOOKUP(H1731,위치!B:C,2,0)</f>
        <v>#N/A</v>
      </c>
      <c r="J1731" s="9"/>
      <c r="K1731" s="9"/>
      <c r="L1731" s="9" t="e">
        <f>VLOOKUP(H1731,위치!B:D,3,0)</f>
        <v>#N/A</v>
      </c>
      <c r="M1731" s="12"/>
      <c r="N1731" s="5"/>
      <c r="O1731" s="5"/>
      <c r="P1731" s="5"/>
      <c r="Q1731" s="14"/>
      <c r="R1731" s="15">
        <f t="shared" si="26"/>
        <v>0</v>
      </c>
    </row>
    <row r="1732" spans="2:18" x14ac:dyDescent="0.35">
      <c r="B1732" s="9">
        <v>1758</v>
      </c>
      <c r="C1732" s="9"/>
      <c r="D1732" s="9"/>
      <c r="E1732" s="9"/>
      <c r="F1732" s="9"/>
      <c r="G1732" s="9"/>
      <c r="H1732" s="9"/>
      <c r="I1732" s="11" t="e">
        <f>VLOOKUP(H1732,위치!B:C,2,0)</f>
        <v>#N/A</v>
      </c>
      <c r="J1732" s="9"/>
      <c r="K1732" s="9"/>
      <c r="L1732" s="9" t="e">
        <f>VLOOKUP(H1732,위치!B:D,3,0)</f>
        <v>#N/A</v>
      </c>
      <c r="M1732" s="12"/>
      <c r="N1732" s="5"/>
      <c r="O1732" s="5"/>
      <c r="P1732" s="5"/>
      <c r="Q1732" s="14"/>
      <c r="R1732" s="15">
        <f t="shared" si="26"/>
        <v>0</v>
      </c>
    </row>
    <row r="1733" spans="2:18" x14ac:dyDescent="0.35">
      <c r="B1733" s="9">
        <v>1759</v>
      </c>
      <c r="C1733" s="9"/>
      <c r="D1733" s="9"/>
      <c r="E1733" s="9"/>
      <c r="F1733" s="9"/>
      <c r="G1733" s="9"/>
      <c r="H1733" s="9"/>
      <c r="I1733" s="11" t="e">
        <f>VLOOKUP(H1733,위치!B:C,2,0)</f>
        <v>#N/A</v>
      </c>
      <c r="J1733" s="9"/>
      <c r="K1733" s="9"/>
      <c r="L1733" s="9" t="e">
        <f>VLOOKUP(H1733,위치!B:D,3,0)</f>
        <v>#N/A</v>
      </c>
      <c r="M1733" s="12"/>
      <c r="N1733" s="5"/>
      <c r="O1733" s="5"/>
      <c r="P1733" s="5"/>
      <c r="Q1733" s="14"/>
      <c r="R1733" s="15">
        <f t="shared" si="26"/>
        <v>0</v>
      </c>
    </row>
    <row r="1734" spans="2:18" x14ac:dyDescent="0.35">
      <c r="B1734" s="9">
        <v>1760</v>
      </c>
      <c r="C1734" s="9"/>
      <c r="D1734" s="9"/>
      <c r="E1734" s="9"/>
      <c r="F1734" s="9"/>
      <c r="G1734" s="9"/>
      <c r="H1734" s="9"/>
      <c r="I1734" s="11" t="e">
        <f>VLOOKUP(H1734,위치!B:C,2,0)</f>
        <v>#N/A</v>
      </c>
      <c r="J1734" s="9"/>
      <c r="K1734" s="9"/>
      <c r="L1734" s="9" t="e">
        <f>VLOOKUP(H1734,위치!B:D,3,0)</f>
        <v>#N/A</v>
      </c>
      <c r="M1734" s="12"/>
      <c r="N1734" s="5"/>
      <c r="O1734" s="5"/>
      <c r="P1734" s="5"/>
      <c r="Q1734" s="14"/>
      <c r="R1734" s="15">
        <f t="shared" si="26"/>
        <v>0</v>
      </c>
    </row>
    <row r="1735" spans="2:18" x14ac:dyDescent="0.35">
      <c r="B1735" s="9">
        <v>1761</v>
      </c>
      <c r="C1735" s="9"/>
      <c r="D1735" s="9"/>
      <c r="E1735" s="9"/>
      <c r="F1735" s="9"/>
      <c r="G1735" s="9"/>
      <c r="H1735" s="9"/>
      <c r="I1735" s="11" t="e">
        <f>VLOOKUP(H1735,위치!B:C,2,0)</f>
        <v>#N/A</v>
      </c>
      <c r="J1735" s="9"/>
      <c r="K1735" s="9"/>
      <c r="L1735" s="9" t="e">
        <f>VLOOKUP(H1735,위치!B:D,3,0)</f>
        <v>#N/A</v>
      </c>
      <c r="M1735" s="12"/>
      <c r="N1735" s="5"/>
      <c r="O1735" s="5"/>
      <c r="P1735" s="5"/>
      <c r="Q1735" s="14"/>
      <c r="R1735" s="15">
        <f t="shared" ref="R1735:R1798" si="27">J1735-P1735</f>
        <v>0</v>
      </c>
    </row>
    <row r="1736" spans="2:18" x14ac:dyDescent="0.35">
      <c r="B1736" s="9">
        <v>1762</v>
      </c>
      <c r="C1736" s="9"/>
      <c r="D1736" s="9"/>
      <c r="E1736" s="9"/>
      <c r="F1736" s="9"/>
      <c r="G1736" s="9"/>
      <c r="H1736" s="9"/>
      <c r="I1736" s="11" t="e">
        <f>VLOOKUP(H1736,위치!B:C,2,0)</f>
        <v>#N/A</v>
      </c>
      <c r="J1736" s="9"/>
      <c r="K1736" s="9"/>
      <c r="L1736" s="9" t="e">
        <f>VLOOKUP(H1736,위치!B:D,3,0)</f>
        <v>#N/A</v>
      </c>
      <c r="M1736" s="12"/>
      <c r="N1736" s="5"/>
      <c r="O1736" s="5"/>
      <c r="P1736" s="5"/>
      <c r="Q1736" s="14"/>
      <c r="R1736" s="15">
        <f t="shared" si="27"/>
        <v>0</v>
      </c>
    </row>
    <row r="1737" spans="2:18" x14ac:dyDescent="0.35">
      <c r="B1737" s="9">
        <v>1763</v>
      </c>
      <c r="C1737" s="9"/>
      <c r="D1737" s="9"/>
      <c r="E1737" s="9"/>
      <c r="F1737" s="9"/>
      <c r="G1737" s="9"/>
      <c r="H1737" s="9"/>
      <c r="I1737" s="11" t="e">
        <f>VLOOKUP(H1737,위치!B:C,2,0)</f>
        <v>#N/A</v>
      </c>
      <c r="J1737" s="9"/>
      <c r="K1737" s="9"/>
      <c r="L1737" s="9" t="e">
        <f>VLOOKUP(H1737,위치!B:D,3,0)</f>
        <v>#N/A</v>
      </c>
      <c r="M1737" s="12"/>
      <c r="N1737" s="5"/>
      <c r="O1737" s="5"/>
      <c r="P1737" s="5"/>
      <c r="Q1737" s="14"/>
      <c r="R1737" s="15">
        <f t="shared" si="27"/>
        <v>0</v>
      </c>
    </row>
    <row r="1738" spans="2:18" x14ac:dyDescent="0.35">
      <c r="B1738" s="9">
        <v>1764</v>
      </c>
      <c r="C1738" s="9"/>
      <c r="D1738" s="9"/>
      <c r="E1738" s="9"/>
      <c r="F1738" s="9"/>
      <c r="G1738" s="9"/>
      <c r="H1738" s="9"/>
      <c r="I1738" s="11" t="e">
        <f>VLOOKUP(H1738,위치!B:C,2,0)</f>
        <v>#N/A</v>
      </c>
      <c r="J1738" s="9"/>
      <c r="K1738" s="9"/>
      <c r="L1738" s="9" t="e">
        <f>VLOOKUP(H1738,위치!B:D,3,0)</f>
        <v>#N/A</v>
      </c>
      <c r="M1738" s="12"/>
      <c r="N1738" s="5"/>
      <c r="O1738" s="5"/>
      <c r="P1738" s="5"/>
      <c r="Q1738" s="14"/>
      <c r="R1738" s="15">
        <f t="shared" si="27"/>
        <v>0</v>
      </c>
    </row>
    <row r="1739" spans="2:18" x14ac:dyDescent="0.35">
      <c r="B1739" s="9">
        <v>1765</v>
      </c>
      <c r="C1739" s="9"/>
      <c r="D1739" s="9"/>
      <c r="E1739" s="9"/>
      <c r="F1739" s="9"/>
      <c r="G1739" s="9"/>
      <c r="H1739" s="9"/>
      <c r="I1739" s="11" t="e">
        <f>VLOOKUP(H1739,위치!B:C,2,0)</f>
        <v>#N/A</v>
      </c>
      <c r="J1739" s="9"/>
      <c r="K1739" s="9"/>
      <c r="L1739" s="9" t="e">
        <f>VLOOKUP(H1739,위치!B:D,3,0)</f>
        <v>#N/A</v>
      </c>
      <c r="M1739" s="12"/>
      <c r="N1739" s="5"/>
      <c r="O1739" s="5"/>
      <c r="P1739" s="5"/>
      <c r="Q1739" s="14"/>
      <c r="R1739" s="15">
        <f t="shared" si="27"/>
        <v>0</v>
      </c>
    </row>
    <row r="1740" spans="2:18" x14ac:dyDescent="0.35">
      <c r="B1740" s="9">
        <v>1766</v>
      </c>
      <c r="C1740" s="9"/>
      <c r="D1740" s="9"/>
      <c r="E1740" s="9"/>
      <c r="F1740" s="9"/>
      <c r="G1740" s="9"/>
      <c r="H1740" s="9"/>
      <c r="I1740" s="11" t="e">
        <f>VLOOKUP(H1740,위치!B:C,2,0)</f>
        <v>#N/A</v>
      </c>
      <c r="J1740" s="9"/>
      <c r="K1740" s="9"/>
      <c r="L1740" s="9" t="e">
        <f>VLOOKUP(H1740,위치!B:D,3,0)</f>
        <v>#N/A</v>
      </c>
      <c r="M1740" s="12"/>
      <c r="N1740" s="5"/>
      <c r="O1740" s="5"/>
      <c r="P1740" s="5"/>
      <c r="Q1740" s="14"/>
      <c r="R1740" s="15">
        <f t="shared" si="27"/>
        <v>0</v>
      </c>
    </row>
    <row r="1741" spans="2:18" x14ac:dyDescent="0.35">
      <c r="B1741" s="9">
        <v>1767</v>
      </c>
      <c r="C1741" s="9"/>
      <c r="D1741" s="9"/>
      <c r="E1741" s="9"/>
      <c r="F1741" s="9"/>
      <c r="G1741" s="9"/>
      <c r="H1741" s="9"/>
      <c r="I1741" s="11" t="e">
        <f>VLOOKUP(H1741,위치!B:C,2,0)</f>
        <v>#N/A</v>
      </c>
      <c r="J1741" s="9"/>
      <c r="K1741" s="9"/>
      <c r="L1741" s="9" t="e">
        <f>VLOOKUP(H1741,위치!B:D,3,0)</f>
        <v>#N/A</v>
      </c>
      <c r="M1741" s="12"/>
      <c r="N1741" s="5"/>
      <c r="O1741" s="5"/>
      <c r="P1741" s="5"/>
      <c r="Q1741" s="14"/>
      <c r="R1741" s="15">
        <f t="shared" si="27"/>
        <v>0</v>
      </c>
    </row>
    <row r="1742" spans="2:18" x14ac:dyDescent="0.35">
      <c r="B1742" s="9">
        <v>1768</v>
      </c>
      <c r="C1742" s="9"/>
      <c r="D1742" s="9"/>
      <c r="E1742" s="9"/>
      <c r="F1742" s="9"/>
      <c r="G1742" s="9"/>
      <c r="H1742" s="9"/>
      <c r="I1742" s="11" t="e">
        <f>VLOOKUP(H1742,위치!B:C,2,0)</f>
        <v>#N/A</v>
      </c>
      <c r="J1742" s="9"/>
      <c r="K1742" s="9"/>
      <c r="L1742" s="9" t="e">
        <f>VLOOKUP(H1742,위치!B:D,3,0)</f>
        <v>#N/A</v>
      </c>
      <c r="M1742" s="12"/>
      <c r="N1742" s="5"/>
      <c r="O1742" s="5"/>
      <c r="P1742" s="5"/>
      <c r="Q1742" s="14"/>
      <c r="R1742" s="15">
        <f t="shared" si="27"/>
        <v>0</v>
      </c>
    </row>
    <row r="1743" spans="2:18" x14ac:dyDescent="0.35">
      <c r="B1743" s="9">
        <v>1769</v>
      </c>
      <c r="C1743" s="9"/>
      <c r="D1743" s="9"/>
      <c r="E1743" s="9"/>
      <c r="F1743" s="9"/>
      <c r="G1743" s="9"/>
      <c r="H1743" s="9"/>
      <c r="I1743" s="11" t="e">
        <f>VLOOKUP(H1743,위치!B:C,2,0)</f>
        <v>#N/A</v>
      </c>
      <c r="J1743" s="9"/>
      <c r="K1743" s="9"/>
      <c r="L1743" s="9" t="e">
        <f>VLOOKUP(H1743,위치!B:D,3,0)</f>
        <v>#N/A</v>
      </c>
      <c r="M1743" s="12"/>
      <c r="N1743" s="5"/>
      <c r="O1743" s="5"/>
      <c r="P1743" s="5"/>
      <c r="Q1743" s="14"/>
      <c r="R1743" s="15">
        <f t="shared" si="27"/>
        <v>0</v>
      </c>
    </row>
    <row r="1744" spans="2:18" x14ac:dyDescent="0.35">
      <c r="B1744" s="9">
        <v>1770</v>
      </c>
      <c r="C1744" s="9"/>
      <c r="D1744" s="9"/>
      <c r="E1744" s="9"/>
      <c r="F1744" s="9"/>
      <c r="G1744" s="9"/>
      <c r="H1744" s="9"/>
      <c r="I1744" s="11" t="e">
        <f>VLOOKUP(H1744,위치!B:C,2,0)</f>
        <v>#N/A</v>
      </c>
      <c r="J1744" s="9"/>
      <c r="K1744" s="9"/>
      <c r="L1744" s="9" t="e">
        <f>VLOOKUP(H1744,위치!B:D,3,0)</f>
        <v>#N/A</v>
      </c>
      <c r="M1744" s="12"/>
      <c r="N1744" s="5"/>
      <c r="O1744" s="5"/>
      <c r="P1744" s="5"/>
      <c r="Q1744" s="14"/>
      <c r="R1744" s="15">
        <f t="shared" si="27"/>
        <v>0</v>
      </c>
    </row>
    <row r="1745" spans="2:18" x14ac:dyDescent="0.35">
      <c r="B1745" s="9">
        <v>1771</v>
      </c>
      <c r="C1745" s="9"/>
      <c r="D1745" s="9"/>
      <c r="E1745" s="9"/>
      <c r="F1745" s="9"/>
      <c r="G1745" s="9"/>
      <c r="H1745" s="9"/>
      <c r="I1745" s="11" t="e">
        <f>VLOOKUP(H1745,위치!B:C,2,0)</f>
        <v>#N/A</v>
      </c>
      <c r="J1745" s="9"/>
      <c r="K1745" s="9"/>
      <c r="L1745" s="9" t="e">
        <f>VLOOKUP(H1745,위치!B:D,3,0)</f>
        <v>#N/A</v>
      </c>
      <c r="M1745" s="12"/>
      <c r="N1745" s="5"/>
      <c r="O1745" s="5"/>
      <c r="P1745" s="5"/>
      <c r="Q1745" s="14"/>
      <c r="R1745" s="15">
        <f t="shared" si="27"/>
        <v>0</v>
      </c>
    </row>
    <row r="1746" spans="2:18" x14ac:dyDescent="0.35">
      <c r="B1746" s="9">
        <v>1772</v>
      </c>
      <c r="C1746" s="9"/>
      <c r="D1746" s="9"/>
      <c r="E1746" s="9"/>
      <c r="F1746" s="9"/>
      <c r="G1746" s="9"/>
      <c r="H1746" s="9"/>
      <c r="I1746" s="11" t="e">
        <f>VLOOKUP(H1746,위치!B:C,2,0)</f>
        <v>#N/A</v>
      </c>
      <c r="J1746" s="9"/>
      <c r="K1746" s="9"/>
      <c r="L1746" s="9" t="e">
        <f>VLOOKUP(H1746,위치!B:D,3,0)</f>
        <v>#N/A</v>
      </c>
      <c r="M1746" s="12"/>
      <c r="N1746" s="5"/>
      <c r="O1746" s="5"/>
      <c r="P1746" s="5"/>
      <c r="Q1746" s="14"/>
      <c r="R1746" s="15">
        <f t="shared" si="27"/>
        <v>0</v>
      </c>
    </row>
    <row r="1747" spans="2:18" x14ac:dyDescent="0.35">
      <c r="B1747" s="9">
        <v>1773</v>
      </c>
      <c r="C1747" s="9"/>
      <c r="D1747" s="9"/>
      <c r="E1747" s="9"/>
      <c r="F1747" s="9"/>
      <c r="G1747" s="9"/>
      <c r="H1747" s="9"/>
      <c r="I1747" s="11" t="e">
        <f>VLOOKUP(H1747,위치!B:C,2,0)</f>
        <v>#N/A</v>
      </c>
      <c r="J1747" s="9"/>
      <c r="K1747" s="9"/>
      <c r="L1747" s="9" t="e">
        <f>VLOOKUP(H1747,위치!B:D,3,0)</f>
        <v>#N/A</v>
      </c>
      <c r="M1747" s="12"/>
      <c r="N1747" s="5"/>
      <c r="O1747" s="5"/>
      <c r="P1747" s="5"/>
      <c r="Q1747" s="14"/>
      <c r="R1747" s="15">
        <f t="shared" si="27"/>
        <v>0</v>
      </c>
    </row>
    <row r="1748" spans="2:18" x14ac:dyDescent="0.35">
      <c r="B1748" s="9">
        <v>1774</v>
      </c>
      <c r="C1748" s="9"/>
      <c r="D1748" s="9"/>
      <c r="E1748" s="9"/>
      <c r="F1748" s="9"/>
      <c r="G1748" s="9"/>
      <c r="H1748" s="9"/>
      <c r="I1748" s="11" t="e">
        <f>VLOOKUP(H1748,위치!B:C,2,0)</f>
        <v>#N/A</v>
      </c>
      <c r="J1748" s="9"/>
      <c r="K1748" s="9"/>
      <c r="L1748" s="9" t="e">
        <f>VLOOKUP(H1748,위치!B:D,3,0)</f>
        <v>#N/A</v>
      </c>
      <c r="M1748" s="12"/>
      <c r="N1748" s="5"/>
      <c r="O1748" s="5"/>
      <c r="P1748" s="5"/>
      <c r="Q1748" s="14"/>
      <c r="R1748" s="15">
        <f t="shared" si="27"/>
        <v>0</v>
      </c>
    </row>
    <row r="1749" spans="2:18" x14ac:dyDescent="0.35">
      <c r="B1749" s="9">
        <v>1775</v>
      </c>
      <c r="C1749" s="9"/>
      <c r="D1749" s="9"/>
      <c r="E1749" s="9"/>
      <c r="F1749" s="9"/>
      <c r="G1749" s="9"/>
      <c r="H1749" s="9"/>
      <c r="I1749" s="11" t="e">
        <f>VLOOKUP(H1749,위치!B:C,2,0)</f>
        <v>#N/A</v>
      </c>
      <c r="J1749" s="9"/>
      <c r="K1749" s="9"/>
      <c r="L1749" s="9" t="e">
        <f>VLOOKUP(H1749,위치!B:D,3,0)</f>
        <v>#N/A</v>
      </c>
      <c r="M1749" s="12"/>
      <c r="N1749" s="5"/>
      <c r="O1749" s="5"/>
      <c r="P1749" s="5"/>
      <c r="Q1749" s="14"/>
      <c r="R1749" s="15">
        <f t="shared" si="27"/>
        <v>0</v>
      </c>
    </row>
    <row r="1750" spans="2:18" x14ac:dyDescent="0.35">
      <c r="B1750" s="9">
        <v>1776</v>
      </c>
      <c r="C1750" s="9"/>
      <c r="D1750" s="9"/>
      <c r="E1750" s="9"/>
      <c r="F1750" s="9"/>
      <c r="G1750" s="9"/>
      <c r="H1750" s="9"/>
      <c r="I1750" s="11" t="e">
        <f>VLOOKUP(H1750,위치!B:C,2,0)</f>
        <v>#N/A</v>
      </c>
      <c r="J1750" s="9"/>
      <c r="K1750" s="9"/>
      <c r="L1750" s="9" t="e">
        <f>VLOOKUP(H1750,위치!B:D,3,0)</f>
        <v>#N/A</v>
      </c>
      <c r="M1750" s="12"/>
      <c r="N1750" s="5"/>
      <c r="O1750" s="5"/>
      <c r="P1750" s="5"/>
      <c r="Q1750" s="14"/>
      <c r="R1750" s="15">
        <f t="shared" si="27"/>
        <v>0</v>
      </c>
    </row>
    <row r="1751" spans="2:18" x14ac:dyDescent="0.35">
      <c r="B1751" s="9">
        <v>1777</v>
      </c>
      <c r="C1751" s="9"/>
      <c r="D1751" s="9"/>
      <c r="E1751" s="9"/>
      <c r="F1751" s="9"/>
      <c r="G1751" s="9"/>
      <c r="H1751" s="9"/>
      <c r="I1751" s="11" t="e">
        <f>VLOOKUP(H1751,위치!B:C,2,0)</f>
        <v>#N/A</v>
      </c>
      <c r="J1751" s="9"/>
      <c r="K1751" s="9"/>
      <c r="L1751" s="9" t="e">
        <f>VLOOKUP(H1751,위치!B:D,3,0)</f>
        <v>#N/A</v>
      </c>
      <c r="M1751" s="12"/>
      <c r="N1751" s="5"/>
      <c r="O1751" s="5"/>
      <c r="P1751" s="5"/>
      <c r="Q1751" s="14"/>
      <c r="R1751" s="15">
        <f t="shared" si="27"/>
        <v>0</v>
      </c>
    </row>
    <row r="1752" spans="2:18" x14ac:dyDescent="0.35">
      <c r="B1752" s="9">
        <v>1778</v>
      </c>
      <c r="C1752" s="9"/>
      <c r="D1752" s="9"/>
      <c r="E1752" s="9"/>
      <c r="F1752" s="9"/>
      <c r="G1752" s="9"/>
      <c r="H1752" s="9"/>
      <c r="I1752" s="11" t="e">
        <f>VLOOKUP(H1752,위치!B:C,2,0)</f>
        <v>#N/A</v>
      </c>
      <c r="J1752" s="9"/>
      <c r="K1752" s="9"/>
      <c r="L1752" s="9" t="e">
        <f>VLOOKUP(H1752,위치!B:D,3,0)</f>
        <v>#N/A</v>
      </c>
      <c r="M1752" s="12"/>
      <c r="N1752" s="5"/>
      <c r="O1752" s="5"/>
      <c r="P1752" s="5"/>
      <c r="Q1752" s="14"/>
      <c r="R1752" s="15">
        <f t="shared" si="27"/>
        <v>0</v>
      </c>
    </row>
    <row r="1753" spans="2:18" x14ac:dyDescent="0.35">
      <c r="B1753" s="9">
        <v>1779</v>
      </c>
      <c r="C1753" s="9"/>
      <c r="D1753" s="9"/>
      <c r="E1753" s="9"/>
      <c r="F1753" s="9"/>
      <c r="G1753" s="9"/>
      <c r="H1753" s="9"/>
      <c r="I1753" s="11" t="e">
        <f>VLOOKUP(H1753,위치!B:C,2,0)</f>
        <v>#N/A</v>
      </c>
      <c r="J1753" s="9"/>
      <c r="K1753" s="9"/>
      <c r="L1753" s="9" t="e">
        <f>VLOOKUP(H1753,위치!B:D,3,0)</f>
        <v>#N/A</v>
      </c>
      <c r="M1753" s="12"/>
      <c r="N1753" s="5"/>
      <c r="O1753" s="5"/>
      <c r="P1753" s="5"/>
      <c r="Q1753" s="14"/>
      <c r="R1753" s="15">
        <f t="shared" si="27"/>
        <v>0</v>
      </c>
    </row>
    <row r="1754" spans="2:18" x14ac:dyDescent="0.35">
      <c r="B1754" s="9">
        <v>1780</v>
      </c>
      <c r="C1754" s="9"/>
      <c r="D1754" s="9"/>
      <c r="E1754" s="9"/>
      <c r="F1754" s="9"/>
      <c r="G1754" s="9"/>
      <c r="H1754" s="9"/>
      <c r="I1754" s="11" t="e">
        <f>VLOOKUP(H1754,위치!B:C,2,0)</f>
        <v>#N/A</v>
      </c>
      <c r="J1754" s="9"/>
      <c r="K1754" s="9"/>
      <c r="L1754" s="9" t="e">
        <f>VLOOKUP(H1754,위치!B:D,3,0)</f>
        <v>#N/A</v>
      </c>
      <c r="M1754" s="12"/>
      <c r="N1754" s="5"/>
      <c r="O1754" s="5"/>
      <c r="P1754" s="5"/>
      <c r="Q1754" s="14"/>
      <c r="R1754" s="15">
        <f t="shared" si="27"/>
        <v>0</v>
      </c>
    </row>
    <row r="1755" spans="2:18" x14ac:dyDescent="0.35">
      <c r="B1755" s="9">
        <v>1781</v>
      </c>
      <c r="C1755" s="9"/>
      <c r="D1755" s="9"/>
      <c r="E1755" s="9"/>
      <c r="F1755" s="9"/>
      <c r="G1755" s="9"/>
      <c r="H1755" s="9"/>
      <c r="I1755" s="11" t="e">
        <f>VLOOKUP(H1755,위치!B:C,2,0)</f>
        <v>#N/A</v>
      </c>
      <c r="J1755" s="9"/>
      <c r="K1755" s="9"/>
      <c r="L1755" s="9" t="e">
        <f>VLOOKUP(H1755,위치!B:D,3,0)</f>
        <v>#N/A</v>
      </c>
      <c r="M1755" s="12"/>
      <c r="N1755" s="5"/>
      <c r="O1755" s="5"/>
      <c r="P1755" s="5"/>
      <c r="Q1755" s="14"/>
      <c r="R1755" s="15">
        <f t="shared" si="27"/>
        <v>0</v>
      </c>
    </row>
    <row r="1756" spans="2:18" x14ac:dyDescent="0.35">
      <c r="B1756" s="9">
        <v>1782</v>
      </c>
      <c r="C1756" s="9"/>
      <c r="D1756" s="9"/>
      <c r="E1756" s="9"/>
      <c r="F1756" s="9"/>
      <c r="G1756" s="9"/>
      <c r="H1756" s="9"/>
      <c r="I1756" s="11" t="e">
        <f>VLOOKUP(H1756,위치!B:C,2,0)</f>
        <v>#N/A</v>
      </c>
      <c r="J1756" s="9"/>
      <c r="K1756" s="9"/>
      <c r="L1756" s="9" t="e">
        <f>VLOOKUP(H1756,위치!B:D,3,0)</f>
        <v>#N/A</v>
      </c>
      <c r="M1756" s="12"/>
      <c r="N1756" s="5"/>
      <c r="O1756" s="5"/>
      <c r="P1756" s="5"/>
      <c r="Q1756" s="14"/>
      <c r="R1756" s="15">
        <f t="shared" si="27"/>
        <v>0</v>
      </c>
    </row>
    <row r="1757" spans="2:18" x14ac:dyDescent="0.35">
      <c r="B1757" s="9">
        <v>1783</v>
      </c>
      <c r="C1757" s="9"/>
      <c r="D1757" s="9"/>
      <c r="E1757" s="9"/>
      <c r="F1757" s="9"/>
      <c r="G1757" s="9"/>
      <c r="H1757" s="9"/>
      <c r="I1757" s="11" t="e">
        <f>VLOOKUP(H1757,위치!B:C,2,0)</f>
        <v>#N/A</v>
      </c>
      <c r="J1757" s="9"/>
      <c r="K1757" s="9"/>
      <c r="L1757" s="9" t="e">
        <f>VLOOKUP(H1757,위치!B:D,3,0)</f>
        <v>#N/A</v>
      </c>
      <c r="M1757" s="12"/>
      <c r="N1757" s="5"/>
      <c r="O1757" s="5"/>
      <c r="P1757" s="5"/>
      <c r="Q1757" s="14"/>
      <c r="R1757" s="15">
        <f t="shared" si="27"/>
        <v>0</v>
      </c>
    </row>
    <row r="1758" spans="2:18" x14ac:dyDescent="0.35">
      <c r="B1758" s="9">
        <v>1784</v>
      </c>
      <c r="C1758" s="9"/>
      <c r="D1758" s="9"/>
      <c r="E1758" s="9"/>
      <c r="F1758" s="9"/>
      <c r="G1758" s="9"/>
      <c r="H1758" s="9"/>
      <c r="I1758" s="11" t="e">
        <f>VLOOKUP(H1758,위치!B:C,2,0)</f>
        <v>#N/A</v>
      </c>
      <c r="J1758" s="9"/>
      <c r="K1758" s="9"/>
      <c r="L1758" s="9" t="e">
        <f>VLOOKUP(H1758,위치!B:D,3,0)</f>
        <v>#N/A</v>
      </c>
      <c r="M1758" s="12"/>
      <c r="N1758" s="5"/>
      <c r="O1758" s="5"/>
      <c r="P1758" s="5"/>
      <c r="Q1758" s="14"/>
      <c r="R1758" s="15">
        <f t="shared" si="27"/>
        <v>0</v>
      </c>
    </row>
    <row r="1759" spans="2:18" x14ac:dyDescent="0.35">
      <c r="B1759" s="9">
        <v>1785</v>
      </c>
      <c r="C1759" s="9"/>
      <c r="D1759" s="9"/>
      <c r="E1759" s="9"/>
      <c r="F1759" s="9"/>
      <c r="G1759" s="9"/>
      <c r="H1759" s="9"/>
      <c r="I1759" s="11" t="e">
        <f>VLOOKUP(H1759,위치!B:C,2,0)</f>
        <v>#N/A</v>
      </c>
      <c r="J1759" s="9"/>
      <c r="K1759" s="9"/>
      <c r="L1759" s="9" t="e">
        <f>VLOOKUP(H1759,위치!B:D,3,0)</f>
        <v>#N/A</v>
      </c>
      <c r="M1759" s="12"/>
      <c r="N1759" s="5"/>
      <c r="O1759" s="5"/>
      <c r="P1759" s="5"/>
      <c r="Q1759" s="14"/>
      <c r="R1759" s="15">
        <f t="shared" si="27"/>
        <v>0</v>
      </c>
    </row>
    <row r="1760" spans="2:18" x14ac:dyDescent="0.35">
      <c r="B1760" s="9">
        <v>1786</v>
      </c>
      <c r="C1760" s="9"/>
      <c r="D1760" s="9"/>
      <c r="E1760" s="9"/>
      <c r="F1760" s="9"/>
      <c r="G1760" s="9"/>
      <c r="H1760" s="9"/>
      <c r="I1760" s="11" t="e">
        <f>VLOOKUP(H1760,위치!B:C,2,0)</f>
        <v>#N/A</v>
      </c>
      <c r="J1760" s="9"/>
      <c r="K1760" s="9"/>
      <c r="L1760" s="9" t="e">
        <f>VLOOKUP(H1760,위치!B:D,3,0)</f>
        <v>#N/A</v>
      </c>
      <c r="M1760" s="12"/>
      <c r="N1760" s="5"/>
      <c r="O1760" s="5"/>
      <c r="P1760" s="5"/>
      <c r="Q1760" s="14"/>
      <c r="R1760" s="15">
        <f t="shared" si="27"/>
        <v>0</v>
      </c>
    </row>
    <row r="1761" spans="2:18" x14ac:dyDescent="0.35">
      <c r="B1761" s="9">
        <v>1787</v>
      </c>
      <c r="C1761" s="9"/>
      <c r="D1761" s="9"/>
      <c r="E1761" s="9"/>
      <c r="F1761" s="9"/>
      <c r="G1761" s="9"/>
      <c r="H1761" s="9"/>
      <c r="I1761" s="11" t="e">
        <f>VLOOKUP(H1761,위치!B:C,2,0)</f>
        <v>#N/A</v>
      </c>
      <c r="J1761" s="9"/>
      <c r="K1761" s="9"/>
      <c r="L1761" s="9" t="e">
        <f>VLOOKUP(H1761,위치!B:D,3,0)</f>
        <v>#N/A</v>
      </c>
      <c r="M1761" s="12"/>
      <c r="N1761" s="5"/>
      <c r="O1761" s="5"/>
      <c r="P1761" s="5"/>
      <c r="Q1761" s="14"/>
      <c r="R1761" s="15">
        <f t="shared" si="27"/>
        <v>0</v>
      </c>
    </row>
    <row r="1762" spans="2:18" x14ac:dyDescent="0.35">
      <c r="B1762" s="9">
        <v>1788</v>
      </c>
      <c r="C1762" s="9"/>
      <c r="D1762" s="9"/>
      <c r="E1762" s="9"/>
      <c r="F1762" s="9"/>
      <c r="G1762" s="9"/>
      <c r="H1762" s="9"/>
      <c r="I1762" s="11" t="e">
        <f>VLOOKUP(H1762,위치!B:C,2,0)</f>
        <v>#N/A</v>
      </c>
      <c r="J1762" s="9"/>
      <c r="K1762" s="9"/>
      <c r="L1762" s="9" t="e">
        <f>VLOOKUP(H1762,위치!B:D,3,0)</f>
        <v>#N/A</v>
      </c>
      <c r="M1762" s="12"/>
      <c r="N1762" s="5"/>
      <c r="O1762" s="5"/>
      <c r="P1762" s="5"/>
      <c r="Q1762" s="14"/>
      <c r="R1762" s="15">
        <f t="shared" si="27"/>
        <v>0</v>
      </c>
    </row>
    <row r="1763" spans="2:18" x14ac:dyDescent="0.35">
      <c r="B1763" s="9">
        <v>1789</v>
      </c>
      <c r="C1763" s="9"/>
      <c r="D1763" s="9"/>
      <c r="E1763" s="9"/>
      <c r="F1763" s="9"/>
      <c r="G1763" s="9"/>
      <c r="H1763" s="9"/>
      <c r="I1763" s="11" t="e">
        <f>VLOOKUP(H1763,위치!B:C,2,0)</f>
        <v>#N/A</v>
      </c>
      <c r="J1763" s="9"/>
      <c r="K1763" s="9"/>
      <c r="L1763" s="9" t="e">
        <f>VLOOKUP(H1763,위치!B:D,3,0)</f>
        <v>#N/A</v>
      </c>
      <c r="M1763" s="12"/>
      <c r="N1763" s="5"/>
      <c r="O1763" s="5"/>
      <c r="P1763" s="5"/>
      <c r="Q1763" s="14"/>
      <c r="R1763" s="15">
        <f t="shared" si="27"/>
        <v>0</v>
      </c>
    </row>
    <row r="1764" spans="2:18" x14ac:dyDescent="0.35">
      <c r="B1764" s="9">
        <v>1790</v>
      </c>
      <c r="C1764" s="9"/>
      <c r="D1764" s="9"/>
      <c r="E1764" s="9"/>
      <c r="F1764" s="9"/>
      <c r="G1764" s="9"/>
      <c r="H1764" s="9"/>
      <c r="I1764" s="11" t="e">
        <f>VLOOKUP(H1764,위치!B:C,2,0)</f>
        <v>#N/A</v>
      </c>
      <c r="J1764" s="9"/>
      <c r="K1764" s="9"/>
      <c r="L1764" s="9" t="e">
        <f>VLOOKUP(H1764,위치!B:D,3,0)</f>
        <v>#N/A</v>
      </c>
      <c r="M1764" s="12"/>
      <c r="N1764" s="5"/>
      <c r="O1764" s="5"/>
      <c r="P1764" s="5"/>
      <c r="Q1764" s="14"/>
      <c r="R1764" s="15">
        <f t="shared" si="27"/>
        <v>0</v>
      </c>
    </row>
    <row r="1765" spans="2:18" x14ac:dyDescent="0.35">
      <c r="B1765" s="9">
        <v>1791</v>
      </c>
      <c r="C1765" s="9"/>
      <c r="D1765" s="9"/>
      <c r="E1765" s="9"/>
      <c r="F1765" s="9"/>
      <c r="G1765" s="9"/>
      <c r="H1765" s="9"/>
      <c r="I1765" s="11" t="e">
        <f>VLOOKUP(H1765,위치!B:C,2,0)</f>
        <v>#N/A</v>
      </c>
      <c r="J1765" s="9"/>
      <c r="K1765" s="9"/>
      <c r="L1765" s="9" t="e">
        <f>VLOOKUP(H1765,위치!B:D,3,0)</f>
        <v>#N/A</v>
      </c>
      <c r="M1765" s="12"/>
      <c r="N1765" s="5"/>
      <c r="O1765" s="5"/>
      <c r="P1765" s="5"/>
      <c r="Q1765" s="14"/>
      <c r="R1765" s="15">
        <f t="shared" si="27"/>
        <v>0</v>
      </c>
    </row>
    <row r="1766" spans="2:18" x14ac:dyDescent="0.35">
      <c r="B1766" s="9">
        <v>1792</v>
      </c>
      <c r="C1766" s="9"/>
      <c r="D1766" s="9"/>
      <c r="E1766" s="9"/>
      <c r="F1766" s="9"/>
      <c r="G1766" s="9"/>
      <c r="H1766" s="9"/>
      <c r="I1766" s="11" t="e">
        <f>VLOOKUP(H1766,위치!B:C,2,0)</f>
        <v>#N/A</v>
      </c>
      <c r="J1766" s="9"/>
      <c r="K1766" s="9"/>
      <c r="L1766" s="9" t="e">
        <f>VLOOKUP(H1766,위치!B:D,3,0)</f>
        <v>#N/A</v>
      </c>
      <c r="M1766" s="12"/>
      <c r="N1766" s="5"/>
      <c r="O1766" s="5"/>
      <c r="P1766" s="5"/>
      <c r="Q1766" s="14"/>
      <c r="R1766" s="15">
        <f t="shared" si="27"/>
        <v>0</v>
      </c>
    </row>
    <row r="1767" spans="2:18" x14ac:dyDescent="0.35">
      <c r="B1767" s="9">
        <v>1793</v>
      </c>
      <c r="C1767" s="9"/>
      <c r="D1767" s="9"/>
      <c r="E1767" s="9"/>
      <c r="F1767" s="9"/>
      <c r="G1767" s="9"/>
      <c r="H1767" s="9"/>
      <c r="I1767" s="11" t="e">
        <f>VLOOKUP(H1767,위치!B:C,2,0)</f>
        <v>#N/A</v>
      </c>
      <c r="J1767" s="9"/>
      <c r="K1767" s="9"/>
      <c r="L1767" s="9" t="e">
        <f>VLOOKUP(H1767,위치!B:D,3,0)</f>
        <v>#N/A</v>
      </c>
      <c r="M1767" s="12"/>
      <c r="N1767" s="5"/>
      <c r="O1767" s="5"/>
      <c r="P1767" s="5"/>
      <c r="Q1767" s="14"/>
      <c r="R1767" s="15">
        <f t="shared" si="27"/>
        <v>0</v>
      </c>
    </row>
    <row r="1768" spans="2:18" x14ac:dyDescent="0.35">
      <c r="B1768" s="9">
        <v>1794</v>
      </c>
      <c r="C1768" s="9"/>
      <c r="D1768" s="9"/>
      <c r="E1768" s="9"/>
      <c r="F1768" s="9"/>
      <c r="G1768" s="9"/>
      <c r="H1768" s="9"/>
      <c r="I1768" s="11" t="e">
        <f>VLOOKUP(H1768,위치!B:C,2,0)</f>
        <v>#N/A</v>
      </c>
      <c r="J1768" s="9"/>
      <c r="K1768" s="9"/>
      <c r="L1768" s="9" t="e">
        <f>VLOOKUP(H1768,위치!B:D,3,0)</f>
        <v>#N/A</v>
      </c>
      <c r="M1768" s="12"/>
      <c r="N1768" s="5"/>
      <c r="O1768" s="5"/>
      <c r="P1768" s="5"/>
      <c r="Q1768" s="14"/>
      <c r="R1768" s="15">
        <f t="shared" si="27"/>
        <v>0</v>
      </c>
    </row>
    <row r="1769" spans="2:18" x14ac:dyDescent="0.35">
      <c r="B1769" s="9">
        <v>1795</v>
      </c>
      <c r="C1769" s="9"/>
      <c r="D1769" s="9"/>
      <c r="E1769" s="9"/>
      <c r="F1769" s="9"/>
      <c r="G1769" s="9"/>
      <c r="H1769" s="9"/>
      <c r="I1769" s="11" t="e">
        <f>VLOOKUP(H1769,위치!B:C,2,0)</f>
        <v>#N/A</v>
      </c>
      <c r="J1769" s="9"/>
      <c r="K1769" s="9"/>
      <c r="L1769" s="9" t="e">
        <f>VLOOKUP(H1769,위치!B:D,3,0)</f>
        <v>#N/A</v>
      </c>
      <c r="M1769" s="12"/>
      <c r="N1769" s="5"/>
      <c r="O1769" s="5"/>
      <c r="P1769" s="5"/>
      <c r="Q1769" s="14"/>
      <c r="R1769" s="15">
        <f t="shared" si="27"/>
        <v>0</v>
      </c>
    </row>
    <row r="1770" spans="2:18" x14ac:dyDescent="0.35">
      <c r="B1770" s="9">
        <v>1796</v>
      </c>
      <c r="C1770" s="9"/>
      <c r="D1770" s="9"/>
      <c r="E1770" s="9"/>
      <c r="F1770" s="9"/>
      <c r="G1770" s="9"/>
      <c r="H1770" s="9"/>
      <c r="I1770" s="11" t="e">
        <f>VLOOKUP(H1770,위치!B:C,2,0)</f>
        <v>#N/A</v>
      </c>
      <c r="J1770" s="9"/>
      <c r="K1770" s="9"/>
      <c r="L1770" s="9" t="e">
        <f>VLOOKUP(H1770,위치!B:D,3,0)</f>
        <v>#N/A</v>
      </c>
      <c r="M1770" s="12"/>
      <c r="N1770" s="5"/>
      <c r="O1770" s="5"/>
      <c r="P1770" s="5"/>
      <c r="Q1770" s="14"/>
      <c r="R1770" s="15">
        <f t="shared" si="27"/>
        <v>0</v>
      </c>
    </row>
    <row r="1771" spans="2:18" x14ac:dyDescent="0.35">
      <c r="B1771" s="9">
        <v>1797</v>
      </c>
      <c r="C1771" s="9"/>
      <c r="D1771" s="9"/>
      <c r="E1771" s="9"/>
      <c r="F1771" s="9"/>
      <c r="G1771" s="9"/>
      <c r="H1771" s="9"/>
      <c r="I1771" s="11" t="e">
        <f>VLOOKUP(H1771,위치!B:C,2,0)</f>
        <v>#N/A</v>
      </c>
      <c r="J1771" s="9"/>
      <c r="K1771" s="9"/>
      <c r="L1771" s="9" t="e">
        <f>VLOOKUP(H1771,위치!B:D,3,0)</f>
        <v>#N/A</v>
      </c>
      <c r="M1771" s="12"/>
      <c r="N1771" s="5"/>
      <c r="O1771" s="5"/>
      <c r="P1771" s="5"/>
      <c r="Q1771" s="14"/>
      <c r="R1771" s="15">
        <f t="shared" si="27"/>
        <v>0</v>
      </c>
    </row>
    <row r="1772" spans="2:18" x14ac:dyDescent="0.35">
      <c r="B1772" s="9">
        <v>1798</v>
      </c>
      <c r="C1772" s="9"/>
      <c r="D1772" s="9"/>
      <c r="E1772" s="9"/>
      <c r="F1772" s="9"/>
      <c r="G1772" s="9"/>
      <c r="H1772" s="9"/>
      <c r="I1772" s="11" t="e">
        <f>VLOOKUP(H1772,위치!B:C,2,0)</f>
        <v>#N/A</v>
      </c>
      <c r="J1772" s="9"/>
      <c r="K1772" s="9"/>
      <c r="L1772" s="9" t="e">
        <f>VLOOKUP(H1772,위치!B:D,3,0)</f>
        <v>#N/A</v>
      </c>
      <c r="M1772" s="12"/>
      <c r="N1772" s="5"/>
      <c r="O1772" s="5"/>
      <c r="P1772" s="5"/>
      <c r="Q1772" s="14"/>
      <c r="R1772" s="15">
        <f t="shared" si="27"/>
        <v>0</v>
      </c>
    </row>
    <row r="1773" spans="2:18" x14ac:dyDescent="0.35">
      <c r="B1773" s="9">
        <v>1799</v>
      </c>
      <c r="C1773" s="9"/>
      <c r="D1773" s="9"/>
      <c r="E1773" s="9"/>
      <c r="F1773" s="9"/>
      <c r="G1773" s="9"/>
      <c r="H1773" s="9"/>
      <c r="I1773" s="11" t="e">
        <f>VLOOKUP(H1773,위치!B:C,2,0)</f>
        <v>#N/A</v>
      </c>
      <c r="J1773" s="9"/>
      <c r="K1773" s="9"/>
      <c r="L1773" s="9" t="e">
        <f>VLOOKUP(H1773,위치!B:D,3,0)</f>
        <v>#N/A</v>
      </c>
      <c r="M1773" s="12"/>
      <c r="N1773" s="5"/>
      <c r="O1773" s="5"/>
      <c r="P1773" s="5"/>
      <c r="Q1773" s="14"/>
      <c r="R1773" s="15">
        <f t="shared" si="27"/>
        <v>0</v>
      </c>
    </row>
    <row r="1774" spans="2:18" x14ac:dyDescent="0.35">
      <c r="B1774" s="9">
        <v>1800</v>
      </c>
      <c r="C1774" s="9"/>
      <c r="D1774" s="9"/>
      <c r="E1774" s="9"/>
      <c r="F1774" s="9"/>
      <c r="G1774" s="9"/>
      <c r="H1774" s="9"/>
      <c r="I1774" s="11" t="e">
        <f>VLOOKUP(H1774,위치!B:C,2,0)</f>
        <v>#N/A</v>
      </c>
      <c r="J1774" s="9"/>
      <c r="K1774" s="9"/>
      <c r="L1774" s="9" t="e">
        <f>VLOOKUP(H1774,위치!B:D,3,0)</f>
        <v>#N/A</v>
      </c>
      <c r="M1774" s="12"/>
      <c r="N1774" s="5"/>
      <c r="O1774" s="5"/>
      <c r="P1774" s="5"/>
      <c r="Q1774" s="14"/>
      <c r="R1774" s="15">
        <f t="shared" si="27"/>
        <v>0</v>
      </c>
    </row>
    <row r="1775" spans="2:18" x14ac:dyDescent="0.35">
      <c r="B1775" s="9">
        <v>1801</v>
      </c>
      <c r="C1775" s="9"/>
      <c r="D1775" s="9"/>
      <c r="E1775" s="9"/>
      <c r="F1775" s="9"/>
      <c r="G1775" s="9"/>
      <c r="H1775" s="9"/>
      <c r="I1775" s="11" t="e">
        <f>VLOOKUP(H1775,위치!B:C,2,0)</f>
        <v>#N/A</v>
      </c>
      <c r="J1775" s="9"/>
      <c r="K1775" s="9"/>
      <c r="L1775" s="9" t="e">
        <f>VLOOKUP(H1775,위치!B:D,3,0)</f>
        <v>#N/A</v>
      </c>
      <c r="M1775" s="12"/>
      <c r="N1775" s="5"/>
      <c r="O1775" s="5"/>
      <c r="P1775" s="5"/>
      <c r="Q1775" s="14"/>
      <c r="R1775" s="15">
        <f t="shared" si="27"/>
        <v>0</v>
      </c>
    </row>
    <row r="1776" spans="2:18" x14ac:dyDescent="0.35">
      <c r="B1776" s="9">
        <v>1802</v>
      </c>
      <c r="C1776" s="9"/>
      <c r="D1776" s="9"/>
      <c r="E1776" s="9"/>
      <c r="F1776" s="9"/>
      <c r="G1776" s="9"/>
      <c r="H1776" s="9"/>
      <c r="I1776" s="11" t="e">
        <f>VLOOKUP(H1776,위치!B:C,2,0)</f>
        <v>#N/A</v>
      </c>
      <c r="J1776" s="9"/>
      <c r="K1776" s="9"/>
      <c r="L1776" s="9" t="e">
        <f>VLOOKUP(H1776,위치!B:D,3,0)</f>
        <v>#N/A</v>
      </c>
      <c r="M1776" s="12"/>
      <c r="N1776" s="5"/>
      <c r="O1776" s="5"/>
      <c r="P1776" s="5"/>
      <c r="Q1776" s="14"/>
      <c r="R1776" s="15">
        <f t="shared" si="27"/>
        <v>0</v>
      </c>
    </row>
    <row r="1777" spans="2:18" x14ac:dyDescent="0.35">
      <c r="B1777" s="9">
        <v>1803</v>
      </c>
      <c r="C1777" s="9"/>
      <c r="D1777" s="9"/>
      <c r="E1777" s="9"/>
      <c r="F1777" s="9"/>
      <c r="G1777" s="9"/>
      <c r="H1777" s="9"/>
      <c r="I1777" s="11" t="e">
        <f>VLOOKUP(H1777,위치!B:C,2,0)</f>
        <v>#N/A</v>
      </c>
      <c r="J1777" s="9"/>
      <c r="K1777" s="9"/>
      <c r="L1777" s="9" t="e">
        <f>VLOOKUP(H1777,위치!B:D,3,0)</f>
        <v>#N/A</v>
      </c>
      <c r="M1777" s="12"/>
      <c r="N1777" s="5"/>
      <c r="O1777" s="5"/>
      <c r="P1777" s="5"/>
      <c r="Q1777" s="14"/>
      <c r="R1777" s="15">
        <f t="shared" si="27"/>
        <v>0</v>
      </c>
    </row>
    <row r="1778" spans="2:18" x14ac:dyDescent="0.35">
      <c r="B1778" s="9">
        <v>1804</v>
      </c>
      <c r="C1778" s="9"/>
      <c r="D1778" s="9"/>
      <c r="E1778" s="9"/>
      <c r="F1778" s="9"/>
      <c r="G1778" s="9"/>
      <c r="H1778" s="9"/>
      <c r="I1778" s="11" t="e">
        <f>VLOOKUP(H1778,위치!B:C,2,0)</f>
        <v>#N/A</v>
      </c>
      <c r="J1778" s="9"/>
      <c r="K1778" s="9"/>
      <c r="L1778" s="9" t="e">
        <f>VLOOKUP(H1778,위치!B:D,3,0)</f>
        <v>#N/A</v>
      </c>
      <c r="M1778" s="12"/>
      <c r="N1778" s="5"/>
      <c r="O1778" s="5"/>
      <c r="P1778" s="5"/>
      <c r="Q1778" s="14"/>
      <c r="R1778" s="15">
        <f t="shared" si="27"/>
        <v>0</v>
      </c>
    </row>
    <row r="1779" spans="2:18" x14ac:dyDescent="0.35">
      <c r="B1779" s="9">
        <v>1805</v>
      </c>
      <c r="C1779" s="9"/>
      <c r="D1779" s="9"/>
      <c r="E1779" s="9"/>
      <c r="F1779" s="9"/>
      <c r="G1779" s="9"/>
      <c r="H1779" s="9"/>
      <c r="I1779" s="11" t="e">
        <f>VLOOKUP(H1779,위치!B:C,2,0)</f>
        <v>#N/A</v>
      </c>
      <c r="J1779" s="9"/>
      <c r="K1779" s="9"/>
      <c r="L1779" s="9" t="e">
        <f>VLOOKUP(H1779,위치!B:D,3,0)</f>
        <v>#N/A</v>
      </c>
      <c r="M1779" s="12"/>
      <c r="N1779" s="5"/>
      <c r="O1779" s="5"/>
      <c r="P1779" s="5"/>
      <c r="Q1779" s="14"/>
      <c r="R1779" s="15">
        <f t="shared" si="27"/>
        <v>0</v>
      </c>
    </row>
    <row r="1780" spans="2:18" x14ac:dyDescent="0.35">
      <c r="B1780" s="9">
        <v>1806</v>
      </c>
      <c r="C1780" s="9"/>
      <c r="D1780" s="9"/>
      <c r="E1780" s="9"/>
      <c r="F1780" s="9"/>
      <c r="G1780" s="9"/>
      <c r="H1780" s="9"/>
      <c r="I1780" s="11" t="e">
        <f>VLOOKUP(H1780,위치!B:C,2,0)</f>
        <v>#N/A</v>
      </c>
      <c r="J1780" s="9"/>
      <c r="K1780" s="9"/>
      <c r="L1780" s="9" t="e">
        <f>VLOOKUP(H1780,위치!B:D,3,0)</f>
        <v>#N/A</v>
      </c>
      <c r="M1780" s="12"/>
      <c r="N1780" s="5"/>
      <c r="O1780" s="5"/>
      <c r="P1780" s="5"/>
      <c r="Q1780" s="14"/>
      <c r="R1780" s="15">
        <f t="shared" si="27"/>
        <v>0</v>
      </c>
    </row>
    <row r="1781" spans="2:18" x14ac:dyDescent="0.35">
      <c r="B1781" s="9">
        <v>1807</v>
      </c>
      <c r="C1781" s="9"/>
      <c r="D1781" s="9"/>
      <c r="E1781" s="9"/>
      <c r="F1781" s="9"/>
      <c r="G1781" s="9"/>
      <c r="H1781" s="9"/>
      <c r="I1781" s="11" t="e">
        <f>VLOOKUP(H1781,위치!B:C,2,0)</f>
        <v>#N/A</v>
      </c>
      <c r="J1781" s="9"/>
      <c r="K1781" s="9"/>
      <c r="L1781" s="9" t="e">
        <f>VLOOKUP(H1781,위치!B:D,3,0)</f>
        <v>#N/A</v>
      </c>
      <c r="M1781" s="12"/>
      <c r="N1781" s="5"/>
      <c r="O1781" s="5"/>
      <c r="P1781" s="5"/>
      <c r="Q1781" s="14"/>
      <c r="R1781" s="15">
        <f t="shared" si="27"/>
        <v>0</v>
      </c>
    </row>
    <row r="1782" spans="2:18" x14ac:dyDescent="0.35">
      <c r="B1782" s="9">
        <v>1808</v>
      </c>
      <c r="C1782" s="9"/>
      <c r="D1782" s="9"/>
      <c r="E1782" s="9"/>
      <c r="F1782" s="9"/>
      <c r="G1782" s="9"/>
      <c r="H1782" s="9"/>
      <c r="I1782" s="11" t="e">
        <f>VLOOKUP(H1782,위치!B:C,2,0)</f>
        <v>#N/A</v>
      </c>
      <c r="J1782" s="9"/>
      <c r="K1782" s="9"/>
      <c r="L1782" s="9" t="e">
        <f>VLOOKUP(H1782,위치!B:D,3,0)</f>
        <v>#N/A</v>
      </c>
      <c r="M1782" s="12"/>
      <c r="N1782" s="5"/>
      <c r="O1782" s="5"/>
      <c r="P1782" s="5"/>
      <c r="Q1782" s="14"/>
      <c r="R1782" s="15">
        <f t="shared" si="27"/>
        <v>0</v>
      </c>
    </row>
    <row r="1783" spans="2:18" x14ac:dyDescent="0.35">
      <c r="B1783" s="9">
        <v>1809</v>
      </c>
      <c r="C1783" s="9"/>
      <c r="D1783" s="9"/>
      <c r="E1783" s="9"/>
      <c r="F1783" s="9"/>
      <c r="G1783" s="9"/>
      <c r="H1783" s="9"/>
      <c r="I1783" s="11" t="e">
        <f>VLOOKUP(H1783,위치!B:C,2,0)</f>
        <v>#N/A</v>
      </c>
      <c r="J1783" s="9"/>
      <c r="K1783" s="9"/>
      <c r="L1783" s="9" t="e">
        <f>VLOOKUP(H1783,위치!B:D,3,0)</f>
        <v>#N/A</v>
      </c>
      <c r="M1783" s="12"/>
      <c r="N1783" s="5"/>
      <c r="O1783" s="5"/>
      <c r="P1783" s="5"/>
      <c r="Q1783" s="14"/>
      <c r="R1783" s="15">
        <f t="shared" si="27"/>
        <v>0</v>
      </c>
    </row>
    <row r="1784" spans="2:18" x14ac:dyDescent="0.35">
      <c r="B1784" s="9">
        <v>1810</v>
      </c>
      <c r="C1784" s="9"/>
      <c r="D1784" s="9"/>
      <c r="E1784" s="9"/>
      <c r="F1784" s="9"/>
      <c r="G1784" s="9"/>
      <c r="H1784" s="9"/>
      <c r="I1784" s="11" t="e">
        <f>VLOOKUP(H1784,위치!B:C,2,0)</f>
        <v>#N/A</v>
      </c>
      <c r="J1784" s="9"/>
      <c r="K1784" s="9"/>
      <c r="L1784" s="9" t="e">
        <f>VLOOKUP(H1784,위치!B:D,3,0)</f>
        <v>#N/A</v>
      </c>
      <c r="M1784" s="12"/>
      <c r="N1784" s="5"/>
      <c r="O1784" s="5"/>
      <c r="P1784" s="5"/>
      <c r="Q1784" s="14"/>
      <c r="R1784" s="15">
        <f t="shared" si="27"/>
        <v>0</v>
      </c>
    </row>
    <row r="1785" spans="2:18" x14ac:dyDescent="0.35">
      <c r="B1785" s="9">
        <v>1811</v>
      </c>
      <c r="C1785" s="9"/>
      <c r="D1785" s="9"/>
      <c r="E1785" s="9"/>
      <c r="F1785" s="9"/>
      <c r="G1785" s="9"/>
      <c r="H1785" s="9"/>
      <c r="I1785" s="11" t="e">
        <f>VLOOKUP(H1785,위치!B:C,2,0)</f>
        <v>#N/A</v>
      </c>
      <c r="J1785" s="9"/>
      <c r="K1785" s="9"/>
      <c r="L1785" s="9" t="e">
        <f>VLOOKUP(H1785,위치!B:D,3,0)</f>
        <v>#N/A</v>
      </c>
      <c r="M1785" s="12"/>
      <c r="N1785" s="5"/>
      <c r="O1785" s="5"/>
      <c r="P1785" s="5"/>
      <c r="Q1785" s="14"/>
      <c r="R1785" s="15">
        <f t="shared" si="27"/>
        <v>0</v>
      </c>
    </row>
    <row r="1786" spans="2:18" x14ac:dyDescent="0.35">
      <c r="B1786" s="9">
        <v>1812</v>
      </c>
      <c r="C1786" s="9"/>
      <c r="D1786" s="9"/>
      <c r="E1786" s="9"/>
      <c r="F1786" s="9"/>
      <c r="G1786" s="9"/>
      <c r="H1786" s="9"/>
      <c r="I1786" s="11" t="e">
        <f>VLOOKUP(H1786,위치!B:C,2,0)</f>
        <v>#N/A</v>
      </c>
      <c r="J1786" s="9"/>
      <c r="K1786" s="9"/>
      <c r="L1786" s="9" t="e">
        <f>VLOOKUP(H1786,위치!B:D,3,0)</f>
        <v>#N/A</v>
      </c>
      <c r="M1786" s="12"/>
      <c r="N1786" s="5"/>
      <c r="O1786" s="5"/>
      <c r="P1786" s="5"/>
      <c r="Q1786" s="14"/>
      <c r="R1786" s="15">
        <f t="shared" si="27"/>
        <v>0</v>
      </c>
    </row>
    <row r="1787" spans="2:18" x14ac:dyDescent="0.35">
      <c r="B1787" s="9">
        <v>1813</v>
      </c>
      <c r="C1787" s="9"/>
      <c r="D1787" s="9"/>
      <c r="E1787" s="9"/>
      <c r="F1787" s="9"/>
      <c r="G1787" s="9"/>
      <c r="H1787" s="9"/>
      <c r="I1787" s="11" t="e">
        <f>VLOOKUP(H1787,위치!B:C,2,0)</f>
        <v>#N/A</v>
      </c>
      <c r="J1787" s="9"/>
      <c r="K1787" s="9"/>
      <c r="L1787" s="9" t="e">
        <f>VLOOKUP(H1787,위치!B:D,3,0)</f>
        <v>#N/A</v>
      </c>
      <c r="M1787" s="12"/>
      <c r="N1787" s="5"/>
      <c r="O1787" s="5"/>
      <c r="P1787" s="5"/>
      <c r="Q1787" s="14"/>
      <c r="R1787" s="15">
        <f t="shared" si="27"/>
        <v>0</v>
      </c>
    </row>
    <row r="1788" spans="2:18" x14ac:dyDescent="0.35">
      <c r="B1788" s="9">
        <v>1814</v>
      </c>
      <c r="C1788" s="9"/>
      <c r="D1788" s="9"/>
      <c r="E1788" s="9"/>
      <c r="F1788" s="9"/>
      <c r="G1788" s="9"/>
      <c r="H1788" s="9"/>
      <c r="I1788" s="11" t="e">
        <f>VLOOKUP(H1788,위치!B:C,2,0)</f>
        <v>#N/A</v>
      </c>
      <c r="J1788" s="9"/>
      <c r="K1788" s="9"/>
      <c r="L1788" s="9" t="e">
        <f>VLOOKUP(H1788,위치!B:D,3,0)</f>
        <v>#N/A</v>
      </c>
      <c r="M1788" s="12"/>
      <c r="N1788" s="5"/>
      <c r="O1788" s="5"/>
      <c r="P1788" s="5"/>
      <c r="Q1788" s="14"/>
      <c r="R1788" s="15">
        <f t="shared" si="27"/>
        <v>0</v>
      </c>
    </row>
    <row r="1789" spans="2:18" x14ac:dyDescent="0.35">
      <c r="B1789" s="9">
        <v>1815</v>
      </c>
      <c r="C1789" s="9"/>
      <c r="D1789" s="9"/>
      <c r="E1789" s="9"/>
      <c r="F1789" s="9"/>
      <c r="G1789" s="9"/>
      <c r="H1789" s="9"/>
      <c r="I1789" s="11" t="e">
        <f>VLOOKUP(H1789,위치!B:C,2,0)</f>
        <v>#N/A</v>
      </c>
      <c r="J1789" s="9"/>
      <c r="K1789" s="9"/>
      <c r="L1789" s="9" t="e">
        <f>VLOOKUP(H1789,위치!B:D,3,0)</f>
        <v>#N/A</v>
      </c>
      <c r="M1789" s="12"/>
      <c r="N1789" s="5"/>
      <c r="O1789" s="5"/>
      <c r="P1789" s="5"/>
      <c r="Q1789" s="14"/>
      <c r="R1789" s="15">
        <f t="shared" si="27"/>
        <v>0</v>
      </c>
    </row>
    <row r="1790" spans="2:18" x14ac:dyDescent="0.35">
      <c r="B1790" s="9">
        <v>1816</v>
      </c>
      <c r="C1790" s="9"/>
      <c r="D1790" s="9"/>
      <c r="E1790" s="9"/>
      <c r="F1790" s="9"/>
      <c r="G1790" s="9"/>
      <c r="H1790" s="9"/>
      <c r="I1790" s="11" t="e">
        <f>VLOOKUP(H1790,위치!B:C,2,0)</f>
        <v>#N/A</v>
      </c>
      <c r="J1790" s="9"/>
      <c r="K1790" s="9"/>
      <c r="L1790" s="9" t="e">
        <f>VLOOKUP(H1790,위치!B:D,3,0)</f>
        <v>#N/A</v>
      </c>
      <c r="M1790" s="12"/>
      <c r="N1790" s="5"/>
      <c r="O1790" s="5"/>
      <c r="P1790" s="5"/>
      <c r="Q1790" s="14"/>
      <c r="R1790" s="15">
        <f t="shared" si="27"/>
        <v>0</v>
      </c>
    </row>
    <row r="1791" spans="2:18" x14ac:dyDescent="0.35">
      <c r="B1791" s="9">
        <v>1817</v>
      </c>
      <c r="C1791" s="9"/>
      <c r="D1791" s="9"/>
      <c r="E1791" s="9"/>
      <c r="F1791" s="9"/>
      <c r="G1791" s="9"/>
      <c r="H1791" s="9"/>
      <c r="I1791" s="11" t="e">
        <f>VLOOKUP(H1791,위치!B:C,2,0)</f>
        <v>#N/A</v>
      </c>
      <c r="J1791" s="9"/>
      <c r="K1791" s="9"/>
      <c r="L1791" s="9" t="e">
        <f>VLOOKUP(H1791,위치!B:D,3,0)</f>
        <v>#N/A</v>
      </c>
      <c r="M1791" s="12"/>
      <c r="N1791" s="5"/>
      <c r="O1791" s="5"/>
      <c r="P1791" s="5"/>
      <c r="Q1791" s="14"/>
      <c r="R1791" s="15">
        <f t="shared" si="27"/>
        <v>0</v>
      </c>
    </row>
    <row r="1792" spans="2:18" x14ac:dyDescent="0.35">
      <c r="B1792" s="9">
        <v>1818</v>
      </c>
      <c r="C1792" s="9"/>
      <c r="D1792" s="9"/>
      <c r="E1792" s="9"/>
      <c r="F1792" s="9"/>
      <c r="G1792" s="9"/>
      <c r="H1792" s="9"/>
      <c r="I1792" s="11" t="e">
        <f>VLOOKUP(H1792,위치!B:C,2,0)</f>
        <v>#N/A</v>
      </c>
      <c r="J1792" s="9"/>
      <c r="K1792" s="9"/>
      <c r="L1792" s="9" t="e">
        <f>VLOOKUP(H1792,위치!B:D,3,0)</f>
        <v>#N/A</v>
      </c>
      <c r="M1792" s="12"/>
      <c r="N1792" s="5"/>
      <c r="O1792" s="5"/>
      <c r="P1792" s="5"/>
      <c r="Q1792" s="14"/>
      <c r="R1792" s="15">
        <f t="shared" si="27"/>
        <v>0</v>
      </c>
    </row>
    <row r="1793" spans="2:18" x14ac:dyDescent="0.35">
      <c r="B1793" s="9">
        <v>1819</v>
      </c>
      <c r="C1793" s="9"/>
      <c r="D1793" s="9"/>
      <c r="E1793" s="9"/>
      <c r="F1793" s="9"/>
      <c r="G1793" s="9"/>
      <c r="H1793" s="9"/>
      <c r="I1793" s="11" t="e">
        <f>VLOOKUP(H1793,위치!B:C,2,0)</f>
        <v>#N/A</v>
      </c>
      <c r="J1793" s="9"/>
      <c r="K1793" s="9"/>
      <c r="L1793" s="9" t="e">
        <f>VLOOKUP(H1793,위치!B:D,3,0)</f>
        <v>#N/A</v>
      </c>
      <c r="M1793" s="12"/>
      <c r="N1793" s="5"/>
      <c r="O1793" s="5"/>
      <c r="P1793" s="5"/>
      <c r="Q1793" s="14"/>
      <c r="R1793" s="15">
        <f t="shared" si="27"/>
        <v>0</v>
      </c>
    </row>
    <row r="1794" spans="2:18" x14ac:dyDescent="0.35">
      <c r="B1794" s="9">
        <v>1820</v>
      </c>
      <c r="C1794" s="9"/>
      <c r="D1794" s="9"/>
      <c r="E1794" s="9"/>
      <c r="F1794" s="9"/>
      <c r="G1794" s="9"/>
      <c r="H1794" s="9"/>
      <c r="I1794" s="11" t="e">
        <f>VLOOKUP(H1794,위치!B:C,2,0)</f>
        <v>#N/A</v>
      </c>
      <c r="J1794" s="9"/>
      <c r="K1794" s="9"/>
      <c r="L1794" s="9" t="e">
        <f>VLOOKUP(H1794,위치!B:D,3,0)</f>
        <v>#N/A</v>
      </c>
      <c r="M1794" s="12"/>
      <c r="N1794" s="5"/>
      <c r="O1794" s="5"/>
      <c r="P1794" s="5"/>
      <c r="Q1794" s="14"/>
      <c r="R1794" s="15">
        <f t="shared" si="27"/>
        <v>0</v>
      </c>
    </row>
    <row r="1795" spans="2:18" x14ac:dyDescent="0.35">
      <c r="B1795" s="9">
        <v>1821</v>
      </c>
      <c r="C1795" s="9"/>
      <c r="D1795" s="9"/>
      <c r="E1795" s="9"/>
      <c r="F1795" s="9"/>
      <c r="G1795" s="9"/>
      <c r="H1795" s="9"/>
      <c r="I1795" s="11" t="e">
        <f>VLOOKUP(H1795,위치!B:C,2,0)</f>
        <v>#N/A</v>
      </c>
      <c r="J1795" s="9"/>
      <c r="K1795" s="9"/>
      <c r="L1795" s="9" t="e">
        <f>VLOOKUP(H1795,위치!B:D,3,0)</f>
        <v>#N/A</v>
      </c>
      <c r="M1795" s="12"/>
      <c r="N1795" s="5"/>
      <c r="O1795" s="5"/>
      <c r="P1795" s="5"/>
      <c r="Q1795" s="14"/>
      <c r="R1795" s="15">
        <f t="shared" si="27"/>
        <v>0</v>
      </c>
    </row>
    <row r="1796" spans="2:18" x14ac:dyDescent="0.35">
      <c r="B1796" s="9">
        <v>1822</v>
      </c>
      <c r="C1796" s="9"/>
      <c r="D1796" s="9"/>
      <c r="E1796" s="9"/>
      <c r="F1796" s="9"/>
      <c r="G1796" s="9"/>
      <c r="H1796" s="9"/>
      <c r="I1796" s="11" t="e">
        <f>VLOOKUP(H1796,위치!B:C,2,0)</f>
        <v>#N/A</v>
      </c>
      <c r="J1796" s="9"/>
      <c r="K1796" s="9"/>
      <c r="L1796" s="9" t="e">
        <f>VLOOKUP(H1796,위치!B:D,3,0)</f>
        <v>#N/A</v>
      </c>
      <c r="M1796" s="12"/>
      <c r="N1796" s="5"/>
      <c r="O1796" s="5"/>
      <c r="P1796" s="5"/>
      <c r="Q1796" s="14"/>
      <c r="R1796" s="15">
        <f t="shared" si="27"/>
        <v>0</v>
      </c>
    </row>
    <row r="1797" spans="2:18" x14ac:dyDescent="0.35">
      <c r="B1797" s="9">
        <v>1823</v>
      </c>
      <c r="C1797" s="9"/>
      <c r="D1797" s="9"/>
      <c r="E1797" s="9"/>
      <c r="F1797" s="9"/>
      <c r="G1797" s="9"/>
      <c r="H1797" s="9"/>
      <c r="I1797" s="11" t="e">
        <f>VLOOKUP(H1797,위치!B:C,2,0)</f>
        <v>#N/A</v>
      </c>
      <c r="J1797" s="9"/>
      <c r="K1797" s="9"/>
      <c r="L1797" s="9" t="e">
        <f>VLOOKUP(H1797,위치!B:D,3,0)</f>
        <v>#N/A</v>
      </c>
      <c r="M1797" s="12"/>
      <c r="N1797" s="5"/>
      <c r="O1797" s="5"/>
      <c r="P1797" s="5"/>
      <c r="Q1797" s="14"/>
      <c r="R1797" s="15">
        <f t="shared" si="27"/>
        <v>0</v>
      </c>
    </row>
    <row r="1798" spans="2:18" x14ac:dyDescent="0.35">
      <c r="B1798" s="9">
        <v>1824</v>
      </c>
      <c r="C1798" s="9"/>
      <c r="D1798" s="9"/>
      <c r="E1798" s="9"/>
      <c r="F1798" s="9"/>
      <c r="G1798" s="9"/>
      <c r="H1798" s="9"/>
      <c r="I1798" s="11" t="e">
        <f>VLOOKUP(H1798,위치!B:C,2,0)</f>
        <v>#N/A</v>
      </c>
      <c r="J1798" s="9"/>
      <c r="K1798" s="9"/>
      <c r="L1798" s="9" t="e">
        <f>VLOOKUP(H1798,위치!B:D,3,0)</f>
        <v>#N/A</v>
      </c>
      <c r="M1798" s="12"/>
      <c r="N1798" s="5"/>
      <c r="O1798" s="5"/>
      <c r="P1798" s="5"/>
      <c r="Q1798" s="14"/>
      <c r="R1798" s="15">
        <f t="shared" si="27"/>
        <v>0</v>
      </c>
    </row>
    <row r="1799" spans="2:18" x14ac:dyDescent="0.35">
      <c r="B1799" s="9">
        <v>1825</v>
      </c>
      <c r="C1799" s="9"/>
      <c r="D1799" s="9"/>
      <c r="E1799" s="9"/>
      <c r="F1799" s="9"/>
      <c r="G1799" s="9"/>
      <c r="H1799" s="9"/>
      <c r="I1799" s="11" t="e">
        <f>VLOOKUP(H1799,위치!B:C,2,0)</f>
        <v>#N/A</v>
      </c>
      <c r="J1799" s="9"/>
      <c r="K1799" s="9"/>
      <c r="L1799" s="9" t="e">
        <f>VLOOKUP(H1799,위치!B:D,3,0)</f>
        <v>#N/A</v>
      </c>
      <c r="M1799" s="12"/>
      <c r="N1799" s="5"/>
      <c r="O1799" s="5"/>
      <c r="P1799" s="5"/>
      <c r="Q1799" s="14"/>
      <c r="R1799" s="15">
        <f t="shared" ref="R1799:R1862" si="28">J1799-P1799</f>
        <v>0</v>
      </c>
    </row>
    <row r="1800" spans="2:18" x14ac:dyDescent="0.35">
      <c r="B1800" s="9">
        <v>1826</v>
      </c>
      <c r="C1800" s="9"/>
      <c r="D1800" s="9"/>
      <c r="E1800" s="9"/>
      <c r="F1800" s="9"/>
      <c r="G1800" s="9"/>
      <c r="H1800" s="9"/>
      <c r="I1800" s="11" t="e">
        <f>VLOOKUP(H1800,위치!B:C,2,0)</f>
        <v>#N/A</v>
      </c>
      <c r="J1800" s="9"/>
      <c r="K1800" s="9"/>
      <c r="L1800" s="9" t="e">
        <f>VLOOKUP(H1800,위치!B:D,3,0)</f>
        <v>#N/A</v>
      </c>
      <c r="M1800" s="12"/>
      <c r="N1800" s="5"/>
      <c r="O1800" s="5"/>
      <c r="P1800" s="5"/>
      <c r="Q1800" s="14"/>
      <c r="R1800" s="15">
        <f t="shared" si="28"/>
        <v>0</v>
      </c>
    </row>
    <row r="1801" spans="2:18" x14ac:dyDescent="0.35">
      <c r="B1801" s="9">
        <v>1827</v>
      </c>
      <c r="C1801" s="9"/>
      <c r="D1801" s="9"/>
      <c r="E1801" s="9"/>
      <c r="F1801" s="9"/>
      <c r="G1801" s="9"/>
      <c r="H1801" s="9"/>
      <c r="I1801" s="11" t="e">
        <f>VLOOKUP(H1801,위치!B:C,2,0)</f>
        <v>#N/A</v>
      </c>
      <c r="J1801" s="9"/>
      <c r="K1801" s="9"/>
      <c r="L1801" s="9" t="e">
        <f>VLOOKUP(H1801,위치!B:D,3,0)</f>
        <v>#N/A</v>
      </c>
      <c r="M1801" s="12"/>
      <c r="N1801" s="5"/>
      <c r="O1801" s="5"/>
      <c r="P1801" s="5"/>
      <c r="Q1801" s="14"/>
      <c r="R1801" s="15">
        <f t="shared" si="28"/>
        <v>0</v>
      </c>
    </row>
    <row r="1802" spans="2:18" x14ac:dyDescent="0.35">
      <c r="B1802" s="9">
        <v>1828</v>
      </c>
      <c r="C1802" s="9"/>
      <c r="D1802" s="9"/>
      <c r="E1802" s="9"/>
      <c r="F1802" s="9"/>
      <c r="G1802" s="9"/>
      <c r="H1802" s="9"/>
      <c r="I1802" s="11" t="e">
        <f>VLOOKUP(H1802,위치!B:C,2,0)</f>
        <v>#N/A</v>
      </c>
      <c r="J1802" s="9"/>
      <c r="K1802" s="9"/>
      <c r="L1802" s="9" t="e">
        <f>VLOOKUP(H1802,위치!B:D,3,0)</f>
        <v>#N/A</v>
      </c>
      <c r="M1802" s="12"/>
      <c r="N1802" s="5"/>
      <c r="O1802" s="5"/>
      <c r="P1802" s="5"/>
      <c r="Q1802" s="14"/>
      <c r="R1802" s="15">
        <f t="shared" si="28"/>
        <v>0</v>
      </c>
    </row>
    <row r="1803" spans="2:18" x14ac:dyDescent="0.35">
      <c r="B1803" s="9">
        <v>1829</v>
      </c>
      <c r="C1803" s="9"/>
      <c r="D1803" s="9"/>
      <c r="E1803" s="9"/>
      <c r="F1803" s="9"/>
      <c r="G1803" s="9"/>
      <c r="H1803" s="9"/>
      <c r="I1803" s="11" t="e">
        <f>VLOOKUP(H1803,위치!B:C,2,0)</f>
        <v>#N/A</v>
      </c>
      <c r="J1803" s="9"/>
      <c r="K1803" s="9"/>
      <c r="L1803" s="9" t="e">
        <f>VLOOKUP(H1803,위치!B:D,3,0)</f>
        <v>#N/A</v>
      </c>
      <c r="M1803" s="12"/>
      <c r="N1803" s="5"/>
      <c r="O1803" s="5"/>
      <c r="P1803" s="5"/>
      <c r="Q1803" s="14"/>
      <c r="R1803" s="15">
        <f t="shared" si="28"/>
        <v>0</v>
      </c>
    </row>
    <row r="1804" spans="2:18" x14ac:dyDescent="0.35">
      <c r="B1804" s="9">
        <v>1830</v>
      </c>
      <c r="C1804" s="9"/>
      <c r="D1804" s="9"/>
      <c r="E1804" s="9"/>
      <c r="F1804" s="9"/>
      <c r="G1804" s="9"/>
      <c r="H1804" s="9"/>
      <c r="I1804" s="11" t="e">
        <f>VLOOKUP(H1804,위치!B:C,2,0)</f>
        <v>#N/A</v>
      </c>
      <c r="J1804" s="9"/>
      <c r="K1804" s="9"/>
      <c r="L1804" s="9" t="e">
        <f>VLOOKUP(H1804,위치!B:D,3,0)</f>
        <v>#N/A</v>
      </c>
      <c r="M1804" s="12"/>
      <c r="N1804" s="5"/>
      <c r="O1804" s="5"/>
      <c r="P1804" s="5"/>
      <c r="Q1804" s="14"/>
      <c r="R1804" s="15">
        <f t="shared" si="28"/>
        <v>0</v>
      </c>
    </row>
    <row r="1805" spans="2:18" x14ac:dyDescent="0.35">
      <c r="B1805" s="9">
        <v>1831</v>
      </c>
      <c r="C1805" s="9"/>
      <c r="D1805" s="9"/>
      <c r="E1805" s="9"/>
      <c r="F1805" s="9"/>
      <c r="G1805" s="9"/>
      <c r="H1805" s="9"/>
      <c r="I1805" s="11" t="e">
        <f>VLOOKUP(H1805,위치!B:C,2,0)</f>
        <v>#N/A</v>
      </c>
      <c r="J1805" s="9"/>
      <c r="K1805" s="9"/>
      <c r="L1805" s="9" t="e">
        <f>VLOOKUP(H1805,위치!B:D,3,0)</f>
        <v>#N/A</v>
      </c>
      <c r="M1805" s="12"/>
      <c r="N1805" s="5"/>
      <c r="O1805" s="5"/>
      <c r="P1805" s="5"/>
      <c r="Q1805" s="14"/>
      <c r="R1805" s="15">
        <f t="shared" si="28"/>
        <v>0</v>
      </c>
    </row>
    <row r="1806" spans="2:18" x14ac:dyDescent="0.35">
      <c r="B1806" s="9">
        <v>1832</v>
      </c>
      <c r="C1806" s="9"/>
      <c r="D1806" s="9"/>
      <c r="E1806" s="9"/>
      <c r="F1806" s="9"/>
      <c r="G1806" s="9"/>
      <c r="H1806" s="9"/>
      <c r="I1806" s="11" t="e">
        <f>VLOOKUP(H1806,위치!B:C,2,0)</f>
        <v>#N/A</v>
      </c>
      <c r="J1806" s="9"/>
      <c r="K1806" s="9"/>
      <c r="L1806" s="9" t="e">
        <f>VLOOKUP(H1806,위치!B:D,3,0)</f>
        <v>#N/A</v>
      </c>
      <c r="M1806" s="12"/>
      <c r="N1806" s="5"/>
      <c r="O1806" s="5"/>
      <c r="P1806" s="5"/>
      <c r="Q1806" s="14"/>
      <c r="R1806" s="15">
        <f t="shared" si="28"/>
        <v>0</v>
      </c>
    </row>
    <row r="1807" spans="2:18" x14ac:dyDescent="0.35">
      <c r="B1807" s="9">
        <v>1833</v>
      </c>
      <c r="C1807" s="9"/>
      <c r="D1807" s="9"/>
      <c r="E1807" s="9"/>
      <c r="F1807" s="9"/>
      <c r="G1807" s="9"/>
      <c r="H1807" s="9"/>
      <c r="I1807" s="11" t="e">
        <f>VLOOKUP(H1807,위치!B:C,2,0)</f>
        <v>#N/A</v>
      </c>
      <c r="J1807" s="9"/>
      <c r="K1807" s="9"/>
      <c r="L1807" s="9" t="e">
        <f>VLOOKUP(H1807,위치!B:D,3,0)</f>
        <v>#N/A</v>
      </c>
      <c r="M1807" s="12"/>
      <c r="N1807" s="5"/>
      <c r="O1807" s="5"/>
      <c r="P1807" s="5"/>
      <c r="Q1807" s="14"/>
      <c r="R1807" s="15">
        <f t="shared" si="28"/>
        <v>0</v>
      </c>
    </row>
    <row r="1808" spans="2:18" x14ac:dyDescent="0.35">
      <c r="B1808" s="9">
        <v>1834</v>
      </c>
      <c r="C1808" s="9"/>
      <c r="D1808" s="9"/>
      <c r="E1808" s="9"/>
      <c r="F1808" s="9"/>
      <c r="G1808" s="9"/>
      <c r="H1808" s="9"/>
      <c r="I1808" s="11" t="e">
        <f>VLOOKUP(H1808,위치!B:C,2,0)</f>
        <v>#N/A</v>
      </c>
      <c r="J1808" s="9"/>
      <c r="K1808" s="9"/>
      <c r="L1808" s="9" t="e">
        <f>VLOOKUP(H1808,위치!B:D,3,0)</f>
        <v>#N/A</v>
      </c>
      <c r="M1808" s="12"/>
      <c r="N1808" s="5"/>
      <c r="O1808" s="5"/>
      <c r="P1808" s="5"/>
      <c r="Q1808" s="14"/>
      <c r="R1808" s="15">
        <f t="shared" si="28"/>
        <v>0</v>
      </c>
    </row>
    <row r="1809" spans="2:18" x14ac:dyDescent="0.35">
      <c r="B1809" s="9">
        <v>1835</v>
      </c>
      <c r="C1809" s="9"/>
      <c r="D1809" s="9"/>
      <c r="E1809" s="9"/>
      <c r="F1809" s="9"/>
      <c r="G1809" s="9"/>
      <c r="H1809" s="9"/>
      <c r="I1809" s="11" t="e">
        <f>VLOOKUP(H1809,위치!B:C,2,0)</f>
        <v>#N/A</v>
      </c>
      <c r="J1809" s="9"/>
      <c r="K1809" s="9"/>
      <c r="L1809" s="9" t="e">
        <f>VLOOKUP(H1809,위치!B:D,3,0)</f>
        <v>#N/A</v>
      </c>
      <c r="M1809" s="12"/>
      <c r="N1809" s="5"/>
      <c r="O1809" s="5"/>
      <c r="P1809" s="5"/>
      <c r="Q1809" s="14"/>
      <c r="R1809" s="15">
        <f t="shared" si="28"/>
        <v>0</v>
      </c>
    </row>
    <row r="1810" spans="2:18" x14ac:dyDescent="0.35">
      <c r="B1810" s="9">
        <v>1836</v>
      </c>
      <c r="C1810" s="9"/>
      <c r="D1810" s="9"/>
      <c r="E1810" s="9"/>
      <c r="F1810" s="9"/>
      <c r="G1810" s="9"/>
      <c r="H1810" s="9"/>
      <c r="I1810" s="11" t="e">
        <f>VLOOKUP(H1810,위치!B:C,2,0)</f>
        <v>#N/A</v>
      </c>
      <c r="J1810" s="9"/>
      <c r="K1810" s="9"/>
      <c r="L1810" s="9" t="e">
        <f>VLOOKUP(H1810,위치!B:D,3,0)</f>
        <v>#N/A</v>
      </c>
      <c r="M1810" s="12"/>
      <c r="N1810" s="5"/>
      <c r="O1810" s="5"/>
      <c r="P1810" s="5"/>
      <c r="Q1810" s="14"/>
      <c r="R1810" s="15">
        <f t="shared" si="28"/>
        <v>0</v>
      </c>
    </row>
    <row r="1811" spans="2:18" x14ac:dyDescent="0.35">
      <c r="B1811" s="9">
        <v>1837</v>
      </c>
      <c r="C1811" s="9"/>
      <c r="D1811" s="9"/>
      <c r="E1811" s="9"/>
      <c r="F1811" s="9"/>
      <c r="G1811" s="9"/>
      <c r="H1811" s="9"/>
      <c r="I1811" s="11" t="e">
        <f>VLOOKUP(H1811,위치!B:C,2,0)</f>
        <v>#N/A</v>
      </c>
      <c r="J1811" s="9"/>
      <c r="K1811" s="9"/>
      <c r="L1811" s="9" t="e">
        <f>VLOOKUP(H1811,위치!B:D,3,0)</f>
        <v>#N/A</v>
      </c>
      <c r="M1811" s="12"/>
      <c r="N1811" s="5"/>
      <c r="O1811" s="5"/>
      <c r="P1811" s="5"/>
      <c r="Q1811" s="14"/>
      <c r="R1811" s="15">
        <f t="shared" si="28"/>
        <v>0</v>
      </c>
    </row>
    <row r="1812" spans="2:18" x14ac:dyDescent="0.35">
      <c r="B1812" s="9">
        <v>1838</v>
      </c>
      <c r="C1812" s="9"/>
      <c r="D1812" s="9"/>
      <c r="E1812" s="9"/>
      <c r="F1812" s="9"/>
      <c r="G1812" s="9"/>
      <c r="H1812" s="9"/>
      <c r="I1812" s="11" t="e">
        <f>VLOOKUP(H1812,위치!B:C,2,0)</f>
        <v>#N/A</v>
      </c>
      <c r="J1812" s="9"/>
      <c r="K1812" s="9"/>
      <c r="L1812" s="9" t="e">
        <f>VLOOKUP(H1812,위치!B:D,3,0)</f>
        <v>#N/A</v>
      </c>
      <c r="M1812" s="12"/>
      <c r="N1812" s="5"/>
      <c r="O1812" s="5"/>
      <c r="P1812" s="5"/>
      <c r="Q1812" s="14"/>
      <c r="R1812" s="15">
        <f t="shared" si="28"/>
        <v>0</v>
      </c>
    </row>
    <row r="1813" spans="2:18" x14ac:dyDescent="0.35">
      <c r="B1813" s="9">
        <v>1839</v>
      </c>
      <c r="C1813" s="9"/>
      <c r="D1813" s="9"/>
      <c r="E1813" s="9"/>
      <c r="F1813" s="9"/>
      <c r="G1813" s="9"/>
      <c r="H1813" s="9"/>
      <c r="I1813" s="11" t="e">
        <f>VLOOKUP(H1813,위치!B:C,2,0)</f>
        <v>#N/A</v>
      </c>
      <c r="J1813" s="9"/>
      <c r="K1813" s="9"/>
      <c r="L1813" s="9" t="e">
        <f>VLOOKUP(H1813,위치!B:D,3,0)</f>
        <v>#N/A</v>
      </c>
      <c r="M1813" s="12"/>
      <c r="N1813" s="5"/>
      <c r="O1813" s="5"/>
      <c r="P1813" s="5"/>
      <c r="Q1813" s="14"/>
      <c r="R1813" s="15">
        <f t="shared" si="28"/>
        <v>0</v>
      </c>
    </row>
    <row r="1814" spans="2:18" x14ac:dyDescent="0.35">
      <c r="B1814" s="9">
        <v>1840</v>
      </c>
      <c r="C1814" s="9"/>
      <c r="D1814" s="9"/>
      <c r="E1814" s="9"/>
      <c r="F1814" s="9"/>
      <c r="G1814" s="9"/>
      <c r="H1814" s="9"/>
      <c r="I1814" s="11" t="e">
        <f>VLOOKUP(H1814,위치!B:C,2,0)</f>
        <v>#N/A</v>
      </c>
      <c r="J1814" s="9"/>
      <c r="K1814" s="9"/>
      <c r="L1814" s="9" t="e">
        <f>VLOOKUP(H1814,위치!B:D,3,0)</f>
        <v>#N/A</v>
      </c>
      <c r="M1814" s="12"/>
      <c r="N1814" s="5"/>
      <c r="O1814" s="5"/>
      <c r="P1814" s="5"/>
      <c r="Q1814" s="14"/>
      <c r="R1814" s="15">
        <f t="shared" si="28"/>
        <v>0</v>
      </c>
    </row>
    <row r="1815" spans="2:18" x14ac:dyDescent="0.35">
      <c r="B1815" s="9">
        <v>1841</v>
      </c>
      <c r="C1815" s="9"/>
      <c r="D1815" s="9"/>
      <c r="E1815" s="9"/>
      <c r="F1815" s="9"/>
      <c r="G1815" s="9"/>
      <c r="H1815" s="9"/>
      <c r="I1815" s="11" t="e">
        <f>VLOOKUP(H1815,위치!B:C,2,0)</f>
        <v>#N/A</v>
      </c>
      <c r="J1815" s="9"/>
      <c r="K1815" s="9"/>
      <c r="L1815" s="9" t="e">
        <f>VLOOKUP(H1815,위치!B:D,3,0)</f>
        <v>#N/A</v>
      </c>
      <c r="M1815" s="12"/>
      <c r="N1815" s="5"/>
      <c r="O1815" s="5"/>
      <c r="P1815" s="5"/>
      <c r="Q1815" s="14"/>
      <c r="R1815" s="15">
        <f t="shared" si="28"/>
        <v>0</v>
      </c>
    </row>
    <row r="1816" spans="2:18" x14ac:dyDescent="0.35">
      <c r="B1816" s="9">
        <v>1842</v>
      </c>
      <c r="C1816" s="9"/>
      <c r="D1816" s="9"/>
      <c r="E1816" s="9"/>
      <c r="F1816" s="9"/>
      <c r="G1816" s="9"/>
      <c r="H1816" s="9"/>
      <c r="I1816" s="11" t="e">
        <f>VLOOKUP(H1816,위치!B:C,2,0)</f>
        <v>#N/A</v>
      </c>
      <c r="J1816" s="9"/>
      <c r="K1816" s="9"/>
      <c r="L1816" s="9" t="e">
        <f>VLOOKUP(H1816,위치!B:D,3,0)</f>
        <v>#N/A</v>
      </c>
      <c r="M1816" s="12"/>
      <c r="N1816" s="5"/>
      <c r="O1816" s="5"/>
      <c r="P1816" s="5"/>
      <c r="Q1816" s="14"/>
      <c r="R1816" s="15">
        <f t="shared" si="28"/>
        <v>0</v>
      </c>
    </row>
    <row r="1817" spans="2:18" x14ac:dyDescent="0.35">
      <c r="B1817" s="9">
        <v>1843</v>
      </c>
      <c r="C1817" s="9"/>
      <c r="D1817" s="9"/>
      <c r="E1817" s="9"/>
      <c r="F1817" s="9"/>
      <c r="G1817" s="9"/>
      <c r="H1817" s="9"/>
      <c r="I1817" s="11" t="e">
        <f>VLOOKUP(H1817,위치!B:C,2,0)</f>
        <v>#N/A</v>
      </c>
      <c r="J1817" s="9"/>
      <c r="K1817" s="9"/>
      <c r="L1817" s="9" t="e">
        <f>VLOOKUP(H1817,위치!B:D,3,0)</f>
        <v>#N/A</v>
      </c>
      <c r="M1817" s="12"/>
      <c r="N1817" s="5"/>
      <c r="O1817" s="5"/>
      <c r="P1817" s="5"/>
      <c r="Q1817" s="14"/>
      <c r="R1817" s="15">
        <f t="shared" si="28"/>
        <v>0</v>
      </c>
    </row>
    <row r="1818" spans="2:18" x14ac:dyDescent="0.35">
      <c r="B1818" s="9">
        <v>1844</v>
      </c>
      <c r="C1818" s="9"/>
      <c r="D1818" s="9"/>
      <c r="E1818" s="9"/>
      <c r="F1818" s="9"/>
      <c r="G1818" s="9"/>
      <c r="H1818" s="9"/>
      <c r="I1818" s="11" t="e">
        <f>VLOOKUP(H1818,위치!B:C,2,0)</f>
        <v>#N/A</v>
      </c>
      <c r="J1818" s="9"/>
      <c r="K1818" s="9"/>
      <c r="L1818" s="9" t="e">
        <f>VLOOKUP(H1818,위치!B:D,3,0)</f>
        <v>#N/A</v>
      </c>
      <c r="M1818" s="12"/>
      <c r="N1818" s="5"/>
      <c r="O1818" s="5"/>
      <c r="P1818" s="5"/>
      <c r="Q1818" s="14"/>
      <c r="R1818" s="15">
        <f t="shared" si="28"/>
        <v>0</v>
      </c>
    </row>
    <row r="1819" spans="2:18" x14ac:dyDescent="0.35">
      <c r="B1819" s="9">
        <v>1845</v>
      </c>
      <c r="C1819" s="9"/>
      <c r="D1819" s="9"/>
      <c r="E1819" s="9"/>
      <c r="F1819" s="9"/>
      <c r="G1819" s="9"/>
      <c r="H1819" s="9"/>
      <c r="I1819" s="11" t="e">
        <f>VLOOKUP(H1819,위치!B:C,2,0)</f>
        <v>#N/A</v>
      </c>
      <c r="J1819" s="9"/>
      <c r="K1819" s="9"/>
      <c r="L1819" s="9" t="e">
        <f>VLOOKUP(H1819,위치!B:D,3,0)</f>
        <v>#N/A</v>
      </c>
      <c r="M1819" s="12"/>
      <c r="N1819" s="5"/>
      <c r="O1819" s="5"/>
      <c r="P1819" s="5"/>
      <c r="Q1819" s="14"/>
      <c r="R1819" s="15">
        <f t="shared" si="28"/>
        <v>0</v>
      </c>
    </row>
    <row r="1820" spans="2:18" x14ac:dyDescent="0.35">
      <c r="B1820" s="9">
        <v>1846</v>
      </c>
      <c r="C1820" s="9"/>
      <c r="D1820" s="9"/>
      <c r="E1820" s="9"/>
      <c r="F1820" s="9"/>
      <c r="G1820" s="9"/>
      <c r="H1820" s="9"/>
      <c r="I1820" s="11" t="e">
        <f>VLOOKUP(H1820,위치!B:C,2,0)</f>
        <v>#N/A</v>
      </c>
      <c r="J1820" s="9"/>
      <c r="K1820" s="9"/>
      <c r="L1820" s="9" t="e">
        <f>VLOOKUP(H1820,위치!B:D,3,0)</f>
        <v>#N/A</v>
      </c>
      <c r="M1820" s="12"/>
      <c r="N1820" s="5"/>
      <c r="O1820" s="5"/>
      <c r="P1820" s="5"/>
      <c r="Q1820" s="14"/>
      <c r="R1820" s="15">
        <f t="shared" si="28"/>
        <v>0</v>
      </c>
    </row>
    <row r="1821" spans="2:18" x14ac:dyDescent="0.35">
      <c r="B1821" s="9">
        <v>1847</v>
      </c>
      <c r="C1821" s="9"/>
      <c r="D1821" s="9"/>
      <c r="E1821" s="9"/>
      <c r="F1821" s="9"/>
      <c r="G1821" s="9"/>
      <c r="H1821" s="9"/>
      <c r="I1821" s="11" t="e">
        <f>VLOOKUP(H1821,위치!B:C,2,0)</f>
        <v>#N/A</v>
      </c>
      <c r="J1821" s="9"/>
      <c r="K1821" s="9"/>
      <c r="L1821" s="9" t="e">
        <f>VLOOKUP(H1821,위치!B:D,3,0)</f>
        <v>#N/A</v>
      </c>
      <c r="M1821" s="12"/>
      <c r="N1821" s="5"/>
      <c r="O1821" s="5"/>
      <c r="P1821" s="5"/>
      <c r="Q1821" s="14"/>
      <c r="R1821" s="15">
        <f t="shared" si="28"/>
        <v>0</v>
      </c>
    </row>
    <row r="1822" spans="2:18" x14ac:dyDescent="0.35">
      <c r="B1822" s="9">
        <v>1848</v>
      </c>
      <c r="C1822" s="9"/>
      <c r="D1822" s="9"/>
      <c r="E1822" s="9"/>
      <c r="F1822" s="9"/>
      <c r="G1822" s="9"/>
      <c r="H1822" s="9"/>
      <c r="I1822" s="11" t="e">
        <f>VLOOKUP(H1822,위치!B:C,2,0)</f>
        <v>#N/A</v>
      </c>
      <c r="J1822" s="9"/>
      <c r="K1822" s="9"/>
      <c r="L1822" s="9" t="e">
        <f>VLOOKUP(H1822,위치!B:D,3,0)</f>
        <v>#N/A</v>
      </c>
      <c r="M1822" s="12"/>
      <c r="N1822" s="5"/>
      <c r="O1822" s="5"/>
      <c r="P1822" s="5"/>
      <c r="Q1822" s="14"/>
      <c r="R1822" s="15">
        <f t="shared" si="28"/>
        <v>0</v>
      </c>
    </row>
    <row r="1823" spans="2:18" x14ac:dyDescent="0.35">
      <c r="B1823" s="9">
        <v>1849</v>
      </c>
      <c r="C1823" s="9"/>
      <c r="D1823" s="9"/>
      <c r="E1823" s="9"/>
      <c r="F1823" s="9"/>
      <c r="G1823" s="9"/>
      <c r="H1823" s="9"/>
      <c r="I1823" s="11" t="e">
        <f>VLOOKUP(H1823,위치!B:C,2,0)</f>
        <v>#N/A</v>
      </c>
      <c r="J1823" s="9"/>
      <c r="K1823" s="9"/>
      <c r="L1823" s="9" t="e">
        <f>VLOOKUP(H1823,위치!B:D,3,0)</f>
        <v>#N/A</v>
      </c>
      <c r="M1823" s="12"/>
      <c r="N1823" s="5"/>
      <c r="O1823" s="5"/>
      <c r="P1823" s="5"/>
      <c r="Q1823" s="14"/>
      <c r="R1823" s="15">
        <f t="shared" si="28"/>
        <v>0</v>
      </c>
    </row>
    <row r="1824" spans="2:18" x14ac:dyDescent="0.35">
      <c r="B1824" s="9">
        <v>1850</v>
      </c>
      <c r="C1824" s="9"/>
      <c r="D1824" s="9"/>
      <c r="E1824" s="9"/>
      <c r="F1824" s="9"/>
      <c r="G1824" s="9"/>
      <c r="H1824" s="9"/>
      <c r="I1824" s="11" t="e">
        <f>VLOOKUP(H1824,위치!B:C,2,0)</f>
        <v>#N/A</v>
      </c>
      <c r="J1824" s="9"/>
      <c r="K1824" s="9"/>
      <c r="L1824" s="9" t="e">
        <f>VLOOKUP(H1824,위치!B:D,3,0)</f>
        <v>#N/A</v>
      </c>
      <c r="M1824" s="12"/>
      <c r="N1824" s="5"/>
      <c r="O1824" s="5"/>
      <c r="P1824" s="5"/>
      <c r="Q1824" s="14"/>
      <c r="R1824" s="15">
        <f t="shared" si="28"/>
        <v>0</v>
      </c>
    </row>
    <row r="1825" spans="2:18" x14ac:dyDescent="0.35">
      <c r="B1825" s="9">
        <v>1851</v>
      </c>
      <c r="C1825" s="9"/>
      <c r="D1825" s="9"/>
      <c r="E1825" s="9"/>
      <c r="F1825" s="9"/>
      <c r="G1825" s="9"/>
      <c r="H1825" s="9"/>
      <c r="I1825" s="11" t="e">
        <f>VLOOKUP(H1825,위치!B:C,2,0)</f>
        <v>#N/A</v>
      </c>
      <c r="J1825" s="9"/>
      <c r="K1825" s="9"/>
      <c r="L1825" s="9" t="e">
        <f>VLOOKUP(H1825,위치!B:D,3,0)</f>
        <v>#N/A</v>
      </c>
      <c r="M1825" s="12"/>
      <c r="N1825" s="5"/>
      <c r="O1825" s="5"/>
      <c r="P1825" s="5"/>
      <c r="Q1825" s="14"/>
      <c r="R1825" s="15">
        <f t="shared" si="28"/>
        <v>0</v>
      </c>
    </row>
    <row r="1826" spans="2:18" x14ac:dyDescent="0.35">
      <c r="B1826" s="9">
        <v>1852</v>
      </c>
      <c r="C1826" s="9"/>
      <c r="D1826" s="9"/>
      <c r="E1826" s="9"/>
      <c r="F1826" s="9"/>
      <c r="G1826" s="9"/>
      <c r="H1826" s="9"/>
      <c r="I1826" s="11" t="e">
        <f>VLOOKUP(H1826,위치!B:C,2,0)</f>
        <v>#N/A</v>
      </c>
      <c r="J1826" s="9"/>
      <c r="K1826" s="9"/>
      <c r="L1826" s="9" t="e">
        <f>VLOOKUP(H1826,위치!B:D,3,0)</f>
        <v>#N/A</v>
      </c>
      <c r="M1826" s="12"/>
      <c r="N1826" s="5"/>
      <c r="O1826" s="5"/>
      <c r="P1826" s="5"/>
      <c r="Q1826" s="14"/>
      <c r="R1826" s="15">
        <f t="shared" si="28"/>
        <v>0</v>
      </c>
    </row>
    <row r="1827" spans="2:18" x14ac:dyDescent="0.35">
      <c r="B1827" s="9">
        <v>1853</v>
      </c>
      <c r="C1827" s="9"/>
      <c r="D1827" s="9"/>
      <c r="E1827" s="9"/>
      <c r="F1827" s="9"/>
      <c r="G1827" s="9"/>
      <c r="H1827" s="9"/>
      <c r="I1827" s="11" t="e">
        <f>VLOOKUP(H1827,위치!B:C,2,0)</f>
        <v>#N/A</v>
      </c>
      <c r="J1827" s="9"/>
      <c r="K1827" s="9"/>
      <c r="L1827" s="9" t="e">
        <f>VLOOKUP(H1827,위치!B:D,3,0)</f>
        <v>#N/A</v>
      </c>
      <c r="M1827" s="12"/>
      <c r="N1827" s="5"/>
      <c r="O1827" s="5"/>
      <c r="P1827" s="5"/>
      <c r="Q1827" s="14"/>
      <c r="R1827" s="15">
        <f t="shared" si="28"/>
        <v>0</v>
      </c>
    </row>
    <row r="1828" spans="2:18" x14ac:dyDescent="0.35">
      <c r="B1828" s="9">
        <v>1854</v>
      </c>
      <c r="C1828" s="9"/>
      <c r="D1828" s="9"/>
      <c r="E1828" s="9"/>
      <c r="F1828" s="9"/>
      <c r="G1828" s="9"/>
      <c r="H1828" s="9"/>
      <c r="I1828" s="11" t="e">
        <f>VLOOKUP(H1828,위치!B:C,2,0)</f>
        <v>#N/A</v>
      </c>
      <c r="J1828" s="9"/>
      <c r="K1828" s="9"/>
      <c r="L1828" s="9" t="e">
        <f>VLOOKUP(H1828,위치!B:D,3,0)</f>
        <v>#N/A</v>
      </c>
      <c r="M1828" s="12"/>
      <c r="N1828" s="5"/>
      <c r="O1828" s="5"/>
      <c r="P1828" s="5"/>
      <c r="Q1828" s="14"/>
      <c r="R1828" s="15">
        <f t="shared" si="28"/>
        <v>0</v>
      </c>
    </row>
    <row r="1829" spans="2:18" x14ac:dyDescent="0.35">
      <c r="B1829" s="9">
        <v>1855</v>
      </c>
      <c r="C1829" s="9"/>
      <c r="D1829" s="9"/>
      <c r="E1829" s="9"/>
      <c r="F1829" s="9"/>
      <c r="G1829" s="9"/>
      <c r="H1829" s="9"/>
      <c r="I1829" s="11" t="e">
        <f>VLOOKUP(H1829,위치!B:C,2,0)</f>
        <v>#N/A</v>
      </c>
      <c r="J1829" s="9"/>
      <c r="K1829" s="9"/>
      <c r="L1829" s="9" t="e">
        <f>VLOOKUP(H1829,위치!B:D,3,0)</f>
        <v>#N/A</v>
      </c>
      <c r="M1829" s="12"/>
      <c r="N1829" s="5"/>
      <c r="O1829" s="5"/>
      <c r="P1829" s="5"/>
      <c r="Q1829" s="14"/>
      <c r="R1829" s="15">
        <f t="shared" si="28"/>
        <v>0</v>
      </c>
    </row>
    <row r="1830" spans="2:18" x14ac:dyDescent="0.35">
      <c r="B1830" s="9">
        <v>1856</v>
      </c>
      <c r="C1830" s="9"/>
      <c r="D1830" s="9"/>
      <c r="E1830" s="9"/>
      <c r="F1830" s="9"/>
      <c r="G1830" s="9"/>
      <c r="H1830" s="9"/>
      <c r="I1830" s="11" t="e">
        <f>VLOOKUP(H1830,위치!B:C,2,0)</f>
        <v>#N/A</v>
      </c>
      <c r="J1830" s="9"/>
      <c r="K1830" s="9"/>
      <c r="L1830" s="9" t="e">
        <f>VLOOKUP(H1830,위치!B:D,3,0)</f>
        <v>#N/A</v>
      </c>
      <c r="M1830" s="12"/>
      <c r="N1830" s="5"/>
      <c r="O1830" s="5"/>
      <c r="P1830" s="5"/>
      <c r="Q1830" s="14"/>
      <c r="R1830" s="15">
        <f t="shared" si="28"/>
        <v>0</v>
      </c>
    </row>
    <row r="1831" spans="2:18" x14ac:dyDescent="0.35">
      <c r="B1831" s="9">
        <v>1857</v>
      </c>
      <c r="C1831" s="9"/>
      <c r="D1831" s="9"/>
      <c r="E1831" s="9"/>
      <c r="F1831" s="9"/>
      <c r="G1831" s="9"/>
      <c r="H1831" s="9"/>
      <c r="I1831" s="11" t="e">
        <f>VLOOKUP(H1831,위치!B:C,2,0)</f>
        <v>#N/A</v>
      </c>
      <c r="J1831" s="9"/>
      <c r="K1831" s="9"/>
      <c r="L1831" s="9" t="e">
        <f>VLOOKUP(H1831,위치!B:D,3,0)</f>
        <v>#N/A</v>
      </c>
      <c r="M1831" s="12"/>
      <c r="N1831" s="5"/>
      <c r="O1831" s="5"/>
      <c r="P1831" s="5"/>
      <c r="Q1831" s="14"/>
      <c r="R1831" s="15">
        <f t="shared" si="28"/>
        <v>0</v>
      </c>
    </row>
    <row r="1832" spans="2:18" x14ac:dyDescent="0.35">
      <c r="B1832" s="9">
        <v>1858</v>
      </c>
      <c r="C1832" s="9"/>
      <c r="D1832" s="9"/>
      <c r="E1832" s="9"/>
      <c r="F1832" s="9"/>
      <c r="G1832" s="9"/>
      <c r="H1832" s="9"/>
      <c r="I1832" s="11" t="e">
        <f>VLOOKUP(H1832,위치!B:C,2,0)</f>
        <v>#N/A</v>
      </c>
      <c r="J1832" s="9"/>
      <c r="K1832" s="9"/>
      <c r="L1832" s="9" t="e">
        <f>VLOOKUP(H1832,위치!B:D,3,0)</f>
        <v>#N/A</v>
      </c>
      <c r="M1832" s="12"/>
      <c r="N1832" s="5"/>
      <c r="O1832" s="5"/>
      <c r="P1832" s="5"/>
      <c r="Q1832" s="14"/>
      <c r="R1832" s="15">
        <f t="shared" si="28"/>
        <v>0</v>
      </c>
    </row>
    <row r="1833" spans="2:18" x14ac:dyDescent="0.35">
      <c r="B1833" s="9">
        <v>1859</v>
      </c>
      <c r="C1833" s="9"/>
      <c r="D1833" s="9"/>
      <c r="E1833" s="9"/>
      <c r="F1833" s="9"/>
      <c r="G1833" s="9"/>
      <c r="H1833" s="9"/>
      <c r="I1833" s="11" t="e">
        <f>VLOOKUP(H1833,위치!B:C,2,0)</f>
        <v>#N/A</v>
      </c>
      <c r="J1833" s="9"/>
      <c r="K1833" s="9"/>
      <c r="L1833" s="9" t="e">
        <f>VLOOKUP(H1833,위치!B:D,3,0)</f>
        <v>#N/A</v>
      </c>
      <c r="M1833" s="12"/>
      <c r="N1833" s="5"/>
      <c r="O1833" s="5"/>
      <c r="P1833" s="5"/>
      <c r="Q1833" s="14"/>
      <c r="R1833" s="15">
        <f t="shared" si="28"/>
        <v>0</v>
      </c>
    </row>
    <row r="1834" spans="2:18" x14ac:dyDescent="0.35">
      <c r="B1834" s="9">
        <v>1860</v>
      </c>
      <c r="C1834" s="9"/>
      <c r="D1834" s="9"/>
      <c r="E1834" s="9"/>
      <c r="F1834" s="9"/>
      <c r="G1834" s="9"/>
      <c r="H1834" s="9"/>
      <c r="I1834" s="11" t="e">
        <f>VLOOKUP(H1834,위치!B:C,2,0)</f>
        <v>#N/A</v>
      </c>
      <c r="J1834" s="9"/>
      <c r="K1834" s="9"/>
      <c r="L1834" s="9" t="e">
        <f>VLOOKUP(H1834,위치!B:D,3,0)</f>
        <v>#N/A</v>
      </c>
      <c r="M1834" s="12"/>
      <c r="N1834" s="5"/>
      <c r="O1834" s="5"/>
      <c r="P1834" s="5"/>
      <c r="Q1834" s="14"/>
      <c r="R1834" s="15">
        <f t="shared" si="28"/>
        <v>0</v>
      </c>
    </row>
    <row r="1835" spans="2:18" x14ac:dyDescent="0.35">
      <c r="B1835" s="9">
        <v>1861</v>
      </c>
      <c r="C1835" s="9"/>
      <c r="D1835" s="9"/>
      <c r="E1835" s="9"/>
      <c r="F1835" s="9"/>
      <c r="G1835" s="9"/>
      <c r="H1835" s="9"/>
      <c r="I1835" s="11" t="e">
        <f>VLOOKUP(H1835,위치!B:C,2,0)</f>
        <v>#N/A</v>
      </c>
      <c r="J1835" s="9"/>
      <c r="K1835" s="9"/>
      <c r="L1835" s="9" t="e">
        <f>VLOOKUP(H1835,위치!B:D,3,0)</f>
        <v>#N/A</v>
      </c>
      <c r="M1835" s="12"/>
      <c r="N1835" s="5"/>
      <c r="O1835" s="5"/>
      <c r="P1835" s="5"/>
      <c r="Q1835" s="14"/>
      <c r="R1835" s="15">
        <f t="shared" si="28"/>
        <v>0</v>
      </c>
    </row>
    <row r="1836" spans="2:18" x14ac:dyDescent="0.35">
      <c r="B1836" s="9">
        <v>1862</v>
      </c>
      <c r="C1836" s="9"/>
      <c r="D1836" s="9"/>
      <c r="E1836" s="9"/>
      <c r="F1836" s="9"/>
      <c r="G1836" s="9"/>
      <c r="H1836" s="9"/>
      <c r="I1836" s="11" t="e">
        <f>VLOOKUP(H1836,위치!B:C,2,0)</f>
        <v>#N/A</v>
      </c>
      <c r="J1836" s="9"/>
      <c r="K1836" s="9"/>
      <c r="L1836" s="9" t="e">
        <f>VLOOKUP(H1836,위치!B:D,3,0)</f>
        <v>#N/A</v>
      </c>
      <c r="M1836" s="12"/>
      <c r="N1836" s="5"/>
      <c r="O1836" s="5"/>
      <c r="P1836" s="5"/>
      <c r="Q1836" s="14"/>
      <c r="R1836" s="15">
        <f t="shared" si="28"/>
        <v>0</v>
      </c>
    </row>
    <row r="1837" spans="2:18" x14ac:dyDescent="0.35">
      <c r="B1837" s="9">
        <v>1863</v>
      </c>
      <c r="C1837" s="9"/>
      <c r="D1837" s="9"/>
      <c r="E1837" s="9"/>
      <c r="F1837" s="9"/>
      <c r="G1837" s="9"/>
      <c r="H1837" s="9"/>
      <c r="I1837" s="11" t="e">
        <f>VLOOKUP(H1837,위치!B:C,2,0)</f>
        <v>#N/A</v>
      </c>
      <c r="J1837" s="9"/>
      <c r="K1837" s="9"/>
      <c r="L1837" s="9" t="e">
        <f>VLOOKUP(H1837,위치!B:D,3,0)</f>
        <v>#N/A</v>
      </c>
      <c r="M1837" s="12"/>
      <c r="N1837" s="5"/>
      <c r="O1837" s="5"/>
      <c r="P1837" s="5"/>
      <c r="Q1837" s="14"/>
      <c r="R1837" s="15">
        <f t="shared" si="28"/>
        <v>0</v>
      </c>
    </row>
    <row r="1838" spans="2:18" x14ac:dyDescent="0.35">
      <c r="B1838" s="9">
        <v>1864</v>
      </c>
      <c r="C1838" s="9"/>
      <c r="D1838" s="9"/>
      <c r="E1838" s="9"/>
      <c r="F1838" s="9"/>
      <c r="G1838" s="9"/>
      <c r="H1838" s="9"/>
      <c r="I1838" s="11" t="e">
        <f>VLOOKUP(H1838,위치!B:C,2,0)</f>
        <v>#N/A</v>
      </c>
      <c r="J1838" s="9"/>
      <c r="K1838" s="9"/>
      <c r="L1838" s="9" t="e">
        <f>VLOOKUP(H1838,위치!B:D,3,0)</f>
        <v>#N/A</v>
      </c>
      <c r="M1838" s="12"/>
      <c r="N1838" s="5"/>
      <c r="O1838" s="5"/>
      <c r="P1838" s="5"/>
      <c r="Q1838" s="14"/>
      <c r="R1838" s="15">
        <f t="shared" si="28"/>
        <v>0</v>
      </c>
    </row>
    <row r="1839" spans="2:18" x14ac:dyDescent="0.35">
      <c r="B1839" s="9">
        <v>1865</v>
      </c>
      <c r="C1839" s="9"/>
      <c r="D1839" s="9"/>
      <c r="E1839" s="9"/>
      <c r="F1839" s="9"/>
      <c r="G1839" s="9"/>
      <c r="H1839" s="9"/>
      <c r="I1839" s="11" t="e">
        <f>VLOOKUP(H1839,위치!B:C,2,0)</f>
        <v>#N/A</v>
      </c>
      <c r="J1839" s="9"/>
      <c r="K1839" s="9"/>
      <c r="L1839" s="9" t="e">
        <f>VLOOKUP(H1839,위치!B:D,3,0)</f>
        <v>#N/A</v>
      </c>
      <c r="M1839" s="12"/>
      <c r="N1839" s="5"/>
      <c r="O1839" s="5"/>
      <c r="P1839" s="5"/>
      <c r="Q1839" s="14"/>
      <c r="R1839" s="15">
        <f t="shared" si="28"/>
        <v>0</v>
      </c>
    </row>
    <row r="1840" spans="2:18" x14ac:dyDescent="0.35">
      <c r="B1840" s="9">
        <v>1866</v>
      </c>
      <c r="C1840" s="9"/>
      <c r="D1840" s="9"/>
      <c r="E1840" s="9"/>
      <c r="F1840" s="9"/>
      <c r="G1840" s="9"/>
      <c r="H1840" s="9"/>
      <c r="I1840" s="11" t="e">
        <f>VLOOKUP(H1840,위치!B:C,2,0)</f>
        <v>#N/A</v>
      </c>
      <c r="J1840" s="9"/>
      <c r="K1840" s="9"/>
      <c r="L1840" s="9" t="e">
        <f>VLOOKUP(H1840,위치!B:D,3,0)</f>
        <v>#N/A</v>
      </c>
      <c r="M1840" s="12"/>
      <c r="N1840" s="5"/>
      <c r="O1840" s="5"/>
      <c r="P1840" s="5"/>
      <c r="Q1840" s="14"/>
      <c r="R1840" s="15">
        <f t="shared" si="28"/>
        <v>0</v>
      </c>
    </row>
    <row r="1841" spans="2:18" x14ac:dyDescent="0.35">
      <c r="B1841" s="9">
        <v>1867</v>
      </c>
      <c r="C1841" s="9"/>
      <c r="D1841" s="9"/>
      <c r="E1841" s="9"/>
      <c r="F1841" s="9"/>
      <c r="G1841" s="9"/>
      <c r="H1841" s="9"/>
      <c r="I1841" s="11" t="e">
        <f>VLOOKUP(H1841,위치!B:C,2,0)</f>
        <v>#N/A</v>
      </c>
      <c r="J1841" s="9"/>
      <c r="K1841" s="9"/>
      <c r="L1841" s="9" t="e">
        <f>VLOOKUP(H1841,위치!B:D,3,0)</f>
        <v>#N/A</v>
      </c>
      <c r="M1841" s="12"/>
      <c r="N1841" s="5"/>
      <c r="O1841" s="5"/>
      <c r="P1841" s="5"/>
      <c r="Q1841" s="14"/>
      <c r="R1841" s="15">
        <f t="shared" si="28"/>
        <v>0</v>
      </c>
    </row>
    <row r="1842" spans="2:18" x14ac:dyDescent="0.35">
      <c r="B1842" s="9">
        <v>1868</v>
      </c>
      <c r="C1842" s="9"/>
      <c r="D1842" s="9"/>
      <c r="E1842" s="9"/>
      <c r="F1842" s="9"/>
      <c r="G1842" s="9"/>
      <c r="H1842" s="9"/>
      <c r="I1842" s="11" t="e">
        <f>VLOOKUP(H1842,위치!B:C,2,0)</f>
        <v>#N/A</v>
      </c>
      <c r="J1842" s="9"/>
      <c r="K1842" s="9"/>
      <c r="L1842" s="9" t="e">
        <f>VLOOKUP(H1842,위치!B:D,3,0)</f>
        <v>#N/A</v>
      </c>
      <c r="M1842" s="12"/>
      <c r="N1842" s="5"/>
      <c r="O1842" s="5"/>
      <c r="P1842" s="5"/>
      <c r="Q1842" s="14"/>
      <c r="R1842" s="15">
        <f t="shared" si="28"/>
        <v>0</v>
      </c>
    </row>
    <row r="1843" spans="2:18" x14ac:dyDescent="0.35">
      <c r="B1843" s="9">
        <v>1869</v>
      </c>
      <c r="C1843" s="9"/>
      <c r="D1843" s="9"/>
      <c r="E1843" s="9"/>
      <c r="F1843" s="9"/>
      <c r="G1843" s="9"/>
      <c r="H1843" s="9"/>
      <c r="I1843" s="11" t="e">
        <f>VLOOKUP(H1843,위치!B:C,2,0)</f>
        <v>#N/A</v>
      </c>
      <c r="J1843" s="9"/>
      <c r="K1843" s="9"/>
      <c r="L1843" s="9" t="e">
        <f>VLOOKUP(H1843,위치!B:D,3,0)</f>
        <v>#N/A</v>
      </c>
      <c r="M1843" s="12"/>
      <c r="N1843" s="5"/>
      <c r="O1843" s="5"/>
      <c r="P1843" s="5"/>
      <c r="Q1843" s="14"/>
      <c r="R1843" s="15">
        <f t="shared" si="28"/>
        <v>0</v>
      </c>
    </row>
    <row r="1844" spans="2:18" x14ac:dyDescent="0.35">
      <c r="B1844" s="9">
        <v>1870</v>
      </c>
      <c r="C1844" s="9"/>
      <c r="D1844" s="9"/>
      <c r="E1844" s="9"/>
      <c r="F1844" s="9"/>
      <c r="G1844" s="9"/>
      <c r="H1844" s="9"/>
      <c r="I1844" s="11" t="e">
        <f>VLOOKUP(H1844,위치!B:C,2,0)</f>
        <v>#N/A</v>
      </c>
      <c r="J1844" s="9"/>
      <c r="K1844" s="9"/>
      <c r="L1844" s="9" t="e">
        <f>VLOOKUP(H1844,위치!B:D,3,0)</f>
        <v>#N/A</v>
      </c>
      <c r="M1844" s="12"/>
      <c r="N1844" s="5"/>
      <c r="O1844" s="5"/>
      <c r="P1844" s="5"/>
      <c r="Q1844" s="14"/>
      <c r="R1844" s="15">
        <f t="shared" si="28"/>
        <v>0</v>
      </c>
    </row>
    <row r="1845" spans="2:18" x14ac:dyDescent="0.35">
      <c r="B1845" s="9">
        <v>1871</v>
      </c>
      <c r="C1845" s="9"/>
      <c r="D1845" s="9"/>
      <c r="E1845" s="9"/>
      <c r="F1845" s="9"/>
      <c r="G1845" s="9"/>
      <c r="H1845" s="9"/>
      <c r="I1845" s="11" t="e">
        <f>VLOOKUP(H1845,위치!B:C,2,0)</f>
        <v>#N/A</v>
      </c>
      <c r="J1845" s="9"/>
      <c r="K1845" s="9"/>
      <c r="L1845" s="9" t="e">
        <f>VLOOKUP(H1845,위치!B:D,3,0)</f>
        <v>#N/A</v>
      </c>
      <c r="M1845" s="12"/>
      <c r="N1845" s="5"/>
      <c r="O1845" s="5"/>
      <c r="P1845" s="5"/>
      <c r="Q1845" s="14"/>
      <c r="R1845" s="15">
        <f t="shared" si="28"/>
        <v>0</v>
      </c>
    </row>
    <row r="1846" spans="2:18" x14ac:dyDescent="0.35">
      <c r="B1846" s="9">
        <v>1872</v>
      </c>
      <c r="C1846" s="9"/>
      <c r="D1846" s="9"/>
      <c r="E1846" s="9"/>
      <c r="F1846" s="9"/>
      <c r="G1846" s="9"/>
      <c r="H1846" s="9"/>
      <c r="I1846" s="11" t="e">
        <f>VLOOKUP(H1846,위치!B:C,2,0)</f>
        <v>#N/A</v>
      </c>
      <c r="J1846" s="9"/>
      <c r="K1846" s="9"/>
      <c r="L1846" s="9" t="e">
        <f>VLOOKUP(H1846,위치!B:D,3,0)</f>
        <v>#N/A</v>
      </c>
      <c r="M1846" s="12"/>
      <c r="N1846" s="5"/>
      <c r="O1846" s="5"/>
      <c r="P1846" s="5"/>
      <c r="Q1846" s="14"/>
      <c r="R1846" s="15">
        <f t="shared" si="28"/>
        <v>0</v>
      </c>
    </row>
    <row r="1847" spans="2:18" x14ac:dyDescent="0.35">
      <c r="B1847" s="9">
        <v>1873</v>
      </c>
      <c r="C1847" s="9"/>
      <c r="D1847" s="9"/>
      <c r="E1847" s="9"/>
      <c r="F1847" s="9"/>
      <c r="G1847" s="9"/>
      <c r="H1847" s="9"/>
      <c r="I1847" s="11" t="e">
        <f>VLOOKUP(H1847,위치!B:C,2,0)</f>
        <v>#N/A</v>
      </c>
      <c r="J1847" s="9"/>
      <c r="K1847" s="9"/>
      <c r="L1847" s="9" t="e">
        <f>VLOOKUP(H1847,위치!B:D,3,0)</f>
        <v>#N/A</v>
      </c>
      <c r="M1847" s="12"/>
      <c r="N1847" s="5"/>
      <c r="O1847" s="5"/>
      <c r="P1847" s="5"/>
      <c r="Q1847" s="14"/>
      <c r="R1847" s="15">
        <f t="shared" si="28"/>
        <v>0</v>
      </c>
    </row>
    <row r="1848" spans="2:18" x14ac:dyDescent="0.35">
      <c r="B1848" s="9">
        <v>1874</v>
      </c>
      <c r="C1848" s="9"/>
      <c r="D1848" s="9"/>
      <c r="E1848" s="9"/>
      <c r="F1848" s="9"/>
      <c r="G1848" s="9"/>
      <c r="H1848" s="9"/>
      <c r="I1848" s="11" t="e">
        <f>VLOOKUP(H1848,위치!B:C,2,0)</f>
        <v>#N/A</v>
      </c>
      <c r="J1848" s="9"/>
      <c r="K1848" s="9"/>
      <c r="L1848" s="9" t="e">
        <f>VLOOKUP(H1848,위치!B:D,3,0)</f>
        <v>#N/A</v>
      </c>
      <c r="M1848" s="12"/>
      <c r="N1848" s="5"/>
      <c r="O1848" s="5"/>
      <c r="P1848" s="5"/>
      <c r="Q1848" s="14"/>
      <c r="R1848" s="15">
        <f t="shared" si="28"/>
        <v>0</v>
      </c>
    </row>
    <row r="1849" spans="2:18" x14ac:dyDescent="0.35">
      <c r="B1849" s="9">
        <v>1875</v>
      </c>
      <c r="C1849" s="9"/>
      <c r="D1849" s="9"/>
      <c r="E1849" s="9"/>
      <c r="F1849" s="9"/>
      <c r="G1849" s="9"/>
      <c r="H1849" s="9"/>
      <c r="I1849" s="11" t="e">
        <f>VLOOKUP(H1849,위치!B:C,2,0)</f>
        <v>#N/A</v>
      </c>
      <c r="J1849" s="9"/>
      <c r="K1849" s="9"/>
      <c r="L1849" s="9" t="e">
        <f>VLOOKUP(H1849,위치!B:D,3,0)</f>
        <v>#N/A</v>
      </c>
      <c r="M1849" s="12"/>
      <c r="N1849" s="5"/>
      <c r="O1849" s="5"/>
      <c r="P1849" s="5"/>
      <c r="Q1849" s="14"/>
      <c r="R1849" s="15">
        <f t="shared" si="28"/>
        <v>0</v>
      </c>
    </row>
    <row r="1850" spans="2:18" x14ac:dyDescent="0.35">
      <c r="B1850" s="9">
        <v>1876</v>
      </c>
      <c r="C1850" s="9"/>
      <c r="D1850" s="9"/>
      <c r="E1850" s="9"/>
      <c r="F1850" s="9"/>
      <c r="G1850" s="9"/>
      <c r="H1850" s="9"/>
      <c r="I1850" s="11" t="e">
        <f>VLOOKUP(H1850,위치!B:C,2,0)</f>
        <v>#N/A</v>
      </c>
      <c r="J1850" s="9"/>
      <c r="K1850" s="9"/>
      <c r="L1850" s="9" t="e">
        <f>VLOOKUP(H1850,위치!B:D,3,0)</f>
        <v>#N/A</v>
      </c>
      <c r="M1850" s="12"/>
      <c r="N1850" s="5"/>
      <c r="O1850" s="5"/>
      <c r="P1850" s="5"/>
      <c r="Q1850" s="14"/>
      <c r="R1850" s="15">
        <f t="shared" si="28"/>
        <v>0</v>
      </c>
    </row>
    <row r="1851" spans="2:18" x14ac:dyDescent="0.35">
      <c r="B1851" s="9">
        <v>1877</v>
      </c>
      <c r="C1851" s="9"/>
      <c r="D1851" s="9"/>
      <c r="E1851" s="9"/>
      <c r="F1851" s="9"/>
      <c r="G1851" s="9"/>
      <c r="H1851" s="9"/>
      <c r="I1851" s="11" t="e">
        <f>VLOOKUP(H1851,위치!B:C,2,0)</f>
        <v>#N/A</v>
      </c>
      <c r="J1851" s="9"/>
      <c r="K1851" s="9"/>
      <c r="L1851" s="9" t="e">
        <f>VLOOKUP(H1851,위치!B:D,3,0)</f>
        <v>#N/A</v>
      </c>
      <c r="M1851" s="12"/>
      <c r="N1851" s="5"/>
      <c r="O1851" s="5"/>
      <c r="P1851" s="5"/>
      <c r="Q1851" s="14"/>
      <c r="R1851" s="15">
        <f t="shared" si="28"/>
        <v>0</v>
      </c>
    </row>
    <row r="1852" spans="2:18" x14ac:dyDescent="0.35">
      <c r="B1852" s="9">
        <v>1878</v>
      </c>
      <c r="C1852" s="9"/>
      <c r="D1852" s="9"/>
      <c r="E1852" s="9"/>
      <c r="F1852" s="9"/>
      <c r="G1852" s="9"/>
      <c r="H1852" s="9"/>
      <c r="I1852" s="11" t="e">
        <f>VLOOKUP(H1852,위치!B:C,2,0)</f>
        <v>#N/A</v>
      </c>
      <c r="J1852" s="9"/>
      <c r="K1852" s="9"/>
      <c r="L1852" s="9" t="e">
        <f>VLOOKUP(H1852,위치!B:D,3,0)</f>
        <v>#N/A</v>
      </c>
      <c r="M1852" s="12"/>
      <c r="N1852" s="5"/>
      <c r="O1852" s="5"/>
      <c r="P1852" s="5"/>
      <c r="Q1852" s="14"/>
      <c r="R1852" s="15">
        <f t="shared" si="28"/>
        <v>0</v>
      </c>
    </row>
    <row r="1853" spans="2:18" x14ac:dyDescent="0.35">
      <c r="B1853" s="9">
        <v>1879</v>
      </c>
      <c r="C1853" s="9"/>
      <c r="D1853" s="9"/>
      <c r="E1853" s="9"/>
      <c r="F1853" s="9"/>
      <c r="G1853" s="9"/>
      <c r="H1853" s="9"/>
      <c r="I1853" s="11" t="e">
        <f>VLOOKUP(H1853,위치!B:C,2,0)</f>
        <v>#N/A</v>
      </c>
      <c r="J1853" s="9"/>
      <c r="K1853" s="9"/>
      <c r="L1853" s="9" t="e">
        <f>VLOOKUP(H1853,위치!B:D,3,0)</f>
        <v>#N/A</v>
      </c>
      <c r="M1853" s="12"/>
      <c r="N1853" s="5"/>
      <c r="O1853" s="5"/>
      <c r="P1853" s="5"/>
      <c r="Q1853" s="14"/>
      <c r="R1853" s="15">
        <f t="shared" si="28"/>
        <v>0</v>
      </c>
    </row>
    <row r="1854" spans="2:18" x14ac:dyDescent="0.35">
      <c r="B1854" s="9">
        <v>1880</v>
      </c>
      <c r="C1854" s="9"/>
      <c r="D1854" s="9"/>
      <c r="E1854" s="9"/>
      <c r="F1854" s="9"/>
      <c r="G1854" s="9"/>
      <c r="H1854" s="9"/>
      <c r="I1854" s="11" t="e">
        <f>VLOOKUP(H1854,위치!B:C,2,0)</f>
        <v>#N/A</v>
      </c>
      <c r="J1854" s="9"/>
      <c r="K1854" s="9"/>
      <c r="L1854" s="9" t="e">
        <f>VLOOKUP(H1854,위치!B:D,3,0)</f>
        <v>#N/A</v>
      </c>
      <c r="M1854" s="12"/>
      <c r="N1854" s="5"/>
      <c r="O1854" s="5"/>
      <c r="P1854" s="5"/>
      <c r="Q1854" s="14"/>
      <c r="R1854" s="15">
        <f t="shared" si="28"/>
        <v>0</v>
      </c>
    </row>
    <row r="1855" spans="2:18" x14ac:dyDescent="0.35">
      <c r="B1855" s="9">
        <v>1881</v>
      </c>
      <c r="C1855" s="9"/>
      <c r="D1855" s="9"/>
      <c r="E1855" s="9"/>
      <c r="F1855" s="9"/>
      <c r="G1855" s="9"/>
      <c r="H1855" s="9"/>
      <c r="I1855" s="11" t="e">
        <f>VLOOKUP(H1855,위치!B:C,2,0)</f>
        <v>#N/A</v>
      </c>
      <c r="J1855" s="9"/>
      <c r="K1855" s="9"/>
      <c r="L1855" s="9" t="e">
        <f>VLOOKUP(H1855,위치!B:D,3,0)</f>
        <v>#N/A</v>
      </c>
      <c r="M1855" s="12"/>
      <c r="N1855" s="5"/>
      <c r="O1855" s="5"/>
      <c r="P1855" s="5"/>
      <c r="Q1855" s="14"/>
      <c r="R1855" s="15">
        <f t="shared" si="28"/>
        <v>0</v>
      </c>
    </row>
    <row r="1856" spans="2:18" x14ac:dyDescent="0.35">
      <c r="B1856" s="9">
        <v>1882</v>
      </c>
      <c r="C1856" s="9"/>
      <c r="D1856" s="9"/>
      <c r="E1856" s="9"/>
      <c r="F1856" s="9"/>
      <c r="G1856" s="9"/>
      <c r="H1856" s="9"/>
      <c r="I1856" s="11" t="e">
        <f>VLOOKUP(H1856,위치!B:C,2,0)</f>
        <v>#N/A</v>
      </c>
      <c r="J1856" s="9"/>
      <c r="K1856" s="9"/>
      <c r="L1856" s="9" t="e">
        <f>VLOOKUP(H1856,위치!B:D,3,0)</f>
        <v>#N/A</v>
      </c>
      <c r="M1856" s="12"/>
      <c r="N1856" s="5"/>
      <c r="O1856" s="5"/>
      <c r="P1856" s="5"/>
      <c r="Q1856" s="14"/>
      <c r="R1856" s="15">
        <f t="shared" si="28"/>
        <v>0</v>
      </c>
    </row>
    <row r="1857" spans="2:18" x14ac:dyDescent="0.35">
      <c r="B1857" s="9">
        <v>1883</v>
      </c>
      <c r="C1857" s="9"/>
      <c r="D1857" s="9"/>
      <c r="E1857" s="9"/>
      <c r="F1857" s="9"/>
      <c r="G1857" s="9"/>
      <c r="H1857" s="9"/>
      <c r="I1857" s="11" t="e">
        <f>VLOOKUP(H1857,위치!B:C,2,0)</f>
        <v>#N/A</v>
      </c>
      <c r="J1857" s="9"/>
      <c r="K1857" s="9"/>
      <c r="L1857" s="9" t="e">
        <f>VLOOKUP(H1857,위치!B:D,3,0)</f>
        <v>#N/A</v>
      </c>
      <c r="M1857" s="12"/>
      <c r="N1857" s="5"/>
      <c r="O1857" s="5"/>
      <c r="P1857" s="5"/>
      <c r="Q1857" s="14"/>
      <c r="R1857" s="15">
        <f t="shared" si="28"/>
        <v>0</v>
      </c>
    </row>
    <row r="1858" spans="2:18" x14ac:dyDescent="0.35">
      <c r="B1858" s="9">
        <v>1884</v>
      </c>
      <c r="C1858" s="9"/>
      <c r="D1858" s="9"/>
      <c r="E1858" s="9"/>
      <c r="F1858" s="9"/>
      <c r="G1858" s="9"/>
      <c r="H1858" s="9"/>
      <c r="I1858" s="11" t="e">
        <f>VLOOKUP(H1858,위치!B:C,2,0)</f>
        <v>#N/A</v>
      </c>
      <c r="J1858" s="9"/>
      <c r="K1858" s="9"/>
      <c r="L1858" s="9" t="e">
        <f>VLOOKUP(H1858,위치!B:D,3,0)</f>
        <v>#N/A</v>
      </c>
      <c r="M1858" s="12"/>
      <c r="N1858" s="5"/>
      <c r="O1858" s="5"/>
      <c r="P1858" s="5"/>
      <c r="Q1858" s="14"/>
      <c r="R1858" s="15">
        <f t="shared" si="28"/>
        <v>0</v>
      </c>
    </row>
    <row r="1859" spans="2:18" x14ac:dyDescent="0.35">
      <c r="B1859" s="9">
        <v>1885</v>
      </c>
      <c r="C1859" s="9"/>
      <c r="D1859" s="9"/>
      <c r="E1859" s="9"/>
      <c r="F1859" s="9"/>
      <c r="G1859" s="9"/>
      <c r="H1859" s="9"/>
      <c r="I1859" s="11" t="e">
        <f>VLOOKUP(H1859,위치!B:C,2,0)</f>
        <v>#N/A</v>
      </c>
      <c r="J1859" s="9"/>
      <c r="K1859" s="9"/>
      <c r="L1859" s="9" t="e">
        <f>VLOOKUP(H1859,위치!B:D,3,0)</f>
        <v>#N/A</v>
      </c>
      <c r="M1859" s="12"/>
      <c r="N1859" s="5"/>
      <c r="O1859" s="5"/>
      <c r="P1859" s="5"/>
      <c r="Q1859" s="14"/>
      <c r="R1859" s="15">
        <f t="shared" si="28"/>
        <v>0</v>
      </c>
    </row>
    <row r="1860" spans="2:18" x14ac:dyDescent="0.35">
      <c r="B1860" s="9">
        <v>1886</v>
      </c>
      <c r="C1860" s="9"/>
      <c r="D1860" s="9"/>
      <c r="E1860" s="9"/>
      <c r="F1860" s="9"/>
      <c r="G1860" s="9"/>
      <c r="H1860" s="9"/>
      <c r="I1860" s="11" t="e">
        <f>VLOOKUP(H1860,위치!B:C,2,0)</f>
        <v>#N/A</v>
      </c>
      <c r="J1860" s="9"/>
      <c r="K1860" s="9"/>
      <c r="L1860" s="9" t="e">
        <f>VLOOKUP(H1860,위치!B:D,3,0)</f>
        <v>#N/A</v>
      </c>
      <c r="M1860" s="12"/>
      <c r="N1860" s="5"/>
      <c r="O1860" s="5"/>
      <c r="P1860" s="5"/>
      <c r="Q1860" s="14"/>
      <c r="R1860" s="15">
        <f t="shared" si="28"/>
        <v>0</v>
      </c>
    </row>
    <row r="1861" spans="2:18" x14ac:dyDescent="0.35">
      <c r="B1861" s="9">
        <v>1887</v>
      </c>
      <c r="C1861" s="9"/>
      <c r="D1861" s="9"/>
      <c r="E1861" s="9"/>
      <c r="F1861" s="9"/>
      <c r="G1861" s="9"/>
      <c r="H1861" s="9"/>
      <c r="I1861" s="11" t="e">
        <f>VLOOKUP(H1861,위치!B:C,2,0)</f>
        <v>#N/A</v>
      </c>
      <c r="J1861" s="9"/>
      <c r="K1861" s="9"/>
      <c r="L1861" s="9" t="e">
        <f>VLOOKUP(H1861,위치!B:D,3,0)</f>
        <v>#N/A</v>
      </c>
      <c r="M1861" s="12"/>
      <c r="N1861" s="5"/>
      <c r="O1861" s="5"/>
      <c r="P1861" s="5"/>
      <c r="Q1861" s="14"/>
      <c r="R1861" s="15">
        <f t="shared" si="28"/>
        <v>0</v>
      </c>
    </row>
    <row r="1862" spans="2:18" x14ac:dyDescent="0.35">
      <c r="B1862" s="9">
        <v>1888</v>
      </c>
      <c r="C1862" s="9"/>
      <c r="D1862" s="9"/>
      <c r="E1862" s="9"/>
      <c r="F1862" s="9"/>
      <c r="G1862" s="9"/>
      <c r="H1862" s="9"/>
      <c r="I1862" s="11" t="e">
        <f>VLOOKUP(H1862,위치!B:C,2,0)</f>
        <v>#N/A</v>
      </c>
      <c r="J1862" s="9"/>
      <c r="K1862" s="9"/>
      <c r="L1862" s="9" t="e">
        <f>VLOOKUP(H1862,위치!B:D,3,0)</f>
        <v>#N/A</v>
      </c>
      <c r="M1862" s="12"/>
      <c r="N1862" s="5"/>
      <c r="O1862" s="5"/>
      <c r="P1862" s="5"/>
      <c r="Q1862" s="14"/>
      <c r="R1862" s="15">
        <f t="shared" si="28"/>
        <v>0</v>
      </c>
    </row>
    <row r="1863" spans="2:18" x14ac:dyDescent="0.35">
      <c r="B1863" s="9">
        <v>1889</v>
      </c>
      <c r="C1863" s="9"/>
      <c r="D1863" s="9"/>
      <c r="E1863" s="9"/>
      <c r="F1863" s="9"/>
      <c r="G1863" s="9"/>
      <c r="H1863" s="9"/>
      <c r="I1863" s="11" t="e">
        <f>VLOOKUP(H1863,위치!B:C,2,0)</f>
        <v>#N/A</v>
      </c>
      <c r="J1863" s="9"/>
      <c r="K1863" s="9"/>
      <c r="L1863" s="9" t="e">
        <f>VLOOKUP(H1863,위치!B:D,3,0)</f>
        <v>#N/A</v>
      </c>
      <c r="M1863" s="12"/>
      <c r="N1863" s="5"/>
      <c r="O1863" s="5"/>
      <c r="P1863" s="5"/>
      <c r="Q1863" s="14"/>
      <c r="R1863" s="15">
        <f t="shared" ref="R1863:R1926" si="29">J1863-P1863</f>
        <v>0</v>
      </c>
    </row>
    <row r="1864" spans="2:18" x14ac:dyDescent="0.35">
      <c r="B1864" s="9">
        <v>1890</v>
      </c>
      <c r="C1864" s="9"/>
      <c r="D1864" s="9"/>
      <c r="E1864" s="9"/>
      <c r="F1864" s="9"/>
      <c r="G1864" s="9"/>
      <c r="H1864" s="9"/>
      <c r="I1864" s="11" t="e">
        <f>VLOOKUP(H1864,위치!B:C,2,0)</f>
        <v>#N/A</v>
      </c>
      <c r="J1864" s="9"/>
      <c r="K1864" s="9"/>
      <c r="L1864" s="9" t="e">
        <f>VLOOKUP(H1864,위치!B:D,3,0)</f>
        <v>#N/A</v>
      </c>
      <c r="M1864" s="12"/>
      <c r="N1864" s="5"/>
      <c r="O1864" s="5"/>
      <c r="P1864" s="5"/>
      <c r="Q1864" s="14"/>
      <c r="R1864" s="15">
        <f t="shared" si="29"/>
        <v>0</v>
      </c>
    </row>
    <row r="1865" spans="2:18" x14ac:dyDescent="0.35">
      <c r="B1865" s="9">
        <v>1891</v>
      </c>
      <c r="C1865" s="9"/>
      <c r="D1865" s="9"/>
      <c r="E1865" s="9"/>
      <c r="F1865" s="9"/>
      <c r="G1865" s="9"/>
      <c r="H1865" s="9"/>
      <c r="I1865" s="11" t="e">
        <f>VLOOKUP(H1865,위치!B:C,2,0)</f>
        <v>#N/A</v>
      </c>
      <c r="J1865" s="9"/>
      <c r="K1865" s="9"/>
      <c r="L1865" s="9" t="e">
        <f>VLOOKUP(H1865,위치!B:D,3,0)</f>
        <v>#N/A</v>
      </c>
      <c r="M1865" s="12"/>
      <c r="N1865" s="5"/>
      <c r="O1865" s="5"/>
      <c r="P1865" s="5"/>
      <c r="Q1865" s="14"/>
      <c r="R1865" s="15">
        <f t="shared" si="29"/>
        <v>0</v>
      </c>
    </row>
    <row r="1866" spans="2:18" x14ac:dyDescent="0.35">
      <c r="B1866" s="9">
        <v>1892</v>
      </c>
      <c r="C1866" s="9"/>
      <c r="D1866" s="9"/>
      <c r="E1866" s="9"/>
      <c r="F1866" s="9"/>
      <c r="G1866" s="9"/>
      <c r="H1866" s="9"/>
      <c r="I1866" s="11" t="e">
        <f>VLOOKUP(H1866,위치!B:C,2,0)</f>
        <v>#N/A</v>
      </c>
      <c r="J1866" s="9"/>
      <c r="K1866" s="9"/>
      <c r="L1866" s="9" t="e">
        <f>VLOOKUP(H1866,위치!B:D,3,0)</f>
        <v>#N/A</v>
      </c>
      <c r="M1866" s="12"/>
      <c r="N1866" s="5"/>
      <c r="O1866" s="5"/>
      <c r="P1866" s="5"/>
      <c r="Q1866" s="14"/>
      <c r="R1866" s="15">
        <f t="shared" si="29"/>
        <v>0</v>
      </c>
    </row>
    <row r="1867" spans="2:18" x14ac:dyDescent="0.35">
      <c r="B1867" s="9">
        <v>1893</v>
      </c>
      <c r="C1867" s="9"/>
      <c r="D1867" s="9"/>
      <c r="E1867" s="9"/>
      <c r="F1867" s="9"/>
      <c r="G1867" s="9"/>
      <c r="H1867" s="9"/>
      <c r="I1867" s="11" t="e">
        <f>VLOOKUP(H1867,위치!B:C,2,0)</f>
        <v>#N/A</v>
      </c>
      <c r="J1867" s="9"/>
      <c r="K1867" s="9"/>
      <c r="L1867" s="9" t="e">
        <f>VLOOKUP(H1867,위치!B:D,3,0)</f>
        <v>#N/A</v>
      </c>
      <c r="M1867" s="12"/>
      <c r="N1867" s="5"/>
      <c r="O1867" s="5"/>
      <c r="P1867" s="5"/>
      <c r="Q1867" s="14"/>
      <c r="R1867" s="15">
        <f t="shared" si="29"/>
        <v>0</v>
      </c>
    </row>
    <row r="1868" spans="2:18" x14ac:dyDescent="0.35">
      <c r="B1868" s="9">
        <v>1894</v>
      </c>
      <c r="C1868" s="9"/>
      <c r="D1868" s="9"/>
      <c r="E1868" s="9"/>
      <c r="F1868" s="9"/>
      <c r="G1868" s="9"/>
      <c r="H1868" s="9"/>
      <c r="I1868" s="11" t="e">
        <f>VLOOKUP(H1868,위치!B:C,2,0)</f>
        <v>#N/A</v>
      </c>
      <c r="J1868" s="9"/>
      <c r="K1868" s="9"/>
      <c r="L1868" s="9" t="e">
        <f>VLOOKUP(H1868,위치!B:D,3,0)</f>
        <v>#N/A</v>
      </c>
      <c r="M1868" s="12"/>
      <c r="N1868" s="5"/>
      <c r="O1868" s="5"/>
      <c r="P1868" s="5"/>
      <c r="Q1868" s="14"/>
      <c r="R1868" s="15">
        <f t="shared" si="29"/>
        <v>0</v>
      </c>
    </row>
    <row r="1869" spans="2:18" x14ac:dyDescent="0.35">
      <c r="B1869" s="9">
        <v>1895</v>
      </c>
      <c r="C1869" s="9"/>
      <c r="D1869" s="9"/>
      <c r="E1869" s="9"/>
      <c r="F1869" s="9"/>
      <c r="G1869" s="9"/>
      <c r="H1869" s="9"/>
      <c r="I1869" s="11" t="e">
        <f>VLOOKUP(H1869,위치!B:C,2,0)</f>
        <v>#N/A</v>
      </c>
      <c r="J1869" s="9"/>
      <c r="K1869" s="9"/>
      <c r="L1869" s="9" t="e">
        <f>VLOOKUP(H1869,위치!B:D,3,0)</f>
        <v>#N/A</v>
      </c>
      <c r="M1869" s="12"/>
      <c r="N1869" s="5"/>
      <c r="O1869" s="5"/>
      <c r="P1869" s="5"/>
      <c r="Q1869" s="14"/>
      <c r="R1869" s="15">
        <f t="shared" si="29"/>
        <v>0</v>
      </c>
    </row>
    <row r="1870" spans="2:18" x14ac:dyDescent="0.35">
      <c r="B1870" s="9">
        <v>1896</v>
      </c>
      <c r="C1870" s="9"/>
      <c r="D1870" s="9"/>
      <c r="E1870" s="9"/>
      <c r="F1870" s="9"/>
      <c r="G1870" s="9"/>
      <c r="H1870" s="9"/>
      <c r="I1870" s="11" t="e">
        <f>VLOOKUP(H1870,위치!B:C,2,0)</f>
        <v>#N/A</v>
      </c>
      <c r="J1870" s="9"/>
      <c r="K1870" s="9"/>
      <c r="L1870" s="9" t="e">
        <f>VLOOKUP(H1870,위치!B:D,3,0)</f>
        <v>#N/A</v>
      </c>
      <c r="M1870" s="12"/>
      <c r="N1870" s="5"/>
      <c r="O1870" s="5"/>
      <c r="P1870" s="5"/>
      <c r="Q1870" s="14"/>
      <c r="R1870" s="15">
        <f t="shared" si="29"/>
        <v>0</v>
      </c>
    </row>
    <row r="1871" spans="2:18" x14ac:dyDescent="0.35">
      <c r="B1871" s="9">
        <v>1897</v>
      </c>
      <c r="C1871" s="9"/>
      <c r="D1871" s="9"/>
      <c r="E1871" s="9"/>
      <c r="F1871" s="9"/>
      <c r="G1871" s="9"/>
      <c r="H1871" s="9"/>
      <c r="I1871" s="11" t="e">
        <f>VLOOKUP(H1871,위치!B:C,2,0)</f>
        <v>#N/A</v>
      </c>
      <c r="J1871" s="9"/>
      <c r="K1871" s="9"/>
      <c r="L1871" s="9" t="e">
        <f>VLOOKUP(H1871,위치!B:D,3,0)</f>
        <v>#N/A</v>
      </c>
      <c r="M1871" s="12"/>
      <c r="N1871" s="5"/>
      <c r="O1871" s="5"/>
      <c r="P1871" s="5"/>
      <c r="Q1871" s="14"/>
      <c r="R1871" s="15">
        <f t="shared" si="29"/>
        <v>0</v>
      </c>
    </row>
    <row r="1872" spans="2:18" x14ac:dyDescent="0.35">
      <c r="B1872" s="9">
        <v>1898</v>
      </c>
      <c r="C1872" s="9"/>
      <c r="D1872" s="9"/>
      <c r="E1872" s="9"/>
      <c r="F1872" s="9"/>
      <c r="G1872" s="9"/>
      <c r="H1872" s="9"/>
      <c r="I1872" s="11" t="e">
        <f>VLOOKUP(H1872,위치!B:C,2,0)</f>
        <v>#N/A</v>
      </c>
      <c r="J1872" s="9"/>
      <c r="K1872" s="9"/>
      <c r="L1872" s="9" t="e">
        <f>VLOOKUP(H1872,위치!B:D,3,0)</f>
        <v>#N/A</v>
      </c>
      <c r="M1872" s="12"/>
      <c r="N1872" s="5"/>
      <c r="O1872" s="5"/>
      <c r="P1872" s="5"/>
      <c r="Q1872" s="14"/>
      <c r="R1872" s="15">
        <f t="shared" si="29"/>
        <v>0</v>
      </c>
    </row>
    <row r="1873" spans="2:18" x14ac:dyDescent="0.35">
      <c r="B1873" s="9">
        <v>1899</v>
      </c>
      <c r="C1873" s="9"/>
      <c r="D1873" s="9"/>
      <c r="E1873" s="9"/>
      <c r="F1873" s="9"/>
      <c r="G1873" s="9"/>
      <c r="H1873" s="9"/>
      <c r="I1873" s="11" t="e">
        <f>VLOOKUP(H1873,위치!B:C,2,0)</f>
        <v>#N/A</v>
      </c>
      <c r="J1873" s="9"/>
      <c r="K1873" s="9"/>
      <c r="L1873" s="9" t="e">
        <f>VLOOKUP(H1873,위치!B:D,3,0)</f>
        <v>#N/A</v>
      </c>
      <c r="M1873" s="12"/>
      <c r="N1873" s="5"/>
      <c r="O1873" s="5"/>
      <c r="P1873" s="5"/>
      <c r="Q1873" s="14"/>
      <c r="R1873" s="15">
        <f t="shared" si="29"/>
        <v>0</v>
      </c>
    </row>
    <row r="1874" spans="2:18" x14ac:dyDescent="0.35">
      <c r="B1874" s="9">
        <v>1900</v>
      </c>
      <c r="C1874" s="9"/>
      <c r="D1874" s="9"/>
      <c r="E1874" s="9"/>
      <c r="F1874" s="9"/>
      <c r="G1874" s="9"/>
      <c r="H1874" s="9"/>
      <c r="I1874" s="11" t="e">
        <f>VLOOKUP(H1874,위치!B:C,2,0)</f>
        <v>#N/A</v>
      </c>
      <c r="J1874" s="9"/>
      <c r="K1874" s="9"/>
      <c r="L1874" s="9" t="e">
        <f>VLOOKUP(H1874,위치!B:D,3,0)</f>
        <v>#N/A</v>
      </c>
      <c r="M1874" s="12"/>
      <c r="N1874" s="5"/>
      <c r="O1874" s="5"/>
      <c r="P1874" s="5"/>
      <c r="Q1874" s="14"/>
      <c r="R1874" s="15">
        <f t="shared" si="29"/>
        <v>0</v>
      </c>
    </row>
    <row r="1875" spans="2:18" x14ac:dyDescent="0.35">
      <c r="B1875" s="9">
        <v>1901</v>
      </c>
      <c r="C1875" s="9"/>
      <c r="D1875" s="9"/>
      <c r="E1875" s="9"/>
      <c r="F1875" s="9"/>
      <c r="G1875" s="9"/>
      <c r="H1875" s="9"/>
      <c r="I1875" s="11" t="e">
        <f>VLOOKUP(H1875,위치!B:C,2,0)</f>
        <v>#N/A</v>
      </c>
      <c r="J1875" s="9"/>
      <c r="K1875" s="9"/>
      <c r="L1875" s="9" t="e">
        <f>VLOOKUP(H1875,위치!B:D,3,0)</f>
        <v>#N/A</v>
      </c>
      <c r="M1875" s="12"/>
      <c r="N1875" s="5"/>
      <c r="O1875" s="5"/>
      <c r="P1875" s="5"/>
      <c r="Q1875" s="14"/>
      <c r="R1875" s="15">
        <f t="shared" si="29"/>
        <v>0</v>
      </c>
    </row>
    <row r="1876" spans="2:18" x14ac:dyDescent="0.35">
      <c r="B1876" s="9">
        <v>1902</v>
      </c>
      <c r="C1876" s="9"/>
      <c r="D1876" s="9"/>
      <c r="E1876" s="9"/>
      <c r="F1876" s="9"/>
      <c r="G1876" s="9"/>
      <c r="H1876" s="9"/>
      <c r="I1876" s="11" t="e">
        <f>VLOOKUP(H1876,위치!B:C,2,0)</f>
        <v>#N/A</v>
      </c>
      <c r="J1876" s="9"/>
      <c r="K1876" s="9"/>
      <c r="L1876" s="9" t="e">
        <f>VLOOKUP(H1876,위치!B:D,3,0)</f>
        <v>#N/A</v>
      </c>
      <c r="M1876" s="12"/>
      <c r="N1876" s="5"/>
      <c r="O1876" s="5"/>
      <c r="P1876" s="5"/>
      <c r="Q1876" s="14"/>
      <c r="R1876" s="15">
        <f t="shared" si="29"/>
        <v>0</v>
      </c>
    </row>
    <row r="1877" spans="2:18" x14ac:dyDescent="0.35">
      <c r="B1877" s="9">
        <v>1903</v>
      </c>
      <c r="C1877" s="9"/>
      <c r="D1877" s="9"/>
      <c r="E1877" s="9"/>
      <c r="F1877" s="9"/>
      <c r="G1877" s="9"/>
      <c r="H1877" s="9"/>
      <c r="I1877" s="11" t="e">
        <f>VLOOKUP(H1877,위치!B:C,2,0)</f>
        <v>#N/A</v>
      </c>
      <c r="J1877" s="9"/>
      <c r="K1877" s="9"/>
      <c r="L1877" s="9" t="e">
        <f>VLOOKUP(H1877,위치!B:D,3,0)</f>
        <v>#N/A</v>
      </c>
      <c r="M1877" s="12"/>
      <c r="N1877" s="5"/>
      <c r="O1877" s="5"/>
      <c r="P1877" s="5"/>
      <c r="Q1877" s="14"/>
      <c r="R1877" s="15">
        <f t="shared" si="29"/>
        <v>0</v>
      </c>
    </row>
    <row r="1878" spans="2:18" x14ac:dyDescent="0.35">
      <c r="B1878" s="9">
        <v>1904</v>
      </c>
      <c r="C1878" s="9"/>
      <c r="D1878" s="9"/>
      <c r="E1878" s="9"/>
      <c r="F1878" s="9"/>
      <c r="G1878" s="9"/>
      <c r="H1878" s="9"/>
      <c r="I1878" s="11" t="e">
        <f>VLOOKUP(H1878,위치!B:C,2,0)</f>
        <v>#N/A</v>
      </c>
      <c r="J1878" s="9"/>
      <c r="K1878" s="9"/>
      <c r="L1878" s="9" t="e">
        <f>VLOOKUP(H1878,위치!B:D,3,0)</f>
        <v>#N/A</v>
      </c>
      <c r="M1878" s="12"/>
      <c r="N1878" s="5"/>
      <c r="O1878" s="5"/>
      <c r="P1878" s="5"/>
      <c r="Q1878" s="14"/>
      <c r="R1878" s="15">
        <f t="shared" si="29"/>
        <v>0</v>
      </c>
    </row>
    <row r="1879" spans="2:18" x14ac:dyDescent="0.35">
      <c r="B1879" s="9">
        <v>1905</v>
      </c>
      <c r="C1879" s="9"/>
      <c r="D1879" s="9"/>
      <c r="E1879" s="9"/>
      <c r="F1879" s="9"/>
      <c r="G1879" s="9"/>
      <c r="H1879" s="9"/>
      <c r="I1879" s="11" t="e">
        <f>VLOOKUP(H1879,위치!B:C,2,0)</f>
        <v>#N/A</v>
      </c>
      <c r="J1879" s="9"/>
      <c r="K1879" s="9"/>
      <c r="L1879" s="9" t="e">
        <f>VLOOKUP(H1879,위치!B:D,3,0)</f>
        <v>#N/A</v>
      </c>
      <c r="M1879" s="12"/>
      <c r="N1879" s="5"/>
      <c r="O1879" s="5"/>
      <c r="P1879" s="5"/>
      <c r="Q1879" s="14"/>
      <c r="R1879" s="15">
        <f t="shared" si="29"/>
        <v>0</v>
      </c>
    </row>
    <row r="1880" spans="2:18" x14ac:dyDescent="0.35">
      <c r="B1880" s="9">
        <v>1906</v>
      </c>
      <c r="C1880" s="9"/>
      <c r="D1880" s="9"/>
      <c r="E1880" s="9"/>
      <c r="F1880" s="9"/>
      <c r="G1880" s="9"/>
      <c r="H1880" s="9"/>
      <c r="I1880" s="11" t="e">
        <f>VLOOKUP(H1880,위치!B:C,2,0)</f>
        <v>#N/A</v>
      </c>
      <c r="J1880" s="9"/>
      <c r="K1880" s="9"/>
      <c r="L1880" s="9" t="e">
        <f>VLOOKUP(H1880,위치!B:D,3,0)</f>
        <v>#N/A</v>
      </c>
      <c r="M1880" s="12"/>
      <c r="N1880" s="5"/>
      <c r="O1880" s="5"/>
      <c r="P1880" s="5"/>
      <c r="Q1880" s="14"/>
      <c r="R1880" s="15">
        <f t="shared" si="29"/>
        <v>0</v>
      </c>
    </row>
    <row r="1881" spans="2:18" x14ac:dyDescent="0.35">
      <c r="B1881" s="9">
        <v>1907</v>
      </c>
      <c r="C1881" s="9"/>
      <c r="D1881" s="9"/>
      <c r="E1881" s="9"/>
      <c r="F1881" s="9"/>
      <c r="G1881" s="9"/>
      <c r="H1881" s="9"/>
      <c r="I1881" s="11" t="e">
        <f>VLOOKUP(H1881,위치!B:C,2,0)</f>
        <v>#N/A</v>
      </c>
      <c r="J1881" s="9"/>
      <c r="K1881" s="9"/>
      <c r="L1881" s="9" t="e">
        <f>VLOOKUP(H1881,위치!B:D,3,0)</f>
        <v>#N/A</v>
      </c>
      <c r="M1881" s="12"/>
      <c r="N1881" s="5"/>
      <c r="O1881" s="5"/>
      <c r="P1881" s="5"/>
      <c r="Q1881" s="14"/>
      <c r="R1881" s="15">
        <f t="shared" si="29"/>
        <v>0</v>
      </c>
    </row>
    <row r="1882" spans="2:18" x14ac:dyDescent="0.35">
      <c r="B1882" s="9">
        <v>1908</v>
      </c>
      <c r="C1882" s="9"/>
      <c r="D1882" s="9"/>
      <c r="E1882" s="9"/>
      <c r="F1882" s="9"/>
      <c r="G1882" s="9"/>
      <c r="H1882" s="9"/>
      <c r="I1882" s="11" t="e">
        <f>VLOOKUP(H1882,위치!B:C,2,0)</f>
        <v>#N/A</v>
      </c>
      <c r="J1882" s="9"/>
      <c r="K1882" s="9"/>
      <c r="L1882" s="9" t="e">
        <f>VLOOKUP(H1882,위치!B:D,3,0)</f>
        <v>#N/A</v>
      </c>
      <c r="M1882" s="12"/>
      <c r="N1882" s="5"/>
      <c r="O1882" s="5"/>
      <c r="P1882" s="5"/>
      <c r="Q1882" s="14"/>
      <c r="R1882" s="15">
        <f t="shared" si="29"/>
        <v>0</v>
      </c>
    </row>
    <row r="1883" spans="2:18" x14ac:dyDescent="0.35">
      <c r="B1883" s="9">
        <v>1909</v>
      </c>
      <c r="C1883" s="9"/>
      <c r="D1883" s="9"/>
      <c r="E1883" s="9"/>
      <c r="F1883" s="9"/>
      <c r="G1883" s="9"/>
      <c r="H1883" s="9"/>
      <c r="I1883" s="11" t="e">
        <f>VLOOKUP(H1883,위치!B:C,2,0)</f>
        <v>#N/A</v>
      </c>
      <c r="J1883" s="9"/>
      <c r="K1883" s="9"/>
      <c r="L1883" s="9" t="e">
        <f>VLOOKUP(H1883,위치!B:D,3,0)</f>
        <v>#N/A</v>
      </c>
      <c r="M1883" s="12"/>
      <c r="N1883" s="5"/>
      <c r="O1883" s="5"/>
      <c r="P1883" s="5"/>
      <c r="Q1883" s="14"/>
      <c r="R1883" s="15">
        <f t="shared" si="29"/>
        <v>0</v>
      </c>
    </row>
    <row r="1884" spans="2:18" x14ac:dyDescent="0.35">
      <c r="B1884" s="9">
        <v>1910</v>
      </c>
      <c r="C1884" s="9"/>
      <c r="D1884" s="9"/>
      <c r="E1884" s="9"/>
      <c r="F1884" s="9"/>
      <c r="G1884" s="9"/>
      <c r="H1884" s="9"/>
      <c r="I1884" s="11" t="e">
        <f>VLOOKUP(H1884,위치!B:C,2,0)</f>
        <v>#N/A</v>
      </c>
      <c r="J1884" s="9"/>
      <c r="K1884" s="9"/>
      <c r="L1884" s="9" t="e">
        <f>VLOOKUP(H1884,위치!B:D,3,0)</f>
        <v>#N/A</v>
      </c>
      <c r="M1884" s="12"/>
      <c r="N1884" s="5"/>
      <c r="O1884" s="5"/>
      <c r="P1884" s="5"/>
      <c r="Q1884" s="14"/>
      <c r="R1884" s="15">
        <f t="shared" si="29"/>
        <v>0</v>
      </c>
    </row>
    <row r="1885" spans="2:18" x14ac:dyDescent="0.35">
      <c r="B1885" s="9">
        <v>1911</v>
      </c>
      <c r="C1885" s="9"/>
      <c r="D1885" s="9"/>
      <c r="E1885" s="9"/>
      <c r="F1885" s="9"/>
      <c r="G1885" s="9"/>
      <c r="H1885" s="9"/>
      <c r="I1885" s="11" t="e">
        <f>VLOOKUP(H1885,위치!B:C,2,0)</f>
        <v>#N/A</v>
      </c>
      <c r="J1885" s="9"/>
      <c r="K1885" s="9"/>
      <c r="L1885" s="9" t="e">
        <f>VLOOKUP(H1885,위치!B:D,3,0)</f>
        <v>#N/A</v>
      </c>
      <c r="M1885" s="12"/>
      <c r="N1885" s="5"/>
      <c r="O1885" s="5"/>
      <c r="P1885" s="5"/>
      <c r="Q1885" s="14"/>
      <c r="R1885" s="15">
        <f t="shared" si="29"/>
        <v>0</v>
      </c>
    </row>
    <row r="1886" spans="2:18" x14ac:dyDescent="0.35">
      <c r="B1886" s="9">
        <v>1912</v>
      </c>
      <c r="C1886" s="9"/>
      <c r="D1886" s="9"/>
      <c r="E1886" s="9"/>
      <c r="F1886" s="9"/>
      <c r="G1886" s="9"/>
      <c r="H1886" s="9"/>
      <c r="I1886" s="11" t="e">
        <f>VLOOKUP(H1886,위치!B:C,2,0)</f>
        <v>#N/A</v>
      </c>
      <c r="J1886" s="9"/>
      <c r="K1886" s="9"/>
      <c r="L1886" s="9" t="e">
        <f>VLOOKUP(H1886,위치!B:D,3,0)</f>
        <v>#N/A</v>
      </c>
      <c r="M1886" s="12"/>
      <c r="N1886" s="5"/>
      <c r="O1886" s="5"/>
      <c r="P1886" s="5"/>
      <c r="Q1886" s="14"/>
      <c r="R1886" s="15">
        <f t="shared" si="29"/>
        <v>0</v>
      </c>
    </row>
    <row r="1887" spans="2:18" x14ac:dyDescent="0.35">
      <c r="B1887" s="9">
        <v>1913</v>
      </c>
      <c r="C1887" s="9"/>
      <c r="D1887" s="9"/>
      <c r="E1887" s="9"/>
      <c r="F1887" s="9"/>
      <c r="G1887" s="9"/>
      <c r="H1887" s="9"/>
      <c r="I1887" s="11" t="e">
        <f>VLOOKUP(H1887,위치!B:C,2,0)</f>
        <v>#N/A</v>
      </c>
      <c r="J1887" s="9"/>
      <c r="K1887" s="9"/>
      <c r="L1887" s="9" t="e">
        <f>VLOOKUP(H1887,위치!B:D,3,0)</f>
        <v>#N/A</v>
      </c>
      <c r="M1887" s="12"/>
      <c r="N1887" s="5"/>
      <c r="O1887" s="5"/>
      <c r="P1887" s="5"/>
      <c r="Q1887" s="14"/>
      <c r="R1887" s="15">
        <f t="shared" si="29"/>
        <v>0</v>
      </c>
    </row>
    <row r="1888" spans="2:18" x14ac:dyDescent="0.35">
      <c r="B1888" s="9">
        <v>1914</v>
      </c>
      <c r="C1888" s="9"/>
      <c r="D1888" s="9"/>
      <c r="E1888" s="9"/>
      <c r="F1888" s="9"/>
      <c r="G1888" s="9"/>
      <c r="H1888" s="9"/>
      <c r="I1888" s="11" t="e">
        <f>VLOOKUP(H1888,위치!B:C,2,0)</f>
        <v>#N/A</v>
      </c>
      <c r="J1888" s="9"/>
      <c r="K1888" s="9"/>
      <c r="L1888" s="9" t="e">
        <f>VLOOKUP(H1888,위치!B:D,3,0)</f>
        <v>#N/A</v>
      </c>
      <c r="M1888" s="12"/>
      <c r="N1888" s="5"/>
      <c r="O1888" s="5"/>
      <c r="P1888" s="5"/>
      <c r="Q1888" s="14"/>
      <c r="R1888" s="15">
        <f t="shared" si="29"/>
        <v>0</v>
      </c>
    </row>
    <row r="1889" spans="2:18" x14ac:dyDescent="0.35">
      <c r="B1889" s="9">
        <v>1915</v>
      </c>
      <c r="C1889" s="9"/>
      <c r="D1889" s="9"/>
      <c r="E1889" s="9"/>
      <c r="F1889" s="9"/>
      <c r="G1889" s="9"/>
      <c r="H1889" s="9"/>
      <c r="I1889" s="11" t="e">
        <f>VLOOKUP(H1889,위치!B:C,2,0)</f>
        <v>#N/A</v>
      </c>
      <c r="J1889" s="9"/>
      <c r="K1889" s="9"/>
      <c r="L1889" s="9" t="e">
        <f>VLOOKUP(H1889,위치!B:D,3,0)</f>
        <v>#N/A</v>
      </c>
      <c r="M1889" s="12"/>
      <c r="N1889" s="5"/>
      <c r="O1889" s="5"/>
      <c r="P1889" s="5"/>
      <c r="Q1889" s="14"/>
      <c r="R1889" s="15">
        <f t="shared" si="29"/>
        <v>0</v>
      </c>
    </row>
    <row r="1890" spans="2:18" x14ac:dyDescent="0.35">
      <c r="B1890" s="9">
        <v>1916</v>
      </c>
      <c r="C1890" s="9"/>
      <c r="D1890" s="9"/>
      <c r="E1890" s="9"/>
      <c r="F1890" s="9"/>
      <c r="G1890" s="9"/>
      <c r="H1890" s="9"/>
      <c r="I1890" s="11" t="e">
        <f>VLOOKUP(H1890,위치!B:C,2,0)</f>
        <v>#N/A</v>
      </c>
      <c r="J1890" s="9"/>
      <c r="K1890" s="9"/>
      <c r="L1890" s="9" t="e">
        <f>VLOOKUP(H1890,위치!B:D,3,0)</f>
        <v>#N/A</v>
      </c>
      <c r="M1890" s="12"/>
      <c r="N1890" s="5"/>
      <c r="O1890" s="5"/>
      <c r="P1890" s="5"/>
      <c r="Q1890" s="14"/>
      <c r="R1890" s="15">
        <f t="shared" si="29"/>
        <v>0</v>
      </c>
    </row>
    <row r="1891" spans="2:18" x14ac:dyDescent="0.35">
      <c r="B1891" s="9">
        <v>1917</v>
      </c>
      <c r="C1891" s="9"/>
      <c r="D1891" s="9"/>
      <c r="E1891" s="9"/>
      <c r="F1891" s="9"/>
      <c r="G1891" s="9"/>
      <c r="H1891" s="9"/>
      <c r="I1891" s="11" t="e">
        <f>VLOOKUP(H1891,위치!B:C,2,0)</f>
        <v>#N/A</v>
      </c>
      <c r="J1891" s="9"/>
      <c r="K1891" s="9"/>
      <c r="L1891" s="9" t="e">
        <f>VLOOKUP(H1891,위치!B:D,3,0)</f>
        <v>#N/A</v>
      </c>
      <c r="M1891" s="12"/>
      <c r="N1891" s="5"/>
      <c r="O1891" s="5"/>
      <c r="P1891" s="5"/>
      <c r="Q1891" s="14"/>
      <c r="R1891" s="15">
        <f t="shared" si="29"/>
        <v>0</v>
      </c>
    </row>
    <row r="1892" spans="2:18" x14ac:dyDescent="0.35">
      <c r="B1892" s="9">
        <v>1918</v>
      </c>
      <c r="C1892" s="9"/>
      <c r="D1892" s="9"/>
      <c r="E1892" s="9"/>
      <c r="F1892" s="9"/>
      <c r="G1892" s="9"/>
      <c r="H1892" s="9"/>
      <c r="I1892" s="11" t="e">
        <f>VLOOKUP(H1892,위치!B:C,2,0)</f>
        <v>#N/A</v>
      </c>
      <c r="J1892" s="9"/>
      <c r="K1892" s="9"/>
      <c r="L1892" s="9" t="e">
        <f>VLOOKUP(H1892,위치!B:D,3,0)</f>
        <v>#N/A</v>
      </c>
      <c r="M1892" s="12"/>
      <c r="N1892" s="5"/>
      <c r="O1892" s="5"/>
      <c r="P1892" s="5"/>
      <c r="Q1892" s="14"/>
      <c r="R1892" s="15">
        <f t="shared" si="29"/>
        <v>0</v>
      </c>
    </row>
    <row r="1893" spans="2:18" x14ac:dyDescent="0.35">
      <c r="B1893" s="9">
        <v>1919</v>
      </c>
      <c r="C1893" s="9"/>
      <c r="D1893" s="9"/>
      <c r="E1893" s="9"/>
      <c r="F1893" s="9"/>
      <c r="G1893" s="9"/>
      <c r="H1893" s="9"/>
      <c r="I1893" s="11" t="e">
        <f>VLOOKUP(H1893,위치!B:C,2,0)</f>
        <v>#N/A</v>
      </c>
      <c r="J1893" s="9"/>
      <c r="K1893" s="9"/>
      <c r="L1893" s="9" t="e">
        <f>VLOOKUP(H1893,위치!B:D,3,0)</f>
        <v>#N/A</v>
      </c>
      <c r="M1893" s="12"/>
      <c r="N1893" s="5"/>
      <c r="O1893" s="5"/>
      <c r="P1893" s="5"/>
      <c r="Q1893" s="14"/>
      <c r="R1893" s="15">
        <f t="shared" si="29"/>
        <v>0</v>
      </c>
    </row>
    <row r="1894" spans="2:18" x14ac:dyDescent="0.35">
      <c r="B1894" s="9">
        <v>1920</v>
      </c>
      <c r="C1894" s="9"/>
      <c r="D1894" s="9"/>
      <c r="E1894" s="9"/>
      <c r="F1894" s="9"/>
      <c r="G1894" s="9"/>
      <c r="H1894" s="9"/>
      <c r="I1894" s="11" t="e">
        <f>VLOOKUP(H1894,위치!B:C,2,0)</f>
        <v>#N/A</v>
      </c>
      <c r="J1894" s="9"/>
      <c r="K1894" s="9"/>
      <c r="L1894" s="9" t="e">
        <f>VLOOKUP(H1894,위치!B:D,3,0)</f>
        <v>#N/A</v>
      </c>
      <c r="M1894" s="12"/>
      <c r="N1894" s="5"/>
      <c r="O1894" s="5"/>
      <c r="P1894" s="5"/>
      <c r="Q1894" s="14"/>
      <c r="R1894" s="15">
        <f t="shared" si="29"/>
        <v>0</v>
      </c>
    </row>
    <row r="1895" spans="2:18" x14ac:dyDescent="0.35">
      <c r="B1895" s="9">
        <v>1921</v>
      </c>
      <c r="C1895" s="9"/>
      <c r="D1895" s="9"/>
      <c r="E1895" s="9"/>
      <c r="F1895" s="9"/>
      <c r="G1895" s="9"/>
      <c r="H1895" s="9"/>
      <c r="I1895" s="11" t="e">
        <f>VLOOKUP(H1895,위치!B:C,2,0)</f>
        <v>#N/A</v>
      </c>
      <c r="J1895" s="9"/>
      <c r="K1895" s="9"/>
      <c r="L1895" s="9" t="e">
        <f>VLOOKUP(H1895,위치!B:D,3,0)</f>
        <v>#N/A</v>
      </c>
      <c r="M1895" s="12"/>
      <c r="N1895" s="5"/>
      <c r="O1895" s="5"/>
      <c r="P1895" s="5"/>
      <c r="Q1895" s="14"/>
      <c r="R1895" s="15">
        <f t="shared" si="29"/>
        <v>0</v>
      </c>
    </row>
    <row r="1896" spans="2:18" x14ac:dyDescent="0.35">
      <c r="B1896" s="9">
        <v>1922</v>
      </c>
      <c r="C1896" s="9"/>
      <c r="D1896" s="9"/>
      <c r="E1896" s="9"/>
      <c r="F1896" s="9"/>
      <c r="G1896" s="9"/>
      <c r="H1896" s="9"/>
      <c r="I1896" s="11" t="e">
        <f>VLOOKUP(H1896,위치!B:C,2,0)</f>
        <v>#N/A</v>
      </c>
      <c r="J1896" s="9"/>
      <c r="K1896" s="9"/>
      <c r="L1896" s="9" t="e">
        <f>VLOOKUP(H1896,위치!B:D,3,0)</f>
        <v>#N/A</v>
      </c>
      <c r="M1896" s="12"/>
      <c r="N1896" s="5"/>
      <c r="O1896" s="5"/>
      <c r="P1896" s="5"/>
      <c r="Q1896" s="14"/>
      <c r="R1896" s="15">
        <f t="shared" si="29"/>
        <v>0</v>
      </c>
    </row>
    <row r="1897" spans="2:18" x14ac:dyDescent="0.35">
      <c r="B1897" s="9">
        <v>1923</v>
      </c>
      <c r="C1897" s="9"/>
      <c r="D1897" s="9"/>
      <c r="E1897" s="9"/>
      <c r="F1897" s="9"/>
      <c r="G1897" s="9"/>
      <c r="H1897" s="9"/>
      <c r="I1897" s="11" t="e">
        <f>VLOOKUP(H1897,위치!B:C,2,0)</f>
        <v>#N/A</v>
      </c>
      <c r="J1897" s="9"/>
      <c r="K1897" s="9"/>
      <c r="L1897" s="9" t="e">
        <f>VLOOKUP(H1897,위치!B:D,3,0)</f>
        <v>#N/A</v>
      </c>
      <c r="M1897" s="12"/>
      <c r="N1897" s="5"/>
      <c r="O1897" s="5"/>
      <c r="P1897" s="5"/>
      <c r="Q1897" s="14"/>
      <c r="R1897" s="15">
        <f t="shared" si="29"/>
        <v>0</v>
      </c>
    </row>
    <row r="1898" spans="2:18" x14ac:dyDescent="0.35">
      <c r="B1898" s="9">
        <v>1924</v>
      </c>
      <c r="C1898" s="9"/>
      <c r="D1898" s="9"/>
      <c r="E1898" s="9"/>
      <c r="F1898" s="9"/>
      <c r="G1898" s="9"/>
      <c r="H1898" s="9"/>
      <c r="I1898" s="11" t="e">
        <f>VLOOKUP(H1898,위치!B:C,2,0)</f>
        <v>#N/A</v>
      </c>
      <c r="J1898" s="9"/>
      <c r="K1898" s="9"/>
      <c r="L1898" s="9" t="e">
        <f>VLOOKUP(H1898,위치!B:D,3,0)</f>
        <v>#N/A</v>
      </c>
      <c r="M1898" s="12"/>
      <c r="N1898" s="5"/>
      <c r="O1898" s="5"/>
      <c r="P1898" s="5"/>
      <c r="Q1898" s="14"/>
      <c r="R1898" s="15">
        <f t="shared" si="29"/>
        <v>0</v>
      </c>
    </row>
    <row r="1899" spans="2:18" x14ac:dyDescent="0.35">
      <c r="B1899" s="9">
        <v>1925</v>
      </c>
      <c r="C1899" s="9"/>
      <c r="D1899" s="9"/>
      <c r="E1899" s="9"/>
      <c r="F1899" s="9"/>
      <c r="G1899" s="9"/>
      <c r="H1899" s="9"/>
      <c r="I1899" s="11" t="e">
        <f>VLOOKUP(H1899,위치!B:C,2,0)</f>
        <v>#N/A</v>
      </c>
      <c r="J1899" s="9"/>
      <c r="K1899" s="9"/>
      <c r="L1899" s="9" t="e">
        <f>VLOOKUP(H1899,위치!B:D,3,0)</f>
        <v>#N/A</v>
      </c>
      <c r="M1899" s="12"/>
      <c r="N1899" s="5"/>
      <c r="O1899" s="5"/>
      <c r="P1899" s="5"/>
      <c r="Q1899" s="14"/>
      <c r="R1899" s="15">
        <f t="shared" si="29"/>
        <v>0</v>
      </c>
    </row>
    <row r="1900" spans="2:18" x14ac:dyDescent="0.35">
      <c r="B1900" s="9">
        <v>1926</v>
      </c>
      <c r="C1900" s="9"/>
      <c r="D1900" s="9"/>
      <c r="E1900" s="9"/>
      <c r="F1900" s="9"/>
      <c r="G1900" s="9"/>
      <c r="H1900" s="9"/>
      <c r="I1900" s="11" t="e">
        <f>VLOOKUP(H1900,위치!B:C,2,0)</f>
        <v>#N/A</v>
      </c>
      <c r="J1900" s="9"/>
      <c r="K1900" s="9"/>
      <c r="L1900" s="9" t="e">
        <f>VLOOKUP(H1900,위치!B:D,3,0)</f>
        <v>#N/A</v>
      </c>
      <c r="M1900" s="12"/>
      <c r="N1900" s="5"/>
      <c r="O1900" s="5"/>
      <c r="P1900" s="5"/>
      <c r="Q1900" s="14"/>
      <c r="R1900" s="15">
        <f t="shared" si="29"/>
        <v>0</v>
      </c>
    </row>
    <row r="1901" spans="2:18" x14ac:dyDescent="0.35">
      <c r="B1901" s="9">
        <v>1927</v>
      </c>
      <c r="C1901" s="9"/>
      <c r="D1901" s="9"/>
      <c r="E1901" s="9"/>
      <c r="F1901" s="9"/>
      <c r="G1901" s="9"/>
      <c r="H1901" s="9"/>
      <c r="I1901" s="11" t="e">
        <f>VLOOKUP(H1901,위치!B:C,2,0)</f>
        <v>#N/A</v>
      </c>
      <c r="J1901" s="9"/>
      <c r="K1901" s="9"/>
      <c r="L1901" s="9" t="e">
        <f>VLOOKUP(H1901,위치!B:D,3,0)</f>
        <v>#N/A</v>
      </c>
      <c r="M1901" s="12"/>
      <c r="N1901" s="5"/>
      <c r="O1901" s="5"/>
      <c r="P1901" s="5"/>
      <c r="Q1901" s="14"/>
      <c r="R1901" s="15">
        <f t="shared" si="29"/>
        <v>0</v>
      </c>
    </row>
    <row r="1902" spans="2:18" x14ac:dyDescent="0.35">
      <c r="B1902" s="9">
        <v>1928</v>
      </c>
      <c r="C1902" s="9"/>
      <c r="D1902" s="9"/>
      <c r="E1902" s="9"/>
      <c r="F1902" s="9"/>
      <c r="G1902" s="9"/>
      <c r="H1902" s="9"/>
      <c r="I1902" s="11" t="e">
        <f>VLOOKUP(H1902,위치!B:C,2,0)</f>
        <v>#N/A</v>
      </c>
      <c r="J1902" s="9"/>
      <c r="K1902" s="9"/>
      <c r="L1902" s="9" t="e">
        <f>VLOOKUP(H1902,위치!B:D,3,0)</f>
        <v>#N/A</v>
      </c>
      <c r="M1902" s="12"/>
      <c r="N1902" s="5"/>
      <c r="O1902" s="5"/>
      <c r="P1902" s="5"/>
      <c r="Q1902" s="14"/>
      <c r="R1902" s="15">
        <f t="shared" si="29"/>
        <v>0</v>
      </c>
    </row>
    <row r="1903" spans="2:18" x14ac:dyDescent="0.35">
      <c r="B1903" s="9">
        <v>1929</v>
      </c>
      <c r="C1903" s="9"/>
      <c r="D1903" s="9"/>
      <c r="E1903" s="9"/>
      <c r="F1903" s="9"/>
      <c r="G1903" s="9"/>
      <c r="H1903" s="9"/>
      <c r="I1903" s="11" t="e">
        <f>VLOOKUP(H1903,위치!B:C,2,0)</f>
        <v>#N/A</v>
      </c>
      <c r="J1903" s="9"/>
      <c r="K1903" s="9"/>
      <c r="L1903" s="9" t="e">
        <f>VLOOKUP(H1903,위치!B:D,3,0)</f>
        <v>#N/A</v>
      </c>
      <c r="M1903" s="12"/>
      <c r="N1903" s="5"/>
      <c r="O1903" s="5"/>
      <c r="P1903" s="5"/>
      <c r="Q1903" s="14"/>
      <c r="R1903" s="15">
        <f t="shared" si="29"/>
        <v>0</v>
      </c>
    </row>
    <row r="1904" spans="2:18" x14ac:dyDescent="0.35">
      <c r="B1904" s="9">
        <v>1930</v>
      </c>
      <c r="C1904" s="9"/>
      <c r="D1904" s="9"/>
      <c r="E1904" s="9"/>
      <c r="F1904" s="9"/>
      <c r="G1904" s="9"/>
      <c r="H1904" s="9"/>
      <c r="I1904" s="11" t="e">
        <f>VLOOKUP(H1904,위치!B:C,2,0)</f>
        <v>#N/A</v>
      </c>
      <c r="J1904" s="9"/>
      <c r="K1904" s="9"/>
      <c r="L1904" s="9" t="e">
        <f>VLOOKUP(H1904,위치!B:D,3,0)</f>
        <v>#N/A</v>
      </c>
      <c r="M1904" s="12"/>
      <c r="N1904" s="5"/>
      <c r="O1904" s="5"/>
      <c r="P1904" s="5"/>
      <c r="Q1904" s="14"/>
      <c r="R1904" s="15">
        <f t="shared" si="29"/>
        <v>0</v>
      </c>
    </row>
    <row r="1905" spans="2:18" x14ac:dyDescent="0.35">
      <c r="B1905" s="9">
        <v>1931</v>
      </c>
      <c r="C1905" s="9"/>
      <c r="D1905" s="9"/>
      <c r="E1905" s="9"/>
      <c r="F1905" s="9"/>
      <c r="G1905" s="9"/>
      <c r="H1905" s="9"/>
      <c r="I1905" s="11" t="e">
        <f>VLOOKUP(H1905,위치!B:C,2,0)</f>
        <v>#N/A</v>
      </c>
      <c r="J1905" s="9"/>
      <c r="K1905" s="9"/>
      <c r="L1905" s="9" t="e">
        <f>VLOOKUP(H1905,위치!B:D,3,0)</f>
        <v>#N/A</v>
      </c>
      <c r="M1905" s="12"/>
      <c r="N1905" s="5"/>
      <c r="O1905" s="5"/>
      <c r="P1905" s="5"/>
      <c r="Q1905" s="14"/>
      <c r="R1905" s="15">
        <f t="shared" si="29"/>
        <v>0</v>
      </c>
    </row>
    <row r="1906" spans="2:18" x14ac:dyDescent="0.35">
      <c r="B1906" s="9">
        <v>1932</v>
      </c>
      <c r="C1906" s="9"/>
      <c r="D1906" s="9"/>
      <c r="E1906" s="9"/>
      <c r="F1906" s="9"/>
      <c r="G1906" s="9"/>
      <c r="H1906" s="9"/>
      <c r="I1906" s="11" t="e">
        <f>VLOOKUP(H1906,위치!B:C,2,0)</f>
        <v>#N/A</v>
      </c>
      <c r="J1906" s="9"/>
      <c r="K1906" s="9"/>
      <c r="L1906" s="9" t="e">
        <f>VLOOKUP(H1906,위치!B:D,3,0)</f>
        <v>#N/A</v>
      </c>
      <c r="M1906" s="12"/>
      <c r="N1906" s="5"/>
      <c r="O1906" s="5"/>
      <c r="P1906" s="5"/>
      <c r="Q1906" s="14"/>
      <c r="R1906" s="15">
        <f t="shared" si="29"/>
        <v>0</v>
      </c>
    </row>
    <row r="1907" spans="2:18" x14ac:dyDescent="0.35">
      <c r="B1907" s="9">
        <v>1933</v>
      </c>
      <c r="C1907" s="9"/>
      <c r="D1907" s="9"/>
      <c r="E1907" s="9"/>
      <c r="F1907" s="9"/>
      <c r="G1907" s="9"/>
      <c r="H1907" s="9"/>
      <c r="I1907" s="11" t="e">
        <f>VLOOKUP(H1907,위치!B:C,2,0)</f>
        <v>#N/A</v>
      </c>
      <c r="J1907" s="9"/>
      <c r="K1907" s="9"/>
      <c r="L1907" s="9" t="e">
        <f>VLOOKUP(H1907,위치!B:D,3,0)</f>
        <v>#N/A</v>
      </c>
      <c r="M1907" s="12"/>
      <c r="N1907" s="5"/>
      <c r="O1907" s="5"/>
      <c r="P1907" s="5"/>
      <c r="Q1907" s="14"/>
      <c r="R1907" s="15">
        <f t="shared" si="29"/>
        <v>0</v>
      </c>
    </row>
    <row r="1908" spans="2:18" x14ac:dyDescent="0.35">
      <c r="B1908" s="9">
        <v>1934</v>
      </c>
      <c r="C1908" s="9"/>
      <c r="D1908" s="9"/>
      <c r="E1908" s="9"/>
      <c r="F1908" s="9"/>
      <c r="G1908" s="9"/>
      <c r="H1908" s="9"/>
      <c r="I1908" s="11" t="e">
        <f>VLOOKUP(H1908,위치!B:C,2,0)</f>
        <v>#N/A</v>
      </c>
      <c r="J1908" s="9"/>
      <c r="K1908" s="9"/>
      <c r="L1908" s="9" t="e">
        <f>VLOOKUP(H1908,위치!B:D,3,0)</f>
        <v>#N/A</v>
      </c>
      <c r="M1908" s="12"/>
      <c r="N1908" s="5"/>
      <c r="O1908" s="5"/>
      <c r="P1908" s="5"/>
      <c r="Q1908" s="14"/>
      <c r="R1908" s="15">
        <f t="shared" si="29"/>
        <v>0</v>
      </c>
    </row>
    <row r="1909" spans="2:18" x14ac:dyDescent="0.35">
      <c r="B1909" s="9">
        <v>1935</v>
      </c>
      <c r="C1909" s="9"/>
      <c r="D1909" s="9"/>
      <c r="E1909" s="9"/>
      <c r="F1909" s="9"/>
      <c r="G1909" s="9"/>
      <c r="H1909" s="9"/>
      <c r="I1909" s="11" t="e">
        <f>VLOOKUP(H1909,위치!B:C,2,0)</f>
        <v>#N/A</v>
      </c>
      <c r="J1909" s="9"/>
      <c r="K1909" s="9"/>
      <c r="L1909" s="9" t="e">
        <f>VLOOKUP(H1909,위치!B:D,3,0)</f>
        <v>#N/A</v>
      </c>
      <c r="M1909" s="12"/>
      <c r="N1909" s="5"/>
      <c r="O1909" s="5"/>
      <c r="P1909" s="5"/>
      <c r="Q1909" s="14"/>
      <c r="R1909" s="15">
        <f t="shared" si="29"/>
        <v>0</v>
      </c>
    </row>
    <row r="1910" spans="2:18" x14ac:dyDescent="0.35">
      <c r="B1910" s="9">
        <v>1936</v>
      </c>
      <c r="C1910" s="9"/>
      <c r="D1910" s="9"/>
      <c r="E1910" s="9"/>
      <c r="F1910" s="9"/>
      <c r="G1910" s="9"/>
      <c r="H1910" s="9"/>
      <c r="I1910" s="11" t="e">
        <f>VLOOKUP(H1910,위치!B:C,2,0)</f>
        <v>#N/A</v>
      </c>
      <c r="J1910" s="9"/>
      <c r="K1910" s="9"/>
      <c r="L1910" s="9" t="e">
        <f>VLOOKUP(H1910,위치!B:D,3,0)</f>
        <v>#N/A</v>
      </c>
      <c r="M1910" s="12"/>
      <c r="N1910" s="5"/>
      <c r="O1910" s="5"/>
      <c r="P1910" s="5"/>
      <c r="Q1910" s="14"/>
      <c r="R1910" s="15">
        <f t="shared" si="29"/>
        <v>0</v>
      </c>
    </row>
    <row r="1911" spans="2:18" x14ac:dyDescent="0.35">
      <c r="B1911" s="9">
        <v>1937</v>
      </c>
      <c r="C1911" s="9"/>
      <c r="D1911" s="9"/>
      <c r="E1911" s="9"/>
      <c r="F1911" s="9"/>
      <c r="G1911" s="9"/>
      <c r="H1911" s="9"/>
      <c r="I1911" s="11" t="e">
        <f>VLOOKUP(H1911,위치!B:C,2,0)</f>
        <v>#N/A</v>
      </c>
      <c r="J1911" s="9"/>
      <c r="K1911" s="9"/>
      <c r="L1911" s="9" t="e">
        <f>VLOOKUP(H1911,위치!B:D,3,0)</f>
        <v>#N/A</v>
      </c>
      <c r="M1911" s="12"/>
      <c r="N1911" s="5"/>
      <c r="O1911" s="5"/>
      <c r="P1911" s="5"/>
      <c r="Q1911" s="14"/>
      <c r="R1911" s="15">
        <f t="shared" si="29"/>
        <v>0</v>
      </c>
    </row>
    <row r="1912" spans="2:18" x14ac:dyDescent="0.35">
      <c r="B1912" s="9">
        <v>1938</v>
      </c>
      <c r="C1912" s="9"/>
      <c r="D1912" s="9"/>
      <c r="E1912" s="9"/>
      <c r="F1912" s="9"/>
      <c r="G1912" s="9"/>
      <c r="H1912" s="9"/>
      <c r="I1912" s="11" t="e">
        <f>VLOOKUP(H1912,위치!B:C,2,0)</f>
        <v>#N/A</v>
      </c>
      <c r="J1912" s="9"/>
      <c r="K1912" s="9"/>
      <c r="L1912" s="9" t="e">
        <f>VLOOKUP(H1912,위치!B:D,3,0)</f>
        <v>#N/A</v>
      </c>
      <c r="M1912" s="12"/>
      <c r="N1912" s="5"/>
      <c r="O1912" s="5"/>
      <c r="P1912" s="5"/>
      <c r="Q1912" s="14"/>
      <c r="R1912" s="15">
        <f t="shared" si="29"/>
        <v>0</v>
      </c>
    </row>
    <row r="1913" spans="2:18" x14ac:dyDescent="0.35">
      <c r="B1913" s="9">
        <v>1939</v>
      </c>
      <c r="C1913" s="9"/>
      <c r="D1913" s="9"/>
      <c r="E1913" s="9"/>
      <c r="F1913" s="9"/>
      <c r="G1913" s="9"/>
      <c r="H1913" s="9"/>
      <c r="I1913" s="11" t="e">
        <f>VLOOKUP(H1913,위치!B:C,2,0)</f>
        <v>#N/A</v>
      </c>
      <c r="J1913" s="9"/>
      <c r="K1913" s="9"/>
      <c r="L1913" s="9" t="e">
        <f>VLOOKUP(H1913,위치!B:D,3,0)</f>
        <v>#N/A</v>
      </c>
      <c r="M1913" s="12"/>
      <c r="N1913" s="5"/>
      <c r="O1913" s="5"/>
      <c r="P1913" s="5"/>
      <c r="Q1913" s="14"/>
      <c r="R1913" s="15">
        <f t="shared" si="29"/>
        <v>0</v>
      </c>
    </row>
    <row r="1914" spans="2:18" x14ac:dyDescent="0.35">
      <c r="B1914" s="9">
        <v>1940</v>
      </c>
      <c r="C1914" s="9"/>
      <c r="D1914" s="9"/>
      <c r="E1914" s="9"/>
      <c r="F1914" s="9"/>
      <c r="G1914" s="9"/>
      <c r="H1914" s="9"/>
      <c r="I1914" s="11" t="e">
        <f>VLOOKUP(H1914,위치!B:C,2,0)</f>
        <v>#N/A</v>
      </c>
      <c r="J1914" s="9"/>
      <c r="K1914" s="9"/>
      <c r="L1914" s="9" t="e">
        <f>VLOOKUP(H1914,위치!B:D,3,0)</f>
        <v>#N/A</v>
      </c>
      <c r="M1914" s="12"/>
      <c r="N1914" s="5"/>
      <c r="O1914" s="5"/>
      <c r="P1914" s="5"/>
      <c r="Q1914" s="14"/>
      <c r="R1914" s="15">
        <f t="shared" si="29"/>
        <v>0</v>
      </c>
    </row>
    <row r="1915" spans="2:18" x14ac:dyDescent="0.35">
      <c r="B1915" s="9">
        <v>1941</v>
      </c>
      <c r="C1915" s="9"/>
      <c r="D1915" s="9"/>
      <c r="E1915" s="9"/>
      <c r="F1915" s="9"/>
      <c r="G1915" s="9"/>
      <c r="H1915" s="9"/>
      <c r="I1915" s="11" t="e">
        <f>VLOOKUP(H1915,위치!B:C,2,0)</f>
        <v>#N/A</v>
      </c>
      <c r="J1915" s="9"/>
      <c r="K1915" s="9"/>
      <c r="L1915" s="9" t="e">
        <f>VLOOKUP(H1915,위치!B:D,3,0)</f>
        <v>#N/A</v>
      </c>
      <c r="M1915" s="12"/>
      <c r="N1915" s="5"/>
      <c r="O1915" s="5"/>
      <c r="P1915" s="5"/>
      <c r="Q1915" s="14"/>
      <c r="R1915" s="15">
        <f t="shared" si="29"/>
        <v>0</v>
      </c>
    </row>
    <row r="1916" spans="2:18" x14ac:dyDescent="0.35">
      <c r="B1916" s="9">
        <v>1942</v>
      </c>
      <c r="C1916" s="9"/>
      <c r="D1916" s="9"/>
      <c r="E1916" s="9"/>
      <c r="F1916" s="9"/>
      <c r="G1916" s="9"/>
      <c r="H1916" s="9"/>
      <c r="I1916" s="11" t="e">
        <f>VLOOKUP(H1916,위치!B:C,2,0)</f>
        <v>#N/A</v>
      </c>
      <c r="J1916" s="9"/>
      <c r="K1916" s="9"/>
      <c r="L1916" s="9" t="e">
        <f>VLOOKUP(H1916,위치!B:D,3,0)</f>
        <v>#N/A</v>
      </c>
      <c r="M1916" s="12"/>
      <c r="N1916" s="5"/>
      <c r="O1916" s="5"/>
      <c r="P1916" s="5"/>
      <c r="Q1916" s="14"/>
      <c r="R1916" s="15">
        <f t="shared" si="29"/>
        <v>0</v>
      </c>
    </row>
    <row r="1917" spans="2:18" x14ac:dyDescent="0.35">
      <c r="B1917" s="9">
        <v>1943</v>
      </c>
      <c r="C1917" s="9"/>
      <c r="D1917" s="9"/>
      <c r="E1917" s="9"/>
      <c r="F1917" s="9"/>
      <c r="G1917" s="9"/>
      <c r="H1917" s="9"/>
      <c r="I1917" s="11" t="e">
        <f>VLOOKUP(H1917,위치!B:C,2,0)</f>
        <v>#N/A</v>
      </c>
      <c r="J1917" s="9"/>
      <c r="K1917" s="9"/>
      <c r="L1917" s="9" t="e">
        <f>VLOOKUP(H1917,위치!B:D,3,0)</f>
        <v>#N/A</v>
      </c>
      <c r="M1917" s="12"/>
      <c r="N1917" s="5"/>
      <c r="O1917" s="5"/>
      <c r="P1917" s="5"/>
      <c r="Q1917" s="14"/>
      <c r="R1917" s="15">
        <f t="shared" si="29"/>
        <v>0</v>
      </c>
    </row>
    <row r="1918" spans="2:18" x14ac:dyDescent="0.35">
      <c r="B1918" s="9">
        <v>1944</v>
      </c>
      <c r="C1918" s="9"/>
      <c r="D1918" s="9"/>
      <c r="E1918" s="9"/>
      <c r="F1918" s="9"/>
      <c r="G1918" s="9"/>
      <c r="H1918" s="9"/>
      <c r="I1918" s="11" t="e">
        <f>VLOOKUP(H1918,위치!B:C,2,0)</f>
        <v>#N/A</v>
      </c>
      <c r="J1918" s="9"/>
      <c r="K1918" s="9"/>
      <c r="L1918" s="9" t="e">
        <f>VLOOKUP(H1918,위치!B:D,3,0)</f>
        <v>#N/A</v>
      </c>
      <c r="M1918" s="12"/>
      <c r="N1918" s="5"/>
      <c r="O1918" s="5"/>
      <c r="P1918" s="5"/>
      <c r="Q1918" s="14"/>
      <c r="R1918" s="15">
        <f t="shared" si="29"/>
        <v>0</v>
      </c>
    </row>
    <row r="1919" spans="2:18" x14ac:dyDescent="0.35">
      <c r="B1919" s="9">
        <v>1945</v>
      </c>
      <c r="C1919" s="9"/>
      <c r="D1919" s="9"/>
      <c r="E1919" s="9"/>
      <c r="F1919" s="9"/>
      <c r="G1919" s="9"/>
      <c r="H1919" s="9"/>
      <c r="I1919" s="11" t="e">
        <f>VLOOKUP(H1919,위치!B:C,2,0)</f>
        <v>#N/A</v>
      </c>
      <c r="J1919" s="9"/>
      <c r="K1919" s="9"/>
      <c r="L1919" s="9" t="e">
        <f>VLOOKUP(H1919,위치!B:D,3,0)</f>
        <v>#N/A</v>
      </c>
      <c r="M1919" s="12"/>
      <c r="N1919" s="5"/>
      <c r="O1919" s="5"/>
      <c r="P1919" s="5"/>
      <c r="Q1919" s="14"/>
      <c r="R1919" s="15">
        <f t="shared" si="29"/>
        <v>0</v>
      </c>
    </row>
    <row r="1920" spans="2:18" x14ac:dyDescent="0.35">
      <c r="B1920" s="9">
        <v>1946</v>
      </c>
      <c r="C1920" s="9"/>
      <c r="D1920" s="9"/>
      <c r="E1920" s="9"/>
      <c r="F1920" s="9"/>
      <c r="G1920" s="9"/>
      <c r="H1920" s="9"/>
      <c r="I1920" s="11" t="e">
        <f>VLOOKUP(H1920,위치!B:C,2,0)</f>
        <v>#N/A</v>
      </c>
      <c r="J1920" s="9"/>
      <c r="K1920" s="9"/>
      <c r="L1920" s="9" t="e">
        <f>VLOOKUP(H1920,위치!B:D,3,0)</f>
        <v>#N/A</v>
      </c>
      <c r="M1920" s="12"/>
      <c r="N1920" s="5"/>
      <c r="O1920" s="5"/>
      <c r="P1920" s="5"/>
      <c r="Q1920" s="14"/>
      <c r="R1920" s="15">
        <f t="shared" si="29"/>
        <v>0</v>
      </c>
    </row>
    <row r="1921" spans="2:18" x14ac:dyDescent="0.35">
      <c r="B1921" s="9">
        <v>1947</v>
      </c>
      <c r="C1921" s="9"/>
      <c r="D1921" s="9"/>
      <c r="E1921" s="9"/>
      <c r="F1921" s="9"/>
      <c r="G1921" s="9"/>
      <c r="H1921" s="9"/>
      <c r="I1921" s="11" t="e">
        <f>VLOOKUP(H1921,위치!B:C,2,0)</f>
        <v>#N/A</v>
      </c>
      <c r="J1921" s="9"/>
      <c r="K1921" s="9"/>
      <c r="L1921" s="9" t="e">
        <f>VLOOKUP(H1921,위치!B:D,3,0)</f>
        <v>#N/A</v>
      </c>
      <c r="M1921" s="12"/>
      <c r="N1921" s="5"/>
      <c r="O1921" s="5"/>
      <c r="P1921" s="5"/>
      <c r="Q1921" s="14"/>
      <c r="R1921" s="15">
        <f t="shared" si="29"/>
        <v>0</v>
      </c>
    </row>
    <row r="1922" spans="2:18" x14ac:dyDescent="0.35">
      <c r="B1922" s="9">
        <v>1948</v>
      </c>
      <c r="C1922" s="9"/>
      <c r="D1922" s="9"/>
      <c r="E1922" s="9"/>
      <c r="F1922" s="9"/>
      <c r="G1922" s="9"/>
      <c r="H1922" s="9"/>
      <c r="I1922" s="11" t="e">
        <f>VLOOKUP(H1922,위치!B:C,2,0)</f>
        <v>#N/A</v>
      </c>
      <c r="J1922" s="9"/>
      <c r="K1922" s="9"/>
      <c r="L1922" s="9" t="e">
        <f>VLOOKUP(H1922,위치!B:D,3,0)</f>
        <v>#N/A</v>
      </c>
      <c r="M1922" s="12"/>
      <c r="N1922" s="5"/>
      <c r="O1922" s="5"/>
      <c r="P1922" s="5"/>
      <c r="Q1922" s="14"/>
      <c r="R1922" s="15">
        <f t="shared" si="29"/>
        <v>0</v>
      </c>
    </row>
    <row r="1923" spans="2:18" x14ac:dyDescent="0.35">
      <c r="B1923" s="9">
        <v>1949</v>
      </c>
      <c r="C1923" s="9"/>
      <c r="D1923" s="9"/>
      <c r="E1923" s="9"/>
      <c r="F1923" s="9"/>
      <c r="G1923" s="9"/>
      <c r="H1923" s="9"/>
      <c r="I1923" s="11" t="e">
        <f>VLOOKUP(H1923,위치!B:C,2,0)</f>
        <v>#N/A</v>
      </c>
      <c r="J1923" s="9"/>
      <c r="K1923" s="9"/>
      <c r="L1923" s="9" t="e">
        <f>VLOOKUP(H1923,위치!B:D,3,0)</f>
        <v>#N/A</v>
      </c>
      <c r="M1923" s="12"/>
      <c r="N1923" s="5"/>
      <c r="O1923" s="5"/>
      <c r="P1923" s="5"/>
      <c r="Q1923" s="14"/>
      <c r="R1923" s="15">
        <f t="shared" si="29"/>
        <v>0</v>
      </c>
    </row>
    <row r="1924" spans="2:18" x14ac:dyDescent="0.35">
      <c r="B1924" s="9">
        <v>1950</v>
      </c>
      <c r="C1924" s="9"/>
      <c r="D1924" s="9"/>
      <c r="E1924" s="9"/>
      <c r="F1924" s="9"/>
      <c r="G1924" s="9"/>
      <c r="H1924" s="9"/>
      <c r="I1924" s="11" t="e">
        <f>VLOOKUP(H1924,위치!B:C,2,0)</f>
        <v>#N/A</v>
      </c>
      <c r="J1924" s="9"/>
      <c r="K1924" s="9"/>
      <c r="L1924" s="9" t="e">
        <f>VLOOKUP(H1924,위치!B:D,3,0)</f>
        <v>#N/A</v>
      </c>
      <c r="M1924" s="12"/>
      <c r="N1924" s="5"/>
      <c r="O1924" s="5"/>
      <c r="P1924" s="5"/>
      <c r="Q1924" s="14"/>
      <c r="R1924" s="15">
        <f t="shared" si="29"/>
        <v>0</v>
      </c>
    </row>
    <row r="1925" spans="2:18" x14ac:dyDescent="0.35">
      <c r="B1925" s="9">
        <v>1951</v>
      </c>
      <c r="C1925" s="9"/>
      <c r="D1925" s="9"/>
      <c r="E1925" s="9"/>
      <c r="F1925" s="9"/>
      <c r="G1925" s="9"/>
      <c r="H1925" s="9"/>
      <c r="I1925" s="11" t="e">
        <f>VLOOKUP(H1925,위치!B:C,2,0)</f>
        <v>#N/A</v>
      </c>
      <c r="J1925" s="9"/>
      <c r="K1925" s="9"/>
      <c r="L1925" s="9" t="e">
        <f>VLOOKUP(H1925,위치!B:D,3,0)</f>
        <v>#N/A</v>
      </c>
      <c r="M1925" s="12"/>
      <c r="N1925" s="5"/>
      <c r="O1925" s="5"/>
      <c r="P1925" s="5"/>
      <c r="Q1925" s="14"/>
      <c r="R1925" s="15">
        <f t="shared" si="29"/>
        <v>0</v>
      </c>
    </row>
    <row r="1926" spans="2:18" x14ac:dyDescent="0.35">
      <c r="B1926" s="9">
        <v>1952</v>
      </c>
      <c r="C1926" s="9"/>
      <c r="D1926" s="9"/>
      <c r="E1926" s="9"/>
      <c r="F1926" s="9"/>
      <c r="G1926" s="9"/>
      <c r="H1926" s="9"/>
      <c r="I1926" s="11" t="e">
        <f>VLOOKUP(H1926,위치!B:C,2,0)</f>
        <v>#N/A</v>
      </c>
      <c r="J1926" s="9"/>
      <c r="K1926" s="9"/>
      <c r="L1926" s="9" t="e">
        <f>VLOOKUP(H1926,위치!B:D,3,0)</f>
        <v>#N/A</v>
      </c>
      <c r="M1926" s="12"/>
      <c r="N1926" s="5"/>
      <c r="O1926" s="5"/>
      <c r="P1926" s="5"/>
      <c r="Q1926" s="14"/>
      <c r="R1926" s="15">
        <f t="shared" si="29"/>
        <v>0</v>
      </c>
    </row>
    <row r="1927" spans="2:18" x14ac:dyDescent="0.35">
      <c r="B1927" s="9">
        <v>1953</v>
      </c>
      <c r="C1927" s="9"/>
      <c r="D1927" s="9"/>
      <c r="E1927" s="9"/>
      <c r="F1927" s="9"/>
      <c r="G1927" s="9"/>
      <c r="H1927" s="9"/>
      <c r="I1927" s="11" t="e">
        <f>VLOOKUP(H1927,위치!B:C,2,0)</f>
        <v>#N/A</v>
      </c>
      <c r="J1927" s="9"/>
      <c r="K1927" s="9"/>
      <c r="L1927" s="9" t="e">
        <f>VLOOKUP(H1927,위치!B:D,3,0)</f>
        <v>#N/A</v>
      </c>
      <c r="M1927" s="12"/>
      <c r="N1927" s="5"/>
      <c r="O1927" s="5"/>
      <c r="P1927" s="5"/>
      <c r="Q1927" s="14"/>
      <c r="R1927" s="15">
        <f t="shared" ref="R1927:R1990" si="30">J1927-P1927</f>
        <v>0</v>
      </c>
    </row>
    <row r="1928" spans="2:18" x14ac:dyDescent="0.35">
      <c r="B1928" s="9">
        <v>1954</v>
      </c>
      <c r="C1928" s="9"/>
      <c r="D1928" s="9"/>
      <c r="E1928" s="9"/>
      <c r="F1928" s="9"/>
      <c r="G1928" s="9"/>
      <c r="H1928" s="9"/>
      <c r="I1928" s="11" t="e">
        <f>VLOOKUP(H1928,위치!B:C,2,0)</f>
        <v>#N/A</v>
      </c>
      <c r="J1928" s="9"/>
      <c r="K1928" s="9"/>
      <c r="L1928" s="9" t="e">
        <f>VLOOKUP(H1928,위치!B:D,3,0)</f>
        <v>#N/A</v>
      </c>
      <c r="M1928" s="12"/>
      <c r="N1928" s="5"/>
      <c r="O1928" s="5"/>
      <c r="P1928" s="5"/>
      <c r="Q1928" s="14"/>
      <c r="R1928" s="15">
        <f t="shared" si="30"/>
        <v>0</v>
      </c>
    </row>
    <row r="1929" spans="2:18" x14ac:dyDescent="0.35">
      <c r="B1929" s="9">
        <v>1955</v>
      </c>
      <c r="C1929" s="9"/>
      <c r="D1929" s="9"/>
      <c r="E1929" s="9"/>
      <c r="F1929" s="9"/>
      <c r="G1929" s="9"/>
      <c r="H1929" s="9"/>
      <c r="I1929" s="11" t="e">
        <f>VLOOKUP(H1929,위치!B:C,2,0)</f>
        <v>#N/A</v>
      </c>
      <c r="J1929" s="9"/>
      <c r="K1929" s="9"/>
      <c r="L1929" s="9" t="e">
        <f>VLOOKUP(H1929,위치!B:D,3,0)</f>
        <v>#N/A</v>
      </c>
      <c r="M1929" s="12"/>
      <c r="N1929" s="5"/>
      <c r="O1929" s="5"/>
      <c r="P1929" s="5"/>
      <c r="Q1929" s="14"/>
      <c r="R1929" s="15">
        <f t="shared" si="30"/>
        <v>0</v>
      </c>
    </row>
    <row r="1930" spans="2:18" x14ac:dyDescent="0.35">
      <c r="B1930" s="9">
        <v>1956</v>
      </c>
      <c r="C1930" s="9"/>
      <c r="D1930" s="9"/>
      <c r="E1930" s="9"/>
      <c r="F1930" s="9"/>
      <c r="G1930" s="9"/>
      <c r="H1930" s="9"/>
      <c r="I1930" s="11" t="e">
        <f>VLOOKUP(H1930,위치!B:C,2,0)</f>
        <v>#N/A</v>
      </c>
      <c r="J1930" s="9"/>
      <c r="K1930" s="9"/>
      <c r="L1930" s="9" t="e">
        <f>VLOOKUP(H1930,위치!B:D,3,0)</f>
        <v>#N/A</v>
      </c>
      <c r="M1930" s="12"/>
      <c r="N1930" s="5"/>
      <c r="O1930" s="5"/>
      <c r="P1930" s="5"/>
      <c r="Q1930" s="14"/>
      <c r="R1930" s="15">
        <f t="shared" si="30"/>
        <v>0</v>
      </c>
    </row>
    <row r="1931" spans="2:18" x14ac:dyDescent="0.35">
      <c r="B1931" s="9">
        <v>1957</v>
      </c>
      <c r="C1931" s="9"/>
      <c r="D1931" s="9"/>
      <c r="E1931" s="9"/>
      <c r="F1931" s="9"/>
      <c r="G1931" s="9"/>
      <c r="H1931" s="9"/>
      <c r="I1931" s="11" t="e">
        <f>VLOOKUP(H1931,위치!B:C,2,0)</f>
        <v>#N/A</v>
      </c>
      <c r="J1931" s="9"/>
      <c r="K1931" s="9"/>
      <c r="L1931" s="9" t="e">
        <f>VLOOKUP(H1931,위치!B:D,3,0)</f>
        <v>#N/A</v>
      </c>
      <c r="M1931" s="12"/>
      <c r="N1931" s="5"/>
      <c r="O1931" s="5"/>
      <c r="P1931" s="5"/>
      <c r="Q1931" s="14"/>
      <c r="R1931" s="15">
        <f t="shared" si="30"/>
        <v>0</v>
      </c>
    </row>
    <row r="1932" spans="2:18" x14ac:dyDescent="0.35">
      <c r="B1932" s="9">
        <v>1958</v>
      </c>
      <c r="C1932" s="9"/>
      <c r="D1932" s="9"/>
      <c r="E1932" s="9"/>
      <c r="F1932" s="9"/>
      <c r="G1932" s="9"/>
      <c r="H1932" s="9"/>
      <c r="I1932" s="11" t="e">
        <f>VLOOKUP(H1932,위치!B:C,2,0)</f>
        <v>#N/A</v>
      </c>
      <c r="J1932" s="9"/>
      <c r="K1932" s="9"/>
      <c r="L1932" s="9" t="e">
        <f>VLOOKUP(H1932,위치!B:D,3,0)</f>
        <v>#N/A</v>
      </c>
      <c r="M1932" s="12"/>
      <c r="N1932" s="5"/>
      <c r="O1932" s="5"/>
      <c r="P1932" s="5"/>
      <c r="Q1932" s="14"/>
      <c r="R1932" s="15">
        <f t="shared" si="30"/>
        <v>0</v>
      </c>
    </row>
    <row r="1933" spans="2:18" x14ac:dyDescent="0.35">
      <c r="B1933" s="9">
        <v>1959</v>
      </c>
      <c r="C1933" s="9"/>
      <c r="D1933" s="9"/>
      <c r="E1933" s="9"/>
      <c r="F1933" s="9"/>
      <c r="G1933" s="9"/>
      <c r="H1933" s="9"/>
      <c r="I1933" s="11" t="e">
        <f>VLOOKUP(H1933,위치!B:C,2,0)</f>
        <v>#N/A</v>
      </c>
      <c r="J1933" s="9"/>
      <c r="K1933" s="9"/>
      <c r="L1933" s="9" t="e">
        <f>VLOOKUP(H1933,위치!B:D,3,0)</f>
        <v>#N/A</v>
      </c>
      <c r="M1933" s="12"/>
      <c r="N1933" s="5"/>
      <c r="O1933" s="5"/>
      <c r="P1933" s="5"/>
      <c r="Q1933" s="14"/>
      <c r="R1933" s="15">
        <f t="shared" si="30"/>
        <v>0</v>
      </c>
    </row>
    <row r="1934" spans="2:18" x14ac:dyDescent="0.35">
      <c r="B1934" s="9">
        <v>1960</v>
      </c>
      <c r="C1934" s="9"/>
      <c r="D1934" s="9"/>
      <c r="E1934" s="9"/>
      <c r="F1934" s="9"/>
      <c r="G1934" s="9"/>
      <c r="H1934" s="9"/>
      <c r="I1934" s="11" t="e">
        <f>VLOOKUP(H1934,위치!B:C,2,0)</f>
        <v>#N/A</v>
      </c>
      <c r="J1934" s="9"/>
      <c r="K1934" s="9"/>
      <c r="L1934" s="9" t="e">
        <f>VLOOKUP(H1934,위치!B:D,3,0)</f>
        <v>#N/A</v>
      </c>
      <c r="M1934" s="12"/>
      <c r="N1934" s="5"/>
      <c r="O1934" s="5"/>
      <c r="P1934" s="5"/>
      <c r="Q1934" s="14"/>
      <c r="R1934" s="15">
        <f t="shared" si="30"/>
        <v>0</v>
      </c>
    </row>
    <row r="1935" spans="2:18" x14ac:dyDescent="0.35">
      <c r="B1935" s="9">
        <v>1961</v>
      </c>
      <c r="C1935" s="9"/>
      <c r="D1935" s="9"/>
      <c r="E1935" s="9"/>
      <c r="F1935" s="9"/>
      <c r="G1935" s="9"/>
      <c r="H1935" s="9"/>
      <c r="I1935" s="11" t="e">
        <f>VLOOKUP(H1935,위치!B:C,2,0)</f>
        <v>#N/A</v>
      </c>
      <c r="J1935" s="9"/>
      <c r="K1935" s="9"/>
      <c r="L1935" s="9" t="e">
        <f>VLOOKUP(H1935,위치!B:D,3,0)</f>
        <v>#N/A</v>
      </c>
      <c r="M1935" s="12"/>
      <c r="N1935" s="5"/>
      <c r="O1935" s="5"/>
      <c r="P1935" s="5"/>
      <c r="Q1935" s="14"/>
      <c r="R1935" s="15">
        <f t="shared" si="30"/>
        <v>0</v>
      </c>
    </row>
    <row r="1936" spans="2:18" x14ac:dyDescent="0.35">
      <c r="B1936" s="9">
        <v>1962</v>
      </c>
      <c r="C1936" s="9"/>
      <c r="D1936" s="9"/>
      <c r="E1936" s="9"/>
      <c r="F1936" s="9"/>
      <c r="G1936" s="9"/>
      <c r="H1936" s="9"/>
      <c r="I1936" s="11" t="e">
        <f>VLOOKUP(H1936,위치!B:C,2,0)</f>
        <v>#N/A</v>
      </c>
      <c r="J1936" s="9"/>
      <c r="K1936" s="9"/>
      <c r="L1936" s="9" t="e">
        <f>VLOOKUP(H1936,위치!B:D,3,0)</f>
        <v>#N/A</v>
      </c>
      <c r="M1936" s="12"/>
      <c r="N1936" s="5"/>
      <c r="O1936" s="5"/>
      <c r="P1936" s="5"/>
      <c r="Q1936" s="14"/>
      <c r="R1936" s="15">
        <f t="shared" si="30"/>
        <v>0</v>
      </c>
    </row>
    <row r="1937" spans="2:18" x14ac:dyDescent="0.35">
      <c r="B1937" s="9">
        <v>1963</v>
      </c>
      <c r="C1937" s="9"/>
      <c r="D1937" s="9"/>
      <c r="E1937" s="9"/>
      <c r="F1937" s="9"/>
      <c r="G1937" s="9"/>
      <c r="H1937" s="9"/>
      <c r="I1937" s="11" t="e">
        <f>VLOOKUP(H1937,위치!B:C,2,0)</f>
        <v>#N/A</v>
      </c>
      <c r="J1937" s="9"/>
      <c r="K1937" s="9"/>
      <c r="L1937" s="9" t="e">
        <f>VLOOKUP(H1937,위치!B:D,3,0)</f>
        <v>#N/A</v>
      </c>
      <c r="M1937" s="12"/>
      <c r="N1937" s="5"/>
      <c r="O1937" s="5"/>
      <c r="P1937" s="5"/>
      <c r="Q1937" s="14"/>
      <c r="R1937" s="15">
        <f t="shared" si="30"/>
        <v>0</v>
      </c>
    </row>
    <row r="1938" spans="2:18" x14ac:dyDescent="0.35">
      <c r="B1938" s="9">
        <v>1964</v>
      </c>
      <c r="C1938" s="9"/>
      <c r="D1938" s="9"/>
      <c r="E1938" s="9"/>
      <c r="F1938" s="9"/>
      <c r="G1938" s="9"/>
      <c r="H1938" s="9"/>
      <c r="I1938" s="11" t="e">
        <f>VLOOKUP(H1938,위치!B:C,2,0)</f>
        <v>#N/A</v>
      </c>
      <c r="J1938" s="9"/>
      <c r="K1938" s="9"/>
      <c r="L1938" s="9" t="e">
        <f>VLOOKUP(H1938,위치!B:D,3,0)</f>
        <v>#N/A</v>
      </c>
      <c r="M1938" s="12"/>
      <c r="N1938" s="5"/>
      <c r="O1938" s="5"/>
      <c r="P1938" s="5"/>
      <c r="Q1938" s="14"/>
      <c r="R1938" s="15">
        <f t="shared" si="30"/>
        <v>0</v>
      </c>
    </row>
    <row r="1939" spans="2:18" x14ac:dyDescent="0.35">
      <c r="B1939" s="9">
        <v>1965</v>
      </c>
      <c r="C1939" s="9"/>
      <c r="D1939" s="9"/>
      <c r="E1939" s="9"/>
      <c r="F1939" s="9"/>
      <c r="G1939" s="9"/>
      <c r="H1939" s="9"/>
      <c r="I1939" s="11" t="e">
        <f>VLOOKUP(H1939,위치!B:C,2,0)</f>
        <v>#N/A</v>
      </c>
      <c r="J1939" s="9"/>
      <c r="K1939" s="9"/>
      <c r="L1939" s="9" t="e">
        <f>VLOOKUP(H1939,위치!B:D,3,0)</f>
        <v>#N/A</v>
      </c>
      <c r="M1939" s="12"/>
      <c r="N1939" s="5"/>
      <c r="O1939" s="5"/>
      <c r="P1939" s="5"/>
      <c r="Q1939" s="14"/>
      <c r="R1939" s="15">
        <f t="shared" si="30"/>
        <v>0</v>
      </c>
    </row>
    <row r="1940" spans="2:18" x14ac:dyDescent="0.35">
      <c r="B1940" s="9">
        <v>1966</v>
      </c>
      <c r="C1940" s="9"/>
      <c r="D1940" s="9"/>
      <c r="E1940" s="9"/>
      <c r="F1940" s="9"/>
      <c r="G1940" s="9"/>
      <c r="H1940" s="9"/>
      <c r="I1940" s="11" t="e">
        <f>VLOOKUP(H1940,위치!B:C,2,0)</f>
        <v>#N/A</v>
      </c>
      <c r="J1940" s="9"/>
      <c r="K1940" s="9"/>
      <c r="L1940" s="9" t="e">
        <f>VLOOKUP(H1940,위치!B:D,3,0)</f>
        <v>#N/A</v>
      </c>
      <c r="M1940" s="12"/>
      <c r="N1940" s="5"/>
      <c r="O1940" s="5"/>
      <c r="P1940" s="5"/>
      <c r="Q1940" s="14"/>
      <c r="R1940" s="15">
        <f t="shared" si="30"/>
        <v>0</v>
      </c>
    </row>
    <row r="1941" spans="2:18" x14ac:dyDescent="0.35">
      <c r="B1941" s="9">
        <v>1967</v>
      </c>
      <c r="C1941" s="9"/>
      <c r="D1941" s="9"/>
      <c r="E1941" s="9"/>
      <c r="F1941" s="9"/>
      <c r="G1941" s="9"/>
      <c r="H1941" s="9"/>
      <c r="I1941" s="11" t="e">
        <f>VLOOKUP(H1941,위치!B:C,2,0)</f>
        <v>#N/A</v>
      </c>
      <c r="J1941" s="9"/>
      <c r="K1941" s="9"/>
      <c r="L1941" s="9" t="e">
        <f>VLOOKUP(H1941,위치!B:D,3,0)</f>
        <v>#N/A</v>
      </c>
      <c r="M1941" s="12"/>
      <c r="N1941" s="5"/>
      <c r="O1941" s="5"/>
      <c r="P1941" s="5"/>
      <c r="Q1941" s="14"/>
      <c r="R1941" s="15">
        <f t="shared" si="30"/>
        <v>0</v>
      </c>
    </row>
    <row r="1942" spans="2:18" x14ac:dyDescent="0.35">
      <c r="B1942" s="9">
        <v>1968</v>
      </c>
      <c r="C1942" s="9"/>
      <c r="D1942" s="9"/>
      <c r="E1942" s="9"/>
      <c r="F1942" s="9"/>
      <c r="G1942" s="9"/>
      <c r="H1942" s="9"/>
      <c r="I1942" s="11" t="e">
        <f>VLOOKUP(H1942,위치!B:C,2,0)</f>
        <v>#N/A</v>
      </c>
      <c r="J1942" s="9"/>
      <c r="K1942" s="9"/>
      <c r="L1942" s="9" t="e">
        <f>VLOOKUP(H1942,위치!B:D,3,0)</f>
        <v>#N/A</v>
      </c>
      <c r="M1942" s="12"/>
      <c r="N1942" s="5"/>
      <c r="O1942" s="5"/>
      <c r="P1942" s="5"/>
      <c r="Q1942" s="14"/>
      <c r="R1942" s="15">
        <f t="shared" si="30"/>
        <v>0</v>
      </c>
    </row>
    <row r="1943" spans="2:18" x14ac:dyDescent="0.35">
      <c r="B1943" s="9">
        <v>1969</v>
      </c>
      <c r="C1943" s="9"/>
      <c r="D1943" s="9"/>
      <c r="E1943" s="9"/>
      <c r="F1943" s="9"/>
      <c r="G1943" s="9"/>
      <c r="H1943" s="9"/>
      <c r="I1943" s="11" t="e">
        <f>VLOOKUP(H1943,위치!B:C,2,0)</f>
        <v>#N/A</v>
      </c>
      <c r="J1943" s="9"/>
      <c r="K1943" s="9"/>
      <c r="L1943" s="9" t="e">
        <f>VLOOKUP(H1943,위치!B:D,3,0)</f>
        <v>#N/A</v>
      </c>
      <c r="M1943" s="12"/>
      <c r="N1943" s="5"/>
      <c r="O1943" s="5"/>
      <c r="P1943" s="5"/>
      <c r="Q1943" s="14"/>
      <c r="R1943" s="15">
        <f t="shared" si="30"/>
        <v>0</v>
      </c>
    </row>
    <row r="1944" spans="2:18" x14ac:dyDescent="0.35">
      <c r="B1944" s="9">
        <v>1970</v>
      </c>
      <c r="C1944" s="9"/>
      <c r="D1944" s="9"/>
      <c r="E1944" s="9"/>
      <c r="F1944" s="9"/>
      <c r="G1944" s="9"/>
      <c r="H1944" s="9"/>
      <c r="I1944" s="11" t="e">
        <f>VLOOKUP(H1944,위치!B:C,2,0)</f>
        <v>#N/A</v>
      </c>
      <c r="J1944" s="9"/>
      <c r="K1944" s="9"/>
      <c r="L1944" s="9" t="e">
        <f>VLOOKUP(H1944,위치!B:D,3,0)</f>
        <v>#N/A</v>
      </c>
      <c r="M1944" s="12"/>
      <c r="N1944" s="5"/>
      <c r="O1944" s="5"/>
      <c r="P1944" s="5"/>
      <c r="Q1944" s="14"/>
      <c r="R1944" s="15">
        <f t="shared" si="30"/>
        <v>0</v>
      </c>
    </row>
    <row r="1945" spans="2:18" x14ac:dyDescent="0.35">
      <c r="B1945" s="9">
        <v>1971</v>
      </c>
      <c r="C1945" s="9"/>
      <c r="D1945" s="9"/>
      <c r="E1945" s="9"/>
      <c r="F1945" s="9"/>
      <c r="G1945" s="9"/>
      <c r="H1945" s="9"/>
      <c r="I1945" s="11" t="e">
        <f>VLOOKUP(H1945,위치!B:C,2,0)</f>
        <v>#N/A</v>
      </c>
      <c r="J1945" s="9"/>
      <c r="K1945" s="9"/>
      <c r="L1945" s="9" t="e">
        <f>VLOOKUP(H1945,위치!B:D,3,0)</f>
        <v>#N/A</v>
      </c>
      <c r="M1945" s="12"/>
      <c r="N1945" s="5"/>
      <c r="O1945" s="5"/>
      <c r="P1945" s="5"/>
      <c r="Q1945" s="14"/>
      <c r="R1945" s="15">
        <f t="shared" si="30"/>
        <v>0</v>
      </c>
    </row>
    <row r="1946" spans="2:18" x14ac:dyDescent="0.35">
      <c r="B1946" s="9">
        <v>1972</v>
      </c>
      <c r="C1946" s="9"/>
      <c r="D1946" s="9"/>
      <c r="E1946" s="9"/>
      <c r="F1946" s="9"/>
      <c r="G1946" s="9"/>
      <c r="H1946" s="9"/>
      <c r="I1946" s="11" t="e">
        <f>VLOOKUP(H1946,위치!B:C,2,0)</f>
        <v>#N/A</v>
      </c>
      <c r="J1946" s="9"/>
      <c r="K1946" s="9"/>
      <c r="L1946" s="9" t="e">
        <f>VLOOKUP(H1946,위치!B:D,3,0)</f>
        <v>#N/A</v>
      </c>
      <c r="M1946" s="12"/>
      <c r="N1946" s="5"/>
      <c r="O1946" s="5"/>
      <c r="P1946" s="5"/>
      <c r="Q1946" s="14"/>
      <c r="R1946" s="15">
        <f t="shared" si="30"/>
        <v>0</v>
      </c>
    </row>
    <row r="1947" spans="2:18" x14ac:dyDescent="0.35">
      <c r="B1947" s="9">
        <v>1973</v>
      </c>
      <c r="C1947" s="9"/>
      <c r="D1947" s="9"/>
      <c r="E1947" s="9"/>
      <c r="F1947" s="9"/>
      <c r="G1947" s="9"/>
      <c r="H1947" s="9"/>
      <c r="I1947" s="11" t="e">
        <f>VLOOKUP(H1947,위치!B:C,2,0)</f>
        <v>#N/A</v>
      </c>
      <c r="J1947" s="9"/>
      <c r="K1947" s="9"/>
      <c r="L1947" s="9" t="e">
        <f>VLOOKUP(H1947,위치!B:D,3,0)</f>
        <v>#N/A</v>
      </c>
      <c r="M1947" s="12"/>
      <c r="N1947" s="5"/>
      <c r="O1947" s="5"/>
      <c r="P1947" s="5"/>
      <c r="Q1947" s="14"/>
      <c r="R1947" s="15">
        <f t="shared" si="30"/>
        <v>0</v>
      </c>
    </row>
    <row r="1948" spans="2:18" x14ac:dyDescent="0.35">
      <c r="B1948" s="9">
        <v>1974</v>
      </c>
      <c r="C1948" s="9"/>
      <c r="D1948" s="9"/>
      <c r="E1948" s="9"/>
      <c r="F1948" s="9"/>
      <c r="G1948" s="9"/>
      <c r="H1948" s="9"/>
      <c r="I1948" s="11" t="e">
        <f>VLOOKUP(H1948,위치!B:C,2,0)</f>
        <v>#N/A</v>
      </c>
      <c r="J1948" s="9"/>
      <c r="K1948" s="9"/>
      <c r="L1948" s="9" t="e">
        <f>VLOOKUP(H1948,위치!B:D,3,0)</f>
        <v>#N/A</v>
      </c>
      <c r="M1948" s="12"/>
      <c r="N1948" s="5"/>
      <c r="O1948" s="5"/>
      <c r="P1948" s="5"/>
      <c r="Q1948" s="14"/>
      <c r="R1948" s="15">
        <f t="shared" si="30"/>
        <v>0</v>
      </c>
    </row>
    <row r="1949" spans="2:18" x14ac:dyDescent="0.35">
      <c r="B1949" s="9">
        <v>1975</v>
      </c>
      <c r="C1949" s="9"/>
      <c r="D1949" s="9"/>
      <c r="E1949" s="9"/>
      <c r="F1949" s="9"/>
      <c r="G1949" s="9"/>
      <c r="H1949" s="9"/>
      <c r="I1949" s="11" t="e">
        <f>VLOOKUP(H1949,위치!B:C,2,0)</f>
        <v>#N/A</v>
      </c>
      <c r="J1949" s="9"/>
      <c r="K1949" s="9"/>
      <c r="L1949" s="9" t="e">
        <f>VLOOKUP(H1949,위치!B:D,3,0)</f>
        <v>#N/A</v>
      </c>
      <c r="M1949" s="12"/>
      <c r="N1949" s="5"/>
      <c r="O1949" s="5"/>
      <c r="P1949" s="5"/>
      <c r="Q1949" s="14"/>
      <c r="R1949" s="15">
        <f t="shared" si="30"/>
        <v>0</v>
      </c>
    </row>
    <row r="1950" spans="2:18" x14ac:dyDescent="0.35">
      <c r="B1950" s="9">
        <v>1976</v>
      </c>
      <c r="C1950" s="9"/>
      <c r="D1950" s="9"/>
      <c r="E1950" s="9"/>
      <c r="F1950" s="9"/>
      <c r="G1950" s="9"/>
      <c r="H1950" s="9"/>
      <c r="I1950" s="11" t="e">
        <f>VLOOKUP(H1950,위치!B:C,2,0)</f>
        <v>#N/A</v>
      </c>
      <c r="J1950" s="9"/>
      <c r="K1950" s="9"/>
      <c r="L1950" s="9" t="e">
        <f>VLOOKUP(H1950,위치!B:D,3,0)</f>
        <v>#N/A</v>
      </c>
      <c r="M1950" s="12"/>
      <c r="N1950" s="5"/>
      <c r="O1950" s="5"/>
      <c r="P1950" s="5"/>
      <c r="Q1950" s="14"/>
      <c r="R1950" s="15">
        <f t="shared" si="30"/>
        <v>0</v>
      </c>
    </row>
    <row r="1951" spans="2:18" x14ac:dyDescent="0.35">
      <c r="B1951" s="9">
        <v>1977</v>
      </c>
      <c r="C1951" s="9"/>
      <c r="D1951" s="9"/>
      <c r="E1951" s="9"/>
      <c r="F1951" s="9"/>
      <c r="G1951" s="9"/>
      <c r="H1951" s="9"/>
      <c r="I1951" s="11" t="e">
        <f>VLOOKUP(H1951,위치!B:C,2,0)</f>
        <v>#N/A</v>
      </c>
      <c r="J1951" s="9"/>
      <c r="K1951" s="9"/>
      <c r="L1951" s="9" t="e">
        <f>VLOOKUP(H1951,위치!B:D,3,0)</f>
        <v>#N/A</v>
      </c>
      <c r="M1951" s="12"/>
      <c r="N1951" s="5"/>
      <c r="O1951" s="5"/>
      <c r="P1951" s="5"/>
      <c r="Q1951" s="14"/>
      <c r="R1951" s="15">
        <f t="shared" si="30"/>
        <v>0</v>
      </c>
    </row>
    <row r="1952" spans="2:18" x14ac:dyDescent="0.35">
      <c r="B1952" s="9">
        <v>1978</v>
      </c>
      <c r="C1952" s="9"/>
      <c r="D1952" s="9"/>
      <c r="E1952" s="9"/>
      <c r="F1952" s="9"/>
      <c r="G1952" s="9"/>
      <c r="H1952" s="9"/>
      <c r="I1952" s="11" t="e">
        <f>VLOOKUP(H1952,위치!B:C,2,0)</f>
        <v>#N/A</v>
      </c>
      <c r="J1952" s="9"/>
      <c r="K1952" s="9"/>
      <c r="L1952" s="9" t="e">
        <f>VLOOKUP(H1952,위치!B:D,3,0)</f>
        <v>#N/A</v>
      </c>
      <c r="M1952" s="12"/>
      <c r="N1952" s="5"/>
      <c r="O1952" s="5"/>
      <c r="P1952" s="5"/>
      <c r="Q1952" s="14"/>
      <c r="R1952" s="15">
        <f t="shared" si="30"/>
        <v>0</v>
      </c>
    </row>
    <row r="1953" spans="2:18" x14ac:dyDescent="0.35">
      <c r="B1953" s="9">
        <v>1979</v>
      </c>
      <c r="C1953" s="9"/>
      <c r="D1953" s="9"/>
      <c r="E1953" s="9"/>
      <c r="F1953" s="9"/>
      <c r="G1953" s="9"/>
      <c r="H1953" s="9"/>
      <c r="I1953" s="11" t="e">
        <f>VLOOKUP(H1953,위치!B:C,2,0)</f>
        <v>#N/A</v>
      </c>
      <c r="J1953" s="9"/>
      <c r="K1953" s="9"/>
      <c r="L1953" s="9" t="e">
        <f>VLOOKUP(H1953,위치!B:D,3,0)</f>
        <v>#N/A</v>
      </c>
      <c r="M1953" s="12"/>
      <c r="N1953" s="5"/>
      <c r="O1953" s="5"/>
      <c r="P1953" s="5"/>
      <c r="Q1953" s="14"/>
      <c r="R1953" s="15">
        <f t="shared" si="30"/>
        <v>0</v>
      </c>
    </row>
    <row r="1954" spans="2:18" x14ac:dyDescent="0.35">
      <c r="B1954" s="9">
        <v>1980</v>
      </c>
      <c r="C1954" s="9"/>
      <c r="D1954" s="9"/>
      <c r="E1954" s="9"/>
      <c r="F1954" s="9"/>
      <c r="G1954" s="9"/>
      <c r="H1954" s="9"/>
      <c r="I1954" s="11" t="e">
        <f>VLOOKUP(H1954,위치!B:C,2,0)</f>
        <v>#N/A</v>
      </c>
      <c r="J1954" s="9"/>
      <c r="K1954" s="9"/>
      <c r="L1954" s="9" t="e">
        <f>VLOOKUP(H1954,위치!B:D,3,0)</f>
        <v>#N/A</v>
      </c>
      <c r="M1954" s="12"/>
      <c r="N1954" s="5"/>
      <c r="O1954" s="5"/>
      <c r="P1954" s="5"/>
      <c r="Q1954" s="14"/>
      <c r="R1954" s="15">
        <f t="shared" si="30"/>
        <v>0</v>
      </c>
    </row>
    <row r="1955" spans="2:18" x14ac:dyDescent="0.35">
      <c r="B1955" s="9">
        <v>1981</v>
      </c>
      <c r="C1955" s="9"/>
      <c r="D1955" s="9"/>
      <c r="E1955" s="9"/>
      <c r="F1955" s="9"/>
      <c r="G1955" s="9"/>
      <c r="H1955" s="9"/>
      <c r="I1955" s="11" t="e">
        <f>VLOOKUP(H1955,위치!B:C,2,0)</f>
        <v>#N/A</v>
      </c>
      <c r="J1955" s="9"/>
      <c r="K1955" s="9"/>
      <c r="L1955" s="9" t="e">
        <f>VLOOKUP(H1955,위치!B:D,3,0)</f>
        <v>#N/A</v>
      </c>
      <c r="M1955" s="12"/>
      <c r="N1955" s="5"/>
      <c r="O1955" s="5"/>
      <c r="P1955" s="5"/>
      <c r="Q1955" s="14"/>
      <c r="R1955" s="15">
        <f t="shared" si="30"/>
        <v>0</v>
      </c>
    </row>
    <row r="1956" spans="2:18" x14ac:dyDescent="0.35">
      <c r="B1956" s="9">
        <v>1982</v>
      </c>
      <c r="C1956" s="9"/>
      <c r="D1956" s="9"/>
      <c r="E1956" s="9"/>
      <c r="F1956" s="9"/>
      <c r="G1956" s="9"/>
      <c r="H1956" s="9"/>
      <c r="I1956" s="11" t="e">
        <f>VLOOKUP(H1956,위치!B:C,2,0)</f>
        <v>#N/A</v>
      </c>
      <c r="J1956" s="9"/>
      <c r="K1956" s="9"/>
      <c r="L1956" s="9" t="e">
        <f>VLOOKUP(H1956,위치!B:D,3,0)</f>
        <v>#N/A</v>
      </c>
      <c r="M1956" s="12"/>
      <c r="N1956" s="5"/>
      <c r="O1956" s="5"/>
      <c r="P1956" s="5"/>
      <c r="Q1956" s="14"/>
      <c r="R1956" s="15">
        <f t="shared" si="30"/>
        <v>0</v>
      </c>
    </row>
    <row r="1957" spans="2:18" x14ac:dyDescent="0.35">
      <c r="B1957" s="9">
        <v>1983</v>
      </c>
      <c r="C1957" s="9"/>
      <c r="D1957" s="9"/>
      <c r="E1957" s="9"/>
      <c r="F1957" s="9"/>
      <c r="G1957" s="9"/>
      <c r="H1957" s="9"/>
      <c r="I1957" s="11" t="e">
        <f>VLOOKUP(H1957,위치!B:C,2,0)</f>
        <v>#N/A</v>
      </c>
      <c r="J1957" s="9"/>
      <c r="K1957" s="9"/>
      <c r="L1957" s="9" t="e">
        <f>VLOOKUP(H1957,위치!B:D,3,0)</f>
        <v>#N/A</v>
      </c>
      <c r="M1957" s="12"/>
      <c r="N1957" s="5"/>
      <c r="O1957" s="5"/>
      <c r="P1957" s="5"/>
      <c r="Q1957" s="14"/>
      <c r="R1957" s="15">
        <f t="shared" si="30"/>
        <v>0</v>
      </c>
    </row>
    <row r="1958" spans="2:18" x14ac:dyDescent="0.35">
      <c r="B1958" s="9">
        <v>1984</v>
      </c>
      <c r="C1958" s="9"/>
      <c r="D1958" s="9"/>
      <c r="E1958" s="9"/>
      <c r="F1958" s="9"/>
      <c r="G1958" s="9"/>
      <c r="H1958" s="9"/>
      <c r="I1958" s="11" t="e">
        <f>VLOOKUP(H1958,위치!B:C,2,0)</f>
        <v>#N/A</v>
      </c>
      <c r="J1958" s="9"/>
      <c r="K1958" s="9"/>
      <c r="L1958" s="9" t="e">
        <f>VLOOKUP(H1958,위치!B:D,3,0)</f>
        <v>#N/A</v>
      </c>
      <c r="M1958" s="12"/>
      <c r="N1958" s="5"/>
      <c r="O1958" s="5"/>
      <c r="P1958" s="5"/>
      <c r="Q1958" s="14"/>
      <c r="R1958" s="15">
        <f t="shared" si="30"/>
        <v>0</v>
      </c>
    </row>
    <row r="1959" spans="2:18" x14ac:dyDescent="0.35">
      <c r="B1959" s="9">
        <v>1985</v>
      </c>
      <c r="C1959" s="9"/>
      <c r="D1959" s="9"/>
      <c r="E1959" s="9"/>
      <c r="F1959" s="9"/>
      <c r="G1959" s="9"/>
      <c r="H1959" s="9"/>
      <c r="I1959" s="11" t="e">
        <f>VLOOKUP(H1959,위치!B:C,2,0)</f>
        <v>#N/A</v>
      </c>
      <c r="J1959" s="9"/>
      <c r="K1959" s="9"/>
      <c r="L1959" s="9" t="e">
        <f>VLOOKUP(H1959,위치!B:D,3,0)</f>
        <v>#N/A</v>
      </c>
      <c r="M1959" s="12"/>
      <c r="N1959" s="5"/>
      <c r="O1959" s="5"/>
      <c r="P1959" s="5"/>
      <c r="Q1959" s="14"/>
      <c r="R1959" s="15">
        <f t="shared" si="30"/>
        <v>0</v>
      </c>
    </row>
    <row r="1960" spans="2:18" x14ac:dyDescent="0.35">
      <c r="B1960" s="9">
        <v>1986</v>
      </c>
      <c r="C1960" s="9"/>
      <c r="D1960" s="9"/>
      <c r="E1960" s="9"/>
      <c r="F1960" s="9"/>
      <c r="G1960" s="9"/>
      <c r="H1960" s="9"/>
      <c r="I1960" s="11" t="e">
        <f>VLOOKUP(H1960,위치!B:C,2,0)</f>
        <v>#N/A</v>
      </c>
      <c r="J1960" s="9"/>
      <c r="K1960" s="9"/>
      <c r="L1960" s="9" t="e">
        <f>VLOOKUP(H1960,위치!B:D,3,0)</f>
        <v>#N/A</v>
      </c>
      <c r="M1960" s="12"/>
      <c r="N1960" s="5"/>
      <c r="O1960" s="5"/>
      <c r="P1960" s="5"/>
      <c r="Q1960" s="14"/>
      <c r="R1960" s="15">
        <f t="shared" si="30"/>
        <v>0</v>
      </c>
    </row>
    <row r="1961" spans="2:18" x14ac:dyDescent="0.35">
      <c r="B1961" s="9">
        <v>1987</v>
      </c>
      <c r="C1961" s="9"/>
      <c r="D1961" s="9"/>
      <c r="E1961" s="9"/>
      <c r="F1961" s="9"/>
      <c r="G1961" s="9"/>
      <c r="H1961" s="9"/>
      <c r="I1961" s="11" t="e">
        <f>VLOOKUP(H1961,위치!B:C,2,0)</f>
        <v>#N/A</v>
      </c>
      <c r="J1961" s="9"/>
      <c r="K1961" s="9"/>
      <c r="L1961" s="9" t="e">
        <f>VLOOKUP(H1961,위치!B:D,3,0)</f>
        <v>#N/A</v>
      </c>
      <c r="M1961" s="12"/>
      <c r="N1961" s="5"/>
      <c r="O1961" s="5"/>
      <c r="P1961" s="5"/>
      <c r="Q1961" s="14"/>
      <c r="R1961" s="15">
        <f t="shared" si="30"/>
        <v>0</v>
      </c>
    </row>
    <row r="1962" spans="2:18" x14ac:dyDescent="0.35">
      <c r="B1962" s="9">
        <v>1988</v>
      </c>
      <c r="C1962" s="9"/>
      <c r="D1962" s="9"/>
      <c r="E1962" s="9"/>
      <c r="F1962" s="9"/>
      <c r="G1962" s="9"/>
      <c r="H1962" s="9"/>
      <c r="I1962" s="11" t="e">
        <f>VLOOKUP(H1962,위치!B:C,2,0)</f>
        <v>#N/A</v>
      </c>
      <c r="J1962" s="9"/>
      <c r="K1962" s="9"/>
      <c r="L1962" s="9" t="e">
        <f>VLOOKUP(H1962,위치!B:D,3,0)</f>
        <v>#N/A</v>
      </c>
      <c r="M1962" s="12"/>
      <c r="N1962" s="5"/>
      <c r="O1962" s="5"/>
      <c r="P1962" s="5"/>
      <c r="Q1962" s="14"/>
      <c r="R1962" s="15">
        <f t="shared" si="30"/>
        <v>0</v>
      </c>
    </row>
    <row r="1963" spans="2:18" x14ac:dyDescent="0.35">
      <c r="B1963" s="9">
        <v>1989</v>
      </c>
      <c r="C1963" s="9"/>
      <c r="D1963" s="9"/>
      <c r="E1963" s="9"/>
      <c r="F1963" s="9"/>
      <c r="G1963" s="9"/>
      <c r="H1963" s="9"/>
      <c r="I1963" s="11" t="e">
        <f>VLOOKUP(H1963,위치!B:C,2,0)</f>
        <v>#N/A</v>
      </c>
      <c r="J1963" s="9"/>
      <c r="K1963" s="9"/>
      <c r="L1963" s="9" t="e">
        <f>VLOOKUP(H1963,위치!B:D,3,0)</f>
        <v>#N/A</v>
      </c>
      <c r="M1963" s="12"/>
      <c r="N1963" s="5"/>
      <c r="O1963" s="5"/>
      <c r="P1963" s="5"/>
      <c r="Q1963" s="14"/>
      <c r="R1963" s="15">
        <f t="shared" si="30"/>
        <v>0</v>
      </c>
    </row>
    <row r="1964" spans="2:18" x14ac:dyDescent="0.35">
      <c r="B1964" s="9">
        <v>1990</v>
      </c>
      <c r="C1964" s="9"/>
      <c r="D1964" s="9"/>
      <c r="E1964" s="9"/>
      <c r="F1964" s="9"/>
      <c r="G1964" s="9"/>
      <c r="H1964" s="9"/>
      <c r="I1964" s="11" t="e">
        <f>VLOOKUP(H1964,위치!B:C,2,0)</f>
        <v>#N/A</v>
      </c>
      <c r="J1964" s="9"/>
      <c r="K1964" s="9"/>
      <c r="L1964" s="9" t="e">
        <f>VLOOKUP(H1964,위치!B:D,3,0)</f>
        <v>#N/A</v>
      </c>
      <c r="M1964" s="12"/>
      <c r="N1964" s="5"/>
      <c r="O1964" s="5"/>
      <c r="P1964" s="5"/>
      <c r="Q1964" s="14"/>
      <c r="R1964" s="15">
        <f t="shared" si="30"/>
        <v>0</v>
      </c>
    </row>
    <row r="1965" spans="2:18" x14ac:dyDescent="0.35">
      <c r="B1965" s="9">
        <v>1991</v>
      </c>
      <c r="C1965" s="9"/>
      <c r="D1965" s="9"/>
      <c r="E1965" s="9"/>
      <c r="F1965" s="9"/>
      <c r="G1965" s="9"/>
      <c r="H1965" s="9"/>
      <c r="I1965" s="11" t="e">
        <f>VLOOKUP(H1965,위치!B:C,2,0)</f>
        <v>#N/A</v>
      </c>
      <c r="J1965" s="9"/>
      <c r="K1965" s="9"/>
      <c r="L1965" s="9" t="e">
        <f>VLOOKUP(H1965,위치!B:D,3,0)</f>
        <v>#N/A</v>
      </c>
      <c r="M1965" s="12"/>
      <c r="N1965" s="5"/>
      <c r="O1965" s="5"/>
      <c r="P1965" s="5"/>
      <c r="Q1965" s="14"/>
      <c r="R1965" s="15">
        <f t="shared" si="30"/>
        <v>0</v>
      </c>
    </row>
    <row r="1966" spans="2:18" x14ac:dyDescent="0.35">
      <c r="B1966" s="9">
        <v>1992</v>
      </c>
      <c r="C1966" s="9"/>
      <c r="D1966" s="9"/>
      <c r="E1966" s="9"/>
      <c r="F1966" s="9"/>
      <c r="G1966" s="9"/>
      <c r="H1966" s="9"/>
      <c r="I1966" s="11" t="e">
        <f>VLOOKUP(H1966,위치!B:C,2,0)</f>
        <v>#N/A</v>
      </c>
      <c r="J1966" s="9"/>
      <c r="K1966" s="9"/>
      <c r="L1966" s="9" t="e">
        <f>VLOOKUP(H1966,위치!B:D,3,0)</f>
        <v>#N/A</v>
      </c>
      <c r="M1966" s="12"/>
      <c r="N1966" s="5"/>
      <c r="O1966" s="5"/>
      <c r="P1966" s="5"/>
      <c r="Q1966" s="14"/>
      <c r="R1966" s="15">
        <f t="shared" si="30"/>
        <v>0</v>
      </c>
    </row>
    <row r="1967" spans="2:18" x14ac:dyDescent="0.35">
      <c r="B1967" s="9">
        <v>1993</v>
      </c>
      <c r="C1967" s="9"/>
      <c r="D1967" s="9"/>
      <c r="E1967" s="9"/>
      <c r="F1967" s="9"/>
      <c r="G1967" s="9"/>
      <c r="H1967" s="9"/>
      <c r="I1967" s="11" t="e">
        <f>VLOOKUP(H1967,위치!B:C,2,0)</f>
        <v>#N/A</v>
      </c>
      <c r="J1967" s="9"/>
      <c r="K1967" s="9"/>
      <c r="L1967" s="9" t="e">
        <f>VLOOKUP(H1967,위치!B:D,3,0)</f>
        <v>#N/A</v>
      </c>
      <c r="M1967" s="12"/>
      <c r="N1967" s="5"/>
      <c r="O1967" s="5"/>
      <c r="P1967" s="5"/>
      <c r="Q1967" s="14"/>
      <c r="R1967" s="15">
        <f t="shared" si="30"/>
        <v>0</v>
      </c>
    </row>
    <row r="1968" spans="2:18" x14ac:dyDescent="0.35">
      <c r="B1968" s="9">
        <v>1994</v>
      </c>
      <c r="C1968" s="9"/>
      <c r="D1968" s="9"/>
      <c r="E1968" s="9"/>
      <c r="F1968" s="9"/>
      <c r="G1968" s="9"/>
      <c r="H1968" s="9"/>
      <c r="I1968" s="11" t="e">
        <f>VLOOKUP(H1968,위치!B:C,2,0)</f>
        <v>#N/A</v>
      </c>
      <c r="J1968" s="9"/>
      <c r="K1968" s="9"/>
      <c r="L1968" s="9" t="e">
        <f>VLOOKUP(H1968,위치!B:D,3,0)</f>
        <v>#N/A</v>
      </c>
      <c r="M1968" s="12"/>
      <c r="N1968" s="5"/>
      <c r="O1968" s="5"/>
      <c r="P1968" s="5"/>
      <c r="Q1968" s="14"/>
      <c r="R1968" s="15">
        <f t="shared" si="30"/>
        <v>0</v>
      </c>
    </row>
    <row r="1969" spans="2:18" x14ac:dyDescent="0.35">
      <c r="B1969" s="9">
        <v>1995</v>
      </c>
      <c r="C1969" s="9"/>
      <c r="D1969" s="9"/>
      <c r="E1969" s="9"/>
      <c r="F1969" s="9"/>
      <c r="G1969" s="9"/>
      <c r="H1969" s="9"/>
      <c r="I1969" s="11" t="e">
        <f>VLOOKUP(H1969,위치!B:C,2,0)</f>
        <v>#N/A</v>
      </c>
      <c r="J1969" s="9"/>
      <c r="K1969" s="9"/>
      <c r="L1969" s="9" t="e">
        <f>VLOOKUP(H1969,위치!B:D,3,0)</f>
        <v>#N/A</v>
      </c>
      <c r="M1969" s="12"/>
      <c r="N1969" s="5"/>
      <c r="O1969" s="5"/>
      <c r="P1969" s="5"/>
      <c r="Q1969" s="14"/>
      <c r="R1969" s="15">
        <f t="shared" si="30"/>
        <v>0</v>
      </c>
    </row>
    <row r="1970" spans="2:18" x14ac:dyDescent="0.35">
      <c r="B1970" s="9">
        <v>1996</v>
      </c>
      <c r="C1970" s="9"/>
      <c r="D1970" s="9"/>
      <c r="E1970" s="9"/>
      <c r="F1970" s="9"/>
      <c r="G1970" s="9"/>
      <c r="H1970" s="9"/>
      <c r="I1970" s="11" t="e">
        <f>VLOOKUP(H1970,위치!B:C,2,0)</f>
        <v>#N/A</v>
      </c>
      <c r="J1970" s="9"/>
      <c r="K1970" s="9"/>
      <c r="L1970" s="9" t="e">
        <f>VLOOKUP(H1970,위치!B:D,3,0)</f>
        <v>#N/A</v>
      </c>
      <c r="M1970" s="12"/>
      <c r="N1970" s="5"/>
      <c r="O1970" s="5"/>
      <c r="P1970" s="5"/>
      <c r="Q1970" s="14"/>
      <c r="R1970" s="15">
        <f t="shared" si="30"/>
        <v>0</v>
      </c>
    </row>
    <row r="1971" spans="2:18" x14ac:dyDescent="0.35">
      <c r="B1971" s="9">
        <v>1997</v>
      </c>
      <c r="C1971" s="9"/>
      <c r="D1971" s="9"/>
      <c r="E1971" s="9"/>
      <c r="F1971" s="9"/>
      <c r="G1971" s="9"/>
      <c r="H1971" s="9"/>
      <c r="I1971" s="11" t="e">
        <f>VLOOKUP(H1971,위치!B:C,2,0)</f>
        <v>#N/A</v>
      </c>
      <c r="J1971" s="9"/>
      <c r="K1971" s="9"/>
      <c r="L1971" s="9" t="e">
        <f>VLOOKUP(H1971,위치!B:D,3,0)</f>
        <v>#N/A</v>
      </c>
      <c r="M1971" s="12"/>
      <c r="N1971" s="5"/>
      <c r="O1971" s="5"/>
      <c r="P1971" s="5"/>
      <c r="Q1971" s="14"/>
      <c r="R1971" s="15">
        <f t="shared" si="30"/>
        <v>0</v>
      </c>
    </row>
    <row r="1972" spans="2:18" x14ac:dyDescent="0.35">
      <c r="B1972" s="9">
        <v>1998</v>
      </c>
      <c r="C1972" s="9"/>
      <c r="D1972" s="9"/>
      <c r="E1972" s="9"/>
      <c r="F1972" s="9"/>
      <c r="G1972" s="9"/>
      <c r="H1972" s="9"/>
      <c r="I1972" s="11" t="e">
        <f>VLOOKUP(H1972,위치!B:C,2,0)</f>
        <v>#N/A</v>
      </c>
      <c r="J1972" s="9"/>
      <c r="K1972" s="9"/>
      <c r="L1972" s="9" t="e">
        <f>VLOOKUP(H1972,위치!B:D,3,0)</f>
        <v>#N/A</v>
      </c>
      <c r="M1972" s="12"/>
      <c r="N1972" s="5"/>
      <c r="O1972" s="5"/>
      <c r="P1972" s="5"/>
      <c r="Q1972" s="14"/>
      <c r="R1972" s="15">
        <f t="shared" si="30"/>
        <v>0</v>
      </c>
    </row>
    <row r="1973" spans="2:18" x14ac:dyDescent="0.35">
      <c r="B1973" s="9">
        <v>1999</v>
      </c>
      <c r="C1973" s="9"/>
      <c r="D1973" s="9"/>
      <c r="E1973" s="9"/>
      <c r="F1973" s="9"/>
      <c r="G1973" s="9"/>
      <c r="H1973" s="9"/>
      <c r="I1973" s="11" t="e">
        <f>VLOOKUP(H1973,위치!B:C,2,0)</f>
        <v>#N/A</v>
      </c>
      <c r="J1973" s="9"/>
      <c r="K1973" s="9"/>
      <c r="L1973" s="9" t="e">
        <f>VLOOKUP(H1973,위치!B:D,3,0)</f>
        <v>#N/A</v>
      </c>
      <c r="M1973" s="12"/>
      <c r="N1973" s="5"/>
      <c r="O1973" s="5"/>
      <c r="P1973" s="5"/>
      <c r="Q1973" s="14"/>
      <c r="R1973" s="15">
        <f t="shared" si="30"/>
        <v>0</v>
      </c>
    </row>
    <row r="1974" spans="2:18" x14ac:dyDescent="0.35">
      <c r="B1974" s="9">
        <v>2000</v>
      </c>
      <c r="C1974" s="9"/>
      <c r="D1974" s="9"/>
      <c r="E1974" s="9"/>
      <c r="F1974" s="9"/>
      <c r="G1974" s="9"/>
      <c r="H1974" s="9"/>
      <c r="I1974" s="11" t="e">
        <f>VLOOKUP(H1974,위치!B:C,2,0)</f>
        <v>#N/A</v>
      </c>
      <c r="J1974" s="9"/>
      <c r="K1974" s="9"/>
      <c r="L1974" s="9" t="e">
        <f>VLOOKUP(H1974,위치!B:D,3,0)</f>
        <v>#N/A</v>
      </c>
      <c r="M1974" s="12"/>
      <c r="N1974" s="5"/>
      <c r="O1974" s="5"/>
      <c r="P1974" s="5"/>
      <c r="Q1974" s="14"/>
      <c r="R1974" s="15">
        <f t="shared" si="30"/>
        <v>0</v>
      </c>
    </row>
    <row r="1975" spans="2:18" x14ac:dyDescent="0.35">
      <c r="B1975" s="9">
        <v>2001</v>
      </c>
      <c r="C1975" s="9"/>
      <c r="D1975" s="9"/>
      <c r="E1975" s="9"/>
      <c r="F1975" s="9"/>
      <c r="G1975" s="9"/>
      <c r="H1975" s="9"/>
      <c r="I1975" s="11" t="e">
        <f>VLOOKUP(H1975,위치!B:C,2,0)</f>
        <v>#N/A</v>
      </c>
      <c r="J1975" s="9"/>
      <c r="K1975" s="9"/>
      <c r="L1975" s="9" t="e">
        <f>VLOOKUP(H1975,위치!B:D,3,0)</f>
        <v>#N/A</v>
      </c>
      <c r="M1975" s="12"/>
      <c r="N1975" s="5"/>
      <c r="O1975" s="5"/>
      <c r="P1975" s="5"/>
      <c r="Q1975" s="14"/>
      <c r="R1975" s="15">
        <f t="shared" si="30"/>
        <v>0</v>
      </c>
    </row>
    <row r="1976" spans="2:18" x14ac:dyDescent="0.35">
      <c r="B1976" s="9">
        <v>2002</v>
      </c>
      <c r="C1976" s="9"/>
      <c r="D1976" s="9"/>
      <c r="E1976" s="9"/>
      <c r="F1976" s="9"/>
      <c r="G1976" s="9"/>
      <c r="H1976" s="9"/>
      <c r="I1976" s="11" t="e">
        <f>VLOOKUP(H1976,위치!B:C,2,0)</f>
        <v>#N/A</v>
      </c>
      <c r="J1976" s="9"/>
      <c r="K1976" s="9"/>
      <c r="L1976" s="9" t="e">
        <f>VLOOKUP(H1976,위치!B:D,3,0)</f>
        <v>#N/A</v>
      </c>
      <c r="M1976" s="12"/>
      <c r="N1976" s="5"/>
      <c r="O1976" s="5"/>
      <c r="P1976" s="5"/>
      <c r="Q1976" s="14"/>
      <c r="R1976" s="15">
        <f t="shared" si="30"/>
        <v>0</v>
      </c>
    </row>
    <row r="1977" spans="2:18" x14ac:dyDescent="0.35">
      <c r="B1977" s="9">
        <v>2003</v>
      </c>
      <c r="C1977" s="9"/>
      <c r="D1977" s="9"/>
      <c r="E1977" s="9"/>
      <c r="F1977" s="9"/>
      <c r="G1977" s="9"/>
      <c r="H1977" s="9"/>
      <c r="I1977" s="11" t="e">
        <f>VLOOKUP(H1977,위치!B:C,2,0)</f>
        <v>#N/A</v>
      </c>
      <c r="J1977" s="9"/>
      <c r="K1977" s="9"/>
      <c r="L1977" s="9" t="e">
        <f>VLOOKUP(H1977,위치!B:D,3,0)</f>
        <v>#N/A</v>
      </c>
      <c r="M1977" s="12"/>
      <c r="N1977" s="5"/>
      <c r="O1977" s="5"/>
      <c r="P1977" s="5"/>
      <c r="Q1977" s="14"/>
      <c r="R1977" s="15">
        <f t="shared" si="30"/>
        <v>0</v>
      </c>
    </row>
    <row r="1978" spans="2:18" x14ac:dyDescent="0.35">
      <c r="B1978" s="9">
        <v>2004</v>
      </c>
      <c r="C1978" s="9"/>
      <c r="D1978" s="9"/>
      <c r="E1978" s="9"/>
      <c r="F1978" s="9"/>
      <c r="G1978" s="9"/>
      <c r="H1978" s="9"/>
      <c r="I1978" s="11" t="e">
        <f>VLOOKUP(H1978,위치!B:C,2,0)</f>
        <v>#N/A</v>
      </c>
      <c r="J1978" s="9"/>
      <c r="K1978" s="9"/>
      <c r="L1978" s="9" t="e">
        <f>VLOOKUP(H1978,위치!B:D,3,0)</f>
        <v>#N/A</v>
      </c>
      <c r="M1978" s="12"/>
      <c r="N1978" s="5"/>
      <c r="O1978" s="5"/>
      <c r="P1978" s="5"/>
      <c r="Q1978" s="14"/>
      <c r="R1978" s="15">
        <f t="shared" si="30"/>
        <v>0</v>
      </c>
    </row>
    <row r="1979" spans="2:18" x14ac:dyDescent="0.35">
      <c r="B1979" s="9">
        <v>2005</v>
      </c>
      <c r="C1979" s="9"/>
      <c r="D1979" s="9"/>
      <c r="E1979" s="9"/>
      <c r="F1979" s="9"/>
      <c r="G1979" s="9"/>
      <c r="H1979" s="9"/>
      <c r="I1979" s="11" t="e">
        <f>VLOOKUP(H1979,위치!B:C,2,0)</f>
        <v>#N/A</v>
      </c>
      <c r="J1979" s="9"/>
      <c r="K1979" s="9"/>
      <c r="L1979" s="9" t="e">
        <f>VLOOKUP(H1979,위치!B:D,3,0)</f>
        <v>#N/A</v>
      </c>
      <c r="M1979" s="12"/>
      <c r="N1979" s="5"/>
      <c r="O1979" s="5"/>
      <c r="P1979" s="5"/>
      <c r="Q1979" s="14"/>
      <c r="R1979" s="15">
        <f t="shared" si="30"/>
        <v>0</v>
      </c>
    </row>
    <row r="1980" spans="2:18" x14ac:dyDescent="0.35">
      <c r="B1980" s="9">
        <v>2006</v>
      </c>
      <c r="C1980" s="9"/>
      <c r="D1980" s="9"/>
      <c r="E1980" s="9"/>
      <c r="F1980" s="9"/>
      <c r="G1980" s="9"/>
      <c r="H1980" s="9"/>
      <c r="I1980" s="11" t="e">
        <f>VLOOKUP(H1980,위치!B:C,2,0)</f>
        <v>#N/A</v>
      </c>
      <c r="J1980" s="9"/>
      <c r="K1980" s="9"/>
      <c r="L1980" s="9" t="e">
        <f>VLOOKUP(H1980,위치!B:D,3,0)</f>
        <v>#N/A</v>
      </c>
      <c r="M1980" s="12"/>
      <c r="N1980" s="5"/>
      <c r="O1980" s="5"/>
      <c r="P1980" s="5"/>
      <c r="Q1980" s="14"/>
      <c r="R1980" s="15">
        <f t="shared" si="30"/>
        <v>0</v>
      </c>
    </row>
    <row r="1981" spans="2:18" x14ac:dyDescent="0.35">
      <c r="B1981" s="9">
        <v>2007</v>
      </c>
      <c r="C1981" s="9"/>
      <c r="D1981" s="9"/>
      <c r="E1981" s="9"/>
      <c r="F1981" s="9"/>
      <c r="G1981" s="9"/>
      <c r="H1981" s="9"/>
      <c r="I1981" s="11" t="e">
        <f>VLOOKUP(H1981,위치!B:C,2,0)</f>
        <v>#N/A</v>
      </c>
      <c r="J1981" s="9"/>
      <c r="K1981" s="9"/>
      <c r="L1981" s="9" t="e">
        <f>VLOOKUP(H1981,위치!B:D,3,0)</f>
        <v>#N/A</v>
      </c>
      <c r="M1981" s="12"/>
      <c r="N1981" s="5"/>
      <c r="O1981" s="5"/>
      <c r="P1981" s="5"/>
      <c r="Q1981" s="14"/>
      <c r="R1981" s="15">
        <f t="shared" si="30"/>
        <v>0</v>
      </c>
    </row>
    <row r="1982" spans="2:18" x14ac:dyDescent="0.35">
      <c r="B1982" s="9">
        <v>2008</v>
      </c>
      <c r="C1982" s="9"/>
      <c r="D1982" s="9"/>
      <c r="E1982" s="9"/>
      <c r="F1982" s="9"/>
      <c r="G1982" s="9"/>
      <c r="H1982" s="9"/>
      <c r="I1982" s="11" t="e">
        <f>VLOOKUP(H1982,위치!B:C,2,0)</f>
        <v>#N/A</v>
      </c>
      <c r="J1982" s="9"/>
      <c r="K1982" s="9"/>
      <c r="L1982" s="9" t="e">
        <f>VLOOKUP(H1982,위치!B:D,3,0)</f>
        <v>#N/A</v>
      </c>
      <c r="M1982" s="12"/>
      <c r="N1982" s="5"/>
      <c r="O1982" s="5"/>
      <c r="P1982" s="5"/>
      <c r="Q1982" s="14"/>
      <c r="R1982" s="15">
        <f t="shared" si="30"/>
        <v>0</v>
      </c>
    </row>
    <row r="1983" spans="2:18" x14ac:dyDescent="0.35">
      <c r="B1983" s="9">
        <v>2009</v>
      </c>
      <c r="C1983" s="9"/>
      <c r="D1983" s="9"/>
      <c r="E1983" s="9"/>
      <c r="F1983" s="9"/>
      <c r="G1983" s="9"/>
      <c r="H1983" s="9"/>
      <c r="I1983" s="11" t="e">
        <f>VLOOKUP(H1983,위치!B:C,2,0)</f>
        <v>#N/A</v>
      </c>
      <c r="J1983" s="9"/>
      <c r="K1983" s="9"/>
      <c r="L1983" s="9" t="e">
        <f>VLOOKUP(H1983,위치!B:D,3,0)</f>
        <v>#N/A</v>
      </c>
      <c r="M1983" s="12"/>
      <c r="N1983" s="5"/>
      <c r="O1983" s="5"/>
      <c r="P1983" s="5"/>
      <c r="Q1983" s="14"/>
      <c r="R1983" s="15">
        <f t="shared" si="30"/>
        <v>0</v>
      </c>
    </row>
    <row r="1984" spans="2:18" x14ac:dyDescent="0.35">
      <c r="B1984" s="9">
        <v>2010</v>
      </c>
      <c r="C1984" s="9"/>
      <c r="D1984" s="9"/>
      <c r="E1984" s="9"/>
      <c r="F1984" s="9"/>
      <c r="G1984" s="9"/>
      <c r="H1984" s="9"/>
      <c r="I1984" s="11" t="e">
        <f>VLOOKUP(H1984,위치!B:C,2,0)</f>
        <v>#N/A</v>
      </c>
      <c r="J1984" s="9"/>
      <c r="K1984" s="9"/>
      <c r="L1984" s="9" t="e">
        <f>VLOOKUP(H1984,위치!B:D,3,0)</f>
        <v>#N/A</v>
      </c>
      <c r="M1984" s="12"/>
      <c r="N1984" s="5"/>
      <c r="O1984" s="5"/>
      <c r="P1984" s="5"/>
      <c r="Q1984" s="14"/>
      <c r="R1984" s="15">
        <f t="shared" si="30"/>
        <v>0</v>
      </c>
    </row>
    <row r="1985" spans="2:18" x14ac:dyDescent="0.35">
      <c r="B1985" s="9">
        <v>2011</v>
      </c>
      <c r="C1985" s="9"/>
      <c r="D1985" s="9"/>
      <c r="E1985" s="9"/>
      <c r="F1985" s="9"/>
      <c r="G1985" s="9"/>
      <c r="H1985" s="9"/>
      <c r="I1985" s="11" t="e">
        <f>VLOOKUP(H1985,위치!B:C,2,0)</f>
        <v>#N/A</v>
      </c>
      <c r="J1985" s="9"/>
      <c r="K1985" s="9"/>
      <c r="L1985" s="9" t="e">
        <f>VLOOKUP(H1985,위치!B:D,3,0)</f>
        <v>#N/A</v>
      </c>
      <c r="M1985" s="12"/>
      <c r="N1985" s="5"/>
      <c r="O1985" s="5"/>
      <c r="P1985" s="5"/>
      <c r="Q1985" s="14"/>
      <c r="R1985" s="15">
        <f t="shared" si="30"/>
        <v>0</v>
      </c>
    </row>
    <row r="1986" spans="2:18" x14ac:dyDescent="0.35">
      <c r="B1986" s="9">
        <v>2012</v>
      </c>
      <c r="C1986" s="9"/>
      <c r="D1986" s="9"/>
      <c r="E1986" s="9"/>
      <c r="F1986" s="9"/>
      <c r="G1986" s="9"/>
      <c r="H1986" s="9"/>
      <c r="I1986" s="11" t="e">
        <f>VLOOKUP(H1986,위치!B:C,2,0)</f>
        <v>#N/A</v>
      </c>
      <c r="J1986" s="9"/>
      <c r="K1986" s="9"/>
      <c r="L1986" s="9" t="e">
        <f>VLOOKUP(H1986,위치!B:D,3,0)</f>
        <v>#N/A</v>
      </c>
      <c r="M1986" s="12"/>
      <c r="N1986" s="5"/>
      <c r="O1986" s="5"/>
      <c r="P1986" s="5"/>
      <c r="Q1986" s="14"/>
      <c r="R1986" s="15">
        <f t="shared" si="30"/>
        <v>0</v>
      </c>
    </row>
    <row r="1987" spans="2:18" x14ac:dyDescent="0.35">
      <c r="B1987" s="9">
        <v>2013</v>
      </c>
      <c r="C1987" s="9"/>
      <c r="D1987" s="9"/>
      <c r="E1987" s="9"/>
      <c r="F1987" s="9"/>
      <c r="G1987" s="9"/>
      <c r="H1987" s="9"/>
      <c r="I1987" s="11" t="e">
        <f>VLOOKUP(H1987,위치!B:C,2,0)</f>
        <v>#N/A</v>
      </c>
      <c r="J1987" s="9"/>
      <c r="K1987" s="9"/>
      <c r="L1987" s="9" t="e">
        <f>VLOOKUP(H1987,위치!B:D,3,0)</f>
        <v>#N/A</v>
      </c>
      <c r="M1987" s="12"/>
      <c r="N1987" s="5"/>
      <c r="O1987" s="5"/>
      <c r="P1987" s="5"/>
      <c r="Q1987" s="14"/>
      <c r="R1987" s="15">
        <f t="shared" si="30"/>
        <v>0</v>
      </c>
    </row>
    <row r="1988" spans="2:18" x14ac:dyDescent="0.35">
      <c r="B1988" s="9">
        <v>2014</v>
      </c>
      <c r="C1988" s="9"/>
      <c r="D1988" s="9"/>
      <c r="E1988" s="9"/>
      <c r="F1988" s="9"/>
      <c r="G1988" s="9"/>
      <c r="H1988" s="9"/>
      <c r="I1988" s="11" t="e">
        <f>VLOOKUP(H1988,위치!B:C,2,0)</f>
        <v>#N/A</v>
      </c>
      <c r="J1988" s="9"/>
      <c r="K1988" s="9"/>
      <c r="L1988" s="9" t="e">
        <f>VLOOKUP(H1988,위치!B:D,3,0)</f>
        <v>#N/A</v>
      </c>
      <c r="M1988" s="12"/>
      <c r="N1988" s="5"/>
      <c r="O1988" s="5"/>
      <c r="P1988" s="5"/>
      <c r="Q1988" s="14"/>
      <c r="R1988" s="15">
        <f t="shared" si="30"/>
        <v>0</v>
      </c>
    </row>
    <row r="1989" spans="2:18" x14ac:dyDescent="0.35">
      <c r="B1989" s="9">
        <v>2015</v>
      </c>
      <c r="C1989" s="9"/>
      <c r="D1989" s="9"/>
      <c r="E1989" s="9"/>
      <c r="F1989" s="9"/>
      <c r="G1989" s="9"/>
      <c r="H1989" s="9"/>
      <c r="I1989" s="11" t="e">
        <f>VLOOKUP(H1989,위치!B:C,2,0)</f>
        <v>#N/A</v>
      </c>
      <c r="J1989" s="9"/>
      <c r="K1989" s="9"/>
      <c r="L1989" s="9" t="e">
        <f>VLOOKUP(H1989,위치!B:D,3,0)</f>
        <v>#N/A</v>
      </c>
      <c r="M1989" s="12"/>
      <c r="N1989" s="5"/>
      <c r="O1989" s="5"/>
      <c r="P1989" s="5"/>
      <c r="Q1989" s="14"/>
      <c r="R1989" s="15">
        <f t="shared" si="30"/>
        <v>0</v>
      </c>
    </row>
    <row r="1990" spans="2:18" x14ac:dyDescent="0.35">
      <c r="B1990" s="9">
        <v>2016</v>
      </c>
      <c r="C1990" s="9"/>
      <c r="D1990" s="9"/>
      <c r="E1990" s="9"/>
      <c r="F1990" s="9"/>
      <c r="G1990" s="9"/>
      <c r="H1990" s="9"/>
      <c r="I1990" s="11" t="e">
        <f>VLOOKUP(H1990,위치!B:C,2,0)</f>
        <v>#N/A</v>
      </c>
      <c r="J1990" s="9"/>
      <c r="K1990" s="9"/>
      <c r="L1990" s="9" t="e">
        <f>VLOOKUP(H1990,위치!B:D,3,0)</f>
        <v>#N/A</v>
      </c>
      <c r="M1990" s="12"/>
      <c r="N1990" s="5"/>
      <c r="O1990" s="5"/>
      <c r="P1990" s="5"/>
      <c r="Q1990" s="14"/>
      <c r="R1990" s="15">
        <f t="shared" si="30"/>
        <v>0</v>
      </c>
    </row>
    <row r="1991" spans="2:18" x14ac:dyDescent="0.35">
      <c r="B1991" s="9">
        <v>2017</v>
      </c>
      <c r="C1991" s="9"/>
      <c r="D1991" s="9"/>
      <c r="E1991" s="9"/>
      <c r="F1991" s="9"/>
      <c r="G1991" s="9"/>
      <c r="H1991" s="9"/>
      <c r="I1991" s="11" t="e">
        <f>VLOOKUP(H1991,위치!B:C,2,0)</f>
        <v>#N/A</v>
      </c>
      <c r="J1991" s="9"/>
      <c r="K1991" s="9"/>
      <c r="L1991" s="9" t="e">
        <f>VLOOKUP(H1991,위치!B:D,3,0)</f>
        <v>#N/A</v>
      </c>
      <c r="M1991" s="12"/>
      <c r="N1991" s="5"/>
      <c r="O1991" s="5"/>
      <c r="P1991" s="5"/>
      <c r="Q1991" s="14"/>
      <c r="R1991" s="15">
        <f t="shared" ref="R1991:R2054" si="31">J1991-P1991</f>
        <v>0</v>
      </c>
    </row>
    <row r="1992" spans="2:18" x14ac:dyDescent="0.35">
      <c r="B1992" s="9">
        <v>2018</v>
      </c>
      <c r="C1992" s="9"/>
      <c r="D1992" s="9"/>
      <c r="E1992" s="9"/>
      <c r="F1992" s="9"/>
      <c r="G1992" s="9"/>
      <c r="H1992" s="9"/>
      <c r="I1992" s="11" t="e">
        <f>VLOOKUP(H1992,위치!B:C,2,0)</f>
        <v>#N/A</v>
      </c>
      <c r="J1992" s="9"/>
      <c r="K1992" s="9"/>
      <c r="L1992" s="9" t="e">
        <f>VLOOKUP(H1992,위치!B:D,3,0)</f>
        <v>#N/A</v>
      </c>
      <c r="M1992" s="12"/>
      <c r="N1992" s="5"/>
      <c r="O1992" s="5"/>
      <c r="P1992" s="5"/>
      <c r="Q1992" s="14"/>
      <c r="R1992" s="15">
        <f t="shared" si="31"/>
        <v>0</v>
      </c>
    </row>
    <row r="1993" spans="2:18" x14ac:dyDescent="0.35">
      <c r="B1993" s="9">
        <v>2019</v>
      </c>
      <c r="C1993" s="9"/>
      <c r="D1993" s="9"/>
      <c r="E1993" s="9"/>
      <c r="F1993" s="9"/>
      <c r="G1993" s="9"/>
      <c r="H1993" s="9"/>
      <c r="I1993" s="11" t="e">
        <f>VLOOKUP(H1993,위치!B:C,2,0)</f>
        <v>#N/A</v>
      </c>
      <c r="J1993" s="9"/>
      <c r="K1993" s="9"/>
      <c r="L1993" s="9" t="e">
        <f>VLOOKUP(H1993,위치!B:D,3,0)</f>
        <v>#N/A</v>
      </c>
      <c r="M1993" s="12"/>
      <c r="N1993" s="5"/>
      <c r="O1993" s="5"/>
      <c r="P1993" s="5"/>
      <c r="Q1993" s="14"/>
      <c r="R1993" s="15">
        <f t="shared" si="31"/>
        <v>0</v>
      </c>
    </row>
    <row r="1994" spans="2:18" x14ac:dyDescent="0.35">
      <c r="B1994" s="9">
        <v>2020</v>
      </c>
      <c r="C1994" s="9"/>
      <c r="D1994" s="9"/>
      <c r="E1994" s="9"/>
      <c r="F1994" s="9"/>
      <c r="G1994" s="9"/>
      <c r="H1994" s="9"/>
      <c r="I1994" s="11" t="e">
        <f>VLOOKUP(H1994,위치!B:C,2,0)</f>
        <v>#N/A</v>
      </c>
      <c r="J1994" s="9"/>
      <c r="K1994" s="9"/>
      <c r="L1994" s="9" t="e">
        <f>VLOOKUP(H1994,위치!B:D,3,0)</f>
        <v>#N/A</v>
      </c>
      <c r="M1994" s="12"/>
      <c r="N1994" s="5"/>
      <c r="O1994" s="5"/>
      <c r="P1994" s="5"/>
      <c r="Q1994" s="14"/>
      <c r="R1994" s="15">
        <f t="shared" si="31"/>
        <v>0</v>
      </c>
    </row>
    <row r="1995" spans="2:18" x14ac:dyDescent="0.35">
      <c r="B1995" s="9">
        <v>2021</v>
      </c>
      <c r="C1995" s="9"/>
      <c r="D1995" s="9"/>
      <c r="E1995" s="9"/>
      <c r="F1995" s="9"/>
      <c r="G1995" s="9"/>
      <c r="H1995" s="9"/>
      <c r="I1995" s="11" t="e">
        <f>VLOOKUP(H1995,위치!B:C,2,0)</f>
        <v>#N/A</v>
      </c>
      <c r="J1995" s="9"/>
      <c r="K1995" s="9"/>
      <c r="L1995" s="9" t="e">
        <f>VLOOKUP(H1995,위치!B:D,3,0)</f>
        <v>#N/A</v>
      </c>
      <c r="M1995" s="12"/>
      <c r="N1995" s="5"/>
      <c r="O1995" s="5"/>
      <c r="P1995" s="5"/>
      <c r="Q1995" s="14"/>
      <c r="R1995" s="15">
        <f t="shared" si="31"/>
        <v>0</v>
      </c>
    </row>
    <row r="1996" spans="2:18" x14ac:dyDescent="0.35">
      <c r="B1996" s="9">
        <v>2022</v>
      </c>
      <c r="C1996" s="9"/>
      <c r="D1996" s="9"/>
      <c r="E1996" s="9"/>
      <c r="F1996" s="9"/>
      <c r="G1996" s="9"/>
      <c r="H1996" s="9"/>
      <c r="I1996" s="11" t="e">
        <f>VLOOKUP(H1996,위치!B:C,2,0)</f>
        <v>#N/A</v>
      </c>
      <c r="J1996" s="9"/>
      <c r="K1996" s="9"/>
      <c r="L1996" s="9" t="e">
        <f>VLOOKUP(H1996,위치!B:D,3,0)</f>
        <v>#N/A</v>
      </c>
      <c r="M1996" s="12"/>
      <c r="N1996" s="5"/>
      <c r="O1996" s="5"/>
      <c r="P1996" s="5"/>
      <c r="Q1996" s="14"/>
      <c r="R1996" s="15">
        <f t="shared" si="31"/>
        <v>0</v>
      </c>
    </row>
    <row r="1997" spans="2:18" x14ac:dyDescent="0.35">
      <c r="B1997" s="9">
        <v>2023</v>
      </c>
      <c r="C1997" s="9"/>
      <c r="D1997" s="9"/>
      <c r="E1997" s="9"/>
      <c r="F1997" s="9"/>
      <c r="G1997" s="9"/>
      <c r="H1997" s="9"/>
      <c r="I1997" s="11" t="e">
        <f>VLOOKUP(H1997,위치!B:C,2,0)</f>
        <v>#N/A</v>
      </c>
      <c r="J1997" s="9"/>
      <c r="K1997" s="9"/>
      <c r="L1997" s="9" t="e">
        <f>VLOOKUP(H1997,위치!B:D,3,0)</f>
        <v>#N/A</v>
      </c>
      <c r="M1997" s="12"/>
      <c r="N1997" s="5"/>
      <c r="O1997" s="5"/>
      <c r="P1997" s="5"/>
      <c r="Q1997" s="14"/>
      <c r="R1997" s="15">
        <f t="shared" si="31"/>
        <v>0</v>
      </c>
    </row>
    <row r="1998" spans="2:18" x14ac:dyDescent="0.35">
      <c r="B1998" s="9">
        <v>2024</v>
      </c>
      <c r="C1998" s="9"/>
      <c r="D1998" s="9"/>
      <c r="E1998" s="9"/>
      <c r="F1998" s="9"/>
      <c r="G1998" s="9"/>
      <c r="H1998" s="9"/>
      <c r="I1998" s="11" t="e">
        <f>VLOOKUP(H1998,위치!B:C,2,0)</f>
        <v>#N/A</v>
      </c>
      <c r="J1998" s="9"/>
      <c r="K1998" s="9"/>
      <c r="L1998" s="9" t="e">
        <f>VLOOKUP(H1998,위치!B:D,3,0)</f>
        <v>#N/A</v>
      </c>
      <c r="M1998" s="12"/>
      <c r="N1998" s="5"/>
      <c r="O1998" s="5"/>
      <c r="P1998" s="5"/>
      <c r="Q1998" s="14"/>
      <c r="R1998" s="15">
        <f t="shared" si="31"/>
        <v>0</v>
      </c>
    </row>
    <row r="1999" spans="2:18" x14ac:dyDescent="0.35">
      <c r="B1999" s="9">
        <v>2025</v>
      </c>
      <c r="C1999" s="9"/>
      <c r="D1999" s="9"/>
      <c r="E1999" s="9"/>
      <c r="F1999" s="9"/>
      <c r="G1999" s="9"/>
      <c r="H1999" s="9"/>
      <c r="I1999" s="11" t="e">
        <f>VLOOKUP(H1999,위치!B:C,2,0)</f>
        <v>#N/A</v>
      </c>
      <c r="J1999" s="9"/>
      <c r="K1999" s="9"/>
      <c r="L1999" s="9" t="e">
        <f>VLOOKUP(H1999,위치!B:D,3,0)</f>
        <v>#N/A</v>
      </c>
      <c r="M1999" s="12"/>
      <c r="N1999" s="5"/>
      <c r="O1999" s="5"/>
      <c r="P1999" s="5"/>
      <c r="Q1999" s="14"/>
      <c r="R1999" s="15">
        <f t="shared" si="31"/>
        <v>0</v>
      </c>
    </row>
    <row r="2000" spans="2:18" x14ac:dyDescent="0.35">
      <c r="B2000" s="9">
        <v>2026</v>
      </c>
      <c r="C2000" s="9"/>
      <c r="D2000" s="9"/>
      <c r="E2000" s="9"/>
      <c r="F2000" s="9"/>
      <c r="G2000" s="9"/>
      <c r="H2000" s="9"/>
      <c r="I2000" s="11" t="e">
        <f>VLOOKUP(H2000,위치!B:C,2,0)</f>
        <v>#N/A</v>
      </c>
      <c r="J2000" s="9"/>
      <c r="K2000" s="9"/>
      <c r="L2000" s="9" t="e">
        <f>VLOOKUP(H2000,위치!B:D,3,0)</f>
        <v>#N/A</v>
      </c>
      <c r="M2000" s="12"/>
      <c r="N2000" s="5"/>
      <c r="O2000" s="5"/>
      <c r="P2000" s="5"/>
      <c r="Q2000" s="14"/>
      <c r="R2000" s="15">
        <f t="shared" si="31"/>
        <v>0</v>
      </c>
    </row>
    <row r="2001" spans="2:18" x14ac:dyDescent="0.35">
      <c r="B2001" s="9">
        <v>2027</v>
      </c>
      <c r="C2001" s="9"/>
      <c r="D2001" s="9"/>
      <c r="E2001" s="9"/>
      <c r="F2001" s="9"/>
      <c r="G2001" s="9"/>
      <c r="H2001" s="9"/>
      <c r="I2001" s="11" t="e">
        <f>VLOOKUP(H2001,위치!B:C,2,0)</f>
        <v>#N/A</v>
      </c>
      <c r="J2001" s="9"/>
      <c r="K2001" s="9"/>
      <c r="L2001" s="9" t="e">
        <f>VLOOKUP(H2001,위치!B:D,3,0)</f>
        <v>#N/A</v>
      </c>
      <c r="M2001" s="12"/>
      <c r="N2001" s="5"/>
      <c r="O2001" s="5"/>
      <c r="P2001" s="5"/>
      <c r="Q2001" s="14"/>
      <c r="R2001" s="15">
        <f t="shared" si="31"/>
        <v>0</v>
      </c>
    </row>
    <row r="2002" spans="2:18" x14ac:dyDescent="0.35">
      <c r="B2002" s="9">
        <v>2028</v>
      </c>
      <c r="C2002" s="9"/>
      <c r="D2002" s="9"/>
      <c r="E2002" s="9"/>
      <c r="F2002" s="9"/>
      <c r="G2002" s="9"/>
      <c r="H2002" s="9"/>
      <c r="I2002" s="11" t="e">
        <f>VLOOKUP(H2002,위치!B:C,2,0)</f>
        <v>#N/A</v>
      </c>
      <c r="J2002" s="9"/>
      <c r="K2002" s="9"/>
      <c r="L2002" s="9" t="e">
        <f>VLOOKUP(H2002,위치!B:D,3,0)</f>
        <v>#N/A</v>
      </c>
      <c r="M2002" s="12"/>
      <c r="N2002" s="5"/>
      <c r="O2002" s="5"/>
      <c r="P2002" s="5"/>
      <c r="Q2002" s="14"/>
      <c r="R2002" s="15">
        <f t="shared" si="31"/>
        <v>0</v>
      </c>
    </row>
    <row r="2003" spans="2:18" x14ac:dyDescent="0.35">
      <c r="B2003" s="9">
        <v>2029</v>
      </c>
      <c r="C2003" s="9"/>
      <c r="D2003" s="9"/>
      <c r="E2003" s="9"/>
      <c r="F2003" s="9"/>
      <c r="G2003" s="9"/>
      <c r="H2003" s="9"/>
      <c r="I2003" s="11" t="e">
        <f>VLOOKUP(H2003,위치!B:C,2,0)</f>
        <v>#N/A</v>
      </c>
      <c r="J2003" s="9"/>
      <c r="K2003" s="9"/>
      <c r="L2003" s="9" t="e">
        <f>VLOOKUP(H2003,위치!B:D,3,0)</f>
        <v>#N/A</v>
      </c>
      <c r="M2003" s="12"/>
      <c r="N2003" s="5"/>
      <c r="O2003" s="5"/>
      <c r="P2003" s="5"/>
      <c r="Q2003" s="14"/>
      <c r="R2003" s="15">
        <f t="shared" si="31"/>
        <v>0</v>
      </c>
    </row>
    <row r="2004" spans="2:18" x14ac:dyDescent="0.35">
      <c r="B2004" s="9">
        <v>2030</v>
      </c>
      <c r="C2004" s="9"/>
      <c r="D2004" s="9"/>
      <c r="E2004" s="9"/>
      <c r="F2004" s="9"/>
      <c r="G2004" s="9"/>
      <c r="H2004" s="9"/>
      <c r="I2004" s="11" t="e">
        <f>VLOOKUP(H2004,위치!B:C,2,0)</f>
        <v>#N/A</v>
      </c>
      <c r="J2004" s="9"/>
      <c r="K2004" s="9"/>
      <c r="L2004" s="9" t="e">
        <f>VLOOKUP(H2004,위치!B:D,3,0)</f>
        <v>#N/A</v>
      </c>
      <c r="M2004" s="12"/>
      <c r="N2004" s="5"/>
      <c r="O2004" s="5"/>
      <c r="P2004" s="5"/>
      <c r="Q2004" s="14"/>
      <c r="R2004" s="15">
        <f t="shared" si="31"/>
        <v>0</v>
      </c>
    </row>
    <row r="2005" spans="2:18" x14ac:dyDescent="0.35">
      <c r="B2005" s="9">
        <v>2031</v>
      </c>
      <c r="C2005" s="9"/>
      <c r="D2005" s="9"/>
      <c r="E2005" s="9"/>
      <c r="F2005" s="9"/>
      <c r="G2005" s="9"/>
      <c r="H2005" s="9"/>
      <c r="I2005" s="11" t="e">
        <f>VLOOKUP(H2005,위치!B:C,2,0)</f>
        <v>#N/A</v>
      </c>
      <c r="J2005" s="9"/>
      <c r="K2005" s="9"/>
      <c r="L2005" s="9" t="e">
        <f>VLOOKUP(H2005,위치!B:D,3,0)</f>
        <v>#N/A</v>
      </c>
      <c r="M2005" s="12"/>
      <c r="N2005" s="5"/>
      <c r="O2005" s="5"/>
      <c r="P2005" s="5"/>
      <c r="Q2005" s="14"/>
      <c r="R2005" s="15">
        <f t="shared" si="31"/>
        <v>0</v>
      </c>
    </row>
    <row r="2006" spans="2:18" x14ac:dyDescent="0.35">
      <c r="B2006" s="9">
        <v>2032</v>
      </c>
      <c r="C2006" s="9"/>
      <c r="D2006" s="9"/>
      <c r="E2006" s="9"/>
      <c r="F2006" s="9"/>
      <c r="G2006" s="9"/>
      <c r="H2006" s="9"/>
      <c r="I2006" s="11" t="e">
        <f>VLOOKUP(H2006,위치!B:C,2,0)</f>
        <v>#N/A</v>
      </c>
      <c r="J2006" s="9"/>
      <c r="K2006" s="9"/>
      <c r="L2006" s="9" t="e">
        <f>VLOOKUP(H2006,위치!B:D,3,0)</f>
        <v>#N/A</v>
      </c>
      <c r="M2006" s="12"/>
      <c r="N2006" s="5"/>
      <c r="O2006" s="5"/>
      <c r="P2006" s="5"/>
      <c r="Q2006" s="14"/>
      <c r="R2006" s="15">
        <f t="shared" si="31"/>
        <v>0</v>
      </c>
    </row>
    <row r="2007" spans="2:18" x14ac:dyDescent="0.35">
      <c r="B2007" s="9">
        <v>2033</v>
      </c>
      <c r="C2007" s="9"/>
      <c r="D2007" s="9"/>
      <c r="E2007" s="9"/>
      <c r="F2007" s="9"/>
      <c r="G2007" s="9"/>
      <c r="H2007" s="9"/>
      <c r="I2007" s="11" t="e">
        <f>VLOOKUP(H2007,위치!B:C,2,0)</f>
        <v>#N/A</v>
      </c>
      <c r="J2007" s="9"/>
      <c r="K2007" s="9"/>
      <c r="L2007" s="9" t="e">
        <f>VLOOKUP(H2007,위치!B:D,3,0)</f>
        <v>#N/A</v>
      </c>
      <c r="M2007" s="12"/>
      <c r="N2007" s="5"/>
      <c r="O2007" s="5"/>
      <c r="P2007" s="5"/>
      <c r="Q2007" s="14"/>
      <c r="R2007" s="15">
        <f t="shared" si="31"/>
        <v>0</v>
      </c>
    </row>
    <row r="2008" spans="2:18" x14ac:dyDescent="0.35">
      <c r="B2008" s="9">
        <v>2034</v>
      </c>
      <c r="C2008" s="9"/>
      <c r="D2008" s="9"/>
      <c r="E2008" s="9"/>
      <c r="F2008" s="9"/>
      <c r="G2008" s="9"/>
      <c r="H2008" s="9"/>
      <c r="I2008" s="11" t="e">
        <f>VLOOKUP(H2008,위치!B:C,2,0)</f>
        <v>#N/A</v>
      </c>
      <c r="J2008" s="9"/>
      <c r="K2008" s="9"/>
      <c r="L2008" s="9" t="e">
        <f>VLOOKUP(H2008,위치!B:D,3,0)</f>
        <v>#N/A</v>
      </c>
      <c r="M2008" s="12"/>
      <c r="N2008" s="5"/>
      <c r="O2008" s="5"/>
      <c r="P2008" s="5"/>
      <c r="Q2008" s="14"/>
      <c r="R2008" s="15">
        <f t="shared" si="31"/>
        <v>0</v>
      </c>
    </row>
    <row r="2009" spans="2:18" x14ac:dyDescent="0.35">
      <c r="B2009" s="9">
        <v>2035</v>
      </c>
      <c r="C2009" s="9"/>
      <c r="D2009" s="9"/>
      <c r="E2009" s="9"/>
      <c r="F2009" s="9"/>
      <c r="G2009" s="9"/>
      <c r="H2009" s="9"/>
      <c r="I2009" s="11" t="e">
        <f>VLOOKUP(H2009,위치!B:C,2,0)</f>
        <v>#N/A</v>
      </c>
      <c r="J2009" s="9"/>
      <c r="K2009" s="9"/>
      <c r="L2009" s="9" t="e">
        <f>VLOOKUP(H2009,위치!B:D,3,0)</f>
        <v>#N/A</v>
      </c>
      <c r="M2009" s="12"/>
      <c r="N2009" s="5"/>
      <c r="O2009" s="5"/>
      <c r="P2009" s="5"/>
      <c r="Q2009" s="14"/>
      <c r="R2009" s="15">
        <f t="shared" si="31"/>
        <v>0</v>
      </c>
    </row>
    <row r="2010" spans="2:18" x14ac:dyDescent="0.35">
      <c r="B2010" s="9">
        <v>2036</v>
      </c>
      <c r="C2010" s="9"/>
      <c r="D2010" s="9"/>
      <c r="E2010" s="9"/>
      <c r="F2010" s="9"/>
      <c r="G2010" s="9"/>
      <c r="H2010" s="9"/>
      <c r="I2010" s="11" t="e">
        <f>VLOOKUP(H2010,위치!B:C,2,0)</f>
        <v>#N/A</v>
      </c>
      <c r="J2010" s="9"/>
      <c r="K2010" s="9"/>
      <c r="L2010" s="9" t="e">
        <f>VLOOKUP(H2010,위치!B:D,3,0)</f>
        <v>#N/A</v>
      </c>
      <c r="M2010" s="12"/>
      <c r="N2010" s="5"/>
      <c r="O2010" s="5"/>
      <c r="P2010" s="5"/>
      <c r="Q2010" s="14"/>
      <c r="R2010" s="15">
        <f t="shared" si="31"/>
        <v>0</v>
      </c>
    </row>
    <row r="2011" spans="2:18" x14ac:dyDescent="0.35">
      <c r="B2011" s="9">
        <v>2037</v>
      </c>
      <c r="C2011" s="9"/>
      <c r="D2011" s="9"/>
      <c r="E2011" s="9"/>
      <c r="F2011" s="9"/>
      <c r="G2011" s="9"/>
      <c r="H2011" s="9"/>
      <c r="I2011" s="11" t="e">
        <f>VLOOKUP(H2011,위치!B:C,2,0)</f>
        <v>#N/A</v>
      </c>
      <c r="J2011" s="9"/>
      <c r="K2011" s="9"/>
      <c r="L2011" s="9" t="e">
        <f>VLOOKUP(H2011,위치!B:D,3,0)</f>
        <v>#N/A</v>
      </c>
      <c r="M2011" s="12"/>
      <c r="N2011" s="5"/>
      <c r="O2011" s="5"/>
      <c r="P2011" s="5"/>
      <c r="Q2011" s="14"/>
      <c r="R2011" s="15">
        <f t="shared" si="31"/>
        <v>0</v>
      </c>
    </row>
    <row r="2012" spans="2:18" x14ac:dyDescent="0.35">
      <c r="B2012" s="9">
        <v>2038</v>
      </c>
      <c r="C2012" s="9"/>
      <c r="D2012" s="9"/>
      <c r="E2012" s="9"/>
      <c r="F2012" s="9"/>
      <c r="G2012" s="9"/>
      <c r="H2012" s="9"/>
      <c r="I2012" s="11" t="e">
        <f>VLOOKUP(H2012,위치!B:C,2,0)</f>
        <v>#N/A</v>
      </c>
      <c r="J2012" s="9"/>
      <c r="K2012" s="9"/>
      <c r="L2012" s="9" t="e">
        <f>VLOOKUP(H2012,위치!B:D,3,0)</f>
        <v>#N/A</v>
      </c>
      <c r="M2012" s="12"/>
      <c r="N2012" s="5"/>
      <c r="O2012" s="5"/>
      <c r="P2012" s="5"/>
      <c r="Q2012" s="14"/>
      <c r="R2012" s="15">
        <f t="shared" si="31"/>
        <v>0</v>
      </c>
    </row>
    <row r="2013" spans="2:18" x14ac:dyDescent="0.35">
      <c r="B2013" s="9">
        <v>2039</v>
      </c>
      <c r="C2013" s="9"/>
      <c r="D2013" s="9"/>
      <c r="E2013" s="9"/>
      <c r="F2013" s="9"/>
      <c r="G2013" s="9"/>
      <c r="H2013" s="9"/>
      <c r="I2013" s="11" t="e">
        <f>VLOOKUP(H2013,위치!B:C,2,0)</f>
        <v>#N/A</v>
      </c>
      <c r="J2013" s="9"/>
      <c r="K2013" s="9"/>
      <c r="L2013" s="9" t="e">
        <f>VLOOKUP(H2013,위치!B:D,3,0)</f>
        <v>#N/A</v>
      </c>
      <c r="M2013" s="12"/>
      <c r="N2013" s="5"/>
      <c r="O2013" s="5"/>
      <c r="P2013" s="5"/>
      <c r="Q2013" s="14"/>
      <c r="R2013" s="15">
        <f t="shared" si="31"/>
        <v>0</v>
      </c>
    </row>
    <row r="2014" spans="2:18" x14ac:dyDescent="0.35">
      <c r="B2014" s="9">
        <v>2040</v>
      </c>
      <c r="C2014" s="9"/>
      <c r="D2014" s="9"/>
      <c r="E2014" s="9"/>
      <c r="F2014" s="9"/>
      <c r="G2014" s="9"/>
      <c r="H2014" s="9"/>
      <c r="I2014" s="11" t="e">
        <f>VLOOKUP(H2014,위치!B:C,2,0)</f>
        <v>#N/A</v>
      </c>
      <c r="J2014" s="9"/>
      <c r="K2014" s="9"/>
      <c r="L2014" s="9" t="e">
        <f>VLOOKUP(H2014,위치!B:D,3,0)</f>
        <v>#N/A</v>
      </c>
      <c r="M2014" s="12"/>
      <c r="N2014" s="5"/>
      <c r="O2014" s="5"/>
      <c r="P2014" s="5"/>
      <c r="Q2014" s="14"/>
      <c r="R2014" s="15">
        <f t="shared" si="31"/>
        <v>0</v>
      </c>
    </row>
    <row r="2015" spans="2:18" x14ac:dyDescent="0.35">
      <c r="B2015" s="9">
        <v>2041</v>
      </c>
      <c r="C2015" s="9"/>
      <c r="D2015" s="9"/>
      <c r="E2015" s="9"/>
      <c r="F2015" s="9"/>
      <c r="G2015" s="9"/>
      <c r="H2015" s="9"/>
      <c r="I2015" s="11" t="e">
        <f>VLOOKUP(H2015,위치!B:C,2,0)</f>
        <v>#N/A</v>
      </c>
      <c r="J2015" s="9"/>
      <c r="K2015" s="9"/>
      <c r="L2015" s="9" t="e">
        <f>VLOOKUP(H2015,위치!B:D,3,0)</f>
        <v>#N/A</v>
      </c>
      <c r="M2015" s="12"/>
      <c r="N2015" s="5"/>
      <c r="O2015" s="5"/>
      <c r="P2015" s="5"/>
      <c r="Q2015" s="14"/>
      <c r="R2015" s="15">
        <f t="shared" si="31"/>
        <v>0</v>
      </c>
    </row>
    <row r="2016" spans="2:18" x14ac:dyDescent="0.35">
      <c r="B2016" s="9">
        <v>2042</v>
      </c>
      <c r="C2016" s="9"/>
      <c r="D2016" s="9"/>
      <c r="E2016" s="9"/>
      <c r="F2016" s="9"/>
      <c r="G2016" s="9"/>
      <c r="H2016" s="9"/>
      <c r="I2016" s="11" t="e">
        <f>VLOOKUP(H2016,위치!B:C,2,0)</f>
        <v>#N/A</v>
      </c>
      <c r="J2016" s="9"/>
      <c r="K2016" s="9"/>
      <c r="L2016" s="9" t="e">
        <f>VLOOKUP(H2016,위치!B:D,3,0)</f>
        <v>#N/A</v>
      </c>
      <c r="M2016" s="12"/>
      <c r="N2016" s="5"/>
      <c r="O2016" s="5"/>
      <c r="P2016" s="5"/>
      <c r="Q2016" s="14"/>
      <c r="R2016" s="15">
        <f t="shared" si="31"/>
        <v>0</v>
      </c>
    </row>
    <row r="2017" spans="2:18" x14ac:dyDescent="0.35">
      <c r="B2017" s="9">
        <v>2043</v>
      </c>
      <c r="C2017" s="9"/>
      <c r="D2017" s="9"/>
      <c r="E2017" s="9"/>
      <c r="F2017" s="9"/>
      <c r="G2017" s="9"/>
      <c r="H2017" s="9"/>
      <c r="I2017" s="11" t="e">
        <f>VLOOKUP(H2017,위치!B:C,2,0)</f>
        <v>#N/A</v>
      </c>
      <c r="J2017" s="9"/>
      <c r="K2017" s="9"/>
      <c r="L2017" s="9" t="e">
        <f>VLOOKUP(H2017,위치!B:D,3,0)</f>
        <v>#N/A</v>
      </c>
      <c r="M2017" s="12"/>
      <c r="N2017" s="5"/>
      <c r="O2017" s="5"/>
      <c r="P2017" s="5"/>
      <c r="Q2017" s="14"/>
      <c r="R2017" s="15">
        <f t="shared" si="31"/>
        <v>0</v>
      </c>
    </row>
    <row r="2018" spans="2:18" x14ac:dyDescent="0.35">
      <c r="B2018" s="9">
        <v>2044</v>
      </c>
      <c r="C2018" s="9"/>
      <c r="D2018" s="9"/>
      <c r="E2018" s="9"/>
      <c r="F2018" s="9"/>
      <c r="G2018" s="9"/>
      <c r="H2018" s="9"/>
      <c r="I2018" s="11" t="e">
        <f>VLOOKUP(H2018,위치!B:C,2,0)</f>
        <v>#N/A</v>
      </c>
      <c r="J2018" s="9"/>
      <c r="K2018" s="9"/>
      <c r="L2018" s="9" t="e">
        <f>VLOOKUP(H2018,위치!B:D,3,0)</f>
        <v>#N/A</v>
      </c>
      <c r="M2018" s="12"/>
      <c r="N2018" s="5"/>
      <c r="O2018" s="5"/>
      <c r="P2018" s="5"/>
      <c r="Q2018" s="14"/>
      <c r="R2018" s="15">
        <f t="shared" si="31"/>
        <v>0</v>
      </c>
    </row>
    <row r="2019" spans="2:18" x14ac:dyDescent="0.35">
      <c r="B2019" s="9">
        <v>2045</v>
      </c>
      <c r="C2019" s="9"/>
      <c r="D2019" s="9"/>
      <c r="E2019" s="9"/>
      <c r="F2019" s="9"/>
      <c r="G2019" s="9"/>
      <c r="H2019" s="9"/>
      <c r="I2019" s="11" t="e">
        <f>VLOOKUP(H2019,위치!B:C,2,0)</f>
        <v>#N/A</v>
      </c>
      <c r="J2019" s="9"/>
      <c r="K2019" s="9"/>
      <c r="L2019" s="9" t="e">
        <f>VLOOKUP(H2019,위치!B:D,3,0)</f>
        <v>#N/A</v>
      </c>
      <c r="M2019" s="12"/>
      <c r="N2019" s="5"/>
      <c r="O2019" s="5"/>
      <c r="P2019" s="5"/>
      <c r="Q2019" s="14"/>
      <c r="R2019" s="15">
        <f t="shared" si="31"/>
        <v>0</v>
      </c>
    </row>
    <row r="2020" spans="2:18" x14ac:dyDescent="0.35">
      <c r="B2020" s="9">
        <v>2046</v>
      </c>
      <c r="C2020" s="9"/>
      <c r="D2020" s="9"/>
      <c r="E2020" s="9"/>
      <c r="F2020" s="9"/>
      <c r="G2020" s="9"/>
      <c r="H2020" s="9"/>
      <c r="I2020" s="11" t="e">
        <f>VLOOKUP(H2020,위치!B:C,2,0)</f>
        <v>#N/A</v>
      </c>
      <c r="J2020" s="9"/>
      <c r="K2020" s="9"/>
      <c r="L2020" s="9" t="e">
        <f>VLOOKUP(H2020,위치!B:D,3,0)</f>
        <v>#N/A</v>
      </c>
      <c r="M2020" s="12"/>
      <c r="N2020" s="5"/>
      <c r="O2020" s="5"/>
      <c r="P2020" s="5"/>
      <c r="Q2020" s="14"/>
      <c r="R2020" s="15">
        <f t="shared" si="31"/>
        <v>0</v>
      </c>
    </row>
    <row r="2021" spans="2:18" x14ac:dyDescent="0.35">
      <c r="B2021" s="9">
        <v>2047</v>
      </c>
      <c r="C2021" s="9"/>
      <c r="D2021" s="9"/>
      <c r="E2021" s="9"/>
      <c r="F2021" s="9"/>
      <c r="G2021" s="9"/>
      <c r="H2021" s="9"/>
      <c r="I2021" s="11" t="e">
        <f>VLOOKUP(H2021,위치!B:C,2,0)</f>
        <v>#N/A</v>
      </c>
      <c r="J2021" s="9"/>
      <c r="K2021" s="9"/>
      <c r="L2021" s="9" t="e">
        <f>VLOOKUP(H2021,위치!B:D,3,0)</f>
        <v>#N/A</v>
      </c>
      <c r="M2021" s="12"/>
      <c r="N2021" s="5"/>
      <c r="O2021" s="5"/>
      <c r="P2021" s="5"/>
      <c r="Q2021" s="14"/>
      <c r="R2021" s="15">
        <f t="shared" si="31"/>
        <v>0</v>
      </c>
    </row>
    <row r="2022" spans="2:18" x14ac:dyDescent="0.35">
      <c r="B2022" s="9">
        <v>2048</v>
      </c>
      <c r="C2022" s="9"/>
      <c r="D2022" s="9"/>
      <c r="E2022" s="9"/>
      <c r="F2022" s="9"/>
      <c r="G2022" s="9"/>
      <c r="H2022" s="9"/>
      <c r="I2022" s="11" t="e">
        <f>VLOOKUP(H2022,위치!B:C,2,0)</f>
        <v>#N/A</v>
      </c>
      <c r="J2022" s="9"/>
      <c r="K2022" s="9"/>
      <c r="L2022" s="9" t="e">
        <f>VLOOKUP(H2022,위치!B:D,3,0)</f>
        <v>#N/A</v>
      </c>
      <c r="M2022" s="12"/>
      <c r="N2022" s="5"/>
      <c r="O2022" s="5"/>
      <c r="P2022" s="5"/>
      <c r="Q2022" s="14"/>
      <c r="R2022" s="15">
        <f t="shared" si="31"/>
        <v>0</v>
      </c>
    </row>
    <row r="2023" spans="2:18" x14ac:dyDescent="0.35">
      <c r="B2023" s="9">
        <v>2049</v>
      </c>
      <c r="C2023" s="9"/>
      <c r="D2023" s="9"/>
      <c r="E2023" s="9"/>
      <c r="F2023" s="9"/>
      <c r="G2023" s="9"/>
      <c r="H2023" s="9"/>
      <c r="I2023" s="11" t="e">
        <f>VLOOKUP(H2023,위치!B:C,2,0)</f>
        <v>#N/A</v>
      </c>
      <c r="J2023" s="9"/>
      <c r="K2023" s="9"/>
      <c r="L2023" s="9" t="e">
        <f>VLOOKUP(H2023,위치!B:D,3,0)</f>
        <v>#N/A</v>
      </c>
      <c r="M2023" s="12"/>
      <c r="N2023" s="5"/>
      <c r="O2023" s="5"/>
      <c r="P2023" s="5"/>
      <c r="Q2023" s="14"/>
      <c r="R2023" s="15">
        <f t="shared" si="31"/>
        <v>0</v>
      </c>
    </row>
    <row r="2024" spans="2:18" x14ac:dyDescent="0.35">
      <c r="B2024" s="9">
        <v>2050</v>
      </c>
      <c r="C2024" s="9"/>
      <c r="D2024" s="9"/>
      <c r="E2024" s="9"/>
      <c r="F2024" s="9"/>
      <c r="G2024" s="9"/>
      <c r="H2024" s="9"/>
      <c r="I2024" s="11" t="e">
        <f>VLOOKUP(H2024,위치!B:C,2,0)</f>
        <v>#N/A</v>
      </c>
      <c r="J2024" s="9"/>
      <c r="K2024" s="9"/>
      <c r="L2024" s="9" t="e">
        <f>VLOOKUP(H2024,위치!B:D,3,0)</f>
        <v>#N/A</v>
      </c>
      <c r="M2024" s="12"/>
      <c r="N2024" s="5"/>
      <c r="O2024" s="5"/>
      <c r="P2024" s="5"/>
      <c r="Q2024" s="14"/>
      <c r="R2024" s="15">
        <f t="shared" si="31"/>
        <v>0</v>
      </c>
    </row>
    <row r="2025" spans="2:18" x14ac:dyDescent="0.35">
      <c r="B2025" s="9">
        <v>2051</v>
      </c>
      <c r="C2025" s="9"/>
      <c r="D2025" s="9"/>
      <c r="E2025" s="9"/>
      <c r="F2025" s="9"/>
      <c r="G2025" s="9"/>
      <c r="H2025" s="9"/>
      <c r="I2025" s="11" t="e">
        <f>VLOOKUP(H2025,위치!B:C,2,0)</f>
        <v>#N/A</v>
      </c>
      <c r="J2025" s="9"/>
      <c r="K2025" s="9"/>
      <c r="L2025" s="9" t="e">
        <f>VLOOKUP(H2025,위치!B:D,3,0)</f>
        <v>#N/A</v>
      </c>
      <c r="M2025" s="12"/>
      <c r="N2025" s="5"/>
      <c r="O2025" s="5"/>
      <c r="P2025" s="5"/>
      <c r="Q2025" s="14"/>
      <c r="R2025" s="15">
        <f t="shared" si="31"/>
        <v>0</v>
      </c>
    </row>
    <row r="2026" spans="2:18" x14ac:dyDescent="0.35">
      <c r="B2026" s="9">
        <v>2052</v>
      </c>
      <c r="C2026" s="9"/>
      <c r="D2026" s="9"/>
      <c r="E2026" s="9"/>
      <c r="F2026" s="9"/>
      <c r="G2026" s="9"/>
      <c r="H2026" s="9"/>
      <c r="I2026" s="11" t="e">
        <f>VLOOKUP(H2026,위치!B:C,2,0)</f>
        <v>#N/A</v>
      </c>
      <c r="J2026" s="9"/>
      <c r="K2026" s="9"/>
      <c r="L2026" s="9" t="e">
        <f>VLOOKUP(H2026,위치!B:D,3,0)</f>
        <v>#N/A</v>
      </c>
      <c r="M2026" s="12"/>
      <c r="N2026" s="5"/>
      <c r="O2026" s="5"/>
      <c r="P2026" s="5"/>
      <c r="Q2026" s="14"/>
      <c r="R2026" s="15">
        <f t="shared" si="31"/>
        <v>0</v>
      </c>
    </row>
    <row r="2027" spans="2:18" x14ac:dyDescent="0.35">
      <c r="B2027" s="9">
        <v>2053</v>
      </c>
      <c r="C2027" s="9"/>
      <c r="D2027" s="9"/>
      <c r="E2027" s="9"/>
      <c r="F2027" s="9"/>
      <c r="G2027" s="9"/>
      <c r="H2027" s="9"/>
      <c r="I2027" s="11" t="e">
        <f>VLOOKUP(H2027,위치!B:C,2,0)</f>
        <v>#N/A</v>
      </c>
      <c r="J2027" s="9"/>
      <c r="K2027" s="9"/>
      <c r="L2027" s="9" t="e">
        <f>VLOOKUP(H2027,위치!B:D,3,0)</f>
        <v>#N/A</v>
      </c>
      <c r="M2027" s="12"/>
      <c r="N2027" s="5"/>
      <c r="O2027" s="5"/>
      <c r="P2027" s="5"/>
      <c r="Q2027" s="14"/>
      <c r="R2027" s="15">
        <f t="shared" si="31"/>
        <v>0</v>
      </c>
    </row>
    <row r="2028" spans="2:18" x14ac:dyDescent="0.35">
      <c r="B2028" s="9">
        <v>2054</v>
      </c>
      <c r="C2028" s="9"/>
      <c r="D2028" s="9"/>
      <c r="E2028" s="9"/>
      <c r="F2028" s="9"/>
      <c r="G2028" s="9"/>
      <c r="H2028" s="9"/>
      <c r="I2028" s="11" t="e">
        <f>VLOOKUP(H2028,위치!B:C,2,0)</f>
        <v>#N/A</v>
      </c>
      <c r="J2028" s="9"/>
      <c r="K2028" s="9"/>
      <c r="L2028" s="9" t="e">
        <f>VLOOKUP(H2028,위치!B:D,3,0)</f>
        <v>#N/A</v>
      </c>
      <c r="M2028" s="12"/>
      <c r="N2028" s="5"/>
      <c r="O2028" s="5"/>
      <c r="P2028" s="5"/>
      <c r="Q2028" s="14"/>
      <c r="R2028" s="15">
        <f t="shared" si="31"/>
        <v>0</v>
      </c>
    </row>
    <row r="2029" spans="2:18" x14ac:dyDescent="0.35">
      <c r="B2029" s="9">
        <v>2055</v>
      </c>
      <c r="C2029" s="9"/>
      <c r="D2029" s="9"/>
      <c r="E2029" s="9"/>
      <c r="F2029" s="9"/>
      <c r="G2029" s="9"/>
      <c r="H2029" s="9"/>
      <c r="I2029" s="11" t="e">
        <f>VLOOKUP(H2029,위치!B:C,2,0)</f>
        <v>#N/A</v>
      </c>
      <c r="J2029" s="9"/>
      <c r="K2029" s="9"/>
      <c r="L2029" s="9" t="e">
        <f>VLOOKUP(H2029,위치!B:D,3,0)</f>
        <v>#N/A</v>
      </c>
      <c r="M2029" s="12"/>
      <c r="N2029" s="5"/>
      <c r="O2029" s="5"/>
      <c r="P2029" s="5"/>
      <c r="Q2029" s="14"/>
      <c r="R2029" s="15">
        <f t="shared" si="31"/>
        <v>0</v>
      </c>
    </row>
    <row r="2030" spans="2:18" x14ac:dyDescent="0.35">
      <c r="B2030" s="9">
        <v>2056</v>
      </c>
      <c r="C2030" s="9"/>
      <c r="D2030" s="9"/>
      <c r="E2030" s="9"/>
      <c r="F2030" s="9"/>
      <c r="G2030" s="9"/>
      <c r="H2030" s="9"/>
      <c r="I2030" s="11" t="e">
        <f>VLOOKUP(H2030,위치!B:C,2,0)</f>
        <v>#N/A</v>
      </c>
      <c r="J2030" s="9"/>
      <c r="K2030" s="9"/>
      <c r="L2030" s="9" t="e">
        <f>VLOOKUP(H2030,위치!B:D,3,0)</f>
        <v>#N/A</v>
      </c>
      <c r="M2030" s="12"/>
      <c r="N2030" s="5"/>
      <c r="O2030" s="5"/>
      <c r="P2030" s="5"/>
      <c r="Q2030" s="14"/>
      <c r="R2030" s="15">
        <f t="shared" si="31"/>
        <v>0</v>
      </c>
    </row>
    <row r="2031" spans="2:18" x14ac:dyDescent="0.35">
      <c r="B2031" s="9">
        <v>2057</v>
      </c>
      <c r="C2031" s="9"/>
      <c r="D2031" s="9"/>
      <c r="E2031" s="9"/>
      <c r="F2031" s="9"/>
      <c r="G2031" s="9"/>
      <c r="H2031" s="9"/>
      <c r="I2031" s="11" t="e">
        <f>VLOOKUP(H2031,위치!B:C,2,0)</f>
        <v>#N/A</v>
      </c>
      <c r="J2031" s="9"/>
      <c r="K2031" s="9"/>
      <c r="L2031" s="9" t="e">
        <f>VLOOKUP(H2031,위치!B:D,3,0)</f>
        <v>#N/A</v>
      </c>
      <c r="M2031" s="12"/>
      <c r="N2031" s="5"/>
      <c r="O2031" s="5"/>
      <c r="P2031" s="5"/>
      <c r="Q2031" s="14"/>
      <c r="R2031" s="15">
        <f t="shared" si="31"/>
        <v>0</v>
      </c>
    </row>
    <row r="2032" spans="2:18" x14ac:dyDescent="0.35">
      <c r="B2032" s="9">
        <v>2058</v>
      </c>
      <c r="C2032" s="9"/>
      <c r="D2032" s="9"/>
      <c r="E2032" s="9"/>
      <c r="F2032" s="9"/>
      <c r="G2032" s="9"/>
      <c r="H2032" s="9"/>
      <c r="I2032" s="11" t="e">
        <f>VLOOKUP(H2032,위치!B:C,2,0)</f>
        <v>#N/A</v>
      </c>
      <c r="J2032" s="9"/>
      <c r="K2032" s="9"/>
      <c r="L2032" s="9" t="e">
        <f>VLOOKUP(H2032,위치!B:D,3,0)</f>
        <v>#N/A</v>
      </c>
      <c r="M2032" s="12"/>
      <c r="N2032" s="5"/>
      <c r="O2032" s="5"/>
      <c r="P2032" s="5"/>
      <c r="Q2032" s="14"/>
      <c r="R2032" s="15">
        <f t="shared" si="31"/>
        <v>0</v>
      </c>
    </row>
    <row r="2033" spans="2:18" x14ac:dyDescent="0.35">
      <c r="B2033" s="9">
        <v>2059</v>
      </c>
      <c r="C2033" s="9"/>
      <c r="D2033" s="9"/>
      <c r="E2033" s="9"/>
      <c r="F2033" s="9"/>
      <c r="G2033" s="9"/>
      <c r="H2033" s="9"/>
      <c r="I2033" s="11" t="e">
        <f>VLOOKUP(H2033,위치!B:C,2,0)</f>
        <v>#N/A</v>
      </c>
      <c r="J2033" s="9"/>
      <c r="K2033" s="9"/>
      <c r="L2033" s="9" t="e">
        <f>VLOOKUP(H2033,위치!B:D,3,0)</f>
        <v>#N/A</v>
      </c>
      <c r="M2033" s="12"/>
      <c r="N2033" s="5"/>
      <c r="O2033" s="5"/>
      <c r="P2033" s="5"/>
      <c r="Q2033" s="14"/>
      <c r="R2033" s="15">
        <f t="shared" si="31"/>
        <v>0</v>
      </c>
    </row>
    <row r="2034" spans="2:18" x14ac:dyDescent="0.35">
      <c r="B2034" s="9">
        <v>2060</v>
      </c>
      <c r="C2034" s="9"/>
      <c r="D2034" s="9"/>
      <c r="E2034" s="9"/>
      <c r="F2034" s="9"/>
      <c r="G2034" s="9"/>
      <c r="H2034" s="9"/>
      <c r="I2034" s="11" t="e">
        <f>VLOOKUP(H2034,위치!B:C,2,0)</f>
        <v>#N/A</v>
      </c>
      <c r="J2034" s="9"/>
      <c r="K2034" s="9"/>
      <c r="L2034" s="9" t="e">
        <f>VLOOKUP(H2034,위치!B:D,3,0)</f>
        <v>#N/A</v>
      </c>
      <c r="M2034" s="12"/>
      <c r="N2034" s="5"/>
      <c r="O2034" s="5"/>
      <c r="P2034" s="5"/>
      <c r="Q2034" s="14"/>
      <c r="R2034" s="15">
        <f t="shared" si="31"/>
        <v>0</v>
      </c>
    </row>
    <row r="2035" spans="2:18" x14ac:dyDescent="0.35">
      <c r="B2035" s="9">
        <v>2061</v>
      </c>
      <c r="C2035" s="9"/>
      <c r="D2035" s="9"/>
      <c r="E2035" s="9"/>
      <c r="F2035" s="9"/>
      <c r="G2035" s="9"/>
      <c r="H2035" s="9"/>
      <c r="I2035" s="11" t="e">
        <f>VLOOKUP(H2035,위치!B:C,2,0)</f>
        <v>#N/A</v>
      </c>
      <c r="J2035" s="9"/>
      <c r="K2035" s="9"/>
      <c r="L2035" s="9" t="e">
        <f>VLOOKUP(H2035,위치!B:D,3,0)</f>
        <v>#N/A</v>
      </c>
      <c r="M2035" s="12"/>
      <c r="N2035" s="5"/>
      <c r="O2035" s="5"/>
      <c r="P2035" s="5"/>
      <c r="Q2035" s="14"/>
      <c r="R2035" s="15">
        <f t="shared" si="31"/>
        <v>0</v>
      </c>
    </row>
    <row r="2036" spans="2:18" x14ac:dyDescent="0.35">
      <c r="B2036" s="9">
        <v>2062</v>
      </c>
      <c r="C2036" s="9"/>
      <c r="D2036" s="9"/>
      <c r="E2036" s="9"/>
      <c r="F2036" s="9"/>
      <c r="G2036" s="9"/>
      <c r="H2036" s="9"/>
      <c r="I2036" s="11" t="e">
        <f>VLOOKUP(H2036,위치!B:C,2,0)</f>
        <v>#N/A</v>
      </c>
      <c r="J2036" s="9"/>
      <c r="K2036" s="9"/>
      <c r="L2036" s="9" t="e">
        <f>VLOOKUP(H2036,위치!B:D,3,0)</f>
        <v>#N/A</v>
      </c>
      <c r="M2036" s="12"/>
      <c r="N2036" s="5"/>
      <c r="O2036" s="5"/>
      <c r="P2036" s="5"/>
      <c r="Q2036" s="14"/>
      <c r="R2036" s="15">
        <f t="shared" si="31"/>
        <v>0</v>
      </c>
    </row>
    <row r="2037" spans="2:18" x14ac:dyDescent="0.35">
      <c r="B2037" s="9">
        <v>2063</v>
      </c>
      <c r="C2037" s="9"/>
      <c r="D2037" s="9"/>
      <c r="E2037" s="9"/>
      <c r="F2037" s="9"/>
      <c r="G2037" s="9"/>
      <c r="H2037" s="9"/>
      <c r="I2037" s="11" t="e">
        <f>VLOOKUP(H2037,위치!B:C,2,0)</f>
        <v>#N/A</v>
      </c>
      <c r="J2037" s="9"/>
      <c r="K2037" s="9"/>
      <c r="L2037" s="9" t="e">
        <f>VLOOKUP(H2037,위치!B:D,3,0)</f>
        <v>#N/A</v>
      </c>
      <c r="M2037" s="12"/>
      <c r="N2037" s="5"/>
      <c r="O2037" s="5"/>
      <c r="P2037" s="5"/>
      <c r="Q2037" s="14"/>
      <c r="R2037" s="15">
        <f t="shared" si="31"/>
        <v>0</v>
      </c>
    </row>
    <row r="2038" spans="2:18" x14ac:dyDescent="0.35">
      <c r="B2038" s="9">
        <v>2064</v>
      </c>
      <c r="C2038" s="9"/>
      <c r="D2038" s="9"/>
      <c r="E2038" s="9"/>
      <c r="F2038" s="9"/>
      <c r="G2038" s="9"/>
      <c r="H2038" s="9"/>
      <c r="I2038" s="11" t="e">
        <f>VLOOKUP(H2038,위치!B:C,2,0)</f>
        <v>#N/A</v>
      </c>
      <c r="J2038" s="9"/>
      <c r="K2038" s="9"/>
      <c r="L2038" s="9" t="e">
        <f>VLOOKUP(H2038,위치!B:D,3,0)</f>
        <v>#N/A</v>
      </c>
      <c r="M2038" s="12"/>
      <c r="N2038" s="5"/>
      <c r="O2038" s="5"/>
      <c r="P2038" s="5"/>
      <c r="Q2038" s="14"/>
      <c r="R2038" s="15">
        <f t="shared" si="31"/>
        <v>0</v>
      </c>
    </row>
    <row r="2039" spans="2:18" x14ac:dyDescent="0.35">
      <c r="B2039" s="9">
        <v>2065</v>
      </c>
      <c r="C2039" s="9"/>
      <c r="D2039" s="9"/>
      <c r="E2039" s="9"/>
      <c r="F2039" s="9"/>
      <c r="G2039" s="9"/>
      <c r="H2039" s="9"/>
      <c r="I2039" s="11" t="e">
        <f>VLOOKUP(H2039,위치!B:C,2,0)</f>
        <v>#N/A</v>
      </c>
      <c r="J2039" s="9"/>
      <c r="K2039" s="9"/>
      <c r="L2039" s="9" t="e">
        <f>VLOOKUP(H2039,위치!B:D,3,0)</f>
        <v>#N/A</v>
      </c>
      <c r="M2039" s="12"/>
      <c r="N2039" s="5"/>
      <c r="O2039" s="5"/>
      <c r="P2039" s="5"/>
      <c r="Q2039" s="14"/>
      <c r="R2039" s="15">
        <f t="shared" si="31"/>
        <v>0</v>
      </c>
    </row>
    <row r="2040" spans="2:18" x14ac:dyDescent="0.35">
      <c r="B2040" s="9">
        <v>2066</v>
      </c>
      <c r="C2040" s="9"/>
      <c r="D2040" s="9"/>
      <c r="E2040" s="9"/>
      <c r="F2040" s="9"/>
      <c r="G2040" s="9"/>
      <c r="H2040" s="9"/>
      <c r="I2040" s="11" t="e">
        <f>VLOOKUP(H2040,위치!B:C,2,0)</f>
        <v>#N/A</v>
      </c>
      <c r="J2040" s="9"/>
      <c r="K2040" s="9"/>
      <c r="L2040" s="9" t="e">
        <f>VLOOKUP(H2040,위치!B:D,3,0)</f>
        <v>#N/A</v>
      </c>
      <c r="M2040" s="12"/>
      <c r="N2040" s="5"/>
      <c r="O2040" s="5"/>
      <c r="P2040" s="5"/>
      <c r="Q2040" s="14"/>
      <c r="R2040" s="15">
        <f t="shared" si="31"/>
        <v>0</v>
      </c>
    </row>
    <row r="2041" spans="2:18" x14ac:dyDescent="0.35">
      <c r="B2041" s="9">
        <v>2067</v>
      </c>
      <c r="C2041" s="9"/>
      <c r="D2041" s="9"/>
      <c r="E2041" s="9"/>
      <c r="F2041" s="9"/>
      <c r="G2041" s="9"/>
      <c r="H2041" s="9"/>
      <c r="I2041" s="11" t="e">
        <f>VLOOKUP(H2041,위치!B:C,2,0)</f>
        <v>#N/A</v>
      </c>
      <c r="J2041" s="9"/>
      <c r="K2041" s="9"/>
      <c r="L2041" s="9" t="e">
        <f>VLOOKUP(H2041,위치!B:D,3,0)</f>
        <v>#N/A</v>
      </c>
      <c r="M2041" s="12"/>
      <c r="N2041" s="5"/>
      <c r="O2041" s="5"/>
      <c r="P2041" s="5"/>
      <c r="Q2041" s="14"/>
      <c r="R2041" s="15">
        <f t="shared" si="31"/>
        <v>0</v>
      </c>
    </row>
    <row r="2042" spans="2:18" x14ac:dyDescent="0.35">
      <c r="B2042" s="9">
        <v>2068</v>
      </c>
      <c r="C2042" s="9"/>
      <c r="D2042" s="9"/>
      <c r="E2042" s="9"/>
      <c r="F2042" s="9"/>
      <c r="G2042" s="9"/>
      <c r="H2042" s="9"/>
      <c r="I2042" s="11" t="e">
        <f>VLOOKUP(H2042,위치!B:C,2,0)</f>
        <v>#N/A</v>
      </c>
      <c r="J2042" s="9"/>
      <c r="K2042" s="9"/>
      <c r="L2042" s="9" t="e">
        <f>VLOOKUP(H2042,위치!B:D,3,0)</f>
        <v>#N/A</v>
      </c>
      <c r="M2042" s="12"/>
      <c r="N2042" s="5"/>
      <c r="O2042" s="5"/>
      <c r="P2042" s="5"/>
      <c r="Q2042" s="14"/>
      <c r="R2042" s="15">
        <f t="shared" si="31"/>
        <v>0</v>
      </c>
    </row>
    <row r="2043" spans="2:18" x14ac:dyDescent="0.35">
      <c r="B2043" s="9">
        <v>2069</v>
      </c>
      <c r="C2043" s="9"/>
      <c r="D2043" s="9"/>
      <c r="E2043" s="9"/>
      <c r="F2043" s="9"/>
      <c r="G2043" s="9"/>
      <c r="H2043" s="9"/>
      <c r="I2043" s="11" t="e">
        <f>VLOOKUP(H2043,위치!B:C,2,0)</f>
        <v>#N/A</v>
      </c>
      <c r="J2043" s="9"/>
      <c r="K2043" s="9"/>
      <c r="L2043" s="9" t="e">
        <f>VLOOKUP(H2043,위치!B:D,3,0)</f>
        <v>#N/A</v>
      </c>
      <c r="M2043" s="12"/>
      <c r="N2043" s="5"/>
      <c r="O2043" s="5"/>
      <c r="P2043" s="5"/>
      <c r="Q2043" s="14"/>
      <c r="R2043" s="15">
        <f t="shared" si="31"/>
        <v>0</v>
      </c>
    </row>
    <row r="2044" spans="2:18" x14ac:dyDescent="0.35">
      <c r="B2044" s="9">
        <v>2070</v>
      </c>
      <c r="C2044" s="9"/>
      <c r="D2044" s="9"/>
      <c r="E2044" s="9"/>
      <c r="F2044" s="9"/>
      <c r="G2044" s="9"/>
      <c r="H2044" s="9"/>
      <c r="I2044" s="11" t="e">
        <f>VLOOKUP(H2044,위치!B:C,2,0)</f>
        <v>#N/A</v>
      </c>
      <c r="J2044" s="9"/>
      <c r="K2044" s="9"/>
      <c r="L2044" s="9" t="e">
        <f>VLOOKUP(H2044,위치!B:D,3,0)</f>
        <v>#N/A</v>
      </c>
      <c r="M2044" s="12"/>
      <c r="N2044" s="5"/>
      <c r="O2044" s="5"/>
      <c r="P2044" s="5"/>
      <c r="Q2044" s="14"/>
      <c r="R2044" s="15">
        <f t="shared" si="31"/>
        <v>0</v>
      </c>
    </row>
    <row r="2045" spans="2:18" x14ac:dyDescent="0.35">
      <c r="B2045" s="9">
        <v>2071</v>
      </c>
      <c r="C2045" s="9"/>
      <c r="D2045" s="9"/>
      <c r="E2045" s="9"/>
      <c r="F2045" s="9"/>
      <c r="G2045" s="9"/>
      <c r="H2045" s="9"/>
      <c r="I2045" s="11" t="e">
        <f>VLOOKUP(H2045,위치!B:C,2,0)</f>
        <v>#N/A</v>
      </c>
      <c r="J2045" s="9"/>
      <c r="K2045" s="9"/>
      <c r="L2045" s="9" t="e">
        <f>VLOOKUP(H2045,위치!B:D,3,0)</f>
        <v>#N/A</v>
      </c>
      <c r="M2045" s="12"/>
      <c r="N2045" s="5"/>
      <c r="O2045" s="5"/>
      <c r="P2045" s="5"/>
      <c r="Q2045" s="14"/>
      <c r="R2045" s="15">
        <f t="shared" si="31"/>
        <v>0</v>
      </c>
    </row>
    <row r="2046" spans="2:18" x14ac:dyDescent="0.35">
      <c r="B2046" s="9">
        <v>2072</v>
      </c>
      <c r="C2046" s="9"/>
      <c r="D2046" s="9"/>
      <c r="E2046" s="9"/>
      <c r="F2046" s="9"/>
      <c r="G2046" s="9"/>
      <c r="H2046" s="9"/>
      <c r="I2046" s="11" t="e">
        <f>VLOOKUP(H2046,위치!B:C,2,0)</f>
        <v>#N/A</v>
      </c>
      <c r="J2046" s="9"/>
      <c r="K2046" s="9"/>
      <c r="L2046" s="9" t="e">
        <f>VLOOKUP(H2046,위치!B:D,3,0)</f>
        <v>#N/A</v>
      </c>
      <c r="M2046" s="12"/>
      <c r="N2046" s="5"/>
      <c r="O2046" s="5"/>
      <c r="P2046" s="5"/>
      <c r="Q2046" s="14"/>
      <c r="R2046" s="15">
        <f t="shared" si="31"/>
        <v>0</v>
      </c>
    </row>
    <row r="2047" spans="2:18" x14ac:dyDescent="0.35">
      <c r="B2047" s="9">
        <v>2073</v>
      </c>
      <c r="C2047" s="9"/>
      <c r="D2047" s="9"/>
      <c r="E2047" s="9"/>
      <c r="F2047" s="9"/>
      <c r="G2047" s="9"/>
      <c r="H2047" s="9"/>
      <c r="I2047" s="11" t="e">
        <f>VLOOKUP(H2047,위치!B:C,2,0)</f>
        <v>#N/A</v>
      </c>
      <c r="J2047" s="9"/>
      <c r="K2047" s="9"/>
      <c r="L2047" s="9" t="e">
        <f>VLOOKUP(H2047,위치!B:D,3,0)</f>
        <v>#N/A</v>
      </c>
      <c r="M2047" s="12"/>
      <c r="N2047" s="5"/>
      <c r="O2047" s="5"/>
      <c r="P2047" s="5"/>
      <c r="Q2047" s="14"/>
      <c r="R2047" s="15">
        <f t="shared" si="31"/>
        <v>0</v>
      </c>
    </row>
    <row r="2048" spans="2:18" x14ac:dyDescent="0.35">
      <c r="B2048" s="9">
        <v>2074</v>
      </c>
      <c r="C2048" s="9"/>
      <c r="D2048" s="9"/>
      <c r="E2048" s="9"/>
      <c r="F2048" s="9"/>
      <c r="G2048" s="9"/>
      <c r="H2048" s="9"/>
      <c r="I2048" s="11" t="e">
        <f>VLOOKUP(H2048,위치!B:C,2,0)</f>
        <v>#N/A</v>
      </c>
      <c r="J2048" s="9"/>
      <c r="K2048" s="9"/>
      <c r="L2048" s="9" t="e">
        <f>VLOOKUP(H2048,위치!B:D,3,0)</f>
        <v>#N/A</v>
      </c>
      <c r="M2048" s="12"/>
      <c r="N2048" s="5"/>
      <c r="O2048" s="5"/>
      <c r="P2048" s="5"/>
      <c r="Q2048" s="14"/>
      <c r="R2048" s="15">
        <f t="shared" si="31"/>
        <v>0</v>
      </c>
    </row>
    <row r="2049" spans="2:18" x14ac:dyDescent="0.35">
      <c r="B2049" s="9">
        <v>2075</v>
      </c>
      <c r="C2049" s="9"/>
      <c r="D2049" s="9"/>
      <c r="E2049" s="9"/>
      <c r="F2049" s="9"/>
      <c r="G2049" s="9"/>
      <c r="H2049" s="9"/>
      <c r="I2049" s="11" t="e">
        <f>VLOOKUP(H2049,위치!B:C,2,0)</f>
        <v>#N/A</v>
      </c>
      <c r="J2049" s="9"/>
      <c r="K2049" s="9"/>
      <c r="L2049" s="9" t="e">
        <f>VLOOKUP(H2049,위치!B:D,3,0)</f>
        <v>#N/A</v>
      </c>
      <c r="M2049" s="12"/>
      <c r="N2049" s="5"/>
      <c r="O2049" s="5"/>
      <c r="P2049" s="5"/>
      <c r="Q2049" s="14"/>
      <c r="R2049" s="15">
        <f t="shared" si="31"/>
        <v>0</v>
      </c>
    </row>
    <row r="2050" spans="2:18" x14ac:dyDescent="0.35">
      <c r="B2050" s="9">
        <v>2076</v>
      </c>
      <c r="C2050" s="9"/>
      <c r="D2050" s="9"/>
      <c r="E2050" s="9"/>
      <c r="F2050" s="9"/>
      <c r="G2050" s="9"/>
      <c r="H2050" s="9"/>
      <c r="I2050" s="11" t="e">
        <f>VLOOKUP(H2050,위치!B:C,2,0)</f>
        <v>#N/A</v>
      </c>
      <c r="J2050" s="9"/>
      <c r="K2050" s="9"/>
      <c r="L2050" s="9" t="e">
        <f>VLOOKUP(H2050,위치!B:D,3,0)</f>
        <v>#N/A</v>
      </c>
      <c r="M2050" s="12"/>
      <c r="N2050" s="5"/>
      <c r="O2050" s="5"/>
      <c r="P2050" s="5"/>
      <c r="Q2050" s="14"/>
      <c r="R2050" s="15">
        <f t="shared" si="31"/>
        <v>0</v>
      </c>
    </row>
    <row r="2051" spans="2:18" x14ac:dyDescent="0.35">
      <c r="B2051" s="9">
        <v>2077</v>
      </c>
      <c r="C2051" s="9"/>
      <c r="D2051" s="9"/>
      <c r="E2051" s="9"/>
      <c r="F2051" s="9"/>
      <c r="G2051" s="9"/>
      <c r="H2051" s="9"/>
      <c r="I2051" s="11" t="e">
        <f>VLOOKUP(H2051,위치!B:C,2,0)</f>
        <v>#N/A</v>
      </c>
      <c r="J2051" s="9"/>
      <c r="K2051" s="9"/>
      <c r="L2051" s="9" t="e">
        <f>VLOOKUP(H2051,위치!B:D,3,0)</f>
        <v>#N/A</v>
      </c>
      <c r="M2051" s="12"/>
      <c r="N2051" s="5"/>
      <c r="O2051" s="5"/>
      <c r="P2051" s="5"/>
      <c r="Q2051" s="14"/>
      <c r="R2051" s="15">
        <f t="shared" si="31"/>
        <v>0</v>
      </c>
    </row>
    <row r="2052" spans="2:18" x14ac:dyDescent="0.35">
      <c r="B2052" s="9">
        <v>2078</v>
      </c>
      <c r="C2052" s="9"/>
      <c r="D2052" s="9"/>
      <c r="E2052" s="9"/>
      <c r="F2052" s="9"/>
      <c r="G2052" s="9"/>
      <c r="H2052" s="9"/>
      <c r="I2052" s="11" t="e">
        <f>VLOOKUP(H2052,위치!B:C,2,0)</f>
        <v>#N/A</v>
      </c>
      <c r="J2052" s="9"/>
      <c r="K2052" s="9"/>
      <c r="L2052" s="9" t="e">
        <f>VLOOKUP(H2052,위치!B:D,3,0)</f>
        <v>#N/A</v>
      </c>
      <c r="M2052" s="12"/>
      <c r="N2052" s="5"/>
      <c r="O2052" s="5"/>
      <c r="P2052" s="5"/>
      <c r="Q2052" s="14"/>
      <c r="R2052" s="15">
        <f t="shared" si="31"/>
        <v>0</v>
      </c>
    </row>
    <row r="2053" spans="2:18" x14ac:dyDescent="0.35">
      <c r="B2053" s="9">
        <v>2079</v>
      </c>
      <c r="C2053" s="9"/>
      <c r="D2053" s="9"/>
      <c r="E2053" s="9"/>
      <c r="F2053" s="9"/>
      <c r="G2053" s="9"/>
      <c r="H2053" s="9"/>
      <c r="I2053" s="11" t="e">
        <f>VLOOKUP(H2053,위치!B:C,2,0)</f>
        <v>#N/A</v>
      </c>
      <c r="J2053" s="9"/>
      <c r="K2053" s="9"/>
      <c r="L2053" s="9" t="e">
        <f>VLOOKUP(H2053,위치!B:D,3,0)</f>
        <v>#N/A</v>
      </c>
      <c r="M2053" s="12"/>
      <c r="N2053" s="5"/>
      <c r="O2053" s="5"/>
      <c r="P2053" s="5"/>
      <c r="Q2053" s="14"/>
      <c r="R2053" s="15">
        <f t="shared" si="31"/>
        <v>0</v>
      </c>
    </row>
    <row r="2054" spans="2:18" x14ac:dyDescent="0.35">
      <c r="B2054" s="9">
        <v>2080</v>
      </c>
      <c r="C2054" s="9"/>
      <c r="D2054" s="9"/>
      <c r="E2054" s="9"/>
      <c r="F2054" s="9"/>
      <c r="G2054" s="9"/>
      <c r="H2054" s="9"/>
      <c r="I2054" s="11" t="e">
        <f>VLOOKUP(H2054,위치!B:C,2,0)</f>
        <v>#N/A</v>
      </c>
      <c r="J2054" s="9"/>
      <c r="K2054" s="9"/>
      <c r="L2054" s="9" t="e">
        <f>VLOOKUP(H2054,위치!B:D,3,0)</f>
        <v>#N/A</v>
      </c>
      <c r="M2054" s="12"/>
      <c r="N2054" s="5"/>
      <c r="O2054" s="5"/>
      <c r="P2054" s="5"/>
      <c r="Q2054" s="14"/>
      <c r="R2054" s="15">
        <f t="shared" si="31"/>
        <v>0</v>
      </c>
    </row>
    <row r="2055" spans="2:18" x14ac:dyDescent="0.35">
      <c r="B2055" s="9">
        <v>2081</v>
      </c>
      <c r="C2055" s="9"/>
      <c r="D2055" s="9"/>
      <c r="E2055" s="9"/>
      <c r="F2055" s="9"/>
      <c r="G2055" s="9"/>
      <c r="H2055" s="9"/>
      <c r="I2055" s="11" t="e">
        <f>VLOOKUP(H2055,위치!B:C,2,0)</f>
        <v>#N/A</v>
      </c>
      <c r="J2055" s="9"/>
      <c r="K2055" s="9"/>
      <c r="L2055" s="9" t="e">
        <f>VLOOKUP(H2055,위치!B:D,3,0)</f>
        <v>#N/A</v>
      </c>
      <c r="M2055" s="12"/>
      <c r="N2055" s="5"/>
      <c r="O2055" s="5"/>
      <c r="P2055" s="5"/>
      <c r="Q2055" s="14"/>
      <c r="R2055" s="15">
        <f t="shared" ref="R2055:R2118" si="32">J2055-P2055</f>
        <v>0</v>
      </c>
    </row>
    <row r="2056" spans="2:18" x14ac:dyDescent="0.35">
      <c r="B2056" s="9">
        <v>2082</v>
      </c>
      <c r="C2056" s="9"/>
      <c r="D2056" s="9"/>
      <c r="E2056" s="9"/>
      <c r="F2056" s="9"/>
      <c r="G2056" s="9"/>
      <c r="H2056" s="9"/>
      <c r="I2056" s="11" t="e">
        <f>VLOOKUP(H2056,위치!B:C,2,0)</f>
        <v>#N/A</v>
      </c>
      <c r="J2056" s="9"/>
      <c r="K2056" s="9"/>
      <c r="L2056" s="9" t="e">
        <f>VLOOKUP(H2056,위치!B:D,3,0)</f>
        <v>#N/A</v>
      </c>
      <c r="M2056" s="12"/>
      <c r="N2056" s="5"/>
      <c r="O2056" s="5"/>
      <c r="P2056" s="5"/>
      <c r="Q2056" s="14"/>
      <c r="R2056" s="15">
        <f t="shared" si="32"/>
        <v>0</v>
      </c>
    </row>
    <row r="2057" spans="2:18" x14ac:dyDescent="0.35">
      <c r="B2057" s="9">
        <v>2083</v>
      </c>
      <c r="C2057" s="9"/>
      <c r="D2057" s="9"/>
      <c r="E2057" s="9"/>
      <c r="F2057" s="9"/>
      <c r="G2057" s="9"/>
      <c r="H2057" s="9"/>
      <c r="I2057" s="11" t="e">
        <f>VLOOKUP(H2057,위치!B:C,2,0)</f>
        <v>#N/A</v>
      </c>
      <c r="J2057" s="9"/>
      <c r="K2057" s="9"/>
      <c r="L2057" s="9" t="e">
        <f>VLOOKUP(H2057,위치!B:D,3,0)</f>
        <v>#N/A</v>
      </c>
      <c r="M2057" s="12"/>
      <c r="N2057" s="5"/>
      <c r="O2057" s="5"/>
      <c r="P2057" s="5"/>
      <c r="Q2057" s="14"/>
      <c r="R2057" s="15">
        <f t="shared" si="32"/>
        <v>0</v>
      </c>
    </row>
    <row r="2058" spans="2:18" x14ac:dyDescent="0.35">
      <c r="B2058" s="9">
        <v>2084</v>
      </c>
      <c r="C2058" s="9"/>
      <c r="D2058" s="9"/>
      <c r="E2058" s="9"/>
      <c r="F2058" s="9"/>
      <c r="G2058" s="9"/>
      <c r="H2058" s="9"/>
      <c r="I2058" s="11" t="e">
        <f>VLOOKUP(H2058,위치!B:C,2,0)</f>
        <v>#N/A</v>
      </c>
      <c r="J2058" s="9"/>
      <c r="K2058" s="9"/>
      <c r="L2058" s="9" t="e">
        <f>VLOOKUP(H2058,위치!B:D,3,0)</f>
        <v>#N/A</v>
      </c>
      <c r="M2058" s="12"/>
      <c r="N2058" s="5"/>
      <c r="O2058" s="5"/>
      <c r="P2058" s="5"/>
      <c r="Q2058" s="14"/>
      <c r="R2058" s="15">
        <f t="shared" si="32"/>
        <v>0</v>
      </c>
    </row>
    <row r="2059" spans="2:18" x14ac:dyDescent="0.35">
      <c r="B2059" s="9">
        <v>2085</v>
      </c>
      <c r="C2059" s="9"/>
      <c r="D2059" s="9"/>
      <c r="E2059" s="9"/>
      <c r="F2059" s="9"/>
      <c r="G2059" s="9"/>
      <c r="H2059" s="9"/>
      <c r="I2059" s="11" t="e">
        <f>VLOOKUP(H2059,위치!B:C,2,0)</f>
        <v>#N/A</v>
      </c>
      <c r="J2059" s="9"/>
      <c r="K2059" s="9"/>
      <c r="L2059" s="9" t="e">
        <f>VLOOKUP(H2059,위치!B:D,3,0)</f>
        <v>#N/A</v>
      </c>
      <c r="M2059" s="12"/>
      <c r="N2059" s="5"/>
      <c r="O2059" s="5"/>
      <c r="P2059" s="5"/>
      <c r="Q2059" s="14"/>
      <c r="R2059" s="15">
        <f t="shared" si="32"/>
        <v>0</v>
      </c>
    </row>
    <row r="2060" spans="2:18" x14ac:dyDescent="0.35">
      <c r="B2060" s="9">
        <v>2086</v>
      </c>
      <c r="C2060" s="9"/>
      <c r="D2060" s="9"/>
      <c r="E2060" s="9"/>
      <c r="F2060" s="9"/>
      <c r="G2060" s="9"/>
      <c r="H2060" s="9"/>
      <c r="I2060" s="11" t="e">
        <f>VLOOKUP(H2060,위치!B:C,2,0)</f>
        <v>#N/A</v>
      </c>
      <c r="J2060" s="9"/>
      <c r="K2060" s="9"/>
      <c r="L2060" s="9" t="e">
        <f>VLOOKUP(H2060,위치!B:D,3,0)</f>
        <v>#N/A</v>
      </c>
      <c r="M2060" s="12"/>
      <c r="N2060" s="5"/>
      <c r="O2060" s="5"/>
      <c r="P2060" s="5"/>
      <c r="Q2060" s="14"/>
      <c r="R2060" s="15">
        <f t="shared" si="32"/>
        <v>0</v>
      </c>
    </row>
    <row r="2061" spans="2:18" x14ac:dyDescent="0.35">
      <c r="B2061" s="9">
        <v>2087</v>
      </c>
      <c r="C2061" s="9"/>
      <c r="D2061" s="9"/>
      <c r="E2061" s="9"/>
      <c r="F2061" s="9"/>
      <c r="G2061" s="9"/>
      <c r="H2061" s="9"/>
      <c r="I2061" s="11" t="e">
        <f>VLOOKUP(H2061,위치!B:C,2,0)</f>
        <v>#N/A</v>
      </c>
      <c r="J2061" s="9"/>
      <c r="K2061" s="9"/>
      <c r="L2061" s="9" t="e">
        <f>VLOOKUP(H2061,위치!B:D,3,0)</f>
        <v>#N/A</v>
      </c>
      <c r="M2061" s="12"/>
      <c r="N2061" s="5"/>
      <c r="O2061" s="5"/>
      <c r="P2061" s="5"/>
      <c r="Q2061" s="14"/>
      <c r="R2061" s="15">
        <f t="shared" si="32"/>
        <v>0</v>
      </c>
    </row>
    <row r="2062" spans="2:18" x14ac:dyDescent="0.35">
      <c r="B2062" s="9">
        <v>2088</v>
      </c>
      <c r="C2062" s="9"/>
      <c r="D2062" s="9"/>
      <c r="E2062" s="9"/>
      <c r="F2062" s="9"/>
      <c r="G2062" s="9"/>
      <c r="H2062" s="9"/>
      <c r="I2062" s="11" t="e">
        <f>VLOOKUP(H2062,위치!B:C,2,0)</f>
        <v>#N/A</v>
      </c>
      <c r="J2062" s="9"/>
      <c r="K2062" s="9"/>
      <c r="L2062" s="9" t="e">
        <f>VLOOKUP(H2062,위치!B:D,3,0)</f>
        <v>#N/A</v>
      </c>
      <c r="M2062" s="12"/>
      <c r="N2062" s="5"/>
      <c r="O2062" s="5"/>
      <c r="P2062" s="5"/>
      <c r="Q2062" s="14"/>
      <c r="R2062" s="15">
        <f t="shared" si="32"/>
        <v>0</v>
      </c>
    </row>
    <row r="2063" spans="2:18" x14ac:dyDescent="0.35">
      <c r="B2063" s="9">
        <v>2089</v>
      </c>
      <c r="C2063" s="9"/>
      <c r="D2063" s="9"/>
      <c r="E2063" s="9"/>
      <c r="F2063" s="9"/>
      <c r="G2063" s="9"/>
      <c r="H2063" s="9"/>
      <c r="I2063" s="11" t="e">
        <f>VLOOKUP(H2063,위치!B:C,2,0)</f>
        <v>#N/A</v>
      </c>
      <c r="J2063" s="9"/>
      <c r="K2063" s="9"/>
      <c r="L2063" s="9" t="e">
        <f>VLOOKUP(H2063,위치!B:D,3,0)</f>
        <v>#N/A</v>
      </c>
      <c r="M2063" s="12"/>
      <c r="N2063" s="5"/>
      <c r="O2063" s="5"/>
      <c r="P2063" s="5"/>
      <c r="Q2063" s="14"/>
      <c r="R2063" s="15">
        <f t="shared" si="32"/>
        <v>0</v>
      </c>
    </row>
    <row r="2064" spans="2:18" x14ac:dyDescent="0.35">
      <c r="B2064" s="9">
        <v>2090</v>
      </c>
      <c r="C2064" s="9"/>
      <c r="D2064" s="9"/>
      <c r="E2064" s="9"/>
      <c r="F2064" s="9"/>
      <c r="G2064" s="9"/>
      <c r="H2064" s="9"/>
      <c r="I2064" s="11" t="e">
        <f>VLOOKUP(H2064,위치!B:C,2,0)</f>
        <v>#N/A</v>
      </c>
      <c r="J2064" s="9"/>
      <c r="K2064" s="9"/>
      <c r="L2064" s="9" t="e">
        <f>VLOOKUP(H2064,위치!B:D,3,0)</f>
        <v>#N/A</v>
      </c>
      <c r="M2064" s="12"/>
      <c r="N2064" s="5"/>
      <c r="O2064" s="5"/>
      <c r="P2064" s="5"/>
      <c r="Q2064" s="14"/>
      <c r="R2064" s="15">
        <f t="shared" si="32"/>
        <v>0</v>
      </c>
    </row>
    <row r="2065" spans="2:18" x14ac:dyDescent="0.35">
      <c r="B2065" s="9">
        <v>2091</v>
      </c>
      <c r="C2065" s="9"/>
      <c r="D2065" s="9"/>
      <c r="E2065" s="9"/>
      <c r="F2065" s="9"/>
      <c r="G2065" s="9"/>
      <c r="H2065" s="9"/>
      <c r="I2065" s="11" t="e">
        <f>VLOOKUP(H2065,위치!B:C,2,0)</f>
        <v>#N/A</v>
      </c>
      <c r="J2065" s="9"/>
      <c r="K2065" s="9"/>
      <c r="L2065" s="9" t="e">
        <f>VLOOKUP(H2065,위치!B:D,3,0)</f>
        <v>#N/A</v>
      </c>
      <c r="M2065" s="12"/>
      <c r="N2065" s="5"/>
      <c r="O2065" s="5"/>
      <c r="P2065" s="5"/>
      <c r="Q2065" s="14"/>
      <c r="R2065" s="15">
        <f t="shared" si="32"/>
        <v>0</v>
      </c>
    </row>
    <row r="2066" spans="2:18" x14ac:dyDescent="0.35">
      <c r="B2066" s="9">
        <v>2092</v>
      </c>
      <c r="C2066" s="9"/>
      <c r="D2066" s="9"/>
      <c r="E2066" s="9"/>
      <c r="F2066" s="9"/>
      <c r="G2066" s="9"/>
      <c r="H2066" s="9"/>
      <c r="I2066" s="11" t="e">
        <f>VLOOKUP(H2066,위치!B:C,2,0)</f>
        <v>#N/A</v>
      </c>
      <c r="J2066" s="9"/>
      <c r="K2066" s="9"/>
      <c r="L2066" s="9" t="e">
        <f>VLOOKUP(H2066,위치!B:D,3,0)</f>
        <v>#N/A</v>
      </c>
      <c r="M2066" s="12"/>
      <c r="N2066" s="5"/>
      <c r="O2066" s="5"/>
      <c r="P2066" s="5"/>
      <c r="Q2066" s="14"/>
      <c r="R2066" s="15">
        <f t="shared" si="32"/>
        <v>0</v>
      </c>
    </row>
    <row r="2067" spans="2:18" x14ac:dyDescent="0.35">
      <c r="B2067" s="9">
        <v>2093</v>
      </c>
      <c r="C2067" s="9"/>
      <c r="D2067" s="9"/>
      <c r="E2067" s="9"/>
      <c r="F2067" s="9"/>
      <c r="G2067" s="9"/>
      <c r="H2067" s="9"/>
      <c r="I2067" s="11" t="e">
        <f>VLOOKUP(H2067,위치!B:C,2,0)</f>
        <v>#N/A</v>
      </c>
      <c r="J2067" s="9"/>
      <c r="K2067" s="9"/>
      <c r="L2067" s="9" t="e">
        <f>VLOOKUP(H2067,위치!B:D,3,0)</f>
        <v>#N/A</v>
      </c>
      <c r="M2067" s="12"/>
      <c r="N2067" s="5"/>
      <c r="O2067" s="5"/>
      <c r="P2067" s="5"/>
      <c r="Q2067" s="14"/>
      <c r="R2067" s="15">
        <f t="shared" si="32"/>
        <v>0</v>
      </c>
    </row>
    <row r="2068" spans="2:18" x14ac:dyDescent="0.35">
      <c r="B2068" s="9">
        <v>2094</v>
      </c>
      <c r="C2068" s="9"/>
      <c r="D2068" s="9"/>
      <c r="E2068" s="9"/>
      <c r="F2068" s="9"/>
      <c r="G2068" s="9"/>
      <c r="H2068" s="9"/>
      <c r="I2068" s="11" t="e">
        <f>VLOOKUP(H2068,위치!B:C,2,0)</f>
        <v>#N/A</v>
      </c>
      <c r="J2068" s="9"/>
      <c r="K2068" s="9"/>
      <c r="L2068" s="9" t="e">
        <f>VLOOKUP(H2068,위치!B:D,3,0)</f>
        <v>#N/A</v>
      </c>
      <c r="M2068" s="12"/>
      <c r="N2068" s="5"/>
      <c r="O2068" s="5"/>
      <c r="P2068" s="5"/>
      <c r="Q2068" s="14"/>
      <c r="R2068" s="15">
        <f t="shared" si="32"/>
        <v>0</v>
      </c>
    </row>
    <row r="2069" spans="2:18" x14ac:dyDescent="0.35">
      <c r="B2069" s="9">
        <v>2095</v>
      </c>
      <c r="C2069" s="9"/>
      <c r="D2069" s="9"/>
      <c r="E2069" s="9"/>
      <c r="F2069" s="9"/>
      <c r="G2069" s="9"/>
      <c r="H2069" s="9"/>
      <c r="I2069" s="11" t="e">
        <f>VLOOKUP(H2069,위치!B:C,2,0)</f>
        <v>#N/A</v>
      </c>
      <c r="J2069" s="9"/>
      <c r="K2069" s="9"/>
      <c r="L2069" s="9" t="e">
        <f>VLOOKUP(H2069,위치!B:D,3,0)</f>
        <v>#N/A</v>
      </c>
      <c r="M2069" s="12"/>
      <c r="N2069" s="5"/>
      <c r="O2069" s="5"/>
      <c r="P2069" s="5"/>
      <c r="Q2069" s="14"/>
      <c r="R2069" s="15">
        <f t="shared" si="32"/>
        <v>0</v>
      </c>
    </row>
    <row r="2070" spans="2:18" x14ac:dyDescent="0.35">
      <c r="B2070" s="9">
        <v>2096</v>
      </c>
      <c r="C2070" s="9"/>
      <c r="D2070" s="9"/>
      <c r="E2070" s="9"/>
      <c r="F2070" s="9"/>
      <c r="G2070" s="9"/>
      <c r="H2070" s="9"/>
      <c r="I2070" s="11" t="e">
        <f>VLOOKUP(H2070,위치!B:C,2,0)</f>
        <v>#N/A</v>
      </c>
      <c r="J2070" s="9"/>
      <c r="K2070" s="9"/>
      <c r="L2070" s="9" t="e">
        <f>VLOOKUP(H2070,위치!B:D,3,0)</f>
        <v>#N/A</v>
      </c>
      <c r="M2070" s="12"/>
      <c r="N2070" s="5"/>
      <c r="O2070" s="5"/>
      <c r="P2070" s="5"/>
      <c r="Q2070" s="14"/>
      <c r="R2070" s="15">
        <f t="shared" si="32"/>
        <v>0</v>
      </c>
    </row>
    <row r="2071" spans="2:18" x14ac:dyDescent="0.35">
      <c r="B2071" s="9">
        <v>2097</v>
      </c>
      <c r="C2071" s="9"/>
      <c r="D2071" s="9"/>
      <c r="E2071" s="9"/>
      <c r="F2071" s="9"/>
      <c r="G2071" s="9"/>
      <c r="H2071" s="9"/>
      <c r="I2071" s="11" t="e">
        <f>VLOOKUP(H2071,위치!B:C,2,0)</f>
        <v>#N/A</v>
      </c>
      <c r="J2071" s="9"/>
      <c r="K2071" s="9"/>
      <c r="L2071" s="9" t="e">
        <f>VLOOKUP(H2071,위치!B:D,3,0)</f>
        <v>#N/A</v>
      </c>
      <c r="M2071" s="12"/>
      <c r="N2071" s="5"/>
      <c r="O2071" s="5"/>
      <c r="P2071" s="5"/>
      <c r="Q2071" s="14"/>
      <c r="R2071" s="15">
        <f t="shared" si="32"/>
        <v>0</v>
      </c>
    </row>
    <row r="2072" spans="2:18" x14ac:dyDescent="0.35">
      <c r="B2072" s="9">
        <v>2098</v>
      </c>
      <c r="C2072" s="9"/>
      <c r="D2072" s="9"/>
      <c r="E2072" s="9"/>
      <c r="F2072" s="9"/>
      <c r="G2072" s="9"/>
      <c r="H2072" s="9"/>
      <c r="I2072" s="11" t="e">
        <f>VLOOKUP(H2072,위치!B:C,2,0)</f>
        <v>#N/A</v>
      </c>
      <c r="J2072" s="9"/>
      <c r="K2072" s="9"/>
      <c r="L2072" s="9" t="e">
        <f>VLOOKUP(H2072,위치!B:D,3,0)</f>
        <v>#N/A</v>
      </c>
      <c r="M2072" s="12"/>
      <c r="N2072" s="5"/>
      <c r="O2072" s="5"/>
      <c r="P2072" s="5"/>
      <c r="Q2072" s="14"/>
      <c r="R2072" s="15">
        <f t="shared" si="32"/>
        <v>0</v>
      </c>
    </row>
    <row r="2073" spans="2:18" x14ac:dyDescent="0.35">
      <c r="B2073" s="9">
        <v>2099</v>
      </c>
      <c r="C2073" s="9"/>
      <c r="D2073" s="9"/>
      <c r="E2073" s="9"/>
      <c r="F2073" s="9"/>
      <c r="G2073" s="9"/>
      <c r="H2073" s="9"/>
      <c r="I2073" s="11" t="e">
        <f>VLOOKUP(H2073,위치!B:C,2,0)</f>
        <v>#N/A</v>
      </c>
      <c r="J2073" s="9"/>
      <c r="K2073" s="9"/>
      <c r="L2073" s="9" t="e">
        <f>VLOOKUP(H2073,위치!B:D,3,0)</f>
        <v>#N/A</v>
      </c>
      <c r="M2073" s="12"/>
      <c r="N2073" s="5"/>
      <c r="O2073" s="5"/>
      <c r="P2073" s="5"/>
      <c r="Q2073" s="14"/>
      <c r="R2073" s="15">
        <f t="shared" si="32"/>
        <v>0</v>
      </c>
    </row>
    <row r="2074" spans="2:18" x14ac:dyDescent="0.35">
      <c r="B2074" s="9">
        <v>2100</v>
      </c>
      <c r="C2074" s="9"/>
      <c r="D2074" s="9"/>
      <c r="E2074" s="9"/>
      <c r="F2074" s="9"/>
      <c r="G2074" s="9"/>
      <c r="H2074" s="9"/>
      <c r="I2074" s="11" t="e">
        <f>VLOOKUP(H2074,위치!B:C,2,0)</f>
        <v>#N/A</v>
      </c>
      <c r="J2074" s="9"/>
      <c r="K2074" s="9"/>
      <c r="L2074" s="9" t="e">
        <f>VLOOKUP(H2074,위치!B:D,3,0)</f>
        <v>#N/A</v>
      </c>
      <c r="M2074" s="12"/>
      <c r="N2074" s="5"/>
      <c r="O2074" s="5"/>
      <c r="P2074" s="5"/>
      <c r="Q2074" s="14"/>
      <c r="R2074" s="15">
        <f t="shared" si="32"/>
        <v>0</v>
      </c>
    </row>
    <row r="2075" spans="2:18" x14ac:dyDescent="0.35">
      <c r="B2075" s="9">
        <v>2101</v>
      </c>
      <c r="C2075" s="9"/>
      <c r="D2075" s="9"/>
      <c r="E2075" s="9"/>
      <c r="F2075" s="9"/>
      <c r="G2075" s="9"/>
      <c r="H2075" s="9"/>
      <c r="I2075" s="11" t="e">
        <f>VLOOKUP(H2075,위치!B:C,2,0)</f>
        <v>#N/A</v>
      </c>
      <c r="J2075" s="9"/>
      <c r="K2075" s="9"/>
      <c r="L2075" s="9" t="e">
        <f>VLOOKUP(H2075,위치!B:D,3,0)</f>
        <v>#N/A</v>
      </c>
      <c r="M2075" s="12"/>
      <c r="N2075" s="5"/>
      <c r="O2075" s="5"/>
      <c r="P2075" s="5"/>
      <c r="Q2075" s="14"/>
      <c r="R2075" s="15">
        <f t="shared" si="32"/>
        <v>0</v>
      </c>
    </row>
    <row r="2076" spans="2:18" x14ac:dyDescent="0.35">
      <c r="B2076" s="9">
        <v>2102</v>
      </c>
      <c r="C2076" s="9"/>
      <c r="D2076" s="9"/>
      <c r="E2076" s="9"/>
      <c r="F2076" s="9"/>
      <c r="G2076" s="9"/>
      <c r="H2076" s="9"/>
      <c r="I2076" s="11" t="e">
        <f>VLOOKUP(H2076,위치!B:C,2,0)</f>
        <v>#N/A</v>
      </c>
      <c r="J2076" s="9"/>
      <c r="K2076" s="9"/>
      <c r="L2076" s="9" t="e">
        <f>VLOOKUP(H2076,위치!B:D,3,0)</f>
        <v>#N/A</v>
      </c>
      <c r="M2076" s="12"/>
      <c r="N2076" s="5"/>
      <c r="O2076" s="5"/>
      <c r="P2076" s="5"/>
      <c r="Q2076" s="14"/>
      <c r="R2076" s="15">
        <f t="shared" si="32"/>
        <v>0</v>
      </c>
    </row>
    <row r="2077" spans="2:18" x14ac:dyDescent="0.35">
      <c r="B2077" s="9">
        <v>2103</v>
      </c>
      <c r="C2077" s="9"/>
      <c r="D2077" s="9"/>
      <c r="E2077" s="9"/>
      <c r="F2077" s="9"/>
      <c r="G2077" s="9"/>
      <c r="H2077" s="9"/>
      <c r="I2077" s="11" t="e">
        <f>VLOOKUP(H2077,위치!B:C,2,0)</f>
        <v>#N/A</v>
      </c>
      <c r="J2077" s="9"/>
      <c r="K2077" s="9"/>
      <c r="L2077" s="9" t="e">
        <f>VLOOKUP(H2077,위치!B:D,3,0)</f>
        <v>#N/A</v>
      </c>
      <c r="M2077" s="12"/>
      <c r="N2077" s="5"/>
      <c r="O2077" s="5"/>
      <c r="P2077" s="5"/>
      <c r="Q2077" s="14"/>
      <c r="R2077" s="15">
        <f t="shared" si="32"/>
        <v>0</v>
      </c>
    </row>
    <row r="2078" spans="2:18" x14ac:dyDescent="0.35">
      <c r="B2078" s="9">
        <v>2104</v>
      </c>
      <c r="C2078" s="9"/>
      <c r="D2078" s="9"/>
      <c r="E2078" s="9"/>
      <c r="F2078" s="9"/>
      <c r="G2078" s="9"/>
      <c r="H2078" s="9"/>
      <c r="I2078" s="11" t="e">
        <f>VLOOKUP(H2078,위치!B:C,2,0)</f>
        <v>#N/A</v>
      </c>
      <c r="J2078" s="9"/>
      <c r="K2078" s="9"/>
      <c r="L2078" s="9" t="e">
        <f>VLOOKUP(H2078,위치!B:D,3,0)</f>
        <v>#N/A</v>
      </c>
      <c r="M2078" s="12"/>
      <c r="N2078" s="5"/>
      <c r="O2078" s="5"/>
      <c r="P2078" s="5"/>
      <c r="Q2078" s="14"/>
      <c r="R2078" s="15">
        <f t="shared" si="32"/>
        <v>0</v>
      </c>
    </row>
    <row r="2079" spans="2:18" x14ac:dyDescent="0.35">
      <c r="B2079" s="9">
        <v>2105</v>
      </c>
      <c r="C2079" s="9"/>
      <c r="D2079" s="9"/>
      <c r="E2079" s="9"/>
      <c r="F2079" s="9"/>
      <c r="G2079" s="9"/>
      <c r="H2079" s="9"/>
      <c r="I2079" s="11" t="e">
        <f>VLOOKUP(H2079,위치!B:C,2,0)</f>
        <v>#N/A</v>
      </c>
      <c r="J2079" s="9"/>
      <c r="K2079" s="9"/>
      <c r="L2079" s="9" t="e">
        <f>VLOOKUP(H2079,위치!B:D,3,0)</f>
        <v>#N/A</v>
      </c>
      <c r="M2079" s="12"/>
      <c r="N2079" s="5"/>
      <c r="O2079" s="5"/>
      <c r="P2079" s="5"/>
      <c r="Q2079" s="14"/>
      <c r="R2079" s="15">
        <f t="shared" si="32"/>
        <v>0</v>
      </c>
    </row>
    <row r="2080" spans="2:18" x14ac:dyDescent="0.35">
      <c r="B2080" s="9">
        <v>2106</v>
      </c>
      <c r="C2080" s="9"/>
      <c r="D2080" s="9"/>
      <c r="E2080" s="9"/>
      <c r="F2080" s="9"/>
      <c r="G2080" s="9"/>
      <c r="H2080" s="9"/>
      <c r="I2080" s="11" t="e">
        <f>VLOOKUP(H2080,위치!B:C,2,0)</f>
        <v>#N/A</v>
      </c>
      <c r="J2080" s="9"/>
      <c r="K2080" s="9"/>
      <c r="L2080" s="9" t="e">
        <f>VLOOKUP(H2080,위치!B:D,3,0)</f>
        <v>#N/A</v>
      </c>
      <c r="M2080" s="12"/>
      <c r="N2080" s="5"/>
      <c r="O2080" s="5"/>
      <c r="P2080" s="5"/>
      <c r="Q2080" s="14"/>
      <c r="R2080" s="15">
        <f t="shared" si="32"/>
        <v>0</v>
      </c>
    </row>
    <row r="2081" spans="2:18" x14ac:dyDescent="0.35">
      <c r="B2081" s="9">
        <v>2107</v>
      </c>
      <c r="C2081" s="9"/>
      <c r="D2081" s="9"/>
      <c r="E2081" s="9"/>
      <c r="F2081" s="9"/>
      <c r="G2081" s="9"/>
      <c r="H2081" s="9"/>
      <c r="I2081" s="11" t="e">
        <f>VLOOKUP(H2081,위치!B:C,2,0)</f>
        <v>#N/A</v>
      </c>
      <c r="J2081" s="9"/>
      <c r="K2081" s="9"/>
      <c r="L2081" s="9" t="e">
        <f>VLOOKUP(H2081,위치!B:D,3,0)</f>
        <v>#N/A</v>
      </c>
      <c r="M2081" s="12"/>
      <c r="N2081" s="5"/>
      <c r="O2081" s="5"/>
      <c r="P2081" s="5"/>
      <c r="Q2081" s="14"/>
      <c r="R2081" s="15">
        <f t="shared" si="32"/>
        <v>0</v>
      </c>
    </row>
    <row r="2082" spans="2:18" x14ac:dyDescent="0.35">
      <c r="B2082" s="9">
        <v>2108</v>
      </c>
      <c r="C2082" s="9"/>
      <c r="D2082" s="9"/>
      <c r="E2082" s="9"/>
      <c r="F2082" s="9"/>
      <c r="G2082" s="9"/>
      <c r="H2082" s="9"/>
      <c r="I2082" s="11" t="e">
        <f>VLOOKUP(H2082,위치!B:C,2,0)</f>
        <v>#N/A</v>
      </c>
      <c r="J2082" s="9"/>
      <c r="K2082" s="9"/>
      <c r="L2082" s="9" t="e">
        <f>VLOOKUP(H2082,위치!B:D,3,0)</f>
        <v>#N/A</v>
      </c>
      <c r="M2082" s="12"/>
      <c r="N2082" s="5"/>
      <c r="O2082" s="5"/>
      <c r="P2082" s="5"/>
      <c r="Q2082" s="14"/>
      <c r="R2082" s="15">
        <f t="shared" si="32"/>
        <v>0</v>
      </c>
    </row>
    <row r="2083" spans="2:18" x14ac:dyDescent="0.35">
      <c r="B2083" s="9">
        <v>2109</v>
      </c>
      <c r="C2083" s="9"/>
      <c r="D2083" s="9"/>
      <c r="E2083" s="9"/>
      <c r="F2083" s="9"/>
      <c r="G2083" s="9"/>
      <c r="H2083" s="9"/>
      <c r="I2083" s="11" t="e">
        <f>VLOOKUP(H2083,위치!B:C,2,0)</f>
        <v>#N/A</v>
      </c>
      <c r="J2083" s="9"/>
      <c r="K2083" s="9"/>
      <c r="L2083" s="9" t="e">
        <f>VLOOKUP(H2083,위치!B:D,3,0)</f>
        <v>#N/A</v>
      </c>
      <c r="M2083" s="12"/>
      <c r="N2083" s="5"/>
      <c r="O2083" s="5"/>
      <c r="P2083" s="5"/>
      <c r="Q2083" s="14"/>
      <c r="R2083" s="15">
        <f t="shared" si="32"/>
        <v>0</v>
      </c>
    </row>
    <row r="2084" spans="2:18" x14ac:dyDescent="0.35">
      <c r="B2084" s="9">
        <v>2110</v>
      </c>
      <c r="C2084" s="9"/>
      <c r="D2084" s="9"/>
      <c r="E2084" s="9"/>
      <c r="F2084" s="9"/>
      <c r="G2084" s="9"/>
      <c r="H2084" s="9"/>
      <c r="I2084" s="11" t="e">
        <f>VLOOKUP(H2084,위치!B:C,2,0)</f>
        <v>#N/A</v>
      </c>
      <c r="J2084" s="9"/>
      <c r="K2084" s="9"/>
      <c r="L2084" s="9" t="e">
        <f>VLOOKUP(H2084,위치!B:D,3,0)</f>
        <v>#N/A</v>
      </c>
      <c r="M2084" s="12"/>
      <c r="N2084" s="5"/>
      <c r="O2084" s="5"/>
      <c r="P2084" s="5"/>
      <c r="Q2084" s="14"/>
      <c r="R2084" s="15">
        <f t="shared" si="32"/>
        <v>0</v>
      </c>
    </row>
    <row r="2085" spans="2:18" x14ac:dyDescent="0.35">
      <c r="B2085" s="9">
        <v>2111</v>
      </c>
      <c r="C2085" s="9"/>
      <c r="D2085" s="9"/>
      <c r="E2085" s="9"/>
      <c r="F2085" s="9"/>
      <c r="G2085" s="9"/>
      <c r="H2085" s="9"/>
      <c r="I2085" s="11" t="e">
        <f>VLOOKUP(H2085,위치!B:C,2,0)</f>
        <v>#N/A</v>
      </c>
      <c r="J2085" s="9"/>
      <c r="K2085" s="9"/>
      <c r="L2085" s="9" t="e">
        <f>VLOOKUP(H2085,위치!B:D,3,0)</f>
        <v>#N/A</v>
      </c>
      <c r="M2085" s="12"/>
      <c r="N2085" s="5"/>
      <c r="O2085" s="5"/>
      <c r="P2085" s="5"/>
      <c r="Q2085" s="14"/>
      <c r="R2085" s="15">
        <f t="shared" si="32"/>
        <v>0</v>
      </c>
    </row>
    <row r="2086" spans="2:18" x14ac:dyDescent="0.35">
      <c r="B2086" s="9">
        <v>2112</v>
      </c>
      <c r="C2086" s="9"/>
      <c r="D2086" s="9"/>
      <c r="E2086" s="9"/>
      <c r="F2086" s="9"/>
      <c r="G2086" s="9"/>
      <c r="H2086" s="9"/>
      <c r="I2086" s="11" t="e">
        <f>VLOOKUP(H2086,위치!B:C,2,0)</f>
        <v>#N/A</v>
      </c>
      <c r="J2086" s="9"/>
      <c r="K2086" s="9"/>
      <c r="L2086" s="9" t="e">
        <f>VLOOKUP(H2086,위치!B:D,3,0)</f>
        <v>#N/A</v>
      </c>
      <c r="M2086" s="12"/>
      <c r="N2086" s="5"/>
      <c r="O2086" s="5"/>
      <c r="P2086" s="5"/>
      <c r="Q2086" s="14"/>
      <c r="R2086" s="15">
        <f t="shared" si="32"/>
        <v>0</v>
      </c>
    </row>
    <row r="2087" spans="2:18" x14ac:dyDescent="0.35">
      <c r="B2087" s="9">
        <v>2113</v>
      </c>
      <c r="C2087" s="9"/>
      <c r="D2087" s="9"/>
      <c r="E2087" s="9"/>
      <c r="F2087" s="9"/>
      <c r="G2087" s="9"/>
      <c r="H2087" s="9"/>
      <c r="I2087" s="11" t="e">
        <f>VLOOKUP(H2087,위치!B:C,2,0)</f>
        <v>#N/A</v>
      </c>
      <c r="J2087" s="9"/>
      <c r="K2087" s="9"/>
      <c r="L2087" s="9" t="e">
        <f>VLOOKUP(H2087,위치!B:D,3,0)</f>
        <v>#N/A</v>
      </c>
      <c r="M2087" s="12"/>
      <c r="N2087" s="5"/>
      <c r="O2087" s="5"/>
      <c r="P2087" s="5"/>
      <c r="Q2087" s="14"/>
      <c r="R2087" s="15">
        <f t="shared" si="32"/>
        <v>0</v>
      </c>
    </row>
    <row r="2088" spans="2:18" x14ac:dyDescent="0.35">
      <c r="B2088" s="9">
        <v>2114</v>
      </c>
      <c r="C2088" s="9"/>
      <c r="D2088" s="9"/>
      <c r="E2088" s="9"/>
      <c r="F2088" s="9"/>
      <c r="G2088" s="9"/>
      <c r="H2088" s="9"/>
      <c r="I2088" s="11" t="e">
        <f>VLOOKUP(H2088,위치!B:C,2,0)</f>
        <v>#N/A</v>
      </c>
      <c r="J2088" s="9"/>
      <c r="K2088" s="9"/>
      <c r="L2088" s="9" t="e">
        <f>VLOOKUP(H2088,위치!B:D,3,0)</f>
        <v>#N/A</v>
      </c>
      <c r="M2088" s="12"/>
      <c r="N2088" s="5"/>
      <c r="O2088" s="5"/>
      <c r="P2088" s="5"/>
      <c r="Q2088" s="14"/>
      <c r="R2088" s="15">
        <f t="shared" si="32"/>
        <v>0</v>
      </c>
    </row>
    <row r="2089" spans="2:18" x14ac:dyDescent="0.35">
      <c r="B2089" s="9">
        <v>2115</v>
      </c>
      <c r="C2089" s="9"/>
      <c r="D2089" s="9"/>
      <c r="E2089" s="9"/>
      <c r="F2089" s="9"/>
      <c r="G2089" s="9"/>
      <c r="H2089" s="9"/>
      <c r="I2089" s="11" t="e">
        <f>VLOOKUP(H2089,위치!B:C,2,0)</f>
        <v>#N/A</v>
      </c>
      <c r="J2089" s="9"/>
      <c r="K2089" s="9"/>
      <c r="L2089" s="9" t="e">
        <f>VLOOKUP(H2089,위치!B:D,3,0)</f>
        <v>#N/A</v>
      </c>
      <c r="M2089" s="12"/>
      <c r="N2089" s="5"/>
      <c r="O2089" s="5"/>
      <c r="P2089" s="5"/>
      <c r="Q2089" s="14"/>
      <c r="R2089" s="15">
        <f t="shared" si="32"/>
        <v>0</v>
      </c>
    </row>
    <row r="2090" spans="2:18" x14ac:dyDescent="0.35">
      <c r="B2090" s="9">
        <v>2116</v>
      </c>
      <c r="C2090" s="9"/>
      <c r="D2090" s="9"/>
      <c r="E2090" s="9"/>
      <c r="F2090" s="9"/>
      <c r="G2090" s="9"/>
      <c r="H2090" s="9"/>
      <c r="I2090" s="11" t="e">
        <f>VLOOKUP(H2090,위치!B:C,2,0)</f>
        <v>#N/A</v>
      </c>
      <c r="J2090" s="9"/>
      <c r="K2090" s="9"/>
      <c r="L2090" s="9" t="e">
        <f>VLOOKUP(H2090,위치!B:D,3,0)</f>
        <v>#N/A</v>
      </c>
      <c r="M2090" s="12"/>
      <c r="N2090" s="5"/>
      <c r="O2090" s="5"/>
      <c r="P2090" s="5"/>
      <c r="Q2090" s="14"/>
      <c r="R2090" s="15">
        <f t="shared" si="32"/>
        <v>0</v>
      </c>
    </row>
    <row r="2091" spans="2:18" x14ac:dyDescent="0.35">
      <c r="B2091" s="9">
        <v>2117</v>
      </c>
      <c r="C2091" s="9"/>
      <c r="D2091" s="9"/>
      <c r="E2091" s="9"/>
      <c r="F2091" s="9"/>
      <c r="G2091" s="9"/>
      <c r="H2091" s="9"/>
      <c r="I2091" s="11" t="e">
        <f>VLOOKUP(H2091,위치!B:C,2,0)</f>
        <v>#N/A</v>
      </c>
      <c r="J2091" s="9"/>
      <c r="K2091" s="9"/>
      <c r="L2091" s="9" t="e">
        <f>VLOOKUP(H2091,위치!B:D,3,0)</f>
        <v>#N/A</v>
      </c>
      <c r="M2091" s="12"/>
      <c r="N2091" s="5"/>
      <c r="O2091" s="5"/>
      <c r="P2091" s="5"/>
      <c r="Q2091" s="14"/>
      <c r="R2091" s="15">
        <f t="shared" si="32"/>
        <v>0</v>
      </c>
    </row>
    <row r="2092" spans="2:18" x14ac:dyDescent="0.35">
      <c r="B2092" s="9">
        <v>2118</v>
      </c>
      <c r="C2092" s="9"/>
      <c r="D2092" s="9"/>
      <c r="E2092" s="9"/>
      <c r="F2092" s="9"/>
      <c r="G2092" s="9"/>
      <c r="H2092" s="9"/>
      <c r="I2092" s="11" t="e">
        <f>VLOOKUP(H2092,위치!B:C,2,0)</f>
        <v>#N/A</v>
      </c>
      <c r="J2092" s="9"/>
      <c r="K2092" s="9"/>
      <c r="L2092" s="9" t="e">
        <f>VLOOKUP(H2092,위치!B:D,3,0)</f>
        <v>#N/A</v>
      </c>
      <c r="M2092" s="12"/>
      <c r="N2092" s="5"/>
      <c r="O2092" s="5"/>
      <c r="P2092" s="5"/>
      <c r="Q2092" s="14"/>
      <c r="R2092" s="15">
        <f t="shared" si="32"/>
        <v>0</v>
      </c>
    </row>
    <row r="2093" spans="2:18" x14ac:dyDescent="0.35">
      <c r="B2093" s="9">
        <v>2119</v>
      </c>
      <c r="C2093" s="9"/>
      <c r="D2093" s="9"/>
      <c r="E2093" s="9"/>
      <c r="F2093" s="9"/>
      <c r="G2093" s="9"/>
      <c r="H2093" s="9"/>
      <c r="I2093" s="11" t="e">
        <f>VLOOKUP(H2093,위치!B:C,2,0)</f>
        <v>#N/A</v>
      </c>
      <c r="J2093" s="9"/>
      <c r="K2093" s="9"/>
      <c r="L2093" s="9" t="e">
        <f>VLOOKUP(H2093,위치!B:D,3,0)</f>
        <v>#N/A</v>
      </c>
      <c r="M2093" s="12"/>
      <c r="N2093" s="5"/>
      <c r="O2093" s="5"/>
      <c r="P2093" s="5"/>
      <c r="Q2093" s="14"/>
      <c r="R2093" s="15">
        <f t="shared" si="32"/>
        <v>0</v>
      </c>
    </row>
    <row r="2094" spans="2:18" x14ac:dyDescent="0.35">
      <c r="B2094" s="9">
        <v>2120</v>
      </c>
      <c r="C2094" s="9"/>
      <c r="D2094" s="9"/>
      <c r="E2094" s="9"/>
      <c r="F2094" s="9"/>
      <c r="G2094" s="9"/>
      <c r="H2094" s="9"/>
      <c r="I2094" s="11" t="e">
        <f>VLOOKUP(H2094,위치!B:C,2,0)</f>
        <v>#N/A</v>
      </c>
      <c r="J2094" s="9"/>
      <c r="K2094" s="9"/>
      <c r="L2094" s="9" t="e">
        <f>VLOOKUP(H2094,위치!B:D,3,0)</f>
        <v>#N/A</v>
      </c>
      <c r="M2094" s="12"/>
      <c r="N2094" s="5"/>
      <c r="O2094" s="5"/>
      <c r="P2094" s="5"/>
      <c r="Q2094" s="14"/>
      <c r="R2094" s="15">
        <f t="shared" si="32"/>
        <v>0</v>
      </c>
    </row>
    <row r="2095" spans="2:18" x14ac:dyDescent="0.35">
      <c r="B2095" s="9">
        <v>2121</v>
      </c>
      <c r="C2095" s="9"/>
      <c r="D2095" s="9"/>
      <c r="E2095" s="9"/>
      <c r="F2095" s="9"/>
      <c r="G2095" s="9"/>
      <c r="H2095" s="9"/>
      <c r="I2095" s="11" t="e">
        <f>VLOOKUP(H2095,위치!B:C,2,0)</f>
        <v>#N/A</v>
      </c>
      <c r="J2095" s="9"/>
      <c r="K2095" s="9"/>
      <c r="L2095" s="9" t="e">
        <f>VLOOKUP(H2095,위치!B:D,3,0)</f>
        <v>#N/A</v>
      </c>
      <c r="M2095" s="12"/>
      <c r="N2095" s="5"/>
      <c r="O2095" s="5"/>
      <c r="P2095" s="5"/>
      <c r="Q2095" s="14"/>
      <c r="R2095" s="15">
        <f t="shared" si="32"/>
        <v>0</v>
      </c>
    </row>
    <row r="2096" spans="2:18" x14ac:dyDescent="0.35">
      <c r="B2096" s="9">
        <v>2122</v>
      </c>
      <c r="C2096" s="9"/>
      <c r="D2096" s="9"/>
      <c r="E2096" s="9"/>
      <c r="F2096" s="9"/>
      <c r="G2096" s="9"/>
      <c r="H2096" s="9"/>
      <c r="I2096" s="11" t="e">
        <f>VLOOKUP(H2096,위치!B:C,2,0)</f>
        <v>#N/A</v>
      </c>
      <c r="J2096" s="9"/>
      <c r="K2096" s="9"/>
      <c r="L2096" s="9" t="e">
        <f>VLOOKUP(H2096,위치!B:D,3,0)</f>
        <v>#N/A</v>
      </c>
      <c r="M2096" s="12"/>
      <c r="N2096" s="5"/>
      <c r="O2096" s="5"/>
      <c r="P2096" s="5"/>
      <c r="Q2096" s="14"/>
      <c r="R2096" s="15">
        <f t="shared" si="32"/>
        <v>0</v>
      </c>
    </row>
    <row r="2097" spans="2:18" x14ac:dyDescent="0.35">
      <c r="B2097" s="9">
        <v>2123</v>
      </c>
      <c r="C2097" s="9"/>
      <c r="D2097" s="9"/>
      <c r="E2097" s="9"/>
      <c r="F2097" s="9"/>
      <c r="G2097" s="9"/>
      <c r="H2097" s="9"/>
      <c r="I2097" s="11" t="e">
        <f>VLOOKUP(H2097,위치!B:C,2,0)</f>
        <v>#N/A</v>
      </c>
      <c r="J2097" s="9"/>
      <c r="K2097" s="9"/>
      <c r="L2097" s="9" t="e">
        <f>VLOOKUP(H2097,위치!B:D,3,0)</f>
        <v>#N/A</v>
      </c>
      <c r="M2097" s="12"/>
      <c r="N2097" s="5"/>
      <c r="O2097" s="5"/>
      <c r="P2097" s="5"/>
      <c r="Q2097" s="14"/>
      <c r="R2097" s="15">
        <f t="shared" si="32"/>
        <v>0</v>
      </c>
    </row>
    <row r="2098" spans="2:18" x14ac:dyDescent="0.35">
      <c r="B2098" s="9">
        <v>2124</v>
      </c>
      <c r="C2098" s="9"/>
      <c r="D2098" s="9"/>
      <c r="E2098" s="9"/>
      <c r="F2098" s="9"/>
      <c r="G2098" s="9"/>
      <c r="H2098" s="9"/>
      <c r="I2098" s="11" t="e">
        <f>VLOOKUP(H2098,위치!B:C,2,0)</f>
        <v>#N/A</v>
      </c>
      <c r="J2098" s="9"/>
      <c r="K2098" s="9"/>
      <c r="L2098" s="9" t="e">
        <f>VLOOKUP(H2098,위치!B:D,3,0)</f>
        <v>#N/A</v>
      </c>
      <c r="M2098" s="12"/>
      <c r="N2098" s="5"/>
      <c r="O2098" s="5"/>
      <c r="P2098" s="5"/>
      <c r="Q2098" s="14"/>
      <c r="R2098" s="15">
        <f t="shared" si="32"/>
        <v>0</v>
      </c>
    </row>
    <row r="2099" spans="2:18" x14ac:dyDescent="0.35">
      <c r="B2099" s="9">
        <v>2125</v>
      </c>
      <c r="C2099" s="9"/>
      <c r="D2099" s="9"/>
      <c r="E2099" s="9"/>
      <c r="F2099" s="9"/>
      <c r="G2099" s="9"/>
      <c r="H2099" s="9"/>
      <c r="I2099" s="11" t="e">
        <f>VLOOKUP(H2099,위치!B:C,2,0)</f>
        <v>#N/A</v>
      </c>
      <c r="J2099" s="9"/>
      <c r="K2099" s="9"/>
      <c r="L2099" s="9" t="e">
        <f>VLOOKUP(H2099,위치!B:D,3,0)</f>
        <v>#N/A</v>
      </c>
      <c r="M2099" s="12"/>
      <c r="N2099" s="5"/>
      <c r="O2099" s="5"/>
      <c r="P2099" s="5"/>
      <c r="Q2099" s="14"/>
      <c r="R2099" s="15">
        <f t="shared" si="32"/>
        <v>0</v>
      </c>
    </row>
    <row r="2100" spans="2:18" x14ac:dyDescent="0.35">
      <c r="B2100" s="9">
        <v>2126</v>
      </c>
      <c r="C2100" s="9"/>
      <c r="D2100" s="9"/>
      <c r="E2100" s="9"/>
      <c r="F2100" s="9"/>
      <c r="G2100" s="9"/>
      <c r="H2100" s="9"/>
      <c r="I2100" s="11" t="e">
        <f>VLOOKUP(H2100,위치!B:C,2,0)</f>
        <v>#N/A</v>
      </c>
      <c r="J2100" s="9"/>
      <c r="K2100" s="9"/>
      <c r="L2100" s="9" t="e">
        <f>VLOOKUP(H2100,위치!B:D,3,0)</f>
        <v>#N/A</v>
      </c>
      <c r="M2100" s="12"/>
      <c r="N2100" s="5"/>
      <c r="O2100" s="5"/>
      <c r="P2100" s="5"/>
      <c r="Q2100" s="14"/>
      <c r="R2100" s="15">
        <f t="shared" si="32"/>
        <v>0</v>
      </c>
    </row>
    <row r="2101" spans="2:18" x14ac:dyDescent="0.35">
      <c r="B2101" s="9">
        <v>2127</v>
      </c>
      <c r="C2101" s="9"/>
      <c r="D2101" s="9"/>
      <c r="E2101" s="9"/>
      <c r="F2101" s="9"/>
      <c r="G2101" s="9"/>
      <c r="H2101" s="9"/>
      <c r="I2101" s="11" t="e">
        <f>VLOOKUP(H2101,위치!B:C,2,0)</f>
        <v>#N/A</v>
      </c>
      <c r="J2101" s="9"/>
      <c r="K2101" s="9"/>
      <c r="L2101" s="9" t="e">
        <f>VLOOKUP(H2101,위치!B:D,3,0)</f>
        <v>#N/A</v>
      </c>
      <c r="M2101" s="12"/>
      <c r="N2101" s="5"/>
      <c r="O2101" s="5"/>
      <c r="P2101" s="5"/>
      <c r="Q2101" s="14"/>
      <c r="R2101" s="15">
        <f t="shared" si="32"/>
        <v>0</v>
      </c>
    </row>
    <row r="2102" spans="2:18" x14ac:dyDescent="0.35">
      <c r="B2102" s="9">
        <v>2128</v>
      </c>
      <c r="C2102" s="9"/>
      <c r="D2102" s="9"/>
      <c r="E2102" s="9"/>
      <c r="F2102" s="9"/>
      <c r="G2102" s="9"/>
      <c r="H2102" s="9"/>
      <c r="I2102" s="11" t="e">
        <f>VLOOKUP(H2102,위치!B:C,2,0)</f>
        <v>#N/A</v>
      </c>
      <c r="J2102" s="9"/>
      <c r="K2102" s="9"/>
      <c r="L2102" s="9" t="e">
        <f>VLOOKUP(H2102,위치!B:D,3,0)</f>
        <v>#N/A</v>
      </c>
      <c r="M2102" s="12"/>
      <c r="N2102" s="5"/>
      <c r="O2102" s="5"/>
      <c r="P2102" s="5"/>
      <c r="Q2102" s="14"/>
      <c r="R2102" s="15">
        <f t="shared" si="32"/>
        <v>0</v>
      </c>
    </row>
    <row r="2103" spans="2:18" x14ac:dyDescent="0.35">
      <c r="B2103" s="9">
        <v>2129</v>
      </c>
      <c r="C2103" s="9"/>
      <c r="D2103" s="9"/>
      <c r="E2103" s="9"/>
      <c r="F2103" s="9"/>
      <c r="G2103" s="9"/>
      <c r="H2103" s="9"/>
      <c r="I2103" s="11" t="e">
        <f>VLOOKUP(H2103,위치!B:C,2,0)</f>
        <v>#N/A</v>
      </c>
      <c r="J2103" s="9"/>
      <c r="K2103" s="9"/>
      <c r="L2103" s="9" t="e">
        <f>VLOOKUP(H2103,위치!B:D,3,0)</f>
        <v>#N/A</v>
      </c>
      <c r="M2103" s="12"/>
      <c r="N2103" s="5"/>
      <c r="O2103" s="5"/>
      <c r="P2103" s="5"/>
      <c r="Q2103" s="14"/>
      <c r="R2103" s="15">
        <f t="shared" si="32"/>
        <v>0</v>
      </c>
    </row>
    <row r="2104" spans="2:18" x14ac:dyDescent="0.35">
      <c r="B2104" s="9">
        <v>2130</v>
      </c>
      <c r="C2104" s="9"/>
      <c r="D2104" s="9"/>
      <c r="E2104" s="9"/>
      <c r="F2104" s="9"/>
      <c r="G2104" s="9"/>
      <c r="H2104" s="9"/>
      <c r="I2104" s="11" t="e">
        <f>VLOOKUP(H2104,위치!B:C,2,0)</f>
        <v>#N/A</v>
      </c>
      <c r="J2104" s="9"/>
      <c r="K2104" s="9"/>
      <c r="L2104" s="9" t="e">
        <f>VLOOKUP(H2104,위치!B:D,3,0)</f>
        <v>#N/A</v>
      </c>
      <c r="M2104" s="12"/>
      <c r="N2104" s="5"/>
      <c r="O2104" s="5"/>
      <c r="P2104" s="5"/>
      <c r="Q2104" s="14"/>
      <c r="R2104" s="15">
        <f t="shared" si="32"/>
        <v>0</v>
      </c>
    </row>
    <row r="2105" spans="2:18" x14ac:dyDescent="0.35">
      <c r="B2105" s="9">
        <v>2131</v>
      </c>
      <c r="C2105" s="9"/>
      <c r="D2105" s="9"/>
      <c r="E2105" s="9"/>
      <c r="F2105" s="9"/>
      <c r="G2105" s="9"/>
      <c r="H2105" s="9"/>
      <c r="I2105" s="11" t="e">
        <f>VLOOKUP(H2105,위치!B:C,2,0)</f>
        <v>#N/A</v>
      </c>
      <c r="J2105" s="9"/>
      <c r="K2105" s="9"/>
      <c r="L2105" s="9" t="e">
        <f>VLOOKUP(H2105,위치!B:D,3,0)</f>
        <v>#N/A</v>
      </c>
      <c r="M2105" s="12"/>
      <c r="N2105" s="5"/>
      <c r="O2105" s="5"/>
      <c r="P2105" s="5"/>
      <c r="Q2105" s="14"/>
      <c r="R2105" s="15">
        <f t="shared" si="32"/>
        <v>0</v>
      </c>
    </row>
    <row r="2106" spans="2:18" x14ac:dyDescent="0.35">
      <c r="B2106" s="9">
        <v>2132</v>
      </c>
      <c r="C2106" s="9"/>
      <c r="D2106" s="9"/>
      <c r="E2106" s="9"/>
      <c r="F2106" s="9"/>
      <c r="G2106" s="9"/>
      <c r="H2106" s="9"/>
      <c r="I2106" s="11" t="e">
        <f>VLOOKUP(H2106,위치!B:C,2,0)</f>
        <v>#N/A</v>
      </c>
      <c r="J2106" s="9"/>
      <c r="K2106" s="9"/>
      <c r="L2106" s="9" t="e">
        <f>VLOOKUP(H2106,위치!B:D,3,0)</f>
        <v>#N/A</v>
      </c>
      <c r="M2106" s="12"/>
      <c r="N2106" s="5"/>
      <c r="O2106" s="5"/>
      <c r="P2106" s="5"/>
      <c r="Q2106" s="14"/>
      <c r="R2106" s="15">
        <f t="shared" si="32"/>
        <v>0</v>
      </c>
    </row>
    <row r="2107" spans="2:18" x14ac:dyDescent="0.35">
      <c r="B2107" s="9">
        <v>2133</v>
      </c>
      <c r="C2107" s="9"/>
      <c r="D2107" s="9"/>
      <c r="E2107" s="9"/>
      <c r="F2107" s="9"/>
      <c r="G2107" s="9"/>
      <c r="H2107" s="9"/>
      <c r="I2107" s="11" t="e">
        <f>VLOOKUP(H2107,위치!B:C,2,0)</f>
        <v>#N/A</v>
      </c>
      <c r="J2107" s="9"/>
      <c r="K2107" s="9"/>
      <c r="L2107" s="9" t="e">
        <f>VLOOKUP(H2107,위치!B:D,3,0)</f>
        <v>#N/A</v>
      </c>
      <c r="M2107" s="12"/>
      <c r="N2107" s="5"/>
      <c r="O2107" s="5"/>
      <c r="P2107" s="5"/>
      <c r="Q2107" s="14"/>
      <c r="R2107" s="15">
        <f t="shared" si="32"/>
        <v>0</v>
      </c>
    </row>
    <row r="2108" spans="2:18" x14ac:dyDescent="0.35">
      <c r="B2108" s="9">
        <v>2134</v>
      </c>
      <c r="C2108" s="9"/>
      <c r="D2108" s="9"/>
      <c r="E2108" s="9"/>
      <c r="F2108" s="9"/>
      <c r="G2108" s="9"/>
      <c r="H2108" s="9"/>
      <c r="I2108" s="11" t="e">
        <f>VLOOKUP(H2108,위치!B:C,2,0)</f>
        <v>#N/A</v>
      </c>
      <c r="J2108" s="9"/>
      <c r="K2108" s="9"/>
      <c r="L2108" s="9" t="e">
        <f>VLOOKUP(H2108,위치!B:D,3,0)</f>
        <v>#N/A</v>
      </c>
      <c r="M2108" s="12"/>
      <c r="N2108" s="5"/>
      <c r="O2108" s="5"/>
      <c r="P2108" s="5"/>
      <c r="Q2108" s="14"/>
      <c r="R2108" s="15">
        <f t="shared" si="32"/>
        <v>0</v>
      </c>
    </row>
    <row r="2109" spans="2:18" x14ac:dyDescent="0.35">
      <c r="B2109" s="9">
        <v>2135</v>
      </c>
      <c r="C2109" s="9"/>
      <c r="D2109" s="9"/>
      <c r="E2109" s="9"/>
      <c r="F2109" s="9"/>
      <c r="G2109" s="9"/>
      <c r="H2109" s="9"/>
      <c r="I2109" s="11" t="e">
        <f>VLOOKUP(H2109,위치!B:C,2,0)</f>
        <v>#N/A</v>
      </c>
      <c r="J2109" s="9"/>
      <c r="K2109" s="9"/>
      <c r="L2109" s="9" t="e">
        <f>VLOOKUP(H2109,위치!B:D,3,0)</f>
        <v>#N/A</v>
      </c>
      <c r="M2109" s="12"/>
      <c r="N2109" s="5"/>
      <c r="O2109" s="5"/>
      <c r="P2109" s="5"/>
      <c r="Q2109" s="14"/>
      <c r="R2109" s="15">
        <f t="shared" si="32"/>
        <v>0</v>
      </c>
    </row>
    <row r="2110" spans="2:18" x14ac:dyDescent="0.35">
      <c r="B2110" s="9">
        <v>2136</v>
      </c>
      <c r="C2110" s="9"/>
      <c r="D2110" s="9"/>
      <c r="E2110" s="9"/>
      <c r="F2110" s="9"/>
      <c r="G2110" s="9"/>
      <c r="H2110" s="9"/>
      <c r="I2110" s="11" t="e">
        <f>VLOOKUP(H2110,위치!B:C,2,0)</f>
        <v>#N/A</v>
      </c>
      <c r="J2110" s="9"/>
      <c r="K2110" s="9"/>
      <c r="L2110" s="9" t="e">
        <f>VLOOKUP(H2110,위치!B:D,3,0)</f>
        <v>#N/A</v>
      </c>
      <c r="M2110" s="12"/>
      <c r="N2110" s="5"/>
      <c r="O2110" s="5"/>
      <c r="P2110" s="5"/>
      <c r="Q2110" s="14"/>
      <c r="R2110" s="15">
        <f t="shared" si="32"/>
        <v>0</v>
      </c>
    </row>
    <row r="2111" spans="2:18" x14ac:dyDescent="0.35">
      <c r="B2111" s="9">
        <v>2137</v>
      </c>
      <c r="C2111" s="9"/>
      <c r="D2111" s="9"/>
      <c r="E2111" s="9"/>
      <c r="F2111" s="9"/>
      <c r="G2111" s="9"/>
      <c r="H2111" s="9"/>
      <c r="I2111" s="11" t="e">
        <f>VLOOKUP(H2111,위치!B:C,2,0)</f>
        <v>#N/A</v>
      </c>
      <c r="J2111" s="9"/>
      <c r="K2111" s="9"/>
      <c r="L2111" s="9" t="e">
        <f>VLOOKUP(H2111,위치!B:D,3,0)</f>
        <v>#N/A</v>
      </c>
      <c r="M2111" s="12"/>
      <c r="N2111" s="5"/>
      <c r="O2111" s="5"/>
      <c r="P2111" s="5"/>
      <c r="Q2111" s="14"/>
      <c r="R2111" s="15">
        <f t="shared" si="32"/>
        <v>0</v>
      </c>
    </row>
    <row r="2112" spans="2:18" x14ac:dyDescent="0.35">
      <c r="B2112" s="9">
        <v>2138</v>
      </c>
      <c r="C2112" s="9"/>
      <c r="D2112" s="9"/>
      <c r="E2112" s="9"/>
      <c r="F2112" s="9"/>
      <c r="G2112" s="9"/>
      <c r="H2112" s="9"/>
      <c r="I2112" s="11" t="e">
        <f>VLOOKUP(H2112,위치!B:C,2,0)</f>
        <v>#N/A</v>
      </c>
      <c r="J2112" s="9"/>
      <c r="K2112" s="9"/>
      <c r="L2112" s="9" t="e">
        <f>VLOOKUP(H2112,위치!B:D,3,0)</f>
        <v>#N/A</v>
      </c>
      <c r="M2112" s="12"/>
      <c r="N2112" s="5"/>
      <c r="O2112" s="5"/>
      <c r="P2112" s="5"/>
      <c r="Q2112" s="14"/>
      <c r="R2112" s="15">
        <f t="shared" si="32"/>
        <v>0</v>
      </c>
    </row>
    <row r="2113" spans="2:18" x14ac:dyDescent="0.35">
      <c r="B2113" s="9">
        <v>2139</v>
      </c>
      <c r="C2113" s="9"/>
      <c r="D2113" s="9"/>
      <c r="E2113" s="9"/>
      <c r="F2113" s="9"/>
      <c r="G2113" s="9"/>
      <c r="H2113" s="9"/>
      <c r="I2113" s="11" t="e">
        <f>VLOOKUP(H2113,위치!B:C,2,0)</f>
        <v>#N/A</v>
      </c>
      <c r="J2113" s="9"/>
      <c r="K2113" s="9"/>
      <c r="L2113" s="9" t="e">
        <f>VLOOKUP(H2113,위치!B:D,3,0)</f>
        <v>#N/A</v>
      </c>
      <c r="M2113" s="12"/>
      <c r="N2113" s="5"/>
      <c r="O2113" s="5"/>
      <c r="P2113" s="5"/>
      <c r="Q2113" s="14"/>
      <c r="R2113" s="15">
        <f t="shared" si="32"/>
        <v>0</v>
      </c>
    </row>
    <row r="2114" spans="2:18" x14ac:dyDescent="0.35">
      <c r="B2114" s="9">
        <v>2140</v>
      </c>
      <c r="C2114" s="9"/>
      <c r="D2114" s="9"/>
      <c r="E2114" s="9"/>
      <c r="F2114" s="9"/>
      <c r="G2114" s="9"/>
      <c r="H2114" s="9"/>
      <c r="I2114" s="11" t="e">
        <f>VLOOKUP(H2114,위치!B:C,2,0)</f>
        <v>#N/A</v>
      </c>
      <c r="J2114" s="9"/>
      <c r="K2114" s="9"/>
      <c r="L2114" s="9" t="e">
        <f>VLOOKUP(H2114,위치!B:D,3,0)</f>
        <v>#N/A</v>
      </c>
      <c r="M2114" s="12"/>
      <c r="N2114" s="5"/>
      <c r="O2114" s="5"/>
      <c r="P2114" s="5"/>
      <c r="Q2114" s="14"/>
      <c r="R2114" s="15">
        <f t="shared" si="32"/>
        <v>0</v>
      </c>
    </row>
    <row r="2115" spans="2:18" x14ac:dyDescent="0.35">
      <c r="B2115" s="9">
        <v>2141</v>
      </c>
      <c r="C2115" s="9"/>
      <c r="D2115" s="9"/>
      <c r="E2115" s="9"/>
      <c r="F2115" s="9"/>
      <c r="G2115" s="9"/>
      <c r="H2115" s="9"/>
      <c r="I2115" s="11" t="e">
        <f>VLOOKUP(H2115,위치!B:C,2,0)</f>
        <v>#N/A</v>
      </c>
      <c r="J2115" s="9"/>
      <c r="K2115" s="9"/>
      <c r="L2115" s="9" t="e">
        <f>VLOOKUP(H2115,위치!B:D,3,0)</f>
        <v>#N/A</v>
      </c>
      <c r="M2115" s="12"/>
      <c r="N2115" s="5"/>
      <c r="O2115" s="5"/>
      <c r="P2115" s="5"/>
      <c r="Q2115" s="14"/>
      <c r="R2115" s="15">
        <f t="shared" si="32"/>
        <v>0</v>
      </c>
    </row>
    <row r="2116" spans="2:18" x14ac:dyDescent="0.35">
      <c r="B2116" s="9">
        <v>2142</v>
      </c>
      <c r="C2116" s="9"/>
      <c r="D2116" s="9"/>
      <c r="E2116" s="9"/>
      <c r="F2116" s="9"/>
      <c r="G2116" s="9"/>
      <c r="H2116" s="9"/>
      <c r="I2116" s="11" t="e">
        <f>VLOOKUP(H2116,위치!B:C,2,0)</f>
        <v>#N/A</v>
      </c>
      <c r="J2116" s="9"/>
      <c r="K2116" s="9"/>
      <c r="L2116" s="9" t="e">
        <f>VLOOKUP(H2116,위치!B:D,3,0)</f>
        <v>#N/A</v>
      </c>
      <c r="M2116" s="12"/>
      <c r="N2116" s="5"/>
      <c r="O2116" s="5"/>
      <c r="P2116" s="5"/>
      <c r="Q2116" s="14"/>
      <c r="R2116" s="15">
        <f t="shared" si="32"/>
        <v>0</v>
      </c>
    </row>
    <row r="2117" spans="2:18" x14ac:dyDescent="0.35">
      <c r="B2117" s="9">
        <v>2143</v>
      </c>
      <c r="C2117" s="9"/>
      <c r="D2117" s="9"/>
      <c r="E2117" s="9"/>
      <c r="F2117" s="9"/>
      <c r="G2117" s="9"/>
      <c r="H2117" s="9"/>
      <c r="I2117" s="11" t="e">
        <f>VLOOKUP(H2117,위치!B:C,2,0)</f>
        <v>#N/A</v>
      </c>
      <c r="J2117" s="9"/>
      <c r="K2117" s="9"/>
      <c r="L2117" s="9" t="e">
        <f>VLOOKUP(H2117,위치!B:D,3,0)</f>
        <v>#N/A</v>
      </c>
      <c r="M2117" s="12"/>
      <c r="N2117" s="5"/>
      <c r="O2117" s="5"/>
      <c r="P2117" s="5"/>
      <c r="Q2117" s="14"/>
      <c r="R2117" s="15">
        <f t="shared" si="32"/>
        <v>0</v>
      </c>
    </row>
    <row r="2118" spans="2:18" x14ac:dyDescent="0.35">
      <c r="B2118" s="9">
        <v>2144</v>
      </c>
      <c r="C2118" s="9"/>
      <c r="D2118" s="9"/>
      <c r="E2118" s="9"/>
      <c r="F2118" s="9"/>
      <c r="G2118" s="9"/>
      <c r="H2118" s="9"/>
      <c r="I2118" s="11" t="e">
        <f>VLOOKUP(H2118,위치!B:C,2,0)</f>
        <v>#N/A</v>
      </c>
      <c r="J2118" s="9"/>
      <c r="K2118" s="9"/>
      <c r="L2118" s="9" t="e">
        <f>VLOOKUP(H2118,위치!B:D,3,0)</f>
        <v>#N/A</v>
      </c>
      <c r="M2118" s="12"/>
      <c r="N2118" s="5"/>
      <c r="O2118" s="5"/>
      <c r="P2118" s="5"/>
      <c r="Q2118" s="14"/>
      <c r="R2118" s="15">
        <f t="shared" si="32"/>
        <v>0</v>
      </c>
    </row>
    <row r="2119" spans="2:18" x14ac:dyDescent="0.35">
      <c r="B2119" s="9">
        <v>2145</v>
      </c>
      <c r="C2119" s="9"/>
      <c r="D2119" s="9"/>
      <c r="E2119" s="9"/>
      <c r="F2119" s="9"/>
      <c r="G2119" s="9"/>
      <c r="H2119" s="9"/>
      <c r="I2119" s="11" t="e">
        <f>VLOOKUP(H2119,위치!B:C,2,0)</f>
        <v>#N/A</v>
      </c>
      <c r="J2119" s="9"/>
      <c r="K2119" s="9"/>
      <c r="L2119" s="9" t="e">
        <f>VLOOKUP(H2119,위치!B:D,3,0)</f>
        <v>#N/A</v>
      </c>
      <c r="M2119" s="12"/>
      <c r="N2119" s="5"/>
      <c r="O2119" s="5"/>
      <c r="P2119" s="5"/>
      <c r="Q2119" s="14"/>
      <c r="R2119" s="15">
        <f t="shared" ref="R2119:R2182" si="33">J2119-P2119</f>
        <v>0</v>
      </c>
    </row>
    <row r="2120" spans="2:18" x14ac:dyDescent="0.35">
      <c r="B2120" s="9">
        <v>2146</v>
      </c>
      <c r="C2120" s="9"/>
      <c r="D2120" s="9"/>
      <c r="E2120" s="9"/>
      <c r="F2120" s="9"/>
      <c r="G2120" s="9"/>
      <c r="H2120" s="9"/>
      <c r="I2120" s="11" t="e">
        <f>VLOOKUP(H2120,위치!B:C,2,0)</f>
        <v>#N/A</v>
      </c>
      <c r="J2120" s="9"/>
      <c r="K2120" s="9"/>
      <c r="L2120" s="9" t="e">
        <f>VLOOKUP(H2120,위치!B:D,3,0)</f>
        <v>#N/A</v>
      </c>
      <c r="M2120" s="12"/>
      <c r="N2120" s="5"/>
      <c r="O2120" s="5"/>
      <c r="P2120" s="5"/>
      <c r="Q2120" s="14"/>
      <c r="R2120" s="15">
        <f t="shared" si="33"/>
        <v>0</v>
      </c>
    </row>
    <row r="2121" spans="2:18" x14ac:dyDescent="0.35">
      <c r="B2121" s="9">
        <v>2147</v>
      </c>
      <c r="C2121" s="9"/>
      <c r="D2121" s="9"/>
      <c r="E2121" s="9"/>
      <c r="F2121" s="9"/>
      <c r="G2121" s="9"/>
      <c r="H2121" s="9"/>
      <c r="I2121" s="11" t="e">
        <f>VLOOKUP(H2121,위치!B:C,2,0)</f>
        <v>#N/A</v>
      </c>
      <c r="J2121" s="9"/>
      <c r="K2121" s="9"/>
      <c r="L2121" s="9" t="e">
        <f>VLOOKUP(H2121,위치!B:D,3,0)</f>
        <v>#N/A</v>
      </c>
      <c r="M2121" s="12"/>
      <c r="N2121" s="5"/>
      <c r="O2121" s="5"/>
      <c r="P2121" s="5"/>
      <c r="Q2121" s="14"/>
      <c r="R2121" s="15">
        <f t="shared" si="33"/>
        <v>0</v>
      </c>
    </row>
    <row r="2122" spans="2:18" x14ac:dyDescent="0.35">
      <c r="B2122" s="9">
        <v>2148</v>
      </c>
      <c r="C2122" s="9"/>
      <c r="D2122" s="9"/>
      <c r="E2122" s="9"/>
      <c r="F2122" s="9"/>
      <c r="G2122" s="9"/>
      <c r="H2122" s="9"/>
      <c r="I2122" s="11" t="e">
        <f>VLOOKUP(H2122,위치!B:C,2,0)</f>
        <v>#N/A</v>
      </c>
      <c r="J2122" s="9"/>
      <c r="K2122" s="9"/>
      <c r="L2122" s="9" t="e">
        <f>VLOOKUP(H2122,위치!B:D,3,0)</f>
        <v>#N/A</v>
      </c>
      <c r="M2122" s="12"/>
      <c r="N2122" s="5"/>
      <c r="O2122" s="5"/>
      <c r="P2122" s="5"/>
      <c r="Q2122" s="14"/>
      <c r="R2122" s="15">
        <f t="shared" si="33"/>
        <v>0</v>
      </c>
    </row>
    <row r="2123" spans="2:18" x14ac:dyDescent="0.35">
      <c r="B2123" s="9">
        <v>2149</v>
      </c>
      <c r="C2123" s="9"/>
      <c r="D2123" s="9"/>
      <c r="E2123" s="9"/>
      <c r="F2123" s="9"/>
      <c r="G2123" s="9"/>
      <c r="H2123" s="9"/>
      <c r="I2123" s="11" t="e">
        <f>VLOOKUP(H2123,위치!B:C,2,0)</f>
        <v>#N/A</v>
      </c>
      <c r="J2123" s="9"/>
      <c r="K2123" s="9"/>
      <c r="L2123" s="9" t="e">
        <f>VLOOKUP(H2123,위치!B:D,3,0)</f>
        <v>#N/A</v>
      </c>
      <c r="M2123" s="12"/>
      <c r="N2123" s="5"/>
      <c r="O2123" s="5"/>
      <c r="P2123" s="5"/>
      <c r="Q2123" s="14"/>
      <c r="R2123" s="15">
        <f t="shared" si="33"/>
        <v>0</v>
      </c>
    </row>
    <row r="2124" spans="2:18" x14ac:dyDescent="0.35">
      <c r="B2124" s="9">
        <v>2150</v>
      </c>
      <c r="C2124" s="9"/>
      <c r="D2124" s="9"/>
      <c r="E2124" s="9"/>
      <c r="F2124" s="9"/>
      <c r="G2124" s="9"/>
      <c r="H2124" s="9"/>
      <c r="I2124" s="11" t="e">
        <f>VLOOKUP(H2124,위치!B:C,2,0)</f>
        <v>#N/A</v>
      </c>
      <c r="J2124" s="9"/>
      <c r="K2124" s="9"/>
      <c r="L2124" s="9" t="e">
        <f>VLOOKUP(H2124,위치!B:D,3,0)</f>
        <v>#N/A</v>
      </c>
      <c r="M2124" s="12"/>
      <c r="N2124" s="5"/>
      <c r="O2124" s="5"/>
      <c r="P2124" s="5"/>
      <c r="Q2124" s="14"/>
      <c r="R2124" s="15">
        <f t="shared" si="33"/>
        <v>0</v>
      </c>
    </row>
    <row r="2125" spans="2:18" x14ac:dyDescent="0.35">
      <c r="B2125" s="9">
        <v>2151</v>
      </c>
      <c r="C2125" s="9"/>
      <c r="D2125" s="9"/>
      <c r="E2125" s="9"/>
      <c r="F2125" s="9"/>
      <c r="G2125" s="9"/>
      <c r="H2125" s="9"/>
      <c r="I2125" s="11" t="e">
        <f>VLOOKUP(H2125,위치!B:C,2,0)</f>
        <v>#N/A</v>
      </c>
      <c r="J2125" s="9"/>
      <c r="K2125" s="9"/>
      <c r="L2125" s="9" t="e">
        <f>VLOOKUP(H2125,위치!B:D,3,0)</f>
        <v>#N/A</v>
      </c>
      <c r="M2125" s="12"/>
      <c r="N2125" s="5"/>
      <c r="O2125" s="5"/>
      <c r="P2125" s="5"/>
      <c r="Q2125" s="14"/>
      <c r="R2125" s="15">
        <f t="shared" si="33"/>
        <v>0</v>
      </c>
    </row>
    <row r="2126" spans="2:18" x14ac:dyDescent="0.35">
      <c r="B2126" s="9">
        <v>2152</v>
      </c>
      <c r="C2126" s="9"/>
      <c r="D2126" s="9"/>
      <c r="E2126" s="9"/>
      <c r="F2126" s="9"/>
      <c r="G2126" s="9"/>
      <c r="H2126" s="9"/>
      <c r="I2126" s="11" t="e">
        <f>VLOOKUP(H2126,위치!B:C,2,0)</f>
        <v>#N/A</v>
      </c>
      <c r="J2126" s="9"/>
      <c r="K2126" s="9"/>
      <c r="L2126" s="9" t="e">
        <f>VLOOKUP(H2126,위치!B:D,3,0)</f>
        <v>#N/A</v>
      </c>
      <c r="M2126" s="12"/>
      <c r="N2126" s="5"/>
      <c r="O2126" s="5"/>
      <c r="P2126" s="5"/>
      <c r="Q2126" s="14"/>
      <c r="R2126" s="15">
        <f t="shared" si="33"/>
        <v>0</v>
      </c>
    </row>
    <row r="2127" spans="2:18" x14ac:dyDescent="0.35">
      <c r="B2127" s="9">
        <v>2153</v>
      </c>
      <c r="C2127" s="9"/>
      <c r="D2127" s="9"/>
      <c r="E2127" s="9"/>
      <c r="F2127" s="9"/>
      <c r="G2127" s="9"/>
      <c r="H2127" s="9"/>
      <c r="I2127" s="11" t="e">
        <f>VLOOKUP(H2127,위치!B:C,2,0)</f>
        <v>#N/A</v>
      </c>
      <c r="J2127" s="9"/>
      <c r="K2127" s="9"/>
      <c r="L2127" s="9" t="e">
        <f>VLOOKUP(H2127,위치!B:D,3,0)</f>
        <v>#N/A</v>
      </c>
      <c r="M2127" s="12"/>
      <c r="N2127" s="5"/>
      <c r="O2127" s="5"/>
      <c r="P2127" s="5"/>
      <c r="Q2127" s="14"/>
      <c r="R2127" s="15">
        <f t="shared" si="33"/>
        <v>0</v>
      </c>
    </row>
    <row r="2128" spans="2:18" x14ac:dyDescent="0.35">
      <c r="B2128" s="9">
        <v>2154</v>
      </c>
      <c r="C2128" s="9"/>
      <c r="D2128" s="9"/>
      <c r="E2128" s="9"/>
      <c r="F2128" s="9"/>
      <c r="G2128" s="9"/>
      <c r="H2128" s="9"/>
      <c r="I2128" s="11" t="e">
        <f>VLOOKUP(H2128,위치!B:C,2,0)</f>
        <v>#N/A</v>
      </c>
      <c r="J2128" s="9"/>
      <c r="K2128" s="9"/>
      <c r="L2128" s="9" t="e">
        <f>VLOOKUP(H2128,위치!B:D,3,0)</f>
        <v>#N/A</v>
      </c>
      <c r="M2128" s="12"/>
      <c r="N2128" s="5"/>
      <c r="O2128" s="5"/>
      <c r="P2128" s="5"/>
      <c r="Q2128" s="14"/>
      <c r="R2128" s="15">
        <f t="shared" si="33"/>
        <v>0</v>
      </c>
    </row>
    <row r="2129" spans="2:18" x14ac:dyDescent="0.35">
      <c r="B2129" s="9">
        <v>2155</v>
      </c>
      <c r="C2129" s="9"/>
      <c r="D2129" s="9"/>
      <c r="E2129" s="9"/>
      <c r="F2129" s="9"/>
      <c r="G2129" s="9"/>
      <c r="H2129" s="9"/>
      <c r="I2129" s="11" t="e">
        <f>VLOOKUP(H2129,위치!B:C,2,0)</f>
        <v>#N/A</v>
      </c>
      <c r="J2129" s="9"/>
      <c r="K2129" s="9"/>
      <c r="L2129" s="9" t="e">
        <f>VLOOKUP(H2129,위치!B:D,3,0)</f>
        <v>#N/A</v>
      </c>
      <c r="M2129" s="12"/>
      <c r="N2129" s="5"/>
      <c r="O2129" s="5"/>
      <c r="P2129" s="5"/>
      <c r="Q2129" s="14"/>
      <c r="R2129" s="15">
        <f t="shared" si="33"/>
        <v>0</v>
      </c>
    </row>
    <row r="2130" spans="2:18" x14ac:dyDescent="0.35">
      <c r="B2130" s="9">
        <v>2156</v>
      </c>
      <c r="C2130" s="9"/>
      <c r="D2130" s="9"/>
      <c r="E2130" s="9"/>
      <c r="F2130" s="9"/>
      <c r="G2130" s="9"/>
      <c r="H2130" s="9"/>
      <c r="I2130" s="11" t="e">
        <f>VLOOKUP(H2130,위치!B:C,2,0)</f>
        <v>#N/A</v>
      </c>
      <c r="J2130" s="9"/>
      <c r="K2130" s="9"/>
      <c r="L2130" s="9" t="e">
        <f>VLOOKUP(H2130,위치!B:D,3,0)</f>
        <v>#N/A</v>
      </c>
      <c r="M2130" s="12"/>
      <c r="N2130" s="5"/>
      <c r="O2130" s="5"/>
      <c r="P2130" s="5"/>
      <c r="Q2130" s="14"/>
      <c r="R2130" s="15">
        <f t="shared" si="33"/>
        <v>0</v>
      </c>
    </row>
    <row r="2131" spans="2:18" x14ac:dyDescent="0.35">
      <c r="B2131" s="9">
        <v>2157</v>
      </c>
      <c r="C2131" s="9"/>
      <c r="D2131" s="9"/>
      <c r="E2131" s="9"/>
      <c r="F2131" s="9"/>
      <c r="G2131" s="9"/>
      <c r="H2131" s="9"/>
      <c r="I2131" s="11" t="e">
        <f>VLOOKUP(H2131,위치!B:C,2,0)</f>
        <v>#N/A</v>
      </c>
      <c r="J2131" s="9"/>
      <c r="K2131" s="9"/>
      <c r="L2131" s="9" t="e">
        <f>VLOOKUP(H2131,위치!B:D,3,0)</f>
        <v>#N/A</v>
      </c>
      <c r="M2131" s="12"/>
      <c r="N2131" s="5"/>
      <c r="O2131" s="5"/>
      <c r="P2131" s="5"/>
      <c r="Q2131" s="14"/>
      <c r="R2131" s="15">
        <f t="shared" si="33"/>
        <v>0</v>
      </c>
    </row>
    <row r="2132" spans="2:18" x14ac:dyDescent="0.35">
      <c r="B2132" s="9">
        <v>2158</v>
      </c>
      <c r="C2132" s="9"/>
      <c r="D2132" s="9"/>
      <c r="E2132" s="9"/>
      <c r="F2132" s="9"/>
      <c r="G2132" s="9"/>
      <c r="H2132" s="9"/>
      <c r="I2132" s="11" t="e">
        <f>VLOOKUP(H2132,위치!B:C,2,0)</f>
        <v>#N/A</v>
      </c>
      <c r="J2132" s="9"/>
      <c r="K2132" s="9"/>
      <c r="L2132" s="9" t="e">
        <f>VLOOKUP(H2132,위치!B:D,3,0)</f>
        <v>#N/A</v>
      </c>
      <c r="M2132" s="12"/>
      <c r="N2132" s="5"/>
      <c r="O2132" s="5"/>
      <c r="P2132" s="5"/>
      <c r="Q2132" s="14"/>
      <c r="R2132" s="15">
        <f t="shared" si="33"/>
        <v>0</v>
      </c>
    </row>
    <row r="2133" spans="2:18" x14ac:dyDescent="0.35">
      <c r="B2133" s="9">
        <v>2159</v>
      </c>
      <c r="C2133" s="9"/>
      <c r="D2133" s="9"/>
      <c r="E2133" s="9"/>
      <c r="F2133" s="9"/>
      <c r="G2133" s="9"/>
      <c r="H2133" s="9"/>
      <c r="I2133" s="11" t="e">
        <f>VLOOKUP(H2133,위치!B:C,2,0)</f>
        <v>#N/A</v>
      </c>
      <c r="J2133" s="9"/>
      <c r="K2133" s="9"/>
      <c r="L2133" s="9" t="e">
        <f>VLOOKUP(H2133,위치!B:D,3,0)</f>
        <v>#N/A</v>
      </c>
      <c r="M2133" s="12"/>
      <c r="N2133" s="5"/>
      <c r="O2133" s="5"/>
      <c r="P2133" s="5"/>
      <c r="Q2133" s="14"/>
      <c r="R2133" s="15">
        <f t="shared" si="33"/>
        <v>0</v>
      </c>
    </row>
    <row r="2134" spans="2:18" x14ac:dyDescent="0.35">
      <c r="B2134" s="9">
        <v>2160</v>
      </c>
      <c r="C2134" s="9"/>
      <c r="D2134" s="9"/>
      <c r="E2134" s="9"/>
      <c r="F2134" s="9"/>
      <c r="G2134" s="9"/>
      <c r="H2134" s="9"/>
      <c r="I2134" s="11" t="e">
        <f>VLOOKUP(H2134,위치!B:C,2,0)</f>
        <v>#N/A</v>
      </c>
      <c r="J2134" s="9"/>
      <c r="K2134" s="9"/>
      <c r="L2134" s="9" t="e">
        <f>VLOOKUP(H2134,위치!B:D,3,0)</f>
        <v>#N/A</v>
      </c>
      <c r="M2134" s="12"/>
      <c r="N2134" s="5"/>
      <c r="O2134" s="5"/>
      <c r="P2134" s="5"/>
      <c r="Q2134" s="14"/>
      <c r="R2134" s="15">
        <f t="shared" si="33"/>
        <v>0</v>
      </c>
    </row>
    <row r="2135" spans="2:18" x14ac:dyDescent="0.35">
      <c r="B2135" s="9">
        <v>2161</v>
      </c>
      <c r="C2135" s="9"/>
      <c r="D2135" s="9"/>
      <c r="E2135" s="9"/>
      <c r="F2135" s="9"/>
      <c r="G2135" s="9"/>
      <c r="H2135" s="9"/>
      <c r="I2135" s="11" t="e">
        <f>VLOOKUP(H2135,위치!B:C,2,0)</f>
        <v>#N/A</v>
      </c>
      <c r="J2135" s="9"/>
      <c r="K2135" s="9"/>
      <c r="L2135" s="9" t="e">
        <f>VLOOKUP(H2135,위치!B:D,3,0)</f>
        <v>#N/A</v>
      </c>
      <c r="M2135" s="12"/>
      <c r="N2135" s="5"/>
      <c r="O2135" s="5"/>
      <c r="P2135" s="5"/>
      <c r="Q2135" s="14"/>
      <c r="R2135" s="15">
        <f t="shared" si="33"/>
        <v>0</v>
      </c>
    </row>
    <row r="2136" spans="2:18" x14ac:dyDescent="0.35">
      <c r="B2136" s="9">
        <v>2162</v>
      </c>
      <c r="C2136" s="9"/>
      <c r="D2136" s="9"/>
      <c r="E2136" s="9"/>
      <c r="F2136" s="9"/>
      <c r="G2136" s="9"/>
      <c r="H2136" s="9"/>
      <c r="I2136" s="11" t="e">
        <f>VLOOKUP(H2136,위치!B:C,2,0)</f>
        <v>#N/A</v>
      </c>
      <c r="J2136" s="9"/>
      <c r="K2136" s="9"/>
      <c r="L2136" s="9" t="e">
        <f>VLOOKUP(H2136,위치!B:D,3,0)</f>
        <v>#N/A</v>
      </c>
      <c r="M2136" s="12"/>
      <c r="N2136" s="5"/>
      <c r="O2136" s="5"/>
      <c r="P2136" s="5"/>
      <c r="Q2136" s="14"/>
      <c r="R2136" s="15">
        <f t="shared" si="33"/>
        <v>0</v>
      </c>
    </row>
    <row r="2137" spans="2:18" x14ac:dyDescent="0.35">
      <c r="B2137" s="9">
        <v>2163</v>
      </c>
      <c r="C2137" s="9"/>
      <c r="D2137" s="9"/>
      <c r="E2137" s="9"/>
      <c r="F2137" s="9"/>
      <c r="G2137" s="9"/>
      <c r="H2137" s="9"/>
      <c r="I2137" s="11" t="e">
        <f>VLOOKUP(H2137,위치!B:C,2,0)</f>
        <v>#N/A</v>
      </c>
      <c r="J2137" s="9"/>
      <c r="K2137" s="9"/>
      <c r="L2137" s="9" t="e">
        <f>VLOOKUP(H2137,위치!B:D,3,0)</f>
        <v>#N/A</v>
      </c>
      <c r="M2137" s="12"/>
      <c r="N2137" s="5"/>
      <c r="O2137" s="5"/>
      <c r="P2137" s="5"/>
      <c r="Q2137" s="14"/>
      <c r="R2137" s="15">
        <f t="shared" si="33"/>
        <v>0</v>
      </c>
    </row>
    <row r="2138" spans="2:18" x14ac:dyDescent="0.35">
      <c r="B2138" s="9">
        <v>2164</v>
      </c>
      <c r="C2138" s="9"/>
      <c r="D2138" s="9"/>
      <c r="E2138" s="9"/>
      <c r="F2138" s="9"/>
      <c r="G2138" s="9"/>
      <c r="H2138" s="9"/>
      <c r="I2138" s="11" t="e">
        <f>VLOOKUP(H2138,위치!B:C,2,0)</f>
        <v>#N/A</v>
      </c>
      <c r="J2138" s="9"/>
      <c r="K2138" s="9"/>
      <c r="L2138" s="9" t="e">
        <f>VLOOKUP(H2138,위치!B:D,3,0)</f>
        <v>#N/A</v>
      </c>
      <c r="M2138" s="12"/>
      <c r="N2138" s="5"/>
      <c r="O2138" s="5"/>
      <c r="P2138" s="5"/>
      <c r="Q2138" s="14"/>
      <c r="R2138" s="15">
        <f t="shared" si="33"/>
        <v>0</v>
      </c>
    </row>
    <row r="2139" spans="2:18" x14ac:dyDescent="0.35">
      <c r="B2139" s="9">
        <v>2165</v>
      </c>
      <c r="C2139" s="9"/>
      <c r="D2139" s="9"/>
      <c r="E2139" s="9"/>
      <c r="F2139" s="9"/>
      <c r="G2139" s="9"/>
      <c r="H2139" s="9"/>
      <c r="I2139" s="11" t="e">
        <f>VLOOKUP(H2139,위치!B:C,2,0)</f>
        <v>#N/A</v>
      </c>
      <c r="J2139" s="9"/>
      <c r="K2139" s="9"/>
      <c r="L2139" s="9" t="e">
        <f>VLOOKUP(H2139,위치!B:D,3,0)</f>
        <v>#N/A</v>
      </c>
      <c r="M2139" s="12"/>
      <c r="N2139" s="5"/>
      <c r="O2139" s="5"/>
      <c r="P2139" s="5"/>
      <c r="Q2139" s="14"/>
      <c r="R2139" s="15">
        <f t="shared" si="33"/>
        <v>0</v>
      </c>
    </row>
    <row r="2140" spans="2:18" x14ac:dyDescent="0.35">
      <c r="B2140" s="9">
        <v>2166</v>
      </c>
      <c r="C2140" s="9"/>
      <c r="D2140" s="9"/>
      <c r="E2140" s="9"/>
      <c r="F2140" s="9"/>
      <c r="G2140" s="9"/>
      <c r="H2140" s="9"/>
      <c r="I2140" s="11" t="e">
        <f>VLOOKUP(H2140,위치!B:C,2,0)</f>
        <v>#N/A</v>
      </c>
      <c r="J2140" s="9"/>
      <c r="K2140" s="9"/>
      <c r="L2140" s="9" t="e">
        <f>VLOOKUP(H2140,위치!B:D,3,0)</f>
        <v>#N/A</v>
      </c>
      <c r="M2140" s="12"/>
      <c r="N2140" s="5"/>
      <c r="O2140" s="5"/>
      <c r="P2140" s="5"/>
      <c r="Q2140" s="14"/>
      <c r="R2140" s="15">
        <f t="shared" si="33"/>
        <v>0</v>
      </c>
    </row>
    <row r="2141" spans="2:18" x14ac:dyDescent="0.35">
      <c r="B2141" s="9">
        <v>2167</v>
      </c>
      <c r="C2141" s="9"/>
      <c r="D2141" s="9"/>
      <c r="E2141" s="9"/>
      <c r="F2141" s="9"/>
      <c r="G2141" s="9"/>
      <c r="H2141" s="9"/>
      <c r="I2141" s="11" t="e">
        <f>VLOOKUP(H2141,위치!B:C,2,0)</f>
        <v>#N/A</v>
      </c>
      <c r="J2141" s="9"/>
      <c r="K2141" s="9"/>
      <c r="L2141" s="9" t="e">
        <f>VLOOKUP(H2141,위치!B:D,3,0)</f>
        <v>#N/A</v>
      </c>
      <c r="M2141" s="12"/>
      <c r="N2141" s="5"/>
      <c r="O2141" s="5"/>
      <c r="P2141" s="5"/>
      <c r="Q2141" s="14"/>
      <c r="R2141" s="15">
        <f t="shared" si="33"/>
        <v>0</v>
      </c>
    </row>
    <row r="2142" spans="2:18" x14ac:dyDescent="0.35">
      <c r="B2142" s="9">
        <v>2168</v>
      </c>
      <c r="C2142" s="9"/>
      <c r="D2142" s="9"/>
      <c r="E2142" s="9"/>
      <c r="F2142" s="9"/>
      <c r="G2142" s="9"/>
      <c r="H2142" s="9"/>
      <c r="I2142" s="11" t="e">
        <f>VLOOKUP(H2142,위치!B:C,2,0)</f>
        <v>#N/A</v>
      </c>
      <c r="J2142" s="9"/>
      <c r="K2142" s="9"/>
      <c r="L2142" s="9" t="e">
        <f>VLOOKUP(H2142,위치!B:D,3,0)</f>
        <v>#N/A</v>
      </c>
      <c r="M2142" s="12"/>
      <c r="N2142" s="5"/>
      <c r="O2142" s="5"/>
      <c r="P2142" s="5"/>
      <c r="Q2142" s="14"/>
      <c r="R2142" s="15">
        <f t="shared" si="33"/>
        <v>0</v>
      </c>
    </row>
    <row r="2143" spans="2:18" x14ac:dyDescent="0.35">
      <c r="B2143" s="9">
        <v>2169</v>
      </c>
      <c r="C2143" s="9"/>
      <c r="D2143" s="9"/>
      <c r="E2143" s="9"/>
      <c r="F2143" s="9"/>
      <c r="G2143" s="9"/>
      <c r="H2143" s="9"/>
      <c r="I2143" s="11" t="e">
        <f>VLOOKUP(H2143,위치!B:C,2,0)</f>
        <v>#N/A</v>
      </c>
      <c r="J2143" s="9"/>
      <c r="K2143" s="9"/>
      <c r="L2143" s="9" t="e">
        <f>VLOOKUP(H2143,위치!B:D,3,0)</f>
        <v>#N/A</v>
      </c>
      <c r="M2143" s="12"/>
      <c r="N2143" s="5"/>
      <c r="O2143" s="5"/>
      <c r="P2143" s="5"/>
      <c r="Q2143" s="14"/>
      <c r="R2143" s="15">
        <f t="shared" si="33"/>
        <v>0</v>
      </c>
    </row>
    <row r="2144" spans="2:18" x14ac:dyDescent="0.35">
      <c r="B2144" s="9">
        <v>2170</v>
      </c>
      <c r="C2144" s="9"/>
      <c r="D2144" s="9"/>
      <c r="E2144" s="9"/>
      <c r="F2144" s="9"/>
      <c r="G2144" s="9"/>
      <c r="H2144" s="9"/>
      <c r="I2144" s="11" t="e">
        <f>VLOOKUP(H2144,위치!B:C,2,0)</f>
        <v>#N/A</v>
      </c>
      <c r="J2144" s="9"/>
      <c r="K2144" s="9"/>
      <c r="L2144" s="9" t="e">
        <f>VLOOKUP(H2144,위치!B:D,3,0)</f>
        <v>#N/A</v>
      </c>
      <c r="M2144" s="12"/>
      <c r="N2144" s="5"/>
      <c r="O2144" s="5"/>
      <c r="P2144" s="5"/>
      <c r="Q2144" s="14"/>
      <c r="R2144" s="15">
        <f t="shared" si="33"/>
        <v>0</v>
      </c>
    </row>
    <row r="2145" spans="2:18" x14ac:dyDescent="0.35">
      <c r="B2145" s="9">
        <v>2171</v>
      </c>
      <c r="C2145" s="9"/>
      <c r="D2145" s="9"/>
      <c r="E2145" s="9"/>
      <c r="F2145" s="9"/>
      <c r="G2145" s="9"/>
      <c r="H2145" s="9"/>
      <c r="I2145" s="11" t="e">
        <f>VLOOKUP(H2145,위치!B:C,2,0)</f>
        <v>#N/A</v>
      </c>
      <c r="J2145" s="9"/>
      <c r="K2145" s="9"/>
      <c r="L2145" s="9" t="e">
        <f>VLOOKUP(H2145,위치!B:D,3,0)</f>
        <v>#N/A</v>
      </c>
      <c r="M2145" s="12"/>
      <c r="N2145" s="5"/>
      <c r="O2145" s="5"/>
      <c r="P2145" s="5"/>
      <c r="Q2145" s="14"/>
      <c r="R2145" s="15">
        <f t="shared" si="33"/>
        <v>0</v>
      </c>
    </row>
    <row r="2146" spans="2:18" x14ac:dyDescent="0.35">
      <c r="B2146" s="9">
        <v>2172</v>
      </c>
      <c r="C2146" s="9"/>
      <c r="D2146" s="9"/>
      <c r="E2146" s="9"/>
      <c r="F2146" s="9"/>
      <c r="G2146" s="9"/>
      <c r="H2146" s="9"/>
      <c r="I2146" s="11" t="e">
        <f>VLOOKUP(H2146,위치!B:C,2,0)</f>
        <v>#N/A</v>
      </c>
      <c r="J2146" s="9"/>
      <c r="K2146" s="9"/>
      <c r="L2146" s="9" t="e">
        <f>VLOOKUP(H2146,위치!B:D,3,0)</f>
        <v>#N/A</v>
      </c>
      <c r="M2146" s="12"/>
      <c r="N2146" s="5"/>
      <c r="O2146" s="5"/>
      <c r="P2146" s="5"/>
      <c r="Q2146" s="14"/>
      <c r="R2146" s="15">
        <f t="shared" si="33"/>
        <v>0</v>
      </c>
    </row>
    <row r="2147" spans="2:18" x14ac:dyDescent="0.35">
      <c r="B2147" s="9">
        <v>2173</v>
      </c>
      <c r="C2147" s="9"/>
      <c r="D2147" s="9"/>
      <c r="E2147" s="9"/>
      <c r="F2147" s="9"/>
      <c r="G2147" s="9"/>
      <c r="H2147" s="9"/>
      <c r="I2147" s="11" t="e">
        <f>VLOOKUP(H2147,위치!B:C,2,0)</f>
        <v>#N/A</v>
      </c>
      <c r="J2147" s="9"/>
      <c r="K2147" s="9"/>
      <c r="L2147" s="9" t="e">
        <f>VLOOKUP(H2147,위치!B:D,3,0)</f>
        <v>#N/A</v>
      </c>
      <c r="M2147" s="12"/>
      <c r="N2147" s="5"/>
      <c r="O2147" s="5"/>
      <c r="P2147" s="5"/>
      <c r="Q2147" s="14"/>
      <c r="R2147" s="15">
        <f t="shared" si="33"/>
        <v>0</v>
      </c>
    </row>
    <row r="2148" spans="2:18" x14ac:dyDescent="0.35">
      <c r="B2148" s="9">
        <v>2174</v>
      </c>
      <c r="C2148" s="9"/>
      <c r="D2148" s="9"/>
      <c r="E2148" s="9"/>
      <c r="F2148" s="9"/>
      <c r="G2148" s="9"/>
      <c r="H2148" s="9"/>
      <c r="I2148" s="11" t="e">
        <f>VLOOKUP(H2148,위치!B:C,2,0)</f>
        <v>#N/A</v>
      </c>
      <c r="J2148" s="9"/>
      <c r="K2148" s="9"/>
      <c r="L2148" s="9" t="e">
        <f>VLOOKUP(H2148,위치!B:D,3,0)</f>
        <v>#N/A</v>
      </c>
      <c r="M2148" s="12"/>
      <c r="N2148" s="5"/>
      <c r="O2148" s="5"/>
      <c r="P2148" s="5"/>
      <c r="Q2148" s="14"/>
      <c r="R2148" s="15">
        <f t="shared" si="33"/>
        <v>0</v>
      </c>
    </row>
    <row r="2149" spans="2:18" x14ac:dyDescent="0.35">
      <c r="B2149" s="9">
        <v>2175</v>
      </c>
      <c r="C2149" s="9"/>
      <c r="D2149" s="9"/>
      <c r="E2149" s="9"/>
      <c r="F2149" s="9"/>
      <c r="G2149" s="9"/>
      <c r="H2149" s="9"/>
      <c r="I2149" s="11" t="e">
        <f>VLOOKUP(H2149,위치!B:C,2,0)</f>
        <v>#N/A</v>
      </c>
      <c r="J2149" s="9"/>
      <c r="K2149" s="9"/>
      <c r="L2149" s="9" t="e">
        <f>VLOOKUP(H2149,위치!B:D,3,0)</f>
        <v>#N/A</v>
      </c>
      <c r="M2149" s="12"/>
      <c r="N2149" s="5"/>
      <c r="O2149" s="5"/>
      <c r="P2149" s="5"/>
      <c r="Q2149" s="14"/>
      <c r="R2149" s="15">
        <f t="shared" si="33"/>
        <v>0</v>
      </c>
    </row>
    <row r="2150" spans="2:18" x14ac:dyDescent="0.35">
      <c r="B2150" s="9">
        <v>2176</v>
      </c>
      <c r="C2150" s="9"/>
      <c r="D2150" s="9"/>
      <c r="E2150" s="9"/>
      <c r="F2150" s="9"/>
      <c r="G2150" s="9"/>
      <c r="H2150" s="9"/>
      <c r="I2150" s="11" t="e">
        <f>VLOOKUP(H2150,위치!B:C,2,0)</f>
        <v>#N/A</v>
      </c>
      <c r="J2150" s="9"/>
      <c r="K2150" s="9"/>
      <c r="L2150" s="9" t="e">
        <f>VLOOKUP(H2150,위치!B:D,3,0)</f>
        <v>#N/A</v>
      </c>
      <c r="M2150" s="12"/>
      <c r="N2150" s="5"/>
      <c r="O2150" s="5"/>
      <c r="P2150" s="5"/>
      <c r="Q2150" s="14"/>
      <c r="R2150" s="15">
        <f t="shared" si="33"/>
        <v>0</v>
      </c>
    </row>
    <row r="2151" spans="2:18" x14ac:dyDescent="0.35">
      <c r="B2151" s="9">
        <v>2177</v>
      </c>
      <c r="C2151" s="9"/>
      <c r="D2151" s="9"/>
      <c r="E2151" s="9"/>
      <c r="F2151" s="9"/>
      <c r="G2151" s="9"/>
      <c r="H2151" s="9"/>
      <c r="I2151" s="11" t="e">
        <f>VLOOKUP(H2151,위치!B:C,2,0)</f>
        <v>#N/A</v>
      </c>
      <c r="J2151" s="9"/>
      <c r="K2151" s="9"/>
      <c r="L2151" s="9" t="e">
        <f>VLOOKUP(H2151,위치!B:D,3,0)</f>
        <v>#N/A</v>
      </c>
      <c r="M2151" s="12"/>
      <c r="N2151" s="5"/>
      <c r="O2151" s="5"/>
      <c r="P2151" s="5"/>
      <c r="Q2151" s="14"/>
      <c r="R2151" s="15">
        <f t="shared" si="33"/>
        <v>0</v>
      </c>
    </row>
    <row r="2152" spans="2:18" x14ac:dyDescent="0.35">
      <c r="B2152" s="9">
        <v>2178</v>
      </c>
      <c r="C2152" s="9"/>
      <c r="D2152" s="9"/>
      <c r="E2152" s="9"/>
      <c r="F2152" s="9"/>
      <c r="G2152" s="9"/>
      <c r="H2152" s="9"/>
      <c r="I2152" s="11" t="e">
        <f>VLOOKUP(H2152,위치!B:C,2,0)</f>
        <v>#N/A</v>
      </c>
      <c r="J2152" s="9"/>
      <c r="K2152" s="9"/>
      <c r="L2152" s="9" t="e">
        <f>VLOOKUP(H2152,위치!B:D,3,0)</f>
        <v>#N/A</v>
      </c>
      <c r="M2152" s="12"/>
      <c r="N2152" s="5"/>
      <c r="O2152" s="5"/>
      <c r="P2152" s="5"/>
      <c r="Q2152" s="14"/>
      <c r="R2152" s="15">
        <f t="shared" si="33"/>
        <v>0</v>
      </c>
    </row>
    <row r="2153" spans="2:18" x14ac:dyDescent="0.35">
      <c r="B2153" s="9">
        <v>2179</v>
      </c>
      <c r="C2153" s="9"/>
      <c r="D2153" s="9"/>
      <c r="E2153" s="9"/>
      <c r="F2153" s="9"/>
      <c r="G2153" s="9"/>
      <c r="H2153" s="9"/>
      <c r="I2153" s="11" t="e">
        <f>VLOOKUP(H2153,위치!B:C,2,0)</f>
        <v>#N/A</v>
      </c>
      <c r="J2153" s="9"/>
      <c r="K2153" s="9"/>
      <c r="L2153" s="9" t="e">
        <f>VLOOKUP(H2153,위치!B:D,3,0)</f>
        <v>#N/A</v>
      </c>
      <c r="M2153" s="12"/>
      <c r="N2153" s="5"/>
      <c r="O2153" s="5"/>
      <c r="P2153" s="5"/>
      <c r="Q2153" s="14"/>
      <c r="R2153" s="15">
        <f t="shared" si="33"/>
        <v>0</v>
      </c>
    </row>
    <row r="2154" spans="2:18" x14ac:dyDescent="0.35">
      <c r="B2154" s="9">
        <v>2180</v>
      </c>
      <c r="C2154" s="9"/>
      <c r="D2154" s="9"/>
      <c r="E2154" s="9"/>
      <c r="F2154" s="9"/>
      <c r="G2154" s="9"/>
      <c r="H2154" s="9"/>
      <c r="I2154" s="11" t="e">
        <f>VLOOKUP(H2154,위치!B:C,2,0)</f>
        <v>#N/A</v>
      </c>
      <c r="J2154" s="9"/>
      <c r="K2154" s="9"/>
      <c r="L2154" s="9" t="e">
        <f>VLOOKUP(H2154,위치!B:D,3,0)</f>
        <v>#N/A</v>
      </c>
      <c r="M2154" s="12"/>
      <c r="N2154" s="5"/>
      <c r="O2154" s="5"/>
      <c r="P2154" s="5"/>
      <c r="Q2154" s="14"/>
      <c r="R2154" s="15">
        <f t="shared" si="33"/>
        <v>0</v>
      </c>
    </row>
    <row r="2155" spans="2:18" x14ac:dyDescent="0.35">
      <c r="B2155" s="9">
        <v>2181</v>
      </c>
      <c r="C2155" s="9"/>
      <c r="D2155" s="9"/>
      <c r="E2155" s="9"/>
      <c r="F2155" s="9"/>
      <c r="G2155" s="9"/>
      <c r="H2155" s="9"/>
      <c r="I2155" s="11" t="e">
        <f>VLOOKUP(H2155,위치!B:C,2,0)</f>
        <v>#N/A</v>
      </c>
      <c r="J2155" s="9"/>
      <c r="K2155" s="9"/>
      <c r="L2155" s="9" t="e">
        <f>VLOOKUP(H2155,위치!B:D,3,0)</f>
        <v>#N/A</v>
      </c>
      <c r="M2155" s="12"/>
      <c r="N2155" s="5"/>
      <c r="O2155" s="5"/>
      <c r="P2155" s="5"/>
      <c r="Q2155" s="14"/>
      <c r="R2155" s="15">
        <f t="shared" si="33"/>
        <v>0</v>
      </c>
    </row>
    <row r="2156" spans="2:18" x14ac:dyDescent="0.35">
      <c r="B2156" s="9">
        <v>2182</v>
      </c>
      <c r="C2156" s="9"/>
      <c r="D2156" s="9"/>
      <c r="E2156" s="9"/>
      <c r="F2156" s="9"/>
      <c r="G2156" s="9"/>
      <c r="H2156" s="9"/>
      <c r="I2156" s="11" t="e">
        <f>VLOOKUP(H2156,위치!B:C,2,0)</f>
        <v>#N/A</v>
      </c>
      <c r="J2156" s="9"/>
      <c r="K2156" s="9"/>
      <c r="L2156" s="9" t="e">
        <f>VLOOKUP(H2156,위치!B:D,3,0)</f>
        <v>#N/A</v>
      </c>
      <c r="M2156" s="12"/>
      <c r="N2156" s="5"/>
      <c r="O2156" s="5"/>
      <c r="P2156" s="5"/>
      <c r="Q2156" s="14"/>
      <c r="R2156" s="15">
        <f t="shared" si="33"/>
        <v>0</v>
      </c>
    </row>
    <row r="2157" spans="2:18" x14ac:dyDescent="0.35">
      <c r="B2157" s="9">
        <v>2183</v>
      </c>
      <c r="C2157" s="9"/>
      <c r="D2157" s="9"/>
      <c r="E2157" s="9"/>
      <c r="F2157" s="9"/>
      <c r="G2157" s="9"/>
      <c r="H2157" s="9"/>
      <c r="I2157" s="11" t="e">
        <f>VLOOKUP(H2157,위치!B:C,2,0)</f>
        <v>#N/A</v>
      </c>
      <c r="J2157" s="9"/>
      <c r="K2157" s="9"/>
      <c r="L2157" s="9" t="e">
        <f>VLOOKUP(H2157,위치!B:D,3,0)</f>
        <v>#N/A</v>
      </c>
      <c r="M2157" s="12"/>
      <c r="N2157" s="5"/>
      <c r="O2157" s="5"/>
      <c r="P2157" s="5"/>
      <c r="Q2157" s="14"/>
      <c r="R2157" s="15">
        <f t="shared" si="33"/>
        <v>0</v>
      </c>
    </row>
    <row r="2158" spans="2:18" x14ac:dyDescent="0.35">
      <c r="B2158" s="9">
        <v>2184</v>
      </c>
      <c r="C2158" s="9"/>
      <c r="D2158" s="9"/>
      <c r="E2158" s="9"/>
      <c r="F2158" s="9"/>
      <c r="G2158" s="9"/>
      <c r="H2158" s="9"/>
      <c r="I2158" s="11" t="e">
        <f>VLOOKUP(H2158,위치!B:C,2,0)</f>
        <v>#N/A</v>
      </c>
      <c r="J2158" s="9"/>
      <c r="K2158" s="9"/>
      <c r="L2158" s="9" t="e">
        <f>VLOOKUP(H2158,위치!B:D,3,0)</f>
        <v>#N/A</v>
      </c>
      <c r="M2158" s="12"/>
      <c r="N2158" s="5"/>
      <c r="O2158" s="5"/>
      <c r="P2158" s="5"/>
      <c r="Q2158" s="14"/>
      <c r="R2158" s="15">
        <f t="shared" si="33"/>
        <v>0</v>
      </c>
    </row>
    <row r="2159" spans="2:18" x14ac:dyDescent="0.35">
      <c r="B2159" s="9">
        <v>2185</v>
      </c>
      <c r="C2159" s="9"/>
      <c r="D2159" s="9"/>
      <c r="E2159" s="9"/>
      <c r="F2159" s="9"/>
      <c r="G2159" s="9"/>
      <c r="H2159" s="9"/>
      <c r="I2159" s="11" t="e">
        <f>VLOOKUP(H2159,위치!B:C,2,0)</f>
        <v>#N/A</v>
      </c>
      <c r="J2159" s="9"/>
      <c r="K2159" s="9"/>
      <c r="L2159" s="9" t="e">
        <f>VLOOKUP(H2159,위치!B:D,3,0)</f>
        <v>#N/A</v>
      </c>
      <c r="M2159" s="12"/>
      <c r="N2159" s="5"/>
      <c r="O2159" s="5"/>
      <c r="P2159" s="5"/>
      <c r="Q2159" s="14"/>
      <c r="R2159" s="15">
        <f t="shared" si="33"/>
        <v>0</v>
      </c>
    </row>
    <row r="2160" spans="2:18" x14ac:dyDescent="0.35">
      <c r="B2160" s="9">
        <v>2186</v>
      </c>
      <c r="C2160" s="9"/>
      <c r="D2160" s="9"/>
      <c r="E2160" s="9"/>
      <c r="F2160" s="9"/>
      <c r="G2160" s="9"/>
      <c r="H2160" s="9"/>
      <c r="I2160" s="11" t="e">
        <f>VLOOKUP(H2160,위치!B:C,2,0)</f>
        <v>#N/A</v>
      </c>
      <c r="J2160" s="9"/>
      <c r="K2160" s="9"/>
      <c r="L2160" s="9" t="e">
        <f>VLOOKUP(H2160,위치!B:D,3,0)</f>
        <v>#N/A</v>
      </c>
      <c r="M2160" s="12"/>
      <c r="N2160" s="5"/>
      <c r="O2160" s="5"/>
      <c r="P2160" s="5"/>
      <c r="Q2160" s="14"/>
      <c r="R2160" s="15">
        <f t="shared" si="33"/>
        <v>0</v>
      </c>
    </row>
    <row r="2161" spans="2:18" x14ac:dyDescent="0.35">
      <c r="B2161" s="9">
        <v>2187</v>
      </c>
      <c r="C2161" s="9"/>
      <c r="D2161" s="9"/>
      <c r="E2161" s="9"/>
      <c r="F2161" s="9"/>
      <c r="G2161" s="9"/>
      <c r="H2161" s="9"/>
      <c r="I2161" s="11" t="e">
        <f>VLOOKUP(H2161,위치!B:C,2,0)</f>
        <v>#N/A</v>
      </c>
      <c r="J2161" s="9"/>
      <c r="K2161" s="9"/>
      <c r="L2161" s="9" t="e">
        <f>VLOOKUP(H2161,위치!B:D,3,0)</f>
        <v>#N/A</v>
      </c>
      <c r="M2161" s="12"/>
      <c r="N2161" s="5"/>
      <c r="O2161" s="5"/>
      <c r="P2161" s="5"/>
      <c r="Q2161" s="14"/>
      <c r="R2161" s="15">
        <f t="shared" si="33"/>
        <v>0</v>
      </c>
    </row>
    <row r="2162" spans="2:18" x14ac:dyDescent="0.35">
      <c r="B2162" s="9">
        <v>2188</v>
      </c>
      <c r="C2162" s="9"/>
      <c r="D2162" s="9"/>
      <c r="E2162" s="9"/>
      <c r="F2162" s="9"/>
      <c r="G2162" s="9"/>
      <c r="H2162" s="9"/>
      <c r="I2162" s="11" t="e">
        <f>VLOOKUP(H2162,위치!B:C,2,0)</f>
        <v>#N/A</v>
      </c>
      <c r="J2162" s="9"/>
      <c r="K2162" s="9"/>
      <c r="L2162" s="9" t="e">
        <f>VLOOKUP(H2162,위치!B:D,3,0)</f>
        <v>#N/A</v>
      </c>
      <c r="M2162" s="12"/>
      <c r="N2162" s="5"/>
      <c r="O2162" s="5"/>
      <c r="P2162" s="5"/>
      <c r="Q2162" s="14"/>
      <c r="R2162" s="15">
        <f t="shared" si="33"/>
        <v>0</v>
      </c>
    </row>
    <row r="2163" spans="2:18" x14ac:dyDescent="0.35">
      <c r="B2163" s="9">
        <v>2189</v>
      </c>
      <c r="C2163" s="9"/>
      <c r="D2163" s="9"/>
      <c r="E2163" s="9"/>
      <c r="F2163" s="9"/>
      <c r="G2163" s="9"/>
      <c r="H2163" s="9"/>
      <c r="I2163" s="11" t="e">
        <f>VLOOKUP(H2163,위치!B:C,2,0)</f>
        <v>#N/A</v>
      </c>
      <c r="J2163" s="9"/>
      <c r="K2163" s="9"/>
      <c r="L2163" s="9" t="e">
        <f>VLOOKUP(H2163,위치!B:D,3,0)</f>
        <v>#N/A</v>
      </c>
      <c r="M2163" s="12"/>
      <c r="N2163" s="5"/>
      <c r="O2163" s="5"/>
      <c r="P2163" s="5"/>
      <c r="Q2163" s="14"/>
      <c r="R2163" s="15">
        <f t="shared" si="33"/>
        <v>0</v>
      </c>
    </row>
    <row r="2164" spans="2:18" x14ac:dyDescent="0.35">
      <c r="B2164" s="9">
        <v>2190</v>
      </c>
      <c r="C2164" s="9"/>
      <c r="D2164" s="9"/>
      <c r="E2164" s="9"/>
      <c r="F2164" s="9"/>
      <c r="G2164" s="9"/>
      <c r="H2164" s="9"/>
      <c r="I2164" s="11" t="e">
        <f>VLOOKUP(H2164,위치!B:C,2,0)</f>
        <v>#N/A</v>
      </c>
      <c r="J2164" s="9"/>
      <c r="K2164" s="9"/>
      <c r="L2164" s="9" t="e">
        <f>VLOOKUP(H2164,위치!B:D,3,0)</f>
        <v>#N/A</v>
      </c>
      <c r="M2164" s="12"/>
      <c r="N2164" s="5"/>
      <c r="O2164" s="5"/>
      <c r="P2164" s="5"/>
      <c r="Q2164" s="14"/>
      <c r="R2164" s="15">
        <f t="shared" si="33"/>
        <v>0</v>
      </c>
    </row>
    <row r="2165" spans="2:18" x14ac:dyDescent="0.35">
      <c r="B2165" s="9">
        <v>2191</v>
      </c>
      <c r="C2165" s="9"/>
      <c r="D2165" s="9"/>
      <c r="E2165" s="9"/>
      <c r="F2165" s="9"/>
      <c r="G2165" s="9"/>
      <c r="H2165" s="9"/>
      <c r="I2165" s="11" t="e">
        <f>VLOOKUP(H2165,위치!B:C,2,0)</f>
        <v>#N/A</v>
      </c>
      <c r="J2165" s="9"/>
      <c r="K2165" s="9"/>
      <c r="L2165" s="9" t="e">
        <f>VLOOKUP(H2165,위치!B:D,3,0)</f>
        <v>#N/A</v>
      </c>
      <c r="M2165" s="12"/>
      <c r="N2165" s="5"/>
      <c r="O2165" s="5"/>
      <c r="P2165" s="5"/>
      <c r="Q2165" s="14"/>
      <c r="R2165" s="15">
        <f t="shared" si="33"/>
        <v>0</v>
      </c>
    </row>
    <row r="2166" spans="2:18" x14ac:dyDescent="0.35">
      <c r="B2166" s="9">
        <v>2192</v>
      </c>
      <c r="C2166" s="9"/>
      <c r="D2166" s="9"/>
      <c r="E2166" s="9"/>
      <c r="F2166" s="9"/>
      <c r="G2166" s="9"/>
      <c r="H2166" s="9"/>
      <c r="I2166" s="11" t="e">
        <f>VLOOKUP(H2166,위치!B:C,2,0)</f>
        <v>#N/A</v>
      </c>
      <c r="J2166" s="9"/>
      <c r="K2166" s="9"/>
      <c r="L2166" s="9" t="e">
        <f>VLOOKUP(H2166,위치!B:D,3,0)</f>
        <v>#N/A</v>
      </c>
      <c r="M2166" s="12"/>
      <c r="N2166" s="5"/>
      <c r="O2166" s="5"/>
      <c r="P2166" s="5"/>
      <c r="Q2166" s="14"/>
      <c r="R2166" s="15">
        <f t="shared" si="33"/>
        <v>0</v>
      </c>
    </row>
    <row r="2167" spans="2:18" x14ac:dyDescent="0.35">
      <c r="B2167" s="9">
        <v>2193</v>
      </c>
      <c r="C2167" s="9"/>
      <c r="D2167" s="9"/>
      <c r="E2167" s="9"/>
      <c r="F2167" s="9"/>
      <c r="G2167" s="9"/>
      <c r="H2167" s="9"/>
      <c r="I2167" s="11" t="e">
        <f>VLOOKUP(H2167,위치!B:C,2,0)</f>
        <v>#N/A</v>
      </c>
      <c r="J2167" s="9"/>
      <c r="K2167" s="9"/>
      <c r="L2167" s="9" t="e">
        <f>VLOOKUP(H2167,위치!B:D,3,0)</f>
        <v>#N/A</v>
      </c>
      <c r="M2167" s="12"/>
      <c r="N2167" s="5"/>
      <c r="O2167" s="5"/>
      <c r="P2167" s="5"/>
      <c r="Q2167" s="14"/>
      <c r="R2167" s="15">
        <f t="shared" si="33"/>
        <v>0</v>
      </c>
    </row>
    <row r="2168" spans="2:18" x14ac:dyDescent="0.35">
      <c r="B2168" s="9">
        <v>2194</v>
      </c>
      <c r="C2168" s="9"/>
      <c r="D2168" s="9"/>
      <c r="E2168" s="9"/>
      <c r="F2168" s="9"/>
      <c r="G2168" s="9"/>
      <c r="H2168" s="9"/>
      <c r="I2168" s="11" t="e">
        <f>VLOOKUP(H2168,위치!B:C,2,0)</f>
        <v>#N/A</v>
      </c>
      <c r="J2168" s="9"/>
      <c r="K2168" s="9"/>
      <c r="L2168" s="9" t="e">
        <f>VLOOKUP(H2168,위치!B:D,3,0)</f>
        <v>#N/A</v>
      </c>
      <c r="M2168" s="12"/>
      <c r="N2168" s="5"/>
      <c r="O2168" s="5"/>
      <c r="P2168" s="5"/>
      <c r="Q2168" s="14"/>
      <c r="R2168" s="15">
        <f t="shared" si="33"/>
        <v>0</v>
      </c>
    </row>
    <row r="2169" spans="2:18" x14ac:dyDescent="0.35">
      <c r="B2169" s="9">
        <v>2195</v>
      </c>
      <c r="C2169" s="9"/>
      <c r="D2169" s="9"/>
      <c r="E2169" s="9"/>
      <c r="F2169" s="9"/>
      <c r="G2169" s="9"/>
      <c r="H2169" s="9"/>
      <c r="I2169" s="11" t="e">
        <f>VLOOKUP(H2169,위치!B:C,2,0)</f>
        <v>#N/A</v>
      </c>
      <c r="J2169" s="9"/>
      <c r="K2169" s="9"/>
      <c r="L2169" s="9" t="e">
        <f>VLOOKUP(H2169,위치!B:D,3,0)</f>
        <v>#N/A</v>
      </c>
      <c r="M2169" s="12"/>
      <c r="N2169" s="5"/>
      <c r="O2169" s="5"/>
      <c r="P2169" s="5"/>
      <c r="Q2169" s="14"/>
      <c r="R2169" s="15">
        <f t="shared" si="33"/>
        <v>0</v>
      </c>
    </row>
    <row r="2170" spans="2:18" x14ac:dyDescent="0.35">
      <c r="B2170" s="9">
        <v>2196</v>
      </c>
      <c r="C2170" s="9"/>
      <c r="D2170" s="9"/>
      <c r="E2170" s="9"/>
      <c r="F2170" s="9"/>
      <c r="G2170" s="9"/>
      <c r="H2170" s="9"/>
      <c r="I2170" s="11" t="e">
        <f>VLOOKUP(H2170,위치!B:C,2,0)</f>
        <v>#N/A</v>
      </c>
      <c r="J2170" s="9"/>
      <c r="K2170" s="9"/>
      <c r="L2170" s="9" t="e">
        <f>VLOOKUP(H2170,위치!B:D,3,0)</f>
        <v>#N/A</v>
      </c>
      <c r="M2170" s="12"/>
      <c r="N2170" s="5"/>
      <c r="O2170" s="5"/>
      <c r="P2170" s="5"/>
      <c r="Q2170" s="14"/>
      <c r="R2170" s="15">
        <f t="shared" si="33"/>
        <v>0</v>
      </c>
    </row>
    <row r="2171" spans="2:18" x14ac:dyDescent="0.35">
      <c r="B2171" s="9">
        <v>2197</v>
      </c>
      <c r="C2171" s="9"/>
      <c r="D2171" s="9"/>
      <c r="E2171" s="9"/>
      <c r="F2171" s="9"/>
      <c r="G2171" s="9"/>
      <c r="H2171" s="9"/>
      <c r="I2171" s="11" t="e">
        <f>VLOOKUP(H2171,위치!B:C,2,0)</f>
        <v>#N/A</v>
      </c>
      <c r="J2171" s="9"/>
      <c r="K2171" s="9"/>
      <c r="L2171" s="9" t="e">
        <f>VLOOKUP(H2171,위치!B:D,3,0)</f>
        <v>#N/A</v>
      </c>
      <c r="M2171" s="12"/>
      <c r="N2171" s="5"/>
      <c r="O2171" s="5"/>
      <c r="P2171" s="5"/>
      <c r="Q2171" s="14"/>
      <c r="R2171" s="15">
        <f t="shared" si="33"/>
        <v>0</v>
      </c>
    </row>
    <row r="2172" spans="2:18" x14ac:dyDescent="0.35">
      <c r="B2172" s="9">
        <v>2198</v>
      </c>
      <c r="C2172" s="9"/>
      <c r="D2172" s="9"/>
      <c r="E2172" s="9"/>
      <c r="F2172" s="9"/>
      <c r="G2172" s="9"/>
      <c r="H2172" s="9"/>
      <c r="I2172" s="11" t="e">
        <f>VLOOKUP(H2172,위치!B:C,2,0)</f>
        <v>#N/A</v>
      </c>
      <c r="J2172" s="9"/>
      <c r="K2172" s="9"/>
      <c r="L2172" s="9" t="e">
        <f>VLOOKUP(H2172,위치!B:D,3,0)</f>
        <v>#N/A</v>
      </c>
      <c r="M2172" s="12"/>
      <c r="N2172" s="5"/>
      <c r="O2172" s="5"/>
      <c r="P2172" s="5"/>
      <c r="Q2172" s="14"/>
      <c r="R2172" s="15">
        <f t="shared" si="33"/>
        <v>0</v>
      </c>
    </row>
    <row r="2173" spans="2:18" x14ac:dyDescent="0.35">
      <c r="B2173" s="9">
        <v>2199</v>
      </c>
      <c r="C2173" s="9"/>
      <c r="D2173" s="9"/>
      <c r="E2173" s="9"/>
      <c r="F2173" s="9"/>
      <c r="G2173" s="9"/>
      <c r="H2173" s="9"/>
      <c r="I2173" s="11" t="e">
        <f>VLOOKUP(H2173,위치!B:C,2,0)</f>
        <v>#N/A</v>
      </c>
      <c r="J2173" s="9"/>
      <c r="K2173" s="9"/>
      <c r="L2173" s="9" t="e">
        <f>VLOOKUP(H2173,위치!B:D,3,0)</f>
        <v>#N/A</v>
      </c>
      <c r="M2173" s="12"/>
      <c r="N2173" s="5"/>
      <c r="O2173" s="5"/>
      <c r="P2173" s="5"/>
      <c r="Q2173" s="14"/>
      <c r="R2173" s="15">
        <f t="shared" si="33"/>
        <v>0</v>
      </c>
    </row>
    <row r="2174" spans="2:18" x14ac:dyDescent="0.35">
      <c r="B2174" s="9">
        <v>2200</v>
      </c>
      <c r="C2174" s="9"/>
      <c r="D2174" s="9"/>
      <c r="E2174" s="9"/>
      <c r="F2174" s="9"/>
      <c r="G2174" s="9"/>
      <c r="H2174" s="9"/>
      <c r="I2174" s="11" t="e">
        <f>VLOOKUP(H2174,위치!B:C,2,0)</f>
        <v>#N/A</v>
      </c>
      <c r="J2174" s="9"/>
      <c r="K2174" s="9"/>
      <c r="L2174" s="9" t="e">
        <f>VLOOKUP(H2174,위치!B:D,3,0)</f>
        <v>#N/A</v>
      </c>
      <c r="M2174" s="12"/>
      <c r="N2174" s="5"/>
      <c r="O2174" s="5"/>
      <c r="P2174" s="5"/>
      <c r="Q2174" s="14"/>
      <c r="R2174" s="15">
        <f t="shared" si="33"/>
        <v>0</v>
      </c>
    </row>
    <row r="2175" spans="2:18" x14ac:dyDescent="0.35">
      <c r="B2175" s="9">
        <v>2201</v>
      </c>
      <c r="C2175" s="9"/>
      <c r="D2175" s="9"/>
      <c r="E2175" s="9"/>
      <c r="F2175" s="9"/>
      <c r="G2175" s="9"/>
      <c r="H2175" s="9"/>
      <c r="I2175" s="11" t="e">
        <f>VLOOKUP(H2175,위치!B:C,2,0)</f>
        <v>#N/A</v>
      </c>
      <c r="J2175" s="9"/>
      <c r="K2175" s="9"/>
      <c r="L2175" s="9" t="e">
        <f>VLOOKUP(H2175,위치!B:D,3,0)</f>
        <v>#N/A</v>
      </c>
      <c r="M2175" s="12"/>
      <c r="N2175" s="5"/>
      <c r="O2175" s="5"/>
      <c r="P2175" s="5"/>
      <c r="Q2175" s="14"/>
      <c r="R2175" s="15">
        <f t="shared" si="33"/>
        <v>0</v>
      </c>
    </row>
    <row r="2176" spans="2:18" x14ac:dyDescent="0.35">
      <c r="B2176" s="9">
        <v>2202</v>
      </c>
      <c r="C2176" s="9"/>
      <c r="D2176" s="9"/>
      <c r="E2176" s="9"/>
      <c r="F2176" s="9"/>
      <c r="G2176" s="9"/>
      <c r="H2176" s="9"/>
      <c r="I2176" s="11" t="e">
        <f>VLOOKUP(H2176,위치!B:C,2,0)</f>
        <v>#N/A</v>
      </c>
      <c r="J2176" s="9"/>
      <c r="K2176" s="9"/>
      <c r="L2176" s="9" t="e">
        <f>VLOOKUP(H2176,위치!B:D,3,0)</f>
        <v>#N/A</v>
      </c>
      <c r="M2176" s="12"/>
      <c r="N2176" s="5"/>
      <c r="O2176" s="5"/>
      <c r="P2176" s="5"/>
      <c r="Q2176" s="14"/>
      <c r="R2176" s="15">
        <f t="shared" si="33"/>
        <v>0</v>
      </c>
    </row>
    <row r="2177" spans="2:18" x14ac:dyDescent="0.35">
      <c r="B2177" s="9">
        <v>2203</v>
      </c>
      <c r="C2177" s="9"/>
      <c r="D2177" s="9"/>
      <c r="E2177" s="9"/>
      <c r="F2177" s="9"/>
      <c r="G2177" s="9"/>
      <c r="H2177" s="9"/>
      <c r="I2177" s="11" t="e">
        <f>VLOOKUP(H2177,위치!B:C,2,0)</f>
        <v>#N/A</v>
      </c>
      <c r="J2177" s="9"/>
      <c r="K2177" s="9"/>
      <c r="L2177" s="9" t="e">
        <f>VLOOKUP(H2177,위치!B:D,3,0)</f>
        <v>#N/A</v>
      </c>
      <c r="M2177" s="12"/>
      <c r="N2177" s="5"/>
      <c r="O2177" s="5"/>
      <c r="P2177" s="5"/>
      <c r="Q2177" s="14"/>
      <c r="R2177" s="15">
        <f t="shared" si="33"/>
        <v>0</v>
      </c>
    </row>
    <row r="2178" spans="2:18" x14ac:dyDescent="0.35">
      <c r="B2178" s="9">
        <v>2204</v>
      </c>
      <c r="C2178" s="9"/>
      <c r="D2178" s="9"/>
      <c r="E2178" s="9"/>
      <c r="F2178" s="9"/>
      <c r="G2178" s="9"/>
      <c r="H2178" s="9"/>
      <c r="I2178" s="11" t="e">
        <f>VLOOKUP(H2178,위치!B:C,2,0)</f>
        <v>#N/A</v>
      </c>
      <c r="J2178" s="9"/>
      <c r="K2178" s="9"/>
      <c r="L2178" s="9" t="e">
        <f>VLOOKUP(H2178,위치!B:D,3,0)</f>
        <v>#N/A</v>
      </c>
      <c r="M2178" s="12"/>
      <c r="N2178" s="5"/>
      <c r="O2178" s="5"/>
      <c r="P2178" s="5"/>
      <c r="Q2178" s="14"/>
      <c r="R2178" s="15">
        <f t="shared" si="33"/>
        <v>0</v>
      </c>
    </row>
    <row r="2179" spans="2:18" x14ac:dyDescent="0.35">
      <c r="B2179" s="9">
        <v>2205</v>
      </c>
      <c r="C2179" s="9"/>
      <c r="D2179" s="9"/>
      <c r="E2179" s="9"/>
      <c r="F2179" s="9"/>
      <c r="G2179" s="9"/>
      <c r="H2179" s="9"/>
      <c r="I2179" s="11" t="e">
        <f>VLOOKUP(H2179,위치!B:C,2,0)</f>
        <v>#N/A</v>
      </c>
      <c r="J2179" s="9"/>
      <c r="K2179" s="9"/>
      <c r="L2179" s="9" t="e">
        <f>VLOOKUP(H2179,위치!B:D,3,0)</f>
        <v>#N/A</v>
      </c>
      <c r="M2179" s="12"/>
      <c r="N2179" s="5"/>
      <c r="O2179" s="5"/>
      <c r="P2179" s="5"/>
      <c r="Q2179" s="14"/>
      <c r="R2179" s="15">
        <f t="shared" si="33"/>
        <v>0</v>
      </c>
    </row>
    <row r="2180" spans="2:18" x14ac:dyDescent="0.35">
      <c r="B2180" s="9">
        <v>2206</v>
      </c>
      <c r="C2180" s="9"/>
      <c r="D2180" s="9"/>
      <c r="E2180" s="9"/>
      <c r="F2180" s="9"/>
      <c r="G2180" s="9"/>
      <c r="H2180" s="9"/>
      <c r="I2180" s="11" t="e">
        <f>VLOOKUP(H2180,위치!B:C,2,0)</f>
        <v>#N/A</v>
      </c>
      <c r="J2180" s="9"/>
      <c r="K2180" s="9"/>
      <c r="L2180" s="9" t="e">
        <f>VLOOKUP(H2180,위치!B:D,3,0)</f>
        <v>#N/A</v>
      </c>
      <c r="M2180" s="12"/>
      <c r="N2180" s="5"/>
      <c r="O2180" s="5"/>
      <c r="P2180" s="5"/>
      <c r="Q2180" s="14"/>
      <c r="R2180" s="15">
        <f t="shared" si="33"/>
        <v>0</v>
      </c>
    </row>
    <row r="2181" spans="2:18" x14ac:dyDescent="0.35">
      <c r="B2181" s="9">
        <v>2207</v>
      </c>
      <c r="C2181" s="9"/>
      <c r="D2181" s="9"/>
      <c r="E2181" s="9"/>
      <c r="F2181" s="9"/>
      <c r="G2181" s="9"/>
      <c r="H2181" s="9"/>
      <c r="I2181" s="11" t="e">
        <f>VLOOKUP(H2181,위치!B:C,2,0)</f>
        <v>#N/A</v>
      </c>
      <c r="J2181" s="9"/>
      <c r="K2181" s="9"/>
      <c r="L2181" s="9" t="e">
        <f>VLOOKUP(H2181,위치!B:D,3,0)</f>
        <v>#N/A</v>
      </c>
      <c r="M2181" s="12"/>
      <c r="N2181" s="5"/>
      <c r="O2181" s="5"/>
      <c r="P2181" s="5"/>
      <c r="Q2181" s="14"/>
      <c r="R2181" s="15">
        <f t="shared" si="33"/>
        <v>0</v>
      </c>
    </row>
    <row r="2182" spans="2:18" x14ac:dyDescent="0.35">
      <c r="B2182" s="9">
        <v>2208</v>
      </c>
      <c r="C2182" s="9"/>
      <c r="D2182" s="9"/>
      <c r="E2182" s="9"/>
      <c r="F2182" s="9"/>
      <c r="G2182" s="9"/>
      <c r="H2182" s="9"/>
      <c r="I2182" s="11" t="e">
        <f>VLOOKUP(H2182,위치!B:C,2,0)</f>
        <v>#N/A</v>
      </c>
      <c r="J2182" s="9"/>
      <c r="K2182" s="9"/>
      <c r="L2182" s="9" t="e">
        <f>VLOOKUP(H2182,위치!B:D,3,0)</f>
        <v>#N/A</v>
      </c>
      <c r="M2182" s="12"/>
      <c r="N2182" s="5"/>
      <c r="O2182" s="5"/>
      <c r="P2182" s="5"/>
      <c r="Q2182" s="14"/>
      <c r="R2182" s="15">
        <f t="shared" si="33"/>
        <v>0</v>
      </c>
    </row>
    <row r="2183" spans="2:18" x14ac:dyDescent="0.35">
      <c r="B2183" s="9">
        <v>2209</v>
      </c>
      <c r="C2183" s="9"/>
      <c r="D2183" s="9"/>
      <c r="E2183" s="9"/>
      <c r="F2183" s="9"/>
      <c r="G2183" s="9"/>
      <c r="H2183" s="9"/>
      <c r="I2183" s="11" t="e">
        <f>VLOOKUP(H2183,위치!B:C,2,0)</f>
        <v>#N/A</v>
      </c>
      <c r="J2183" s="9"/>
      <c r="K2183" s="9"/>
      <c r="L2183" s="9" t="e">
        <f>VLOOKUP(H2183,위치!B:D,3,0)</f>
        <v>#N/A</v>
      </c>
      <c r="M2183" s="12"/>
      <c r="N2183" s="5"/>
      <c r="O2183" s="5"/>
      <c r="P2183" s="5"/>
      <c r="Q2183" s="14"/>
      <c r="R2183" s="15">
        <f t="shared" ref="R2183:R2198" si="34">J2183-P2183</f>
        <v>0</v>
      </c>
    </row>
    <row r="2184" spans="2:18" x14ac:dyDescent="0.35">
      <c r="B2184" s="9">
        <v>2210</v>
      </c>
      <c r="C2184" s="9"/>
      <c r="D2184" s="9"/>
      <c r="E2184" s="9"/>
      <c r="F2184" s="9"/>
      <c r="G2184" s="9"/>
      <c r="H2184" s="9"/>
      <c r="I2184" s="11" t="e">
        <f>VLOOKUP(H2184,위치!B:C,2,0)</f>
        <v>#N/A</v>
      </c>
      <c r="J2184" s="9"/>
      <c r="K2184" s="9"/>
      <c r="L2184" s="9" t="e">
        <f>VLOOKUP(H2184,위치!B:D,3,0)</f>
        <v>#N/A</v>
      </c>
      <c r="M2184" s="12"/>
      <c r="N2184" s="5"/>
      <c r="O2184" s="5"/>
      <c r="P2184" s="5"/>
      <c r="Q2184" s="14"/>
      <c r="R2184" s="15">
        <f t="shared" si="34"/>
        <v>0</v>
      </c>
    </row>
    <row r="2185" spans="2:18" x14ac:dyDescent="0.35">
      <c r="B2185" s="9">
        <v>2211</v>
      </c>
      <c r="C2185" s="9"/>
      <c r="D2185" s="9"/>
      <c r="E2185" s="9"/>
      <c r="F2185" s="9"/>
      <c r="G2185" s="9"/>
      <c r="H2185" s="9"/>
      <c r="I2185" s="11" t="e">
        <f>VLOOKUP(H2185,위치!B:C,2,0)</f>
        <v>#N/A</v>
      </c>
      <c r="J2185" s="9"/>
      <c r="K2185" s="9"/>
      <c r="L2185" s="9" t="e">
        <f>VLOOKUP(H2185,위치!B:D,3,0)</f>
        <v>#N/A</v>
      </c>
      <c r="M2185" s="12"/>
      <c r="N2185" s="5"/>
      <c r="O2185" s="5"/>
      <c r="P2185" s="5"/>
      <c r="Q2185" s="14"/>
      <c r="R2185" s="15">
        <f t="shared" si="34"/>
        <v>0</v>
      </c>
    </row>
    <row r="2186" spans="2:18" x14ac:dyDescent="0.35">
      <c r="B2186" s="9">
        <v>2212</v>
      </c>
      <c r="C2186" s="9"/>
      <c r="D2186" s="9"/>
      <c r="E2186" s="9"/>
      <c r="F2186" s="9"/>
      <c r="G2186" s="9"/>
      <c r="H2186" s="9"/>
      <c r="I2186" s="11" t="e">
        <f>VLOOKUP(H2186,위치!B:C,2,0)</f>
        <v>#N/A</v>
      </c>
      <c r="J2186" s="9"/>
      <c r="K2186" s="9"/>
      <c r="L2186" s="9" t="e">
        <f>VLOOKUP(H2186,위치!B:D,3,0)</f>
        <v>#N/A</v>
      </c>
      <c r="M2186" s="12"/>
      <c r="N2186" s="5"/>
      <c r="O2186" s="5"/>
      <c r="P2186" s="5"/>
      <c r="Q2186" s="14"/>
      <c r="R2186" s="15">
        <f t="shared" si="34"/>
        <v>0</v>
      </c>
    </row>
    <row r="2187" spans="2:18" x14ac:dyDescent="0.35">
      <c r="B2187" s="9">
        <v>2213</v>
      </c>
      <c r="C2187" s="9"/>
      <c r="D2187" s="9"/>
      <c r="E2187" s="9"/>
      <c r="F2187" s="9"/>
      <c r="G2187" s="9"/>
      <c r="H2187" s="9"/>
      <c r="I2187" s="11" t="e">
        <f>VLOOKUP(H2187,위치!B:C,2,0)</f>
        <v>#N/A</v>
      </c>
      <c r="J2187" s="9"/>
      <c r="K2187" s="9"/>
      <c r="L2187" s="9" t="e">
        <f>VLOOKUP(H2187,위치!B:D,3,0)</f>
        <v>#N/A</v>
      </c>
      <c r="M2187" s="12"/>
      <c r="N2187" s="5"/>
      <c r="O2187" s="5"/>
      <c r="P2187" s="5"/>
      <c r="Q2187" s="14"/>
      <c r="R2187" s="15">
        <f t="shared" si="34"/>
        <v>0</v>
      </c>
    </row>
    <row r="2188" spans="2:18" x14ac:dyDescent="0.35">
      <c r="B2188" s="9">
        <v>2214</v>
      </c>
      <c r="C2188" s="9"/>
      <c r="D2188" s="9"/>
      <c r="E2188" s="9"/>
      <c r="F2188" s="9"/>
      <c r="G2188" s="9"/>
      <c r="H2188" s="9"/>
      <c r="I2188" s="11" t="e">
        <f>VLOOKUP(H2188,위치!B:C,2,0)</f>
        <v>#N/A</v>
      </c>
      <c r="J2188" s="9"/>
      <c r="K2188" s="9"/>
      <c r="L2188" s="9" t="e">
        <f>VLOOKUP(H2188,위치!B:D,3,0)</f>
        <v>#N/A</v>
      </c>
      <c r="M2188" s="12"/>
      <c r="N2188" s="5"/>
      <c r="O2188" s="5"/>
      <c r="P2188" s="5"/>
      <c r="Q2188" s="14"/>
      <c r="R2188" s="15">
        <f t="shared" si="34"/>
        <v>0</v>
      </c>
    </row>
    <row r="2189" spans="2:18" x14ac:dyDescent="0.35">
      <c r="B2189" s="9">
        <v>2215</v>
      </c>
      <c r="C2189" s="9"/>
      <c r="D2189" s="9"/>
      <c r="E2189" s="9"/>
      <c r="F2189" s="9"/>
      <c r="G2189" s="9"/>
      <c r="H2189" s="9"/>
      <c r="I2189" s="11" t="e">
        <f>VLOOKUP(H2189,위치!B:C,2,0)</f>
        <v>#N/A</v>
      </c>
      <c r="J2189" s="9"/>
      <c r="K2189" s="9"/>
      <c r="L2189" s="9" t="e">
        <f>VLOOKUP(H2189,위치!B:D,3,0)</f>
        <v>#N/A</v>
      </c>
      <c r="M2189" s="12"/>
      <c r="N2189" s="5"/>
      <c r="O2189" s="5"/>
      <c r="P2189" s="5"/>
      <c r="Q2189" s="14"/>
      <c r="R2189" s="15">
        <f t="shared" si="34"/>
        <v>0</v>
      </c>
    </row>
    <row r="2190" spans="2:18" x14ac:dyDescent="0.35">
      <c r="B2190" s="9">
        <v>2216</v>
      </c>
      <c r="C2190" s="9"/>
      <c r="D2190" s="9"/>
      <c r="E2190" s="9"/>
      <c r="F2190" s="9"/>
      <c r="G2190" s="9"/>
      <c r="H2190" s="9"/>
      <c r="I2190" s="11" t="e">
        <f>VLOOKUP(H2190,위치!B:C,2,0)</f>
        <v>#N/A</v>
      </c>
      <c r="J2190" s="9"/>
      <c r="K2190" s="9"/>
      <c r="L2190" s="9" t="e">
        <f>VLOOKUP(H2190,위치!B:D,3,0)</f>
        <v>#N/A</v>
      </c>
      <c r="M2190" s="12"/>
      <c r="N2190" s="5"/>
      <c r="O2190" s="5"/>
      <c r="P2190" s="5"/>
      <c r="Q2190" s="14"/>
      <c r="R2190" s="15">
        <f t="shared" si="34"/>
        <v>0</v>
      </c>
    </row>
    <row r="2191" spans="2:18" x14ac:dyDescent="0.35">
      <c r="B2191" s="9">
        <v>2217</v>
      </c>
      <c r="C2191" s="9"/>
      <c r="D2191" s="9"/>
      <c r="E2191" s="9"/>
      <c r="F2191" s="9"/>
      <c r="G2191" s="9"/>
      <c r="H2191" s="9"/>
      <c r="I2191" s="11" t="e">
        <f>VLOOKUP(H2191,위치!B:C,2,0)</f>
        <v>#N/A</v>
      </c>
      <c r="J2191" s="9"/>
      <c r="K2191" s="9"/>
      <c r="L2191" s="9" t="e">
        <f>VLOOKUP(H2191,위치!B:D,3,0)</f>
        <v>#N/A</v>
      </c>
      <c r="M2191" s="12"/>
      <c r="N2191" s="5"/>
      <c r="O2191" s="5"/>
      <c r="P2191" s="5"/>
      <c r="Q2191" s="14"/>
      <c r="R2191" s="15">
        <f t="shared" si="34"/>
        <v>0</v>
      </c>
    </row>
    <row r="2192" spans="2:18" x14ac:dyDescent="0.35">
      <c r="B2192" s="9">
        <v>2218</v>
      </c>
      <c r="C2192" s="9"/>
      <c r="D2192" s="9"/>
      <c r="E2192" s="9"/>
      <c r="F2192" s="9"/>
      <c r="G2192" s="9"/>
      <c r="H2192" s="9"/>
      <c r="I2192" s="11" t="e">
        <f>VLOOKUP(H2192,위치!B:C,2,0)</f>
        <v>#N/A</v>
      </c>
      <c r="J2192" s="9"/>
      <c r="K2192" s="9"/>
      <c r="L2192" s="9" t="e">
        <f>VLOOKUP(H2192,위치!B:D,3,0)</f>
        <v>#N/A</v>
      </c>
      <c r="M2192" s="12"/>
      <c r="N2192" s="5"/>
      <c r="O2192" s="5"/>
      <c r="P2192" s="5"/>
      <c r="Q2192" s="14"/>
      <c r="R2192" s="15">
        <f t="shared" si="34"/>
        <v>0</v>
      </c>
    </row>
    <row r="2193" spans="2:18" x14ac:dyDescent="0.35">
      <c r="B2193" s="9">
        <v>2219</v>
      </c>
      <c r="C2193" s="9"/>
      <c r="D2193" s="9"/>
      <c r="E2193" s="9"/>
      <c r="F2193" s="9"/>
      <c r="G2193" s="9"/>
      <c r="H2193" s="9"/>
      <c r="I2193" s="11" t="e">
        <f>VLOOKUP(H2193,위치!B:C,2,0)</f>
        <v>#N/A</v>
      </c>
      <c r="J2193" s="9"/>
      <c r="K2193" s="9"/>
      <c r="L2193" s="9" t="e">
        <f>VLOOKUP(H2193,위치!B:D,3,0)</f>
        <v>#N/A</v>
      </c>
      <c r="M2193" s="12"/>
      <c r="N2193" s="5"/>
      <c r="O2193" s="5"/>
      <c r="P2193" s="5"/>
      <c r="Q2193" s="14"/>
      <c r="R2193" s="15">
        <f t="shared" si="34"/>
        <v>0</v>
      </c>
    </row>
    <row r="2194" spans="2:18" x14ac:dyDescent="0.35">
      <c r="B2194" s="9">
        <v>2220</v>
      </c>
      <c r="C2194" s="9"/>
      <c r="D2194" s="9"/>
      <c r="E2194" s="9"/>
      <c r="F2194" s="9"/>
      <c r="G2194" s="9"/>
      <c r="H2194" s="9"/>
      <c r="I2194" s="11" t="e">
        <f>VLOOKUP(H2194,위치!B:C,2,0)</f>
        <v>#N/A</v>
      </c>
      <c r="J2194" s="9"/>
      <c r="K2194" s="9"/>
      <c r="L2194" s="9" t="e">
        <f>VLOOKUP(H2194,위치!B:D,3,0)</f>
        <v>#N/A</v>
      </c>
      <c r="M2194" s="12"/>
      <c r="N2194" s="5"/>
      <c r="O2194" s="5"/>
      <c r="P2194" s="5"/>
      <c r="Q2194" s="14"/>
      <c r="R2194" s="15">
        <f t="shared" si="34"/>
        <v>0</v>
      </c>
    </row>
    <row r="2195" spans="2:18" x14ac:dyDescent="0.35">
      <c r="B2195" s="9">
        <v>2221</v>
      </c>
      <c r="C2195" s="9"/>
      <c r="D2195" s="9"/>
      <c r="E2195" s="9"/>
      <c r="F2195" s="9"/>
      <c r="G2195" s="9"/>
      <c r="H2195" s="9"/>
      <c r="I2195" s="11" t="e">
        <f>VLOOKUP(H2195,위치!B:C,2,0)</f>
        <v>#N/A</v>
      </c>
      <c r="J2195" s="9"/>
      <c r="K2195" s="9"/>
      <c r="L2195" s="9" t="e">
        <f>VLOOKUP(H2195,위치!B:D,3,0)</f>
        <v>#N/A</v>
      </c>
      <c r="M2195" s="12"/>
      <c r="N2195" s="5"/>
      <c r="O2195" s="5"/>
      <c r="P2195" s="5"/>
      <c r="Q2195" s="14"/>
      <c r="R2195" s="15">
        <f t="shared" si="34"/>
        <v>0</v>
      </c>
    </row>
    <row r="2196" spans="2:18" x14ac:dyDescent="0.35">
      <c r="B2196" s="9">
        <v>2222</v>
      </c>
      <c r="C2196" s="9"/>
      <c r="D2196" s="9"/>
      <c r="E2196" s="9"/>
      <c r="F2196" s="9"/>
      <c r="G2196" s="9"/>
      <c r="H2196" s="9"/>
      <c r="I2196" s="11" t="e">
        <f>VLOOKUP(H2196,위치!B:C,2,0)</f>
        <v>#N/A</v>
      </c>
      <c r="J2196" s="9"/>
      <c r="K2196" s="9"/>
      <c r="L2196" s="9" t="e">
        <f>VLOOKUP(H2196,위치!B:D,3,0)</f>
        <v>#N/A</v>
      </c>
      <c r="M2196" s="12"/>
      <c r="N2196" s="5"/>
      <c r="O2196" s="5"/>
      <c r="P2196" s="5"/>
      <c r="Q2196" s="14"/>
      <c r="R2196" s="15">
        <f t="shared" si="34"/>
        <v>0</v>
      </c>
    </row>
    <row r="2197" spans="2:18" x14ac:dyDescent="0.35">
      <c r="B2197" s="9">
        <v>2223</v>
      </c>
      <c r="C2197" s="9"/>
      <c r="D2197" s="9"/>
      <c r="E2197" s="9"/>
      <c r="F2197" s="9"/>
      <c r="G2197" s="9"/>
      <c r="H2197" s="9"/>
      <c r="I2197" s="11" t="e">
        <f>VLOOKUP(H2197,위치!B:C,2,0)</f>
        <v>#N/A</v>
      </c>
      <c r="J2197" s="9"/>
      <c r="K2197" s="9"/>
      <c r="L2197" s="9" t="e">
        <f>VLOOKUP(H2197,위치!B:D,3,0)</f>
        <v>#N/A</v>
      </c>
      <c r="M2197" s="12"/>
      <c r="N2197" s="5"/>
      <c r="O2197" s="5"/>
      <c r="P2197" s="5"/>
      <c r="Q2197" s="14"/>
      <c r="R2197" s="15">
        <f t="shared" si="34"/>
        <v>0</v>
      </c>
    </row>
    <row r="2198" spans="2:18" x14ac:dyDescent="0.35">
      <c r="B2198" s="9">
        <v>2224</v>
      </c>
      <c r="C2198" s="9"/>
      <c r="D2198" s="9"/>
      <c r="E2198" s="9"/>
      <c r="F2198" s="9"/>
      <c r="G2198" s="9"/>
      <c r="H2198" s="9"/>
      <c r="I2198" s="11" t="e">
        <f>VLOOKUP(H2198,위치!B:C,2,0)</f>
        <v>#N/A</v>
      </c>
      <c r="J2198" s="9"/>
      <c r="K2198" s="9"/>
      <c r="L2198" s="9" t="e">
        <f>VLOOKUP(H2198,위치!B:D,3,0)</f>
        <v>#N/A</v>
      </c>
      <c r="M2198" s="12"/>
      <c r="N2198" s="5"/>
      <c r="O2198" s="5"/>
      <c r="P2198" s="5"/>
      <c r="Q2198" s="14"/>
      <c r="R2198" s="15">
        <f t="shared" si="34"/>
        <v>0</v>
      </c>
    </row>
  </sheetData>
  <autoFilter ref="B6:R2198" xr:uid="{094CA826-3768-4B4F-A3AA-E80355D90A13}">
    <sortState xmlns:xlrd2="http://schemas.microsoft.com/office/spreadsheetml/2017/richdata2" ref="B142:R204">
      <sortCondition ref="P6:P2198"/>
    </sortState>
  </autoFilter>
  <mergeCells count="2">
    <mergeCell ref="B5:M5"/>
    <mergeCell ref="N5:Q5"/>
  </mergeCells>
  <phoneticPr fontId="1" type="noConversion"/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B4C5-0F2B-4DB1-AFC2-23530A0FF785}">
  <dimension ref="A1:C587"/>
  <sheetViews>
    <sheetView topLeftCell="A110" workbookViewId="0">
      <selection activeCell="H19" sqref="H19"/>
    </sheetView>
  </sheetViews>
  <sheetFormatPr defaultRowHeight="17.399999999999999" x14ac:dyDescent="0.4"/>
  <cols>
    <col min="1" max="1" width="14.8984375" bestFit="1" customWidth="1"/>
    <col min="2" max="2" width="14.5" bestFit="1" customWidth="1"/>
    <col min="3" max="3" width="7.3984375" bestFit="1" customWidth="1"/>
    <col min="4" max="5" width="6.3984375" bestFit="1" customWidth="1"/>
    <col min="6" max="6" width="7.09765625" bestFit="1" customWidth="1"/>
    <col min="7" max="7" width="5.19921875" bestFit="1" customWidth="1"/>
    <col min="8" max="8" width="6.09765625" bestFit="1" customWidth="1"/>
    <col min="9" max="9" width="4.19921875" bestFit="1" customWidth="1"/>
    <col min="10" max="10" width="5.3984375" bestFit="1" customWidth="1"/>
    <col min="11" max="13" width="5.09765625" bestFit="1" customWidth="1"/>
    <col min="14" max="15" width="6.8984375" bestFit="1" customWidth="1"/>
    <col min="16" max="16" width="8" bestFit="1" customWidth="1"/>
    <col min="17" max="32" width="6.8984375" bestFit="1" customWidth="1"/>
    <col min="33" max="33" width="5.09765625" bestFit="1" customWidth="1"/>
    <col min="34" max="34" width="9.09765625" bestFit="1" customWidth="1"/>
    <col min="35" max="37" width="7.19921875" bestFit="1" customWidth="1"/>
    <col min="38" max="38" width="6.09765625" bestFit="1" customWidth="1"/>
    <col min="39" max="41" width="7.19921875" bestFit="1" customWidth="1"/>
    <col min="42" max="42" width="6.09765625" bestFit="1" customWidth="1"/>
    <col min="43" max="43" width="7.19921875" bestFit="1" customWidth="1"/>
    <col min="44" max="44" width="6.09765625" bestFit="1" customWidth="1"/>
    <col min="45" max="45" width="11.69921875" bestFit="1" customWidth="1"/>
    <col min="46" max="50" width="6.09765625" bestFit="1" customWidth="1"/>
    <col min="51" max="72" width="6" bestFit="1" customWidth="1"/>
    <col min="73" max="73" width="6.09765625" bestFit="1" customWidth="1"/>
    <col min="74" max="74" width="6.19921875" bestFit="1" customWidth="1"/>
    <col min="75" max="78" width="6.09765625" bestFit="1" customWidth="1"/>
    <col min="79" max="79" width="6.19921875" bestFit="1" customWidth="1"/>
    <col min="80" max="87" width="5.69921875" bestFit="1" customWidth="1"/>
    <col min="88" max="88" width="5.09765625" bestFit="1" customWidth="1"/>
    <col min="89" max="92" width="5.69921875" bestFit="1" customWidth="1"/>
    <col min="93" max="103" width="6.09765625" bestFit="1" customWidth="1"/>
    <col min="104" max="113" width="6.19921875" bestFit="1" customWidth="1"/>
    <col min="114" max="117" width="5.3984375" bestFit="1" customWidth="1"/>
    <col min="118" max="127" width="5.5" bestFit="1" customWidth="1"/>
    <col min="128" max="136" width="6" bestFit="1" customWidth="1"/>
    <col min="137" max="137" width="6.19921875" bestFit="1" customWidth="1"/>
    <col min="138" max="138" width="5.09765625" bestFit="1" customWidth="1"/>
    <col min="139" max="139" width="6.19921875" bestFit="1" customWidth="1"/>
    <col min="140" max="142" width="5.69921875" bestFit="1" customWidth="1"/>
    <col min="143" max="143" width="6.5" bestFit="1" customWidth="1"/>
    <col min="144" max="145" width="5.69921875" bestFit="1" customWidth="1"/>
    <col min="146" max="148" width="5.09765625" bestFit="1" customWidth="1"/>
    <col min="149" max="150" width="4.59765625" bestFit="1" customWidth="1"/>
    <col min="151" max="152" width="6.19921875" bestFit="1" customWidth="1"/>
    <col min="153" max="156" width="5.09765625" bestFit="1" customWidth="1"/>
    <col min="157" max="157" width="4.3984375" bestFit="1" customWidth="1"/>
    <col min="158" max="158" width="2.8984375" bestFit="1" customWidth="1"/>
    <col min="159" max="159" width="5.09765625" bestFit="1" customWidth="1"/>
    <col min="160" max="161" width="6.19921875" bestFit="1" customWidth="1"/>
    <col min="162" max="163" width="5.09765625" bestFit="1" customWidth="1"/>
    <col min="164" max="165" width="6.19921875" bestFit="1" customWidth="1"/>
    <col min="166" max="166" width="9.19921875" bestFit="1" customWidth="1"/>
    <col min="167" max="167" width="11.19921875" bestFit="1" customWidth="1"/>
    <col min="168" max="168" width="8.5" bestFit="1" customWidth="1"/>
  </cols>
  <sheetData>
    <row r="1" spans="1:3" x14ac:dyDescent="0.4">
      <c r="A1" s="29" t="s">
        <v>4620</v>
      </c>
      <c r="B1" t="s">
        <v>4576</v>
      </c>
    </row>
    <row r="3" spans="1:3" x14ac:dyDescent="0.4">
      <c r="A3" s="29" t="s">
        <v>4623</v>
      </c>
    </row>
    <row r="4" spans="1:3" x14ac:dyDescent="0.4">
      <c r="A4" s="29" t="s">
        <v>4624</v>
      </c>
      <c r="B4" s="29" t="s">
        <v>4625</v>
      </c>
      <c r="C4" t="s">
        <v>4626</v>
      </c>
    </row>
    <row r="5" spans="1:3" x14ac:dyDescent="0.4">
      <c r="A5" t="s">
        <v>31</v>
      </c>
      <c r="C5">
        <v>100</v>
      </c>
    </row>
    <row r="6" spans="1:3" x14ac:dyDescent="0.4">
      <c r="A6" t="s">
        <v>243</v>
      </c>
      <c r="C6">
        <v>220</v>
      </c>
    </row>
    <row r="7" spans="1:3" x14ac:dyDescent="0.4">
      <c r="A7" t="s">
        <v>246</v>
      </c>
      <c r="C7">
        <v>348</v>
      </c>
    </row>
    <row r="8" spans="1:3" x14ac:dyDescent="0.4">
      <c r="A8" t="s">
        <v>339</v>
      </c>
      <c r="C8">
        <v>396</v>
      </c>
    </row>
    <row r="9" spans="1:3" x14ac:dyDescent="0.4">
      <c r="A9" t="s">
        <v>342</v>
      </c>
      <c r="C9">
        <v>107</v>
      </c>
    </row>
    <row r="10" spans="1:3" x14ac:dyDescent="0.4">
      <c r="A10" t="s">
        <v>345</v>
      </c>
      <c r="C10">
        <v>117</v>
      </c>
    </row>
    <row r="11" spans="1:3" x14ac:dyDescent="0.4">
      <c r="A11" t="s">
        <v>347</v>
      </c>
      <c r="C11">
        <v>217</v>
      </c>
    </row>
    <row r="12" spans="1:3" x14ac:dyDescent="0.4">
      <c r="A12" t="s">
        <v>349</v>
      </c>
      <c r="C12">
        <v>119</v>
      </c>
    </row>
    <row r="13" spans="1:3" x14ac:dyDescent="0.4">
      <c r="A13" t="s">
        <v>351</v>
      </c>
      <c r="C13">
        <v>423</v>
      </c>
    </row>
    <row r="14" spans="1:3" x14ac:dyDescent="0.4">
      <c r="A14" t="s">
        <v>357</v>
      </c>
      <c r="C14">
        <v>108</v>
      </c>
    </row>
    <row r="15" spans="1:3" x14ac:dyDescent="0.4">
      <c r="A15" t="s">
        <v>360</v>
      </c>
      <c r="C15">
        <v>118</v>
      </c>
    </row>
    <row r="16" spans="1:3" x14ac:dyDescent="0.4">
      <c r="A16" t="s">
        <v>362</v>
      </c>
      <c r="C16">
        <v>0</v>
      </c>
    </row>
    <row r="17" spans="1:3" x14ac:dyDescent="0.4">
      <c r="A17" t="s">
        <v>385</v>
      </c>
      <c r="C17">
        <v>110</v>
      </c>
    </row>
    <row r="18" spans="1:3" x14ac:dyDescent="0.4">
      <c r="A18" t="s">
        <v>395</v>
      </c>
      <c r="C18">
        <v>289</v>
      </c>
    </row>
    <row r="19" spans="1:3" x14ac:dyDescent="0.4">
      <c r="A19" t="s">
        <v>397</v>
      </c>
      <c r="C19">
        <v>520</v>
      </c>
    </row>
    <row r="20" spans="1:3" x14ac:dyDescent="0.4">
      <c r="A20" t="s">
        <v>399</v>
      </c>
      <c r="C20">
        <v>459</v>
      </c>
    </row>
    <row r="21" spans="1:3" x14ac:dyDescent="0.4">
      <c r="A21" t="s">
        <v>412</v>
      </c>
      <c r="C21">
        <v>680</v>
      </c>
    </row>
    <row r="22" spans="1:3" x14ac:dyDescent="0.4">
      <c r="A22" t="s">
        <v>423</v>
      </c>
      <c r="C22">
        <v>513</v>
      </c>
    </row>
    <row r="23" spans="1:3" x14ac:dyDescent="0.4">
      <c r="A23" t="s">
        <v>445</v>
      </c>
      <c r="C23">
        <v>225</v>
      </c>
    </row>
    <row r="24" spans="1:3" x14ac:dyDescent="0.4">
      <c r="A24" t="s">
        <v>457</v>
      </c>
      <c r="C24">
        <v>12</v>
      </c>
    </row>
    <row r="25" spans="1:3" x14ac:dyDescent="0.4">
      <c r="A25" t="s">
        <v>461</v>
      </c>
      <c r="C25">
        <v>240</v>
      </c>
    </row>
    <row r="26" spans="1:3" x14ac:dyDescent="0.4">
      <c r="A26" t="s">
        <v>465</v>
      </c>
      <c r="C26">
        <v>224</v>
      </c>
    </row>
    <row r="27" spans="1:3" x14ac:dyDescent="0.4">
      <c r="A27" t="s">
        <v>5135</v>
      </c>
      <c r="C27">
        <v>1997</v>
      </c>
    </row>
    <row r="28" spans="1:3" x14ac:dyDescent="0.4">
      <c r="A28" t="s">
        <v>477</v>
      </c>
      <c r="C28">
        <v>80</v>
      </c>
    </row>
    <row r="29" spans="1:3" x14ac:dyDescent="0.4">
      <c r="A29" t="s">
        <v>479</v>
      </c>
      <c r="C29">
        <v>78</v>
      </c>
    </row>
    <row r="30" spans="1:3" x14ac:dyDescent="0.4">
      <c r="A30" t="s">
        <v>483</v>
      </c>
      <c r="C30">
        <v>43</v>
      </c>
    </row>
    <row r="31" spans="1:3" x14ac:dyDescent="0.4">
      <c r="A31" t="s">
        <v>487</v>
      </c>
      <c r="C31">
        <v>50</v>
      </c>
    </row>
    <row r="32" spans="1:3" x14ac:dyDescent="0.4">
      <c r="A32" t="s">
        <v>540</v>
      </c>
      <c r="C32">
        <v>392</v>
      </c>
    </row>
    <row r="33" spans="1:3" x14ac:dyDescent="0.4">
      <c r="A33" t="s">
        <v>542</v>
      </c>
      <c r="C33">
        <v>474</v>
      </c>
    </row>
    <row r="34" spans="1:3" x14ac:dyDescent="0.4">
      <c r="A34" t="s">
        <v>545</v>
      </c>
      <c r="C34">
        <v>456</v>
      </c>
    </row>
    <row r="35" spans="1:3" x14ac:dyDescent="0.4">
      <c r="A35" t="s">
        <v>547</v>
      </c>
      <c r="C35">
        <v>261</v>
      </c>
    </row>
    <row r="36" spans="1:3" x14ac:dyDescent="0.4">
      <c r="A36" t="s">
        <v>551</v>
      </c>
      <c r="C36">
        <v>393</v>
      </c>
    </row>
    <row r="37" spans="1:3" x14ac:dyDescent="0.4">
      <c r="A37" t="s">
        <v>560</v>
      </c>
      <c r="C37">
        <v>394</v>
      </c>
    </row>
    <row r="38" spans="1:3" x14ac:dyDescent="0.4">
      <c r="A38" t="s">
        <v>566</v>
      </c>
      <c r="C38">
        <v>413</v>
      </c>
    </row>
    <row r="39" spans="1:3" x14ac:dyDescent="0.4">
      <c r="A39" t="s">
        <v>569</v>
      </c>
      <c r="C39">
        <v>410</v>
      </c>
    </row>
    <row r="40" spans="1:3" x14ac:dyDescent="0.4">
      <c r="A40" t="s">
        <v>574</v>
      </c>
      <c r="C40">
        <v>230</v>
      </c>
    </row>
    <row r="41" spans="1:3" x14ac:dyDescent="0.4">
      <c r="A41" t="s">
        <v>577</v>
      </c>
      <c r="C41">
        <v>457</v>
      </c>
    </row>
    <row r="42" spans="1:3" x14ac:dyDescent="0.4">
      <c r="A42" t="s">
        <v>4997</v>
      </c>
      <c r="C42">
        <v>244</v>
      </c>
    </row>
    <row r="43" spans="1:3" x14ac:dyDescent="0.4">
      <c r="A43" t="s">
        <v>628</v>
      </c>
      <c r="B43" t="s">
        <v>4965</v>
      </c>
      <c r="C43">
        <v>28</v>
      </c>
    </row>
    <row r="44" spans="1:3" x14ac:dyDescent="0.4">
      <c r="A44" t="s">
        <v>631</v>
      </c>
      <c r="C44">
        <v>337</v>
      </c>
    </row>
    <row r="45" spans="1:3" x14ac:dyDescent="0.4">
      <c r="A45" t="s">
        <v>633</v>
      </c>
      <c r="C45">
        <v>449</v>
      </c>
    </row>
    <row r="46" spans="1:3" x14ac:dyDescent="0.4">
      <c r="A46" t="s">
        <v>4977</v>
      </c>
      <c r="C46">
        <v>304</v>
      </c>
    </row>
    <row r="47" spans="1:3" x14ac:dyDescent="0.4">
      <c r="A47" t="s">
        <v>658</v>
      </c>
      <c r="C47">
        <v>134</v>
      </c>
    </row>
    <row r="48" spans="1:3" x14ac:dyDescent="0.4">
      <c r="A48" t="s">
        <v>664</v>
      </c>
      <c r="C48">
        <v>106</v>
      </c>
    </row>
    <row r="49" spans="1:3" x14ac:dyDescent="0.4">
      <c r="A49" t="s">
        <v>696</v>
      </c>
      <c r="C49">
        <v>497</v>
      </c>
    </row>
    <row r="50" spans="1:3" x14ac:dyDescent="0.4">
      <c r="A50" t="s">
        <v>699</v>
      </c>
      <c r="C50">
        <v>245</v>
      </c>
    </row>
    <row r="51" spans="1:3" x14ac:dyDescent="0.4">
      <c r="A51" t="s">
        <v>707</v>
      </c>
      <c r="C51">
        <v>139</v>
      </c>
    </row>
    <row r="52" spans="1:3" x14ac:dyDescent="0.4">
      <c r="A52" t="s">
        <v>709</v>
      </c>
      <c r="C52">
        <v>76</v>
      </c>
    </row>
    <row r="53" spans="1:3" x14ac:dyDescent="0.4">
      <c r="A53" t="s">
        <v>716</v>
      </c>
      <c r="B53" t="s">
        <v>4975</v>
      </c>
      <c r="C53">
        <v>35</v>
      </c>
    </row>
    <row r="54" spans="1:3" x14ac:dyDescent="0.4">
      <c r="A54" t="s">
        <v>723</v>
      </c>
      <c r="C54">
        <v>496</v>
      </c>
    </row>
    <row r="55" spans="1:3" x14ac:dyDescent="0.4">
      <c r="A55" t="s">
        <v>727</v>
      </c>
      <c r="B55" t="s">
        <v>4851</v>
      </c>
      <c r="C55">
        <v>360</v>
      </c>
    </row>
    <row r="56" spans="1:3" x14ac:dyDescent="0.4">
      <c r="A56" t="s">
        <v>729</v>
      </c>
      <c r="C56">
        <v>185</v>
      </c>
    </row>
    <row r="57" spans="1:3" x14ac:dyDescent="0.4">
      <c r="A57" t="s">
        <v>736</v>
      </c>
      <c r="C57">
        <v>47</v>
      </c>
    </row>
    <row r="58" spans="1:3" x14ac:dyDescent="0.4">
      <c r="A58" t="s">
        <v>740</v>
      </c>
      <c r="C58">
        <v>32</v>
      </c>
    </row>
    <row r="59" spans="1:3" x14ac:dyDescent="0.4">
      <c r="A59" t="s">
        <v>748</v>
      </c>
      <c r="C59">
        <v>75</v>
      </c>
    </row>
    <row r="60" spans="1:3" x14ac:dyDescent="0.4">
      <c r="A60" t="s">
        <v>750</v>
      </c>
      <c r="B60" t="s">
        <v>4956</v>
      </c>
      <c r="C60">
        <v>28</v>
      </c>
    </row>
    <row r="61" spans="1:3" x14ac:dyDescent="0.4">
      <c r="A61" t="s">
        <v>761</v>
      </c>
      <c r="C61">
        <v>0</v>
      </c>
    </row>
    <row r="62" spans="1:3" x14ac:dyDescent="0.4">
      <c r="A62" t="s">
        <v>773</v>
      </c>
      <c r="C62">
        <v>18</v>
      </c>
    </row>
    <row r="63" spans="1:3" x14ac:dyDescent="0.4">
      <c r="A63" t="s">
        <v>777</v>
      </c>
      <c r="C63">
        <v>114</v>
      </c>
    </row>
    <row r="64" spans="1:3" x14ac:dyDescent="0.4">
      <c r="A64" t="s">
        <v>779</v>
      </c>
      <c r="C64">
        <v>40</v>
      </c>
    </row>
    <row r="65" spans="1:3" x14ac:dyDescent="0.4">
      <c r="A65" t="s">
        <v>782</v>
      </c>
      <c r="C65">
        <v>115</v>
      </c>
    </row>
    <row r="66" spans="1:3" x14ac:dyDescent="0.4">
      <c r="A66" t="s">
        <v>842</v>
      </c>
      <c r="C66">
        <v>106</v>
      </c>
    </row>
    <row r="67" spans="1:3" x14ac:dyDescent="0.4">
      <c r="A67" t="s">
        <v>844</v>
      </c>
      <c r="C67">
        <v>134</v>
      </c>
    </row>
    <row r="68" spans="1:3" x14ac:dyDescent="0.4">
      <c r="A68" t="s">
        <v>847</v>
      </c>
      <c r="C68">
        <v>141</v>
      </c>
    </row>
    <row r="69" spans="1:3" x14ac:dyDescent="0.4">
      <c r="A69" t="s">
        <v>4971</v>
      </c>
      <c r="C69">
        <v>25</v>
      </c>
    </row>
    <row r="70" spans="1:3" x14ac:dyDescent="0.4">
      <c r="A70" t="s">
        <v>877</v>
      </c>
      <c r="C70">
        <v>111</v>
      </c>
    </row>
    <row r="71" spans="1:3" x14ac:dyDescent="0.4">
      <c r="A71" t="s">
        <v>880</v>
      </c>
      <c r="C71">
        <v>61</v>
      </c>
    </row>
    <row r="72" spans="1:3" x14ac:dyDescent="0.4">
      <c r="A72" t="s">
        <v>884</v>
      </c>
      <c r="C72">
        <v>228</v>
      </c>
    </row>
    <row r="73" spans="1:3" x14ac:dyDescent="0.4">
      <c r="A73" t="s">
        <v>967</v>
      </c>
      <c r="C73">
        <v>95</v>
      </c>
    </row>
    <row r="74" spans="1:3" x14ac:dyDescent="0.4">
      <c r="A74" t="s">
        <v>969</v>
      </c>
      <c r="C74">
        <v>279</v>
      </c>
    </row>
    <row r="75" spans="1:3" x14ac:dyDescent="0.4">
      <c r="A75" t="s">
        <v>983</v>
      </c>
      <c r="C75">
        <v>14</v>
      </c>
    </row>
    <row r="76" spans="1:3" x14ac:dyDescent="0.4">
      <c r="A76" t="s">
        <v>985</v>
      </c>
      <c r="C76">
        <v>40</v>
      </c>
    </row>
    <row r="77" spans="1:3" x14ac:dyDescent="0.4">
      <c r="A77" t="s">
        <v>1001</v>
      </c>
      <c r="C77">
        <v>206</v>
      </c>
    </row>
    <row r="78" spans="1:3" x14ac:dyDescent="0.4">
      <c r="A78" t="s">
        <v>1005</v>
      </c>
      <c r="C78">
        <v>186</v>
      </c>
    </row>
    <row r="79" spans="1:3" x14ac:dyDescent="0.4">
      <c r="A79" t="s">
        <v>1009</v>
      </c>
      <c r="C79">
        <v>454</v>
      </c>
    </row>
    <row r="80" spans="1:3" x14ac:dyDescent="0.4">
      <c r="A80" t="s">
        <v>1039</v>
      </c>
      <c r="C80">
        <v>41</v>
      </c>
    </row>
    <row r="81" spans="1:3" x14ac:dyDescent="0.4">
      <c r="A81" t="s">
        <v>1043</v>
      </c>
      <c r="C81">
        <v>32</v>
      </c>
    </row>
    <row r="82" spans="1:3" x14ac:dyDescent="0.4">
      <c r="A82" t="s">
        <v>1046</v>
      </c>
      <c r="C82">
        <v>106</v>
      </c>
    </row>
    <row r="83" spans="1:3" x14ac:dyDescent="0.4">
      <c r="A83" t="s">
        <v>1050</v>
      </c>
      <c r="C83">
        <v>50</v>
      </c>
    </row>
    <row r="84" spans="1:3" x14ac:dyDescent="0.4">
      <c r="A84" t="s">
        <v>1052</v>
      </c>
      <c r="C84">
        <v>50</v>
      </c>
    </row>
    <row r="85" spans="1:3" x14ac:dyDescent="0.4">
      <c r="A85" t="s">
        <v>1054</v>
      </c>
      <c r="C85">
        <v>120</v>
      </c>
    </row>
    <row r="86" spans="1:3" x14ac:dyDescent="0.4">
      <c r="A86" t="s">
        <v>1057</v>
      </c>
      <c r="B86" t="s">
        <v>4991</v>
      </c>
      <c r="C86">
        <v>43</v>
      </c>
    </row>
    <row r="87" spans="1:3" x14ac:dyDescent="0.4">
      <c r="A87" t="s">
        <v>1068</v>
      </c>
      <c r="C87">
        <v>24</v>
      </c>
    </row>
    <row r="88" spans="1:3" x14ac:dyDescent="0.4">
      <c r="A88" t="s">
        <v>1119</v>
      </c>
      <c r="C88">
        <v>90</v>
      </c>
    </row>
    <row r="89" spans="1:3" x14ac:dyDescent="0.4">
      <c r="A89" t="s">
        <v>1146</v>
      </c>
      <c r="C89">
        <v>358</v>
      </c>
    </row>
    <row r="90" spans="1:3" x14ac:dyDescent="0.4">
      <c r="A90" t="s">
        <v>1148</v>
      </c>
      <c r="C90">
        <v>83</v>
      </c>
    </row>
    <row r="91" spans="1:3" x14ac:dyDescent="0.4">
      <c r="A91" t="s">
        <v>1153</v>
      </c>
      <c r="C91">
        <v>35</v>
      </c>
    </row>
    <row r="92" spans="1:3" x14ac:dyDescent="0.4">
      <c r="A92" t="s">
        <v>1167</v>
      </c>
      <c r="C92">
        <v>229</v>
      </c>
    </row>
    <row r="93" spans="1:3" x14ac:dyDescent="0.4">
      <c r="A93" t="s">
        <v>1173</v>
      </c>
      <c r="C93">
        <v>234</v>
      </c>
    </row>
    <row r="94" spans="1:3" x14ac:dyDescent="0.4">
      <c r="A94" t="s">
        <v>1190</v>
      </c>
      <c r="C94">
        <v>165</v>
      </c>
    </row>
    <row r="95" spans="1:3" x14ac:dyDescent="0.4">
      <c r="A95" t="s">
        <v>1197</v>
      </c>
      <c r="C95">
        <v>103</v>
      </c>
    </row>
    <row r="96" spans="1:3" x14ac:dyDescent="0.4">
      <c r="A96" t="s">
        <v>1199</v>
      </c>
      <c r="C96">
        <v>50</v>
      </c>
    </row>
    <row r="97" spans="1:3" x14ac:dyDescent="0.4">
      <c r="A97" t="s">
        <v>1203</v>
      </c>
      <c r="C97">
        <v>62</v>
      </c>
    </row>
    <row r="98" spans="1:3" x14ac:dyDescent="0.4">
      <c r="A98" t="s">
        <v>1289</v>
      </c>
      <c r="C98">
        <v>87</v>
      </c>
    </row>
    <row r="99" spans="1:3" x14ac:dyDescent="0.4">
      <c r="A99" t="s">
        <v>1305</v>
      </c>
      <c r="C99">
        <v>49</v>
      </c>
    </row>
    <row r="100" spans="1:3" x14ac:dyDescent="0.4">
      <c r="A100" t="s">
        <v>1308</v>
      </c>
      <c r="C100">
        <v>92</v>
      </c>
    </row>
    <row r="101" spans="1:3" x14ac:dyDescent="0.4">
      <c r="A101" t="s">
        <v>1314</v>
      </c>
      <c r="B101" t="s">
        <v>4995</v>
      </c>
      <c r="C101">
        <v>224</v>
      </c>
    </row>
    <row r="102" spans="1:3" x14ac:dyDescent="0.4">
      <c r="A102" t="s">
        <v>1320</v>
      </c>
      <c r="C102">
        <v>53</v>
      </c>
    </row>
    <row r="103" spans="1:3" x14ac:dyDescent="0.4">
      <c r="A103" t="s">
        <v>1322</v>
      </c>
      <c r="C103">
        <v>7</v>
      </c>
    </row>
    <row r="104" spans="1:3" x14ac:dyDescent="0.4">
      <c r="A104" t="s">
        <v>1324</v>
      </c>
      <c r="C104">
        <v>104</v>
      </c>
    </row>
    <row r="105" spans="1:3" x14ac:dyDescent="0.4">
      <c r="A105" t="s">
        <v>1328</v>
      </c>
      <c r="C105">
        <v>56</v>
      </c>
    </row>
    <row r="106" spans="1:3" x14ac:dyDescent="0.4">
      <c r="A106" t="s">
        <v>1342</v>
      </c>
      <c r="C106">
        <v>344</v>
      </c>
    </row>
    <row r="107" spans="1:3" x14ac:dyDescent="0.4">
      <c r="A107" t="s">
        <v>1354</v>
      </c>
      <c r="C107">
        <v>171</v>
      </c>
    </row>
    <row r="108" spans="1:3" x14ac:dyDescent="0.4">
      <c r="A108" t="s">
        <v>1366</v>
      </c>
      <c r="C108">
        <v>207</v>
      </c>
    </row>
    <row r="109" spans="1:3" x14ac:dyDescent="0.4">
      <c r="A109" t="s">
        <v>1370</v>
      </c>
      <c r="C109">
        <v>164</v>
      </c>
    </row>
    <row r="110" spans="1:3" x14ac:dyDescent="0.4">
      <c r="A110" t="s">
        <v>1373</v>
      </c>
      <c r="C110">
        <v>119</v>
      </c>
    </row>
    <row r="111" spans="1:3" x14ac:dyDescent="0.4">
      <c r="A111" t="s">
        <v>1387</v>
      </c>
      <c r="C111">
        <v>358</v>
      </c>
    </row>
    <row r="112" spans="1:3" x14ac:dyDescent="0.4">
      <c r="A112" t="s">
        <v>1389</v>
      </c>
      <c r="C112">
        <v>274</v>
      </c>
    </row>
    <row r="113" spans="1:3" x14ac:dyDescent="0.4">
      <c r="A113" t="s">
        <v>1405</v>
      </c>
      <c r="C113">
        <v>67</v>
      </c>
    </row>
    <row r="114" spans="1:3" x14ac:dyDescent="0.4">
      <c r="A114" t="s">
        <v>1483</v>
      </c>
      <c r="C114">
        <v>133</v>
      </c>
    </row>
    <row r="115" spans="1:3" x14ac:dyDescent="0.4">
      <c r="A115" t="s">
        <v>1522</v>
      </c>
      <c r="C115">
        <v>201</v>
      </c>
    </row>
    <row r="116" spans="1:3" x14ac:dyDescent="0.4">
      <c r="A116" t="s">
        <v>1530</v>
      </c>
      <c r="C116">
        <v>160</v>
      </c>
    </row>
    <row r="117" spans="1:3" x14ac:dyDescent="0.4">
      <c r="A117" t="s">
        <v>1532</v>
      </c>
      <c r="C117">
        <v>294</v>
      </c>
    </row>
    <row r="118" spans="1:3" x14ac:dyDescent="0.4">
      <c r="A118" t="s">
        <v>1534</v>
      </c>
      <c r="C118">
        <v>154</v>
      </c>
    </row>
    <row r="119" spans="1:3" x14ac:dyDescent="0.4">
      <c r="A119" t="s">
        <v>1556</v>
      </c>
      <c r="B119" t="s">
        <v>4851</v>
      </c>
      <c r="C119">
        <v>897</v>
      </c>
    </row>
    <row r="120" spans="1:3" x14ac:dyDescent="0.4">
      <c r="A120" t="s">
        <v>1562</v>
      </c>
      <c r="C120">
        <v>128</v>
      </c>
    </row>
    <row r="121" spans="1:3" x14ac:dyDescent="0.4">
      <c r="A121" t="s">
        <v>1576</v>
      </c>
      <c r="C121">
        <v>33</v>
      </c>
    </row>
    <row r="122" spans="1:3" x14ac:dyDescent="0.4">
      <c r="A122" t="s">
        <v>1587</v>
      </c>
      <c r="C122">
        <v>410</v>
      </c>
    </row>
    <row r="123" spans="1:3" x14ac:dyDescent="0.4">
      <c r="A123" t="s">
        <v>1594</v>
      </c>
      <c r="C123">
        <v>134</v>
      </c>
    </row>
    <row r="124" spans="1:3" x14ac:dyDescent="0.4">
      <c r="A124" t="s">
        <v>1596</v>
      </c>
      <c r="C124">
        <v>277</v>
      </c>
    </row>
    <row r="125" spans="1:3" x14ac:dyDescent="0.4">
      <c r="A125" t="s">
        <v>1598</v>
      </c>
      <c r="C125">
        <v>182</v>
      </c>
    </row>
    <row r="126" spans="1:3" x14ac:dyDescent="0.4">
      <c r="A126" t="s">
        <v>1618</v>
      </c>
      <c r="C126">
        <v>143</v>
      </c>
    </row>
    <row r="127" spans="1:3" x14ac:dyDescent="0.4">
      <c r="A127" t="s">
        <v>1633</v>
      </c>
      <c r="C127">
        <v>665</v>
      </c>
    </row>
    <row r="128" spans="1:3" x14ac:dyDescent="0.4">
      <c r="A128" t="s">
        <v>1638</v>
      </c>
      <c r="C128">
        <v>106</v>
      </c>
    </row>
    <row r="129" spans="1:3" x14ac:dyDescent="0.4">
      <c r="A129" t="s">
        <v>1640</v>
      </c>
      <c r="C129">
        <v>95</v>
      </c>
    </row>
    <row r="130" spans="1:3" x14ac:dyDescent="0.4">
      <c r="A130" t="s">
        <v>1664</v>
      </c>
      <c r="C130">
        <v>177</v>
      </c>
    </row>
    <row r="131" spans="1:3" x14ac:dyDescent="0.4">
      <c r="A131" t="s">
        <v>1666</v>
      </c>
      <c r="C131">
        <v>220</v>
      </c>
    </row>
    <row r="132" spans="1:3" x14ac:dyDescent="0.4">
      <c r="A132" t="s">
        <v>1668</v>
      </c>
      <c r="C132">
        <v>98</v>
      </c>
    </row>
    <row r="133" spans="1:3" x14ac:dyDescent="0.4">
      <c r="A133" t="s">
        <v>1714</v>
      </c>
      <c r="C133">
        <v>355</v>
      </c>
    </row>
    <row r="134" spans="1:3" x14ac:dyDescent="0.4">
      <c r="A134" t="s">
        <v>1790</v>
      </c>
      <c r="C134">
        <v>211</v>
      </c>
    </row>
    <row r="135" spans="1:3" x14ac:dyDescent="0.4">
      <c r="A135" t="s">
        <v>5089</v>
      </c>
      <c r="C135">
        <v>115</v>
      </c>
    </row>
    <row r="136" spans="1:3" x14ac:dyDescent="0.4">
      <c r="A136" t="s">
        <v>1813</v>
      </c>
      <c r="B136" t="s">
        <v>5137</v>
      </c>
      <c r="C136">
        <v>264</v>
      </c>
    </row>
    <row r="137" spans="1:3" x14ac:dyDescent="0.4">
      <c r="A137" t="s">
        <v>1844</v>
      </c>
      <c r="C137">
        <v>100</v>
      </c>
    </row>
    <row r="138" spans="1:3" x14ac:dyDescent="0.4">
      <c r="A138" t="s">
        <v>1847</v>
      </c>
      <c r="B138" t="s">
        <v>5140</v>
      </c>
      <c r="C138">
        <v>530</v>
      </c>
    </row>
    <row r="139" spans="1:3" x14ac:dyDescent="0.4">
      <c r="A139" t="s">
        <v>1849</v>
      </c>
      <c r="C139">
        <v>114</v>
      </c>
    </row>
    <row r="140" spans="1:3" x14ac:dyDescent="0.4">
      <c r="A140" t="s">
        <v>1854</v>
      </c>
      <c r="C140">
        <v>74</v>
      </c>
    </row>
    <row r="141" spans="1:3" x14ac:dyDescent="0.4">
      <c r="A141" t="s">
        <v>1856</v>
      </c>
      <c r="C141">
        <v>247</v>
      </c>
    </row>
    <row r="142" spans="1:3" x14ac:dyDescent="0.4">
      <c r="A142" t="s">
        <v>1858</v>
      </c>
      <c r="B142" t="s">
        <v>5137</v>
      </c>
      <c r="C142">
        <v>10</v>
      </c>
    </row>
    <row r="143" spans="1:3" x14ac:dyDescent="0.4">
      <c r="A143" t="s">
        <v>1867</v>
      </c>
      <c r="C143">
        <v>221</v>
      </c>
    </row>
    <row r="144" spans="1:3" x14ac:dyDescent="0.4">
      <c r="A144" t="s">
        <v>1887</v>
      </c>
      <c r="C144">
        <v>50</v>
      </c>
    </row>
    <row r="145" spans="1:3" x14ac:dyDescent="0.4">
      <c r="A145" t="s">
        <v>1890</v>
      </c>
      <c r="C145">
        <v>161</v>
      </c>
    </row>
    <row r="146" spans="1:3" x14ac:dyDescent="0.4">
      <c r="A146" t="s">
        <v>1892</v>
      </c>
      <c r="C146">
        <v>100</v>
      </c>
    </row>
    <row r="147" spans="1:3" x14ac:dyDescent="0.4">
      <c r="A147" t="s">
        <v>1895</v>
      </c>
      <c r="C147">
        <v>469</v>
      </c>
    </row>
    <row r="148" spans="1:3" x14ac:dyDescent="0.4">
      <c r="A148" t="s">
        <v>1942</v>
      </c>
      <c r="C148">
        <v>39</v>
      </c>
    </row>
    <row r="149" spans="1:3" x14ac:dyDescent="0.4">
      <c r="A149" t="s">
        <v>1944</v>
      </c>
      <c r="C149">
        <v>37</v>
      </c>
    </row>
    <row r="150" spans="1:3" x14ac:dyDescent="0.4">
      <c r="A150" t="s">
        <v>1980</v>
      </c>
      <c r="B150" t="s">
        <v>5141</v>
      </c>
      <c r="C150">
        <v>263</v>
      </c>
    </row>
    <row r="151" spans="1:3" x14ac:dyDescent="0.4">
      <c r="A151" t="s">
        <v>1982</v>
      </c>
      <c r="C151">
        <v>90</v>
      </c>
    </row>
    <row r="152" spans="1:3" x14ac:dyDescent="0.4">
      <c r="A152" t="s">
        <v>1988</v>
      </c>
      <c r="C152">
        <v>35</v>
      </c>
    </row>
    <row r="153" spans="1:3" x14ac:dyDescent="0.4">
      <c r="A153" t="s">
        <v>1990</v>
      </c>
      <c r="B153" t="s">
        <v>5141</v>
      </c>
      <c r="C153">
        <v>115</v>
      </c>
    </row>
    <row r="154" spans="1:3" x14ac:dyDescent="0.4">
      <c r="A154" t="s">
        <v>1992</v>
      </c>
      <c r="C154">
        <v>193</v>
      </c>
    </row>
    <row r="155" spans="1:3" x14ac:dyDescent="0.4">
      <c r="A155" t="s">
        <v>1994</v>
      </c>
      <c r="C155">
        <v>223</v>
      </c>
    </row>
    <row r="156" spans="1:3" x14ac:dyDescent="0.4">
      <c r="A156" t="s">
        <v>1996</v>
      </c>
      <c r="B156" t="s">
        <v>5141</v>
      </c>
      <c r="C156">
        <v>150</v>
      </c>
    </row>
    <row r="157" spans="1:3" x14ac:dyDescent="0.4">
      <c r="A157" t="s">
        <v>2000</v>
      </c>
      <c r="C157">
        <v>13</v>
      </c>
    </row>
    <row r="158" spans="1:3" x14ac:dyDescent="0.4">
      <c r="A158" t="s">
        <v>2002</v>
      </c>
      <c r="C158">
        <v>100</v>
      </c>
    </row>
    <row r="159" spans="1:3" x14ac:dyDescent="0.4">
      <c r="A159" t="s">
        <v>2005</v>
      </c>
      <c r="C159">
        <v>100</v>
      </c>
    </row>
    <row r="160" spans="1:3" x14ac:dyDescent="0.4">
      <c r="A160" t="s">
        <v>5115</v>
      </c>
      <c r="C160">
        <v>415</v>
      </c>
    </row>
    <row r="161" spans="1:3" x14ac:dyDescent="0.4">
      <c r="A161" t="s">
        <v>2125</v>
      </c>
      <c r="C161">
        <v>215</v>
      </c>
    </row>
    <row r="162" spans="1:3" x14ac:dyDescent="0.4">
      <c r="A162" t="s">
        <v>2145</v>
      </c>
      <c r="C162">
        <v>678</v>
      </c>
    </row>
    <row r="163" spans="1:3" x14ac:dyDescent="0.4">
      <c r="A163" t="s">
        <v>2148</v>
      </c>
      <c r="C163">
        <v>562</v>
      </c>
    </row>
    <row r="164" spans="1:3" x14ac:dyDescent="0.4">
      <c r="A164" t="s">
        <v>2155</v>
      </c>
      <c r="C164">
        <v>242</v>
      </c>
    </row>
    <row r="165" spans="1:3" x14ac:dyDescent="0.4">
      <c r="A165" t="s">
        <v>2254</v>
      </c>
      <c r="C165">
        <v>265</v>
      </c>
    </row>
    <row r="166" spans="1:3" x14ac:dyDescent="0.4">
      <c r="A166" t="s">
        <v>2454</v>
      </c>
      <c r="C166">
        <v>103</v>
      </c>
    </row>
    <row r="167" spans="1:3" x14ac:dyDescent="0.4">
      <c r="A167" t="s">
        <v>2457</v>
      </c>
      <c r="C167">
        <v>200</v>
      </c>
    </row>
    <row r="168" spans="1:3" x14ac:dyDescent="0.4">
      <c r="A168" t="s">
        <v>2473</v>
      </c>
      <c r="C168">
        <v>45</v>
      </c>
    </row>
    <row r="169" spans="1:3" x14ac:dyDescent="0.4">
      <c r="A169" t="s">
        <v>2479</v>
      </c>
      <c r="C169">
        <v>201</v>
      </c>
    </row>
    <row r="170" spans="1:3" x14ac:dyDescent="0.4">
      <c r="A170" t="s">
        <v>2499</v>
      </c>
      <c r="C170">
        <v>20</v>
      </c>
    </row>
    <row r="171" spans="1:3" x14ac:dyDescent="0.4">
      <c r="A171" t="s">
        <v>2501</v>
      </c>
      <c r="C171">
        <v>189</v>
      </c>
    </row>
    <row r="172" spans="1:3" x14ac:dyDescent="0.4">
      <c r="A172" t="s">
        <v>2503</v>
      </c>
      <c r="C172">
        <v>200</v>
      </c>
    </row>
    <row r="173" spans="1:3" x14ac:dyDescent="0.4">
      <c r="A173" t="s">
        <v>2509</v>
      </c>
      <c r="C173">
        <v>298</v>
      </c>
    </row>
    <row r="174" spans="1:3" x14ac:dyDescent="0.4">
      <c r="A174" t="s">
        <v>2513</v>
      </c>
      <c r="C174">
        <v>499</v>
      </c>
    </row>
    <row r="175" spans="1:3" x14ac:dyDescent="0.4">
      <c r="A175" t="s">
        <v>2553</v>
      </c>
      <c r="C175">
        <v>132</v>
      </c>
    </row>
    <row r="176" spans="1:3" x14ac:dyDescent="0.4">
      <c r="A176" t="s">
        <v>2555</v>
      </c>
      <c r="C176">
        <v>557</v>
      </c>
    </row>
    <row r="177" spans="1:3" x14ac:dyDescent="0.4">
      <c r="A177" t="s">
        <v>2561</v>
      </c>
      <c r="C177">
        <v>198</v>
      </c>
    </row>
    <row r="178" spans="1:3" x14ac:dyDescent="0.4">
      <c r="A178" t="s">
        <v>2563</v>
      </c>
      <c r="C178">
        <v>99</v>
      </c>
    </row>
    <row r="179" spans="1:3" x14ac:dyDescent="0.4">
      <c r="A179" t="s">
        <v>2566</v>
      </c>
      <c r="C179">
        <v>409</v>
      </c>
    </row>
    <row r="180" spans="1:3" x14ac:dyDescent="0.4">
      <c r="A180" t="s">
        <v>2601</v>
      </c>
      <c r="C180">
        <v>15</v>
      </c>
    </row>
    <row r="181" spans="1:3" x14ac:dyDescent="0.4">
      <c r="A181" t="s">
        <v>2607</v>
      </c>
      <c r="C181">
        <v>41</v>
      </c>
    </row>
    <row r="182" spans="1:3" x14ac:dyDescent="0.4">
      <c r="A182" t="s">
        <v>2622</v>
      </c>
      <c r="C182">
        <v>41</v>
      </c>
    </row>
    <row r="183" spans="1:3" x14ac:dyDescent="0.4">
      <c r="A183" t="s">
        <v>2626</v>
      </c>
      <c r="C183">
        <v>24</v>
      </c>
    </row>
    <row r="184" spans="1:3" x14ac:dyDescent="0.4">
      <c r="A184" t="s">
        <v>2638</v>
      </c>
      <c r="C184">
        <v>180</v>
      </c>
    </row>
    <row r="185" spans="1:3" x14ac:dyDescent="0.4">
      <c r="A185" t="s">
        <v>2641</v>
      </c>
      <c r="C185">
        <v>100</v>
      </c>
    </row>
    <row r="186" spans="1:3" x14ac:dyDescent="0.4">
      <c r="A186" t="s">
        <v>2657</v>
      </c>
      <c r="C186">
        <v>245</v>
      </c>
    </row>
    <row r="187" spans="1:3" x14ac:dyDescent="0.4">
      <c r="A187" t="s">
        <v>2666</v>
      </c>
      <c r="C187">
        <v>173</v>
      </c>
    </row>
    <row r="188" spans="1:3" x14ac:dyDescent="0.4">
      <c r="A188" t="s">
        <v>2671</v>
      </c>
      <c r="C188">
        <v>430</v>
      </c>
    </row>
    <row r="189" spans="1:3" x14ac:dyDescent="0.4">
      <c r="A189" t="s">
        <v>2673</v>
      </c>
      <c r="C189">
        <v>171</v>
      </c>
    </row>
    <row r="190" spans="1:3" x14ac:dyDescent="0.4">
      <c r="A190" t="s">
        <v>2675</v>
      </c>
      <c r="C190">
        <v>131</v>
      </c>
    </row>
    <row r="191" spans="1:3" x14ac:dyDescent="0.4">
      <c r="A191" t="s">
        <v>7</v>
      </c>
      <c r="C191">
        <v>127</v>
      </c>
    </row>
    <row r="192" spans="1:3" x14ac:dyDescent="0.4">
      <c r="A192" t="s">
        <v>8</v>
      </c>
      <c r="C192">
        <v>209</v>
      </c>
    </row>
    <row r="193" spans="1:3" x14ac:dyDescent="0.4">
      <c r="A193" t="s">
        <v>4950</v>
      </c>
      <c r="C193">
        <v>382</v>
      </c>
    </row>
    <row r="194" spans="1:3" x14ac:dyDescent="0.4">
      <c r="A194" t="s">
        <v>2696</v>
      </c>
      <c r="C194">
        <v>122</v>
      </c>
    </row>
    <row r="195" spans="1:3" x14ac:dyDescent="0.4">
      <c r="A195" t="s">
        <v>2700</v>
      </c>
      <c r="C195">
        <v>243</v>
      </c>
    </row>
    <row r="196" spans="1:3" x14ac:dyDescent="0.4">
      <c r="A196" t="s">
        <v>2706</v>
      </c>
      <c r="C196">
        <v>340</v>
      </c>
    </row>
    <row r="197" spans="1:3" x14ac:dyDescent="0.4">
      <c r="A197" t="s">
        <v>2746</v>
      </c>
      <c r="C197">
        <v>468</v>
      </c>
    </row>
    <row r="198" spans="1:3" x14ac:dyDescent="0.4">
      <c r="A198" t="s">
        <v>2750</v>
      </c>
      <c r="C198">
        <v>154</v>
      </c>
    </row>
    <row r="199" spans="1:3" x14ac:dyDescent="0.4">
      <c r="A199" t="s">
        <v>2753</v>
      </c>
      <c r="C199">
        <v>382</v>
      </c>
    </row>
    <row r="200" spans="1:3" x14ac:dyDescent="0.4">
      <c r="A200" t="s">
        <v>2755</v>
      </c>
      <c r="C200">
        <v>377</v>
      </c>
    </row>
    <row r="201" spans="1:3" x14ac:dyDescent="0.4">
      <c r="A201" t="s">
        <v>2762</v>
      </c>
      <c r="C201">
        <v>405</v>
      </c>
    </row>
    <row r="202" spans="1:3" x14ac:dyDescent="0.4">
      <c r="A202" t="s">
        <v>2765</v>
      </c>
      <c r="C202">
        <v>380</v>
      </c>
    </row>
    <row r="203" spans="1:3" x14ac:dyDescent="0.4">
      <c r="A203" t="s">
        <v>2771</v>
      </c>
      <c r="C203">
        <v>20</v>
      </c>
    </row>
    <row r="204" spans="1:3" x14ac:dyDescent="0.4">
      <c r="A204" t="s">
        <v>2774</v>
      </c>
      <c r="C204">
        <v>555</v>
      </c>
    </row>
    <row r="205" spans="1:3" x14ac:dyDescent="0.4">
      <c r="A205" t="s">
        <v>2780</v>
      </c>
      <c r="C205">
        <v>569</v>
      </c>
    </row>
    <row r="206" spans="1:3" x14ac:dyDescent="0.4">
      <c r="A206" t="s">
        <v>2782</v>
      </c>
      <c r="C206">
        <v>409</v>
      </c>
    </row>
    <row r="207" spans="1:3" x14ac:dyDescent="0.4">
      <c r="A207" t="s">
        <v>2784</v>
      </c>
      <c r="C207">
        <v>150</v>
      </c>
    </row>
    <row r="208" spans="1:3" x14ac:dyDescent="0.4">
      <c r="A208" t="s">
        <v>2786</v>
      </c>
      <c r="C208">
        <v>441</v>
      </c>
    </row>
    <row r="209" spans="1:3" x14ac:dyDescent="0.4">
      <c r="A209" t="s">
        <v>2807</v>
      </c>
      <c r="C209">
        <v>162</v>
      </c>
    </row>
    <row r="210" spans="1:3" x14ac:dyDescent="0.4">
      <c r="A210" t="s">
        <v>2809</v>
      </c>
      <c r="C210">
        <v>71</v>
      </c>
    </row>
    <row r="211" spans="1:3" x14ac:dyDescent="0.4">
      <c r="A211" t="s">
        <v>2813</v>
      </c>
      <c r="C211">
        <v>46</v>
      </c>
    </row>
    <row r="212" spans="1:3" x14ac:dyDescent="0.4">
      <c r="A212" t="s">
        <v>2842</v>
      </c>
      <c r="C212">
        <v>135</v>
      </c>
    </row>
    <row r="213" spans="1:3" x14ac:dyDescent="0.4">
      <c r="A213" t="s">
        <v>2848</v>
      </c>
      <c r="C213">
        <v>380</v>
      </c>
    </row>
    <row r="214" spans="1:3" x14ac:dyDescent="0.4">
      <c r="A214" t="s">
        <v>2857</v>
      </c>
      <c r="C214">
        <v>46</v>
      </c>
    </row>
    <row r="215" spans="1:3" x14ac:dyDescent="0.4">
      <c r="A215" t="s">
        <v>2879</v>
      </c>
      <c r="C215">
        <v>364</v>
      </c>
    </row>
    <row r="216" spans="1:3" x14ac:dyDescent="0.4">
      <c r="A216" t="s">
        <v>3207</v>
      </c>
      <c r="B216" t="s">
        <v>5005</v>
      </c>
      <c r="C216">
        <v>15</v>
      </c>
    </row>
    <row r="217" spans="1:3" x14ac:dyDescent="0.4">
      <c r="A217" t="s">
        <v>3278</v>
      </c>
      <c r="C217">
        <v>88</v>
      </c>
    </row>
    <row r="218" spans="1:3" x14ac:dyDescent="0.4">
      <c r="A218" t="s">
        <v>3303</v>
      </c>
      <c r="C218">
        <v>22</v>
      </c>
    </row>
    <row r="219" spans="1:3" x14ac:dyDescent="0.4">
      <c r="A219" t="s">
        <v>3337</v>
      </c>
      <c r="C219">
        <v>106</v>
      </c>
    </row>
    <row r="220" spans="1:3" x14ac:dyDescent="0.4">
      <c r="A220" t="s">
        <v>3340</v>
      </c>
      <c r="C220">
        <v>20</v>
      </c>
    </row>
    <row r="221" spans="1:3" x14ac:dyDescent="0.4">
      <c r="A221" t="s">
        <v>5000</v>
      </c>
      <c r="C221">
        <v>65</v>
      </c>
    </row>
    <row r="222" spans="1:3" x14ac:dyDescent="0.4">
      <c r="A222" t="s">
        <v>3369</v>
      </c>
      <c r="C222">
        <v>2</v>
      </c>
    </row>
    <row r="223" spans="1:3" x14ac:dyDescent="0.4">
      <c r="A223" t="s">
        <v>3414</v>
      </c>
      <c r="C223">
        <v>28</v>
      </c>
    </row>
    <row r="224" spans="1:3" x14ac:dyDescent="0.4">
      <c r="A224" t="s">
        <v>3417</v>
      </c>
      <c r="C224">
        <v>28</v>
      </c>
    </row>
    <row r="225" spans="1:3" x14ac:dyDescent="0.4">
      <c r="A225" t="s">
        <v>3430</v>
      </c>
      <c r="C225">
        <v>5</v>
      </c>
    </row>
    <row r="226" spans="1:3" x14ac:dyDescent="0.4">
      <c r="A226" t="s">
        <v>3432</v>
      </c>
      <c r="C226">
        <v>242</v>
      </c>
    </row>
    <row r="227" spans="1:3" x14ac:dyDescent="0.4">
      <c r="A227" t="s">
        <v>3434</v>
      </c>
      <c r="C227">
        <v>697</v>
      </c>
    </row>
    <row r="228" spans="1:3" x14ac:dyDescent="0.4">
      <c r="A228" t="s">
        <v>3436</v>
      </c>
      <c r="C228">
        <v>887</v>
      </c>
    </row>
    <row r="229" spans="1:3" x14ac:dyDescent="0.4">
      <c r="A229" t="s">
        <v>3444</v>
      </c>
      <c r="C229">
        <v>192</v>
      </c>
    </row>
    <row r="230" spans="1:3" x14ac:dyDescent="0.4">
      <c r="A230" t="s">
        <v>3446</v>
      </c>
      <c r="C230">
        <v>192</v>
      </c>
    </row>
    <row r="231" spans="1:3" x14ac:dyDescent="0.4">
      <c r="A231" t="s">
        <v>3457</v>
      </c>
      <c r="C231">
        <v>17</v>
      </c>
    </row>
    <row r="232" spans="1:3" x14ac:dyDescent="0.4">
      <c r="A232" t="s">
        <v>3459</v>
      </c>
      <c r="C232">
        <v>1</v>
      </c>
    </row>
    <row r="233" spans="1:3" x14ac:dyDescent="0.4">
      <c r="A233" t="s">
        <v>3530</v>
      </c>
      <c r="C233">
        <v>24</v>
      </c>
    </row>
    <row r="234" spans="1:3" x14ac:dyDescent="0.4">
      <c r="A234" t="s">
        <v>3538</v>
      </c>
      <c r="C234">
        <v>9</v>
      </c>
    </row>
    <row r="235" spans="1:3" x14ac:dyDescent="0.4">
      <c r="A235" t="s">
        <v>3551</v>
      </c>
      <c r="C235">
        <v>9</v>
      </c>
    </row>
    <row r="236" spans="1:3" x14ac:dyDescent="0.4">
      <c r="A236" t="s">
        <v>3598</v>
      </c>
      <c r="C236">
        <v>90</v>
      </c>
    </row>
    <row r="237" spans="1:3" x14ac:dyDescent="0.4">
      <c r="A237" t="s">
        <v>3606</v>
      </c>
      <c r="C237">
        <v>100</v>
      </c>
    </row>
    <row r="238" spans="1:3" x14ac:dyDescent="0.4">
      <c r="A238" t="s">
        <v>3752</v>
      </c>
      <c r="C238">
        <v>94</v>
      </c>
    </row>
    <row r="239" spans="1:3" x14ac:dyDescent="0.4">
      <c r="A239" t="s">
        <v>3758</v>
      </c>
      <c r="C239">
        <v>147</v>
      </c>
    </row>
    <row r="240" spans="1:3" x14ac:dyDescent="0.4">
      <c r="A240" t="s">
        <v>3760</v>
      </c>
      <c r="C240">
        <v>142</v>
      </c>
    </row>
    <row r="241" spans="1:3" x14ac:dyDescent="0.4">
      <c r="A241" t="s">
        <v>3764</v>
      </c>
      <c r="C241">
        <v>35</v>
      </c>
    </row>
    <row r="242" spans="1:3" x14ac:dyDescent="0.4">
      <c r="A242" t="s">
        <v>3766</v>
      </c>
      <c r="C242">
        <v>144</v>
      </c>
    </row>
    <row r="243" spans="1:3" x14ac:dyDescent="0.4">
      <c r="A243" t="s">
        <v>3768</v>
      </c>
      <c r="C243">
        <v>9</v>
      </c>
    </row>
    <row r="244" spans="1:3" x14ac:dyDescent="0.4">
      <c r="A244" t="s">
        <v>3770</v>
      </c>
      <c r="C244">
        <v>38</v>
      </c>
    </row>
    <row r="245" spans="1:3" x14ac:dyDescent="0.4">
      <c r="A245" t="s">
        <v>3772</v>
      </c>
      <c r="C245">
        <v>37</v>
      </c>
    </row>
    <row r="246" spans="1:3" x14ac:dyDescent="0.4">
      <c r="A246" t="s">
        <v>3873</v>
      </c>
      <c r="B246" t="s">
        <v>3867</v>
      </c>
      <c r="C246">
        <v>18</v>
      </c>
    </row>
    <row r="247" spans="1:3" x14ac:dyDescent="0.4">
      <c r="A247" t="s">
        <v>3908</v>
      </c>
      <c r="C247">
        <v>189</v>
      </c>
    </row>
    <row r="248" spans="1:3" x14ac:dyDescent="0.4">
      <c r="A248" t="s">
        <v>3925</v>
      </c>
      <c r="B248" t="s">
        <v>3836</v>
      </c>
      <c r="C248">
        <v>102</v>
      </c>
    </row>
    <row r="249" spans="1:3" x14ac:dyDescent="0.4">
      <c r="A249" t="s">
        <v>3927</v>
      </c>
      <c r="B249" t="s">
        <v>3864</v>
      </c>
      <c r="C249">
        <v>97</v>
      </c>
    </row>
    <row r="250" spans="1:3" x14ac:dyDescent="0.4">
      <c r="A250" t="s">
        <v>3929</v>
      </c>
      <c r="B250" t="s">
        <v>3930</v>
      </c>
      <c r="C250">
        <v>66</v>
      </c>
    </row>
    <row r="251" spans="1:3" x14ac:dyDescent="0.4">
      <c r="A251" t="s">
        <v>3932</v>
      </c>
      <c r="C251">
        <v>35</v>
      </c>
    </row>
    <row r="252" spans="1:3" x14ac:dyDescent="0.4">
      <c r="A252" t="s">
        <v>3934</v>
      </c>
      <c r="B252" t="s">
        <v>3935</v>
      </c>
      <c r="C252">
        <v>29</v>
      </c>
    </row>
    <row r="253" spans="1:3" x14ac:dyDescent="0.4">
      <c r="A253" t="s">
        <v>3939</v>
      </c>
      <c r="B253" t="s">
        <v>3585</v>
      </c>
      <c r="C253">
        <v>87</v>
      </c>
    </row>
    <row r="254" spans="1:3" x14ac:dyDescent="0.4">
      <c r="A254" t="s">
        <v>4014</v>
      </c>
      <c r="C254">
        <v>99</v>
      </c>
    </row>
    <row r="255" spans="1:3" x14ac:dyDescent="0.4">
      <c r="A255" t="s">
        <v>4019</v>
      </c>
      <c r="B255" t="s">
        <v>3875</v>
      </c>
      <c r="C255">
        <v>157</v>
      </c>
    </row>
    <row r="256" spans="1:3" x14ac:dyDescent="0.4">
      <c r="A256" t="s">
        <v>4604</v>
      </c>
      <c r="C256">
        <v>16</v>
      </c>
    </row>
    <row r="257" spans="1:3" x14ac:dyDescent="0.4">
      <c r="A257" t="s">
        <v>4621</v>
      </c>
      <c r="C257">
        <v>125</v>
      </c>
    </row>
    <row r="258" spans="1:3" x14ac:dyDescent="0.4">
      <c r="A258" t="s">
        <v>4622</v>
      </c>
      <c r="B258" t="s">
        <v>4728</v>
      </c>
      <c r="C258">
        <v>221</v>
      </c>
    </row>
    <row r="259" spans="1:3" x14ac:dyDescent="0.4">
      <c r="A259" t="s">
        <v>4541</v>
      </c>
      <c r="C259">
        <v>450</v>
      </c>
    </row>
    <row r="260" spans="1:3" x14ac:dyDescent="0.4">
      <c r="A260" t="s">
        <v>3885</v>
      </c>
      <c r="B260" t="s">
        <v>3883</v>
      </c>
      <c r="C260">
        <v>18</v>
      </c>
    </row>
    <row r="261" spans="1:3" x14ac:dyDescent="0.4">
      <c r="A261" t="s">
        <v>4030</v>
      </c>
      <c r="B261" t="s">
        <v>3875</v>
      </c>
      <c r="C261">
        <v>11</v>
      </c>
    </row>
    <row r="262" spans="1:3" x14ac:dyDescent="0.4">
      <c r="A262" t="s">
        <v>3982</v>
      </c>
      <c r="B262" t="s">
        <v>3983</v>
      </c>
      <c r="C262">
        <v>29</v>
      </c>
    </row>
    <row r="263" spans="1:3" x14ac:dyDescent="0.4">
      <c r="A263" t="s">
        <v>3999</v>
      </c>
      <c r="B263" t="s">
        <v>3782</v>
      </c>
      <c r="C263">
        <v>107</v>
      </c>
    </row>
    <row r="264" spans="1:3" x14ac:dyDescent="0.4">
      <c r="A264" t="s">
        <v>3991</v>
      </c>
      <c r="B264" t="s">
        <v>3782</v>
      </c>
      <c r="C264">
        <v>10</v>
      </c>
    </row>
    <row r="265" spans="1:3" x14ac:dyDescent="0.4">
      <c r="A265" t="s">
        <v>4017</v>
      </c>
      <c r="B265" t="s">
        <v>4739</v>
      </c>
      <c r="C265">
        <v>23</v>
      </c>
    </row>
    <row r="266" spans="1:3" x14ac:dyDescent="0.4">
      <c r="A266" t="s">
        <v>3793</v>
      </c>
      <c r="B266" t="s">
        <v>4740</v>
      </c>
      <c r="C266">
        <v>335</v>
      </c>
    </row>
    <row r="267" spans="1:3" x14ac:dyDescent="0.4">
      <c r="A267" t="s">
        <v>3813</v>
      </c>
      <c r="B267" t="s">
        <v>2924</v>
      </c>
      <c r="C267">
        <v>1743</v>
      </c>
    </row>
    <row r="268" spans="1:3" x14ac:dyDescent="0.4">
      <c r="A268" t="s">
        <v>4733</v>
      </c>
      <c r="B268" t="s">
        <v>3943</v>
      </c>
      <c r="C268">
        <v>185</v>
      </c>
    </row>
    <row r="269" spans="1:3" x14ac:dyDescent="0.4">
      <c r="A269" t="s">
        <v>3811</v>
      </c>
      <c r="B269" t="s">
        <v>2924</v>
      </c>
      <c r="C269">
        <v>453</v>
      </c>
    </row>
    <row r="270" spans="1:3" x14ac:dyDescent="0.4">
      <c r="A270" t="s">
        <v>3791</v>
      </c>
      <c r="B270" t="s">
        <v>4741</v>
      </c>
      <c r="C270">
        <v>209</v>
      </c>
    </row>
    <row r="271" spans="1:3" x14ac:dyDescent="0.4">
      <c r="A271" t="s">
        <v>3856</v>
      </c>
      <c r="B271" t="s">
        <v>3854</v>
      </c>
      <c r="C271">
        <v>30</v>
      </c>
    </row>
    <row r="272" spans="1:3" x14ac:dyDescent="0.4">
      <c r="A272" t="s">
        <v>3860</v>
      </c>
      <c r="B272" t="s">
        <v>3854</v>
      </c>
      <c r="C272">
        <v>37</v>
      </c>
    </row>
    <row r="273" spans="1:3" x14ac:dyDescent="0.4">
      <c r="A273" t="s">
        <v>3825</v>
      </c>
      <c r="B273" t="s">
        <v>3823</v>
      </c>
      <c r="C273">
        <v>37</v>
      </c>
    </row>
    <row r="274" spans="1:3" x14ac:dyDescent="0.4">
      <c r="A274" t="s">
        <v>3843</v>
      </c>
      <c r="B274" t="s">
        <v>3839</v>
      </c>
      <c r="C274">
        <v>82</v>
      </c>
    </row>
    <row r="275" spans="1:3" x14ac:dyDescent="0.4">
      <c r="A275" t="s">
        <v>3945</v>
      </c>
      <c r="B275" t="s">
        <v>3946</v>
      </c>
      <c r="C275">
        <v>171</v>
      </c>
    </row>
    <row r="276" spans="1:3" x14ac:dyDescent="0.4">
      <c r="A276" t="s">
        <v>3953</v>
      </c>
      <c r="B276" t="s">
        <v>4920</v>
      </c>
      <c r="C276">
        <v>218</v>
      </c>
    </row>
    <row r="277" spans="1:3" x14ac:dyDescent="0.4">
      <c r="A277" t="s">
        <v>3788</v>
      </c>
      <c r="B277" t="s">
        <v>4742</v>
      </c>
      <c r="C277">
        <v>386</v>
      </c>
    </row>
    <row r="278" spans="1:3" x14ac:dyDescent="0.4">
      <c r="A278" t="s">
        <v>3921</v>
      </c>
      <c r="B278" t="s">
        <v>2992</v>
      </c>
      <c r="C278">
        <v>89</v>
      </c>
    </row>
    <row r="279" spans="1:3" x14ac:dyDescent="0.4">
      <c r="A279" t="s">
        <v>4063</v>
      </c>
      <c r="B279" t="s">
        <v>4922</v>
      </c>
      <c r="C279">
        <v>85</v>
      </c>
    </row>
    <row r="280" spans="1:3" x14ac:dyDescent="0.4">
      <c r="A280" t="s">
        <v>4060</v>
      </c>
      <c r="B280" t="s">
        <v>4061</v>
      </c>
      <c r="C280">
        <v>130</v>
      </c>
    </row>
    <row r="281" spans="1:3" x14ac:dyDescent="0.4">
      <c r="A281" t="s">
        <v>4734</v>
      </c>
      <c r="B281" t="s">
        <v>3986</v>
      </c>
      <c r="C281">
        <v>72</v>
      </c>
    </row>
    <row r="282" spans="1:3" x14ac:dyDescent="0.4">
      <c r="A282" t="s">
        <v>4056</v>
      </c>
      <c r="B282" t="s">
        <v>4015</v>
      </c>
      <c r="C282">
        <v>74</v>
      </c>
    </row>
    <row r="283" spans="1:3" x14ac:dyDescent="0.4">
      <c r="A283" t="s">
        <v>3915</v>
      </c>
      <c r="B283" t="s">
        <v>3871</v>
      </c>
      <c r="C283">
        <v>11</v>
      </c>
    </row>
    <row r="284" spans="1:3" x14ac:dyDescent="0.4">
      <c r="A284" t="s">
        <v>3889</v>
      </c>
      <c r="B284" t="s">
        <v>3883</v>
      </c>
      <c r="C284">
        <v>180</v>
      </c>
    </row>
    <row r="285" spans="1:3" x14ac:dyDescent="0.4">
      <c r="A285" t="s">
        <v>3912</v>
      </c>
      <c r="B285" t="s">
        <v>3913</v>
      </c>
      <c r="C285">
        <v>40</v>
      </c>
    </row>
    <row r="286" spans="1:3" x14ac:dyDescent="0.4">
      <c r="A286" t="s">
        <v>3804</v>
      </c>
      <c r="B286" t="s">
        <v>4743</v>
      </c>
      <c r="C286">
        <v>24</v>
      </c>
    </row>
    <row r="287" spans="1:3" x14ac:dyDescent="0.4">
      <c r="A287" t="s">
        <v>3806</v>
      </c>
      <c r="B287" t="s">
        <v>4832</v>
      </c>
      <c r="C287">
        <v>8</v>
      </c>
    </row>
    <row r="288" spans="1:3" x14ac:dyDescent="0.4">
      <c r="A288" t="s">
        <v>3827</v>
      </c>
      <c r="B288" t="s">
        <v>3823</v>
      </c>
      <c r="C288">
        <v>8</v>
      </c>
    </row>
    <row r="289" spans="1:3" x14ac:dyDescent="0.4">
      <c r="A289" t="s">
        <v>3831</v>
      </c>
      <c r="B289" t="s">
        <v>3823</v>
      </c>
      <c r="C289">
        <v>133</v>
      </c>
    </row>
    <row r="290" spans="1:3" x14ac:dyDescent="0.4">
      <c r="A290" t="s">
        <v>2923</v>
      </c>
      <c r="B290" t="s">
        <v>2924</v>
      </c>
      <c r="C290">
        <v>160</v>
      </c>
    </row>
    <row r="291" spans="1:3" x14ac:dyDescent="0.4">
      <c r="A291" t="s">
        <v>4034</v>
      </c>
      <c r="B291" t="s">
        <v>4723</v>
      </c>
      <c r="C291">
        <v>37</v>
      </c>
    </row>
    <row r="292" spans="1:3" x14ac:dyDescent="0.4">
      <c r="A292" t="s">
        <v>4028</v>
      </c>
      <c r="B292" t="s">
        <v>3875</v>
      </c>
      <c r="C292">
        <v>121</v>
      </c>
    </row>
    <row r="293" spans="1:3" x14ac:dyDescent="0.4">
      <c r="A293" t="s">
        <v>3822</v>
      </c>
      <c r="B293" t="s">
        <v>3823</v>
      </c>
      <c r="C293">
        <v>30</v>
      </c>
    </row>
    <row r="294" spans="1:3" x14ac:dyDescent="0.4">
      <c r="A294" t="s">
        <v>3829</v>
      </c>
      <c r="B294" t="s">
        <v>3823</v>
      </c>
      <c r="C294">
        <v>21</v>
      </c>
    </row>
    <row r="295" spans="1:3" x14ac:dyDescent="0.4">
      <c r="A295" t="s">
        <v>3898</v>
      </c>
      <c r="B295" t="s">
        <v>3896</v>
      </c>
      <c r="C295">
        <v>66</v>
      </c>
    </row>
    <row r="296" spans="1:3" x14ac:dyDescent="0.4">
      <c r="A296" t="s">
        <v>3900</v>
      </c>
      <c r="B296" t="s">
        <v>4739</v>
      </c>
      <c r="C296">
        <v>18</v>
      </c>
    </row>
    <row r="297" spans="1:3" x14ac:dyDescent="0.4">
      <c r="A297" t="s">
        <v>3902</v>
      </c>
      <c r="B297" t="s">
        <v>3896</v>
      </c>
      <c r="C297">
        <v>473</v>
      </c>
    </row>
    <row r="298" spans="1:3" x14ac:dyDescent="0.4">
      <c r="A298" t="s">
        <v>3904</v>
      </c>
      <c r="B298" t="s">
        <v>3896</v>
      </c>
      <c r="C298">
        <v>19</v>
      </c>
    </row>
    <row r="299" spans="1:3" x14ac:dyDescent="0.4">
      <c r="A299" t="s">
        <v>3849</v>
      </c>
      <c r="B299" t="s">
        <v>3839</v>
      </c>
      <c r="C299">
        <v>13</v>
      </c>
    </row>
    <row r="300" spans="1:3" x14ac:dyDescent="0.4">
      <c r="A300" t="s">
        <v>4045</v>
      </c>
      <c r="B300" t="s">
        <v>4046</v>
      </c>
      <c r="C300">
        <v>111</v>
      </c>
    </row>
    <row r="301" spans="1:3" x14ac:dyDescent="0.4">
      <c r="A301" t="s">
        <v>4048</v>
      </c>
      <c r="B301" t="s">
        <v>4046</v>
      </c>
      <c r="C301">
        <v>109</v>
      </c>
    </row>
    <row r="302" spans="1:3" x14ac:dyDescent="0.4">
      <c r="A302" t="s">
        <v>4735</v>
      </c>
      <c r="B302" t="s">
        <v>3585</v>
      </c>
      <c r="C302">
        <v>18</v>
      </c>
    </row>
    <row r="303" spans="1:3" x14ac:dyDescent="0.4">
      <c r="A303" t="s">
        <v>4736</v>
      </c>
      <c r="B303" t="s">
        <v>4046</v>
      </c>
      <c r="C303">
        <v>8</v>
      </c>
    </row>
    <row r="304" spans="1:3" x14ac:dyDescent="0.4">
      <c r="A304" t="s">
        <v>4737</v>
      </c>
      <c r="B304" t="s">
        <v>3935</v>
      </c>
      <c r="C304">
        <v>31</v>
      </c>
    </row>
    <row r="305" spans="1:3" x14ac:dyDescent="0.4">
      <c r="A305" t="s">
        <v>3917</v>
      </c>
      <c r="B305" t="s">
        <v>3871</v>
      </c>
      <c r="C305">
        <v>97</v>
      </c>
    </row>
    <row r="306" spans="1:3" x14ac:dyDescent="0.4">
      <c r="A306" t="s">
        <v>3887</v>
      </c>
      <c r="B306" t="s">
        <v>2541</v>
      </c>
      <c r="C306">
        <v>61</v>
      </c>
    </row>
    <row r="307" spans="1:3" x14ac:dyDescent="0.4">
      <c r="A307" t="s">
        <v>4006</v>
      </c>
      <c r="B307" t="s">
        <v>4002</v>
      </c>
      <c r="C307">
        <v>312</v>
      </c>
    </row>
    <row r="308" spans="1:3" x14ac:dyDescent="0.4">
      <c r="A308" t="s">
        <v>4010</v>
      </c>
      <c r="B308" t="s">
        <v>4002</v>
      </c>
      <c r="C308">
        <v>130</v>
      </c>
    </row>
    <row r="309" spans="1:3" x14ac:dyDescent="0.4">
      <c r="A309" t="s">
        <v>3795</v>
      </c>
      <c r="B309" t="s">
        <v>4743</v>
      </c>
      <c r="C309">
        <v>142</v>
      </c>
    </row>
    <row r="310" spans="1:3" x14ac:dyDescent="0.4">
      <c r="A310" t="s">
        <v>3960</v>
      </c>
      <c r="B310" t="s">
        <v>3961</v>
      </c>
      <c r="C310">
        <v>182</v>
      </c>
    </row>
    <row r="311" spans="1:3" x14ac:dyDescent="0.4">
      <c r="A311" t="s">
        <v>3966</v>
      </c>
      <c r="B311" t="s">
        <v>3967</v>
      </c>
      <c r="C311">
        <v>663</v>
      </c>
    </row>
    <row r="312" spans="1:3" x14ac:dyDescent="0.4">
      <c r="A312" t="s">
        <v>4012</v>
      </c>
      <c r="B312" t="s">
        <v>3871</v>
      </c>
      <c r="C312">
        <v>155</v>
      </c>
    </row>
    <row r="313" spans="1:3" x14ac:dyDescent="0.4">
      <c r="A313" t="s">
        <v>3997</v>
      </c>
      <c r="B313" t="s">
        <v>3896</v>
      </c>
      <c r="C313">
        <v>118</v>
      </c>
    </row>
    <row r="314" spans="1:3" x14ac:dyDescent="0.4">
      <c r="A314" t="s">
        <v>3853</v>
      </c>
      <c r="B314" t="s">
        <v>3854</v>
      </c>
      <c r="C314">
        <v>59</v>
      </c>
    </row>
    <row r="315" spans="1:3" x14ac:dyDescent="0.4">
      <c r="A315" t="s">
        <v>4001</v>
      </c>
      <c r="B315" t="s">
        <v>4002</v>
      </c>
      <c r="C315">
        <v>163</v>
      </c>
    </row>
    <row r="316" spans="1:3" x14ac:dyDescent="0.4">
      <c r="A316" t="s">
        <v>3798</v>
      </c>
      <c r="B316" t="s">
        <v>4724</v>
      </c>
      <c r="C316">
        <v>273</v>
      </c>
    </row>
    <row r="317" spans="1:3" x14ac:dyDescent="0.4">
      <c r="A317" t="s">
        <v>4004</v>
      </c>
      <c r="B317" t="s">
        <v>4002</v>
      </c>
      <c r="C317">
        <v>181</v>
      </c>
    </row>
    <row r="318" spans="1:3" x14ac:dyDescent="0.4">
      <c r="A318" t="s">
        <v>3851</v>
      </c>
      <c r="B318" t="s">
        <v>3839</v>
      </c>
      <c r="C318">
        <v>35</v>
      </c>
    </row>
    <row r="319" spans="1:3" x14ac:dyDescent="0.4">
      <c r="A319" t="s">
        <v>3801</v>
      </c>
      <c r="B319" t="s">
        <v>4744</v>
      </c>
      <c r="C319">
        <v>121</v>
      </c>
    </row>
    <row r="320" spans="1:3" x14ac:dyDescent="0.4">
      <c r="A320" t="s">
        <v>4008</v>
      </c>
      <c r="B320" t="s">
        <v>4002</v>
      </c>
      <c r="C320">
        <v>122</v>
      </c>
    </row>
    <row r="321" spans="1:3" x14ac:dyDescent="0.4">
      <c r="A321" t="s">
        <v>3847</v>
      </c>
      <c r="B321" t="s">
        <v>3839</v>
      </c>
      <c r="C321">
        <v>42</v>
      </c>
    </row>
    <row r="322" spans="1:3" x14ac:dyDescent="0.4">
      <c r="A322" t="s">
        <v>3963</v>
      </c>
      <c r="B322" t="s">
        <v>3964</v>
      </c>
      <c r="C322">
        <v>206</v>
      </c>
    </row>
    <row r="323" spans="1:3" x14ac:dyDescent="0.4">
      <c r="A323" t="s">
        <v>3985</v>
      </c>
      <c r="B323" t="s">
        <v>3986</v>
      </c>
      <c r="C323">
        <v>418</v>
      </c>
    </row>
    <row r="324" spans="1:3" x14ac:dyDescent="0.4">
      <c r="A324" t="s">
        <v>4032</v>
      </c>
      <c r="B324" t="s">
        <v>2924</v>
      </c>
      <c r="C324">
        <v>1496</v>
      </c>
    </row>
    <row r="325" spans="1:3" x14ac:dyDescent="0.4">
      <c r="A325" t="s">
        <v>4282</v>
      </c>
      <c r="B325" t="s">
        <v>2992</v>
      </c>
      <c r="C325">
        <v>66</v>
      </c>
    </row>
    <row r="326" spans="1:3" x14ac:dyDescent="0.4">
      <c r="A326" t="s">
        <v>4738</v>
      </c>
      <c r="B326" t="s">
        <v>3910</v>
      </c>
      <c r="C326">
        <v>77</v>
      </c>
    </row>
    <row r="327" spans="1:3" x14ac:dyDescent="0.4">
      <c r="A327" t="s">
        <v>2907</v>
      </c>
      <c r="B327" t="s">
        <v>2992</v>
      </c>
      <c r="C327">
        <v>119</v>
      </c>
    </row>
    <row r="328" spans="1:3" x14ac:dyDescent="0.4">
      <c r="A328" t="s">
        <v>4826</v>
      </c>
      <c r="B328" t="s">
        <v>3585</v>
      </c>
      <c r="C328">
        <v>19</v>
      </c>
    </row>
    <row r="329" spans="1:3" x14ac:dyDescent="0.4">
      <c r="A329" t="s">
        <v>2178</v>
      </c>
      <c r="B329" t="s">
        <v>4848</v>
      </c>
      <c r="C329">
        <v>2</v>
      </c>
    </row>
    <row r="330" spans="1:3" x14ac:dyDescent="0.4">
      <c r="A330" t="s">
        <v>2195</v>
      </c>
      <c r="B330" t="s">
        <v>4849</v>
      </c>
      <c r="C330">
        <v>0</v>
      </c>
    </row>
    <row r="331" spans="1:3" x14ac:dyDescent="0.4">
      <c r="A331" t="s">
        <v>2197</v>
      </c>
      <c r="B331" t="s">
        <v>4850</v>
      </c>
      <c r="C331">
        <v>4</v>
      </c>
    </row>
    <row r="332" spans="1:3" x14ac:dyDescent="0.4">
      <c r="A332" t="s">
        <v>2199</v>
      </c>
      <c r="B332" t="s">
        <v>4850</v>
      </c>
      <c r="C332">
        <v>4</v>
      </c>
    </row>
    <row r="333" spans="1:3" x14ac:dyDescent="0.4">
      <c r="A333" t="s">
        <v>2203</v>
      </c>
      <c r="B333" t="s">
        <v>4850</v>
      </c>
      <c r="C333">
        <v>4</v>
      </c>
    </row>
    <row r="334" spans="1:3" x14ac:dyDescent="0.4">
      <c r="A334" t="s">
        <v>2193</v>
      </c>
      <c r="B334" t="s">
        <v>4849</v>
      </c>
      <c r="C334">
        <v>0</v>
      </c>
    </row>
    <row r="335" spans="1:3" x14ac:dyDescent="0.4">
      <c r="A335" t="s">
        <v>4646</v>
      </c>
      <c r="B335" t="s">
        <v>4851</v>
      </c>
      <c r="C335">
        <v>1</v>
      </c>
    </row>
    <row r="336" spans="1:3" x14ac:dyDescent="0.4">
      <c r="A336" t="s">
        <v>2132</v>
      </c>
      <c r="B336" t="s">
        <v>4852</v>
      </c>
      <c r="C336">
        <v>100</v>
      </c>
    </row>
    <row r="337" spans="1:3" x14ac:dyDescent="0.4">
      <c r="A337" t="s">
        <v>2084</v>
      </c>
      <c r="B337" t="s">
        <v>4853</v>
      </c>
      <c r="C337">
        <v>3</v>
      </c>
    </row>
    <row r="338" spans="1:3" x14ac:dyDescent="0.4">
      <c r="A338" t="s">
        <v>2201</v>
      </c>
      <c r="B338" t="s">
        <v>4850</v>
      </c>
      <c r="C338">
        <v>6</v>
      </c>
    </row>
    <row r="339" spans="1:3" x14ac:dyDescent="0.4">
      <c r="A339" t="s">
        <v>2205</v>
      </c>
      <c r="B339" t="s">
        <v>4850</v>
      </c>
      <c r="C339">
        <v>6</v>
      </c>
    </row>
    <row r="340" spans="1:3" x14ac:dyDescent="0.4">
      <c r="A340" t="s">
        <v>2395</v>
      </c>
      <c r="B340" t="s">
        <v>4854</v>
      </c>
      <c r="C340">
        <v>7</v>
      </c>
    </row>
    <row r="341" spans="1:3" x14ac:dyDescent="0.4">
      <c r="A341" t="s">
        <v>2190</v>
      </c>
      <c r="B341" t="s">
        <v>4855</v>
      </c>
      <c r="C341">
        <v>7</v>
      </c>
    </row>
    <row r="342" spans="1:3" x14ac:dyDescent="0.4">
      <c r="A342" t="s">
        <v>4844</v>
      </c>
      <c r="C342">
        <v>8</v>
      </c>
    </row>
    <row r="343" spans="1:3" x14ac:dyDescent="0.4">
      <c r="A343" t="s">
        <v>2089</v>
      </c>
      <c r="B343" t="s">
        <v>4853</v>
      </c>
      <c r="C343">
        <v>8</v>
      </c>
    </row>
    <row r="344" spans="1:3" x14ac:dyDescent="0.4">
      <c r="A344" t="s">
        <v>40</v>
      </c>
      <c r="B344" t="s">
        <v>36</v>
      </c>
      <c r="C344">
        <v>10</v>
      </c>
    </row>
    <row r="345" spans="1:3" x14ac:dyDescent="0.4">
      <c r="A345" t="s">
        <v>2387</v>
      </c>
      <c r="B345" t="s">
        <v>4854</v>
      </c>
      <c r="C345">
        <v>13</v>
      </c>
    </row>
    <row r="346" spans="1:3" x14ac:dyDescent="0.4">
      <c r="A346" t="s">
        <v>2377</v>
      </c>
      <c r="B346" t="s">
        <v>4856</v>
      </c>
      <c r="C346">
        <v>15</v>
      </c>
    </row>
    <row r="347" spans="1:3" x14ac:dyDescent="0.4">
      <c r="A347" t="s">
        <v>2397</v>
      </c>
      <c r="B347" t="s">
        <v>4854</v>
      </c>
      <c r="C347">
        <v>15</v>
      </c>
    </row>
    <row r="348" spans="1:3" x14ac:dyDescent="0.4">
      <c r="A348" t="s">
        <v>2381</v>
      </c>
      <c r="B348" t="s">
        <v>4856</v>
      </c>
      <c r="C348">
        <v>16</v>
      </c>
    </row>
    <row r="349" spans="1:3" x14ac:dyDescent="0.4">
      <c r="A349" t="s">
        <v>2389</v>
      </c>
      <c r="B349" t="s">
        <v>4854</v>
      </c>
      <c r="C349">
        <v>16</v>
      </c>
    </row>
    <row r="350" spans="1:3" x14ac:dyDescent="0.4">
      <c r="A350" t="s">
        <v>2393</v>
      </c>
      <c r="B350" t="s">
        <v>4854</v>
      </c>
      <c r="C350">
        <v>16</v>
      </c>
    </row>
    <row r="351" spans="1:3" x14ac:dyDescent="0.4">
      <c r="A351" t="s">
        <v>2404</v>
      </c>
      <c r="B351" t="s">
        <v>4857</v>
      </c>
      <c r="C351">
        <v>16</v>
      </c>
    </row>
    <row r="352" spans="1:3" x14ac:dyDescent="0.4">
      <c r="A352" t="s">
        <v>2369</v>
      </c>
      <c r="B352" t="s">
        <v>4856</v>
      </c>
      <c r="C352">
        <v>17</v>
      </c>
    </row>
    <row r="353" spans="1:3" x14ac:dyDescent="0.4">
      <c r="A353" t="s">
        <v>2402</v>
      </c>
      <c r="B353" t="s">
        <v>4857</v>
      </c>
      <c r="C353">
        <v>18</v>
      </c>
    </row>
    <row r="354" spans="1:3" x14ac:dyDescent="0.4">
      <c r="A354" t="s">
        <v>2318</v>
      </c>
      <c r="B354" t="s">
        <v>4858</v>
      </c>
      <c r="C354">
        <v>19</v>
      </c>
    </row>
    <row r="355" spans="1:3" x14ac:dyDescent="0.4">
      <c r="A355" t="s">
        <v>2375</v>
      </c>
      <c r="B355" t="s">
        <v>4856</v>
      </c>
      <c r="C355">
        <v>19</v>
      </c>
    </row>
    <row r="356" spans="1:3" x14ac:dyDescent="0.4">
      <c r="A356" t="s">
        <v>2385</v>
      </c>
      <c r="B356" t="s">
        <v>4854</v>
      </c>
      <c r="C356">
        <v>19</v>
      </c>
    </row>
    <row r="357" spans="1:3" x14ac:dyDescent="0.4">
      <c r="A357" t="s">
        <v>2399</v>
      </c>
      <c r="B357" t="s">
        <v>4857</v>
      </c>
      <c r="C357">
        <v>19</v>
      </c>
    </row>
    <row r="358" spans="1:3" x14ac:dyDescent="0.4">
      <c r="A358" t="s">
        <v>2322</v>
      </c>
      <c r="B358" t="s">
        <v>4859</v>
      </c>
      <c r="C358">
        <v>20</v>
      </c>
    </row>
    <row r="359" spans="1:3" x14ac:dyDescent="0.4">
      <c r="A359" t="s">
        <v>2391</v>
      </c>
      <c r="B359" t="s">
        <v>4854</v>
      </c>
      <c r="C359">
        <v>21</v>
      </c>
    </row>
    <row r="360" spans="1:3" x14ac:dyDescent="0.4">
      <c r="A360" t="s">
        <v>4648</v>
      </c>
      <c r="B360" t="s">
        <v>4860</v>
      </c>
      <c r="C360">
        <v>22</v>
      </c>
    </row>
    <row r="361" spans="1:3" x14ac:dyDescent="0.4">
      <c r="A361" t="s">
        <v>2379</v>
      </c>
      <c r="B361" t="s">
        <v>4856</v>
      </c>
      <c r="C361">
        <v>22</v>
      </c>
    </row>
    <row r="362" spans="1:3" x14ac:dyDescent="0.4">
      <c r="A362" t="s">
        <v>2383</v>
      </c>
      <c r="B362" t="s">
        <v>4856</v>
      </c>
      <c r="C362">
        <v>23</v>
      </c>
    </row>
    <row r="363" spans="1:3" x14ac:dyDescent="0.4">
      <c r="A363" t="s">
        <v>2305</v>
      </c>
      <c r="B363" t="s">
        <v>4859</v>
      </c>
      <c r="C363">
        <v>26</v>
      </c>
    </row>
    <row r="364" spans="1:3" x14ac:dyDescent="0.4">
      <c r="A364" t="s">
        <v>2307</v>
      </c>
      <c r="B364" t="s">
        <v>4859</v>
      </c>
      <c r="C364">
        <v>21</v>
      </c>
    </row>
    <row r="365" spans="1:3" x14ac:dyDescent="0.4">
      <c r="A365" t="s">
        <v>51</v>
      </c>
      <c r="B365" t="s">
        <v>4861</v>
      </c>
      <c r="C365">
        <v>45</v>
      </c>
    </row>
    <row r="366" spans="1:3" x14ac:dyDescent="0.4">
      <c r="A366" t="s">
        <v>4644</v>
      </c>
      <c r="B366" t="s">
        <v>4860</v>
      </c>
      <c r="C366">
        <v>47</v>
      </c>
    </row>
    <row r="367" spans="1:3" x14ac:dyDescent="0.4">
      <c r="A367" t="s">
        <v>2831</v>
      </c>
      <c r="B367" t="s">
        <v>4862</v>
      </c>
      <c r="C367">
        <v>45</v>
      </c>
    </row>
    <row r="368" spans="1:3" x14ac:dyDescent="0.4">
      <c r="A368" t="s">
        <v>2159</v>
      </c>
      <c r="B368" t="s">
        <v>4863</v>
      </c>
      <c r="C368">
        <v>66</v>
      </c>
    </row>
    <row r="369" spans="1:3" x14ac:dyDescent="0.4">
      <c r="A369" t="s">
        <v>4845</v>
      </c>
      <c r="B369" t="s">
        <v>4864</v>
      </c>
      <c r="C369">
        <v>87</v>
      </c>
    </row>
    <row r="370" spans="1:3" x14ac:dyDescent="0.4">
      <c r="A370" t="s">
        <v>2286</v>
      </c>
      <c r="B370" t="s">
        <v>4865</v>
      </c>
      <c r="C370">
        <v>90</v>
      </c>
    </row>
    <row r="371" spans="1:3" x14ac:dyDescent="0.4">
      <c r="A371" t="s">
        <v>2290</v>
      </c>
      <c r="B371" t="s">
        <v>4866</v>
      </c>
      <c r="C371">
        <v>95</v>
      </c>
    </row>
    <row r="372" spans="1:3" x14ac:dyDescent="0.4">
      <c r="A372" t="s">
        <v>2282</v>
      </c>
      <c r="B372" t="s">
        <v>4865</v>
      </c>
      <c r="C372">
        <v>97</v>
      </c>
    </row>
    <row r="373" spans="1:3" x14ac:dyDescent="0.4">
      <c r="A373" t="s">
        <v>1624</v>
      </c>
      <c r="B373" t="s">
        <v>4867</v>
      </c>
      <c r="C373">
        <v>97</v>
      </c>
    </row>
    <row r="374" spans="1:3" x14ac:dyDescent="0.4">
      <c r="A374" t="s">
        <v>2128</v>
      </c>
      <c r="B374" t="s">
        <v>4852</v>
      </c>
      <c r="C374">
        <v>93</v>
      </c>
    </row>
    <row r="375" spans="1:3" x14ac:dyDescent="0.4">
      <c r="A375" t="s">
        <v>2350</v>
      </c>
      <c r="B375" t="s">
        <v>4868</v>
      </c>
      <c r="C375">
        <v>99</v>
      </c>
    </row>
    <row r="376" spans="1:3" x14ac:dyDescent="0.4">
      <c r="A376" t="s">
        <v>2288</v>
      </c>
      <c r="B376" t="s">
        <v>4865</v>
      </c>
      <c r="C376">
        <v>101</v>
      </c>
    </row>
    <row r="377" spans="1:3" x14ac:dyDescent="0.4">
      <c r="A377" t="s">
        <v>2152</v>
      </c>
      <c r="B377" t="s">
        <v>4850</v>
      </c>
      <c r="C377">
        <v>117</v>
      </c>
    </row>
    <row r="378" spans="1:3" x14ac:dyDescent="0.4">
      <c r="A378" t="s">
        <v>4843</v>
      </c>
      <c r="B378" t="s">
        <v>4869</v>
      </c>
      <c r="C378">
        <v>291</v>
      </c>
    </row>
    <row r="379" spans="1:3" x14ac:dyDescent="0.4">
      <c r="A379" t="s">
        <v>2826</v>
      </c>
      <c r="B379" t="s">
        <v>4870</v>
      </c>
      <c r="C379">
        <v>131</v>
      </c>
    </row>
    <row r="380" spans="1:3" x14ac:dyDescent="0.4">
      <c r="A380" t="s">
        <v>2150</v>
      </c>
      <c r="B380" t="s">
        <v>4850</v>
      </c>
      <c r="C380">
        <v>171</v>
      </c>
    </row>
    <row r="381" spans="1:3" x14ac:dyDescent="0.4">
      <c r="A381" t="s">
        <v>2256</v>
      </c>
      <c r="B381" t="s">
        <v>4871</v>
      </c>
      <c r="C381">
        <v>177</v>
      </c>
    </row>
    <row r="382" spans="1:3" x14ac:dyDescent="0.4">
      <c r="A382" t="s">
        <v>2130</v>
      </c>
      <c r="B382" t="s">
        <v>4852</v>
      </c>
      <c r="C382">
        <v>220</v>
      </c>
    </row>
    <row r="383" spans="1:3" x14ac:dyDescent="0.4">
      <c r="A383" t="s">
        <v>2828</v>
      </c>
      <c r="B383" t="s">
        <v>4862</v>
      </c>
      <c r="C383">
        <v>232</v>
      </c>
    </row>
    <row r="384" spans="1:3" x14ac:dyDescent="0.4">
      <c r="A384" t="s">
        <v>2134</v>
      </c>
      <c r="B384" t="s">
        <v>4852</v>
      </c>
      <c r="C384">
        <v>294</v>
      </c>
    </row>
    <row r="385" spans="1:3" x14ac:dyDescent="0.4">
      <c r="A385" t="s">
        <v>2236</v>
      </c>
      <c r="B385" t="s">
        <v>4851</v>
      </c>
      <c r="C385">
        <v>302</v>
      </c>
    </row>
    <row r="386" spans="1:3" x14ac:dyDescent="0.4">
      <c r="A386" t="s">
        <v>2757</v>
      </c>
      <c r="B386" t="s">
        <v>4872</v>
      </c>
      <c r="C386">
        <v>682</v>
      </c>
    </row>
    <row r="387" spans="1:3" x14ac:dyDescent="0.4">
      <c r="A387" t="s">
        <v>29</v>
      </c>
      <c r="B387" t="s">
        <v>4861</v>
      </c>
      <c r="C387">
        <v>981</v>
      </c>
    </row>
    <row r="388" spans="1:3" x14ac:dyDescent="0.4">
      <c r="A388" t="s">
        <v>2136</v>
      </c>
      <c r="B388" t="s">
        <v>4852</v>
      </c>
      <c r="C388">
        <v>1012</v>
      </c>
    </row>
    <row r="389" spans="1:3" x14ac:dyDescent="0.4">
      <c r="A389" t="s">
        <v>1349</v>
      </c>
      <c r="B389" t="s">
        <v>5039</v>
      </c>
      <c r="C389">
        <v>229</v>
      </c>
    </row>
    <row r="390" spans="1:3" x14ac:dyDescent="0.4">
      <c r="A390" t="s">
        <v>1582</v>
      </c>
      <c r="B390" t="s">
        <v>5129</v>
      </c>
      <c r="C390">
        <v>471</v>
      </c>
    </row>
    <row r="391" spans="1:3" x14ac:dyDescent="0.4">
      <c r="A391" t="s">
        <v>1584</v>
      </c>
      <c r="B391" t="s">
        <v>5037</v>
      </c>
      <c r="C391">
        <v>287</v>
      </c>
    </row>
    <row r="392" spans="1:3" x14ac:dyDescent="0.4">
      <c r="A392" t="s">
        <v>1600</v>
      </c>
      <c r="B392" t="s">
        <v>5037</v>
      </c>
      <c r="C392">
        <v>581</v>
      </c>
    </row>
    <row r="393" spans="1:3" x14ac:dyDescent="0.4">
      <c r="A393" t="s">
        <v>1710</v>
      </c>
      <c r="B393" t="s">
        <v>5123</v>
      </c>
      <c r="C393">
        <v>339</v>
      </c>
    </row>
    <row r="394" spans="1:3" x14ac:dyDescent="0.4">
      <c r="A394" t="s">
        <v>1331</v>
      </c>
      <c r="B394" t="s">
        <v>5134</v>
      </c>
      <c r="C394">
        <v>634</v>
      </c>
    </row>
    <row r="395" spans="1:3" x14ac:dyDescent="0.4">
      <c r="A395" t="s">
        <v>1344</v>
      </c>
      <c r="B395" t="s">
        <v>5041</v>
      </c>
      <c r="C395">
        <v>352</v>
      </c>
    </row>
    <row r="396" spans="1:3" x14ac:dyDescent="0.4">
      <c r="A396" t="s">
        <v>1347</v>
      </c>
      <c r="B396" t="s">
        <v>5041</v>
      </c>
      <c r="C396">
        <v>574</v>
      </c>
    </row>
    <row r="397" spans="1:3" x14ac:dyDescent="0.4">
      <c r="A397" t="s">
        <v>3452</v>
      </c>
      <c r="B397" t="s">
        <v>3239</v>
      </c>
      <c r="C397">
        <v>70</v>
      </c>
    </row>
    <row r="398" spans="1:3" x14ac:dyDescent="0.4">
      <c r="A398" t="s">
        <v>3202</v>
      </c>
      <c r="B398" t="s">
        <v>4970</v>
      </c>
      <c r="C398">
        <v>2720</v>
      </c>
    </row>
    <row r="399" spans="1:3" x14ac:dyDescent="0.4">
      <c r="A399" t="s">
        <v>1138</v>
      </c>
      <c r="B399" t="s">
        <v>5023</v>
      </c>
      <c r="C399">
        <v>95</v>
      </c>
    </row>
    <row r="400" spans="1:3" x14ac:dyDescent="0.4">
      <c r="A400" t="s">
        <v>1340</v>
      </c>
      <c r="B400" t="s">
        <v>5055</v>
      </c>
      <c r="C400">
        <v>0</v>
      </c>
    </row>
    <row r="401" spans="1:3" x14ac:dyDescent="0.4">
      <c r="A401" t="s">
        <v>2778</v>
      </c>
      <c r="B401" t="s">
        <v>4949</v>
      </c>
      <c r="C401">
        <v>301</v>
      </c>
    </row>
    <row r="402" spans="1:3" x14ac:dyDescent="0.4">
      <c r="A402" t="s">
        <v>5056</v>
      </c>
      <c r="B402" t="s">
        <v>4958</v>
      </c>
      <c r="C402">
        <v>2</v>
      </c>
    </row>
    <row r="403" spans="1:3" x14ac:dyDescent="0.4">
      <c r="A403" t="s">
        <v>1337</v>
      </c>
      <c r="B403" t="s">
        <v>5057</v>
      </c>
      <c r="C403">
        <v>3</v>
      </c>
    </row>
    <row r="404" spans="1:3" x14ac:dyDescent="0.4">
      <c r="A404" t="s">
        <v>598</v>
      </c>
      <c r="B404" t="s">
        <v>5058</v>
      </c>
      <c r="C404">
        <v>5</v>
      </c>
    </row>
    <row r="405" spans="1:3" x14ac:dyDescent="0.4">
      <c r="A405" t="s">
        <v>812</v>
      </c>
      <c r="B405" t="s">
        <v>5059</v>
      </c>
      <c r="C405">
        <v>5</v>
      </c>
    </row>
    <row r="406" spans="1:3" x14ac:dyDescent="0.4">
      <c r="A406" t="s">
        <v>1548</v>
      </c>
      <c r="B406" t="s">
        <v>5036</v>
      </c>
      <c r="C406">
        <v>5</v>
      </c>
    </row>
    <row r="407" spans="1:3" x14ac:dyDescent="0.4">
      <c r="A407" t="s">
        <v>2471</v>
      </c>
      <c r="B407" t="s">
        <v>5060</v>
      </c>
      <c r="C407">
        <v>6</v>
      </c>
    </row>
    <row r="408" spans="1:3" x14ac:dyDescent="0.4">
      <c r="A408" t="s">
        <v>2714</v>
      </c>
      <c r="B408" t="s">
        <v>5061</v>
      </c>
      <c r="C408">
        <v>156</v>
      </c>
    </row>
    <row r="409" spans="1:3" x14ac:dyDescent="0.4">
      <c r="A409" t="s">
        <v>3273</v>
      </c>
      <c r="B409" t="s">
        <v>3271</v>
      </c>
      <c r="C409">
        <v>8</v>
      </c>
    </row>
    <row r="410" spans="1:3" x14ac:dyDescent="0.4">
      <c r="A410" t="s">
        <v>1430</v>
      </c>
      <c r="B410" t="s">
        <v>5073</v>
      </c>
      <c r="C410">
        <v>159</v>
      </c>
    </row>
    <row r="411" spans="1:3" x14ac:dyDescent="0.4">
      <c r="A411" t="s">
        <v>791</v>
      </c>
      <c r="B411" t="s">
        <v>4987</v>
      </c>
      <c r="C411">
        <v>10</v>
      </c>
    </row>
    <row r="412" spans="1:3" x14ac:dyDescent="0.4">
      <c r="A412" t="s">
        <v>1797</v>
      </c>
      <c r="B412" t="s">
        <v>5063</v>
      </c>
      <c r="C412">
        <v>11</v>
      </c>
    </row>
    <row r="413" spans="1:3" x14ac:dyDescent="0.4">
      <c r="A413" t="s">
        <v>3270</v>
      </c>
      <c r="B413" t="s">
        <v>3271</v>
      </c>
      <c r="C413">
        <v>11</v>
      </c>
    </row>
    <row r="414" spans="1:3" x14ac:dyDescent="0.4">
      <c r="A414" t="s">
        <v>2801</v>
      </c>
      <c r="B414" t="s">
        <v>5025</v>
      </c>
      <c r="C414">
        <v>11</v>
      </c>
    </row>
    <row r="415" spans="1:3" x14ac:dyDescent="0.4">
      <c r="A415" t="s">
        <v>380</v>
      </c>
      <c r="B415" t="s">
        <v>5055</v>
      </c>
      <c r="C415">
        <v>17</v>
      </c>
    </row>
    <row r="416" spans="1:3" x14ac:dyDescent="0.4">
      <c r="A416" t="s">
        <v>274</v>
      </c>
      <c r="B416" t="s">
        <v>5058</v>
      </c>
      <c r="C416">
        <v>20</v>
      </c>
    </row>
    <row r="417" spans="1:3" x14ac:dyDescent="0.4">
      <c r="A417" t="s">
        <v>277</v>
      </c>
      <c r="B417" t="s">
        <v>5058</v>
      </c>
      <c r="C417">
        <v>20</v>
      </c>
    </row>
    <row r="418" spans="1:3" x14ac:dyDescent="0.4">
      <c r="A418" t="s">
        <v>1218</v>
      </c>
      <c r="B418" t="s">
        <v>5059</v>
      </c>
      <c r="C418">
        <v>20</v>
      </c>
    </row>
    <row r="419" spans="1:3" x14ac:dyDescent="0.4">
      <c r="A419" t="s">
        <v>635</v>
      </c>
      <c r="B419" t="s">
        <v>5024</v>
      </c>
      <c r="C419">
        <v>20</v>
      </c>
    </row>
    <row r="420" spans="1:3" x14ac:dyDescent="0.4">
      <c r="A420" t="s">
        <v>746</v>
      </c>
      <c r="B420" t="s">
        <v>252</v>
      </c>
      <c r="C420">
        <v>21</v>
      </c>
    </row>
    <row r="421" spans="1:3" x14ac:dyDescent="0.4">
      <c r="A421" t="s">
        <v>807</v>
      </c>
      <c r="B421" t="s">
        <v>5059</v>
      </c>
      <c r="C421">
        <v>21</v>
      </c>
    </row>
    <row r="422" spans="1:3" x14ac:dyDescent="0.4">
      <c r="A422" t="s">
        <v>1475</v>
      </c>
      <c r="B422" t="s">
        <v>5064</v>
      </c>
      <c r="C422">
        <v>21</v>
      </c>
    </row>
    <row r="423" spans="1:3" x14ac:dyDescent="0.4">
      <c r="A423" t="s">
        <v>1477</v>
      </c>
      <c r="B423" t="s">
        <v>5064</v>
      </c>
      <c r="C423">
        <v>21</v>
      </c>
    </row>
    <row r="424" spans="1:3" x14ac:dyDescent="0.4">
      <c r="A424" t="s">
        <v>1091</v>
      </c>
      <c r="B424" t="s">
        <v>5059</v>
      </c>
      <c r="C424">
        <v>22</v>
      </c>
    </row>
    <row r="425" spans="1:3" x14ac:dyDescent="0.4">
      <c r="A425" t="s">
        <v>602</v>
      </c>
      <c r="B425" t="s">
        <v>5058</v>
      </c>
      <c r="C425">
        <v>23</v>
      </c>
    </row>
    <row r="426" spans="1:3" x14ac:dyDescent="0.4">
      <c r="A426" t="s">
        <v>804</v>
      </c>
      <c r="B426" t="s">
        <v>5042</v>
      </c>
      <c r="C426">
        <v>23</v>
      </c>
    </row>
    <row r="427" spans="1:3" x14ac:dyDescent="0.4">
      <c r="A427" t="s">
        <v>2720</v>
      </c>
      <c r="B427" t="s">
        <v>5065</v>
      </c>
      <c r="C427">
        <v>23</v>
      </c>
    </row>
    <row r="428" spans="1:3" x14ac:dyDescent="0.4">
      <c r="A428" t="s">
        <v>593</v>
      </c>
      <c r="B428" t="s">
        <v>5058</v>
      </c>
      <c r="C428">
        <v>24</v>
      </c>
    </row>
    <row r="429" spans="1:3" x14ac:dyDescent="0.4">
      <c r="A429" t="s">
        <v>2533</v>
      </c>
      <c r="B429" t="s">
        <v>5066</v>
      </c>
      <c r="C429">
        <v>25</v>
      </c>
    </row>
    <row r="430" spans="1:3" x14ac:dyDescent="0.4">
      <c r="A430" t="s">
        <v>2535</v>
      </c>
      <c r="B430" t="s">
        <v>5066</v>
      </c>
      <c r="C430">
        <v>25</v>
      </c>
    </row>
    <row r="431" spans="1:3" x14ac:dyDescent="0.4">
      <c r="A431" t="s">
        <v>744</v>
      </c>
      <c r="B431" t="s">
        <v>252</v>
      </c>
      <c r="C431">
        <v>26</v>
      </c>
    </row>
    <row r="432" spans="1:3" x14ac:dyDescent="0.4">
      <c r="A432" t="s">
        <v>1093</v>
      </c>
      <c r="B432" t="s">
        <v>5059</v>
      </c>
      <c r="C432">
        <v>28</v>
      </c>
    </row>
    <row r="433" spans="1:3" x14ac:dyDescent="0.4">
      <c r="A433" t="s">
        <v>718</v>
      </c>
      <c r="B433" t="s">
        <v>5066</v>
      </c>
      <c r="C433">
        <v>29</v>
      </c>
    </row>
    <row r="434" spans="1:3" x14ac:dyDescent="0.4">
      <c r="A434" t="s">
        <v>383</v>
      </c>
      <c r="B434" t="s">
        <v>5055</v>
      </c>
      <c r="C434">
        <v>30</v>
      </c>
    </row>
    <row r="435" spans="1:3" x14ac:dyDescent="0.4">
      <c r="A435" t="s">
        <v>590</v>
      </c>
      <c r="B435" t="s">
        <v>5067</v>
      </c>
      <c r="C435">
        <v>30</v>
      </c>
    </row>
    <row r="436" spans="1:3" x14ac:dyDescent="0.4">
      <c r="A436" t="s">
        <v>595</v>
      </c>
      <c r="B436" t="s">
        <v>5068</v>
      </c>
      <c r="C436">
        <v>30</v>
      </c>
    </row>
    <row r="437" spans="1:3" x14ac:dyDescent="0.4">
      <c r="A437" t="s">
        <v>816</v>
      </c>
      <c r="B437" t="s">
        <v>5059</v>
      </c>
      <c r="C437">
        <v>30</v>
      </c>
    </row>
    <row r="438" spans="1:3" x14ac:dyDescent="0.4">
      <c r="A438" t="s">
        <v>5069</v>
      </c>
      <c r="B438" t="s">
        <v>5067</v>
      </c>
      <c r="C438">
        <v>30</v>
      </c>
    </row>
    <row r="439" spans="1:3" x14ac:dyDescent="0.4">
      <c r="A439" t="s">
        <v>1546</v>
      </c>
      <c r="B439" t="s">
        <v>5070</v>
      </c>
      <c r="C439">
        <v>30</v>
      </c>
    </row>
    <row r="440" spans="1:3" x14ac:dyDescent="0.4">
      <c r="A440" t="s">
        <v>489</v>
      </c>
      <c r="B440" t="s">
        <v>252</v>
      </c>
      <c r="C440">
        <v>31</v>
      </c>
    </row>
    <row r="441" spans="1:3" x14ac:dyDescent="0.4">
      <c r="A441" t="s">
        <v>1550</v>
      </c>
      <c r="B441" t="s">
        <v>5070</v>
      </c>
      <c r="C441">
        <v>31</v>
      </c>
    </row>
    <row r="442" spans="1:3" x14ac:dyDescent="0.4">
      <c r="A442" t="s">
        <v>1795</v>
      </c>
      <c r="B442" t="s">
        <v>5063</v>
      </c>
      <c r="C442">
        <v>32</v>
      </c>
    </row>
    <row r="443" spans="1:3" x14ac:dyDescent="0.4">
      <c r="A443" t="s">
        <v>1833</v>
      </c>
      <c r="B443" t="s">
        <v>4979</v>
      </c>
      <c r="C443">
        <v>36</v>
      </c>
    </row>
    <row r="444" spans="1:3" x14ac:dyDescent="0.4">
      <c r="A444" t="s">
        <v>818</v>
      </c>
      <c r="B444" t="s">
        <v>5059</v>
      </c>
      <c r="C444">
        <v>38</v>
      </c>
    </row>
    <row r="445" spans="1:3" x14ac:dyDescent="0.4">
      <c r="A445" t="s">
        <v>1775</v>
      </c>
      <c r="B445" t="s">
        <v>5027</v>
      </c>
      <c r="C445">
        <v>38</v>
      </c>
    </row>
    <row r="446" spans="1:3" x14ac:dyDescent="0.4">
      <c r="A446" t="s">
        <v>1784</v>
      </c>
      <c r="B446" t="s">
        <v>5074</v>
      </c>
      <c r="C446">
        <v>39</v>
      </c>
    </row>
    <row r="447" spans="1:3" x14ac:dyDescent="0.4">
      <c r="A447" t="s">
        <v>491</v>
      </c>
      <c r="B447" t="s">
        <v>252</v>
      </c>
      <c r="C447">
        <v>40</v>
      </c>
    </row>
    <row r="448" spans="1:3" x14ac:dyDescent="0.4">
      <c r="A448" t="s">
        <v>2668</v>
      </c>
      <c r="B448" t="s">
        <v>5093</v>
      </c>
      <c r="C448">
        <v>290</v>
      </c>
    </row>
    <row r="449" spans="1:3" x14ac:dyDescent="0.4">
      <c r="A449" t="s">
        <v>691</v>
      </c>
      <c r="B449" t="s">
        <v>5066</v>
      </c>
      <c r="C449">
        <v>45</v>
      </c>
    </row>
    <row r="450" spans="1:3" x14ac:dyDescent="0.4">
      <c r="A450" t="s">
        <v>1027</v>
      </c>
      <c r="B450" t="s">
        <v>252</v>
      </c>
      <c r="C450">
        <v>45</v>
      </c>
    </row>
    <row r="451" spans="1:3" x14ac:dyDescent="0.4">
      <c r="A451" t="s">
        <v>1155</v>
      </c>
      <c r="B451" t="s">
        <v>252</v>
      </c>
      <c r="C451">
        <v>45</v>
      </c>
    </row>
    <row r="452" spans="1:3" x14ac:dyDescent="0.4">
      <c r="A452" t="s">
        <v>1157</v>
      </c>
      <c r="B452" t="s">
        <v>252</v>
      </c>
      <c r="C452">
        <v>45</v>
      </c>
    </row>
    <row r="453" spans="1:3" x14ac:dyDescent="0.4">
      <c r="A453" t="s">
        <v>1826</v>
      </c>
      <c r="B453" t="s">
        <v>4958</v>
      </c>
      <c r="C453">
        <v>95</v>
      </c>
    </row>
    <row r="454" spans="1:3" x14ac:dyDescent="0.4">
      <c r="A454" t="s">
        <v>2605</v>
      </c>
      <c r="B454" t="s">
        <v>252</v>
      </c>
      <c r="C454">
        <v>45</v>
      </c>
    </row>
    <row r="455" spans="1:3" x14ac:dyDescent="0.4">
      <c r="A455" t="s">
        <v>5031</v>
      </c>
      <c r="B455" t="s">
        <v>5032</v>
      </c>
      <c r="C455">
        <v>46</v>
      </c>
    </row>
    <row r="456" spans="1:3" x14ac:dyDescent="0.4">
      <c r="A456" t="s">
        <v>1862</v>
      </c>
      <c r="B456" t="s">
        <v>5081</v>
      </c>
      <c r="C456">
        <v>47</v>
      </c>
    </row>
    <row r="457" spans="1:3" x14ac:dyDescent="0.4">
      <c r="A457" t="s">
        <v>493</v>
      </c>
      <c r="B457" t="s">
        <v>252</v>
      </c>
      <c r="C457">
        <v>48</v>
      </c>
    </row>
    <row r="458" spans="1:3" x14ac:dyDescent="0.4">
      <c r="A458" t="s">
        <v>810</v>
      </c>
      <c r="B458" t="s">
        <v>5059</v>
      </c>
      <c r="C458">
        <v>48</v>
      </c>
    </row>
    <row r="459" spans="1:3" x14ac:dyDescent="0.4">
      <c r="A459" t="s">
        <v>1021</v>
      </c>
      <c r="B459" t="s">
        <v>252</v>
      </c>
      <c r="C459">
        <v>49</v>
      </c>
    </row>
    <row r="460" spans="1:3" x14ac:dyDescent="0.4">
      <c r="A460" t="s">
        <v>1023</v>
      </c>
      <c r="B460" t="s">
        <v>252</v>
      </c>
      <c r="C460">
        <v>49</v>
      </c>
    </row>
    <row r="461" spans="1:3" x14ac:dyDescent="0.4">
      <c r="A461" t="s">
        <v>1801</v>
      </c>
      <c r="B461" t="s">
        <v>5063</v>
      </c>
      <c r="C461">
        <v>49</v>
      </c>
    </row>
    <row r="462" spans="1:3" x14ac:dyDescent="0.4">
      <c r="A462" t="s">
        <v>1019</v>
      </c>
      <c r="B462" t="s">
        <v>252</v>
      </c>
      <c r="C462">
        <v>50</v>
      </c>
    </row>
    <row r="463" spans="1:3" x14ac:dyDescent="0.4">
      <c r="A463" t="s">
        <v>1035</v>
      </c>
      <c r="B463" t="s">
        <v>252</v>
      </c>
      <c r="C463">
        <v>50</v>
      </c>
    </row>
    <row r="464" spans="1:3" x14ac:dyDescent="0.4">
      <c r="A464" t="s">
        <v>5117</v>
      </c>
      <c r="B464" t="s">
        <v>5101</v>
      </c>
      <c r="C464">
        <v>449</v>
      </c>
    </row>
    <row r="465" spans="1:3" x14ac:dyDescent="0.4">
      <c r="A465" t="s">
        <v>1037</v>
      </c>
      <c r="B465" t="s">
        <v>252</v>
      </c>
      <c r="C465">
        <v>51</v>
      </c>
    </row>
    <row r="466" spans="1:3" x14ac:dyDescent="0.4">
      <c r="A466" t="s">
        <v>1946</v>
      </c>
      <c r="B466" t="s">
        <v>252</v>
      </c>
      <c r="C466">
        <v>51</v>
      </c>
    </row>
    <row r="467" spans="1:3" x14ac:dyDescent="0.4">
      <c r="A467" t="s">
        <v>2603</v>
      </c>
      <c r="B467" t="s">
        <v>252</v>
      </c>
      <c r="C467">
        <v>51</v>
      </c>
    </row>
    <row r="468" spans="1:3" x14ac:dyDescent="0.4">
      <c r="A468" t="s">
        <v>1578</v>
      </c>
      <c r="B468" t="s">
        <v>252</v>
      </c>
      <c r="C468">
        <v>52</v>
      </c>
    </row>
    <row r="469" spans="1:3" x14ac:dyDescent="0.4">
      <c r="A469" t="s">
        <v>742</v>
      </c>
      <c r="B469" t="s">
        <v>252</v>
      </c>
      <c r="C469">
        <v>53</v>
      </c>
    </row>
    <row r="470" spans="1:3" x14ac:dyDescent="0.4">
      <c r="A470" t="s">
        <v>935</v>
      </c>
      <c r="B470" t="s">
        <v>5064</v>
      </c>
      <c r="C470">
        <v>54</v>
      </c>
    </row>
    <row r="471" spans="1:3" x14ac:dyDescent="0.4">
      <c r="A471" t="s">
        <v>1029</v>
      </c>
      <c r="B471" t="s">
        <v>252</v>
      </c>
      <c r="C471">
        <v>54</v>
      </c>
    </row>
    <row r="472" spans="1:3" x14ac:dyDescent="0.4">
      <c r="A472" t="s">
        <v>1948</v>
      </c>
      <c r="B472" t="s">
        <v>252</v>
      </c>
      <c r="C472">
        <v>56</v>
      </c>
    </row>
    <row r="473" spans="1:3" x14ac:dyDescent="0.4">
      <c r="A473" t="s">
        <v>1580</v>
      </c>
      <c r="B473" t="s">
        <v>5041</v>
      </c>
      <c r="C473">
        <v>58</v>
      </c>
    </row>
    <row r="474" spans="1:3" x14ac:dyDescent="0.4">
      <c r="A474" t="s">
        <v>485</v>
      </c>
      <c r="B474" t="s">
        <v>252</v>
      </c>
      <c r="C474">
        <v>59</v>
      </c>
    </row>
    <row r="475" spans="1:3" x14ac:dyDescent="0.4">
      <c r="A475" t="s">
        <v>5077</v>
      </c>
      <c r="B475" t="s">
        <v>5067</v>
      </c>
      <c r="C475">
        <v>60</v>
      </c>
    </row>
    <row r="476" spans="1:3" x14ac:dyDescent="0.4">
      <c r="A476" t="s">
        <v>2733</v>
      </c>
      <c r="B476" t="s">
        <v>5078</v>
      </c>
      <c r="C476">
        <v>60</v>
      </c>
    </row>
    <row r="477" spans="1:3" x14ac:dyDescent="0.4">
      <c r="A477" t="s">
        <v>1426</v>
      </c>
      <c r="B477" t="s">
        <v>5073</v>
      </c>
      <c r="C477">
        <v>154</v>
      </c>
    </row>
    <row r="478" spans="1:3" x14ac:dyDescent="0.4">
      <c r="A478" t="s">
        <v>2462</v>
      </c>
      <c r="B478" t="s">
        <v>5030</v>
      </c>
      <c r="C478">
        <v>60</v>
      </c>
    </row>
    <row r="479" spans="1:3" x14ac:dyDescent="0.4">
      <c r="A479" t="s">
        <v>738</v>
      </c>
      <c r="B479" t="s">
        <v>252</v>
      </c>
      <c r="C479">
        <v>61</v>
      </c>
    </row>
    <row r="480" spans="1:3" x14ac:dyDescent="0.4">
      <c r="A480" t="s">
        <v>1574</v>
      </c>
      <c r="B480" t="s">
        <v>252</v>
      </c>
      <c r="C480">
        <v>61</v>
      </c>
    </row>
    <row r="481" spans="1:3" x14ac:dyDescent="0.4">
      <c r="A481" t="s">
        <v>1210</v>
      </c>
      <c r="B481" t="s">
        <v>5079</v>
      </c>
      <c r="C481">
        <v>62</v>
      </c>
    </row>
    <row r="482" spans="1:3" x14ac:dyDescent="0.4">
      <c r="A482" t="s">
        <v>2731</v>
      </c>
      <c r="B482" t="s">
        <v>5078</v>
      </c>
      <c r="C482">
        <v>63</v>
      </c>
    </row>
    <row r="483" spans="1:3" x14ac:dyDescent="0.4">
      <c r="A483" t="s">
        <v>1025</v>
      </c>
      <c r="B483" t="s">
        <v>252</v>
      </c>
      <c r="C483">
        <v>66</v>
      </c>
    </row>
    <row r="484" spans="1:3" x14ac:dyDescent="0.4">
      <c r="A484" t="s">
        <v>1973</v>
      </c>
      <c r="B484" t="s">
        <v>5141</v>
      </c>
      <c r="C484">
        <v>66</v>
      </c>
    </row>
    <row r="485" spans="1:3" x14ac:dyDescent="0.4">
      <c r="A485" t="s">
        <v>686</v>
      </c>
      <c r="B485" t="s">
        <v>5066</v>
      </c>
      <c r="C485">
        <v>68</v>
      </c>
    </row>
    <row r="486" spans="1:3" x14ac:dyDescent="0.4">
      <c r="A486" t="s">
        <v>731</v>
      </c>
      <c r="B486" t="s">
        <v>4985</v>
      </c>
      <c r="C486">
        <v>68</v>
      </c>
    </row>
    <row r="487" spans="1:3" x14ac:dyDescent="0.4">
      <c r="A487" t="s">
        <v>814</v>
      </c>
      <c r="B487" t="s">
        <v>5059</v>
      </c>
      <c r="C487">
        <v>68</v>
      </c>
    </row>
    <row r="488" spans="1:3" x14ac:dyDescent="0.4">
      <c r="A488" t="s">
        <v>1777</v>
      </c>
      <c r="B488" t="s">
        <v>5080</v>
      </c>
      <c r="C488">
        <v>68</v>
      </c>
    </row>
    <row r="489" spans="1:3" x14ac:dyDescent="0.4">
      <c r="A489" t="s">
        <v>365</v>
      </c>
      <c r="B489" t="s">
        <v>4958</v>
      </c>
      <c r="C489">
        <v>68</v>
      </c>
    </row>
    <row r="490" spans="1:3" x14ac:dyDescent="0.4">
      <c r="A490" t="s">
        <v>1605</v>
      </c>
      <c r="B490" t="s">
        <v>5027</v>
      </c>
      <c r="C490">
        <v>70</v>
      </c>
    </row>
    <row r="491" spans="1:3" x14ac:dyDescent="0.4">
      <c r="A491" t="s">
        <v>2708</v>
      </c>
      <c r="B491" t="s">
        <v>5078</v>
      </c>
      <c r="C491">
        <v>72</v>
      </c>
    </row>
    <row r="492" spans="1:3" x14ac:dyDescent="0.4">
      <c r="A492" t="s">
        <v>1224</v>
      </c>
      <c r="B492" t="s">
        <v>5063</v>
      </c>
      <c r="C492">
        <v>73</v>
      </c>
    </row>
    <row r="493" spans="1:3" x14ac:dyDescent="0.4">
      <c r="A493" t="s">
        <v>5156</v>
      </c>
      <c r="B493" t="s">
        <v>4985</v>
      </c>
      <c r="C493">
        <v>76</v>
      </c>
    </row>
    <row r="494" spans="1:3" x14ac:dyDescent="0.4">
      <c r="A494" t="s">
        <v>1033</v>
      </c>
      <c r="B494" t="s">
        <v>252</v>
      </c>
      <c r="C494">
        <v>81</v>
      </c>
    </row>
    <row r="495" spans="1:3" x14ac:dyDescent="0.4">
      <c r="A495" t="s">
        <v>1486</v>
      </c>
      <c r="B495" t="s">
        <v>5082</v>
      </c>
      <c r="C495">
        <v>81</v>
      </c>
    </row>
    <row r="496" spans="1:3" x14ac:dyDescent="0.4">
      <c r="A496" t="s">
        <v>600</v>
      </c>
      <c r="B496" t="s">
        <v>5058</v>
      </c>
      <c r="C496">
        <v>84</v>
      </c>
    </row>
    <row r="497" spans="1:3" x14ac:dyDescent="0.4">
      <c r="A497" t="s">
        <v>5083</v>
      </c>
      <c r="B497" t="s">
        <v>5084</v>
      </c>
      <c r="C497">
        <v>84</v>
      </c>
    </row>
    <row r="498" spans="1:3" x14ac:dyDescent="0.4">
      <c r="A498" t="s">
        <v>5085</v>
      </c>
      <c r="B498" t="s">
        <v>5078</v>
      </c>
      <c r="C498">
        <v>85</v>
      </c>
    </row>
    <row r="499" spans="1:3" x14ac:dyDescent="0.4">
      <c r="A499" t="s">
        <v>374</v>
      </c>
      <c r="B499" t="s">
        <v>5088</v>
      </c>
      <c r="C499">
        <v>85</v>
      </c>
    </row>
    <row r="500" spans="1:3" x14ac:dyDescent="0.4">
      <c r="A500" t="s">
        <v>1875</v>
      </c>
      <c r="B500" t="s">
        <v>5082</v>
      </c>
      <c r="C500">
        <v>88</v>
      </c>
    </row>
    <row r="501" spans="1:3" x14ac:dyDescent="0.4">
      <c r="A501" t="s">
        <v>1031</v>
      </c>
      <c r="B501" t="s">
        <v>252</v>
      </c>
      <c r="C501">
        <v>89</v>
      </c>
    </row>
    <row r="502" spans="1:3" x14ac:dyDescent="0.4">
      <c r="A502" t="s">
        <v>2711</v>
      </c>
      <c r="B502" t="s">
        <v>5061</v>
      </c>
      <c r="C502">
        <v>242</v>
      </c>
    </row>
    <row r="503" spans="1:3" x14ac:dyDescent="0.4">
      <c r="A503" t="s">
        <v>2650</v>
      </c>
      <c r="B503" t="s">
        <v>5086</v>
      </c>
      <c r="C503">
        <v>93</v>
      </c>
    </row>
    <row r="504" spans="1:3" x14ac:dyDescent="0.4">
      <c r="A504" t="s">
        <v>5157</v>
      </c>
      <c r="B504" t="s">
        <v>5036</v>
      </c>
      <c r="C504">
        <v>94</v>
      </c>
    </row>
    <row r="505" spans="1:3" x14ac:dyDescent="0.4">
      <c r="A505" t="s">
        <v>2647</v>
      </c>
      <c r="B505" t="s">
        <v>5086</v>
      </c>
      <c r="C505">
        <v>95</v>
      </c>
    </row>
    <row r="506" spans="1:3" x14ac:dyDescent="0.4">
      <c r="A506" t="s">
        <v>2723</v>
      </c>
      <c r="B506" t="s">
        <v>5086</v>
      </c>
      <c r="C506">
        <v>96</v>
      </c>
    </row>
    <row r="507" spans="1:3" x14ac:dyDescent="0.4">
      <c r="A507" t="s">
        <v>840</v>
      </c>
      <c r="B507" t="s">
        <v>4740</v>
      </c>
      <c r="C507">
        <v>96</v>
      </c>
    </row>
    <row r="508" spans="1:3" x14ac:dyDescent="0.4">
      <c r="A508" t="s">
        <v>2725</v>
      </c>
      <c r="B508" t="s">
        <v>5086</v>
      </c>
      <c r="C508">
        <v>97</v>
      </c>
    </row>
    <row r="509" spans="1:3" x14ac:dyDescent="0.4">
      <c r="A509" t="s">
        <v>2767</v>
      </c>
      <c r="B509" t="s">
        <v>5086</v>
      </c>
      <c r="C509">
        <v>99</v>
      </c>
    </row>
    <row r="510" spans="1:3" x14ac:dyDescent="0.4">
      <c r="A510" t="s">
        <v>1435</v>
      </c>
      <c r="B510" t="s">
        <v>5098</v>
      </c>
      <c r="C510">
        <v>100</v>
      </c>
    </row>
    <row r="511" spans="1:3" x14ac:dyDescent="0.4">
      <c r="A511" t="s">
        <v>2748</v>
      </c>
      <c r="B511" t="s">
        <v>4869</v>
      </c>
      <c r="C511">
        <v>267</v>
      </c>
    </row>
    <row r="512" spans="1:3" x14ac:dyDescent="0.4">
      <c r="A512" t="s">
        <v>425</v>
      </c>
      <c r="B512" t="s">
        <v>5102</v>
      </c>
      <c r="C512">
        <v>256</v>
      </c>
    </row>
    <row r="513" spans="1:3" x14ac:dyDescent="0.4">
      <c r="A513" t="s">
        <v>2694</v>
      </c>
      <c r="B513" t="s">
        <v>5114</v>
      </c>
      <c r="C513">
        <v>441</v>
      </c>
    </row>
    <row r="514" spans="1:3" x14ac:dyDescent="0.4">
      <c r="A514" t="s">
        <v>1544</v>
      </c>
      <c r="B514" t="s">
        <v>5070</v>
      </c>
      <c r="C514">
        <v>102</v>
      </c>
    </row>
    <row r="515" spans="1:3" x14ac:dyDescent="0.4">
      <c r="A515" t="s">
        <v>1920</v>
      </c>
      <c r="B515" t="s">
        <v>5066</v>
      </c>
      <c r="C515">
        <v>104</v>
      </c>
    </row>
    <row r="516" spans="1:3" x14ac:dyDescent="0.4">
      <c r="A516" t="s">
        <v>377</v>
      </c>
      <c r="B516" t="s">
        <v>4979</v>
      </c>
      <c r="C516">
        <v>105</v>
      </c>
    </row>
    <row r="517" spans="1:3" x14ac:dyDescent="0.4">
      <c r="A517" t="s">
        <v>393</v>
      </c>
      <c r="B517" t="s">
        <v>4958</v>
      </c>
      <c r="C517">
        <v>112</v>
      </c>
    </row>
    <row r="518" spans="1:3" x14ac:dyDescent="0.4">
      <c r="A518" t="s">
        <v>1318</v>
      </c>
      <c r="B518" t="s">
        <v>4999</v>
      </c>
      <c r="C518">
        <v>118</v>
      </c>
    </row>
    <row r="519" spans="1:3" x14ac:dyDescent="0.4">
      <c r="A519" t="s">
        <v>1822</v>
      </c>
      <c r="B519" t="s">
        <v>4958</v>
      </c>
      <c r="C519">
        <v>119</v>
      </c>
    </row>
    <row r="520" spans="1:3" x14ac:dyDescent="0.4">
      <c r="A520" t="s">
        <v>1799</v>
      </c>
      <c r="B520" t="s">
        <v>5063</v>
      </c>
      <c r="C520">
        <v>124</v>
      </c>
    </row>
    <row r="521" spans="1:3" x14ac:dyDescent="0.4">
      <c r="A521" t="s">
        <v>1292</v>
      </c>
      <c r="B521" t="s">
        <v>5040</v>
      </c>
      <c r="C521">
        <v>124</v>
      </c>
    </row>
    <row r="522" spans="1:3" x14ac:dyDescent="0.4">
      <c r="A522" t="s">
        <v>2505</v>
      </c>
      <c r="B522" t="s">
        <v>4955</v>
      </c>
      <c r="C522">
        <v>125</v>
      </c>
    </row>
    <row r="523" spans="1:3" x14ac:dyDescent="0.4">
      <c r="A523" t="s">
        <v>1428</v>
      </c>
      <c r="B523" t="s">
        <v>5073</v>
      </c>
      <c r="C523">
        <v>126</v>
      </c>
    </row>
    <row r="524" spans="1:3" x14ac:dyDescent="0.4">
      <c r="A524" t="s">
        <v>1589</v>
      </c>
      <c r="B524" t="s">
        <v>5026</v>
      </c>
      <c r="C524">
        <v>130</v>
      </c>
    </row>
    <row r="525" spans="1:3" x14ac:dyDescent="0.4">
      <c r="A525" t="s">
        <v>1479</v>
      </c>
      <c r="B525" t="s">
        <v>5064</v>
      </c>
      <c r="C525">
        <v>133</v>
      </c>
    </row>
    <row r="526" spans="1:3" x14ac:dyDescent="0.4">
      <c r="A526" t="s">
        <v>1481</v>
      </c>
      <c r="B526" t="s">
        <v>5064</v>
      </c>
      <c r="C526">
        <v>134</v>
      </c>
    </row>
    <row r="527" spans="1:3" x14ac:dyDescent="0.4">
      <c r="A527" t="s">
        <v>1214</v>
      </c>
      <c r="B527" t="s">
        <v>5059</v>
      </c>
      <c r="C527">
        <v>140</v>
      </c>
    </row>
    <row r="528" spans="1:3" x14ac:dyDescent="0.4">
      <c r="A528" t="s">
        <v>639</v>
      </c>
      <c r="B528" t="s">
        <v>4984</v>
      </c>
      <c r="C528">
        <v>140</v>
      </c>
    </row>
    <row r="529" spans="1:3" x14ac:dyDescent="0.4">
      <c r="A529" t="s">
        <v>932</v>
      </c>
      <c r="B529" t="s">
        <v>5079</v>
      </c>
      <c r="C529">
        <v>142</v>
      </c>
    </row>
    <row r="530" spans="1:3" x14ac:dyDescent="0.4">
      <c r="A530" t="s">
        <v>1316</v>
      </c>
      <c r="B530" t="s">
        <v>4995</v>
      </c>
      <c r="C530">
        <v>146</v>
      </c>
    </row>
    <row r="531" spans="1:3" x14ac:dyDescent="0.4">
      <c r="A531" t="s">
        <v>2742</v>
      </c>
      <c r="B531" t="s">
        <v>5062</v>
      </c>
      <c r="C531">
        <v>150</v>
      </c>
    </row>
    <row r="532" spans="1:3" x14ac:dyDescent="0.4">
      <c r="A532" t="s">
        <v>5110</v>
      </c>
      <c r="B532" t="s">
        <v>5101</v>
      </c>
      <c r="C532">
        <v>481</v>
      </c>
    </row>
    <row r="533" spans="1:3" x14ac:dyDescent="0.4">
      <c r="A533" t="s">
        <v>5132</v>
      </c>
      <c r="B533" t="s">
        <v>4869</v>
      </c>
      <c r="C533">
        <v>891</v>
      </c>
    </row>
    <row r="534" spans="1:3" x14ac:dyDescent="0.4">
      <c r="A534" t="s">
        <v>1662</v>
      </c>
      <c r="B534" t="s">
        <v>5026</v>
      </c>
      <c r="C534">
        <v>162</v>
      </c>
    </row>
    <row r="535" spans="1:3" x14ac:dyDescent="0.4">
      <c r="A535" t="s">
        <v>2046</v>
      </c>
      <c r="B535" t="s">
        <v>5063</v>
      </c>
      <c r="C535">
        <v>169</v>
      </c>
    </row>
    <row r="536" spans="1:3" x14ac:dyDescent="0.4">
      <c r="A536" t="s">
        <v>1473</v>
      </c>
      <c r="B536" t="s">
        <v>5064</v>
      </c>
      <c r="C536">
        <v>170</v>
      </c>
    </row>
    <row r="537" spans="1:3" x14ac:dyDescent="0.4">
      <c r="A537" t="s">
        <v>987</v>
      </c>
      <c r="B537" t="s">
        <v>5100</v>
      </c>
      <c r="C537">
        <v>171</v>
      </c>
    </row>
    <row r="538" spans="1:3" x14ac:dyDescent="0.4">
      <c r="A538" t="s">
        <v>588</v>
      </c>
      <c r="B538" t="s">
        <v>5058</v>
      </c>
      <c r="C538">
        <v>177</v>
      </c>
    </row>
    <row r="539" spans="1:3" x14ac:dyDescent="0.4">
      <c r="A539" t="s">
        <v>677</v>
      </c>
      <c r="B539" t="s">
        <v>5064</v>
      </c>
      <c r="C539">
        <v>183</v>
      </c>
    </row>
    <row r="540" spans="1:3" x14ac:dyDescent="0.4">
      <c r="A540" t="s">
        <v>645</v>
      </c>
      <c r="B540" t="s">
        <v>4983</v>
      </c>
      <c r="C540">
        <v>186</v>
      </c>
    </row>
    <row r="541" spans="1:3" x14ac:dyDescent="0.4">
      <c r="A541" t="s">
        <v>1123</v>
      </c>
      <c r="B541" t="s">
        <v>4918</v>
      </c>
      <c r="C541">
        <v>192</v>
      </c>
    </row>
    <row r="542" spans="1:3" x14ac:dyDescent="0.4">
      <c r="A542" t="s">
        <v>4993</v>
      </c>
      <c r="B542" t="s">
        <v>4948</v>
      </c>
      <c r="C542">
        <v>636</v>
      </c>
    </row>
    <row r="543" spans="1:3" x14ac:dyDescent="0.4">
      <c r="A543" t="s">
        <v>1312</v>
      </c>
      <c r="B543" t="s">
        <v>4995</v>
      </c>
      <c r="C543">
        <v>232</v>
      </c>
    </row>
    <row r="544" spans="1:3" x14ac:dyDescent="0.4">
      <c r="A544" t="s">
        <v>1212</v>
      </c>
      <c r="B544" t="s">
        <v>5079</v>
      </c>
      <c r="C544">
        <v>233</v>
      </c>
    </row>
    <row r="545" spans="1:3" x14ac:dyDescent="0.4">
      <c r="A545" t="s">
        <v>4994</v>
      </c>
      <c r="B545" t="s">
        <v>4948</v>
      </c>
      <c r="C545">
        <v>727</v>
      </c>
    </row>
    <row r="546" spans="1:3" x14ac:dyDescent="0.4">
      <c r="A546" t="s">
        <v>2716</v>
      </c>
      <c r="B546" t="s">
        <v>5061</v>
      </c>
      <c r="C546">
        <v>271</v>
      </c>
    </row>
    <row r="547" spans="1:3" x14ac:dyDescent="0.4">
      <c r="A547" t="s">
        <v>1334</v>
      </c>
      <c r="B547" t="s">
        <v>5113</v>
      </c>
      <c r="C547">
        <v>276</v>
      </c>
    </row>
    <row r="548" spans="1:3" x14ac:dyDescent="0.4">
      <c r="A548" t="s">
        <v>1071</v>
      </c>
      <c r="B548" t="s">
        <v>1072</v>
      </c>
      <c r="C548">
        <v>288</v>
      </c>
    </row>
    <row r="549" spans="1:3" x14ac:dyDescent="0.4">
      <c r="A549" t="s">
        <v>2477</v>
      </c>
      <c r="B549" t="s">
        <v>4943</v>
      </c>
      <c r="C549">
        <v>609</v>
      </c>
    </row>
    <row r="550" spans="1:3" x14ac:dyDescent="0.4">
      <c r="A550" t="s">
        <v>254</v>
      </c>
      <c r="B550" t="s">
        <v>5066</v>
      </c>
      <c r="C550">
        <v>360</v>
      </c>
    </row>
    <row r="551" spans="1:3" x14ac:dyDescent="0.4">
      <c r="A551" t="s">
        <v>2273</v>
      </c>
      <c r="B551" t="s">
        <v>252</v>
      </c>
      <c r="C551">
        <v>360</v>
      </c>
    </row>
    <row r="552" spans="1:3" x14ac:dyDescent="0.4">
      <c r="A552" t="s">
        <v>771</v>
      </c>
      <c r="B552" t="s">
        <v>4986</v>
      </c>
      <c r="C552">
        <v>369</v>
      </c>
    </row>
    <row r="553" spans="1:3" x14ac:dyDescent="0.4">
      <c r="A553" t="s">
        <v>2689</v>
      </c>
      <c r="B553" t="s">
        <v>4951</v>
      </c>
      <c r="C553">
        <v>387</v>
      </c>
    </row>
    <row r="554" spans="1:3" x14ac:dyDescent="0.4">
      <c r="A554" t="s">
        <v>558</v>
      </c>
      <c r="B554" t="s">
        <v>5107</v>
      </c>
      <c r="C554">
        <v>403</v>
      </c>
    </row>
    <row r="555" spans="1:3" x14ac:dyDescent="0.4">
      <c r="A555" t="s">
        <v>404</v>
      </c>
      <c r="B555" t="s">
        <v>5118</v>
      </c>
      <c r="C555">
        <v>412</v>
      </c>
    </row>
    <row r="556" spans="1:3" x14ac:dyDescent="0.4">
      <c r="A556" t="s">
        <v>579</v>
      </c>
      <c r="B556" t="s">
        <v>5122</v>
      </c>
      <c r="C556">
        <v>434</v>
      </c>
    </row>
    <row r="557" spans="1:3" x14ac:dyDescent="0.4">
      <c r="A557" t="s">
        <v>1063</v>
      </c>
      <c r="B557" t="s">
        <v>5120</v>
      </c>
      <c r="C557">
        <v>475</v>
      </c>
    </row>
    <row r="558" spans="1:3" x14ac:dyDescent="0.4">
      <c r="A558" t="s">
        <v>2035</v>
      </c>
      <c r="B558" t="s">
        <v>5042</v>
      </c>
      <c r="C558">
        <v>486</v>
      </c>
    </row>
    <row r="559" spans="1:3" x14ac:dyDescent="0.4">
      <c r="A559" t="s">
        <v>556</v>
      </c>
      <c r="B559" t="s">
        <v>5107</v>
      </c>
      <c r="C559">
        <v>500</v>
      </c>
    </row>
    <row r="560" spans="1:3" x14ac:dyDescent="0.4">
      <c r="A560" t="s">
        <v>2624</v>
      </c>
      <c r="B560" t="s">
        <v>4955</v>
      </c>
      <c r="C560">
        <v>510</v>
      </c>
    </row>
    <row r="561" spans="1:3" x14ac:dyDescent="0.4">
      <c r="A561" t="s">
        <v>795</v>
      </c>
      <c r="B561" t="s">
        <v>4989</v>
      </c>
      <c r="C561">
        <v>526</v>
      </c>
    </row>
    <row r="562" spans="1:3" x14ac:dyDescent="0.4">
      <c r="A562" t="s">
        <v>2645</v>
      </c>
      <c r="B562" t="s">
        <v>4869</v>
      </c>
      <c r="C562">
        <v>540</v>
      </c>
    </row>
    <row r="563" spans="1:3" x14ac:dyDescent="0.4">
      <c r="A563" t="s">
        <v>2759</v>
      </c>
      <c r="B563" t="s">
        <v>4947</v>
      </c>
      <c r="C563">
        <v>579</v>
      </c>
    </row>
    <row r="564" spans="1:3" x14ac:dyDescent="0.4">
      <c r="A564" t="s">
        <v>538</v>
      </c>
      <c r="B564" t="s">
        <v>5108</v>
      </c>
      <c r="C564">
        <v>579</v>
      </c>
    </row>
    <row r="565" spans="1:3" x14ac:dyDescent="0.4">
      <c r="A565" t="s">
        <v>854</v>
      </c>
      <c r="B565" t="s">
        <v>5128</v>
      </c>
      <c r="C565">
        <v>619</v>
      </c>
    </row>
    <row r="566" spans="1:3" x14ac:dyDescent="0.4">
      <c r="A566" t="s">
        <v>650</v>
      </c>
      <c r="B566" t="s">
        <v>4986</v>
      </c>
      <c r="C566">
        <v>622</v>
      </c>
    </row>
    <row r="567" spans="1:3" x14ac:dyDescent="0.4">
      <c r="A567" t="s">
        <v>661</v>
      </c>
      <c r="B567" t="s">
        <v>5130</v>
      </c>
      <c r="C567">
        <v>646</v>
      </c>
    </row>
    <row r="568" spans="1:3" x14ac:dyDescent="0.4">
      <c r="A568" t="s">
        <v>1819</v>
      </c>
      <c r="B568" t="s">
        <v>5028</v>
      </c>
      <c r="C568">
        <v>675</v>
      </c>
    </row>
    <row r="569" spans="1:3" x14ac:dyDescent="0.4">
      <c r="A569" t="s">
        <v>1816</v>
      </c>
      <c r="B569" t="s">
        <v>5028</v>
      </c>
      <c r="C569">
        <v>678</v>
      </c>
    </row>
    <row r="570" spans="1:3" x14ac:dyDescent="0.4">
      <c r="A570" t="s">
        <v>401</v>
      </c>
      <c r="B570" t="s">
        <v>5131</v>
      </c>
      <c r="C570">
        <v>736</v>
      </c>
    </row>
    <row r="571" spans="1:3" x14ac:dyDescent="0.4">
      <c r="A571" t="s">
        <v>999</v>
      </c>
      <c r="B571" t="s">
        <v>4851</v>
      </c>
      <c r="C571">
        <v>778</v>
      </c>
    </row>
    <row r="572" spans="1:3" x14ac:dyDescent="0.4">
      <c r="A572" t="s">
        <v>2792</v>
      </c>
      <c r="B572" t="s">
        <v>4869</v>
      </c>
      <c r="C572">
        <v>880</v>
      </c>
    </row>
    <row r="573" spans="1:3" x14ac:dyDescent="0.4">
      <c r="A573" t="s">
        <v>1041</v>
      </c>
      <c r="B573" t="s">
        <v>4970</v>
      </c>
      <c r="C573">
        <v>1071</v>
      </c>
    </row>
    <row r="574" spans="1:3" x14ac:dyDescent="0.4">
      <c r="A574" t="s">
        <v>410</v>
      </c>
      <c r="B574" t="s">
        <v>5126</v>
      </c>
      <c r="C574">
        <v>1423</v>
      </c>
    </row>
    <row r="575" spans="1:3" x14ac:dyDescent="0.4">
      <c r="A575" t="s">
        <v>3396</v>
      </c>
      <c r="B575" t="s">
        <v>5052</v>
      </c>
      <c r="C575">
        <v>53</v>
      </c>
    </row>
    <row r="576" spans="1:3" x14ac:dyDescent="0.4">
      <c r="A576" t="s">
        <v>5016</v>
      </c>
      <c r="B576" t="s">
        <v>5018</v>
      </c>
      <c r="C576">
        <v>57</v>
      </c>
    </row>
    <row r="577" spans="1:3" x14ac:dyDescent="0.4">
      <c r="A577" t="s">
        <v>3275</v>
      </c>
      <c r="B577" t="s">
        <v>3276</v>
      </c>
      <c r="C577">
        <v>184</v>
      </c>
    </row>
    <row r="578" spans="1:3" x14ac:dyDescent="0.4">
      <c r="A578" t="s">
        <v>3425</v>
      </c>
      <c r="B578" t="s">
        <v>3426</v>
      </c>
      <c r="C578">
        <v>7</v>
      </c>
    </row>
    <row r="579" spans="1:3" x14ac:dyDescent="0.4">
      <c r="A579" t="s">
        <v>5013</v>
      </c>
      <c r="B579" t="s">
        <v>5015</v>
      </c>
      <c r="C579">
        <v>66</v>
      </c>
    </row>
    <row r="580" spans="1:3" x14ac:dyDescent="0.4">
      <c r="A580" t="s">
        <v>5011</v>
      </c>
      <c r="B580" t="s">
        <v>5008</v>
      </c>
      <c r="C580">
        <v>110</v>
      </c>
    </row>
    <row r="581" spans="1:3" x14ac:dyDescent="0.4">
      <c r="A581" t="s">
        <v>3419</v>
      </c>
      <c r="B581" t="s">
        <v>3420</v>
      </c>
      <c r="C581">
        <v>170</v>
      </c>
    </row>
    <row r="582" spans="1:3" x14ac:dyDescent="0.4">
      <c r="A582" t="s">
        <v>3213</v>
      </c>
      <c r="B582" t="s">
        <v>5021</v>
      </c>
      <c r="C582">
        <v>20</v>
      </c>
    </row>
    <row r="583" spans="1:3" x14ac:dyDescent="0.4">
      <c r="A583" t="s">
        <v>2507</v>
      </c>
      <c r="B583" t="s">
        <v>5060</v>
      </c>
      <c r="C583">
        <v>195</v>
      </c>
    </row>
    <row r="584" spans="1:3" x14ac:dyDescent="0.4">
      <c r="A584" t="s">
        <v>2609</v>
      </c>
      <c r="B584" t="s">
        <v>5060</v>
      </c>
      <c r="C584">
        <v>10</v>
      </c>
    </row>
    <row r="585" spans="1:3" x14ac:dyDescent="0.4">
      <c r="A585" t="s">
        <v>2475</v>
      </c>
      <c r="B585" t="s">
        <v>4958</v>
      </c>
      <c r="C585">
        <v>123</v>
      </c>
    </row>
    <row r="586" spans="1:3" x14ac:dyDescent="0.4">
      <c r="A586" t="s">
        <v>3412</v>
      </c>
      <c r="B586" t="s">
        <v>1829</v>
      </c>
      <c r="C586">
        <v>14</v>
      </c>
    </row>
    <row r="587" spans="1:3" x14ac:dyDescent="0.4">
      <c r="A587" t="s">
        <v>4619</v>
      </c>
      <c r="C587">
        <v>106085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1E7E-BC9C-4DAE-9EC8-8978FD82D40A}">
  <dimension ref="B1:G2100"/>
  <sheetViews>
    <sheetView workbookViewId="0">
      <pane ySplit="2" topLeftCell="A1130" activePane="bottomLeft" state="frozen"/>
      <selection pane="bottomLeft" activeCell="C1137" sqref="C1137"/>
    </sheetView>
  </sheetViews>
  <sheetFormatPr defaultRowHeight="15.6" x14ac:dyDescent="0.4"/>
  <cols>
    <col min="1" max="1" width="8.796875" style="39"/>
    <col min="2" max="2" width="18.796875" style="39" bestFit="1" customWidth="1"/>
    <col min="3" max="3" width="43.8984375" style="39" bestFit="1" customWidth="1"/>
    <col min="4" max="4" width="20.69921875" style="52" customWidth="1"/>
    <col min="5" max="5" width="9.69921875" style="52" bestFit="1" customWidth="1"/>
    <col min="6" max="6" width="12" style="39" bestFit="1" customWidth="1"/>
    <col min="7" max="16384" width="8.796875" style="39"/>
  </cols>
  <sheetData>
    <row r="1" spans="2:7" ht="17.399999999999999" customHeight="1" x14ac:dyDescent="0.4">
      <c r="B1" s="56" t="s">
        <v>21</v>
      </c>
      <c r="C1" s="56" t="s">
        <v>20</v>
      </c>
      <c r="D1" s="58" t="s">
        <v>9</v>
      </c>
      <c r="E1" s="58" t="s">
        <v>4750</v>
      </c>
      <c r="F1" s="60" t="s">
        <v>4748</v>
      </c>
      <c r="G1" s="61"/>
    </row>
    <row r="2" spans="2:7" x14ac:dyDescent="0.4">
      <c r="B2" s="57"/>
      <c r="C2" s="57"/>
      <c r="D2" s="59"/>
      <c r="E2" s="59"/>
      <c r="F2" s="40" t="s">
        <v>4749</v>
      </c>
      <c r="G2" s="40" t="s">
        <v>4846</v>
      </c>
    </row>
    <row r="3" spans="2:7" x14ac:dyDescent="0.35">
      <c r="B3" s="41" t="s">
        <v>2178</v>
      </c>
      <c r="C3" s="41" t="s">
        <v>2177</v>
      </c>
      <c r="D3" s="42" t="s">
        <v>2179</v>
      </c>
      <c r="E3" s="43" t="s">
        <v>4772</v>
      </c>
      <c r="F3" s="44"/>
      <c r="G3" s="44" t="s">
        <v>4823</v>
      </c>
    </row>
    <row r="4" spans="2:7" x14ac:dyDescent="0.35">
      <c r="B4" s="41" t="s">
        <v>2193</v>
      </c>
      <c r="C4" s="41" t="s">
        <v>2192</v>
      </c>
      <c r="D4" s="42" t="s">
        <v>2163</v>
      </c>
      <c r="E4" s="43" t="s">
        <v>4772</v>
      </c>
      <c r="F4" s="44"/>
      <c r="G4" s="44" t="s">
        <v>4823</v>
      </c>
    </row>
    <row r="5" spans="2:7" x14ac:dyDescent="0.35">
      <c r="B5" s="41" t="s">
        <v>2195</v>
      </c>
      <c r="C5" s="41" t="s">
        <v>2194</v>
      </c>
      <c r="D5" s="42" t="s">
        <v>2163</v>
      </c>
      <c r="E5" s="43" t="s">
        <v>4772</v>
      </c>
      <c r="F5" s="44"/>
      <c r="G5" s="44" t="s">
        <v>4823</v>
      </c>
    </row>
    <row r="6" spans="2:7" x14ac:dyDescent="0.35">
      <c r="B6" s="41" t="s">
        <v>2197</v>
      </c>
      <c r="C6" s="41" t="s">
        <v>2196</v>
      </c>
      <c r="D6" s="42" t="s">
        <v>2153</v>
      </c>
      <c r="E6" s="43" t="s">
        <v>4772</v>
      </c>
      <c r="F6" s="44"/>
      <c r="G6" s="44" t="s">
        <v>4823</v>
      </c>
    </row>
    <row r="7" spans="2:7" x14ac:dyDescent="0.35">
      <c r="B7" s="41" t="s">
        <v>2199</v>
      </c>
      <c r="C7" s="41" t="s">
        <v>2198</v>
      </c>
      <c r="D7" s="42" t="s">
        <v>2153</v>
      </c>
      <c r="E7" s="43" t="s">
        <v>4772</v>
      </c>
      <c r="F7" s="44"/>
      <c r="G7" s="44" t="s">
        <v>4823</v>
      </c>
    </row>
    <row r="8" spans="2:7" x14ac:dyDescent="0.35">
      <c r="B8" s="41" t="s">
        <v>2203</v>
      </c>
      <c r="C8" s="41" t="s">
        <v>2202</v>
      </c>
      <c r="D8" s="42" t="s">
        <v>2153</v>
      </c>
      <c r="E8" s="43" t="s">
        <v>4772</v>
      </c>
      <c r="F8" s="44"/>
      <c r="G8" s="44" t="s">
        <v>4823</v>
      </c>
    </row>
    <row r="9" spans="2:7" x14ac:dyDescent="0.35">
      <c r="B9" s="41" t="s">
        <v>2087</v>
      </c>
      <c r="C9" s="41" t="s">
        <v>2086</v>
      </c>
      <c r="D9" s="42" t="s">
        <v>2085</v>
      </c>
      <c r="E9" s="43"/>
      <c r="F9" s="44"/>
      <c r="G9" s="44" t="s">
        <v>4823</v>
      </c>
    </row>
    <row r="10" spans="2:7" x14ac:dyDescent="0.35">
      <c r="B10" s="45" t="s">
        <v>2132</v>
      </c>
      <c r="C10" s="45" t="s">
        <v>2131</v>
      </c>
      <c r="D10" s="42" t="s">
        <v>2126</v>
      </c>
      <c r="E10" s="43"/>
      <c r="F10" s="44"/>
      <c r="G10" s="44" t="s">
        <v>4823</v>
      </c>
    </row>
    <row r="11" spans="2:7" x14ac:dyDescent="0.35">
      <c r="B11" s="41" t="s">
        <v>2190</v>
      </c>
      <c r="C11" s="41" t="s">
        <v>2189</v>
      </c>
      <c r="D11" s="42" t="s">
        <v>2191</v>
      </c>
      <c r="E11" s="43"/>
      <c r="F11" s="44"/>
      <c r="G11" s="44" t="s">
        <v>4823</v>
      </c>
    </row>
    <row r="12" spans="2:7" x14ac:dyDescent="0.35">
      <c r="B12" s="41" t="s">
        <v>2305</v>
      </c>
      <c r="C12" s="41" t="s">
        <v>2304</v>
      </c>
      <c r="D12" s="42" t="s">
        <v>2293</v>
      </c>
      <c r="E12" s="43"/>
      <c r="F12" s="44"/>
      <c r="G12" s="44" t="s">
        <v>4823</v>
      </c>
    </row>
    <row r="13" spans="2:7" x14ac:dyDescent="0.35">
      <c r="B13" s="45" t="s">
        <v>2322</v>
      </c>
      <c r="C13" s="45" t="s">
        <v>2321</v>
      </c>
      <c r="D13" s="42" t="s">
        <v>2293</v>
      </c>
      <c r="E13" s="43"/>
      <c r="F13" s="44"/>
      <c r="G13" s="44" t="s">
        <v>4823</v>
      </c>
    </row>
    <row r="14" spans="2:7" x14ac:dyDescent="0.35">
      <c r="B14" s="41" t="s">
        <v>2826</v>
      </c>
      <c r="C14" s="41" t="s">
        <v>2825</v>
      </c>
      <c r="D14" s="42" t="s">
        <v>2818</v>
      </c>
      <c r="E14" s="43"/>
      <c r="F14" s="44"/>
      <c r="G14" s="44" t="s">
        <v>4823</v>
      </c>
    </row>
    <row r="15" spans="2:7" x14ac:dyDescent="0.35">
      <c r="B15" s="41" t="s">
        <v>2828</v>
      </c>
      <c r="C15" s="41" t="s">
        <v>2827</v>
      </c>
      <c r="D15" s="42" t="s">
        <v>2829</v>
      </c>
      <c r="E15" s="43"/>
      <c r="F15" s="44"/>
      <c r="G15" s="44" t="s">
        <v>4823</v>
      </c>
    </row>
    <row r="16" spans="2:7" x14ac:dyDescent="0.35">
      <c r="B16" s="41" t="s">
        <v>2831</v>
      </c>
      <c r="C16" s="41" t="s">
        <v>2830</v>
      </c>
      <c r="D16" s="42" t="s">
        <v>2829</v>
      </c>
      <c r="E16" s="43"/>
      <c r="F16" s="44"/>
      <c r="G16" s="44" t="s">
        <v>4823</v>
      </c>
    </row>
    <row r="17" spans="2:7" x14ac:dyDescent="0.4">
      <c r="B17" s="46" t="s">
        <v>4644</v>
      </c>
      <c r="C17" s="46"/>
      <c r="D17" s="42" t="s">
        <v>4645</v>
      </c>
      <c r="E17" s="43"/>
      <c r="F17" s="44"/>
      <c r="G17" s="44" t="s">
        <v>4823</v>
      </c>
    </row>
    <row r="18" spans="2:7" x14ac:dyDescent="0.4">
      <c r="B18" s="46" t="s">
        <v>4646</v>
      </c>
      <c r="C18" s="46"/>
      <c r="D18" s="42" t="s">
        <v>4647</v>
      </c>
      <c r="E18" s="43"/>
      <c r="F18" s="44"/>
      <c r="G18" s="44" t="s">
        <v>4823</v>
      </c>
    </row>
    <row r="19" spans="2:7" x14ac:dyDescent="0.4">
      <c r="B19" s="46" t="s">
        <v>4648</v>
      </c>
      <c r="C19" s="46"/>
      <c r="D19" s="42" t="s">
        <v>4645</v>
      </c>
      <c r="E19" s="43"/>
      <c r="F19" s="44"/>
      <c r="G19" s="44" t="s">
        <v>4823</v>
      </c>
    </row>
    <row r="20" spans="2:7" x14ac:dyDescent="0.35">
      <c r="B20" s="41" t="s">
        <v>29</v>
      </c>
      <c r="C20" s="41" t="s">
        <v>28</v>
      </c>
      <c r="D20" s="42" t="s">
        <v>24</v>
      </c>
      <c r="E20" s="43" t="s">
        <v>4769</v>
      </c>
      <c r="F20" s="44"/>
      <c r="G20" s="44" t="s">
        <v>4823</v>
      </c>
    </row>
    <row r="21" spans="2:7" x14ac:dyDescent="0.35">
      <c r="B21" s="41" t="s">
        <v>51</v>
      </c>
      <c r="C21" s="41" t="s">
        <v>50</v>
      </c>
      <c r="D21" s="42" t="s">
        <v>24</v>
      </c>
      <c r="E21" s="43" t="s">
        <v>4769</v>
      </c>
      <c r="F21" s="44"/>
      <c r="G21" s="44" t="s">
        <v>4823</v>
      </c>
    </row>
    <row r="22" spans="2:7" x14ac:dyDescent="0.35">
      <c r="B22" s="41" t="s">
        <v>2136</v>
      </c>
      <c r="C22" s="41" t="s">
        <v>2135</v>
      </c>
      <c r="D22" s="42" t="s">
        <v>2126</v>
      </c>
      <c r="E22" s="43" t="s">
        <v>4769</v>
      </c>
      <c r="F22" s="44"/>
      <c r="G22" s="44" t="s">
        <v>4823</v>
      </c>
    </row>
    <row r="23" spans="2:7" x14ac:dyDescent="0.35">
      <c r="B23" s="41" t="s">
        <v>2236</v>
      </c>
      <c r="C23" s="41" t="s">
        <v>2235</v>
      </c>
      <c r="D23" s="42" t="s">
        <v>241</v>
      </c>
      <c r="E23" s="43" t="s">
        <v>4769</v>
      </c>
      <c r="F23" s="44"/>
      <c r="G23" s="44" t="s">
        <v>4823</v>
      </c>
    </row>
    <row r="24" spans="2:7" x14ac:dyDescent="0.35">
      <c r="B24" s="41" t="s">
        <v>2125</v>
      </c>
      <c r="C24" s="41" t="s">
        <v>2124</v>
      </c>
      <c r="D24" s="42" t="s">
        <v>2126</v>
      </c>
      <c r="E24" s="43" t="s">
        <v>4777</v>
      </c>
      <c r="F24" s="44"/>
      <c r="G24" s="44" t="s">
        <v>4823</v>
      </c>
    </row>
    <row r="25" spans="2:7" x14ac:dyDescent="0.35">
      <c r="B25" s="41" t="s">
        <v>2134</v>
      </c>
      <c r="C25" s="41" t="s">
        <v>2133</v>
      </c>
      <c r="D25" s="42" t="s">
        <v>2126</v>
      </c>
      <c r="E25" s="43" t="s">
        <v>4777</v>
      </c>
      <c r="F25" s="44"/>
      <c r="G25" s="44" t="s">
        <v>4823</v>
      </c>
    </row>
    <row r="26" spans="2:7" x14ac:dyDescent="0.35">
      <c r="B26" s="41" t="s">
        <v>2145</v>
      </c>
      <c r="C26" s="41" t="s">
        <v>2144</v>
      </c>
      <c r="D26" s="42" t="s">
        <v>2146</v>
      </c>
      <c r="E26" s="43" t="s">
        <v>4777</v>
      </c>
      <c r="F26" s="44"/>
      <c r="G26" s="44" t="s">
        <v>4823</v>
      </c>
    </row>
    <row r="27" spans="2:7" x14ac:dyDescent="0.35">
      <c r="B27" s="41" t="s">
        <v>2148</v>
      </c>
      <c r="C27" s="41" t="s">
        <v>2147</v>
      </c>
      <c r="D27" s="42" t="s">
        <v>2146</v>
      </c>
      <c r="E27" s="43" t="s">
        <v>4777</v>
      </c>
      <c r="F27" s="44"/>
      <c r="G27" s="44" t="s">
        <v>4823</v>
      </c>
    </row>
    <row r="28" spans="2:7" x14ac:dyDescent="0.35">
      <c r="B28" s="41" t="s">
        <v>2150</v>
      </c>
      <c r="C28" s="41" t="s">
        <v>2149</v>
      </c>
      <c r="D28" s="42" t="s">
        <v>2153</v>
      </c>
      <c r="E28" s="43" t="s">
        <v>4777</v>
      </c>
      <c r="F28" s="44"/>
      <c r="G28" s="44" t="s">
        <v>4823</v>
      </c>
    </row>
    <row r="29" spans="2:7" x14ac:dyDescent="0.35">
      <c r="B29" s="41" t="s">
        <v>2155</v>
      </c>
      <c r="C29" s="41" t="s">
        <v>2154</v>
      </c>
      <c r="D29" s="42" t="s">
        <v>2146</v>
      </c>
      <c r="E29" s="43" t="s">
        <v>4777</v>
      </c>
      <c r="F29" s="44"/>
      <c r="G29" s="44" t="s">
        <v>4823</v>
      </c>
    </row>
    <row r="30" spans="2:7" x14ac:dyDescent="0.35">
      <c r="B30" s="41" t="s">
        <v>2229</v>
      </c>
      <c r="C30" s="41" t="s">
        <v>2228</v>
      </c>
      <c r="D30" s="42" t="s">
        <v>2227</v>
      </c>
      <c r="E30" s="43" t="s">
        <v>4789</v>
      </c>
      <c r="F30" s="44"/>
      <c r="G30" s="44" t="s">
        <v>4823</v>
      </c>
    </row>
    <row r="31" spans="2:7" x14ac:dyDescent="0.35">
      <c r="B31" s="41" t="s">
        <v>2084</v>
      </c>
      <c r="C31" s="41" t="s">
        <v>2083</v>
      </c>
      <c r="D31" s="42" t="s">
        <v>2085</v>
      </c>
      <c r="E31" s="43" t="s">
        <v>4772</v>
      </c>
      <c r="F31" s="44"/>
      <c r="G31" s="44" t="s">
        <v>4823</v>
      </c>
    </row>
    <row r="32" spans="2:7" x14ac:dyDescent="0.35">
      <c r="B32" s="41" t="s">
        <v>2089</v>
      </c>
      <c r="C32" s="41" t="s">
        <v>2088</v>
      </c>
      <c r="D32" s="42" t="s">
        <v>2085</v>
      </c>
      <c r="E32" s="43" t="s">
        <v>4772</v>
      </c>
      <c r="F32" s="44"/>
      <c r="G32" s="44" t="s">
        <v>4823</v>
      </c>
    </row>
    <row r="33" spans="2:7" x14ac:dyDescent="0.35">
      <c r="B33" s="41" t="s">
        <v>2201</v>
      </c>
      <c r="C33" s="41" t="s">
        <v>2200</v>
      </c>
      <c r="D33" s="42" t="s">
        <v>2153</v>
      </c>
      <c r="E33" s="43" t="s">
        <v>4772</v>
      </c>
      <c r="F33" s="44"/>
      <c r="G33" s="44" t="s">
        <v>4823</v>
      </c>
    </row>
    <row r="34" spans="2:7" x14ac:dyDescent="0.35">
      <c r="B34" s="41" t="s">
        <v>2205</v>
      </c>
      <c r="C34" s="41" t="s">
        <v>2204</v>
      </c>
      <c r="D34" s="42" t="s">
        <v>2153</v>
      </c>
      <c r="E34" s="43" t="s">
        <v>4772</v>
      </c>
      <c r="F34" s="44"/>
      <c r="G34" s="44" t="s">
        <v>4823</v>
      </c>
    </row>
    <row r="35" spans="2:7" x14ac:dyDescent="0.35">
      <c r="B35" s="41" t="s">
        <v>2857</v>
      </c>
      <c r="C35" s="41" t="s">
        <v>2856</v>
      </c>
      <c r="D35" s="42" t="s">
        <v>2853</v>
      </c>
      <c r="E35" s="43" t="s">
        <v>4763</v>
      </c>
      <c r="F35" s="44"/>
      <c r="G35" s="44" t="s">
        <v>4823</v>
      </c>
    </row>
    <row r="36" spans="2:7" x14ac:dyDescent="0.35">
      <c r="B36" s="41" t="s">
        <v>2776</v>
      </c>
      <c r="C36" s="41" t="s">
        <v>2775</v>
      </c>
      <c r="D36" s="42" t="s">
        <v>2639</v>
      </c>
      <c r="E36" s="43" t="s">
        <v>4752</v>
      </c>
      <c r="F36" s="44"/>
      <c r="G36" s="44" t="s">
        <v>4823</v>
      </c>
    </row>
    <row r="37" spans="2:7" x14ac:dyDescent="0.35">
      <c r="B37" s="41" t="s">
        <v>2256</v>
      </c>
      <c r="C37" s="41" t="s">
        <v>2255</v>
      </c>
      <c r="D37" s="42" t="s">
        <v>369</v>
      </c>
      <c r="E37" s="43" t="s">
        <v>4754</v>
      </c>
      <c r="F37" s="44"/>
      <c r="G37" s="44" t="s">
        <v>4823</v>
      </c>
    </row>
    <row r="38" spans="2:7" x14ac:dyDescent="0.35">
      <c r="B38" s="41" t="s">
        <v>2757</v>
      </c>
      <c r="C38" s="41" t="s">
        <v>2756</v>
      </c>
      <c r="D38" s="42" t="s">
        <v>2751</v>
      </c>
      <c r="E38" s="43" t="s">
        <v>4799</v>
      </c>
      <c r="F38" s="44"/>
      <c r="G38" s="44" t="s">
        <v>4823</v>
      </c>
    </row>
    <row r="39" spans="2:7" x14ac:dyDescent="0.35">
      <c r="B39" s="41" t="s">
        <v>969</v>
      </c>
      <c r="C39" s="41" t="s">
        <v>968</v>
      </c>
      <c r="D39" s="42" t="s">
        <v>860</v>
      </c>
      <c r="E39" s="43" t="s">
        <v>4756</v>
      </c>
      <c r="F39" s="44"/>
      <c r="G39" s="44" t="s">
        <v>4823</v>
      </c>
    </row>
    <row r="40" spans="2:7" x14ac:dyDescent="0.4">
      <c r="B40" s="47" t="s">
        <v>2234</v>
      </c>
      <c r="C40" s="47" t="s">
        <v>2233</v>
      </c>
      <c r="D40" s="42" t="s">
        <v>244</v>
      </c>
      <c r="E40" s="43" t="s">
        <v>4760</v>
      </c>
      <c r="F40" s="44"/>
      <c r="G40" s="44" t="s">
        <v>4823</v>
      </c>
    </row>
    <row r="41" spans="2:7" x14ac:dyDescent="0.35">
      <c r="B41" s="41" t="s">
        <v>1624</v>
      </c>
      <c r="C41" s="41" t="s">
        <v>1623</v>
      </c>
      <c r="D41" s="42" t="s">
        <v>1614</v>
      </c>
      <c r="E41" s="43" t="s">
        <v>4773</v>
      </c>
      <c r="F41" s="44"/>
      <c r="G41" s="44" t="s">
        <v>4823</v>
      </c>
    </row>
    <row r="42" spans="2:7" x14ac:dyDescent="0.35">
      <c r="B42" s="41" t="s">
        <v>2128</v>
      </c>
      <c r="C42" s="41" t="s">
        <v>2127</v>
      </c>
      <c r="D42" s="42" t="s">
        <v>2126</v>
      </c>
      <c r="E42" s="43" t="s">
        <v>4773</v>
      </c>
      <c r="F42" s="44"/>
      <c r="G42" s="44" t="s">
        <v>4823</v>
      </c>
    </row>
    <row r="43" spans="2:7" x14ac:dyDescent="0.35">
      <c r="B43" s="41" t="s">
        <v>2282</v>
      </c>
      <c r="C43" s="41" t="s">
        <v>2281</v>
      </c>
      <c r="D43" s="42" t="s">
        <v>2276</v>
      </c>
      <c r="E43" s="43" t="s">
        <v>4773</v>
      </c>
      <c r="F43" s="44"/>
      <c r="G43" s="44" t="s">
        <v>4823</v>
      </c>
    </row>
    <row r="44" spans="2:7" x14ac:dyDescent="0.35">
      <c r="B44" s="41" t="s">
        <v>2286</v>
      </c>
      <c r="C44" s="41" t="s">
        <v>2285</v>
      </c>
      <c r="D44" s="42" t="s">
        <v>2276</v>
      </c>
      <c r="E44" s="43" t="s">
        <v>4773</v>
      </c>
      <c r="F44" s="44"/>
      <c r="G44" s="44" t="s">
        <v>4823</v>
      </c>
    </row>
    <row r="45" spans="2:7" x14ac:dyDescent="0.35">
      <c r="B45" s="41" t="s">
        <v>2288</v>
      </c>
      <c r="C45" s="41" t="s">
        <v>2287</v>
      </c>
      <c r="D45" s="42" t="s">
        <v>2276</v>
      </c>
      <c r="E45" s="43" t="s">
        <v>4773</v>
      </c>
      <c r="F45" s="44"/>
      <c r="G45" s="44" t="s">
        <v>4823</v>
      </c>
    </row>
    <row r="46" spans="2:7" x14ac:dyDescent="0.35">
      <c r="B46" s="41" t="s">
        <v>2307</v>
      </c>
      <c r="C46" s="41" t="s">
        <v>2306</v>
      </c>
      <c r="D46" s="42" t="s">
        <v>2293</v>
      </c>
      <c r="E46" s="43" t="s">
        <v>4773</v>
      </c>
      <c r="F46" s="44"/>
      <c r="G46" s="44" t="s">
        <v>4823</v>
      </c>
    </row>
    <row r="47" spans="2:7" x14ac:dyDescent="0.35">
      <c r="B47" s="41" t="s">
        <v>2318</v>
      </c>
      <c r="C47" s="41" t="s">
        <v>2317</v>
      </c>
      <c r="D47" s="42" t="s">
        <v>3308</v>
      </c>
      <c r="E47" s="43" t="s">
        <v>4773</v>
      </c>
      <c r="F47" s="44"/>
      <c r="G47" s="44" t="s">
        <v>4823</v>
      </c>
    </row>
    <row r="48" spans="2:7" x14ac:dyDescent="0.35">
      <c r="B48" s="45" t="s">
        <v>2350</v>
      </c>
      <c r="C48" s="45" t="s">
        <v>2349</v>
      </c>
      <c r="D48" s="42" t="s">
        <v>2340</v>
      </c>
      <c r="E48" s="43" t="s">
        <v>4773</v>
      </c>
      <c r="F48" s="44"/>
      <c r="G48" s="44" t="s">
        <v>4823</v>
      </c>
    </row>
    <row r="49" spans="2:7" x14ac:dyDescent="0.35">
      <c r="B49" s="41" t="s">
        <v>2369</v>
      </c>
      <c r="C49" s="41" t="s">
        <v>2368</v>
      </c>
      <c r="D49" s="42" t="s">
        <v>2361</v>
      </c>
      <c r="E49" s="43" t="s">
        <v>4773</v>
      </c>
      <c r="F49" s="44"/>
      <c r="G49" s="44" t="s">
        <v>4823</v>
      </c>
    </row>
    <row r="50" spans="2:7" x14ac:dyDescent="0.35">
      <c r="B50" s="41" t="s">
        <v>2375</v>
      </c>
      <c r="C50" s="41" t="s">
        <v>2374</v>
      </c>
      <c r="D50" s="42" t="s">
        <v>2361</v>
      </c>
      <c r="E50" s="43" t="s">
        <v>4773</v>
      </c>
      <c r="F50" s="44"/>
      <c r="G50" s="44" t="s">
        <v>4823</v>
      </c>
    </row>
    <row r="51" spans="2:7" x14ac:dyDescent="0.35">
      <c r="B51" s="41" t="s">
        <v>2377</v>
      </c>
      <c r="C51" s="41" t="s">
        <v>2376</v>
      </c>
      <c r="D51" s="42" t="s">
        <v>2361</v>
      </c>
      <c r="E51" s="43" t="s">
        <v>4773</v>
      </c>
      <c r="F51" s="44"/>
      <c r="G51" s="44" t="s">
        <v>4823</v>
      </c>
    </row>
    <row r="52" spans="2:7" x14ac:dyDescent="0.35">
      <c r="B52" s="41" t="s">
        <v>2381</v>
      </c>
      <c r="C52" s="41" t="s">
        <v>2380</v>
      </c>
      <c r="D52" s="42" t="s">
        <v>2361</v>
      </c>
      <c r="E52" s="43" t="s">
        <v>4773</v>
      </c>
      <c r="F52" s="44"/>
      <c r="G52" s="44" t="s">
        <v>4823</v>
      </c>
    </row>
    <row r="53" spans="2:7" x14ac:dyDescent="0.35">
      <c r="B53" s="41" t="s">
        <v>2383</v>
      </c>
      <c r="C53" s="41" t="s">
        <v>2382</v>
      </c>
      <c r="D53" s="42" t="s">
        <v>2361</v>
      </c>
      <c r="E53" s="43" t="s">
        <v>4773</v>
      </c>
      <c r="F53" s="44"/>
      <c r="G53" s="44" t="s">
        <v>4823</v>
      </c>
    </row>
    <row r="54" spans="2:7" x14ac:dyDescent="0.35">
      <c r="B54" s="41" t="s">
        <v>2385</v>
      </c>
      <c r="C54" s="41" t="s">
        <v>2384</v>
      </c>
      <c r="D54" s="42" t="s">
        <v>2356</v>
      </c>
      <c r="E54" s="43" t="s">
        <v>4773</v>
      </c>
      <c r="F54" s="44"/>
      <c r="G54" s="44" t="s">
        <v>4823</v>
      </c>
    </row>
    <row r="55" spans="2:7" x14ac:dyDescent="0.35">
      <c r="B55" s="41" t="s">
        <v>2389</v>
      </c>
      <c r="C55" s="41" t="s">
        <v>2388</v>
      </c>
      <c r="D55" s="42" t="s">
        <v>2356</v>
      </c>
      <c r="E55" s="43" t="s">
        <v>4773</v>
      </c>
      <c r="F55" s="44"/>
      <c r="G55" s="44" t="s">
        <v>4823</v>
      </c>
    </row>
    <row r="56" spans="2:7" x14ac:dyDescent="0.35">
      <c r="B56" s="41" t="s">
        <v>2391</v>
      </c>
      <c r="C56" s="41" t="s">
        <v>2390</v>
      </c>
      <c r="D56" s="42" t="s">
        <v>2356</v>
      </c>
      <c r="E56" s="43" t="s">
        <v>4773</v>
      </c>
      <c r="F56" s="44"/>
      <c r="G56" s="44" t="s">
        <v>4823</v>
      </c>
    </row>
    <row r="57" spans="2:7" x14ac:dyDescent="0.35">
      <c r="B57" s="41" t="s">
        <v>2393</v>
      </c>
      <c r="C57" s="41" t="s">
        <v>2392</v>
      </c>
      <c r="D57" s="42" t="s">
        <v>2356</v>
      </c>
      <c r="E57" s="43" t="s">
        <v>4773</v>
      </c>
      <c r="F57" s="44"/>
      <c r="G57" s="44" t="s">
        <v>4823</v>
      </c>
    </row>
    <row r="58" spans="2:7" x14ac:dyDescent="0.35">
      <c r="B58" s="41" t="s">
        <v>2395</v>
      </c>
      <c r="C58" s="41" t="s">
        <v>2394</v>
      </c>
      <c r="D58" s="42" t="s">
        <v>2356</v>
      </c>
      <c r="E58" s="43" t="s">
        <v>4773</v>
      </c>
      <c r="F58" s="44"/>
      <c r="G58" s="44" t="s">
        <v>4823</v>
      </c>
    </row>
    <row r="59" spans="2:7" x14ac:dyDescent="0.35">
      <c r="B59" s="41" t="s">
        <v>2397</v>
      </c>
      <c r="C59" s="41" t="s">
        <v>2396</v>
      </c>
      <c r="D59" s="42" t="s">
        <v>2356</v>
      </c>
      <c r="E59" s="43" t="s">
        <v>4773</v>
      </c>
      <c r="F59" s="44"/>
      <c r="G59" s="44" t="s">
        <v>4823</v>
      </c>
    </row>
    <row r="60" spans="2:7" x14ac:dyDescent="0.35">
      <c r="B60" s="41" t="s">
        <v>2399</v>
      </c>
      <c r="C60" s="41" t="s">
        <v>2398</v>
      </c>
      <c r="D60" s="42" t="s">
        <v>2400</v>
      </c>
      <c r="E60" s="43" t="s">
        <v>4773</v>
      </c>
      <c r="F60" s="44"/>
      <c r="G60" s="44" t="s">
        <v>4823</v>
      </c>
    </row>
    <row r="61" spans="2:7" x14ac:dyDescent="0.35">
      <c r="B61" s="41" t="s">
        <v>2402</v>
      </c>
      <c r="C61" s="41" t="s">
        <v>2401</v>
      </c>
      <c r="D61" s="42" t="s">
        <v>2400</v>
      </c>
      <c r="E61" s="43" t="s">
        <v>4773</v>
      </c>
      <c r="F61" s="44"/>
      <c r="G61" s="44" t="s">
        <v>4823</v>
      </c>
    </row>
    <row r="62" spans="2:7" x14ac:dyDescent="0.35">
      <c r="B62" s="41" t="s">
        <v>2404</v>
      </c>
      <c r="C62" s="41" t="s">
        <v>2403</v>
      </c>
      <c r="D62" s="42" t="s">
        <v>2400</v>
      </c>
      <c r="E62" s="43" t="s">
        <v>4773</v>
      </c>
      <c r="F62" s="44"/>
      <c r="G62" s="44" t="s">
        <v>4823</v>
      </c>
    </row>
    <row r="63" spans="2:7" x14ac:dyDescent="0.4">
      <c r="B63" s="48" t="s">
        <v>4844</v>
      </c>
      <c r="C63" s="46"/>
      <c r="D63" s="42"/>
      <c r="E63" s="42"/>
      <c r="F63" s="46"/>
      <c r="G63" s="44" t="s">
        <v>4823</v>
      </c>
    </row>
    <row r="64" spans="2:7" x14ac:dyDescent="0.35">
      <c r="B64" s="41" t="s">
        <v>40</v>
      </c>
      <c r="C64" s="41" t="s">
        <v>39</v>
      </c>
      <c r="D64" s="42" t="s">
        <v>36</v>
      </c>
      <c r="E64" s="43"/>
      <c r="F64" s="44"/>
      <c r="G64" s="44" t="s">
        <v>4823</v>
      </c>
    </row>
    <row r="65" spans="2:7" x14ac:dyDescent="0.35">
      <c r="B65" s="41" t="s">
        <v>2159</v>
      </c>
      <c r="C65" s="41" t="s">
        <v>2158</v>
      </c>
      <c r="D65" s="42" t="s">
        <v>2146</v>
      </c>
      <c r="E65" s="43"/>
      <c r="F65" s="44"/>
      <c r="G65" s="44" t="s">
        <v>4823</v>
      </c>
    </row>
    <row r="66" spans="2:7" x14ac:dyDescent="0.35">
      <c r="B66" s="41" t="s">
        <v>2130</v>
      </c>
      <c r="C66" s="41" t="s">
        <v>2129</v>
      </c>
      <c r="D66" s="42" t="s">
        <v>2126</v>
      </c>
      <c r="E66" s="43" t="s">
        <v>4777</v>
      </c>
      <c r="F66" s="44"/>
      <c r="G66" s="44" t="s">
        <v>4823</v>
      </c>
    </row>
    <row r="67" spans="2:7" x14ac:dyDescent="0.35">
      <c r="B67" s="41" t="s">
        <v>2152</v>
      </c>
      <c r="C67" s="41" t="s">
        <v>2151</v>
      </c>
      <c r="D67" s="42" t="s">
        <v>2153</v>
      </c>
      <c r="E67" s="43" t="s">
        <v>4777</v>
      </c>
      <c r="F67" s="44"/>
      <c r="G67" s="44" t="s">
        <v>4823</v>
      </c>
    </row>
    <row r="68" spans="2:7" x14ac:dyDescent="0.35">
      <c r="B68" s="41" t="s">
        <v>2254</v>
      </c>
      <c r="C68" s="41" t="s">
        <v>2253</v>
      </c>
      <c r="D68" s="42" t="s">
        <v>241</v>
      </c>
      <c r="E68" s="43" t="s">
        <v>4760</v>
      </c>
      <c r="F68" s="44"/>
      <c r="G68" s="44" t="s">
        <v>4823</v>
      </c>
    </row>
    <row r="69" spans="2:7" x14ac:dyDescent="0.35">
      <c r="B69" s="41" t="s">
        <v>2379</v>
      </c>
      <c r="C69" s="41" t="s">
        <v>2378</v>
      </c>
      <c r="D69" s="42" t="s">
        <v>2361</v>
      </c>
      <c r="E69" s="43" t="s">
        <v>4773</v>
      </c>
      <c r="F69" s="44"/>
      <c r="G69" s="44" t="s">
        <v>4823</v>
      </c>
    </row>
    <row r="70" spans="2:7" x14ac:dyDescent="0.35">
      <c r="B70" s="41" t="s">
        <v>2290</v>
      </c>
      <c r="C70" s="41" t="s">
        <v>2289</v>
      </c>
      <c r="D70" s="42" t="s">
        <v>1840</v>
      </c>
      <c r="E70" s="43" t="s">
        <v>4773</v>
      </c>
      <c r="F70" s="44"/>
      <c r="G70" s="44" t="s">
        <v>4823</v>
      </c>
    </row>
    <row r="71" spans="2:7" x14ac:dyDescent="0.35">
      <c r="B71" s="41" t="s">
        <v>2387</v>
      </c>
      <c r="C71" s="41" t="s">
        <v>2386</v>
      </c>
      <c r="D71" s="42" t="s">
        <v>2356</v>
      </c>
      <c r="E71" s="43" t="s">
        <v>4773</v>
      </c>
      <c r="F71" s="44"/>
      <c r="G71" s="44" t="s">
        <v>4823</v>
      </c>
    </row>
    <row r="72" spans="2:7" x14ac:dyDescent="0.4">
      <c r="B72" s="46" t="s">
        <v>4056</v>
      </c>
      <c r="C72" s="46" t="s">
        <v>4055</v>
      </c>
      <c r="D72" s="42" t="s">
        <v>4674</v>
      </c>
      <c r="E72" s="43"/>
      <c r="F72" s="44" t="s">
        <v>4823</v>
      </c>
      <c r="G72" s="46"/>
    </row>
    <row r="73" spans="2:7" x14ac:dyDescent="0.35">
      <c r="B73" s="41" t="s">
        <v>3912</v>
      </c>
      <c r="C73" s="41" t="s">
        <v>3911</v>
      </c>
      <c r="D73" s="42" t="s">
        <v>3913</v>
      </c>
      <c r="E73" s="43" t="s">
        <v>4764</v>
      </c>
      <c r="F73" s="44" t="s">
        <v>4823</v>
      </c>
      <c r="G73" s="46"/>
    </row>
    <row r="74" spans="2:7" x14ac:dyDescent="0.35">
      <c r="B74" s="41" t="s">
        <v>4034</v>
      </c>
      <c r="C74" s="41" t="s">
        <v>4033</v>
      </c>
      <c r="D74" s="42" t="s">
        <v>3799</v>
      </c>
      <c r="E74" s="43" t="s">
        <v>4767</v>
      </c>
      <c r="F74" s="44" t="s">
        <v>4823</v>
      </c>
      <c r="G74" s="46"/>
    </row>
    <row r="75" spans="2:7" x14ac:dyDescent="0.35">
      <c r="B75" s="41" t="s">
        <v>3915</v>
      </c>
      <c r="C75" s="41" t="s">
        <v>3914</v>
      </c>
      <c r="D75" s="42" t="s">
        <v>3871</v>
      </c>
      <c r="E75" s="43" t="s">
        <v>4765</v>
      </c>
      <c r="F75" s="44" t="s">
        <v>4823</v>
      </c>
      <c r="G75" s="46"/>
    </row>
    <row r="76" spans="2:7" x14ac:dyDescent="0.35">
      <c r="B76" s="41" t="s">
        <v>3898</v>
      </c>
      <c r="C76" s="41" t="s">
        <v>3897</v>
      </c>
      <c r="D76" s="42" t="s">
        <v>3896</v>
      </c>
      <c r="E76" s="43" t="s">
        <v>4762</v>
      </c>
      <c r="F76" s="44" t="s">
        <v>4823</v>
      </c>
      <c r="G76" s="46"/>
    </row>
    <row r="77" spans="2:7" x14ac:dyDescent="0.35">
      <c r="B77" s="41" t="s">
        <v>3902</v>
      </c>
      <c r="C77" s="41" t="s">
        <v>3901</v>
      </c>
      <c r="D77" s="42" t="s">
        <v>3896</v>
      </c>
      <c r="E77" s="43" t="s">
        <v>4762</v>
      </c>
      <c r="F77" s="44" t="s">
        <v>4823</v>
      </c>
      <c r="G77" s="46"/>
    </row>
    <row r="78" spans="2:7" x14ac:dyDescent="0.35">
      <c r="B78" s="41" t="s">
        <v>3904</v>
      </c>
      <c r="C78" s="41" t="s">
        <v>3903</v>
      </c>
      <c r="D78" s="42" t="s">
        <v>4722</v>
      </c>
      <c r="E78" s="43" t="s">
        <v>4762</v>
      </c>
      <c r="F78" s="44" t="s">
        <v>4823</v>
      </c>
      <c r="G78" s="46"/>
    </row>
    <row r="79" spans="2:7" x14ac:dyDescent="0.4">
      <c r="B79" s="46" t="s">
        <v>3909</v>
      </c>
      <c r="C79" s="46"/>
      <c r="D79" s="42" t="s">
        <v>3910</v>
      </c>
      <c r="E79" s="43" t="s">
        <v>4763</v>
      </c>
      <c r="F79" s="44" t="s">
        <v>4823</v>
      </c>
      <c r="G79" s="46"/>
    </row>
    <row r="80" spans="2:7" x14ac:dyDescent="0.4">
      <c r="B80" s="46" t="s">
        <v>4727</v>
      </c>
      <c r="C80" s="46"/>
      <c r="D80" s="42" t="s">
        <v>4729</v>
      </c>
      <c r="E80" s="43" t="s">
        <v>4763</v>
      </c>
      <c r="F80" s="44" t="s">
        <v>4823</v>
      </c>
      <c r="G80" s="46"/>
    </row>
    <row r="81" spans="2:7" x14ac:dyDescent="0.35">
      <c r="B81" s="41" t="s">
        <v>3831</v>
      </c>
      <c r="C81" s="41" t="s">
        <v>3830</v>
      </c>
      <c r="D81" s="42" t="s">
        <v>3823</v>
      </c>
      <c r="E81" s="43" t="s">
        <v>4752</v>
      </c>
      <c r="F81" s="44" t="s">
        <v>4823</v>
      </c>
      <c r="G81" s="46"/>
    </row>
    <row r="82" spans="2:7" x14ac:dyDescent="0.35">
      <c r="B82" s="41" t="s">
        <v>3853</v>
      </c>
      <c r="C82" s="41" t="s">
        <v>3852</v>
      </c>
      <c r="D82" s="42" t="s">
        <v>3854</v>
      </c>
      <c r="E82" s="43" t="s">
        <v>4752</v>
      </c>
      <c r="F82" s="44" t="s">
        <v>4823</v>
      </c>
      <c r="G82" s="46"/>
    </row>
    <row r="83" spans="2:7" x14ac:dyDescent="0.35">
      <c r="B83" s="41" t="s">
        <v>3829</v>
      </c>
      <c r="C83" s="41" t="s">
        <v>3828</v>
      </c>
      <c r="D83" s="42" t="s">
        <v>3823</v>
      </c>
      <c r="E83" s="43" t="s">
        <v>4752</v>
      </c>
      <c r="F83" s="44" t="s">
        <v>4823</v>
      </c>
      <c r="G83" s="46"/>
    </row>
    <row r="84" spans="2:7" x14ac:dyDescent="0.35">
      <c r="B84" s="41" t="s">
        <v>3827</v>
      </c>
      <c r="C84" s="41" t="s">
        <v>3826</v>
      </c>
      <c r="D84" s="42" t="s">
        <v>3823</v>
      </c>
      <c r="E84" s="43" t="s">
        <v>4752</v>
      </c>
      <c r="F84" s="44" t="s">
        <v>4823</v>
      </c>
      <c r="G84" s="46"/>
    </row>
    <row r="85" spans="2:7" x14ac:dyDescent="0.35">
      <c r="B85" s="41" t="s">
        <v>3847</v>
      </c>
      <c r="C85" s="41" t="s">
        <v>3846</v>
      </c>
      <c r="D85" s="42" t="s">
        <v>3839</v>
      </c>
      <c r="E85" s="43" t="s">
        <v>4752</v>
      </c>
      <c r="F85" s="44" t="s">
        <v>4823</v>
      </c>
      <c r="G85" s="46"/>
    </row>
    <row r="86" spans="2:7" x14ac:dyDescent="0.35">
      <c r="B86" s="41" t="s">
        <v>3843</v>
      </c>
      <c r="C86" s="41" t="s">
        <v>3842</v>
      </c>
      <c r="D86" s="42" t="s">
        <v>3839</v>
      </c>
      <c r="E86" s="43" t="s">
        <v>4752</v>
      </c>
      <c r="F86" s="44" t="s">
        <v>4823</v>
      </c>
      <c r="G86" s="46"/>
    </row>
    <row r="87" spans="2:7" x14ac:dyDescent="0.35">
      <c r="B87" s="41" t="s">
        <v>3860</v>
      </c>
      <c r="C87" s="41" t="s">
        <v>3859</v>
      </c>
      <c r="D87" s="42" t="s">
        <v>3854</v>
      </c>
      <c r="E87" s="43" t="s">
        <v>4752</v>
      </c>
      <c r="F87" s="44" t="s">
        <v>4823</v>
      </c>
      <c r="G87" s="46"/>
    </row>
    <row r="88" spans="2:7" x14ac:dyDescent="0.35">
      <c r="B88" s="41" t="s">
        <v>3825</v>
      </c>
      <c r="C88" s="41" t="s">
        <v>3824</v>
      </c>
      <c r="D88" s="42" t="s">
        <v>3823</v>
      </c>
      <c r="E88" s="43" t="s">
        <v>4752</v>
      </c>
      <c r="F88" s="44" t="s">
        <v>4823</v>
      </c>
      <c r="G88" s="46"/>
    </row>
    <row r="89" spans="2:7" x14ac:dyDescent="0.35">
      <c r="B89" s="41" t="s">
        <v>3822</v>
      </c>
      <c r="C89" s="41" t="s">
        <v>3821</v>
      </c>
      <c r="D89" s="42" t="s">
        <v>3823</v>
      </c>
      <c r="E89" s="43" t="s">
        <v>4752</v>
      </c>
      <c r="F89" s="44" t="s">
        <v>4823</v>
      </c>
      <c r="G89" s="46"/>
    </row>
    <row r="90" spans="2:7" x14ac:dyDescent="0.35">
      <c r="B90" s="41" t="s">
        <v>3849</v>
      </c>
      <c r="C90" s="41" t="s">
        <v>3848</v>
      </c>
      <c r="D90" s="42" t="s">
        <v>3839</v>
      </c>
      <c r="E90" s="43" t="s">
        <v>4752</v>
      </c>
      <c r="F90" s="44" t="s">
        <v>4823</v>
      </c>
      <c r="G90" s="46"/>
    </row>
    <row r="91" spans="2:7" x14ac:dyDescent="0.35">
      <c r="B91" s="41" t="s">
        <v>3851</v>
      </c>
      <c r="C91" s="41" t="s">
        <v>3850</v>
      </c>
      <c r="D91" s="42" t="s">
        <v>3839</v>
      </c>
      <c r="E91" s="43" t="s">
        <v>4752</v>
      </c>
      <c r="F91" s="44" t="s">
        <v>4823</v>
      </c>
      <c r="G91" s="46"/>
    </row>
    <row r="92" spans="2:7" x14ac:dyDescent="0.35">
      <c r="B92" s="41" t="s">
        <v>3856</v>
      </c>
      <c r="C92" s="41" t="s">
        <v>3855</v>
      </c>
      <c r="D92" s="42" t="s">
        <v>3854</v>
      </c>
      <c r="E92" s="43" t="s">
        <v>4752</v>
      </c>
      <c r="F92" s="44" t="s">
        <v>4823</v>
      </c>
      <c r="G92" s="46"/>
    </row>
    <row r="93" spans="2:7" x14ac:dyDescent="0.35">
      <c r="B93" s="41" t="s">
        <v>4032</v>
      </c>
      <c r="C93" s="41" t="s">
        <v>4031</v>
      </c>
      <c r="D93" s="42" t="s">
        <v>2924</v>
      </c>
      <c r="E93" s="43" t="s">
        <v>4766</v>
      </c>
      <c r="F93" s="44" t="s">
        <v>4823</v>
      </c>
      <c r="G93" s="46"/>
    </row>
    <row r="94" spans="2:7" x14ac:dyDescent="0.35">
      <c r="B94" s="41" t="s">
        <v>3985</v>
      </c>
      <c r="C94" s="41" t="s">
        <v>3984</v>
      </c>
      <c r="D94" s="42" t="s">
        <v>3986</v>
      </c>
      <c r="E94" s="43" t="s">
        <v>4754</v>
      </c>
      <c r="F94" s="44" t="s">
        <v>4823</v>
      </c>
      <c r="G94" s="46"/>
    </row>
    <row r="95" spans="2:7" x14ac:dyDescent="0.35">
      <c r="B95" s="41" t="s">
        <v>3945</v>
      </c>
      <c r="C95" s="41" t="s">
        <v>3944</v>
      </c>
      <c r="D95" s="42" t="s">
        <v>3946</v>
      </c>
      <c r="E95" s="43" t="s">
        <v>4754</v>
      </c>
      <c r="F95" s="44" t="s">
        <v>4823</v>
      </c>
      <c r="G95" s="46"/>
    </row>
    <row r="96" spans="2:7" x14ac:dyDescent="0.35">
      <c r="B96" s="41" t="s">
        <v>3960</v>
      </c>
      <c r="C96" s="41" t="s">
        <v>3959</v>
      </c>
      <c r="D96" s="42" t="s">
        <v>3961</v>
      </c>
      <c r="E96" s="43" t="s">
        <v>4754</v>
      </c>
      <c r="F96" s="44" t="s">
        <v>4823</v>
      </c>
      <c r="G96" s="46"/>
    </row>
    <row r="97" spans="2:7" x14ac:dyDescent="0.35">
      <c r="B97" s="41" t="s">
        <v>3982</v>
      </c>
      <c r="C97" s="41" t="s">
        <v>3981</v>
      </c>
      <c r="D97" s="42" t="s">
        <v>3983</v>
      </c>
      <c r="E97" s="43" t="s">
        <v>4754</v>
      </c>
      <c r="F97" s="44" t="s">
        <v>4823</v>
      </c>
      <c r="G97" s="46"/>
    </row>
    <row r="98" spans="2:7" x14ac:dyDescent="0.35">
      <c r="B98" s="41" t="s">
        <v>3988</v>
      </c>
      <c r="C98" s="41" t="s">
        <v>3987</v>
      </c>
      <c r="D98" s="42" t="s">
        <v>3989</v>
      </c>
      <c r="E98" s="43" t="s">
        <v>4754</v>
      </c>
      <c r="F98" s="44" t="s">
        <v>4823</v>
      </c>
      <c r="G98" s="46"/>
    </row>
    <row r="99" spans="2:7" x14ac:dyDescent="0.35">
      <c r="B99" s="41" t="s">
        <v>3991</v>
      </c>
      <c r="C99" s="41" t="s">
        <v>3990</v>
      </c>
      <c r="D99" s="42" t="s">
        <v>3782</v>
      </c>
      <c r="E99" s="43" t="s">
        <v>4754</v>
      </c>
      <c r="F99" s="44" t="s">
        <v>4823</v>
      </c>
      <c r="G99" s="46"/>
    </row>
    <row r="100" spans="2:7" x14ac:dyDescent="0.35">
      <c r="B100" s="41" t="s">
        <v>3997</v>
      </c>
      <c r="C100" s="41" t="s">
        <v>3996</v>
      </c>
      <c r="D100" s="42" t="s">
        <v>3896</v>
      </c>
      <c r="E100" s="43" t="s">
        <v>4754</v>
      </c>
      <c r="F100" s="44" t="s">
        <v>4823</v>
      </c>
      <c r="G100" s="46"/>
    </row>
    <row r="101" spans="2:7" x14ac:dyDescent="0.35">
      <c r="B101" s="41" t="s">
        <v>3999</v>
      </c>
      <c r="C101" s="41" t="s">
        <v>3998</v>
      </c>
      <c r="D101" s="42" t="s">
        <v>3782</v>
      </c>
      <c r="E101" s="43" t="s">
        <v>4754</v>
      </c>
      <c r="F101" s="44" t="s">
        <v>4823</v>
      </c>
      <c r="G101" s="46"/>
    </row>
    <row r="102" spans="2:7" x14ac:dyDescent="0.35">
      <c r="B102" s="41" t="s">
        <v>3793</v>
      </c>
      <c r="C102" s="41" t="s">
        <v>3792</v>
      </c>
      <c r="D102" s="42" t="s">
        <v>168</v>
      </c>
      <c r="E102" s="43" t="s">
        <v>4759</v>
      </c>
      <c r="F102" s="44" t="s">
        <v>4823</v>
      </c>
      <c r="G102" s="46"/>
    </row>
    <row r="103" spans="2:7" x14ac:dyDescent="0.4">
      <c r="B103" s="46" t="s">
        <v>4687</v>
      </c>
      <c r="C103" s="46"/>
      <c r="D103" s="42" t="s">
        <v>4688</v>
      </c>
      <c r="E103" s="43" t="s">
        <v>4757</v>
      </c>
      <c r="F103" s="44" t="s">
        <v>4823</v>
      </c>
      <c r="G103" s="46"/>
    </row>
    <row r="104" spans="2:7" x14ac:dyDescent="0.35">
      <c r="B104" s="41" t="s">
        <v>3927</v>
      </c>
      <c r="C104" s="41" t="s">
        <v>3926</v>
      </c>
      <c r="D104" s="42" t="s">
        <v>4718</v>
      </c>
      <c r="E104" s="43" t="s">
        <v>4757</v>
      </c>
      <c r="F104" s="44" t="s">
        <v>4823</v>
      </c>
      <c r="G104" s="46"/>
    </row>
    <row r="105" spans="2:7" x14ac:dyDescent="0.35">
      <c r="B105" s="41" t="s">
        <v>3929</v>
      </c>
      <c r="C105" s="41" t="s">
        <v>3928</v>
      </c>
      <c r="D105" s="42" t="s">
        <v>3930</v>
      </c>
      <c r="E105" s="43" t="s">
        <v>4757</v>
      </c>
      <c r="F105" s="44" t="s">
        <v>4823</v>
      </c>
      <c r="G105" s="46"/>
    </row>
    <row r="106" spans="2:7" x14ac:dyDescent="0.35">
      <c r="B106" s="41" t="s">
        <v>3934</v>
      </c>
      <c r="C106" s="41" t="s">
        <v>3933</v>
      </c>
      <c r="D106" s="42" t="s">
        <v>3935</v>
      </c>
      <c r="E106" s="43" t="s">
        <v>4757</v>
      </c>
      <c r="F106" s="44" t="s">
        <v>4823</v>
      </c>
      <c r="G106" s="46"/>
    </row>
    <row r="107" spans="2:7" x14ac:dyDescent="0.35">
      <c r="B107" s="41" t="s">
        <v>3937</v>
      </c>
      <c r="C107" s="41" t="s">
        <v>3936</v>
      </c>
      <c r="D107" s="42" t="s">
        <v>3585</v>
      </c>
      <c r="E107" s="43" t="s">
        <v>4757</v>
      </c>
      <c r="F107" s="44" t="s">
        <v>4823</v>
      </c>
      <c r="G107" s="46"/>
    </row>
    <row r="108" spans="2:7" x14ac:dyDescent="0.35">
      <c r="B108" s="41" t="s">
        <v>3939</v>
      </c>
      <c r="C108" s="41" t="s">
        <v>3938</v>
      </c>
      <c r="D108" s="42" t="s">
        <v>4717</v>
      </c>
      <c r="E108" s="43" t="s">
        <v>4757</v>
      </c>
      <c r="F108" s="44" t="s">
        <v>4823</v>
      </c>
      <c r="G108" s="46"/>
    </row>
    <row r="109" spans="2:7" x14ac:dyDescent="0.4">
      <c r="B109" s="46" t="s">
        <v>3940</v>
      </c>
      <c r="C109" s="46"/>
      <c r="D109" s="42" t="s">
        <v>3585</v>
      </c>
      <c r="E109" s="43" t="s">
        <v>4757</v>
      </c>
      <c r="F109" s="44" t="s">
        <v>4823</v>
      </c>
      <c r="G109" s="46"/>
    </row>
    <row r="110" spans="2:7" x14ac:dyDescent="0.35">
      <c r="B110" s="41" t="s">
        <v>3806</v>
      </c>
      <c r="C110" s="41" t="s">
        <v>3805</v>
      </c>
      <c r="D110" s="42" t="s">
        <v>4824</v>
      </c>
      <c r="E110" s="43" t="s">
        <v>4751</v>
      </c>
      <c r="F110" s="44" t="s">
        <v>4823</v>
      </c>
      <c r="G110" s="46"/>
    </row>
    <row r="111" spans="2:7" x14ac:dyDescent="0.35">
      <c r="B111" s="41" t="s">
        <v>3798</v>
      </c>
      <c r="C111" s="41" t="s">
        <v>3797</v>
      </c>
      <c r="D111" s="42" t="s">
        <v>4371</v>
      </c>
      <c r="E111" s="43" t="s">
        <v>4751</v>
      </c>
      <c r="F111" s="44" t="s">
        <v>4823</v>
      </c>
      <c r="G111" s="46"/>
    </row>
    <row r="112" spans="2:7" x14ac:dyDescent="0.35">
      <c r="B112" s="41" t="s">
        <v>3801</v>
      </c>
      <c r="C112" s="41" t="s">
        <v>3800</v>
      </c>
      <c r="D112" s="42" t="s">
        <v>3802</v>
      </c>
      <c r="E112" s="43" t="s">
        <v>4751</v>
      </c>
      <c r="F112" s="44" t="s">
        <v>4823</v>
      </c>
      <c r="G112" s="46"/>
    </row>
    <row r="113" spans="2:7" x14ac:dyDescent="0.35">
      <c r="B113" s="41" t="s">
        <v>3804</v>
      </c>
      <c r="C113" s="41" t="s">
        <v>3803</v>
      </c>
      <c r="D113" s="42" t="s">
        <v>3796</v>
      </c>
      <c r="E113" s="43" t="s">
        <v>4751</v>
      </c>
      <c r="F113" s="44" t="s">
        <v>4823</v>
      </c>
      <c r="G113" s="46"/>
    </row>
    <row r="114" spans="2:7" x14ac:dyDescent="0.35">
      <c r="B114" s="41" t="s">
        <v>4048</v>
      </c>
      <c r="C114" s="41" t="s">
        <v>4047</v>
      </c>
      <c r="D114" s="42" t="s">
        <v>4046</v>
      </c>
      <c r="E114" s="43" t="s">
        <v>4755</v>
      </c>
      <c r="F114" s="44" t="s">
        <v>4823</v>
      </c>
      <c r="G114" s="46"/>
    </row>
    <row r="115" spans="2:7" x14ac:dyDescent="0.4">
      <c r="B115" s="46" t="s">
        <v>4706</v>
      </c>
      <c r="C115" s="46"/>
      <c r="D115" s="42" t="s">
        <v>4707</v>
      </c>
      <c r="E115" s="43" t="s">
        <v>4755</v>
      </c>
      <c r="F115" s="44" t="s">
        <v>4823</v>
      </c>
      <c r="G115" s="46"/>
    </row>
    <row r="116" spans="2:7" x14ac:dyDescent="0.4">
      <c r="B116" s="46" t="s">
        <v>4605</v>
      </c>
      <c r="C116" s="46"/>
      <c r="D116" s="42" t="s">
        <v>4691</v>
      </c>
      <c r="E116" s="43" t="s">
        <v>4755</v>
      </c>
      <c r="F116" s="44" t="s">
        <v>4823</v>
      </c>
      <c r="G116" s="46"/>
    </row>
    <row r="117" spans="2:7" x14ac:dyDescent="0.35">
      <c r="B117" s="41" t="s">
        <v>4014</v>
      </c>
      <c r="C117" s="41" t="s">
        <v>4013</v>
      </c>
      <c r="D117" s="42" t="s">
        <v>4015</v>
      </c>
      <c r="E117" s="43" t="s">
        <v>4755</v>
      </c>
      <c r="F117" s="44" t="s">
        <v>4823</v>
      </c>
      <c r="G117" s="46"/>
    </row>
    <row r="118" spans="2:7" x14ac:dyDescent="0.35">
      <c r="B118" s="41" t="s">
        <v>3889</v>
      </c>
      <c r="C118" s="41" t="s">
        <v>3888</v>
      </c>
      <c r="D118" s="42" t="s">
        <v>3883</v>
      </c>
      <c r="E118" s="43" t="s">
        <v>4755</v>
      </c>
      <c r="F118" s="44" t="s">
        <v>4823</v>
      </c>
      <c r="G118" s="46"/>
    </row>
    <row r="119" spans="2:7" x14ac:dyDescent="0.35">
      <c r="B119" s="41" t="s">
        <v>3900</v>
      </c>
      <c r="C119" s="41" t="s">
        <v>3899</v>
      </c>
      <c r="D119" s="42" t="s">
        <v>4715</v>
      </c>
      <c r="E119" s="43" t="s">
        <v>4755</v>
      </c>
      <c r="F119" s="44" t="s">
        <v>4823</v>
      </c>
      <c r="G119" s="46"/>
    </row>
    <row r="120" spans="2:7" x14ac:dyDescent="0.35">
      <c r="B120" s="41" t="s">
        <v>4017</v>
      </c>
      <c r="C120" s="41" t="s">
        <v>4016</v>
      </c>
      <c r="D120" s="42" t="s">
        <v>4716</v>
      </c>
      <c r="E120" s="43" t="s">
        <v>4755</v>
      </c>
      <c r="F120" s="44" t="s">
        <v>4823</v>
      </c>
      <c r="G120" s="46"/>
    </row>
    <row r="121" spans="2:7" x14ac:dyDescent="0.35">
      <c r="B121" s="41" t="s">
        <v>4019</v>
      </c>
      <c r="C121" s="41" t="s">
        <v>4018</v>
      </c>
      <c r="D121" s="42" t="s">
        <v>3875</v>
      </c>
      <c r="E121" s="43" t="s">
        <v>4755</v>
      </c>
      <c r="F121" s="44" t="s">
        <v>4823</v>
      </c>
      <c r="G121" s="46"/>
    </row>
    <row r="122" spans="2:7" x14ac:dyDescent="0.35">
      <c r="B122" s="41" t="s">
        <v>4028</v>
      </c>
      <c r="C122" s="41" t="s">
        <v>4027</v>
      </c>
      <c r="D122" s="42" t="s">
        <v>4726</v>
      </c>
      <c r="E122" s="43" t="s">
        <v>4755</v>
      </c>
      <c r="F122" s="44" t="s">
        <v>4823</v>
      </c>
      <c r="G122" s="46"/>
    </row>
    <row r="123" spans="2:7" x14ac:dyDescent="0.35">
      <c r="B123" s="41" t="s">
        <v>4045</v>
      </c>
      <c r="C123" s="41" t="s">
        <v>4044</v>
      </c>
      <c r="D123" s="42" t="s">
        <v>4046</v>
      </c>
      <c r="E123" s="43" t="s">
        <v>4755</v>
      </c>
      <c r="F123" s="44" t="s">
        <v>4823</v>
      </c>
      <c r="G123" s="46"/>
    </row>
    <row r="124" spans="2:7" x14ac:dyDescent="0.4">
      <c r="B124" s="46" t="s">
        <v>4060</v>
      </c>
      <c r="C124" s="46" t="s">
        <v>4059</v>
      </c>
      <c r="D124" s="42" t="s">
        <v>4061</v>
      </c>
      <c r="E124" s="43" t="s">
        <v>4755</v>
      </c>
      <c r="F124" s="44" t="s">
        <v>4823</v>
      </c>
      <c r="G124" s="46"/>
    </row>
    <row r="125" spans="2:7" x14ac:dyDescent="0.4">
      <c r="B125" s="46" t="s">
        <v>4063</v>
      </c>
      <c r="C125" s="46" t="s">
        <v>4062</v>
      </c>
      <c r="D125" s="42" t="s">
        <v>4061</v>
      </c>
      <c r="E125" s="43" t="s">
        <v>4755</v>
      </c>
      <c r="F125" s="44" t="s">
        <v>4823</v>
      </c>
      <c r="G125" s="46"/>
    </row>
    <row r="126" spans="2:7" x14ac:dyDescent="0.4">
      <c r="B126" s="46" t="s">
        <v>4603</v>
      </c>
      <c r="C126" s="46"/>
      <c r="D126" s="42" t="s">
        <v>4725</v>
      </c>
      <c r="E126" s="43" t="s">
        <v>4755</v>
      </c>
      <c r="F126" s="44" t="s">
        <v>4823</v>
      </c>
      <c r="G126" s="46"/>
    </row>
    <row r="127" spans="2:7" x14ac:dyDescent="0.35">
      <c r="B127" s="41" t="s">
        <v>3791</v>
      </c>
      <c r="C127" s="41" t="s">
        <v>3790</v>
      </c>
      <c r="D127" s="42" t="s">
        <v>2117</v>
      </c>
      <c r="E127" s="43" t="s">
        <v>4758</v>
      </c>
      <c r="F127" s="44" t="s">
        <v>4823</v>
      </c>
      <c r="G127" s="46"/>
    </row>
    <row r="128" spans="2:7" x14ac:dyDescent="0.35">
      <c r="B128" s="41" t="s">
        <v>3921</v>
      </c>
      <c r="C128" s="41" t="s">
        <v>3920</v>
      </c>
      <c r="D128" s="42" t="s">
        <v>2992</v>
      </c>
      <c r="E128" s="43" t="s">
        <v>4753</v>
      </c>
      <c r="F128" s="44" t="s">
        <v>4823</v>
      </c>
      <c r="G128" s="46"/>
    </row>
    <row r="129" spans="2:7" x14ac:dyDescent="0.35">
      <c r="B129" s="41" t="s">
        <v>2907</v>
      </c>
      <c r="C129" s="41" t="s">
        <v>2906</v>
      </c>
      <c r="D129" s="42" t="s">
        <v>4720</v>
      </c>
      <c r="E129" s="43" t="s">
        <v>4753</v>
      </c>
      <c r="F129" s="44" t="s">
        <v>4823</v>
      </c>
      <c r="G129" s="46"/>
    </row>
    <row r="130" spans="2:7" x14ac:dyDescent="0.35">
      <c r="B130" s="41" t="s">
        <v>4282</v>
      </c>
      <c r="C130" s="41" t="s">
        <v>4281</v>
      </c>
      <c r="D130" s="42" t="s">
        <v>2992</v>
      </c>
      <c r="E130" s="43" t="s">
        <v>4753</v>
      </c>
      <c r="F130" s="44" t="s">
        <v>4823</v>
      </c>
      <c r="G130" s="46"/>
    </row>
    <row r="131" spans="2:7" x14ac:dyDescent="0.35">
      <c r="B131" s="41" t="s">
        <v>3813</v>
      </c>
      <c r="C131" s="41" t="s">
        <v>3812</v>
      </c>
      <c r="D131" s="42" t="s">
        <v>2924</v>
      </c>
      <c r="E131" s="43" t="s">
        <v>4760</v>
      </c>
      <c r="F131" s="44" t="s">
        <v>4823</v>
      </c>
      <c r="G131" s="46"/>
    </row>
    <row r="132" spans="2:7" x14ac:dyDescent="0.35">
      <c r="B132" s="41" t="s">
        <v>4001</v>
      </c>
      <c r="C132" s="41" t="s">
        <v>4000</v>
      </c>
      <c r="D132" s="42" t="s">
        <v>4002</v>
      </c>
      <c r="E132" s="43" t="s">
        <v>4760</v>
      </c>
      <c r="F132" s="44" t="s">
        <v>4823</v>
      </c>
      <c r="G132" s="46"/>
    </row>
    <row r="133" spans="2:7" x14ac:dyDescent="0.35">
      <c r="B133" s="41" t="s">
        <v>4004</v>
      </c>
      <c r="C133" s="41" t="s">
        <v>4003</v>
      </c>
      <c r="D133" s="42" t="s">
        <v>4710</v>
      </c>
      <c r="E133" s="43" t="s">
        <v>4760</v>
      </c>
      <c r="F133" s="44" t="s">
        <v>4823</v>
      </c>
      <c r="G133" s="46"/>
    </row>
    <row r="134" spans="2:7" x14ac:dyDescent="0.35">
      <c r="B134" s="41" t="s">
        <v>4008</v>
      </c>
      <c r="C134" s="41" t="s">
        <v>4007</v>
      </c>
      <c r="D134" s="42" t="s">
        <v>4002</v>
      </c>
      <c r="E134" s="43" t="s">
        <v>4760</v>
      </c>
      <c r="F134" s="44" t="s">
        <v>4823</v>
      </c>
      <c r="G134" s="46"/>
    </row>
    <row r="135" spans="2:7" x14ac:dyDescent="0.35">
      <c r="B135" s="41" t="s">
        <v>4010</v>
      </c>
      <c r="C135" s="41" t="s">
        <v>4009</v>
      </c>
      <c r="D135" s="42" t="s">
        <v>4002</v>
      </c>
      <c r="E135" s="43" t="s">
        <v>4760</v>
      </c>
      <c r="F135" s="44" t="s">
        <v>4823</v>
      </c>
      <c r="G135" s="46"/>
    </row>
    <row r="136" spans="2:7" x14ac:dyDescent="0.35">
      <c r="B136" s="41" t="s">
        <v>3873</v>
      </c>
      <c r="C136" s="41" t="s">
        <v>3872</v>
      </c>
      <c r="D136" s="42" t="s">
        <v>4705</v>
      </c>
      <c r="E136" s="43" t="s">
        <v>4761</v>
      </c>
      <c r="F136" s="44" t="s">
        <v>4823</v>
      </c>
      <c r="G136" s="46"/>
    </row>
    <row r="137" spans="2:7" x14ac:dyDescent="0.4">
      <c r="B137" s="46" t="s">
        <v>4686</v>
      </c>
      <c r="C137" s="46"/>
      <c r="D137" s="42" t="s">
        <v>4717</v>
      </c>
      <c r="E137" s="43" t="s">
        <v>4757</v>
      </c>
      <c r="F137" s="44" t="s">
        <v>4823</v>
      </c>
      <c r="G137" s="46"/>
    </row>
    <row r="138" spans="2:7" x14ac:dyDescent="0.35">
      <c r="B138" s="41" t="s">
        <v>2923</v>
      </c>
      <c r="C138" s="41" t="s">
        <v>2922</v>
      </c>
      <c r="D138" s="42" t="s">
        <v>2924</v>
      </c>
      <c r="E138" s="43" t="s">
        <v>4768</v>
      </c>
      <c r="F138" s="44" t="s">
        <v>4823</v>
      </c>
      <c r="G138" s="46"/>
    </row>
    <row r="139" spans="2:7" x14ac:dyDescent="0.35">
      <c r="B139" s="41" t="s">
        <v>3917</v>
      </c>
      <c r="C139" s="41" t="s">
        <v>3916</v>
      </c>
      <c r="D139" s="42" t="s">
        <v>3871</v>
      </c>
      <c r="E139" s="43" t="s">
        <v>4765</v>
      </c>
      <c r="F139" s="44" t="s">
        <v>4823</v>
      </c>
      <c r="G139" s="46"/>
    </row>
    <row r="140" spans="2:7" x14ac:dyDescent="0.35">
      <c r="B140" s="41" t="s">
        <v>3966</v>
      </c>
      <c r="C140" s="41" t="s">
        <v>3965</v>
      </c>
      <c r="D140" s="42" t="s">
        <v>3967</v>
      </c>
      <c r="E140" s="43" t="s">
        <v>4754</v>
      </c>
      <c r="F140" s="44" t="s">
        <v>4823</v>
      </c>
      <c r="G140" s="46"/>
    </row>
    <row r="141" spans="2:7" x14ac:dyDescent="0.35">
      <c r="B141" s="41" t="s">
        <v>3925</v>
      </c>
      <c r="C141" s="41" t="s">
        <v>3924</v>
      </c>
      <c r="D141" s="42" t="s">
        <v>4719</v>
      </c>
      <c r="E141" s="43" t="s">
        <v>4757</v>
      </c>
      <c r="F141" s="44" t="s">
        <v>4823</v>
      </c>
      <c r="G141" s="46"/>
    </row>
    <row r="142" spans="2:7" x14ac:dyDescent="0.35">
      <c r="B142" s="41" t="s">
        <v>3932</v>
      </c>
      <c r="C142" s="41" t="s">
        <v>3931</v>
      </c>
      <c r="D142" s="42" t="s">
        <v>3585</v>
      </c>
      <c r="E142" s="43" t="s">
        <v>4757</v>
      </c>
      <c r="F142" s="44" t="s">
        <v>4823</v>
      </c>
      <c r="G142" s="46"/>
    </row>
    <row r="143" spans="2:7" x14ac:dyDescent="0.35">
      <c r="B143" s="41" t="s">
        <v>3795</v>
      </c>
      <c r="C143" s="41" t="s">
        <v>3794</v>
      </c>
      <c r="D143" s="42" t="s">
        <v>3796</v>
      </c>
      <c r="E143" s="43" t="s">
        <v>4751</v>
      </c>
      <c r="F143" s="44" t="s">
        <v>4823</v>
      </c>
      <c r="G143" s="46"/>
    </row>
    <row r="144" spans="2:7" x14ac:dyDescent="0.35">
      <c r="B144" s="41" t="s">
        <v>3887</v>
      </c>
      <c r="C144" s="41" t="s">
        <v>3886</v>
      </c>
      <c r="D144" s="42" t="s">
        <v>4549</v>
      </c>
      <c r="E144" s="43" t="s">
        <v>4755</v>
      </c>
      <c r="F144" s="44" t="s">
        <v>4823</v>
      </c>
      <c r="G144" s="46"/>
    </row>
    <row r="145" spans="2:7" x14ac:dyDescent="0.4">
      <c r="B145" s="46" t="s">
        <v>3885</v>
      </c>
      <c r="C145" s="46" t="s">
        <v>3884</v>
      </c>
      <c r="D145" s="42" t="s">
        <v>4714</v>
      </c>
      <c r="E145" s="43" t="s">
        <v>4755</v>
      </c>
      <c r="F145" s="44" t="s">
        <v>4823</v>
      </c>
      <c r="G145" s="46"/>
    </row>
    <row r="146" spans="2:7" x14ac:dyDescent="0.35">
      <c r="B146" s="41" t="s">
        <v>4030</v>
      </c>
      <c r="C146" s="41" t="s">
        <v>4029</v>
      </c>
      <c r="D146" s="42" t="s">
        <v>4667</v>
      </c>
      <c r="E146" s="43" t="s">
        <v>4755</v>
      </c>
      <c r="F146" s="44" t="s">
        <v>4823</v>
      </c>
      <c r="G146" s="46"/>
    </row>
    <row r="147" spans="2:7" x14ac:dyDescent="0.35">
      <c r="B147" s="41" t="s">
        <v>4006</v>
      </c>
      <c r="C147" s="41" t="s">
        <v>4005</v>
      </c>
      <c r="D147" s="42" t="s">
        <v>4710</v>
      </c>
      <c r="E147" s="43" t="s">
        <v>4760</v>
      </c>
      <c r="F147" s="44" t="s">
        <v>4823</v>
      </c>
      <c r="G147" s="46"/>
    </row>
    <row r="148" spans="2:7" x14ac:dyDescent="0.35">
      <c r="B148" s="41" t="s">
        <v>4012</v>
      </c>
      <c r="C148" s="41" t="s">
        <v>4011</v>
      </c>
      <c r="D148" s="42" t="s">
        <v>3871</v>
      </c>
      <c r="E148" s="43" t="s">
        <v>4760</v>
      </c>
      <c r="F148" s="44" t="s">
        <v>4823</v>
      </c>
      <c r="G148" s="46"/>
    </row>
    <row r="149" spans="2:7" x14ac:dyDescent="0.4">
      <c r="B149" s="46" t="s">
        <v>4689</v>
      </c>
      <c r="C149" s="46"/>
      <c r="D149" s="42" t="s">
        <v>4690</v>
      </c>
      <c r="E149" s="43" t="s">
        <v>4757</v>
      </c>
      <c r="F149" s="44" t="s">
        <v>4823</v>
      </c>
      <c r="G149" s="46"/>
    </row>
    <row r="150" spans="2:7" x14ac:dyDescent="0.35">
      <c r="B150" s="41" t="s">
        <v>3908</v>
      </c>
      <c r="C150" s="41" t="s">
        <v>3907</v>
      </c>
      <c r="D150" s="42" t="s">
        <v>3867</v>
      </c>
      <c r="E150" s="43" t="s">
        <v>4756</v>
      </c>
      <c r="F150" s="44" t="s">
        <v>4823</v>
      </c>
      <c r="G150" s="46"/>
    </row>
    <row r="151" spans="2:7" x14ac:dyDescent="0.35">
      <c r="B151" s="41" t="s">
        <v>3811</v>
      </c>
      <c r="C151" s="45" t="s">
        <v>3810</v>
      </c>
      <c r="D151" s="42" t="s">
        <v>2924</v>
      </c>
      <c r="E151" s="43" t="s">
        <v>4763</v>
      </c>
      <c r="F151" s="44" t="s">
        <v>4823</v>
      </c>
      <c r="G151" s="46"/>
    </row>
    <row r="152" spans="2:7" x14ac:dyDescent="0.35">
      <c r="B152" s="41" t="s">
        <v>3953</v>
      </c>
      <c r="C152" s="41" t="s">
        <v>3952</v>
      </c>
      <c r="D152" s="42" t="s">
        <v>4721</v>
      </c>
      <c r="E152" s="43"/>
      <c r="F152" s="44" t="s">
        <v>4823</v>
      </c>
      <c r="G152" s="46"/>
    </row>
    <row r="153" spans="2:7" x14ac:dyDescent="0.35">
      <c r="B153" s="41" t="s">
        <v>3788</v>
      </c>
      <c r="C153" s="41" t="s">
        <v>3787</v>
      </c>
      <c r="D153" s="42" t="s">
        <v>3789</v>
      </c>
      <c r="E153" s="43"/>
      <c r="F153" s="44" t="s">
        <v>4823</v>
      </c>
      <c r="G153" s="46"/>
    </row>
    <row r="154" spans="2:7" x14ac:dyDescent="0.35">
      <c r="B154" s="41" t="s">
        <v>3942</v>
      </c>
      <c r="C154" s="41" t="s">
        <v>3941</v>
      </c>
      <c r="D154" s="42" t="s">
        <v>3943</v>
      </c>
      <c r="E154" s="43"/>
      <c r="F154" s="44" t="s">
        <v>4823</v>
      </c>
      <c r="G154" s="46"/>
    </row>
    <row r="155" spans="2:7" x14ac:dyDescent="0.35">
      <c r="B155" s="41" t="s">
        <v>3963</v>
      </c>
      <c r="C155" s="41" t="s">
        <v>3962</v>
      </c>
      <c r="D155" s="42" t="s">
        <v>3964</v>
      </c>
      <c r="E155" s="43"/>
      <c r="F155" s="44" t="s">
        <v>4823</v>
      </c>
      <c r="G155" s="46"/>
    </row>
    <row r="156" spans="2:7" x14ac:dyDescent="0.35">
      <c r="B156" s="41" t="s">
        <v>35</v>
      </c>
      <c r="C156" s="41" t="s">
        <v>34</v>
      </c>
      <c r="D156" s="42" t="s">
        <v>36</v>
      </c>
      <c r="E156" s="43"/>
      <c r="F156" s="44"/>
      <c r="G156" s="46"/>
    </row>
    <row r="157" spans="2:7" x14ac:dyDescent="0.35">
      <c r="B157" s="41" t="s">
        <v>42</v>
      </c>
      <c r="C157" s="41" t="s">
        <v>41</v>
      </c>
      <c r="D157" s="42" t="s">
        <v>36</v>
      </c>
      <c r="E157" s="43"/>
      <c r="F157" s="44"/>
      <c r="G157" s="46"/>
    </row>
    <row r="158" spans="2:7" x14ac:dyDescent="0.4">
      <c r="B158" s="46" t="s">
        <v>4566</v>
      </c>
      <c r="C158" s="46"/>
      <c r="D158" s="42"/>
      <c r="E158" s="43"/>
      <c r="F158" s="44"/>
      <c r="G158" s="46"/>
    </row>
    <row r="159" spans="2:7" x14ac:dyDescent="0.35">
      <c r="B159" s="41" t="s">
        <v>61</v>
      </c>
      <c r="C159" s="45"/>
      <c r="D159" s="42" t="s">
        <v>62</v>
      </c>
      <c r="E159" s="43"/>
      <c r="F159" s="44"/>
      <c r="G159" s="46"/>
    </row>
    <row r="160" spans="2:7" x14ac:dyDescent="0.35">
      <c r="B160" s="41" t="s">
        <v>64</v>
      </c>
      <c r="C160" s="41" t="s">
        <v>63</v>
      </c>
      <c r="D160" s="42" t="s">
        <v>36</v>
      </c>
      <c r="E160" s="43"/>
      <c r="F160" s="44"/>
      <c r="G160" s="46"/>
    </row>
    <row r="161" spans="2:7" x14ac:dyDescent="0.35">
      <c r="B161" s="41" t="s">
        <v>66</v>
      </c>
      <c r="C161" s="41" t="s">
        <v>65</v>
      </c>
      <c r="D161" s="42" t="s">
        <v>36</v>
      </c>
      <c r="E161" s="43"/>
      <c r="F161" s="44"/>
      <c r="G161" s="46"/>
    </row>
    <row r="162" spans="2:7" x14ac:dyDescent="0.35">
      <c r="B162" s="41" t="s">
        <v>68</v>
      </c>
      <c r="C162" s="41" t="s">
        <v>67</v>
      </c>
      <c r="D162" s="42" t="s">
        <v>36</v>
      </c>
      <c r="E162" s="43"/>
      <c r="F162" s="44"/>
      <c r="G162" s="46"/>
    </row>
    <row r="163" spans="2:7" x14ac:dyDescent="0.35">
      <c r="B163" s="41" t="s">
        <v>70</v>
      </c>
      <c r="C163" s="41" t="s">
        <v>69</v>
      </c>
      <c r="D163" s="42" t="s">
        <v>36</v>
      </c>
      <c r="E163" s="43"/>
      <c r="F163" s="44"/>
      <c r="G163" s="46"/>
    </row>
    <row r="164" spans="2:7" x14ac:dyDescent="0.35">
      <c r="B164" s="41" t="s">
        <v>72</v>
      </c>
      <c r="C164" s="41" t="s">
        <v>71</v>
      </c>
      <c r="D164" s="42" t="s">
        <v>73</v>
      </c>
      <c r="E164" s="43"/>
      <c r="F164" s="44"/>
      <c r="G164" s="46"/>
    </row>
    <row r="165" spans="2:7" x14ac:dyDescent="0.35">
      <c r="B165" s="41" t="s">
        <v>75</v>
      </c>
      <c r="C165" s="41" t="s">
        <v>74</v>
      </c>
      <c r="D165" s="42" t="s">
        <v>76</v>
      </c>
      <c r="E165" s="43"/>
      <c r="F165" s="44"/>
      <c r="G165" s="46"/>
    </row>
    <row r="166" spans="2:7" x14ac:dyDescent="0.35">
      <c r="B166" s="41" t="s">
        <v>81</v>
      </c>
      <c r="C166" s="41" t="s">
        <v>80</v>
      </c>
      <c r="D166" s="42" t="s">
        <v>73</v>
      </c>
      <c r="E166" s="43"/>
      <c r="F166" s="44"/>
      <c r="G166" s="46"/>
    </row>
    <row r="167" spans="2:7" x14ac:dyDescent="0.35">
      <c r="B167" s="41" t="s">
        <v>83</v>
      </c>
      <c r="C167" s="45" t="s">
        <v>82</v>
      </c>
      <c r="D167" s="42" t="s">
        <v>36</v>
      </c>
      <c r="E167" s="43"/>
      <c r="F167" s="44"/>
      <c r="G167" s="46"/>
    </row>
    <row r="168" spans="2:7" x14ac:dyDescent="0.35">
      <c r="B168" s="41" t="s">
        <v>85</v>
      </c>
      <c r="C168" s="41" t="s">
        <v>84</v>
      </c>
      <c r="D168" s="42" t="s">
        <v>86</v>
      </c>
      <c r="E168" s="43"/>
      <c r="F168" s="44"/>
      <c r="G168" s="46"/>
    </row>
    <row r="169" spans="2:7" x14ac:dyDescent="0.35">
      <c r="B169" s="41" t="s">
        <v>88</v>
      </c>
      <c r="C169" s="41" t="s">
        <v>87</v>
      </c>
      <c r="D169" s="42" t="s">
        <v>86</v>
      </c>
      <c r="E169" s="43"/>
      <c r="F169" s="44"/>
      <c r="G169" s="46"/>
    </row>
    <row r="170" spans="2:7" x14ac:dyDescent="0.35">
      <c r="B170" s="41" t="s">
        <v>90</v>
      </c>
      <c r="C170" s="41" t="s">
        <v>89</v>
      </c>
      <c r="D170" s="42" t="s">
        <v>86</v>
      </c>
      <c r="E170" s="43"/>
      <c r="F170" s="44"/>
      <c r="G170" s="46"/>
    </row>
    <row r="171" spans="2:7" x14ac:dyDescent="0.35">
      <c r="B171" s="41" t="s">
        <v>92</v>
      </c>
      <c r="C171" s="41" t="s">
        <v>91</v>
      </c>
      <c r="D171" s="42" t="s">
        <v>93</v>
      </c>
      <c r="E171" s="43"/>
      <c r="F171" s="44"/>
      <c r="G171" s="46"/>
    </row>
    <row r="172" spans="2:7" x14ac:dyDescent="0.35">
      <c r="B172" s="41" t="s">
        <v>95</v>
      </c>
      <c r="C172" s="41" t="s">
        <v>94</v>
      </c>
      <c r="D172" s="42" t="s">
        <v>86</v>
      </c>
      <c r="E172" s="43"/>
      <c r="F172" s="44"/>
      <c r="G172" s="46"/>
    </row>
    <row r="173" spans="2:7" x14ac:dyDescent="0.35">
      <c r="B173" s="41" t="s">
        <v>97</v>
      </c>
      <c r="C173" s="41" t="s">
        <v>96</v>
      </c>
      <c r="D173" s="42" t="s">
        <v>86</v>
      </c>
      <c r="E173" s="43"/>
      <c r="F173" s="44"/>
      <c r="G173" s="46"/>
    </row>
    <row r="174" spans="2:7" x14ac:dyDescent="0.35">
      <c r="B174" s="41" t="s">
        <v>99</v>
      </c>
      <c r="C174" s="41" t="s">
        <v>98</v>
      </c>
      <c r="D174" s="42" t="s">
        <v>86</v>
      </c>
      <c r="E174" s="43"/>
      <c r="F174" s="44"/>
      <c r="G174" s="46"/>
    </row>
    <row r="175" spans="2:7" x14ac:dyDescent="0.35">
      <c r="B175" s="41" t="s">
        <v>101</v>
      </c>
      <c r="C175" s="41" t="s">
        <v>100</v>
      </c>
      <c r="D175" s="42" t="s">
        <v>93</v>
      </c>
      <c r="E175" s="43"/>
      <c r="F175" s="44"/>
      <c r="G175" s="46"/>
    </row>
    <row r="176" spans="2:7" x14ac:dyDescent="0.35">
      <c r="B176" s="41" t="s">
        <v>103</v>
      </c>
      <c r="C176" s="41" t="s">
        <v>102</v>
      </c>
      <c r="D176" s="42" t="s">
        <v>93</v>
      </c>
      <c r="E176" s="43"/>
      <c r="F176" s="44"/>
      <c r="G176" s="46"/>
    </row>
    <row r="177" spans="2:7" x14ac:dyDescent="0.35">
      <c r="B177" s="41" t="s">
        <v>105</v>
      </c>
      <c r="C177" s="41" t="s">
        <v>104</v>
      </c>
      <c r="D177" s="42" t="s">
        <v>86</v>
      </c>
      <c r="E177" s="43"/>
      <c r="F177" s="44"/>
      <c r="G177" s="46"/>
    </row>
    <row r="178" spans="2:7" x14ac:dyDescent="0.35">
      <c r="B178" s="41" t="s">
        <v>107</v>
      </c>
      <c r="C178" s="41" t="s">
        <v>106</v>
      </c>
      <c r="D178" s="42" t="s">
        <v>86</v>
      </c>
      <c r="E178" s="43"/>
      <c r="F178" s="44"/>
      <c r="G178" s="46"/>
    </row>
    <row r="179" spans="2:7" x14ac:dyDescent="0.35">
      <c r="B179" s="41" t="s">
        <v>109</v>
      </c>
      <c r="C179" s="41" t="s">
        <v>108</v>
      </c>
      <c r="D179" s="42" t="s">
        <v>86</v>
      </c>
      <c r="E179" s="43"/>
      <c r="F179" s="44"/>
      <c r="G179" s="46"/>
    </row>
    <row r="180" spans="2:7" x14ac:dyDescent="0.35">
      <c r="B180" s="41" t="s">
        <v>111</v>
      </c>
      <c r="C180" s="41" t="s">
        <v>110</v>
      </c>
      <c r="D180" s="42" t="s">
        <v>93</v>
      </c>
      <c r="E180" s="43"/>
      <c r="F180" s="44"/>
      <c r="G180" s="46"/>
    </row>
    <row r="181" spans="2:7" x14ac:dyDescent="0.35">
      <c r="B181" s="41" t="s">
        <v>113</v>
      </c>
      <c r="C181" s="41" t="s">
        <v>112</v>
      </c>
      <c r="D181" s="42" t="s">
        <v>86</v>
      </c>
      <c r="E181" s="43"/>
      <c r="F181" s="44"/>
      <c r="G181" s="46"/>
    </row>
    <row r="182" spans="2:7" x14ac:dyDescent="0.35">
      <c r="B182" s="41" t="s">
        <v>115</v>
      </c>
      <c r="C182" s="41" t="s">
        <v>114</v>
      </c>
      <c r="D182" s="42" t="s">
        <v>86</v>
      </c>
      <c r="E182" s="43"/>
      <c r="F182" s="44"/>
      <c r="G182" s="46"/>
    </row>
    <row r="183" spans="2:7" x14ac:dyDescent="0.35">
      <c r="B183" s="41" t="s">
        <v>117</v>
      </c>
      <c r="C183" s="41" t="s">
        <v>116</v>
      </c>
      <c r="D183" s="42" t="s">
        <v>86</v>
      </c>
      <c r="E183" s="43"/>
      <c r="F183" s="44"/>
      <c r="G183" s="46"/>
    </row>
    <row r="184" spans="2:7" x14ac:dyDescent="0.35">
      <c r="B184" s="41" t="s">
        <v>119</v>
      </c>
      <c r="C184" s="41" t="s">
        <v>118</v>
      </c>
      <c r="D184" s="42" t="s">
        <v>86</v>
      </c>
      <c r="E184" s="43"/>
      <c r="F184" s="44"/>
      <c r="G184" s="46"/>
    </row>
    <row r="185" spans="2:7" x14ac:dyDescent="0.35">
      <c r="B185" s="41" t="s">
        <v>121</v>
      </c>
      <c r="C185" s="41" t="s">
        <v>120</v>
      </c>
      <c r="D185" s="42" t="s">
        <v>122</v>
      </c>
      <c r="E185" s="43"/>
      <c r="F185" s="44"/>
      <c r="G185" s="46"/>
    </row>
    <row r="186" spans="2:7" x14ac:dyDescent="0.35">
      <c r="B186" s="41" t="s">
        <v>124</v>
      </c>
      <c r="C186" s="41" t="s">
        <v>123</v>
      </c>
      <c r="D186" s="42" t="s">
        <v>122</v>
      </c>
      <c r="E186" s="43"/>
      <c r="F186" s="44"/>
      <c r="G186" s="46"/>
    </row>
    <row r="187" spans="2:7" x14ac:dyDescent="0.35">
      <c r="B187" s="41" t="s">
        <v>126</v>
      </c>
      <c r="C187" s="41" t="s">
        <v>125</v>
      </c>
      <c r="D187" s="42" t="s">
        <v>122</v>
      </c>
      <c r="E187" s="43"/>
      <c r="F187" s="44"/>
      <c r="G187" s="46"/>
    </row>
    <row r="188" spans="2:7" x14ac:dyDescent="0.35">
      <c r="B188" s="41" t="s">
        <v>128</v>
      </c>
      <c r="C188" s="41" t="s">
        <v>127</v>
      </c>
      <c r="D188" s="42" t="s">
        <v>86</v>
      </c>
      <c r="E188" s="43"/>
      <c r="F188" s="44"/>
      <c r="G188" s="46"/>
    </row>
    <row r="189" spans="2:7" x14ac:dyDescent="0.35">
      <c r="B189" s="41" t="s">
        <v>130</v>
      </c>
      <c r="C189" s="41" t="s">
        <v>129</v>
      </c>
      <c r="D189" s="42" t="s">
        <v>122</v>
      </c>
      <c r="E189" s="43"/>
      <c r="F189" s="44"/>
      <c r="G189" s="46"/>
    </row>
    <row r="190" spans="2:7" x14ac:dyDescent="0.35">
      <c r="B190" s="41" t="s">
        <v>132</v>
      </c>
      <c r="C190" s="41" t="s">
        <v>131</v>
      </c>
      <c r="D190" s="42" t="s">
        <v>122</v>
      </c>
      <c r="E190" s="43"/>
      <c r="F190" s="44"/>
      <c r="G190" s="46"/>
    </row>
    <row r="191" spans="2:7" x14ac:dyDescent="0.35">
      <c r="B191" s="41" t="s">
        <v>134</v>
      </c>
      <c r="C191" s="41" t="s">
        <v>133</v>
      </c>
      <c r="D191" s="42" t="s">
        <v>122</v>
      </c>
      <c r="E191" s="43"/>
      <c r="F191" s="44"/>
      <c r="G191" s="46"/>
    </row>
    <row r="192" spans="2:7" x14ac:dyDescent="0.35">
      <c r="B192" s="41" t="s">
        <v>136</v>
      </c>
      <c r="C192" s="41" t="s">
        <v>135</v>
      </c>
      <c r="D192" s="42" t="s">
        <v>122</v>
      </c>
      <c r="E192" s="43"/>
      <c r="F192" s="44"/>
      <c r="G192" s="46"/>
    </row>
    <row r="193" spans="2:7" x14ac:dyDescent="0.35">
      <c r="B193" s="41" t="s">
        <v>138</v>
      </c>
      <c r="C193" s="41" t="s">
        <v>137</v>
      </c>
      <c r="D193" s="42" t="s">
        <v>122</v>
      </c>
      <c r="E193" s="43"/>
      <c r="F193" s="44"/>
      <c r="G193" s="46"/>
    </row>
    <row r="194" spans="2:7" x14ac:dyDescent="0.35">
      <c r="B194" s="41" t="s">
        <v>140</v>
      </c>
      <c r="C194" s="41" t="s">
        <v>139</v>
      </c>
      <c r="D194" s="42" t="s">
        <v>122</v>
      </c>
      <c r="E194" s="43"/>
      <c r="F194" s="44"/>
      <c r="G194" s="46"/>
    </row>
    <row r="195" spans="2:7" x14ac:dyDescent="0.35">
      <c r="B195" s="41" t="s">
        <v>142</v>
      </c>
      <c r="C195" s="41" t="s">
        <v>141</v>
      </c>
      <c r="D195" s="42" t="s">
        <v>122</v>
      </c>
      <c r="E195" s="43"/>
      <c r="F195" s="44"/>
      <c r="G195" s="46"/>
    </row>
    <row r="196" spans="2:7" x14ac:dyDescent="0.35">
      <c r="B196" s="41" t="s">
        <v>144</v>
      </c>
      <c r="C196" s="41" t="s">
        <v>143</v>
      </c>
      <c r="D196" s="42" t="s">
        <v>76</v>
      </c>
      <c r="E196" s="43"/>
      <c r="F196" s="44"/>
      <c r="G196" s="46"/>
    </row>
    <row r="197" spans="2:7" x14ac:dyDescent="0.35">
      <c r="B197" s="41" t="s">
        <v>146</v>
      </c>
      <c r="C197" s="41" t="s">
        <v>145</v>
      </c>
      <c r="D197" s="42" t="s">
        <v>122</v>
      </c>
      <c r="E197" s="43"/>
      <c r="F197" s="44"/>
      <c r="G197" s="46"/>
    </row>
    <row r="198" spans="2:7" x14ac:dyDescent="0.35">
      <c r="B198" s="41" t="s">
        <v>148</v>
      </c>
      <c r="C198" s="41" t="s">
        <v>147</v>
      </c>
      <c r="D198" s="42" t="s">
        <v>122</v>
      </c>
      <c r="E198" s="43"/>
      <c r="F198" s="44"/>
      <c r="G198" s="46"/>
    </row>
    <row r="199" spans="2:7" x14ac:dyDescent="0.35">
      <c r="B199" s="41" t="s">
        <v>150</v>
      </c>
      <c r="C199" s="41" t="s">
        <v>149</v>
      </c>
      <c r="D199" s="42" t="s">
        <v>122</v>
      </c>
      <c r="E199" s="43"/>
      <c r="F199" s="44"/>
      <c r="G199" s="46"/>
    </row>
    <row r="200" spans="2:7" x14ac:dyDescent="0.35">
      <c r="B200" s="41" t="s">
        <v>152</v>
      </c>
      <c r="C200" s="41" t="s">
        <v>151</v>
      </c>
      <c r="D200" s="42" t="s">
        <v>122</v>
      </c>
      <c r="E200" s="43"/>
      <c r="F200" s="44"/>
      <c r="G200" s="46"/>
    </row>
    <row r="201" spans="2:7" x14ac:dyDescent="0.35">
      <c r="B201" s="41" t="s">
        <v>154</v>
      </c>
      <c r="C201" s="41" t="s">
        <v>153</v>
      </c>
      <c r="D201" s="42" t="s">
        <v>122</v>
      </c>
      <c r="E201" s="43"/>
      <c r="F201" s="44"/>
      <c r="G201" s="46"/>
    </row>
    <row r="202" spans="2:7" x14ac:dyDescent="0.35">
      <c r="B202" s="41" t="s">
        <v>156</v>
      </c>
      <c r="C202" s="41" t="s">
        <v>155</v>
      </c>
      <c r="D202" s="42" t="s">
        <v>122</v>
      </c>
      <c r="E202" s="43"/>
      <c r="F202" s="44"/>
      <c r="G202" s="46"/>
    </row>
    <row r="203" spans="2:7" x14ac:dyDescent="0.35">
      <c r="B203" s="41" t="s">
        <v>158</v>
      </c>
      <c r="C203" s="41" t="s">
        <v>157</v>
      </c>
      <c r="D203" s="42" t="s">
        <v>122</v>
      </c>
      <c r="E203" s="43"/>
      <c r="F203" s="44"/>
      <c r="G203" s="46"/>
    </row>
    <row r="204" spans="2:7" x14ac:dyDescent="0.35">
      <c r="B204" s="41" t="s">
        <v>160</v>
      </c>
      <c r="C204" s="41" t="s">
        <v>159</v>
      </c>
      <c r="D204" s="42" t="s">
        <v>122</v>
      </c>
      <c r="E204" s="43"/>
      <c r="F204" s="44"/>
      <c r="G204" s="46"/>
    </row>
    <row r="205" spans="2:7" x14ac:dyDescent="0.35">
      <c r="B205" s="41" t="s">
        <v>162</v>
      </c>
      <c r="C205" s="41" t="s">
        <v>161</v>
      </c>
      <c r="D205" s="42" t="s">
        <v>122</v>
      </c>
      <c r="E205" s="43"/>
      <c r="F205" s="44"/>
      <c r="G205" s="46"/>
    </row>
    <row r="206" spans="2:7" x14ac:dyDescent="0.35">
      <c r="B206" s="45" t="s">
        <v>164</v>
      </c>
      <c r="C206" s="45" t="s">
        <v>163</v>
      </c>
      <c r="D206" s="42" t="s">
        <v>165</v>
      </c>
      <c r="E206" s="43"/>
      <c r="F206" s="44"/>
      <c r="G206" s="46"/>
    </row>
    <row r="207" spans="2:7" x14ac:dyDescent="0.35">
      <c r="B207" s="45" t="s">
        <v>174</v>
      </c>
      <c r="C207" s="45"/>
      <c r="D207" s="42" t="s">
        <v>175</v>
      </c>
      <c r="E207" s="43"/>
      <c r="F207" s="44"/>
      <c r="G207" s="46"/>
    </row>
    <row r="208" spans="2:7" x14ac:dyDescent="0.35">
      <c r="B208" s="41" t="s">
        <v>180</v>
      </c>
      <c r="C208" s="41" t="s">
        <v>179</v>
      </c>
      <c r="D208" s="42" t="s">
        <v>181</v>
      </c>
      <c r="E208" s="43"/>
      <c r="F208" s="44"/>
      <c r="G208" s="46"/>
    </row>
    <row r="209" spans="2:7" x14ac:dyDescent="0.35">
      <c r="B209" s="41" t="s">
        <v>183</v>
      </c>
      <c r="C209" s="41" t="s">
        <v>182</v>
      </c>
      <c r="D209" s="42" t="s">
        <v>184</v>
      </c>
      <c r="E209" s="43"/>
      <c r="F209" s="44"/>
      <c r="G209" s="46"/>
    </row>
    <row r="210" spans="2:7" x14ac:dyDescent="0.35">
      <c r="B210" s="41" t="s">
        <v>186</v>
      </c>
      <c r="C210" s="41" t="s">
        <v>185</v>
      </c>
      <c r="D210" s="42" t="s">
        <v>184</v>
      </c>
      <c r="E210" s="43"/>
      <c r="F210" s="44"/>
      <c r="G210" s="46"/>
    </row>
    <row r="211" spans="2:7" x14ac:dyDescent="0.35">
      <c r="B211" s="41" t="s">
        <v>188</v>
      </c>
      <c r="C211" s="41" t="s">
        <v>187</v>
      </c>
      <c r="D211" s="42" t="s">
        <v>181</v>
      </c>
      <c r="E211" s="43"/>
      <c r="F211" s="44"/>
      <c r="G211" s="46"/>
    </row>
    <row r="212" spans="2:7" x14ac:dyDescent="0.35">
      <c r="B212" s="41" t="s">
        <v>190</v>
      </c>
      <c r="C212" s="41" t="s">
        <v>189</v>
      </c>
      <c r="D212" s="42" t="s">
        <v>184</v>
      </c>
      <c r="E212" s="43"/>
      <c r="F212" s="44"/>
      <c r="G212" s="46"/>
    </row>
    <row r="213" spans="2:7" x14ac:dyDescent="0.35">
      <c r="B213" s="41" t="s">
        <v>192</v>
      </c>
      <c r="C213" s="41" t="s">
        <v>191</v>
      </c>
      <c r="D213" s="42" t="s">
        <v>181</v>
      </c>
      <c r="E213" s="43"/>
      <c r="F213" s="44"/>
      <c r="G213" s="46"/>
    </row>
    <row r="214" spans="2:7" x14ac:dyDescent="0.35">
      <c r="B214" s="41" t="s">
        <v>194</v>
      </c>
      <c r="C214" s="41" t="s">
        <v>193</v>
      </c>
      <c r="D214" s="42" t="s">
        <v>184</v>
      </c>
      <c r="E214" s="43"/>
      <c r="F214" s="44"/>
      <c r="G214" s="46"/>
    </row>
    <row r="215" spans="2:7" x14ac:dyDescent="0.35">
      <c r="B215" s="41" t="s">
        <v>196</v>
      </c>
      <c r="C215" s="41" t="s">
        <v>195</v>
      </c>
      <c r="D215" s="42" t="s">
        <v>184</v>
      </c>
      <c r="E215" s="43"/>
      <c r="F215" s="44"/>
      <c r="G215" s="46"/>
    </row>
    <row r="216" spans="2:7" x14ac:dyDescent="0.35">
      <c r="B216" s="41" t="s">
        <v>198</v>
      </c>
      <c r="C216" s="41" t="s">
        <v>197</v>
      </c>
      <c r="D216" s="42" t="s">
        <v>184</v>
      </c>
      <c r="E216" s="43"/>
      <c r="F216" s="44"/>
      <c r="G216" s="46"/>
    </row>
    <row r="217" spans="2:7" x14ac:dyDescent="0.35">
      <c r="B217" s="41" t="s">
        <v>200</v>
      </c>
      <c r="C217" s="41" t="s">
        <v>199</v>
      </c>
      <c r="D217" s="42" t="s">
        <v>184</v>
      </c>
      <c r="E217" s="43"/>
      <c r="F217" s="44"/>
      <c r="G217" s="46"/>
    </row>
    <row r="218" spans="2:7" x14ac:dyDescent="0.35">
      <c r="B218" s="41" t="s">
        <v>202</v>
      </c>
      <c r="C218" s="41" t="s">
        <v>201</v>
      </c>
      <c r="D218" s="42" t="s">
        <v>184</v>
      </c>
      <c r="E218" s="43"/>
      <c r="F218" s="44"/>
      <c r="G218" s="46"/>
    </row>
    <row r="219" spans="2:7" x14ac:dyDescent="0.35">
      <c r="B219" s="41" t="s">
        <v>204</v>
      </c>
      <c r="C219" s="41" t="s">
        <v>203</v>
      </c>
      <c r="D219" s="42" t="s">
        <v>205</v>
      </c>
      <c r="E219" s="43"/>
      <c r="F219" s="44"/>
      <c r="G219" s="46"/>
    </row>
    <row r="220" spans="2:7" x14ac:dyDescent="0.35">
      <c r="B220" s="41" t="s">
        <v>207</v>
      </c>
      <c r="C220" s="41" t="s">
        <v>206</v>
      </c>
      <c r="D220" s="42" t="s">
        <v>208</v>
      </c>
      <c r="E220" s="43"/>
      <c r="F220" s="44"/>
      <c r="G220" s="46"/>
    </row>
    <row r="221" spans="2:7" x14ac:dyDescent="0.35">
      <c r="B221" s="41" t="s">
        <v>210</v>
      </c>
      <c r="C221" s="41" t="s">
        <v>209</v>
      </c>
      <c r="D221" s="42" t="s">
        <v>205</v>
      </c>
      <c r="E221" s="43"/>
      <c r="F221" s="44"/>
      <c r="G221" s="46"/>
    </row>
    <row r="222" spans="2:7" x14ac:dyDescent="0.35">
      <c r="B222" s="41" t="s">
        <v>212</v>
      </c>
      <c r="C222" s="41" t="s">
        <v>211</v>
      </c>
      <c r="D222" s="42" t="s">
        <v>205</v>
      </c>
      <c r="E222" s="43"/>
      <c r="F222" s="44"/>
      <c r="G222" s="46"/>
    </row>
    <row r="223" spans="2:7" x14ac:dyDescent="0.35">
      <c r="B223" s="41" t="s">
        <v>214</v>
      </c>
      <c r="C223" s="41" t="s">
        <v>213</v>
      </c>
      <c r="D223" s="42" t="s">
        <v>205</v>
      </c>
      <c r="E223" s="43"/>
      <c r="F223" s="44"/>
      <c r="G223" s="46"/>
    </row>
    <row r="224" spans="2:7" x14ac:dyDescent="0.35">
      <c r="B224" s="41" t="s">
        <v>216</v>
      </c>
      <c r="C224" s="41" t="s">
        <v>215</v>
      </c>
      <c r="D224" s="42" t="s">
        <v>205</v>
      </c>
      <c r="E224" s="43"/>
      <c r="F224" s="44"/>
      <c r="G224" s="46"/>
    </row>
    <row r="225" spans="2:7" x14ac:dyDescent="0.35">
      <c r="B225" s="41" t="s">
        <v>218</v>
      </c>
      <c r="C225" s="41" t="s">
        <v>217</v>
      </c>
      <c r="D225" s="42" t="s">
        <v>205</v>
      </c>
      <c r="E225" s="43"/>
      <c r="F225" s="44"/>
      <c r="G225" s="46"/>
    </row>
    <row r="226" spans="2:7" x14ac:dyDescent="0.35">
      <c r="B226" s="41" t="s">
        <v>220</v>
      </c>
      <c r="C226" s="41" t="s">
        <v>219</v>
      </c>
      <c r="D226" s="42" t="s">
        <v>205</v>
      </c>
      <c r="E226" s="43"/>
      <c r="F226" s="44"/>
      <c r="G226" s="46"/>
    </row>
    <row r="227" spans="2:7" x14ac:dyDescent="0.35">
      <c r="B227" s="41" t="s">
        <v>222</v>
      </c>
      <c r="C227" s="41" t="s">
        <v>221</v>
      </c>
      <c r="D227" s="42" t="s">
        <v>205</v>
      </c>
      <c r="E227" s="43"/>
      <c r="F227" s="44"/>
      <c r="G227" s="46"/>
    </row>
    <row r="228" spans="2:7" x14ac:dyDescent="0.35">
      <c r="B228" s="41" t="s">
        <v>224</v>
      </c>
      <c r="C228" s="41" t="s">
        <v>223</v>
      </c>
      <c r="D228" s="42" t="s">
        <v>225</v>
      </c>
      <c r="E228" s="43"/>
      <c r="F228" s="44"/>
      <c r="G228" s="46"/>
    </row>
    <row r="229" spans="2:7" x14ac:dyDescent="0.35">
      <c r="B229" s="41" t="s">
        <v>227</v>
      </c>
      <c r="C229" s="41" t="s">
        <v>226</v>
      </c>
      <c r="D229" s="42" t="s">
        <v>228</v>
      </c>
      <c r="E229" s="43"/>
      <c r="F229" s="44"/>
      <c r="G229" s="46"/>
    </row>
    <row r="230" spans="2:7" x14ac:dyDescent="0.35">
      <c r="B230" s="41" t="s">
        <v>235</v>
      </c>
      <c r="C230" s="41" t="s">
        <v>234</v>
      </c>
      <c r="D230" s="42" t="s">
        <v>236</v>
      </c>
      <c r="E230" s="43"/>
      <c r="F230" s="44"/>
      <c r="G230" s="46"/>
    </row>
    <row r="231" spans="2:7" x14ac:dyDescent="0.35">
      <c r="B231" s="41" t="s">
        <v>238</v>
      </c>
      <c r="C231" s="41" t="s">
        <v>237</v>
      </c>
      <c r="D231" s="42" t="s">
        <v>236</v>
      </c>
      <c r="E231" s="43"/>
      <c r="F231" s="44"/>
      <c r="G231" s="46"/>
    </row>
    <row r="232" spans="2:7" x14ac:dyDescent="0.35">
      <c r="B232" s="41" t="s">
        <v>279</v>
      </c>
      <c r="C232" s="41" t="s">
        <v>278</v>
      </c>
      <c r="D232" s="42" t="s">
        <v>280</v>
      </c>
      <c r="E232" s="43"/>
      <c r="F232" s="44"/>
      <c r="G232" s="46"/>
    </row>
    <row r="233" spans="2:7" x14ac:dyDescent="0.35">
      <c r="B233" s="41" t="s">
        <v>282</v>
      </c>
      <c r="C233" s="41" t="s">
        <v>281</v>
      </c>
      <c r="D233" s="42" t="s">
        <v>283</v>
      </c>
      <c r="E233" s="43"/>
      <c r="F233" s="44"/>
      <c r="G233" s="46"/>
    </row>
    <row r="234" spans="2:7" x14ac:dyDescent="0.35">
      <c r="B234" s="41" t="s">
        <v>285</v>
      </c>
      <c r="C234" s="41" t="s">
        <v>284</v>
      </c>
      <c r="D234" s="42" t="s">
        <v>283</v>
      </c>
      <c r="E234" s="43"/>
      <c r="F234" s="44"/>
      <c r="G234" s="46"/>
    </row>
    <row r="235" spans="2:7" x14ac:dyDescent="0.35">
      <c r="B235" s="41" t="s">
        <v>287</v>
      </c>
      <c r="C235" s="41" t="s">
        <v>286</v>
      </c>
      <c r="D235" s="42" t="s">
        <v>283</v>
      </c>
      <c r="E235" s="43"/>
      <c r="F235" s="44"/>
      <c r="G235" s="46"/>
    </row>
    <row r="236" spans="2:7" x14ac:dyDescent="0.35">
      <c r="B236" s="41" t="s">
        <v>289</v>
      </c>
      <c r="C236" s="41" t="s">
        <v>288</v>
      </c>
      <c r="D236" s="42" t="s">
        <v>283</v>
      </c>
      <c r="E236" s="43"/>
      <c r="F236" s="44"/>
      <c r="G236" s="46"/>
    </row>
    <row r="237" spans="2:7" x14ac:dyDescent="0.35">
      <c r="B237" s="41" t="s">
        <v>291</v>
      </c>
      <c r="C237" s="41" t="s">
        <v>290</v>
      </c>
      <c r="D237" s="42" t="s">
        <v>283</v>
      </c>
      <c r="E237" s="43"/>
      <c r="F237" s="44"/>
      <c r="G237" s="46"/>
    </row>
    <row r="238" spans="2:7" x14ac:dyDescent="0.35">
      <c r="B238" s="41" t="s">
        <v>293</v>
      </c>
      <c r="C238" s="41" t="s">
        <v>292</v>
      </c>
      <c r="D238" s="42" t="s">
        <v>283</v>
      </c>
      <c r="E238" s="43"/>
      <c r="F238" s="44"/>
      <c r="G238" s="46"/>
    </row>
    <row r="239" spans="2:7" x14ac:dyDescent="0.35">
      <c r="B239" s="41" t="s">
        <v>295</v>
      </c>
      <c r="C239" s="41" t="s">
        <v>294</v>
      </c>
      <c r="D239" s="42" t="s">
        <v>283</v>
      </c>
      <c r="E239" s="43"/>
      <c r="F239" s="44"/>
      <c r="G239" s="46"/>
    </row>
    <row r="240" spans="2:7" x14ac:dyDescent="0.35">
      <c r="B240" s="41" t="s">
        <v>297</v>
      </c>
      <c r="C240" s="41" t="s">
        <v>296</v>
      </c>
      <c r="D240" s="42" t="s">
        <v>283</v>
      </c>
      <c r="E240" s="43"/>
      <c r="F240" s="44"/>
      <c r="G240" s="46"/>
    </row>
    <row r="241" spans="2:7" x14ac:dyDescent="0.35">
      <c r="B241" s="41" t="s">
        <v>299</v>
      </c>
      <c r="C241" s="41" t="s">
        <v>298</v>
      </c>
      <c r="D241" s="42" t="s">
        <v>300</v>
      </c>
      <c r="E241" s="43"/>
      <c r="F241" s="44"/>
      <c r="G241" s="46"/>
    </row>
    <row r="242" spans="2:7" x14ac:dyDescent="0.35">
      <c r="B242" s="41" t="s">
        <v>302</v>
      </c>
      <c r="C242" s="41" t="s">
        <v>301</v>
      </c>
      <c r="D242" s="42" t="s">
        <v>280</v>
      </c>
      <c r="E242" s="43"/>
      <c r="F242" s="44"/>
      <c r="G242" s="46"/>
    </row>
    <row r="243" spans="2:7" x14ac:dyDescent="0.35">
      <c r="B243" s="41" t="s">
        <v>304</v>
      </c>
      <c r="C243" s="41" t="s">
        <v>303</v>
      </c>
      <c r="D243" s="42" t="s">
        <v>300</v>
      </c>
      <c r="E243" s="43"/>
      <c r="F243" s="44"/>
      <c r="G243" s="46"/>
    </row>
    <row r="244" spans="2:7" x14ac:dyDescent="0.35">
      <c r="B244" s="41" t="s">
        <v>307</v>
      </c>
      <c r="C244" s="41" t="s">
        <v>306</v>
      </c>
      <c r="D244" s="42" t="s">
        <v>283</v>
      </c>
      <c r="E244" s="43"/>
      <c r="F244" s="44"/>
      <c r="G244" s="46"/>
    </row>
    <row r="245" spans="2:7" x14ac:dyDescent="0.35">
      <c r="B245" s="41" t="s">
        <v>309</v>
      </c>
      <c r="C245" s="41" t="s">
        <v>308</v>
      </c>
      <c r="D245" s="42" t="s">
        <v>300</v>
      </c>
      <c r="E245" s="43"/>
      <c r="F245" s="44"/>
      <c r="G245" s="46"/>
    </row>
    <row r="246" spans="2:7" x14ac:dyDescent="0.35">
      <c r="B246" s="41" t="s">
        <v>311</v>
      </c>
      <c r="C246" s="41" t="s">
        <v>310</v>
      </c>
      <c r="D246" s="42" t="s">
        <v>283</v>
      </c>
      <c r="E246" s="43"/>
      <c r="F246" s="44"/>
      <c r="G246" s="46"/>
    </row>
    <row r="247" spans="2:7" x14ac:dyDescent="0.35">
      <c r="B247" s="41" t="s">
        <v>313</v>
      </c>
      <c r="C247" s="41" t="s">
        <v>312</v>
      </c>
      <c r="D247" s="42" t="s">
        <v>300</v>
      </c>
      <c r="E247" s="43"/>
      <c r="F247" s="44"/>
      <c r="G247" s="46"/>
    </row>
    <row r="248" spans="2:7" x14ac:dyDescent="0.35">
      <c r="B248" s="41" t="s">
        <v>315</v>
      </c>
      <c r="C248" s="41" t="s">
        <v>314</v>
      </c>
      <c r="D248" s="42" t="s">
        <v>300</v>
      </c>
      <c r="E248" s="43"/>
      <c r="F248" s="44"/>
      <c r="G248" s="46"/>
    </row>
    <row r="249" spans="2:7" x14ac:dyDescent="0.35">
      <c r="B249" s="41" t="s">
        <v>317</v>
      </c>
      <c r="C249" s="41" t="s">
        <v>316</v>
      </c>
      <c r="D249" s="42" t="s">
        <v>300</v>
      </c>
      <c r="E249" s="43"/>
      <c r="F249" s="44"/>
      <c r="G249" s="46"/>
    </row>
    <row r="250" spans="2:7" x14ac:dyDescent="0.35">
      <c r="B250" s="41" t="s">
        <v>319</v>
      </c>
      <c r="C250" s="41" t="s">
        <v>318</v>
      </c>
      <c r="D250" s="42" t="s">
        <v>283</v>
      </c>
      <c r="E250" s="43"/>
      <c r="F250" s="44"/>
      <c r="G250" s="46"/>
    </row>
    <row r="251" spans="2:7" x14ac:dyDescent="0.35">
      <c r="B251" s="41" t="s">
        <v>321</v>
      </c>
      <c r="C251" s="41" t="s">
        <v>320</v>
      </c>
      <c r="D251" s="42" t="s">
        <v>283</v>
      </c>
      <c r="E251" s="43"/>
      <c r="F251" s="44"/>
      <c r="G251" s="46"/>
    </row>
    <row r="252" spans="2:7" x14ac:dyDescent="0.35">
      <c r="B252" s="41" t="s">
        <v>323</v>
      </c>
      <c r="C252" s="41" t="s">
        <v>322</v>
      </c>
      <c r="D252" s="42" t="s">
        <v>283</v>
      </c>
      <c r="E252" s="43"/>
      <c r="F252" s="44"/>
      <c r="G252" s="46"/>
    </row>
    <row r="253" spans="2:7" x14ac:dyDescent="0.35">
      <c r="B253" s="41" t="s">
        <v>325</v>
      </c>
      <c r="C253" s="41" t="s">
        <v>324</v>
      </c>
      <c r="D253" s="42" t="s">
        <v>283</v>
      </c>
      <c r="E253" s="43"/>
      <c r="F253" s="44"/>
      <c r="G253" s="46"/>
    </row>
    <row r="254" spans="2:7" x14ac:dyDescent="0.35">
      <c r="B254" s="41" t="s">
        <v>327</v>
      </c>
      <c r="C254" s="41" t="s">
        <v>326</v>
      </c>
      <c r="D254" s="42" t="s">
        <v>283</v>
      </c>
      <c r="E254" s="43"/>
      <c r="F254" s="44"/>
      <c r="G254" s="46"/>
    </row>
    <row r="255" spans="2:7" x14ac:dyDescent="0.35">
      <c r="B255" s="41" t="s">
        <v>329</v>
      </c>
      <c r="C255" s="41" t="s">
        <v>328</v>
      </c>
      <c r="D255" s="42" t="s">
        <v>283</v>
      </c>
      <c r="E255" s="43"/>
      <c r="F255" s="44"/>
      <c r="G255" s="46"/>
    </row>
    <row r="256" spans="2:7" x14ac:dyDescent="0.35">
      <c r="B256" s="41" t="s">
        <v>331</v>
      </c>
      <c r="C256" s="41" t="s">
        <v>330</v>
      </c>
      <c r="D256" s="42" t="s">
        <v>283</v>
      </c>
      <c r="E256" s="43"/>
      <c r="F256" s="44"/>
      <c r="G256" s="46"/>
    </row>
    <row r="257" spans="2:7" x14ac:dyDescent="0.35">
      <c r="B257" s="41" t="s">
        <v>333</v>
      </c>
      <c r="C257" s="41" t="s">
        <v>332</v>
      </c>
      <c r="D257" s="42" t="s">
        <v>283</v>
      </c>
      <c r="E257" s="43"/>
      <c r="F257" s="44"/>
      <c r="G257" s="46"/>
    </row>
    <row r="258" spans="2:7" x14ac:dyDescent="0.35">
      <c r="B258" s="41" t="s">
        <v>407</v>
      </c>
      <c r="C258" s="41" t="s">
        <v>406</v>
      </c>
      <c r="D258" s="42" t="s">
        <v>408</v>
      </c>
      <c r="E258" s="43"/>
      <c r="F258" s="44"/>
      <c r="G258" s="46"/>
    </row>
    <row r="259" spans="2:7" x14ac:dyDescent="0.35">
      <c r="B259" s="41" t="s">
        <v>428</v>
      </c>
      <c r="C259" s="41" t="s">
        <v>427</v>
      </c>
      <c r="D259" s="42" t="s">
        <v>76</v>
      </c>
      <c r="E259" s="43"/>
      <c r="F259" s="44"/>
      <c r="G259" s="46"/>
    </row>
    <row r="260" spans="2:7" x14ac:dyDescent="0.35">
      <c r="B260" s="41" t="s">
        <v>430</v>
      </c>
      <c r="C260" s="41" t="s">
        <v>429</v>
      </c>
      <c r="D260" s="42" t="s">
        <v>225</v>
      </c>
      <c r="E260" s="43"/>
      <c r="F260" s="44"/>
      <c r="G260" s="46"/>
    </row>
    <row r="261" spans="2:7" x14ac:dyDescent="0.35">
      <c r="B261" s="41" t="s">
        <v>432</v>
      </c>
      <c r="C261" s="41" t="s">
        <v>431</v>
      </c>
      <c r="D261" s="42" t="s">
        <v>225</v>
      </c>
      <c r="E261" s="43"/>
      <c r="F261" s="44"/>
      <c r="G261" s="46"/>
    </row>
    <row r="262" spans="2:7" x14ac:dyDescent="0.35">
      <c r="B262" s="41" t="s">
        <v>434</v>
      </c>
      <c r="C262" s="41" t="s">
        <v>433</v>
      </c>
      <c r="D262" s="42" t="s">
        <v>225</v>
      </c>
      <c r="E262" s="43"/>
      <c r="F262" s="44"/>
      <c r="G262" s="46"/>
    </row>
    <row r="263" spans="2:7" x14ac:dyDescent="0.35">
      <c r="B263" s="41" t="s">
        <v>436</v>
      </c>
      <c r="C263" s="41" t="s">
        <v>435</v>
      </c>
      <c r="D263" s="42" t="s">
        <v>225</v>
      </c>
      <c r="E263" s="43"/>
      <c r="F263" s="44"/>
      <c r="G263" s="46"/>
    </row>
    <row r="264" spans="2:7" x14ac:dyDescent="0.35">
      <c r="B264" s="41" t="s">
        <v>438</v>
      </c>
      <c r="C264" s="41" t="s">
        <v>437</v>
      </c>
      <c r="D264" s="42" t="s">
        <v>439</v>
      </c>
      <c r="E264" s="43"/>
      <c r="F264" s="44"/>
      <c r="G264" s="46"/>
    </row>
    <row r="265" spans="2:7" x14ac:dyDescent="0.35">
      <c r="B265" s="41" t="s">
        <v>441</v>
      </c>
      <c r="C265" s="41" t="s">
        <v>440</v>
      </c>
      <c r="D265" s="42" t="s">
        <v>439</v>
      </c>
      <c r="E265" s="43"/>
      <c r="F265" s="44"/>
      <c r="G265" s="46"/>
    </row>
    <row r="266" spans="2:7" x14ac:dyDescent="0.35">
      <c r="B266" s="41" t="s">
        <v>443</v>
      </c>
      <c r="C266" s="41" t="s">
        <v>442</v>
      </c>
      <c r="D266" s="42" t="s">
        <v>76</v>
      </c>
      <c r="E266" s="43"/>
      <c r="F266" s="44"/>
      <c r="G266" s="46"/>
    </row>
    <row r="267" spans="2:7" x14ac:dyDescent="0.35">
      <c r="B267" s="41" t="s">
        <v>467</v>
      </c>
      <c r="C267" s="41" t="s">
        <v>466</v>
      </c>
      <c r="D267" s="42" t="s">
        <v>36</v>
      </c>
      <c r="E267" s="43"/>
      <c r="F267" s="44"/>
      <c r="G267" s="46"/>
    </row>
    <row r="268" spans="2:7" x14ac:dyDescent="0.35">
      <c r="B268" s="41" t="s">
        <v>469</v>
      </c>
      <c r="C268" s="41" t="s">
        <v>468</v>
      </c>
      <c r="D268" s="42" t="s">
        <v>36</v>
      </c>
      <c r="E268" s="43"/>
      <c r="F268" s="44"/>
      <c r="G268" s="46"/>
    </row>
    <row r="269" spans="2:7" x14ac:dyDescent="0.35">
      <c r="B269" s="41" t="s">
        <v>477</v>
      </c>
      <c r="C269" s="41" t="s">
        <v>476</v>
      </c>
      <c r="D269" s="42" t="s">
        <v>241</v>
      </c>
      <c r="E269" s="43"/>
      <c r="F269" s="44"/>
      <c r="G269" s="46"/>
    </row>
    <row r="270" spans="2:7" x14ac:dyDescent="0.35">
      <c r="B270" s="41" t="s">
        <v>485</v>
      </c>
      <c r="C270" s="41" t="s">
        <v>484</v>
      </c>
      <c r="D270" s="42" t="s">
        <v>252</v>
      </c>
      <c r="E270" s="43"/>
      <c r="F270" s="44"/>
      <c r="G270" s="46"/>
    </row>
    <row r="271" spans="2:7" x14ac:dyDescent="0.35">
      <c r="B271" s="41" t="s">
        <v>493</v>
      </c>
      <c r="C271" s="41" t="s">
        <v>492</v>
      </c>
      <c r="D271" s="42" t="s">
        <v>252</v>
      </c>
      <c r="E271" s="43"/>
      <c r="F271" s="44"/>
      <c r="G271" s="46"/>
    </row>
    <row r="272" spans="2:7" x14ac:dyDescent="0.35">
      <c r="B272" s="41" t="s">
        <v>495</v>
      </c>
      <c r="C272" s="41" t="s">
        <v>494</v>
      </c>
      <c r="D272" s="42" t="s">
        <v>496</v>
      </c>
      <c r="E272" s="43"/>
      <c r="F272" s="44"/>
      <c r="G272" s="46"/>
    </row>
    <row r="273" spans="2:7" x14ac:dyDescent="0.35">
      <c r="B273" s="41" t="s">
        <v>498</v>
      </c>
      <c r="C273" s="41" t="s">
        <v>497</v>
      </c>
      <c r="D273" s="42" t="s">
        <v>496</v>
      </c>
      <c r="E273" s="43"/>
      <c r="F273" s="44"/>
      <c r="G273" s="46"/>
    </row>
    <row r="274" spans="2:7" x14ac:dyDescent="0.35">
      <c r="B274" s="41" t="s">
        <v>500</v>
      </c>
      <c r="C274" s="41" t="s">
        <v>499</v>
      </c>
      <c r="D274" s="42" t="s">
        <v>496</v>
      </c>
      <c r="E274" s="43"/>
      <c r="F274" s="44"/>
      <c r="G274" s="46"/>
    </row>
    <row r="275" spans="2:7" x14ac:dyDescent="0.35">
      <c r="B275" s="41" t="s">
        <v>511</v>
      </c>
      <c r="C275" s="41" t="s">
        <v>510</v>
      </c>
      <c r="D275" s="42" t="s">
        <v>512</v>
      </c>
      <c r="E275" s="43"/>
      <c r="F275" s="44"/>
      <c r="G275" s="46"/>
    </row>
    <row r="276" spans="2:7" x14ac:dyDescent="0.35">
      <c r="B276" s="41" t="s">
        <v>514</v>
      </c>
      <c r="C276" s="41" t="s">
        <v>513</v>
      </c>
      <c r="D276" s="42" t="s">
        <v>512</v>
      </c>
      <c r="E276" s="43"/>
      <c r="F276" s="44"/>
      <c r="G276" s="46"/>
    </row>
    <row r="277" spans="2:7" x14ac:dyDescent="0.35">
      <c r="B277" s="41" t="s">
        <v>519</v>
      </c>
      <c r="C277" s="41" t="s">
        <v>518</v>
      </c>
      <c r="D277" s="42" t="s">
        <v>517</v>
      </c>
      <c r="E277" s="43"/>
      <c r="F277" s="44"/>
      <c r="G277" s="46"/>
    </row>
    <row r="278" spans="2:7" x14ac:dyDescent="0.35">
      <c r="B278" s="41" t="s">
        <v>521</v>
      </c>
      <c r="C278" s="45" t="s">
        <v>520</v>
      </c>
      <c r="D278" s="42" t="s">
        <v>512</v>
      </c>
      <c r="E278" s="43"/>
      <c r="F278" s="44"/>
      <c r="G278" s="46"/>
    </row>
    <row r="279" spans="2:7" x14ac:dyDescent="0.35">
      <c r="B279" s="41" t="s">
        <v>523</v>
      </c>
      <c r="C279" s="41" t="s">
        <v>522</v>
      </c>
      <c r="D279" s="42" t="s">
        <v>512</v>
      </c>
      <c r="E279" s="43"/>
      <c r="F279" s="44"/>
      <c r="G279" s="46"/>
    </row>
    <row r="280" spans="2:7" x14ac:dyDescent="0.35">
      <c r="B280" s="41" t="s">
        <v>549</v>
      </c>
      <c r="C280" s="41" t="s">
        <v>548</v>
      </c>
      <c r="D280" s="42" t="s">
        <v>352</v>
      </c>
      <c r="E280" s="43"/>
      <c r="F280" s="44"/>
      <c r="G280" s="46"/>
    </row>
    <row r="281" spans="2:7" x14ac:dyDescent="0.35">
      <c r="B281" s="41" t="s">
        <v>553</v>
      </c>
      <c r="C281" s="41" t="s">
        <v>552</v>
      </c>
      <c r="D281" s="42" t="s">
        <v>554</v>
      </c>
      <c r="E281" s="43"/>
      <c r="F281" s="44"/>
      <c r="G281" s="46"/>
    </row>
    <row r="282" spans="2:7" x14ac:dyDescent="0.35">
      <c r="B282" s="41" t="s">
        <v>593</v>
      </c>
      <c r="C282" s="41" t="s">
        <v>592</v>
      </c>
      <c r="D282" s="42" t="s">
        <v>275</v>
      </c>
      <c r="E282" s="43"/>
      <c r="F282" s="44"/>
      <c r="G282" s="46"/>
    </row>
    <row r="283" spans="2:7" x14ac:dyDescent="0.35">
      <c r="B283" s="41" t="s">
        <v>595</v>
      </c>
      <c r="C283" s="41" t="s">
        <v>594</v>
      </c>
      <c r="D283" s="42" t="s">
        <v>596</v>
      </c>
      <c r="E283" s="43"/>
      <c r="F283" s="44"/>
      <c r="G283" s="46"/>
    </row>
    <row r="284" spans="2:7" x14ac:dyDescent="0.35">
      <c r="B284" s="41" t="s">
        <v>598</v>
      </c>
      <c r="C284" s="41" t="s">
        <v>597</v>
      </c>
      <c r="D284" s="42" t="s">
        <v>275</v>
      </c>
      <c r="E284" s="43"/>
      <c r="F284" s="44"/>
      <c r="G284" s="46"/>
    </row>
    <row r="285" spans="2:7" x14ac:dyDescent="0.35">
      <c r="B285" s="41" t="s">
        <v>602</v>
      </c>
      <c r="C285" s="41" t="s">
        <v>601</v>
      </c>
      <c r="D285" s="42" t="s">
        <v>275</v>
      </c>
      <c r="E285" s="43"/>
      <c r="F285" s="44"/>
      <c r="G285" s="46"/>
    </row>
    <row r="286" spans="2:7" x14ac:dyDescent="0.35">
      <c r="B286" s="41" t="s">
        <v>604</v>
      </c>
      <c r="C286" s="41" t="s">
        <v>603</v>
      </c>
      <c r="D286" s="42" t="s">
        <v>300</v>
      </c>
      <c r="E286" s="43"/>
      <c r="F286" s="44"/>
      <c r="G286" s="46"/>
    </row>
    <row r="287" spans="2:7" x14ac:dyDescent="0.35">
      <c r="B287" s="41" t="s">
        <v>606</v>
      </c>
      <c r="C287" s="41" t="s">
        <v>605</v>
      </c>
      <c r="D287" s="42" t="s">
        <v>300</v>
      </c>
      <c r="E287" s="43"/>
      <c r="F287" s="44"/>
      <c r="G287" s="46"/>
    </row>
    <row r="288" spans="2:7" x14ac:dyDescent="0.35">
      <c r="B288" s="41" t="s">
        <v>607</v>
      </c>
      <c r="C288" s="45"/>
      <c r="D288" s="42" t="s">
        <v>300</v>
      </c>
      <c r="E288" s="43"/>
      <c r="F288" s="44"/>
      <c r="G288" s="46"/>
    </row>
    <row r="289" spans="2:7" x14ac:dyDescent="0.35">
      <c r="B289" s="41" t="s">
        <v>609</v>
      </c>
      <c r="C289" s="41" t="s">
        <v>608</v>
      </c>
      <c r="D289" s="42" t="s">
        <v>300</v>
      </c>
      <c r="E289" s="43"/>
      <c r="F289" s="44"/>
      <c r="G289" s="46"/>
    </row>
    <row r="290" spans="2:7" x14ac:dyDescent="0.35">
      <c r="B290" s="41" t="s">
        <v>611</v>
      </c>
      <c r="C290" s="41" t="s">
        <v>610</v>
      </c>
      <c r="D290" s="42" t="s">
        <v>300</v>
      </c>
      <c r="E290" s="43"/>
      <c r="F290" s="44"/>
      <c r="G290" s="46"/>
    </row>
    <row r="291" spans="2:7" x14ac:dyDescent="0.35">
      <c r="B291" s="41" t="s">
        <v>613</v>
      </c>
      <c r="C291" s="41" t="s">
        <v>612</v>
      </c>
      <c r="D291" s="42" t="s">
        <v>614</v>
      </c>
      <c r="E291" s="43"/>
      <c r="F291" s="44"/>
      <c r="G291" s="46"/>
    </row>
    <row r="292" spans="2:7" x14ac:dyDescent="0.35">
      <c r="B292" s="41" t="s">
        <v>616</v>
      </c>
      <c r="C292" s="41" t="s">
        <v>615</v>
      </c>
      <c r="D292" s="42" t="s">
        <v>300</v>
      </c>
      <c r="E292" s="43"/>
      <c r="F292" s="44"/>
      <c r="G292" s="46"/>
    </row>
    <row r="293" spans="2:7" x14ac:dyDescent="0.35">
      <c r="B293" s="41" t="s">
        <v>618</v>
      </c>
      <c r="C293" s="41" t="s">
        <v>617</v>
      </c>
      <c r="D293" s="42" t="s">
        <v>619</v>
      </c>
      <c r="E293" s="43"/>
      <c r="F293" s="44"/>
      <c r="G293" s="46"/>
    </row>
    <row r="294" spans="2:7" x14ac:dyDescent="0.35">
      <c r="B294" s="41" t="s">
        <v>621</v>
      </c>
      <c r="C294" s="41" t="s">
        <v>620</v>
      </c>
      <c r="D294" s="42" t="s">
        <v>300</v>
      </c>
      <c r="E294" s="43"/>
      <c r="F294" s="44"/>
      <c r="G294" s="46"/>
    </row>
    <row r="295" spans="2:7" x14ac:dyDescent="0.35">
      <c r="B295" s="41" t="s">
        <v>623</v>
      </c>
      <c r="C295" s="41" t="s">
        <v>622</v>
      </c>
      <c r="D295" s="42" t="s">
        <v>619</v>
      </c>
      <c r="E295" s="43"/>
      <c r="F295" s="44"/>
      <c r="G295" s="46"/>
    </row>
    <row r="296" spans="2:7" x14ac:dyDescent="0.4">
      <c r="B296" s="46" t="s">
        <v>667</v>
      </c>
      <c r="C296" s="46" t="s">
        <v>666</v>
      </c>
      <c r="D296" s="42" t="s">
        <v>366</v>
      </c>
      <c r="E296" s="43"/>
      <c r="F296" s="44"/>
      <c r="G296" s="46"/>
    </row>
    <row r="297" spans="2:7" x14ac:dyDescent="0.35">
      <c r="B297" s="41" t="s">
        <v>671</v>
      </c>
      <c r="C297" s="41" t="s">
        <v>670</v>
      </c>
      <c r="D297" s="42" t="s">
        <v>654</v>
      </c>
      <c r="E297" s="43"/>
      <c r="F297" s="44"/>
      <c r="G297" s="46"/>
    </row>
    <row r="298" spans="2:7" x14ac:dyDescent="0.35">
      <c r="B298" s="41" t="s">
        <v>673</v>
      </c>
      <c r="C298" s="41" t="s">
        <v>672</v>
      </c>
      <c r="D298" s="42" t="s">
        <v>654</v>
      </c>
      <c r="E298" s="43"/>
      <c r="F298" s="44"/>
      <c r="G298" s="46"/>
    </row>
    <row r="299" spans="2:7" x14ac:dyDescent="0.35">
      <c r="B299" s="41" t="s">
        <v>680</v>
      </c>
      <c r="C299" s="41" t="s">
        <v>679</v>
      </c>
      <c r="D299" s="42" t="s">
        <v>439</v>
      </c>
      <c r="E299" s="43"/>
      <c r="F299" s="44"/>
      <c r="G299" s="46"/>
    </row>
    <row r="300" spans="2:7" x14ac:dyDescent="0.35">
      <c r="B300" s="41" t="s">
        <v>682</v>
      </c>
      <c r="C300" s="41" t="s">
        <v>681</v>
      </c>
      <c r="D300" s="42" t="s">
        <v>439</v>
      </c>
      <c r="E300" s="43"/>
      <c r="F300" s="44"/>
      <c r="G300" s="46"/>
    </row>
    <row r="301" spans="2:7" x14ac:dyDescent="0.35">
      <c r="B301" s="41" t="s">
        <v>684</v>
      </c>
      <c r="C301" s="41" t="s">
        <v>683</v>
      </c>
      <c r="D301" s="42" t="s">
        <v>439</v>
      </c>
      <c r="E301" s="43"/>
      <c r="F301" s="44"/>
      <c r="G301" s="46"/>
    </row>
    <row r="302" spans="2:7" x14ac:dyDescent="0.35">
      <c r="B302" s="45" t="s">
        <v>702</v>
      </c>
      <c r="C302" s="45" t="s">
        <v>701</v>
      </c>
      <c r="D302" s="42" t="s">
        <v>665</v>
      </c>
      <c r="E302" s="43"/>
      <c r="F302" s="44"/>
      <c r="G302" s="46"/>
    </row>
    <row r="303" spans="2:7" x14ac:dyDescent="0.35">
      <c r="B303" s="45" t="s">
        <v>704</v>
      </c>
      <c r="C303" s="45" t="s">
        <v>703</v>
      </c>
      <c r="D303" s="42" t="s">
        <v>705</v>
      </c>
      <c r="E303" s="43"/>
      <c r="F303" s="44"/>
      <c r="G303" s="46"/>
    </row>
    <row r="304" spans="2:7" x14ac:dyDescent="0.35">
      <c r="B304" s="41" t="s">
        <v>711</v>
      </c>
      <c r="C304" s="41" t="s">
        <v>710</v>
      </c>
      <c r="D304" s="42" t="s">
        <v>236</v>
      </c>
      <c r="E304" s="43"/>
      <c r="F304" s="44"/>
      <c r="G304" s="46"/>
    </row>
    <row r="305" spans="2:7" x14ac:dyDescent="0.35">
      <c r="B305" s="41" t="s">
        <v>713</v>
      </c>
      <c r="C305" s="45" t="s">
        <v>712</v>
      </c>
      <c r="D305" s="42" t="s">
        <v>714</v>
      </c>
      <c r="E305" s="43"/>
      <c r="F305" s="44"/>
      <c r="G305" s="46"/>
    </row>
    <row r="306" spans="2:7" x14ac:dyDescent="0.35">
      <c r="B306" s="41" t="s">
        <v>718</v>
      </c>
      <c r="C306" s="41" t="s">
        <v>717</v>
      </c>
      <c r="D306" s="42" t="s">
        <v>255</v>
      </c>
      <c r="E306" s="43"/>
      <c r="F306" s="44"/>
      <c r="G306" s="46"/>
    </row>
    <row r="307" spans="2:7" x14ac:dyDescent="0.35">
      <c r="B307" s="41" t="s">
        <v>731</v>
      </c>
      <c r="C307" s="41" t="s">
        <v>730</v>
      </c>
      <c r="D307" s="42" t="s">
        <v>665</v>
      </c>
      <c r="E307" s="43"/>
      <c r="F307" s="44"/>
      <c r="G307" s="46"/>
    </row>
    <row r="308" spans="2:7" x14ac:dyDescent="0.35">
      <c r="B308" s="41" t="s">
        <v>738</v>
      </c>
      <c r="C308" s="41" t="s">
        <v>737</v>
      </c>
      <c r="D308" s="42" t="s">
        <v>252</v>
      </c>
      <c r="E308" s="43"/>
      <c r="F308" s="44"/>
      <c r="G308" s="46"/>
    </row>
    <row r="309" spans="2:7" x14ac:dyDescent="0.35">
      <c r="B309" s="41" t="s">
        <v>744</v>
      </c>
      <c r="C309" s="41" t="s">
        <v>743</v>
      </c>
      <c r="D309" s="42" t="s">
        <v>252</v>
      </c>
      <c r="E309" s="43"/>
      <c r="F309" s="44"/>
      <c r="G309" s="46"/>
    </row>
    <row r="310" spans="2:7" x14ac:dyDescent="0.35">
      <c r="B310" s="41" t="s">
        <v>746</v>
      </c>
      <c r="C310" s="41" t="s">
        <v>745</v>
      </c>
      <c r="D310" s="42" t="s">
        <v>252</v>
      </c>
      <c r="E310" s="43"/>
      <c r="F310" s="44"/>
      <c r="G310" s="46"/>
    </row>
    <row r="311" spans="2:7" x14ac:dyDescent="0.35">
      <c r="B311" s="41" t="s">
        <v>754</v>
      </c>
      <c r="C311" s="45" t="s">
        <v>753</v>
      </c>
      <c r="D311" s="42" t="s">
        <v>755</v>
      </c>
      <c r="E311" s="43"/>
      <c r="F311" s="44"/>
      <c r="G311" s="46"/>
    </row>
    <row r="312" spans="2:7" x14ac:dyDescent="0.35">
      <c r="B312" s="41" t="s">
        <v>763</v>
      </c>
      <c r="C312" s="45" t="s">
        <v>762</v>
      </c>
      <c r="D312" s="42" t="s">
        <v>764</v>
      </c>
      <c r="E312" s="43"/>
      <c r="F312" s="44"/>
      <c r="G312" s="46"/>
    </row>
    <row r="313" spans="2:7" x14ac:dyDescent="0.35">
      <c r="B313" s="45" t="s">
        <v>769</v>
      </c>
      <c r="C313" s="45"/>
      <c r="D313" s="42" t="s">
        <v>654</v>
      </c>
      <c r="E313" s="43"/>
      <c r="F313" s="44"/>
      <c r="G313" s="46"/>
    </row>
    <row r="314" spans="2:7" x14ac:dyDescent="0.35">
      <c r="B314" s="41" t="s">
        <v>784</v>
      </c>
      <c r="C314" s="45" t="s">
        <v>783</v>
      </c>
      <c r="D314" s="42" t="s">
        <v>694</v>
      </c>
      <c r="E314" s="43"/>
      <c r="F314" s="44"/>
      <c r="G314" s="46"/>
    </row>
    <row r="315" spans="2:7" x14ac:dyDescent="0.35">
      <c r="B315" s="41" t="s">
        <v>804</v>
      </c>
      <c r="C315" s="41" t="s">
        <v>803</v>
      </c>
      <c r="D315" s="42" t="s">
        <v>805</v>
      </c>
      <c r="E315" s="43"/>
      <c r="F315" s="44"/>
      <c r="G315" s="46"/>
    </row>
    <row r="316" spans="2:7" x14ac:dyDescent="0.35">
      <c r="B316" s="41" t="s">
        <v>807</v>
      </c>
      <c r="C316" s="41" t="s">
        <v>806</v>
      </c>
      <c r="D316" s="42" t="s">
        <v>808</v>
      </c>
      <c r="E316" s="43"/>
      <c r="F316" s="44"/>
      <c r="G316" s="46"/>
    </row>
    <row r="317" spans="2:7" x14ac:dyDescent="0.35">
      <c r="B317" s="41" t="s">
        <v>810</v>
      </c>
      <c r="C317" s="41" t="s">
        <v>809</v>
      </c>
      <c r="D317" s="42" t="s">
        <v>808</v>
      </c>
      <c r="E317" s="43"/>
      <c r="F317" s="44"/>
      <c r="G317" s="46"/>
    </row>
    <row r="318" spans="2:7" x14ac:dyDescent="0.35">
      <c r="B318" s="41" t="s">
        <v>812</v>
      </c>
      <c r="C318" s="41" t="s">
        <v>811</v>
      </c>
      <c r="D318" s="42" t="s">
        <v>808</v>
      </c>
      <c r="E318" s="43"/>
      <c r="F318" s="44"/>
      <c r="G318" s="46"/>
    </row>
    <row r="319" spans="2:7" x14ac:dyDescent="0.35">
      <c r="B319" s="41" t="s">
        <v>816</v>
      </c>
      <c r="C319" s="41" t="s">
        <v>815</v>
      </c>
      <c r="D319" s="42" t="s">
        <v>808</v>
      </c>
      <c r="E319" s="43"/>
      <c r="F319" s="44"/>
      <c r="G319" s="46"/>
    </row>
    <row r="320" spans="2:7" x14ac:dyDescent="0.35">
      <c r="B320" s="41" t="s">
        <v>818</v>
      </c>
      <c r="C320" s="41" t="s">
        <v>817</v>
      </c>
      <c r="D320" s="42" t="s">
        <v>808</v>
      </c>
      <c r="E320" s="43"/>
      <c r="F320" s="44"/>
      <c r="G320" s="46"/>
    </row>
    <row r="321" spans="2:7" x14ac:dyDescent="0.35">
      <c r="B321" s="41" t="s">
        <v>820</v>
      </c>
      <c r="C321" s="41" t="s">
        <v>819</v>
      </c>
      <c r="D321" s="42" t="s">
        <v>300</v>
      </c>
      <c r="E321" s="43"/>
      <c r="F321" s="44"/>
      <c r="G321" s="46"/>
    </row>
    <row r="322" spans="2:7" x14ac:dyDescent="0.35">
      <c r="B322" s="41" t="s">
        <v>822</v>
      </c>
      <c r="C322" s="41" t="s">
        <v>821</v>
      </c>
      <c r="D322" s="42" t="s">
        <v>300</v>
      </c>
      <c r="E322" s="43"/>
      <c r="F322" s="44"/>
      <c r="G322" s="46"/>
    </row>
    <row r="323" spans="2:7" x14ac:dyDescent="0.35">
      <c r="B323" s="41" t="s">
        <v>824</v>
      </c>
      <c r="C323" s="41" t="s">
        <v>823</v>
      </c>
      <c r="D323" s="42" t="s">
        <v>825</v>
      </c>
      <c r="E323" s="43"/>
      <c r="F323" s="44"/>
      <c r="G323" s="46"/>
    </row>
    <row r="324" spans="2:7" x14ac:dyDescent="0.35">
      <c r="B324" s="41" t="s">
        <v>827</v>
      </c>
      <c r="C324" s="41" t="s">
        <v>826</v>
      </c>
      <c r="D324" s="42" t="s">
        <v>828</v>
      </c>
      <c r="E324" s="43"/>
      <c r="F324" s="44"/>
      <c r="G324" s="46"/>
    </row>
    <row r="325" spans="2:7" x14ac:dyDescent="0.35">
      <c r="B325" s="41" t="s">
        <v>830</v>
      </c>
      <c r="C325" s="41" t="s">
        <v>829</v>
      </c>
      <c r="D325" s="42" t="s">
        <v>300</v>
      </c>
      <c r="E325" s="43"/>
      <c r="F325" s="44"/>
      <c r="G325" s="46"/>
    </row>
    <row r="326" spans="2:7" x14ac:dyDescent="0.35">
      <c r="B326" s="41" t="s">
        <v>832</v>
      </c>
      <c r="C326" s="41" t="s">
        <v>831</v>
      </c>
      <c r="D326" s="42" t="s">
        <v>300</v>
      </c>
      <c r="E326" s="43"/>
      <c r="F326" s="44"/>
      <c r="G326" s="46"/>
    </row>
    <row r="327" spans="2:7" x14ac:dyDescent="0.35">
      <c r="B327" s="41" t="s">
        <v>834</v>
      </c>
      <c r="C327" s="41" t="s">
        <v>833</v>
      </c>
      <c r="D327" s="42" t="s">
        <v>300</v>
      </c>
      <c r="E327" s="43"/>
      <c r="F327" s="44"/>
      <c r="G327" s="46"/>
    </row>
    <row r="328" spans="2:7" x14ac:dyDescent="0.35">
      <c r="B328" s="41" t="s">
        <v>836</v>
      </c>
      <c r="C328" s="41" t="s">
        <v>835</v>
      </c>
      <c r="D328" s="42" t="s">
        <v>828</v>
      </c>
      <c r="E328" s="43"/>
      <c r="F328" s="44"/>
      <c r="G328" s="46"/>
    </row>
    <row r="329" spans="2:7" x14ac:dyDescent="0.35">
      <c r="B329" s="41" t="s">
        <v>851</v>
      </c>
      <c r="C329" s="41" t="s">
        <v>850</v>
      </c>
      <c r="D329" s="42" t="s">
        <v>852</v>
      </c>
      <c r="E329" s="43"/>
      <c r="F329" s="44"/>
      <c r="G329" s="46"/>
    </row>
    <row r="330" spans="2:7" x14ac:dyDescent="0.35">
      <c r="B330" s="41" t="s">
        <v>862</v>
      </c>
      <c r="C330" s="41" t="s">
        <v>861</v>
      </c>
      <c r="D330" s="42" t="s">
        <v>863</v>
      </c>
      <c r="E330" s="43"/>
      <c r="F330" s="44"/>
      <c r="G330" s="46"/>
    </row>
    <row r="331" spans="2:7" x14ac:dyDescent="0.35">
      <c r="B331" s="41" t="s">
        <v>865</v>
      </c>
      <c r="C331" s="41" t="s">
        <v>864</v>
      </c>
      <c r="D331" s="42" t="s">
        <v>863</v>
      </c>
      <c r="E331" s="43"/>
      <c r="F331" s="44"/>
      <c r="G331" s="46"/>
    </row>
    <row r="332" spans="2:7" x14ac:dyDescent="0.35">
      <c r="B332" s="41" t="s">
        <v>869</v>
      </c>
      <c r="C332" s="41" t="s">
        <v>868</v>
      </c>
      <c r="D332" s="42" t="s">
        <v>755</v>
      </c>
      <c r="E332" s="43"/>
      <c r="F332" s="44"/>
      <c r="G332" s="46"/>
    </row>
    <row r="333" spans="2:7" x14ac:dyDescent="0.35">
      <c r="B333" s="41" t="s">
        <v>871</v>
      </c>
      <c r="C333" s="41" t="s">
        <v>870</v>
      </c>
      <c r="D333" s="42" t="s">
        <v>755</v>
      </c>
      <c r="E333" s="43"/>
      <c r="F333" s="44"/>
      <c r="G333" s="46"/>
    </row>
    <row r="334" spans="2:7" x14ac:dyDescent="0.35">
      <c r="B334" s="41" t="s">
        <v>882</v>
      </c>
      <c r="C334" s="45" t="s">
        <v>881</v>
      </c>
      <c r="D334" s="42" t="s">
        <v>863</v>
      </c>
      <c r="E334" s="43"/>
      <c r="F334" s="44"/>
      <c r="G334" s="46"/>
    </row>
    <row r="335" spans="2:7" x14ac:dyDescent="0.35">
      <c r="B335" s="41" t="s">
        <v>937</v>
      </c>
      <c r="C335" s="41" t="s">
        <v>936</v>
      </c>
      <c r="D335" s="42" t="s">
        <v>439</v>
      </c>
      <c r="E335" s="43"/>
      <c r="F335" s="44"/>
      <c r="G335" s="46"/>
    </row>
    <row r="336" spans="2:7" x14ac:dyDescent="0.35">
      <c r="B336" s="41" t="s">
        <v>939</v>
      </c>
      <c r="C336" s="41" t="s">
        <v>938</v>
      </c>
      <c r="D336" s="42" t="s">
        <v>439</v>
      </c>
      <c r="E336" s="43"/>
      <c r="F336" s="44"/>
      <c r="G336" s="46"/>
    </row>
    <row r="337" spans="2:7" x14ac:dyDescent="0.35">
      <c r="B337" s="41" t="s">
        <v>941</v>
      </c>
      <c r="C337" s="41" t="s">
        <v>940</v>
      </c>
      <c r="D337" s="42" t="s">
        <v>439</v>
      </c>
      <c r="E337" s="43"/>
      <c r="F337" s="44"/>
      <c r="G337" s="46"/>
    </row>
    <row r="338" spans="2:7" x14ac:dyDescent="0.35">
      <c r="B338" s="41" t="s">
        <v>943</v>
      </c>
      <c r="C338" s="41" t="s">
        <v>942</v>
      </c>
      <c r="D338" s="42" t="s">
        <v>944</v>
      </c>
      <c r="E338" s="43"/>
      <c r="F338" s="44"/>
      <c r="G338" s="46"/>
    </row>
    <row r="339" spans="2:7" x14ac:dyDescent="0.35">
      <c r="B339" s="41" t="s">
        <v>946</v>
      </c>
      <c r="C339" s="41" t="s">
        <v>945</v>
      </c>
      <c r="D339" s="42" t="s">
        <v>944</v>
      </c>
      <c r="E339" s="43"/>
      <c r="F339" s="44"/>
      <c r="G339" s="46"/>
    </row>
    <row r="340" spans="2:7" x14ac:dyDescent="0.35">
      <c r="B340" s="41" t="s">
        <v>948</v>
      </c>
      <c r="C340" s="41" t="s">
        <v>947</v>
      </c>
      <c r="D340" s="42" t="s">
        <v>944</v>
      </c>
      <c r="E340" s="43"/>
      <c r="F340" s="44"/>
      <c r="G340" s="46"/>
    </row>
    <row r="341" spans="2:7" x14ac:dyDescent="0.35">
      <c r="B341" s="41" t="s">
        <v>950</v>
      </c>
      <c r="C341" s="41" t="s">
        <v>949</v>
      </c>
      <c r="D341" s="42" t="s">
        <v>944</v>
      </c>
      <c r="E341" s="43"/>
      <c r="F341" s="44"/>
      <c r="G341" s="46"/>
    </row>
    <row r="342" spans="2:7" x14ac:dyDescent="0.35">
      <c r="B342" s="41" t="s">
        <v>952</v>
      </c>
      <c r="C342" s="41" t="s">
        <v>951</v>
      </c>
      <c r="D342" s="42" t="s">
        <v>944</v>
      </c>
      <c r="E342" s="43"/>
      <c r="F342" s="44"/>
      <c r="G342" s="46"/>
    </row>
    <row r="343" spans="2:7" x14ac:dyDescent="0.35">
      <c r="B343" s="41" t="s">
        <v>954</v>
      </c>
      <c r="C343" s="41" t="s">
        <v>953</v>
      </c>
      <c r="D343" s="42" t="s">
        <v>944</v>
      </c>
      <c r="E343" s="43"/>
      <c r="F343" s="44"/>
      <c r="G343" s="46"/>
    </row>
    <row r="344" spans="2:7" x14ac:dyDescent="0.35">
      <c r="B344" s="41" t="s">
        <v>956</v>
      </c>
      <c r="C344" s="41" t="s">
        <v>955</v>
      </c>
      <c r="D344" s="42" t="s">
        <v>944</v>
      </c>
      <c r="E344" s="43"/>
      <c r="F344" s="44"/>
      <c r="G344" s="46"/>
    </row>
    <row r="345" spans="2:7" x14ac:dyDescent="0.35">
      <c r="B345" s="41" t="s">
        <v>958</v>
      </c>
      <c r="C345" s="41" t="s">
        <v>957</v>
      </c>
      <c r="D345" s="42" t="s">
        <v>959</v>
      </c>
      <c r="E345" s="43"/>
      <c r="F345" s="44"/>
      <c r="G345" s="46"/>
    </row>
    <row r="346" spans="2:7" x14ac:dyDescent="0.35">
      <c r="B346" s="41" t="s">
        <v>961</v>
      </c>
      <c r="C346" s="41" t="s">
        <v>960</v>
      </c>
      <c r="D346" s="42" t="s">
        <v>959</v>
      </c>
      <c r="E346" s="43"/>
      <c r="F346" s="44"/>
      <c r="G346" s="46"/>
    </row>
    <row r="347" spans="2:7" x14ac:dyDescent="0.35">
      <c r="B347" s="41" t="s">
        <v>963</v>
      </c>
      <c r="C347" s="41" t="s">
        <v>962</v>
      </c>
      <c r="D347" s="42" t="s">
        <v>959</v>
      </c>
      <c r="E347" s="43"/>
      <c r="F347" s="44"/>
      <c r="G347" s="46"/>
    </row>
    <row r="348" spans="2:7" x14ac:dyDescent="0.35">
      <c r="B348" s="41" t="s">
        <v>965</v>
      </c>
      <c r="C348" s="41" t="s">
        <v>964</v>
      </c>
      <c r="D348" s="42" t="s">
        <v>959</v>
      </c>
      <c r="E348" s="43"/>
      <c r="F348" s="44"/>
      <c r="G348" s="46"/>
    </row>
    <row r="349" spans="2:7" x14ac:dyDescent="0.35">
      <c r="B349" s="41" t="s">
        <v>971</v>
      </c>
      <c r="C349" s="41" t="s">
        <v>970</v>
      </c>
      <c r="D349" s="42" t="s">
        <v>58</v>
      </c>
      <c r="E349" s="43"/>
      <c r="F349" s="44"/>
      <c r="G349" s="46"/>
    </row>
    <row r="350" spans="2:7" x14ac:dyDescent="0.35">
      <c r="B350" s="41" t="s">
        <v>977</v>
      </c>
      <c r="C350" s="41" t="s">
        <v>976</v>
      </c>
      <c r="D350" s="42" t="s">
        <v>36</v>
      </c>
      <c r="E350" s="43"/>
      <c r="F350" s="44"/>
      <c r="G350" s="46"/>
    </row>
    <row r="351" spans="2:7" x14ac:dyDescent="0.35">
      <c r="B351" s="41" t="s">
        <v>979</v>
      </c>
      <c r="C351" s="41" t="s">
        <v>978</v>
      </c>
      <c r="D351" s="42" t="s">
        <v>36</v>
      </c>
      <c r="E351" s="43"/>
      <c r="F351" s="44"/>
      <c r="G351" s="46"/>
    </row>
    <row r="352" spans="2:7" x14ac:dyDescent="0.35">
      <c r="B352" s="41" t="s">
        <v>1003</v>
      </c>
      <c r="C352" s="41" t="s">
        <v>1002</v>
      </c>
      <c r="D352" s="42" t="s">
        <v>241</v>
      </c>
      <c r="E352" s="43"/>
      <c r="F352" s="44"/>
      <c r="G352" s="46"/>
    </row>
    <row r="353" spans="2:7" x14ac:dyDescent="0.35">
      <c r="B353" s="41" t="s">
        <v>1005</v>
      </c>
      <c r="C353" s="41" t="s">
        <v>1004</v>
      </c>
      <c r="D353" s="42" t="s">
        <v>369</v>
      </c>
      <c r="E353" s="43"/>
      <c r="F353" s="44"/>
      <c r="G353" s="46"/>
    </row>
    <row r="354" spans="2:7" x14ac:dyDescent="0.35">
      <c r="B354" s="41" t="s">
        <v>1011</v>
      </c>
      <c r="C354" s="41" t="s">
        <v>1010</v>
      </c>
      <c r="D354" s="42" t="s">
        <v>241</v>
      </c>
      <c r="E354" s="43"/>
      <c r="F354" s="44"/>
      <c r="G354" s="46"/>
    </row>
    <row r="355" spans="2:7" x14ac:dyDescent="0.35">
      <c r="B355" s="41" t="s">
        <v>1015</v>
      </c>
      <c r="C355" s="41" t="s">
        <v>1014</v>
      </c>
      <c r="D355" s="42" t="s">
        <v>241</v>
      </c>
      <c r="E355" s="43"/>
      <c r="F355" s="44"/>
      <c r="G355" s="46"/>
    </row>
    <row r="356" spans="2:7" x14ac:dyDescent="0.35">
      <c r="B356" s="41" t="s">
        <v>1019</v>
      </c>
      <c r="C356" s="41" t="s">
        <v>1018</v>
      </c>
      <c r="D356" s="42" t="s">
        <v>252</v>
      </c>
      <c r="E356" s="43"/>
      <c r="F356" s="44"/>
      <c r="G356" s="46"/>
    </row>
    <row r="357" spans="2:7" x14ac:dyDescent="0.35">
      <c r="B357" s="41" t="s">
        <v>1021</v>
      </c>
      <c r="C357" s="41" t="s">
        <v>1020</v>
      </c>
      <c r="D357" s="42" t="s">
        <v>252</v>
      </c>
      <c r="E357" s="43"/>
      <c r="F357" s="44"/>
      <c r="G357" s="46"/>
    </row>
    <row r="358" spans="2:7" x14ac:dyDescent="0.35">
      <c r="B358" s="41" t="s">
        <v>1023</v>
      </c>
      <c r="C358" s="41" t="s">
        <v>1022</v>
      </c>
      <c r="D358" s="42" t="s">
        <v>252</v>
      </c>
      <c r="E358" s="43"/>
      <c r="F358" s="44"/>
      <c r="G358" s="46"/>
    </row>
    <row r="359" spans="2:7" x14ac:dyDescent="0.35">
      <c r="B359" s="41" t="s">
        <v>1025</v>
      </c>
      <c r="C359" s="41" t="s">
        <v>1024</v>
      </c>
      <c r="D359" s="42" t="s">
        <v>252</v>
      </c>
      <c r="E359" s="43"/>
      <c r="F359" s="44"/>
      <c r="G359" s="46"/>
    </row>
    <row r="360" spans="2:7" x14ac:dyDescent="0.35">
      <c r="B360" s="41" t="s">
        <v>1027</v>
      </c>
      <c r="C360" s="41" t="s">
        <v>1026</v>
      </c>
      <c r="D360" s="42" t="s">
        <v>252</v>
      </c>
      <c r="E360" s="43"/>
      <c r="F360" s="44"/>
      <c r="G360" s="46"/>
    </row>
    <row r="361" spans="2:7" x14ac:dyDescent="0.35">
      <c r="B361" s="41" t="s">
        <v>1029</v>
      </c>
      <c r="C361" s="41" t="s">
        <v>1028</v>
      </c>
      <c r="D361" s="42" t="s">
        <v>252</v>
      </c>
      <c r="E361" s="43"/>
      <c r="F361" s="44"/>
      <c r="G361" s="46"/>
    </row>
    <row r="362" spans="2:7" x14ac:dyDescent="0.35">
      <c r="B362" s="41" t="s">
        <v>1031</v>
      </c>
      <c r="C362" s="41" t="s">
        <v>1030</v>
      </c>
      <c r="D362" s="42" t="s">
        <v>252</v>
      </c>
      <c r="E362" s="43"/>
      <c r="F362" s="44"/>
      <c r="G362" s="46"/>
    </row>
    <row r="363" spans="2:7" x14ac:dyDescent="0.35">
      <c r="B363" s="41" t="s">
        <v>1033</v>
      </c>
      <c r="C363" s="41" t="s">
        <v>1032</v>
      </c>
      <c r="D363" s="42" t="s">
        <v>252</v>
      </c>
      <c r="E363" s="43"/>
      <c r="F363" s="44"/>
      <c r="G363" s="46"/>
    </row>
    <row r="364" spans="2:7" x14ac:dyDescent="0.35">
      <c r="B364" s="41" t="s">
        <v>1035</v>
      </c>
      <c r="C364" s="41" t="s">
        <v>1034</v>
      </c>
      <c r="D364" s="42" t="s">
        <v>252</v>
      </c>
      <c r="E364" s="43"/>
      <c r="F364" s="44"/>
      <c r="G364" s="46"/>
    </row>
    <row r="365" spans="2:7" x14ac:dyDescent="0.35">
      <c r="B365" s="41" t="s">
        <v>1037</v>
      </c>
      <c r="C365" s="41" t="s">
        <v>1036</v>
      </c>
      <c r="D365" s="42" t="s">
        <v>252</v>
      </c>
      <c r="E365" s="43"/>
      <c r="F365" s="44"/>
      <c r="G365" s="46"/>
    </row>
    <row r="366" spans="2:7" x14ac:dyDescent="0.35">
      <c r="B366" s="45" t="s">
        <v>1063</v>
      </c>
      <c r="C366" s="45" t="s">
        <v>1062</v>
      </c>
      <c r="D366" s="42" t="s">
        <v>1064</v>
      </c>
      <c r="E366" s="43"/>
      <c r="F366" s="44"/>
      <c r="G366" s="46"/>
    </row>
    <row r="367" spans="2:7" x14ac:dyDescent="0.35">
      <c r="B367" s="41" t="s">
        <v>1066</v>
      </c>
      <c r="C367" s="41" t="s">
        <v>1065</v>
      </c>
      <c r="D367" s="42" t="s">
        <v>885</v>
      </c>
      <c r="E367" s="43"/>
      <c r="F367" s="44"/>
      <c r="G367" s="46"/>
    </row>
    <row r="368" spans="2:7" x14ac:dyDescent="0.35">
      <c r="B368" s="45" t="s">
        <v>1068</v>
      </c>
      <c r="C368" s="45" t="s">
        <v>1067</v>
      </c>
      <c r="D368" s="42" t="s">
        <v>1069</v>
      </c>
      <c r="E368" s="43"/>
      <c r="F368" s="44"/>
      <c r="G368" s="46"/>
    </row>
    <row r="369" spans="2:7" x14ac:dyDescent="0.35">
      <c r="B369" s="41" t="s">
        <v>1091</v>
      </c>
      <c r="C369" s="41" t="s">
        <v>1090</v>
      </c>
      <c r="D369" s="42" t="s">
        <v>808</v>
      </c>
      <c r="E369" s="43"/>
      <c r="F369" s="44"/>
      <c r="G369" s="46"/>
    </row>
    <row r="370" spans="2:7" x14ac:dyDescent="0.35">
      <c r="B370" s="41" t="s">
        <v>1093</v>
      </c>
      <c r="C370" s="41" t="s">
        <v>1092</v>
      </c>
      <c r="D370" s="42" t="s">
        <v>808</v>
      </c>
      <c r="E370" s="43"/>
      <c r="F370" s="44"/>
      <c r="G370" s="46"/>
    </row>
    <row r="371" spans="2:7" x14ac:dyDescent="0.4">
      <c r="B371" s="46" t="s">
        <v>1094</v>
      </c>
      <c r="C371" s="46"/>
      <c r="D371" s="42" t="s">
        <v>591</v>
      </c>
      <c r="E371" s="43"/>
      <c r="F371" s="44"/>
      <c r="G371" s="46"/>
    </row>
    <row r="372" spans="2:7" x14ac:dyDescent="0.4">
      <c r="B372" s="46" t="s">
        <v>1095</v>
      </c>
      <c r="C372" s="46"/>
      <c r="D372" s="42" t="s">
        <v>591</v>
      </c>
      <c r="E372" s="43"/>
      <c r="F372" s="44"/>
      <c r="G372" s="46"/>
    </row>
    <row r="373" spans="2:7" x14ac:dyDescent="0.35">
      <c r="B373" s="41" t="s">
        <v>1097</v>
      </c>
      <c r="C373" s="41" t="s">
        <v>1096</v>
      </c>
      <c r="D373" s="42" t="s">
        <v>828</v>
      </c>
      <c r="E373" s="43"/>
      <c r="F373" s="44"/>
      <c r="G373" s="46"/>
    </row>
    <row r="374" spans="2:7" x14ac:dyDescent="0.35">
      <c r="B374" s="41" t="s">
        <v>1099</v>
      </c>
      <c r="C374" s="41" t="s">
        <v>1098</v>
      </c>
      <c r="D374" s="42" t="s">
        <v>828</v>
      </c>
      <c r="E374" s="43"/>
      <c r="F374" s="44"/>
      <c r="G374" s="46"/>
    </row>
    <row r="375" spans="2:7" x14ac:dyDescent="0.35">
      <c r="B375" s="41" t="s">
        <v>1101</v>
      </c>
      <c r="C375" s="41" t="s">
        <v>1100</v>
      </c>
      <c r="D375" s="42" t="s">
        <v>828</v>
      </c>
      <c r="E375" s="43"/>
      <c r="F375" s="44"/>
      <c r="G375" s="46"/>
    </row>
    <row r="376" spans="2:7" x14ac:dyDescent="0.35">
      <c r="B376" s="41" t="s">
        <v>1103</v>
      </c>
      <c r="C376" s="41" t="s">
        <v>1102</v>
      </c>
      <c r="D376" s="42" t="s">
        <v>828</v>
      </c>
      <c r="E376" s="43"/>
      <c r="F376" s="44"/>
      <c r="G376" s="46"/>
    </row>
    <row r="377" spans="2:7" x14ac:dyDescent="0.35">
      <c r="B377" s="41" t="s">
        <v>1105</v>
      </c>
      <c r="C377" s="41" t="s">
        <v>1104</v>
      </c>
      <c r="D377" s="42" t="s">
        <v>828</v>
      </c>
      <c r="E377" s="43"/>
      <c r="F377" s="44"/>
      <c r="G377" s="46"/>
    </row>
    <row r="378" spans="2:7" x14ac:dyDescent="0.35">
      <c r="B378" s="41" t="s">
        <v>1107</v>
      </c>
      <c r="C378" s="41" t="s">
        <v>1106</v>
      </c>
      <c r="D378" s="42" t="s">
        <v>828</v>
      </c>
      <c r="E378" s="43"/>
      <c r="F378" s="44"/>
      <c r="G378" s="46"/>
    </row>
    <row r="379" spans="2:7" x14ac:dyDescent="0.35">
      <c r="B379" s="41" t="s">
        <v>1109</v>
      </c>
      <c r="C379" s="41" t="s">
        <v>1108</v>
      </c>
      <c r="D379" s="42" t="s">
        <v>828</v>
      </c>
      <c r="E379" s="43"/>
      <c r="F379" s="44"/>
      <c r="G379" s="46"/>
    </row>
    <row r="380" spans="2:7" x14ac:dyDescent="0.35">
      <c r="B380" s="41" t="s">
        <v>1111</v>
      </c>
      <c r="C380" s="41" t="s">
        <v>1110</v>
      </c>
      <c r="D380" s="42" t="s">
        <v>828</v>
      </c>
      <c r="E380" s="43"/>
      <c r="F380" s="44"/>
      <c r="G380" s="46"/>
    </row>
    <row r="381" spans="2:7" x14ac:dyDescent="0.35">
      <c r="B381" s="41" t="s">
        <v>1141</v>
      </c>
      <c r="C381" s="41" t="s">
        <v>1140</v>
      </c>
      <c r="D381" s="42" t="s">
        <v>959</v>
      </c>
      <c r="E381" s="43"/>
      <c r="F381" s="44"/>
      <c r="G381" s="46"/>
    </row>
    <row r="382" spans="2:7" x14ac:dyDescent="0.35">
      <c r="B382" s="41" t="s">
        <v>1143</v>
      </c>
      <c r="C382" s="41" t="s">
        <v>1142</v>
      </c>
      <c r="D382" s="42" t="s">
        <v>1144</v>
      </c>
      <c r="E382" s="43"/>
      <c r="F382" s="44"/>
      <c r="G382" s="46"/>
    </row>
    <row r="383" spans="2:7" x14ac:dyDescent="0.35">
      <c r="B383" s="41" t="s">
        <v>1146</v>
      </c>
      <c r="C383" s="41" t="s">
        <v>1145</v>
      </c>
      <c r="D383" s="42" t="s">
        <v>369</v>
      </c>
      <c r="E383" s="43"/>
      <c r="F383" s="44"/>
      <c r="G383" s="46"/>
    </row>
    <row r="384" spans="2:7" x14ac:dyDescent="0.35">
      <c r="B384" s="45" t="s">
        <v>1150</v>
      </c>
      <c r="C384" s="45" t="s">
        <v>1149</v>
      </c>
      <c r="D384" s="42" t="s">
        <v>1151</v>
      </c>
      <c r="E384" s="43"/>
      <c r="F384" s="44"/>
      <c r="G384" s="46"/>
    </row>
    <row r="385" spans="2:7" x14ac:dyDescent="0.35">
      <c r="B385" s="41" t="s">
        <v>1155</v>
      </c>
      <c r="C385" s="41" t="s">
        <v>1154</v>
      </c>
      <c r="D385" s="42" t="s">
        <v>252</v>
      </c>
      <c r="E385" s="43"/>
      <c r="F385" s="44"/>
      <c r="G385" s="46"/>
    </row>
    <row r="386" spans="2:7" x14ac:dyDescent="0.35">
      <c r="B386" s="41" t="s">
        <v>1157</v>
      </c>
      <c r="C386" s="41" t="s">
        <v>1156</v>
      </c>
      <c r="D386" s="42" t="s">
        <v>252</v>
      </c>
      <c r="E386" s="43"/>
      <c r="F386" s="44"/>
      <c r="G386" s="46"/>
    </row>
    <row r="387" spans="2:7" x14ac:dyDescent="0.35">
      <c r="B387" s="41" t="s">
        <v>1163</v>
      </c>
      <c r="C387" s="41" t="s">
        <v>1162</v>
      </c>
      <c r="D387" s="42" t="s">
        <v>249</v>
      </c>
      <c r="E387" s="43"/>
      <c r="F387" s="44"/>
      <c r="G387" s="46"/>
    </row>
    <row r="388" spans="2:7" x14ac:dyDescent="0.35">
      <c r="B388" s="41" t="s">
        <v>1178</v>
      </c>
      <c r="C388" s="41" t="s">
        <v>1177</v>
      </c>
      <c r="D388" s="42" t="s">
        <v>1176</v>
      </c>
      <c r="E388" s="43"/>
      <c r="F388" s="44"/>
      <c r="G388" s="46"/>
    </row>
    <row r="389" spans="2:7" x14ac:dyDescent="0.35">
      <c r="B389" s="41" t="s">
        <v>1193</v>
      </c>
      <c r="C389" s="41" t="s">
        <v>1192</v>
      </c>
      <c r="D389" s="42" t="s">
        <v>626</v>
      </c>
      <c r="E389" s="43"/>
      <c r="F389" s="44"/>
      <c r="G389" s="46"/>
    </row>
    <row r="390" spans="2:7" x14ac:dyDescent="0.35">
      <c r="B390" s="41" t="s">
        <v>1201</v>
      </c>
      <c r="C390" s="41" t="s">
        <v>1200</v>
      </c>
      <c r="D390" s="42" t="s">
        <v>512</v>
      </c>
      <c r="E390" s="43"/>
      <c r="F390" s="44"/>
      <c r="G390" s="46"/>
    </row>
    <row r="391" spans="2:7" x14ac:dyDescent="0.35">
      <c r="B391" s="41" t="s">
        <v>1203</v>
      </c>
      <c r="C391" s="41" t="s">
        <v>1202</v>
      </c>
      <c r="D391" s="42" t="s">
        <v>1171</v>
      </c>
      <c r="E391" s="43"/>
      <c r="F391" s="44"/>
      <c r="G391" s="46"/>
    </row>
    <row r="392" spans="2:7" x14ac:dyDescent="0.35">
      <c r="B392" s="45" t="s">
        <v>1208</v>
      </c>
      <c r="C392" s="45"/>
      <c r="D392" s="42" t="s">
        <v>1191</v>
      </c>
      <c r="E392" s="43"/>
      <c r="F392" s="44"/>
      <c r="G392" s="46"/>
    </row>
    <row r="393" spans="2:7" x14ac:dyDescent="0.35">
      <c r="B393" s="45" t="s">
        <v>1216</v>
      </c>
      <c r="C393" s="45" t="s">
        <v>1215</v>
      </c>
      <c r="D393" s="42" t="s">
        <v>805</v>
      </c>
      <c r="E393" s="43"/>
      <c r="F393" s="44"/>
      <c r="G393" s="46"/>
    </row>
    <row r="394" spans="2:7" x14ac:dyDescent="0.35">
      <c r="B394" s="41" t="s">
        <v>1218</v>
      </c>
      <c r="C394" s="41" t="s">
        <v>1217</v>
      </c>
      <c r="D394" s="42" t="s">
        <v>808</v>
      </c>
      <c r="E394" s="43"/>
      <c r="F394" s="44"/>
      <c r="G394" s="46"/>
    </row>
    <row r="395" spans="2:7" x14ac:dyDescent="0.35">
      <c r="B395" s="41" t="s">
        <v>1220</v>
      </c>
      <c r="C395" s="45" t="s">
        <v>1219</v>
      </c>
      <c r="D395" s="42" t="s">
        <v>421</v>
      </c>
      <c r="E395" s="43"/>
      <c r="F395" s="44"/>
      <c r="G395" s="46"/>
    </row>
    <row r="396" spans="2:7" x14ac:dyDescent="0.35">
      <c r="B396" s="41" t="s">
        <v>1222</v>
      </c>
      <c r="C396" s="41" t="s">
        <v>1221</v>
      </c>
      <c r="D396" s="42" t="s">
        <v>933</v>
      </c>
      <c r="E396" s="43"/>
      <c r="F396" s="44"/>
      <c r="G396" s="46"/>
    </row>
    <row r="397" spans="2:7" x14ac:dyDescent="0.35">
      <c r="B397" s="41" t="s">
        <v>1224</v>
      </c>
      <c r="C397" s="41" t="s">
        <v>1223</v>
      </c>
      <c r="D397" s="42" t="s">
        <v>1225</v>
      </c>
      <c r="E397" s="43"/>
      <c r="F397" s="44"/>
      <c r="G397" s="46"/>
    </row>
    <row r="398" spans="2:7" x14ac:dyDescent="0.35">
      <c r="B398" s="41" t="s">
        <v>1227</v>
      </c>
      <c r="C398" s="41" t="s">
        <v>1226</v>
      </c>
      <c r="D398" s="42" t="s">
        <v>1228</v>
      </c>
      <c r="E398" s="43"/>
      <c r="F398" s="44"/>
      <c r="G398" s="46"/>
    </row>
    <row r="399" spans="2:7" x14ac:dyDescent="0.35">
      <c r="B399" s="41" t="s">
        <v>1230</v>
      </c>
      <c r="C399" s="41" t="s">
        <v>1229</v>
      </c>
      <c r="D399" s="42" t="s">
        <v>1228</v>
      </c>
      <c r="E399" s="43"/>
      <c r="F399" s="44"/>
      <c r="G399" s="46"/>
    </row>
    <row r="400" spans="2:7" x14ac:dyDescent="0.35">
      <c r="B400" s="41" t="s">
        <v>1232</v>
      </c>
      <c r="C400" s="41" t="s">
        <v>1231</v>
      </c>
      <c r="D400" s="42" t="s">
        <v>1228</v>
      </c>
      <c r="E400" s="43"/>
      <c r="F400" s="44"/>
      <c r="G400" s="46"/>
    </row>
    <row r="401" spans="2:7" x14ac:dyDescent="0.35">
      <c r="B401" s="41" t="s">
        <v>1234</v>
      </c>
      <c r="C401" s="41" t="s">
        <v>1233</v>
      </c>
      <c r="D401" s="42" t="s">
        <v>825</v>
      </c>
      <c r="E401" s="43"/>
      <c r="F401" s="44"/>
      <c r="G401" s="46"/>
    </row>
    <row r="402" spans="2:7" x14ac:dyDescent="0.35">
      <c r="B402" s="41" t="s">
        <v>1236</v>
      </c>
      <c r="C402" s="41" t="s">
        <v>1235</v>
      </c>
      <c r="D402" s="42" t="s">
        <v>1228</v>
      </c>
      <c r="E402" s="43"/>
      <c r="F402" s="44"/>
      <c r="G402" s="46"/>
    </row>
    <row r="403" spans="2:7" x14ac:dyDescent="0.35">
      <c r="B403" s="41" t="s">
        <v>1238</v>
      </c>
      <c r="C403" s="41" t="s">
        <v>1237</v>
      </c>
      <c r="D403" s="42" t="s">
        <v>1228</v>
      </c>
      <c r="E403" s="43"/>
      <c r="F403" s="44"/>
      <c r="G403" s="46"/>
    </row>
    <row r="404" spans="2:7" x14ac:dyDescent="0.35">
      <c r="B404" s="41" t="s">
        <v>1240</v>
      </c>
      <c r="C404" s="41" t="s">
        <v>1239</v>
      </c>
      <c r="D404" s="42" t="s">
        <v>1228</v>
      </c>
      <c r="E404" s="43"/>
      <c r="F404" s="44"/>
      <c r="G404" s="46"/>
    </row>
    <row r="405" spans="2:7" x14ac:dyDescent="0.35">
      <c r="B405" s="41" t="s">
        <v>1242</v>
      </c>
      <c r="C405" s="41" t="s">
        <v>1241</v>
      </c>
      <c r="D405" s="42" t="s">
        <v>1228</v>
      </c>
      <c r="E405" s="43"/>
      <c r="F405" s="44"/>
      <c r="G405" s="46"/>
    </row>
    <row r="406" spans="2:7" x14ac:dyDescent="0.35">
      <c r="B406" s="41" t="s">
        <v>1244</v>
      </c>
      <c r="C406" s="41" t="s">
        <v>1243</v>
      </c>
      <c r="D406" s="42" t="s">
        <v>1245</v>
      </c>
      <c r="E406" s="43"/>
      <c r="F406" s="44"/>
      <c r="G406" s="46"/>
    </row>
    <row r="407" spans="2:7" x14ac:dyDescent="0.35">
      <c r="B407" s="41" t="s">
        <v>1247</v>
      </c>
      <c r="C407" s="41" t="s">
        <v>1246</v>
      </c>
      <c r="D407" s="42" t="s">
        <v>1228</v>
      </c>
      <c r="E407" s="43"/>
      <c r="F407" s="44"/>
      <c r="G407" s="46"/>
    </row>
    <row r="408" spans="2:7" x14ac:dyDescent="0.35">
      <c r="B408" s="41" t="s">
        <v>1249</v>
      </c>
      <c r="C408" s="41" t="s">
        <v>1248</v>
      </c>
      <c r="D408" s="42" t="s">
        <v>1228</v>
      </c>
      <c r="E408" s="43"/>
      <c r="F408" s="44"/>
      <c r="G408" s="46"/>
    </row>
    <row r="409" spans="2:7" x14ac:dyDescent="0.35">
      <c r="B409" s="41" t="s">
        <v>1251</v>
      </c>
      <c r="C409" s="41" t="s">
        <v>1250</v>
      </c>
      <c r="D409" s="42" t="s">
        <v>1228</v>
      </c>
      <c r="E409" s="43"/>
      <c r="F409" s="44"/>
      <c r="G409" s="46"/>
    </row>
    <row r="410" spans="2:7" x14ac:dyDescent="0.35">
      <c r="B410" s="41" t="s">
        <v>1253</v>
      </c>
      <c r="C410" s="41" t="s">
        <v>1252</v>
      </c>
      <c r="D410" s="42" t="s">
        <v>1254</v>
      </c>
      <c r="E410" s="43"/>
      <c r="F410" s="44"/>
      <c r="G410" s="46"/>
    </row>
    <row r="411" spans="2:7" x14ac:dyDescent="0.35">
      <c r="B411" s="41" t="s">
        <v>1256</v>
      </c>
      <c r="C411" s="41" t="s">
        <v>1255</v>
      </c>
      <c r="D411" s="42" t="s">
        <v>1254</v>
      </c>
      <c r="E411" s="43"/>
      <c r="F411" s="44"/>
      <c r="G411" s="46"/>
    </row>
    <row r="412" spans="2:7" x14ac:dyDescent="0.35">
      <c r="B412" s="41" t="s">
        <v>1258</v>
      </c>
      <c r="C412" s="41" t="s">
        <v>1257</v>
      </c>
      <c r="D412" s="42" t="s">
        <v>1254</v>
      </c>
      <c r="E412" s="43"/>
      <c r="F412" s="44"/>
      <c r="G412" s="46"/>
    </row>
    <row r="413" spans="2:7" x14ac:dyDescent="0.35">
      <c r="B413" s="41" t="s">
        <v>1260</v>
      </c>
      <c r="C413" s="41" t="s">
        <v>1259</v>
      </c>
      <c r="D413" s="42" t="s">
        <v>1228</v>
      </c>
      <c r="E413" s="43"/>
      <c r="F413" s="44"/>
      <c r="G413" s="46"/>
    </row>
    <row r="414" spans="2:7" x14ac:dyDescent="0.35">
      <c r="B414" s="41" t="s">
        <v>1262</v>
      </c>
      <c r="C414" s="41" t="s">
        <v>1261</v>
      </c>
      <c r="D414" s="42" t="s">
        <v>1254</v>
      </c>
      <c r="E414" s="43"/>
      <c r="F414" s="44"/>
      <c r="G414" s="46"/>
    </row>
    <row r="415" spans="2:7" x14ac:dyDescent="0.35">
      <c r="B415" s="41" t="s">
        <v>1264</v>
      </c>
      <c r="C415" s="41" t="s">
        <v>1263</v>
      </c>
      <c r="D415" s="42" t="s">
        <v>1254</v>
      </c>
      <c r="E415" s="43"/>
      <c r="F415" s="44"/>
      <c r="G415" s="46"/>
    </row>
    <row r="416" spans="2:7" x14ac:dyDescent="0.35">
      <c r="B416" s="41" t="s">
        <v>1266</v>
      </c>
      <c r="C416" s="41" t="s">
        <v>1265</v>
      </c>
      <c r="D416" s="42" t="s">
        <v>1254</v>
      </c>
      <c r="E416" s="43"/>
      <c r="F416" s="44"/>
      <c r="G416" s="46"/>
    </row>
    <row r="417" spans="2:7" x14ac:dyDescent="0.35">
      <c r="B417" s="41" t="s">
        <v>1268</v>
      </c>
      <c r="C417" s="41" t="s">
        <v>1267</v>
      </c>
      <c r="D417" s="42" t="s">
        <v>1254</v>
      </c>
      <c r="E417" s="43"/>
      <c r="F417" s="44"/>
      <c r="G417" s="46"/>
    </row>
    <row r="418" spans="2:7" x14ac:dyDescent="0.35">
      <c r="B418" s="41" t="s">
        <v>1270</v>
      </c>
      <c r="C418" s="41" t="s">
        <v>1269</v>
      </c>
      <c r="D418" s="42" t="s">
        <v>1254</v>
      </c>
      <c r="E418" s="43"/>
      <c r="F418" s="44"/>
      <c r="G418" s="46"/>
    </row>
    <row r="419" spans="2:7" x14ac:dyDescent="0.35">
      <c r="B419" s="41" t="s">
        <v>1272</v>
      </c>
      <c r="C419" s="41" t="s">
        <v>1271</v>
      </c>
      <c r="D419" s="42" t="s">
        <v>1254</v>
      </c>
      <c r="E419" s="43"/>
      <c r="F419" s="44"/>
      <c r="G419" s="46"/>
    </row>
    <row r="420" spans="2:7" x14ac:dyDescent="0.35">
      <c r="B420" s="41" t="s">
        <v>1274</v>
      </c>
      <c r="C420" s="41" t="s">
        <v>1273</v>
      </c>
      <c r="D420" s="42" t="s">
        <v>619</v>
      </c>
      <c r="E420" s="43"/>
      <c r="F420" s="44"/>
      <c r="G420" s="46"/>
    </row>
    <row r="421" spans="2:7" x14ac:dyDescent="0.35">
      <c r="B421" s="41" t="s">
        <v>1276</v>
      </c>
      <c r="C421" s="41" t="s">
        <v>1275</v>
      </c>
      <c r="D421" s="42" t="s">
        <v>1228</v>
      </c>
      <c r="E421" s="43"/>
      <c r="F421" s="44"/>
      <c r="G421" s="46"/>
    </row>
    <row r="422" spans="2:7" x14ac:dyDescent="0.35">
      <c r="B422" s="41" t="s">
        <v>1278</v>
      </c>
      <c r="C422" s="41" t="s">
        <v>1277</v>
      </c>
      <c r="D422" s="42" t="s">
        <v>1279</v>
      </c>
      <c r="E422" s="43"/>
      <c r="F422" s="44"/>
      <c r="G422" s="46"/>
    </row>
    <row r="423" spans="2:7" x14ac:dyDescent="0.35">
      <c r="B423" s="41" t="s">
        <v>1281</v>
      </c>
      <c r="C423" s="41" t="s">
        <v>1280</v>
      </c>
      <c r="D423" s="42" t="s">
        <v>1279</v>
      </c>
      <c r="E423" s="43"/>
      <c r="F423" s="44"/>
      <c r="G423" s="46"/>
    </row>
    <row r="424" spans="2:7" x14ac:dyDescent="0.35">
      <c r="B424" s="41" t="s">
        <v>1283</v>
      </c>
      <c r="C424" s="41" t="s">
        <v>1282</v>
      </c>
      <c r="D424" s="42" t="s">
        <v>1279</v>
      </c>
      <c r="E424" s="43"/>
      <c r="F424" s="44"/>
      <c r="G424" s="46"/>
    </row>
    <row r="425" spans="2:7" x14ac:dyDescent="0.35">
      <c r="B425" s="41" t="s">
        <v>1285</v>
      </c>
      <c r="C425" s="41" t="s">
        <v>1284</v>
      </c>
      <c r="D425" s="42" t="s">
        <v>1279</v>
      </c>
      <c r="E425" s="43"/>
      <c r="F425" s="44"/>
      <c r="G425" s="46"/>
    </row>
    <row r="426" spans="2:7" x14ac:dyDescent="0.35">
      <c r="B426" s="41" t="s">
        <v>1287</v>
      </c>
      <c r="C426" s="41" t="s">
        <v>1286</v>
      </c>
      <c r="D426" s="42" t="s">
        <v>1279</v>
      </c>
      <c r="E426" s="43"/>
      <c r="F426" s="44"/>
      <c r="G426" s="46"/>
    </row>
    <row r="427" spans="2:7" x14ac:dyDescent="0.35">
      <c r="B427" s="41" t="s">
        <v>1297</v>
      </c>
      <c r="C427" s="45" t="s">
        <v>1296</v>
      </c>
      <c r="D427" s="42" t="s">
        <v>1298</v>
      </c>
      <c r="E427" s="43"/>
      <c r="F427" s="44"/>
      <c r="G427" s="46"/>
    </row>
    <row r="428" spans="2:7" x14ac:dyDescent="0.35">
      <c r="B428" s="41" t="s">
        <v>1312</v>
      </c>
      <c r="C428" s="41" t="s">
        <v>1311</v>
      </c>
      <c r="D428" s="42" t="s">
        <v>1044</v>
      </c>
      <c r="E428" s="43"/>
      <c r="F428" s="44"/>
      <c r="G428" s="46"/>
    </row>
    <row r="429" spans="2:7" x14ac:dyDescent="0.35">
      <c r="B429" s="41" t="s">
        <v>1356</v>
      </c>
      <c r="C429" s="41" t="s">
        <v>1355</v>
      </c>
      <c r="D429" s="42" t="s">
        <v>1357</v>
      </c>
      <c r="E429" s="43"/>
      <c r="F429" s="44"/>
      <c r="G429" s="46"/>
    </row>
    <row r="430" spans="2:7" x14ac:dyDescent="0.35">
      <c r="B430" s="41" t="s">
        <v>1359</v>
      </c>
      <c r="C430" s="45" t="s">
        <v>1358</v>
      </c>
      <c r="D430" s="42" t="s">
        <v>1357</v>
      </c>
      <c r="E430" s="43"/>
      <c r="F430" s="44"/>
      <c r="G430" s="46"/>
    </row>
    <row r="431" spans="2:7" x14ac:dyDescent="0.35">
      <c r="B431" s="41" t="s">
        <v>1364</v>
      </c>
      <c r="C431" s="41" t="s">
        <v>1363</v>
      </c>
      <c r="D431" s="42" t="s">
        <v>1129</v>
      </c>
      <c r="E431" s="43"/>
      <c r="F431" s="44"/>
      <c r="G431" s="46"/>
    </row>
    <row r="432" spans="2:7" x14ac:dyDescent="0.35">
      <c r="B432" s="41" t="s">
        <v>1377</v>
      </c>
      <c r="C432" s="45"/>
      <c r="D432" s="42" t="s">
        <v>1378</v>
      </c>
      <c r="E432" s="43"/>
      <c r="F432" s="44"/>
      <c r="G432" s="46"/>
    </row>
    <row r="433" spans="2:7" x14ac:dyDescent="0.35">
      <c r="B433" s="41" t="s">
        <v>1379</v>
      </c>
      <c r="C433" s="45"/>
      <c r="D433" s="42" t="s">
        <v>1378</v>
      </c>
      <c r="E433" s="43"/>
      <c r="F433" s="44"/>
      <c r="G433" s="46"/>
    </row>
    <row r="434" spans="2:7" x14ac:dyDescent="0.35">
      <c r="B434" s="41" t="s">
        <v>1380</v>
      </c>
      <c r="C434" s="45"/>
      <c r="D434" s="42" t="s">
        <v>1378</v>
      </c>
      <c r="E434" s="43"/>
      <c r="F434" s="44"/>
      <c r="G434" s="46"/>
    </row>
    <row r="435" spans="2:7" x14ac:dyDescent="0.35">
      <c r="B435" s="41" t="s">
        <v>1381</v>
      </c>
      <c r="C435" s="45"/>
      <c r="D435" s="42" t="s">
        <v>1378</v>
      </c>
      <c r="E435" s="43"/>
      <c r="F435" s="44"/>
      <c r="G435" s="46"/>
    </row>
    <row r="436" spans="2:7" x14ac:dyDescent="0.35">
      <c r="B436" s="41" t="s">
        <v>1382</v>
      </c>
      <c r="C436" s="45"/>
      <c r="D436" s="42" t="s">
        <v>1378</v>
      </c>
      <c r="E436" s="43"/>
      <c r="F436" s="44"/>
      <c r="G436" s="46"/>
    </row>
    <row r="437" spans="2:7" x14ac:dyDescent="0.35">
      <c r="B437" s="41" t="s">
        <v>1383</v>
      </c>
      <c r="C437" s="45"/>
      <c r="D437" s="42" t="s">
        <v>1378</v>
      </c>
      <c r="E437" s="43"/>
      <c r="F437" s="44"/>
      <c r="G437" s="46"/>
    </row>
    <row r="438" spans="2:7" x14ac:dyDescent="0.35">
      <c r="B438" s="41" t="s">
        <v>1391</v>
      </c>
      <c r="C438" s="45" t="s">
        <v>1390</v>
      </c>
      <c r="D438" s="42" t="s">
        <v>1376</v>
      </c>
      <c r="E438" s="43"/>
      <c r="F438" s="44"/>
      <c r="G438" s="46"/>
    </row>
    <row r="439" spans="2:7" x14ac:dyDescent="0.35">
      <c r="B439" s="41" t="s">
        <v>1393</v>
      </c>
      <c r="C439" s="45" t="s">
        <v>1392</v>
      </c>
      <c r="D439" s="42" t="s">
        <v>1357</v>
      </c>
      <c r="E439" s="43"/>
      <c r="F439" s="44"/>
      <c r="G439" s="46"/>
    </row>
    <row r="440" spans="2:7" x14ac:dyDescent="0.35">
      <c r="B440" s="45" t="s">
        <v>1395</v>
      </c>
      <c r="C440" s="45" t="s">
        <v>1394</v>
      </c>
      <c r="D440" s="42" t="s">
        <v>408</v>
      </c>
      <c r="E440" s="43"/>
      <c r="F440" s="44"/>
      <c r="G440" s="46"/>
    </row>
    <row r="441" spans="2:7" x14ac:dyDescent="0.35">
      <c r="B441" s="41" t="s">
        <v>1411</v>
      </c>
      <c r="C441" s="45" t="s">
        <v>1410</v>
      </c>
      <c r="D441" s="42" t="s">
        <v>1376</v>
      </c>
      <c r="E441" s="43"/>
      <c r="F441" s="44"/>
      <c r="G441" s="46"/>
    </row>
    <row r="442" spans="2:7" x14ac:dyDescent="0.35">
      <c r="B442" s="41" t="s">
        <v>1415</v>
      </c>
      <c r="C442" s="41" t="s">
        <v>1414</v>
      </c>
      <c r="D442" s="42" t="s">
        <v>1416</v>
      </c>
      <c r="E442" s="43"/>
      <c r="F442" s="44"/>
      <c r="G442" s="46"/>
    </row>
    <row r="443" spans="2:7" x14ac:dyDescent="0.35">
      <c r="B443" s="41" t="s">
        <v>1419</v>
      </c>
      <c r="C443" s="41" t="s">
        <v>1418</v>
      </c>
      <c r="D443" s="42" t="s">
        <v>1398</v>
      </c>
      <c r="E443" s="43"/>
      <c r="F443" s="44"/>
      <c r="G443" s="46"/>
    </row>
    <row r="444" spans="2:7" x14ac:dyDescent="0.35">
      <c r="B444" s="41" t="s">
        <v>1437</v>
      </c>
      <c r="C444" s="41" t="s">
        <v>1436</v>
      </c>
      <c r="D444" s="42" t="s">
        <v>1433</v>
      </c>
      <c r="E444" s="43"/>
      <c r="F444" s="44"/>
      <c r="G444" s="46"/>
    </row>
    <row r="445" spans="2:7" x14ac:dyDescent="0.35">
      <c r="B445" s="45" t="s">
        <v>1441</v>
      </c>
      <c r="C445" s="45" t="s">
        <v>1440</v>
      </c>
      <c r="D445" s="42" t="s">
        <v>1433</v>
      </c>
      <c r="E445" s="43"/>
      <c r="F445" s="44"/>
      <c r="G445" s="46"/>
    </row>
    <row r="446" spans="2:7" x14ac:dyDescent="0.35">
      <c r="B446" s="41" t="s">
        <v>1446</v>
      </c>
      <c r="C446" s="41" t="s">
        <v>1445</v>
      </c>
      <c r="D446" s="42" t="s">
        <v>1444</v>
      </c>
      <c r="E446" s="43"/>
      <c r="F446" s="44"/>
      <c r="G446" s="46"/>
    </row>
    <row r="447" spans="2:7" x14ac:dyDescent="0.35">
      <c r="B447" s="41" t="s">
        <v>1448</v>
      </c>
      <c r="C447" s="45" t="s">
        <v>1447</v>
      </c>
      <c r="D447" s="42" t="s">
        <v>1298</v>
      </c>
      <c r="E447" s="43"/>
      <c r="F447" s="44"/>
      <c r="G447" s="46"/>
    </row>
    <row r="448" spans="2:7" x14ac:dyDescent="0.35">
      <c r="B448" s="45" t="s">
        <v>1450</v>
      </c>
      <c r="C448" s="45" t="s">
        <v>1449</v>
      </c>
      <c r="D448" s="42" t="s">
        <v>408</v>
      </c>
      <c r="E448" s="43"/>
      <c r="F448" s="44"/>
      <c r="G448" s="46"/>
    </row>
    <row r="449" spans="2:7" x14ac:dyDescent="0.35">
      <c r="B449" s="45" t="s">
        <v>1456</v>
      </c>
      <c r="C449" s="45" t="s">
        <v>1455</v>
      </c>
      <c r="D449" s="42" t="s">
        <v>1444</v>
      </c>
      <c r="E449" s="43"/>
      <c r="F449" s="44"/>
      <c r="G449" s="46"/>
    </row>
    <row r="450" spans="2:7" x14ac:dyDescent="0.35">
      <c r="B450" s="45" t="s">
        <v>1458</v>
      </c>
      <c r="C450" s="45" t="s">
        <v>1457</v>
      </c>
      <c r="D450" s="42" t="s">
        <v>1459</v>
      </c>
      <c r="E450" s="43"/>
      <c r="F450" s="44"/>
      <c r="G450" s="46"/>
    </row>
    <row r="451" spans="2:7" x14ac:dyDescent="0.35">
      <c r="B451" s="45" t="s">
        <v>1461</v>
      </c>
      <c r="C451" s="45" t="s">
        <v>1460</v>
      </c>
      <c r="D451" s="42" t="s">
        <v>1459</v>
      </c>
      <c r="E451" s="43"/>
      <c r="F451" s="44"/>
      <c r="G451" s="46"/>
    </row>
    <row r="452" spans="2:7" x14ac:dyDescent="0.35">
      <c r="B452" s="41" t="s">
        <v>1463</v>
      </c>
      <c r="C452" s="41" t="s">
        <v>1462</v>
      </c>
      <c r="D452" s="42" t="s">
        <v>1376</v>
      </c>
      <c r="E452" s="43"/>
      <c r="F452" s="44"/>
      <c r="G452" s="46"/>
    </row>
    <row r="453" spans="2:7" x14ac:dyDescent="0.35">
      <c r="B453" s="41" t="s">
        <v>1465</v>
      </c>
      <c r="C453" s="45" t="s">
        <v>1464</v>
      </c>
      <c r="D453" s="42" t="s">
        <v>1378</v>
      </c>
      <c r="E453" s="43"/>
      <c r="F453" s="44"/>
      <c r="G453" s="46"/>
    </row>
    <row r="454" spans="2:7" x14ac:dyDescent="0.35">
      <c r="B454" s="41" t="s">
        <v>1488</v>
      </c>
      <c r="C454" s="41" t="s">
        <v>1487</v>
      </c>
      <c r="D454" s="42" t="s">
        <v>959</v>
      </c>
      <c r="E454" s="43"/>
      <c r="F454" s="44"/>
      <c r="G454" s="46"/>
    </row>
    <row r="455" spans="2:7" x14ac:dyDescent="0.35">
      <c r="B455" s="41" t="s">
        <v>1490</v>
      </c>
      <c r="C455" s="41" t="s">
        <v>1489</v>
      </c>
      <c r="D455" s="42" t="s">
        <v>959</v>
      </c>
      <c r="E455" s="43"/>
      <c r="F455" s="44"/>
      <c r="G455" s="46"/>
    </row>
    <row r="456" spans="2:7" x14ac:dyDescent="0.35">
      <c r="B456" s="41" t="s">
        <v>1492</v>
      </c>
      <c r="C456" s="41" t="s">
        <v>1491</v>
      </c>
      <c r="D456" s="42" t="s">
        <v>959</v>
      </c>
      <c r="E456" s="43"/>
      <c r="F456" s="44"/>
      <c r="G456" s="46"/>
    </row>
    <row r="457" spans="2:7" x14ac:dyDescent="0.35">
      <c r="B457" s="41" t="s">
        <v>1494</v>
      </c>
      <c r="C457" s="41" t="s">
        <v>1493</v>
      </c>
      <c r="D457" s="42" t="s">
        <v>1495</v>
      </c>
      <c r="E457" s="43"/>
      <c r="F457" s="44"/>
      <c r="G457" s="46"/>
    </row>
    <row r="458" spans="2:7" x14ac:dyDescent="0.35">
      <c r="B458" s="41" t="s">
        <v>1497</v>
      </c>
      <c r="C458" s="41" t="s">
        <v>1496</v>
      </c>
      <c r="D458" s="42" t="s">
        <v>208</v>
      </c>
      <c r="E458" s="43"/>
      <c r="F458" s="44"/>
      <c r="G458" s="46"/>
    </row>
    <row r="459" spans="2:7" x14ac:dyDescent="0.35">
      <c r="B459" s="41" t="s">
        <v>1499</v>
      </c>
      <c r="C459" s="41" t="s">
        <v>1498</v>
      </c>
      <c r="D459" s="42" t="s">
        <v>1495</v>
      </c>
      <c r="E459" s="43"/>
      <c r="F459" s="44"/>
      <c r="G459" s="46"/>
    </row>
    <row r="460" spans="2:7" x14ac:dyDescent="0.35">
      <c r="B460" s="41" t="s">
        <v>1501</v>
      </c>
      <c r="C460" s="41" t="s">
        <v>1500</v>
      </c>
      <c r="D460" s="42" t="s">
        <v>1495</v>
      </c>
      <c r="E460" s="43"/>
      <c r="F460" s="44"/>
      <c r="G460" s="46"/>
    </row>
    <row r="461" spans="2:7" x14ac:dyDescent="0.35">
      <c r="B461" s="41" t="s">
        <v>1503</v>
      </c>
      <c r="C461" s="41" t="s">
        <v>1502</v>
      </c>
      <c r="D461" s="42" t="s">
        <v>1495</v>
      </c>
      <c r="E461" s="43"/>
      <c r="F461" s="44"/>
      <c r="G461" s="46"/>
    </row>
    <row r="462" spans="2:7" x14ac:dyDescent="0.35">
      <c r="B462" s="41" t="s">
        <v>1505</v>
      </c>
      <c r="C462" s="41" t="s">
        <v>1504</v>
      </c>
      <c r="D462" s="42" t="s">
        <v>1495</v>
      </c>
      <c r="E462" s="43"/>
      <c r="F462" s="44"/>
      <c r="G462" s="46"/>
    </row>
    <row r="463" spans="2:7" x14ac:dyDescent="0.35">
      <c r="B463" s="41" t="s">
        <v>1507</v>
      </c>
      <c r="C463" s="41" t="s">
        <v>1506</v>
      </c>
      <c r="D463" s="42" t="s">
        <v>1495</v>
      </c>
      <c r="E463" s="43"/>
      <c r="F463" s="44"/>
      <c r="G463" s="46"/>
    </row>
    <row r="464" spans="2:7" x14ac:dyDescent="0.35">
      <c r="B464" s="41" t="s">
        <v>1509</v>
      </c>
      <c r="C464" s="41" t="s">
        <v>1508</v>
      </c>
      <c r="D464" s="42" t="s">
        <v>208</v>
      </c>
      <c r="E464" s="43"/>
      <c r="F464" s="44"/>
      <c r="G464" s="46"/>
    </row>
    <row r="465" spans="2:7" x14ac:dyDescent="0.35">
      <c r="B465" s="41" t="s">
        <v>1511</v>
      </c>
      <c r="C465" s="41" t="s">
        <v>1510</v>
      </c>
      <c r="D465" s="42" t="s">
        <v>1495</v>
      </c>
      <c r="E465" s="43"/>
      <c r="F465" s="44"/>
      <c r="G465" s="46"/>
    </row>
    <row r="466" spans="2:7" x14ac:dyDescent="0.35">
      <c r="B466" s="41" t="s">
        <v>1513</v>
      </c>
      <c r="C466" s="41" t="s">
        <v>1512</v>
      </c>
      <c r="D466" s="42" t="s">
        <v>208</v>
      </c>
      <c r="E466" s="43"/>
      <c r="F466" s="44"/>
      <c r="G466" s="46"/>
    </row>
    <row r="467" spans="2:7" x14ac:dyDescent="0.35">
      <c r="B467" s="41" t="s">
        <v>1515</v>
      </c>
      <c r="C467" s="41" t="s">
        <v>1514</v>
      </c>
      <c r="D467" s="42" t="s">
        <v>1495</v>
      </c>
      <c r="E467" s="43"/>
      <c r="F467" s="44"/>
      <c r="G467" s="46"/>
    </row>
    <row r="468" spans="2:7" x14ac:dyDescent="0.35">
      <c r="B468" s="41" t="s">
        <v>1517</v>
      </c>
      <c r="C468" s="41" t="s">
        <v>1516</v>
      </c>
      <c r="D468" s="42" t="s">
        <v>944</v>
      </c>
      <c r="E468" s="43"/>
      <c r="F468" s="44"/>
      <c r="G468" s="46"/>
    </row>
    <row r="469" spans="2:7" x14ac:dyDescent="0.35">
      <c r="B469" s="41" t="s">
        <v>1519</v>
      </c>
      <c r="C469" s="41" t="s">
        <v>1518</v>
      </c>
      <c r="D469" s="42" t="s">
        <v>1520</v>
      </c>
      <c r="E469" s="43"/>
      <c r="F469" s="44"/>
      <c r="G469" s="46"/>
    </row>
    <row r="470" spans="2:7" x14ac:dyDescent="0.35">
      <c r="B470" s="41" t="s">
        <v>1526</v>
      </c>
      <c r="C470" s="41" t="s">
        <v>1525</v>
      </c>
      <c r="D470" s="42" t="s">
        <v>36</v>
      </c>
      <c r="E470" s="43"/>
      <c r="F470" s="44"/>
      <c r="G470" s="46"/>
    </row>
    <row r="471" spans="2:7" x14ac:dyDescent="0.35">
      <c r="B471" s="41" t="s">
        <v>1528</v>
      </c>
      <c r="C471" s="41" t="s">
        <v>1527</v>
      </c>
      <c r="D471" s="42" t="s">
        <v>36</v>
      </c>
      <c r="E471" s="43"/>
      <c r="F471" s="44"/>
      <c r="G471" s="46"/>
    </row>
    <row r="472" spans="2:7" x14ac:dyDescent="0.35">
      <c r="B472" s="41" t="s">
        <v>1552</v>
      </c>
      <c r="C472" s="41" t="s">
        <v>1551</v>
      </c>
      <c r="D472" s="42" t="s">
        <v>244</v>
      </c>
      <c r="E472" s="43"/>
      <c r="F472" s="44"/>
      <c r="G472" s="46"/>
    </row>
    <row r="473" spans="2:7" x14ac:dyDescent="0.35">
      <c r="B473" s="41" t="s">
        <v>1554</v>
      </c>
      <c r="C473" s="41" t="s">
        <v>1553</v>
      </c>
      <c r="D473" s="42" t="s">
        <v>244</v>
      </c>
      <c r="E473" s="43"/>
      <c r="F473" s="44"/>
      <c r="G473" s="46"/>
    </row>
    <row r="474" spans="2:7" x14ac:dyDescent="0.35">
      <c r="B474" s="45" t="s">
        <v>1574</v>
      </c>
      <c r="C474" s="45" t="s">
        <v>1573</v>
      </c>
      <c r="D474" s="42" t="s">
        <v>252</v>
      </c>
      <c r="E474" s="43"/>
      <c r="F474" s="44"/>
      <c r="G474" s="46"/>
    </row>
    <row r="475" spans="2:7" x14ac:dyDescent="0.35">
      <c r="B475" s="41" t="s">
        <v>1578</v>
      </c>
      <c r="C475" s="41" t="s">
        <v>1577</v>
      </c>
      <c r="D475" s="42" t="s">
        <v>252</v>
      </c>
      <c r="E475" s="43"/>
      <c r="F475" s="44"/>
      <c r="G475" s="46"/>
    </row>
    <row r="476" spans="2:7" x14ac:dyDescent="0.35">
      <c r="B476" s="41" t="s">
        <v>1592</v>
      </c>
      <c r="C476" s="45" t="s">
        <v>1591</v>
      </c>
      <c r="D476" s="42" t="s">
        <v>1357</v>
      </c>
      <c r="E476" s="43"/>
      <c r="F476" s="44"/>
      <c r="G476" s="46"/>
    </row>
    <row r="477" spans="2:7" x14ac:dyDescent="0.35">
      <c r="B477" s="41" t="s">
        <v>1608</v>
      </c>
      <c r="C477" s="41" t="s">
        <v>1607</v>
      </c>
      <c r="D477" s="42" t="s">
        <v>533</v>
      </c>
      <c r="E477" s="43"/>
      <c r="F477" s="44"/>
      <c r="G477" s="46"/>
    </row>
    <row r="478" spans="2:7" x14ac:dyDescent="0.35">
      <c r="B478" s="41" t="s">
        <v>1610</v>
      </c>
      <c r="C478" s="45" t="s">
        <v>1609</v>
      </c>
      <c r="D478" s="42" t="s">
        <v>1611</v>
      </c>
      <c r="E478" s="43"/>
      <c r="F478" s="44"/>
      <c r="G478" s="46"/>
    </row>
    <row r="479" spans="2:7" x14ac:dyDescent="0.35">
      <c r="B479" s="41" t="s">
        <v>1622</v>
      </c>
      <c r="C479" s="45" t="s">
        <v>1621</v>
      </c>
      <c r="D479" s="42" t="s">
        <v>1357</v>
      </c>
      <c r="E479" s="43"/>
      <c r="F479" s="44"/>
      <c r="G479" s="46"/>
    </row>
    <row r="480" spans="2:7" x14ac:dyDescent="0.35">
      <c r="B480" s="41" t="s">
        <v>1626</v>
      </c>
      <c r="C480" s="41" t="s">
        <v>1625</v>
      </c>
      <c r="D480" s="42" t="s">
        <v>1627</v>
      </c>
      <c r="E480" s="43"/>
      <c r="F480" s="44"/>
      <c r="G480" s="46"/>
    </row>
    <row r="481" spans="2:7" x14ac:dyDescent="0.35">
      <c r="B481" s="41" t="s">
        <v>1629</v>
      </c>
      <c r="C481" s="41" t="s">
        <v>1628</v>
      </c>
      <c r="D481" s="42" t="s">
        <v>1357</v>
      </c>
      <c r="E481" s="43"/>
      <c r="F481" s="44"/>
      <c r="G481" s="46"/>
    </row>
    <row r="482" spans="2:7" x14ac:dyDescent="0.35">
      <c r="B482" s="41" t="s">
        <v>1636</v>
      </c>
      <c r="C482" s="41" t="s">
        <v>1635</v>
      </c>
      <c r="D482" s="42" t="s">
        <v>1357</v>
      </c>
      <c r="E482" s="43"/>
      <c r="F482" s="44"/>
      <c r="G482" s="46"/>
    </row>
    <row r="483" spans="2:7" x14ac:dyDescent="0.35">
      <c r="B483" s="41" t="s">
        <v>1654</v>
      </c>
      <c r="C483" s="45" t="s">
        <v>1653</v>
      </c>
      <c r="D483" s="42" t="s">
        <v>1627</v>
      </c>
      <c r="E483" s="43"/>
      <c r="F483" s="44"/>
      <c r="G483" s="46"/>
    </row>
    <row r="484" spans="2:7" x14ac:dyDescent="0.35">
      <c r="B484" s="41" t="s">
        <v>1656</v>
      </c>
      <c r="C484" s="45" t="s">
        <v>1655</v>
      </c>
      <c r="D484" s="42" t="s">
        <v>1627</v>
      </c>
      <c r="E484" s="43"/>
      <c r="F484" s="44"/>
      <c r="G484" s="46"/>
    </row>
    <row r="485" spans="2:7" x14ac:dyDescent="0.35">
      <c r="B485" s="41" t="s">
        <v>1658</v>
      </c>
      <c r="C485" s="45" t="s">
        <v>1657</v>
      </c>
      <c r="D485" s="42" t="s">
        <v>1627</v>
      </c>
      <c r="E485" s="43"/>
      <c r="F485" s="44"/>
      <c r="G485" s="46"/>
    </row>
    <row r="486" spans="2:7" x14ac:dyDescent="0.35">
      <c r="B486" s="41" t="s">
        <v>1660</v>
      </c>
      <c r="C486" s="45" t="s">
        <v>1659</v>
      </c>
      <c r="D486" s="42" t="s">
        <v>1611</v>
      </c>
      <c r="E486" s="43"/>
      <c r="F486" s="44"/>
      <c r="G486" s="46"/>
    </row>
    <row r="487" spans="2:7" x14ac:dyDescent="0.35">
      <c r="B487" s="45" t="s">
        <v>1670</v>
      </c>
      <c r="C487" s="45" t="s">
        <v>1669</v>
      </c>
      <c r="D487" s="42" t="s">
        <v>1634</v>
      </c>
      <c r="E487" s="43"/>
      <c r="F487" s="44"/>
      <c r="G487" s="46"/>
    </row>
    <row r="488" spans="2:7" x14ac:dyDescent="0.35">
      <c r="B488" s="41" t="s">
        <v>1671</v>
      </c>
      <c r="C488" s="45"/>
      <c r="D488" s="42" t="s">
        <v>1672</v>
      </c>
      <c r="E488" s="43"/>
      <c r="F488" s="44"/>
      <c r="G488" s="46"/>
    </row>
    <row r="489" spans="2:7" x14ac:dyDescent="0.35">
      <c r="B489" s="45" t="s">
        <v>1674</v>
      </c>
      <c r="C489" s="45" t="s">
        <v>1673</v>
      </c>
      <c r="D489" s="42" t="s">
        <v>1675</v>
      </c>
      <c r="E489" s="43"/>
      <c r="F489" s="44"/>
      <c r="G489" s="46"/>
    </row>
    <row r="490" spans="2:7" x14ac:dyDescent="0.35">
      <c r="B490" s="45" t="s">
        <v>1677</v>
      </c>
      <c r="C490" s="45" t="s">
        <v>1676</v>
      </c>
      <c r="D490" s="42" t="s">
        <v>1675</v>
      </c>
      <c r="E490" s="43"/>
      <c r="F490" s="44"/>
      <c r="G490" s="46"/>
    </row>
    <row r="491" spans="2:7" x14ac:dyDescent="0.35">
      <c r="B491" s="45" t="s">
        <v>1679</v>
      </c>
      <c r="C491" s="45" t="s">
        <v>1678</v>
      </c>
      <c r="D491" s="42" t="s">
        <v>705</v>
      </c>
      <c r="E491" s="43"/>
      <c r="F491" s="44"/>
      <c r="G491" s="46"/>
    </row>
    <row r="492" spans="2:7" x14ac:dyDescent="0.35">
      <c r="B492" s="45" t="s">
        <v>1681</v>
      </c>
      <c r="C492" s="45" t="s">
        <v>1680</v>
      </c>
      <c r="D492" s="42" t="s">
        <v>1675</v>
      </c>
      <c r="E492" s="43"/>
      <c r="F492" s="44"/>
      <c r="G492" s="46"/>
    </row>
    <row r="493" spans="2:7" x14ac:dyDescent="0.35">
      <c r="B493" s="45" t="s">
        <v>1693</v>
      </c>
      <c r="C493" s="45"/>
      <c r="D493" s="42" t="s">
        <v>1675</v>
      </c>
      <c r="E493" s="43"/>
      <c r="F493" s="44"/>
      <c r="G493" s="46"/>
    </row>
    <row r="494" spans="2:7" x14ac:dyDescent="0.35">
      <c r="B494" s="41" t="s">
        <v>1725</v>
      </c>
      <c r="C494" s="45" t="s">
        <v>1724</v>
      </c>
      <c r="D494" s="42" t="s">
        <v>1611</v>
      </c>
      <c r="E494" s="43"/>
      <c r="F494" s="44"/>
      <c r="G494" s="46"/>
    </row>
    <row r="495" spans="2:7" x14ac:dyDescent="0.35">
      <c r="B495" s="41" t="s">
        <v>1727</v>
      </c>
      <c r="C495" s="45" t="s">
        <v>1726</v>
      </c>
      <c r="D495" s="42" t="s">
        <v>1627</v>
      </c>
      <c r="E495" s="43"/>
      <c r="F495" s="44"/>
      <c r="G495" s="46"/>
    </row>
    <row r="496" spans="2:7" x14ac:dyDescent="0.35">
      <c r="B496" s="45" t="s">
        <v>1729</v>
      </c>
      <c r="C496" s="45" t="s">
        <v>1728</v>
      </c>
      <c r="D496" s="42" t="s">
        <v>1715</v>
      </c>
      <c r="E496" s="43"/>
      <c r="F496" s="44"/>
      <c r="G496" s="46"/>
    </row>
    <row r="497" spans="2:7" x14ac:dyDescent="0.35">
      <c r="B497" s="45" t="s">
        <v>1731</v>
      </c>
      <c r="C497" s="45" t="s">
        <v>1730</v>
      </c>
      <c r="D497" s="42" t="s">
        <v>1715</v>
      </c>
      <c r="E497" s="43"/>
      <c r="F497" s="44"/>
      <c r="G497" s="46"/>
    </row>
    <row r="498" spans="2:7" x14ac:dyDescent="0.35">
      <c r="B498" s="41" t="s">
        <v>1733</v>
      </c>
      <c r="C498" s="41" t="s">
        <v>1732</v>
      </c>
      <c r="D498" s="42" t="s">
        <v>1715</v>
      </c>
      <c r="E498" s="43"/>
      <c r="F498" s="44"/>
      <c r="G498" s="46"/>
    </row>
    <row r="499" spans="2:7" x14ac:dyDescent="0.35">
      <c r="B499" s="41" t="s">
        <v>1735</v>
      </c>
      <c r="C499" s="41" t="s">
        <v>1734</v>
      </c>
      <c r="D499" s="42" t="s">
        <v>1293</v>
      </c>
      <c r="E499" s="43"/>
      <c r="F499" s="44"/>
      <c r="G499" s="46"/>
    </row>
    <row r="500" spans="2:7" x14ac:dyDescent="0.35">
      <c r="B500" s="45" t="s">
        <v>1737</v>
      </c>
      <c r="C500" s="45" t="s">
        <v>1736</v>
      </c>
      <c r="D500" s="42" t="s">
        <v>1715</v>
      </c>
      <c r="E500" s="43"/>
      <c r="F500" s="44"/>
      <c r="G500" s="46"/>
    </row>
    <row r="501" spans="2:7" x14ac:dyDescent="0.35">
      <c r="B501" s="45" t="s">
        <v>1739</v>
      </c>
      <c r="C501" s="45" t="s">
        <v>1738</v>
      </c>
      <c r="D501" s="42" t="s">
        <v>1740</v>
      </c>
      <c r="E501" s="43"/>
      <c r="F501" s="44"/>
      <c r="G501" s="46"/>
    </row>
    <row r="502" spans="2:7" x14ac:dyDescent="0.35">
      <c r="B502" s="45" t="s">
        <v>1742</v>
      </c>
      <c r="C502" s="45" t="s">
        <v>1741</v>
      </c>
      <c r="D502" s="42" t="s">
        <v>1740</v>
      </c>
      <c r="E502" s="43"/>
      <c r="F502" s="44"/>
      <c r="G502" s="46"/>
    </row>
    <row r="503" spans="2:7" x14ac:dyDescent="0.35">
      <c r="B503" s="45" t="s">
        <v>1744</v>
      </c>
      <c r="C503" s="45" t="s">
        <v>1743</v>
      </c>
      <c r="D503" s="42" t="s">
        <v>1740</v>
      </c>
      <c r="E503" s="43"/>
      <c r="F503" s="44"/>
      <c r="G503" s="46"/>
    </row>
    <row r="504" spans="2:7" x14ac:dyDescent="0.35">
      <c r="B504" s="41" t="s">
        <v>1746</v>
      </c>
      <c r="C504" s="41" t="s">
        <v>1745</v>
      </c>
      <c r="D504" s="42" t="s">
        <v>1611</v>
      </c>
      <c r="E504" s="43"/>
      <c r="F504" s="44"/>
      <c r="G504" s="46"/>
    </row>
    <row r="505" spans="2:7" x14ac:dyDescent="0.35">
      <c r="B505" s="41" t="s">
        <v>1748</v>
      </c>
      <c r="C505" s="41" t="s">
        <v>1747</v>
      </c>
      <c r="D505" s="42" t="s">
        <v>1627</v>
      </c>
      <c r="E505" s="43"/>
      <c r="F505" s="44"/>
      <c r="G505" s="46"/>
    </row>
    <row r="506" spans="2:7" x14ac:dyDescent="0.35">
      <c r="B506" s="41" t="s">
        <v>1750</v>
      </c>
      <c r="C506" s="41" t="s">
        <v>1749</v>
      </c>
      <c r="D506" s="42" t="s">
        <v>1627</v>
      </c>
      <c r="E506" s="43"/>
      <c r="F506" s="44"/>
      <c r="G506" s="46"/>
    </row>
    <row r="507" spans="2:7" x14ac:dyDescent="0.35">
      <c r="B507" s="41" t="s">
        <v>1752</v>
      </c>
      <c r="C507" s="41" t="s">
        <v>1751</v>
      </c>
      <c r="D507" s="42" t="s">
        <v>1627</v>
      </c>
      <c r="E507" s="43"/>
      <c r="F507" s="44"/>
      <c r="G507" s="46"/>
    </row>
    <row r="508" spans="2:7" x14ac:dyDescent="0.35">
      <c r="B508" s="45" t="s">
        <v>1754</v>
      </c>
      <c r="C508" s="45" t="s">
        <v>1753</v>
      </c>
      <c r="D508" s="42" t="s">
        <v>1740</v>
      </c>
      <c r="E508" s="43"/>
      <c r="F508" s="44"/>
      <c r="G508" s="46"/>
    </row>
    <row r="509" spans="2:7" x14ac:dyDescent="0.35">
      <c r="B509" s="45" t="s">
        <v>1756</v>
      </c>
      <c r="C509" s="45" t="s">
        <v>1755</v>
      </c>
      <c r="D509" s="42" t="s">
        <v>1740</v>
      </c>
      <c r="E509" s="43"/>
      <c r="F509" s="44"/>
      <c r="G509" s="46"/>
    </row>
    <row r="510" spans="2:7" x14ac:dyDescent="0.35">
      <c r="B510" s="45" t="s">
        <v>1758</v>
      </c>
      <c r="C510" s="45" t="s">
        <v>1757</v>
      </c>
      <c r="D510" s="42" t="s">
        <v>1740</v>
      </c>
      <c r="E510" s="43"/>
      <c r="F510" s="44"/>
      <c r="G510" s="46"/>
    </row>
    <row r="511" spans="2:7" x14ac:dyDescent="0.35">
      <c r="B511" s="45" t="s">
        <v>1760</v>
      </c>
      <c r="C511" s="45" t="s">
        <v>1759</v>
      </c>
      <c r="D511" s="42" t="s">
        <v>1761</v>
      </c>
      <c r="E511" s="43"/>
      <c r="F511" s="44"/>
      <c r="G511" s="46"/>
    </row>
    <row r="512" spans="2:7" x14ac:dyDescent="0.35">
      <c r="B512" s="45" t="s">
        <v>1763</v>
      </c>
      <c r="C512" s="45" t="s">
        <v>1762</v>
      </c>
      <c r="D512" s="42" t="s">
        <v>1761</v>
      </c>
      <c r="E512" s="43"/>
      <c r="F512" s="44"/>
      <c r="G512" s="46"/>
    </row>
    <row r="513" spans="2:7" x14ac:dyDescent="0.35">
      <c r="B513" s="45" t="s">
        <v>1765</v>
      </c>
      <c r="C513" s="45" t="s">
        <v>1764</v>
      </c>
      <c r="D513" s="42" t="s">
        <v>1761</v>
      </c>
      <c r="E513" s="43"/>
      <c r="F513" s="44"/>
      <c r="G513" s="46"/>
    </row>
    <row r="514" spans="2:7" x14ac:dyDescent="0.35">
      <c r="B514" s="45" t="s">
        <v>1767</v>
      </c>
      <c r="C514" s="45" t="s">
        <v>1766</v>
      </c>
      <c r="D514" s="42" t="s">
        <v>1761</v>
      </c>
      <c r="E514" s="43"/>
      <c r="F514" s="44"/>
      <c r="G514" s="46"/>
    </row>
    <row r="515" spans="2:7" x14ac:dyDescent="0.35">
      <c r="B515" s="45" t="s">
        <v>1769</v>
      </c>
      <c r="C515" s="45" t="s">
        <v>1768</v>
      </c>
      <c r="D515" s="42" t="s">
        <v>1761</v>
      </c>
      <c r="E515" s="43"/>
      <c r="F515" s="44"/>
      <c r="G515" s="46"/>
    </row>
    <row r="516" spans="2:7" x14ac:dyDescent="0.35">
      <c r="B516" s="45" t="s">
        <v>1771</v>
      </c>
      <c r="C516" s="45" t="s">
        <v>1770</v>
      </c>
      <c r="D516" s="42" t="s">
        <v>1761</v>
      </c>
      <c r="E516" s="43"/>
      <c r="F516" s="44"/>
      <c r="G516" s="46"/>
    </row>
    <row r="517" spans="2:7" x14ac:dyDescent="0.35">
      <c r="B517" s="41" t="s">
        <v>1777</v>
      </c>
      <c r="C517" s="41" t="s">
        <v>1776</v>
      </c>
      <c r="D517" s="42" t="s">
        <v>1778</v>
      </c>
      <c r="E517" s="43"/>
      <c r="F517" s="44"/>
      <c r="G517" s="46"/>
    </row>
    <row r="518" spans="2:7" x14ac:dyDescent="0.35">
      <c r="B518" s="41" t="s">
        <v>1780</v>
      </c>
      <c r="C518" s="41" t="s">
        <v>1779</v>
      </c>
      <c r="D518" s="42" t="s">
        <v>1611</v>
      </c>
      <c r="E518" s="43"/>
      <c r="F518" s="44"/>
      <c r="G518" s="46"/>
    </row>
    <row r="519" spans="2:7" x14ac:dyDescent="0.35">
      <c r="B519" s="41" t="s">
        <v>1797</v>
      </c>
      <c r="C519" s="41" t="s">
        <v>1796</v>
      </c>
      <c r="D519" s="42" t="s">
        <v>1225</v>
      </c>
      <c r="E519" s="43"/>
      <c r="F519" s="44"/>
      <c r="G519" s="46"/>
    </row>
    <row r="520" spans="2:7" x14ac:dyDescent="0.35">
      <c r="B520" s="41" t="s">
        <v>1801</v>
      </c>
      <c r="C520" s="41" t="s">
        <v>1800</v>
      </c>
      <c r="D520" s="42" t="s">
        <v>1225</v>
      </c>
      <c r="E520" s="43"/>
      <c r="F520" s="44"/>
      <c r="G520" s="46"/>
    </row>
    <row r="521" spans="2:7" x14ac:dyDescent="0.35">
      <c r="B521" s="41" t="s">
        <v>1803</v>
      </c>
      <c r="C521" s="41" t="s">
        <v>1802</v>
      </c>
      <c r="D521" s="42" t="s">
        <v>1279</v>
      </c>
      <c r="E521" s="43"/>
      <c r="F521" s="44"/>
      <c r="G521" s="46"/>
    </row>
    <row r="522" spans="2:7" x14ac:dyDescent="0.35">
      <c r="B522" s="41" t="s">
        <v>1805</v>
      </c>
      <c r="C522" s="41" t="s">
        <v>1804</v>
      </c>
      <c r="D522" s="42" t="s">
        <v>1279</v>
      </c>
      <c r="E522" s="43"/>
      <c r="F522" s="44"/>
      <c r="G522" s="46"/>
    </row>
    <row r="523" spans="2:7" x14ac:dyDescent="0.35">
      <c r="B523" s="41" t="s">
        <v>1807</v>
      </c>
      <c r="C523" s="41" t="s">
        <v>1806</v>
      </c>
      <c r="D523" s="42" t="s">
        <v>1279</v>
      </c>
      <c r="E523" s="43"/>
      <c r="F523" s="44"/>
      <c r="G523" s="46"/>
    </row>
    <row r="524" spans="2:7" x14ac:dyDescent="0.35">
      <c r="B524" s="41" t="s">
        <v>1809</v>
      </c>
      <c r="C524" s="41" t="s">
        <v>1808</v>
      </c>
      <c r="D524" s="42" t="s">
        <v>619</v>
      </c>
      <c r="E524" s="43"/>
      <c r="F524" s="44"/>
      <c r="G524" s="46"/>
    </row>
    <row r="525" spans="2:7" x14ac:dyDescent="0.35">
      <c r="B525" s="41" t="s">
        <v>1831</v>
      </c>
      <c r="C525" s="41" t="s">
        <v>1830</v>
      </c>
      <c r="D525" s="42" t="s">
        <v>640</v>
      </c>
      <c r="E525" s="43"/>
      <c r="F525" s="44"/>
      <c r="G525" s="46"/>
    </row>
    <row r="526" spans="2:7" x14ac:dyDescent="0.4">
      <c r="B526" s="46" t="s">
        <v>4560</v>
      </c>
      <c r="C526" s="46"/>
      <c r="D526" s="42" t="s">
        <v>1904</v>
      </c>
      <c r="E526" s="43"/>
      <c r="F526" s="44"/>
      <c r="G526" s="46"/>
    </row>
    <row r="527" spans="2:7" x14ac:dyDescent="0.35">
      <c r="B527" s="41" t="s">
        <v>1837</v>
      </c>
      <c r="C527" s="41" t="s">
        <v>1836</v>
      </c>
      <c r="D527" s="42" t="s">
        <v>1362</v>
      </c>
      <c r="E527" s="43"/>
      <c r="F527" s="44"/>
      <c r="G527" s="46"/>
    </row>
    <row r="528" spans="2:7" x14ac:dyDescent="0.35">
      <c r="B528" s="41" t="s">
        <v>1851</v>
      </c>
      <c r="C528" s="45" t="s">
        <v>1850</v>
      </c>
      <c r="D528" s="42" t="s">
        <v>1852</v>
      </c>
      <c r="E528" s="43"/>
      <c r="F528" s="44"/>
      <c r="G528" s="46"/>
    </row>
    <row r="529" spans="2:7" x14ac:dyDescent="0.35">
      <c r="B529" s="41" t="s">
        <v>1860</v>
      </c>
      <c r="C529" s="41" t="s">
        <v>1859</v>
      </c>
      <c r="D529" s="42" t="s">
        <v>1840</v>
      </c>
      <c r="E529" s="43"/>
      <c r="F529" s="44"/>
      <c r="G529" s="46"/>
    </row>
    <row r="530" spans="2:7" x14ac:dyDescent="0.35">
      <c r="B530" s="45" t="s">
        <v>1869</v>
      </c>
      <c r="C530" s="45" t="s">
        <v>1868</v>
      </c>
      <c r="D530" s="42" t="s">
        <v>1484</v>
      </c>
      <c r="E530" s="43"/>
      <c r="F530" s="44"/>
      <c r="G530" s="46"/>
    </row>
    <row r="531" spans="2:7" x14ac:dyDescent="0.35">
      <c r="B531" s="45" t="s">
        <v>1871</v>
      </c>
      <c r="C531" s="45" t="s">
        <v>1870</v>
      </c>
      <c r="D531" s="42" t="s">
        <v>1484</v>
      </c>
      <c r="E531" s="43"/>
      <c r="F531" s="44"/>
      <c r="G531" s="46"/>
    </row>
    <row r="532" spans="2:7" x14ac:dyDescent="0.35">
      <c r="B532" s="45" t="s">
        <v>1873</v>
      </c>
      <c r="C532" s="45" t="s">
        <v>1872</v>
      </c>
      <c r="D532" s="42" t="s">
        <v>1484</v>
      </c>
      <c r="E532" s="43"/>
      <c r="F532" s="44"/>
      <c r="G532" s="46"/>
    </row>
    <row r="533" spans="2:7" x14ac:dyDescent="0.35">
      <c r="B533" s="41" t="s">
        <v>1877</v>
      </c>
      <c r="C533" s="41" t="s">
        <v>1876</v>
      </c>
      <c r="D533" s="42" t="s">
        <v>1520</v>
      </c>
      <c r="E533" s="43"/>
      <c r="F533" s="44"/>
      <c r="G533" s="46"/>
    </row>
    <row r="534" spans="2:7" x14ac:dyDescent="0.35">
      <c r="B534" s="41" t="s">
        <v>1879</v>
      </c>
      <c r="C534" s="41" t="s">
        <v>1878</v>
      </c>
      <c r="D534" s="42" t="s">
        <v>1520</v>
      </c>
      <c r="E534" s="43"/>
      <c r="F534" s="44"/>
      <c r="G534" s="46"/>
    </row>
    <row r="535" spans="2:7" x14ac:dyDescent="0.35">
      <c r="B535" s="41" t="s">
        <v>1881</v>
      </c>
      <c r="C535" s="41" t="s">
        <v>1880</v>
      </c>
      <c r="D535" s="42" t="s">
        <v>1520</v>
      </c>
      <c r="E535" s="43"/>
      <c r="F535" s="44"/>
      <c r="G535" s="46"/>
    </row>
    <row r="536" spans="2:7" x14ac:dyDescent="0.35">
      <c r="B536" s="41" t="s">
        <v>1883</v>
      </c>
      <c r="C536" s="41" t="s">
        <v>1882</v>
      </c>
      <c r="D536" s="42" t="s">
        <v>1520</v>
      </c>
      <c r="E536" s="43"/>
      <c r="F536" s="44"/>
      <c r="G536" s="46"/>
    </row>
    <row r="537" spans="2:7" x14ac:dyDescent="0.35">
      <c r="B537" s="41" t="s">
        <v>1885</v>
      </c>
      <c r="C537" s="41" t="s">
        <v>1884</v>
      </c>
      <c r="D537" s="42" t="s">
        <v>1520</v>
      </c>
      <c r="E537" s="43"/>
      <c r="F537" s="44"/>
      <c r="G537" s="46"/>
    </row>
    <row r="538" spans="2:7" x14ac:dyDescent="0.35">
      <c r="B538" s="45" t="s">
        <v>1893</v>
      </c>
      <c r="C538" s="45"/>
      <c r="D538" s="42" t="s">
        <v>1888</v>
      </c>
      <c r="E538" s="43"/>
      <c r="F538" s="44"/>
      <c r="G538" s="46"/>
    </row>
    <row r="539" spans="2:7" x14ac:dyDescent="0.35">
      <c r="B539" s="41" t="s">
        <v>1922</v>
      </c>
      <c r="C539" s="41" t="s">
        <v>1921</v>
      </c>
      <c r="D539" s="42" t="s">
        <v>244</v>
      </c>
      <c r="E539" s="43"/>
      <c r="F539" s="44"/>
      <c r="G539" s="46"/>
    </row>
    <row r="540" spans="2:7" x14ac:dyDescent="0.35">
      <c r="B540" s="45" t="s">
        <v>1924</v>
      </c>
      <c r="C540" s="45" t="s">
        <v>1923</v>
      </c>
      <c r="D540" s="42" t="s">
        <v>252</v>
      </c>
      <c r="E540" s="43"/>
      <c r="F540" s="44"/>
      <c r="G540" s="46"/>
    </row>
    <row r="541" spans="2:7" x14ac:dyDescent="0.35">
      <c r="B541" s="41" t="s">
        <v>1928</v>
      </c>
      <c r="C541" s="41" t="s">
        <v>1927</v>
      </c>
      <c r="D541" s="42" t="s">
        <v>244</v>
      </c>
      <c r="E541" s="43"/>
      <c r="F541" s="44"/>
      <c r="G541" s="46"/>
    </row>
    <row r="542" spans="2:7" x14ac:dyDescent="0.35">
      <c r="B542" s="41" t="s">
        <v>1932</v>
      </c>
      <c r="C542" s="41" t="s">
        <v>1931</v>
      </c>
      <c r="D542" s="42" t="s">
        <v>244</v>
      </c>
      <c r="E542" s="43"/>
      <c r="F542" s="44"/>
      <c r="G542" s="46"/>
    </row>
    <row r="543" spans="2:7" x14ac:dyDescent="0.35">
      <c r="B543" s="41" t="s">
        <v>1934</v>
      </c>
      <c r="C543" s="41" t="s">
        <v>1933</v>
      </c>
      <c r="D543" s="42" t="s">
        <v>244</v>
      </c>
      <c r="E543" s="43"/>
      <c r="F543" s="44"/>
      <c r="G543" s="46"/>
    </row>
    <row r="544" spans="2:7" x14ac:dyDescent="0.35">
      <c r="B544" s="45" t="s">
        <v>1939</v>
      </c>
      <c r="C544" s="45"/>
      <c r="D544" s="42" t="s">
        <v>252</v>
      </c>
      <c r="E544" s="43"/>
      <c r="F544" s="44"/>
      <c r="G544" s="46"/>
    </row>
    <row r="545" spans="2:7" x14ac:dyDescent="0.35">
      <c r="B545" s="45" t="s">
        <v>1940</v>
      </c>
      <c r="C545" s="45"/>
      <c r="D545" s="42" t="s">
        <v>252</v>
      </c>
      <c r="E545" s="43"/>
      <c r="F545" s="44"/>
      <c r="G545" s="46"/>
    </row>
    <row r="546" spans="2:7" x14ac:dyDescent="0.35">
      <c r="B546" s="41" t="s">
        <v>1948</v>
      </c>
      <c r="C546" s="41" t="s">
        <v>1947</v>
      </c>
      <c r="D546" s="42" t="s">
        <v>252</v>
      </c>
      <c r="E546" s="43"/>
      <c r="F546" s="44"/>
      <c r="G546" s="46"/>
    </row>
    <row r="547" spans="2:7" x14ac:dyDescent="0.35">
      <c r="B547" s="41" t="s">
        <v>1950</v>
      </c>
      <c r="C547" s="41" t="s">
        <v>1949</v>
      </c>
      <c r="D547" s="42" t="s">
        <v>1951</v>
      </c>
      <c r="E547" s="43"/>
      <c r="F547" s="44"/>
      <c r="G547" s="46"/>
    </row>
    <row r="548" spans="2:7" x14ac:dyDescent="0.35">
      <c r="B548" s="41" t="s">
        <v>1953</v>
      </c>
      <c r="C548" s="41" t="s">
        <v>1952</v>
      </c>
      <c r="D548" s="42" t="s">
        <v>408</v>
      </c>
      <c r="E548" s="43"/>
      <c r="F548" s="44"/>
      <c r="G548" s="46"/>
    </row>
    <row r="549" spans="2:7" x14ac:dyDescent="0.35">
      <c r="B549" s="41" t="s">
        <v>1970</v>
      </c>
      <c r="C549" s="41" t="s">
        <v>1969</v>
      </c>
      <c r="D549" s="42" t="s">
        <v>1971</v>
      </c>
      <c r="E549" s="43"/>
      <c r="F549" s="44"/>
      <c r="G549" s="46"/>
    </row>
    <row r="550" spans="2:7" x14ac:dyDescent="0.35">
      <c r="B550" s="41" t="s">
        <v>1976</v>
      </c>
      <c r="C550" s="41" t="s">
        <v>1975</v>
      </c>
      <c r="D550" s="42" t="s">
        <v>1971</v>
      </c>
      <c r="E550" s="43"/>
      <c r="F550" s="44"/>
      <c r="G550" s="46"/>
    </row>
    <row r="551" spans="2:7" x14ac:dyDescent="0.35">
      <c r="B551" s="41" t="s">
        <v>1978</v>
      </c>
      <c r="C551" s="41" t="s">
        <v>1977</v>
      </c>
      <c r="D551" s="42" t="s">
        <v>1863</v>
      </c>
      <c r="E551" s="43"/>
      <c r="F551" s="44"/>
      <c r="G551" s="46"/>
    </row>
    <row r="552" spans="2:7" x14ac:dyDescent="0.35">
      <c r="B552" s="41" t="s">
        <v>1984</v>
      </c>
      <c r="C552" s="45" t="s">
        <v>1983</v>
      </c>
      <c r="D552" s="42" t="s">
        <v>1968</v>
      </c>
      <c r="E552" s="43"/>
      <c r="F552" s="44"/>
      <c r="G552" s="46"/>
    </row>
    <row r="553" spans="2:7" x14ac:dyDescent="0.35">
      <c r="B553" s="41" t="s">
        <v>2007</v>
      </c>
      <c r="C553" s="41" t="s">
        <v>2006</v>
      </c>
      <c r="D553" s="42" t="s">
        <v>2008</v>
      </c>
      <c r="E553" s="43"/>
      <c r="F553" s="44"/>
      <c r="G553" s="46"/>
    </row>
    <row r="554" spans="2:7" x14ac:dyDescent="0.35">
      <c r="B554" s="41" t="s">
        <v>2010</v>
      </c>
      <c r="C554" s="41" t="s">
        <v>2009</v>
      </c>
      <c r="D554" s="42" t="s">
        <v>1225</v>
      </c>
      <c r="E554" s="43"/>
      <c r="F554" s="44"/>
      <c r="G554" s="46"/>
    </row>
    <row r="555" spans="2:7" x14ac:dyDescent="0.35">
      <c r="B555" s="41" t="s">
        <v>2012</v>
      </c>
      <c r="C555" s="41" t="s">
        <v>2011</v>
      </c>
      <c r="D555" s="42" t="s">
        <v>1225</v>
      </c>
      <c r="E555" s="43"/>
      <c r="F555" s="44"/>
      <c r="G555" s="46"/>
    </row>
    <row r="556" spans="2:7" x14ac:dyDescent="0.35">
      <c r="B556" s="41" t="s">
        <v>2014</v>
      </c>
      <c r="C556" s="41" t="s">
        <v>2013</v>
      </c>
      <c r="D556" s="42" t="s">
        <v>2015</v>
      </c>
      <c r="E556" s="43"/>
      <c r="F556" s="44"/>
      <c r="G556" s="46"/>
    </row>
    <row r="557" spans="2:7" x14ac:dyDescent="0.35">
      <c r="B557" s="41" t="s">
        <v>2017</v>
      </c>
      <c r="C557" s="45" t="s">
        <v>2016</v>
      </c>
      <c r="D557" s="42" t="s">
        <v>2015</v>
      </c>
      <c r="E557" s="43"/>
      <c r="F557" s="44"/>
      <c r="G557" s="46"/>
    </row>
    <row r="558" spans="2:7" x14ac:dyDescent="0.35">
      <c r="B558" s="41" t="s">
        <v>2019</v>
      </c>
      <c r="C558" s="45" t="s">
        <v>2018</v>
      </c>
      <c r="D558" s="42" t="s">
        <v>2015</v>
      </c>
      <c r="E558" s="43"/>
      <c r="F558" s="44"/>
      <c r="G558" s="46"/>
    </row>
    <row r="559" spans="2:7" x14ac:dyDescent="0.35">
      <c r="B559" s="41" t="s">
        <v>2021</v>
      </c>
      <c r="C559" s="45" t="s">
        <v>2020</v>
      </c>
      <c r="D559" s="42" t="s">
        <v>2015</v>
      </c>
      <c r="E559" s="43"/>
      <c r="F559" s="44"/>
      <c r="G559" s="46"/>
    </row>
    <row r="560" spans="2:7" x14ac:dyDescent="0.35">
      <c r="B560" s="41" t="s">
        <v>2025</v>
      </c>
      <c r="C560" s="41" t="s">
        <v>2024</v>
      </c>
      <c r="D560" s="42" t="s">
        <v>2026</v>
      </c>
      <c r="E560" s="43"/>
      <c r="F560" s="44"/>
      <c r="G560" s="46"/>
    </row>
    <row r="561" spans="2:7" x14ac:dyDescent="0.35">
      <c r="B561" s="45" t="s">
        <v>2033</v>
      </c>
      <c r="C561" s="45" t="s">
        <v>2032</v>
      </c>
      <c r="D561" s="42" t="s">
        <v>805</v>
      </c>
      <c r="E561" s="43"/>
      <c r="F561" s="44"/>
      <c r="G561" s="46"/>
    </row>
    <row r="562" spans="2:7" x14ac:dyDescent="0.35">
      <c r="B562" s="41" t="s">
        <v>2039</v>
      </c>
      <c r="C562" s="41" t="s">
        <v>2038</v>
      </c>
      <c r="D562" s="42" t="s">
        <v>2040</v>
      </c>
      <c r="E562" s="43"/>
      <c r="F562" s="44"/>
      <c r="G562" s="46"/>
    </row>
    <row r="563" spans="2:7" x14ac:dyDescent="0.35">
      <c r="B563" s="41" t="s">
        <v>2042</v>
      </c>
      <c r="C563" s="41" t="s">
        <v>2041</v>
      </c>
      <c r="D563" s="42" t="s">
        <v>2040</v>
      </c>
      <c r="E563" s="43"/>
      <c r="F563" s="44"/>
      <c r="G563" s="46"/>
    </row>
    <row r="564" spans="2:7" x14ac:dyDescent="0.35">
      <c r="B564" s="41" t="s">
        <v>2044</v>
      </c>
      <c r="C564" s="41" t="s">
        <v>2043</v>
      </c>
      <c r="D564" s="42" t="s">
        <v>1225</v>
      </c>
      <c r="E564" s="43"/>
      <c r="F564" s="44"/>
      <c r="G564" s="46"/>
    </row>
    <row r="565" spans="2:7" x14ac:dyDescent="0.35">
      <c r="B565" s="41" t="s">
        <v>2048</v>
      </c>
      <c r="C565" s="41" t="s">
        <v>2047</v>
      </c>
      <c r="D565" s="42" t="s">
        <v>2049</v>
      </c>
      <c r="E565" s="43"/>
      <c r="F565" s="44"/>
      <c r="G565" s="46"/>
    </row>
    <row r="566" spans="2:7" x14ac:dyDescent="0.35">
      <c r="B566" s="41" t="s">
        <v>2051</v>
      </c>
      <c r="C566" s="41" t="s">
        <v>2050</v>
      </c>
      <c r="D566" s="42" t="s">
        <v>1279</v>
      </c>
      <c r="E566" s="43"/>
      <c r="F566" s="44"/>
      <c r="G566" s="46"/>
    </row>
    <row r="567" spans="2:7" x14ac:dyDescent="0.35">
      <c r="B567" s="41" t="s">
        <v>2053</v>
      </c>
      <c r="C567" s="41" t="s">
        <v>2052</v>
      </c>
      <c r="D567" s="42" t="s">
        <v>1279</v>
      </c>
      <c r="E567" s="43"/>
      <c r="F567" s="44"/>
      <c r="G567" s="46"/>
    </row>
    <row r="568" spans="2:7" x14ac:dyDescent="0.35">
      <c r="B568" s="41" t="s">
        <v>2055</v>
      </c>
      <c r="C568" s="41" t="s">
        <v>2054</v>
      </c>
      <c r="D568" s="42" t="s">
        <v>1279</v>
      </c>
      <c r="E568" s="43"/>
      <c r="F568" s="44"/>
      <c r="G568" s="46"/>
    </row>
    <row r="569" spans="2:7" x14ac:dyDescent="0.35">
      <c r="B569" s="41" t="s">
        <v>2059</v>
      </c>
      <c r="C569" s="41" t="s">
        <v>2058</v>
      </c>
      <c r="D569" s="42" t="s">
        <v>2060</v>
      </c>
      <c r="E569" s="43"/>
      <c r="F569" s="44"/>
      <c r="G569" s="46"/>
    </row>
    <row r="570" spans="2:7" x14ac:dyDescent="0.35">
      <c r="B570" s="41" t="s">
        <v>2062</v>
      </c>
      <c r="C570" s="41" t="s">
        <v>2061</v>
      </c>
      <c r="D570" s="42" t="s">
        <v>2060</v>
      </c>
      <c r="E570" s="43"/>
      <c r="F570" s="44"/>
      <c r="G570" s="46"/>
    </row>
    <row r="571" spans="2:7" x14ac:dyDescent="0.35">
      <c r="B571" s="41" t="s">
        <v>2064</v>
      </c>
      <c r="C571" s="41" t="s">
        <v>2063</v>
      </c>
      <c r="D571" s="42" t="s">
        <v>2049</v>
      </c>
      <c r="E571" s="43"/>
      <c r="F571" s="44"/>
      <c r="G571" s="46"/>
    </row>
    <row r="572" spans="2:7" x14ac:dyDescent="0.35">
      <c r="B572" s="41" t="s">
        <v>2066</v>
      </c>
      <c r="C572" s="41" t="s">
        <v>2065</v>
      </c>
      <c r="D572" s="42" t="s">
        <v>2049</v>
      </c>
      <c r="E572" s="43"/>
      <c r="F572" s="44"/>
      <c r="G572" s="46"/>
    </row>
    <row r="573" spans="2:7" x14ac:dyDescent="0.35">
      <c r="B573" s="41" t="s">
        <v>2068</v>
      </c>
      <c r="C573" s="41" t="s">
        <v>2067</v>
      </c>
      <c r="D573" s="42" t="s">
        <v>2060</v>
      </c>
      <c r="E573" s="43"/>
      <c r="F573" s="44"/>
      <c r="G573" s="46"/>
    </row>
    <row r="574" spans="2:7" x14ac:dyDescent="0.35">
      <c r="B574" s="41" t="s">
        <v>2070</v>
      </c>
      <c r="C574" s="41" t="s">
        <v>2069</v>
      </c>
      <c r="D574" s="42" t="s">
        <v>2060</v>
      </c>
      <c r="E574" s="43"/>
      <c r="F574" s="44"/>
      <c r="G574" s="46"/>
    </row>
    <row r="575" spans="2:7" x14ac:dyDescent="0.35">
      <c r="B575" s="41" t="s">
        <v>2072</v>
      </c>
      <c r="C575" s="41" t="s">
        <v>2071</v>
      </c>
      <c r="D575" s="42" t="s">
        <v>2060</v>
      </c>
      <c r="E575" s="43"/>
      <c r="F575" s="44"/>
      <c r="G575" s="46"/>
    </row>
    <row r="576" spans="2:7" x14ac:dyDescent="0.35">
      <c r="B576" s="41" t="s">
        <v>2074</v>
      </c>
      <c r="C576" s="41" t="s">
        <v>2073</v>
      </c>
      <c r="D576" s="42" t="s">
        <v>2060</v>
      </c>
      <c r="E576" s="43"/>
      <c r="F576" s="44"/>
      <c r="G576" s="46"/>
    </row>
    <row r="577" spans="2:7" x14ac:dyDescent="0.35">
      <c r="B577" s="41" t="s">
        <v>2076</v>
      </c>
      <c r="C577" s="41" t="s">
        <v>2075</v>
      </c>
      <c r="D577" s="42" t="s">
        <v>2077</v>
      </c>
      <c r="E577" s="43"/>
      <c r="F577" s="44"/>
      <c r="G577" s="46"/>
    </row>
    <row r="578" spans="2:7" x14ac:dyDescent="0.35">
      <c r="B578" s="41" t="s">
        <v>2079</v>
      </c>
      <c r="C578" s="41" t="s">
        <v>2078</v>
      </c>
      <c r="D578" s="42" t="s">
        <v>2060</v>
      </c>
      <c r="E578" s="43"/>
      <c r="F578" s="44"/>
      <c r="G578" s="46"/>
    </row>
    <row r="579" spans="2:7" x14ac:dyDescent="0.35">
      <c r="B579" s="41" t="s">
        <v>2081</v>
      </c>
      <c r="C579" s="41" t="s">
        <v>2080</v>
      </c>
      <c r="D579" s="42" t="s">
        <v>2082</v>
      </c>
      <c r="E579" s="43"/>
      <c r="F579" s="44"/>
      <c r="G579" s="46"/>
    </row>
    <row r="580" spans="2:7" x14ac:dyDescent="0.35">
      <c r="B580" s="41" t="s">
        <v>2093</v>
      </c>
      <c r="C580" s="45" t="s">
        <v>2092</v>
      </c>
      <c r="D580" s="42" t="s">
        <v>2094</v>
      </c>
      <c r="E580" s="43"/>
      <c r="F580" s="44"/>
      <c r="G580" s="46"/>
    </row>
    <row r="581" spans="2:7" x14ac:dyDescent="0.35">
      <c r="B581" s="45" t="s">
        <v>2121</v>
      </c>
      <c r="C581" s="45" t="s">
        <v>2120</v>
      </c>
      <c r="D581" s="42" t="s">
        <v>659</v>
      </c>
      <c r="E581" s="43"/>
      <c r="F581" s="44"/>
      <c r="G581" s="46"/>
    </row>
    <row r="582" spans="2:7" x14ac:dyDescent="0.35">
      <c r="B582" s="45" t="s">
        <v>2160</v>
      </c>
      <c r="C582" s="45"/>
      <c r="D582" s="42" t="s">
        <v>2146</v>
      </c>
      <c r="E582" s="43"/>
      <c r="F582" s="44"/>
      <c r="G582" s="46"/>
    </row>
    <row r="583" spans="2:7" x14ac:dyDescent="0.35">
      <c r="B583" s="41" t="s">
        <v>2172</v>
      </c>
      <c r="C583" s="41" t="s">
        <v>2171</v>
      </c>
      <c r="D583" s="42" t="s">
        <v>2139</v>
      </c>
      <c r="E583" s="43"/>
      <c r="F583" s="44"/>
      <c r="G583" s="46"/>
    </row>
    <row r="584" spans="2:7" x14ac:dyDescent="0.35">
      <c r="B584" s="41" t="s">
        <v>2174</v>
      </c>
      <c r="C584" s="41" t="s">
        <v>2173</v>
      </c>
      <c r="D584" s="42" t="s">
        <v>2139</v>
      </c>
      <c r="E584" s="43"/>
      <c r="F584" s="44"/>
      <c r="G584" s="46"/>
    </row>
    <row r="585" spans="2:7" x14ac:dyDescent="0.35">
      <c r="B585" s="41" t="s">
        <v>2176</v>
      </c>
      <c r="C585" s="41" t="s">
        <v>2175</v>
      </c>
      <c r="D585" s="42" t="s">
        <v>2139</v>
      </c>
      <c r="E585" s="43"/>
      <c r="F585" s="44"/>
      <c r="G585" s="46"/>
    </row>
    <row r="586" spans="2:7" x14ac:dyDescent="0.35">
      <c r="B586" s="45" t="s">
        <v>2181</v>
      </c>
      <c r="C586" s="45" t="s">
        <v>2180</v>
      </c>
      <c r="D586" s="42" t="s">
        <v>2163</v>
      </c>
      <c r="E586" s="43"/>
      <c r="F586" s="44"/>
      <c r="G586" s="46"/>
    </row>
    <row r="587" spans="2:7" x14ac:dyDescent="0.35">
      <c r="B587" s="41" t="s">
        <v>2207</v>
      </c>
      <c r="C587" s="41" t="s">
        <v>2206</v>
      </c>
      <c r="D587" s="42" t="s">
        <v>2208</v>
      </c>
      <c r="E587" s="43"/>
      <c r="F587" s="44"/>
      <c r="G587" s="46"/>
    </row>
    <row r="588" spans="2:7" x14ac:dyDescent="0.35">
      <c r="B588" s="41" t="s">
        <v>2210</v>
      </c>
      <c r="C588" s="41" t="s">
        <v>2209</v>
      </c>
      <c r="D588" s="42" t="s">
        <v>2208</v>
      </c>
      <c r="E588" s="43"/>
      <c r="F588" s="44"/>
      <c r="G588" s="46"/>
    </row>
    <row r="589" spans="2:7" x14ac:dyDescent="0.35">
      <c r="B589" s="41" t="s">
        <v>2217</v>
      </c>
      <c r="C589" s="41" t="s">
        <v>2216</v>
      </c>
      <c r="D589" s="42" t="s">
        <v>1484</v>
      </c>
      <c r="E589" s="43"/>
      <c r="F589" s="44"/>
      <c r="G589" s="46"/>
    </row>
    <row r="590" spans="2:7" x14ac:dyDescent="0.35">
      <c r="B590" s="45" t="s">
        <v>2223</v>
      </c>
      <c r="C590" s="45" t="s">
        <v>2222</v>
      </c>
      <c r="D590" s="42" t="s">
        <v>2224</v>
      </c>
      <c r="E590" s="43"/>
      <c r="F590" s="44"/>
      <c r="G590" s="46"/>
    </row>
    <row r="591" spans="2:7" x14ac:dyDescent="0.35">
      <c r="B591" s="45" t="s">
        <v>2226</v>
      </c>
      <c r="C591" s="45" t="s">
        <v>2225</v>
      </c>
      <c r="D591" s="42" t="s">
        <v>2227</v>
      </c>
      <c r="E591" s="43"/>
      <c r="F591" s="44"/>
      <c r="G591" s="46"/>
    </row>
    <row r="592" spans="2:7" x14ac:dyDescent="0.35">
      <c r="B592" s="41" t="s">
        <v>2246</v>
      </c>
      <c r="C592" s="41" t="s">
        <v>2245</v>
      </c>
      <c r="D592" s="42" t="s">
        <v>244</v>
      </c>
      <c r="E592" s="43"/>
      <c r="F592" s="44"/>
      <c r="G592" s="46"/>
    </row>
    <row r="593" spans="2:7" x14ac:dyDescent="0.35">
      <c r="B593" s="41" t="s">
        <v>2261</v>
      </c>
      <c r="C593" s="45" t="s">
        <v>2260</v>
      </c>
      <c r="D593" s="42" t="s">
        <v>2186</v>
      </c>
      <c r="E593" s="43"/>
      <c r="F593" s="44"/>
      <c r="G593" s="46"/>
    </row>
    <row r="594" spans="2:7" x14ac:dyDescent="0.35">
      <c r="B594" s="41" t="s">
        <v>2264</v>
      </c>
      <c r="C594" s="41" t="s">
        <v>2262</v>
      </c>
      <c r="D594" s="42" t="s">
        <v>244</v>
      </c>
      <c r="E594" s="43"/>
      <c r="F594" s="44"/>
      <c r="G594" s="46"/>
    </row>
    <row r="595" spans="2:7" x14ac:dyDescent="0.35">
      <c r="B595" s="41" t="s">
        <v>2266</v>
      </c>
      <c r="C595" s="41" t="s">
        <v>2265</v>
      </c>
      <c r="D595" s="42" t="s">
        <v>2267</v>
      </c>
      <c r="E595" s="43"/>
      <c r="F595" s="44"/>
      <c r="G595" s="46"/>
    </row>
    <row r="596" spans="2:7" x14ac:dyDescent="0.35">
      <c r="B596" s="41" t="s">
        <v>2269</v>
      </c>
      <c r="C596" s="41" t="s">
        <v>2268</v>
      </c>
      <c r="D596" s="42" t="s">
        <v>252</v>
      </c>
      <c r="E596" s="43"/>
      <c r="F596" s="44"/>
      <c r="G596" s="46"/>
    </row>
    <row r="597" spans="2:7" x14ac:dyDescent="0.35">
      <c r="B597" s="41" t="s">
        <v>2271</v>
      </c>
      <c r="C597" s="41" t="s">
        <v>2270</v>
      </c>
      <c r="D597" s="42" t="s">
        <v>252</v>
      </c>
      <c r="E597" s="43"/>
      <c r="F597" s="44"/>
      <c r="G597" s="46"/>
    </row>
    <row r="598" spans="2:7" x14ac:dyDescent="0.35">
      <c r="B598" s="41" t="s">
        <v>2273</v>
      </c>
      <c r="C598" s="41" t="s">
        <v>2272</v>
      </c>
      <c r="D598" s="42" t="s">
        <v>252</v>
      </c>
      <c r="E598" s="43"/>
      <c r="F598" s="44"/>
      <c r="G598" s="46"/>
    </row>
    <row r="599" spans="2:7" x14ac:dyDescent="0.35">
      <c r="B599" s="41" t="s">
        <v>2295</v>
      </c>
      <c r="C599" s="45" t="s">
        <v>2294</v>
      </c>
      <c r="D599" s="42" t="s">
        <v>2139</v>
      </c>
      <c r="E599" s="43"/>
      <c r="F599" s="44"/>
      <c r="G599" s="46"/>
    </row>
    <row r="600" spans="2:7" x14ac:dyDescent="0.35">
      <c r="B600" s="41" t="s">
        <v>2301</v>
      </c>
      <c r="C600" s="41" t="s">
        <v>2300</v>
      </c>
      <c r="D600" s="42" t="s">
        <v>2139</v>
      </c>
      <c r="E600" s="43"/>
      <c r="F600" s="44"/>
      <c r="G600" s="46"/>
    </row>
    <row r="601" spans="2:7" x14ac:dyDescent="0.35">
      <c r="B601" s="41" t="s">
        <v>2303</v>
      </c>
      <c r="C601" s="45" t="s">
        <v>2302</v>
      </c>
      <c r="D601" s="42" t="s">
        <v>2082</v>
      </c>
      <c r="E601" s="43"/>
      <c r="F601" s="44"/>
      <c r="G601" s="46"/>
    </row>
    <row r="602" spans="2:7" x14ac:dyDescent="0.35">
      <c r="B602" s="45" t="s">
        <v>2319</v>
      </c>
      <c r="C602" s="45"/>
      <c r="D602" s="42" t="s">
        <v>2320</v>
      </c>
      <c r="E602" s="43"/>
      <c r="F602" s="44"/>
      <c r="G602" s="46"/>
    </row>
    <row r="603" spans="2:7" x14ac:dyDescent="0.35">
      <c r="B603" s="45" t="s">
        <v>2335</v>
      </c>
      <c r="C603" s="45" t="s">
        <v>2334</v>
      </c>
      <c r="D603" s="42" t="s">
        <v>2325</v>
      </c>
      <c r="E603" s="43"/>
      <c r="F603" s="44"/>
      <c r="G603" s="46"/>
    </row>
    <row r="604" spans="2:7" x14ac:dyDescent="0.35">
      <c r="B604" s="45" t="s">
        <v>2352</v>
      </c>
      <c r="C604" s="45" t="s">
        <v>2351</v>
      </c>
      <c r="D604" s="42" t="s">
        <v>2353</v>
      </c>
      <c r="E604" s="43"/>
      <c r="F604" s="44"/>
      <c r="G604" s="46"/>
    </row>
    <row r="605" spans="2:7" x14ac:dyDescent="0.35">
      <c r="B605" s="45" t="s">
        <v>2373</v>
      </c>
      <c r="C605" s="45" t="s">
        <v>2372</v>
      </c>
      <c r="D605" s="42" t="s">
        <v>2353</v>
      </c>
      <c r="E605" s="43"/>
      <c r="F605" s="44"/>
      <c r="G605" s="46"/>
    </row>
    <row r="606" spans="2:7" x14ac:dyDescent="0.35">
      <c r="B606" s="41" t="s">
        <v>2445</v>
      </c>
      <c r="C606" s="41" t="s">
        <v>2444</v>
      </c>
      <c r="D606" s="42" t="s">
        <v>2040</v>
      </c>
      <c r="E606" s="43"/>
      <c r="F606" s="44"/>
      <c r="G606" s="46"/>
    </row>
    <row r="607" spans="2:7" x14ac:dyDescent="0.35">
      <c r="B607" s="41" t="s">
        <v>2447</v>
      </c>
      <c r="C607" s="41" t="s">
        <v>2446</v>
      </c>
      <c r="D607" s="42" t="s">
        <v>2040</v>
      </c>
      <c r="E607" s="43"/>
      <c r="F607" s="44"/>
      <c r="G607" s="46"/>
    </row>
    <row r="608" spans="2:7" x14ac:dyDescent="0.35">
      <c r="B608" s="41" t="s">
        <v>2449</v>
      </c>
      <c r="C608" s="41" t="s">
        <v>2448</v>
      </c>
      <c r="D608" s="42" t="s">
        <v>2450</v>
      </c>
      <c r="E608" s="43"/>
      <c r="F608" s="44"/>
      <c r="G608" s="46"/>
    </row>
    <row r="609" spans="2:7" x14ac:dyDescent="0.35">
      <c r="B609" s="41" t="s">
        <v>2452</v>
      </c>
      <c r="C609" s="41" t="s">
        <v>2451</v>
      </c>
      <c r="D609" s="42" t="s">
        <v>2450</v>
      </c>
      <c r="E609" s="43"/>
      <c r="F609" s="44"/>
      <c r="G609" s="46"/>
    </row>
    <row r="610" spans="2:7" x14ac:dyDescent="0.35">
      <c r="B610" s="41" t="s">
        <v>2471</v>
      </c>
      <c r="C610" s="41" t="s">
        <v>2470</v>
      </c>
      <c r="D610" s="42" t="s">
        <v>1424</v>
      </c>
      <c r="E610" s="43"/>
      <c r="F610" s="44"/>
      <c r="G610" s="46"/>
    </row>
    <row r="611" spans="2:7" x14ac:dyDescent="0.35">
      <c r="B611" s="41" t="s">
        <v>2485</v>
      </c>
      <c r="C611" s="41" t="s">
        <v>2484</v>
      </c>
      <c r="D611" s="42" t="s">
        <v>1520</v>
      </c>
      <c r="E611" s="43"/>
      <c r="F611" s="44"/>
      <c r="G611" s="46"/>
    </row>
    <row r="612" spans="2:7" x14ac:dyDescent="0.35">
      <c r="B612" s="41" t="s">
        <v>2487</v>
      </c>
      <c r="C612" s="41" t="s">
        <v>2486</v>
      </c>
      <c r="D612" s="42" t="s">
        <v>73</v>
      </c>
      <c r="E612" s="43"/>
      <c r="F612" s="44"/>
      <c r="G612" s="46"/>
    </row>
    <row r="613" spans="2:7" x14ac:dyDescent="0.35">
      <c r="B613" s="41" t="s">
        <v>2489</v>
      </c>
      <c r="C613" s="41" t="s">
        <v>2488</v>
      </c>
      <c r="D613" s="42" t="s">
        <v>73</v>
      </c>
      <c r="E613" s="43"/>
      <c r="F613" s="44"/>
      <c r="G613" s="46"/>
    </row>
    <row r="614" spans="2:7" x14ac:dyDescent="0.35">
      <c r="B614" s="41" t="s">
        <v>2491</v>
      </c>
      <c r="C614" s="41" t="s">
        <v>2490</v>
      </c>
      <c r="D614" s="42" t="s">
        <v>73</v>
      </c>
      <c r="E614" s="43"/>
      <c r="F614" s="44"/>
      <c r="G614" s="46"/>
    </row>
    <row r="615" spans="2:7" x14ac:dyDescent="0.35">
      <c r="B615" s="41" t="s">
        <v>2493</v>
      </c>
      <c r="C615" s="41" t="s">
        <v>2492</v>
      </c>
      <c r="D615" s="42" t="s">
        <v>73</v>
      </c>
      <c r="E615" s="43"/>
      <c r="F615" s="44"/>
      <c r="G615" s="46"/>
    </row>
    <row r="616" spans="2:7" x14ac:dyDescent="0.35">
      <c r="B616" s="41" t="s">
        <v>2511</v>
      </c>
      <c r="C616" s="45" t="s">
        <v>2510</v>
      </c>
      <c r="D616" s="42" t="s">
        <v>1520</v>
      </c>
      <c r="E616" s="43"/>
      <c r="F616" s="44"/>
      <c r="G616" s="46"/>
    </row>
    <row r="617" spans="2:7" x14ac:dyDescent="0.35">
      <c r="B617" s="41" t="s">
        <v>2529</v>
      </c>
      <c r="C617" s="41" t="s">
        <v>2528</v>
      </c>
      <c r="D617" s="42" t="s">
        <v>1079</v>
      </c>
      <c r="E617" s="43"/>
      <c r="F617" s="44"/>
      <c r="G617" s="46"/>
    </row>
    <row r="618" spans="2:7" x14ac:dyDescent="0.35">
      <c r="B618" s="41" t="s">
        <v>2531</v>
      </c>
      <c r="C618" s="41" t="s">
        <v>2530</v>
      </c>
      <c r="D618" s="42" t="s">
        <v>1079</v>
      </c>
      <c r="E618" s="43"/>
      <c r="F618" s="44"/>
      <c r="G618" s="46"/>
    </row>
    <row r="619" spans="2:7" x14ac:dyDescent="0.35">
      <c r="B619" s="41" t="s">
        <v>2545</v>
      </c>
      <c r="C619" s="41" t="s">
        <v>2544</v>
      </c>
      <c r="D619" s="42" t="s">
        <v>168</v>
      </c>
      <c r="E619" s="43"/>
      <c r="F619" s="44"/>
      <c r="G619" s="46"/>
    </row>
    <row r="620" spans="2:7" x14ac:dyDescent="0.35">
      <c r="B620" s="45" t="s">
        <v>2547</v>
      </c>
      <c r="C620" s="45" t="s">
        <v>2546</v>
      </c>
      <c r="D620" s="42" t="s">
        <v>689</v>
      </c>
      <c r="E620" s="43"/>
      <c r="F620" s="44"/>
      <c r="G620" s="46"/>
    </row>
    <row r="621" spans="2:7" x14ac:dyDescent="0.35">
      <c r="B621" s="41" t="s">
        <v>2551</v>
      </c>
      <c r="C621" s="41" t="s">
        <v>2550</v>
      </c>
      <c r="D621" s="42" t="s">
        <v>2008</v>
      </c>
      <c r="E621" s="43"/>
      <c r="F621" s="44"/>
      <c r="G621" s="46"/>
    </row>
    <row r="622" spans="2:7" x14ac:dyDescent="0.35">
      <c r="B622" s="41" t="s">
        <v>2555</v>
      </c>
      <c r="C622" s="41" t="s">
        <v>2554</v>
      </c>
      <c r="D622" s="42" t="s">
        <v>369</v>
      </c>
      <c r="E622" s="43"/>
      <c r="F622" s="44"/>
      <c r="G622" s="46"/>
    </row>
    <row r="623" spans="2:7" x14ac:dyDescent="0.35">
      <c r="B623" s="41" t="s">
        <v>2557</v>
      </c>
      <c r="C623" s="41" t="s">
        <v>2556</v>
      </c>
      <c r="D623" s="42" t="s">
        <v>2558</v>
      </c>
      <c r="E623" s="43"/>
      <c r="F623" s="44"/>
      <c r="G623" s="46"/>
    </row>
    <row r="624" spans="2:7" x14ac:dyDescent="0.35">
      <c r="B624" s="41" t="s">
        <v>2568</v>
      </c>
      <c r="C624" s="41" t="s">
        <v>2567</v>
      </c>
      <c r="D624" s="42" t="s">
        <v>4613</v>
      </c>
      <c r="E624" s="43"/>
      <c r="F624" s="44"/>
      <c r="G624" s="46"/>
    </row>
    <row r="625" spans="2:7" x14ac:dyDescent="0.35">
      <c r="B625" s="41" t="s">
        <v>2570</v>
      </c>
      <c r="C625" s="41" t="s">
        <v>2569</v>
      </c>
      <c r="D625" s="42" t="s">
        <v>4613</v>
      </c>
      <c r="E625" s="43"/>
      <c r="F625" s="44"/>
      <c r="G625" s="46"/>
    </row>
    <row r="626" spans="2:7" x14ac:dyDescent="0.35">
      <c r="B626" s="41" t="s">
        <v>2572</v>
      </c>
      <c r="C626" s="41" t="s">
        <v>2571</v>
      </c>
      <c r="D626" s="42" t="s">
        <v>2564</v>
      </c>
      <c r="E626" s="43"/>
      <c r="F626" s="44"/>
      <c r="G626" s="46"/>
    </row>
    <row r="627" spans="2:7" x14ac:dyDescent="0.35">
      <c r="B627" s="41" t="s">
        <v>2574</v>
      </c>
      <c r="C627" s="41" t="s">
        <v>2573</v>
      </c>
      <c r="D627" s="42" t="s">
        <v>2564</v>
      </c>
      <c r="E627" s="43"/>
      <c r="F627" s="44"/>
      <c r="G627" s="46"/>
    </row>
    <row r="628" spans="2:7" x14ac:dyDescent="0.35">
      <c r="B628" s="41" t="s">
        <v>2603</v>
      </c>
      <c r="C628" s="41" t="s">
        <v>2602</v>
      </c>
      <c r="D628" s="42" t="s">
        <v>252</v>
      </c>
      <c r="E628" s="43"/>
      <c r="F628" s="44"/>
      <c r="G628" s="46"/>
    </row>
    <row r="629" spans="2:7" x14ac:dyDescent="0.35">
      <c r="B629" s="41" t="s">
        <v>2605</v>
      </c>
      <c r="C629" s="41" t="s">
        <v>2604</v>
      </c>
      <c r="D629" s="42" t="s">
        <v>252</v>
      </c>
      <c r="E629" s="43"/>
      <c r="F629" s="44"/>
      <c r="G629" s="46"/>
    </row>
    <row r="630" spans="2:7" x14ac:dyDescent="0.35">
      <c r="B630" s="41" t="s">
        <v>2610</v>
      </c>
      <c r="C630" s="45"/>
      <c r="D630" s="42" t="s">
        <v>2611</v>
      </c>
      <c r="E630" s="43"/>
      <c r="F630" s="44"/>
      <c r="G630" s="46"/>
    </row>
    <row r="631" spans="2:7" x14ac:dyDescent="0.35">
      <c r="B631" s="41" t="s">
        <v>2612</v>
      </c>
      <c r="C631" s="45"/>
      <c r="D631" s="42" t="s">
        <v>1378</v>
      </c>
      <c r="E631" s="43"/>
      <c r="F631" s="44"/>
      <c r="G631" s="46"/>
    </row>
    <row r="632" spans="2:7" x14ac:dyDescent="0.35">
      <c r="B632" s="41" t="s">
        <v>2613</v>
      </c>
      <c r="C632" s="45"/>
      <c r="D632" s="42" t="s">
        <v>1378</v>
      </c>
      <c r="E632" s="43"/>
      <c r="F632" s="44"/>
      <c r="G632" s="46"/>
    </row>
    <row r="633" spans="2:7" x14ac:dyDescent="0.35">
      <c r="B633" s="41" t="s">
        <v>2614</v>
      </c>
      <c r="C633" s="45"/>
      <c r="D633" s="42" t="s">
        <v>1378</v>
      </c>
      <c r="E633" s="43"/>
      <c r="F633" s="44"/>
      <c r="G633" s="46"/>
    </row>
    <row r="634" spans="2:7" x14ac:dyDescent="0.35">
      <c r="B634" s="41" t="s">
        <v>2624</v>
      </c>
      <c r="C634" s="41" t="s">
        <v>2623</v>
      </c>
      <c r="D634" s="42" t="s">
        <v>2455</v>
      </c>
      <c r="E634" s="43"/>
      <c r="F634" s="44"/>
      <c r="G634" s="46"/>
    </row>
    <row r="635" spans="2:7" x14ac:dyDescent="0.35">
      <c r="B635" s="41" t="s">
        <v>2630</v>
      </c>
      <c r="C635" s="41" t="s">
        <v>2629</v>
      </c>
      <c r="D635" s="42" t="s">
        <v>2450</v>
      </c>
      <c r="E635" s="43"/>
      <c r="F635" s="44"/>
      <c r="G635" s="46"/>
    </row>
    <row r="636" spans="2:7" x14ac:dyDescent="0.35">
      <c r="B636" s="41" t="s">
        <v>2632</v>
      </c>
      <c r="C636" s="41" t="s">
        <v>2631</v>
      </c>
      <c r="D636" s="42" t="s">
        <v>2450</v>
      </c>
      <c r="E636" s="43"/>
      <c r="F636" s="44"/>
      <c r="G636" s="46"/>
    </row>
    <row r="637" spans="2:7" x14ac:dyDescent="0.35">
      <c r="B637" s="41" t="s">
        <v>2634</v>
      </c>
      <c r="C637" s="41" t="s">
        <v>2633</v>
      </c>
      <c r="D637" s="42" t="s">
        <v>2060</v>
      </c>
      <c r="E637" s="43"/>
      <c r="F637" s="44"/>
      <c r="G637" s="46"/>
    </row>
    <row r="638" spans="2:7" x14ac:dyDescent="0.35">
      <c r="B638" s="41" t="s">
        <v>2636</v>
      </c>
      <c r="C638" s="41" t="s">
        <v>2635</v>
      </c>
      <c r="D638" s="42" t="s">
        <v>2060</v>
      </c>
      <c r="E638" s="43"/>
      <c r="F638" s="44"/>
      <c r="G638" s="46"/>
    </row>
    <row r="639" spans="2:7" x14ac:dyDescent="0.35">
      <c r="B639" s="41" t="s">
        <v>2702</v>
      </c>
      <c r="C639" s="41" t="s">
        <v>2701</v>
      </c>
      <c r="D639" s="42" t="s">
        <v>2690</v>
      </c>
      <c r="E639" s="43"/>
      <c r="F639" s="44"/>
      <c r="G639" s="46"/>
    </row>
    <row r="640" spans="2:7" x14ac:dyDescent="0.35">
      <c r="B640" s="45" t="s">
        <v>2727</v>
      </c>
      <c r="C640" s="45" t="s">
        <v>2726</v>
      </c>
      <c r="D640" s="42" t="s">
        <v>2709</v>
      </c>
      <c r="E640" s="43"/>
      <c r="F640" s="44"/>
      <c r="G640" s="46"/>
    </row>
    <row r="641" spans="2:7" x14ac:dyDescent="0.35">
      <c r="B641" s="45" t="s">
        <v>2729</v>
      </c>
      <c r="C641" s="45" t="s">
        <v>2728</v>
      </c>
      <c r="D641" s="42" t="s">
        <v>2709</v>
      </c>
      <c r="E641" s="43"/>
      <c r="F641" s="44"/>
      <c r="G641" s="46"/>
    </row>
    <row r="642" spans="2:7" x14ac:dyDescent="0.35">
      <c r="B642" s="41" t="s">
        <v>2748</v>
      </c>
      <c r="C642" s="41" t="s">
        <v>2747</v>
      </c>
      <c r="D642" s="42" t="s">
        <v>2639</v>
      </c>
      <c r="E642" s="43"/>
      <c r="F642" s="44"/>
      <c r="G642" s="46"/>
    </row>
    <row r="643" spans="2:7" x14ac:dyDescent="0.35">
      <c r="B643" s="41" t="s">
        <v>2805</v>
      </c>
      <c r="C643" s="41" t="s">
        <v>2804</v>
      </c>
      <c r="D643" s="42" t="s">
        <v>1956</v>
      </c>
      <c r="E643" s="43"/>
      <c r="F643" s="44"/>
      <c r="G643" s="46"/>
    </row>
    <row r="644" spans="2:7" x14ac:dyDescent="0.35">
      <c r="B644" s="41" t="s">
        <v>2817</v>
      </c>
      <c r="C644" s="41" t="s">
        <v>2816</v>
      </c>
      <c r="D644" s="42" t="s">
        <v>2818</v>
      </c>
      <c r="E644" s="43"/>
      <c r="F644" s="44"/>
      <c r="G644" s="46"/>
    </row>
    <row r="645" spans="2:7" x14ac:dyDescent="0.35">
      <c r="B645" s="41" t="s">
        <v>2846</v>
      </c>
      <c r="C645" s="41" t="s">
        <v>2845</v>
      </c>
      <c r="D645" s="42" t="s">
        <v>2818</v>
      </c>
      <c r="E645" s="43"/>
      <c r="F645" s="44"/>
      <c r="G645" s="46"/>
    </row>
    <row r="646" spans="2:7" x14ac:dyDescent="0.35">
      <c r="B646" s="41" t="s">
        <v>2852</v>
      </c>
      <c r="C646" s="41" t="s">
        <v>2851</v>
      </c>
      <c r="D646" s="42" t="s">
        <v>2853</v>
      </c>
      <c r="E646" s="43"/>
      <c r="F646" s="44"/>
      <c r="G646" s="46"/>
    </row>
    <row r="647" spans="2:7" x14ac:dyDescent="0.35">
      <c r="B647" s="41" t="s">
        <v>2863</v>
      </c>
      <c r="C647" s="41" t="s">
        <v>2862</v>
      </c>
      <c r="D647" s="42" t="s">
        <v>2864</v>
      </c>
      <c r="E647" s="43"/>
      <c r="F647" s="44"/>
      <c r="G647" s="46"/>
    </row>
    <row r="648" spans="2:7" x14ac:dyDescent="0.35">
      <c r="B648" s="41" t="s">
        <v>2866</v>
      </c>
      <c r="C648" s="41" t="s">
        <v>2865</v>
      </c>
      <c r="D648" s="42" t="s">
        <v>2864</v>
      </c>
      <c r="E648" s="43"/>
      <c r="F648" s="44"/>
      <c r="G648" s="46"/>
    </row>
    <row r="649" spans="2:7" x14ac:dyDescent="0.35">
      <c r="B649" s="41" t="s">
        <v>2868</v>
      </c>
      <c r="C649" s="41" t="s">
        <v>2867</v>
      </c>
      <c r="D649" s="42" t="s">
        <v>2864</v>
      </c>
      <c r="E649" s="43"/>
      <c r="F649" s="44"/>
      <c r="G649" s="46"/>
    </row>
    <row r="650" spans="2:7" x14ac:dyDescent="0.35">
      <c r="B650" s="41" t="s">
        <v>2883</v>
      </c>
      <c r="C650" s="41" t="s">
        <v>2882</v>
      </c>
      <c r="D650" s="42" t="s">
        <v>1069</v>
      </c>
      <c r="E650" s="43"/>
      <c r="F650" s="44"/>
      <c r="G650" s="46"/>
    </row>
    <row r="651" spans="2:7" x14ac:dyDescent="0.35">
      <c r="B651" s="41" t="s">
        <v>2892</v>
      </c>
      <c r="C651" s="45" t="s">
        <v>2891</v>
      </c>
      <c r="D651" s="42" t="s">
        <v>2886</v>
      </c>
      <c r="E651" s="43"/>
      <c r="F651" s="44"/>
      <c r="G651" s="46"/>
    </row>
    <row r="652" spans="2:7" x14ac:dyDescent="0.35">
      <c r="B652" s="41" t="s">
        <v>2897</v>
      </c>
      <c r="C652" s="41" t="s">
        <v>2896</v>
      </c>
      <c r="D652" s="42" t="s">
        <v>2898</v>
      </c>
      <c r="E652" s="43"/>
      <c r="F652" s="44"/>
      <c r="G652" s="46"/>
    </row>
    <row r="653" spans="2:7" x14ac:dyDescent="0.35">
      <c r="B653" s="41" t="s">
        <v>2905</v>
      </c>
      <c r="C653" s="41" t="s">
        <v>2904</v>
      </c>
      <c r="D653" s="42" t="s">
        <v>2898</v>
      </c>
      <c r="E653" s="43"/>
      <c r="F653" s="44"/>
      <c r="G653" s="46"/>
    </row>
    <row r="654" spans="2:7" x14ac:dyDescent="0.35">
      <c r="B654" s="45" t="s">
        <v>2910</v>
      </c>
      <c r="C654" s="45"/>
      <c r="D654" s="42" t="s">
        <v>2911</v>
      </c>
      <c r="E654" s="43"/>
      <c r="F654" s="44"/>
      <c r="G654" s="46"/>
    </row>
    <row r="655" spans="2:7" x14ac:dyDescent="0.35">
      <c r="B655" s="45" t="s">
        <v>2912</v>
      </c>
      <c r="C655" s="45"/>
      <c r="D655" s="42" t="s">
        <v>2913</v>
      </c>
      <c r="E655" s="43"/>
      <c r="F655" s="44"/>
      <c r="G655" s="46"/>
    </row>
    <row r="656" spans="2:7" x14ac:dyDescent="0.35">
      <c r="B656" s="41" t="s">
        <v>2926</v>
      </c>
      <c r="C656" s="41" t="s">
        <v>2925</v>
      </c>
      <c r="D656" s="42" t="s">
        <v>2927</v>
      </c>
      <c r="E656" s="43"/>
      <c r="F656" s="44"/>
      <c r="G656" s="46"/>
    </row>
    <row r="657" spans="2:7" x14ac:dyDescent="0.35">
      <c r="B657" s="41" t="s">
        <v>2929</v>
      </c>
      <c r="C657" s="45" t="s">
        <v>2928</v>
      </c>
      <c r="D657" s="42" t="s">
        <v>2930</v>
      </c>
      <c r="E657" s="43"/>
      <c r="F657" s="44"/>
      <c r="G657" s="46"/>
    </row>
    <row r="658" spans="2:7" x14ac:dyDescent="0.35">
      <c r="B658" s="41" t="s">
        <v>2943</v>
      </c>
      <c r="C658" s="41" t="s">
        <v>2942</v>
      </c>
      <c r="D658" s="42" t="s">
        <v>2944</v>
      </c>
      <c r="E658" s="43"/>
      <c r="F658" s="44"/>
      <c r="G658" s="46"/>
    </row>
    <row r="659" spans="2:7" x14ac:dyDescent="0.35">
      <c r="B659" s="41" t="s">
        <v>2968</v>
      </c>
      <c r="C659" s="41" t="s">
        <v>2967</v>
      </c>
      <c r="D659" s="42" t="s">
        <v>2969</v>
      </c>
      <c r="E659" s="43"/>
      <c r="F659" s="44"/>
      <c r="G659" s="46"/>
    </row>
    <row r="660" spans="2:7" x14ac:dyDescent="0.35">
      <c r="B660" s="41" t="s">
        <v>2990</v>
      </c>
      <c r="C660" s="41" t="s">
        <v>2989</v>
      </c>
      <c r="D660" s="42" t="s">
        <v>2991</v>
      </c>
      <c r="E660" s="43"/>
      <c r="F660" s="44"/>
      <c r="G660" s="46"/>
    </row>
    <row r="661" spans="2:7" x14ac:dyDescent="0.35">
      <c r="B661" s="41" t="s">
        <v>3020</v>
      </c>
      <c r="C661" s="45" t="s">
        <v>3019</v>
      </c>
      <c r="D661" s="42" t="s">
        <v>3021</v>
      </c>
      <c r="E661" s="43"/>
      <c r="F661" s="44"/>
      <c r="G661" s="46"/>
    </row>
    <row r="662" spans="2:7" x14ac:dyDescent="0.35">
      <c r="B662" s="41" t="s">
        <v>3051</v>
      </c>
      <c r="C662" s="45" t="s">
        <v>3050</v>
      </c>
      <c r="D662" s="42" t="s">
        <v>2951</v>
      </c>
      <c r="E662" s="43"/>
      <c r="F662" s="44"/>
      <c r="G662" s="46"/>
    </row>
    <row r="663" spans="2:7" x14ac:dyDescent="0.35">
      <c r="B663" s="41" t="s">
        <v>3055</v>
      </c>
      <c r="C663" s="45" t="s">
        <v>3054</v>
      </c>
      <c r="D663" s="42" t="s">
        <v>2930</v>
      </c>
      <c r="E663" s="43"/>
      <c r="F663" s="44"/>
      <c r="G663" s="46"/>
    </row>
    <row r="664" spans="2:7" x14ac:dyDescent="0.35">
      <c r="B664" s="41" t="s">
        <v>3057</v>
      </c>
      <c r="C664" s="45" t="s">
        <v>3056</v>
      </c>
      <c r="D664" s="42" t="s">
        <v>2930</v>
      </c>
      <c r="E664" s="43"/>
      <c r="F664" s="44"/>
      <c r="G664" s="46"/>
    </row>
    <row r="665" spans="2:7" x14ac:dyDescent="0.35">
      <c r="B665" s="41" t="s">
        <v>3059</v>
      </c>
      <c r="C665" s="45" t="s">
        <v>3058</v>
      </c>
      <c r="D665" s="42" t="s">
        <v>2930</v>
      </c>
      <c r="E665" s="43"/>
      <c r="F665" s="44"/>
      <c r="G665" s="46"/>
    </row>
    <row r="666" spans="2:7" x14ac:dyDescent="0.35">
      <c r="B666" s="41" t="s">
        <v>3069</v>
      </c>
      <c r="C666" s="41" t="s">
        <v>3068</v>
      </c>
      <c r="D666" s="42" t="s">
        <v>2972</v>
      </c>
      <c r="E666" s="43"/>
      <c r="F666" s="44"/>
      <c r="G666" s="46"/>
    </row>
    <row r="667" spans="2:7" x14ac:dyDescent="0.35">
      <c r="B667" s="41" t="s">
        <v>3075</v>
      </c>
      <c r="C667" s="45" t="s">
        <v>3074</v>
      </c>
      <c r="D667" s="42" t="s">
        <v>2901</v>
      </c>
      <c r="E667" s="43"/>
      <c r="F667" s="44"/>
      <c r="G667" s="46"/>
    </row>
    <row r="668" spans="2:7" x14ac:dyDescent="0.35">
      <c r="B668" s="41" t="s">
        <v>3092</v>
      </c>
      <c r="C668" s="41" t="s">
        <v>3091</v>
      </c>
      <c r="D668" s="42" t="s">
        <v>3093</v>
      </c>
      <c r="E668" s="43"/>
      <c r="F668" s="44"/>
      <c r="G668" s="46"/>
    </row>
    <row r="669" spans="2:7" x14ac:dyDescent="0.35">
      <c r="B669" s="41" t="s">
        <v>3099</v>
      </c>
      <c r="C669" s="41" t="s">
        <v>3098</v>
      </c>
      <c r="D669" s="42" t="s">
        <v>3093</v>
      </c>
      <c r="E669" s="43"/>
      <c r="F669" s="44"/>
      <c r="G669" s="46"/>
    </row>
    <row r="670" spans="2:7" x14ac:dyDescent="0.35">
      <c r="B670" s="41" t="s">
        <v>3135</v>
      </c>
      <c r="C670" s="45" t="s">
        <v>3134</v>
      </c>
      <c r="D670" s="42" t="s">
        <v>2930</v>
      </c>
      <c r="E670" s="43"/>
      <c r="F670" s="44"/>
      <c r="G670" s="46"/>
    </row>
    <row r="671" spans="2:7" x14ac:dyDescent="0.35">
      <c r="B671" s="41" t="s">
        <v>3140</v>
      </c>
      <c r="C671" s="41" t="s">
        <v>3139</v>
      </c>
      <c r="D671" s="42" t="s">
        <v>2898</v>
      </c>
      <c r="E671" s="43"/>
      <c r="F671" s="44"/>
      <c r="G671" s="46"/>
    </row>
    <row r="672" spans="2:7" x14ac:dyDescent="0.35">
      <c r="B672" s="41" t="s">
        <v>3163</v>
      </c>
      <c r="C672" s="41" t="s">
        <v>3162</v>
      </c>
      <c r="D672" s="42" t="s">
        <v>2913</v>
      </c>
      <c r="E672" s="43"/>
      <c r="F672" s="44"/>
      <c r="G672" s="46"/>
    </row>
    <row r="673" spans="2:7" x14ac:dyDescent="0.35">
      <c r="B673" s="41" t="s">
        <v>3167</v>
      </c>
      <c r="C673" s="41" t="s">
        <v>3166</v>
      </c>
      <c r="D673" s="42" t="s">
        <v>2911</v>
      </c>
      <c r="E673" s="43"/>
      <c r="F673" s="44"/>
      <c r="G673" s="46"/>
    </row>
    <row r="674" spans="2:7" x14ac:dyDescent="0.35">
      <c r="B674" s="41" t="s">
        <v>3171</v>
      </c>
      <c r="C674" s="41" t="s">
        <v>3170</v>
      </c>
      <c r="D674" s="42" t="s">
        <v>2911</v>
      </c>
      <c r="E674" s="43"/>
      <c r="F674" s="44"/>
      <c r="G674" s="46"/>
    </row>
    <row r="675" spans="2:7" x14ac:dyDescent="0.35">
      <c r="B675" s="41" t="s">
        <v>3173</v>
      </c>
      <c r="C675" s="41" t="s">
        <v>3172</v>
      </c>
      <c r="D675" s="42" t="s">
        <v>3063</v>
      </c>
      <c r="E675" s="43"/>
      <c r="F675" s="44"/>
      <c r="G675" s="46"/>
    </row>
    <row r="676" spans="2:7" x14ac:dyDescent="0.35">
      <c r="B676" s="41" t="s">
        <v>3175</v>
      </c>
      <c r="C676" s="41" t="s">
        <v>3174</v>
      </c>
      <c r="D676" s="42" t="s">
        <v>3125</v>
      </c>
      <c r="E676" s="43"/>
      <c r="F676" s="44"/>
      <c r="G676" s="46"/>
    </row>
    <row r="677" spans="2:7" x14ac:dyDescent="0.35">
      <c r="B677" s="45" t="s">
        <v>3194</v>
      </c>
      <c r="C677" s="45"/>
      <c r="D677" s="42" t="s">
        <v>79</v>
      </c>
      <c r="E677" s="43"/>
      <c r="F677" s="44"/>
      <c r="G677" s="46"/>
    </row>
    <row r="678" spans="2:7" x14ac:dyDescent="0.35">
      <c r="B678" s="41" t="s">
        <v>3268</v>
      </c>
      <c r="C678" s="41" t="s">
        <v>3267</v>
      </c>
      <c r="D678" s="42" t="s">
        <v>472</v>
      </c>
      <c r="E678" s="43"/>
      <c r="F678" s="44"/>
      <c r="G678" s="46"/>
    </row>
    <row r="679" spans="2:7" x14ac:dyDescent="0.35">
      <c r="B679" s="45" t="s">
        <v>3322</v>
      </c>
      <c r="C679" s="45" t="s">
        <v>3321</v>
      </c>
      <c r="D679" s="42" t="s">
        <v>3323</v>
      </c>
      <c r="E679" s="43"/>
      <c r="F679" s="44"/>
      <c r="G679" s="46"/>
    </row>
    <row r="680" spans="2:7" x14ac:dyDescent="0.35">
      <c r="B680" s="45" t="s">
        <v>3359</v>
      </c>
      <c r="C680" s="45" t="s">
        <v>3358</v>
      </c>
      <c r="D680" s="42" t="s">
        <v>3348</v>
      </c>
      <c r="E680" s="43"/>
      <c r="F680" s="44"/>
      <c r="G680" s="46"/>
    </row>
    <row r="681" spans="2:7" x14ac:dyDescent="0.35">
      <c r="B681" s="41" t="s">
        <v>3373</v>
      </c>
      <c r="C681" s="41" t="s">
        <v>3372</v>
      </c>
      <c r="D681" s="42" t="s">
        <v>3236</v>
      </c>
      <c r="E681" s="43"/>
      <c r="F681" s="44"/>
      <c r="G681" s="46"/>
    </row>
    <row r="682" spans="2:7" x14ac:dyDescent="0.35">
      <c r="B682" s="41" t="s">
        <v>3408</v>
      </c>
      <c r="C682" s="41" t="s">
        <v>3407</v>
      </c>
      <c r="D682" s="42" t="s">
        <v>1061</v>
      </c>
      <c r="E682" s="43"/>
      <c r="F682" s="44"/>
      <c r="G682" s="46"/>
    </row>
    <row r="683" spans="2:7" x14ac:dyDescent="0.35">
      <c r="B683" s="41" t="s">
        <v>3494</v>
      </c>
      <c r="C683" s="41" t="s">
        <v>3493</v>
      </c>
      <c r="D683" s="42" t="s">
        <v>472</v>
      </c>
      <c r="E683" s="43"/>
      <c r="F683" s="44"/>
      <c r="G683" s="46"/>
    </row>
    <row r="684" spans="2:7" x14ac:dyDescent="0.35">
      <c r="B684" s="45" t="s">
        <v>3540</v>
      </c>
      <c r="C684" s="45"/>
      <c r="D684" s="42" t="s">
        <v>3541</v>
      </c>
      <c r="E684" s="43"/>
      <c r="F684" s="44"/>
      <c r="G684" s="46"/>
    </row>
    <row r="685" spans="2:7" x14ac:dyDescent="0.35">
      <c r="B685" s="45" t="s">
        <v>3549</v>
      </c>
      <c r="C685" s="45" t="s">
        <v>3548</v>
      </c>
      <c r="D685" s="42" t="s">
        <v>3236</v>
      </c>
      <c r="E685" s="43"/>
      <c r="F685" s="44"/>
      <c r="G685" s="46"/>
    </row>
    <row r="686" spans="2:7" x14ac:dyDescent="0.35">
      <c r="B686" s="41" t="s">
        <v>3551</v>
      </c>
      <c r="C686" s="41" t="s">
        <v>3550</v>
      </c>
      <c r="D686" s="42" t="s">
        <v>3236</v>
      </c>
      <c r="E686" s="43"/>
      <c r="F686" s="44"/>
      <c r="G686" s="46"/>
    </row>
    <row r="687" spans="2:7" x14ac:dyDescent="0.35">
      <c r="B687" s="41" t="s">
        <v>3584</v>
      </c>
      <c r="C687" s="41" t="s">
        <v>3583</v>
      </c>
      <c r="D687" s="42" t="s">
        <v>3585</v>
      </c>
      <c r="E687" s="43"/>
      <c r="F687" s="44"/>
      <c r="G687" s="46"/>
    </row>
    <row r="688" spans="2:7" x14ac:dyDescent="0.35">
      <c r="B688" s="41" t="s">
        <v>3695</v>
      </c>
      <c r="C688" s="41" t="s">
        <v>3694</v>
      </c>
      <c r="D688" s="42" t="s">
        <v>3696</v>
      </c>
      <c r="E688" s="43"/>
      <c r="F688" s="44"/>
      <c r="G688" s="46"/>
    </row>
    <row r="689" spans="2:7" x14ac:dyDescent="0.35">
      <c r="B689" s="45" t="s">
        <v>3761</v>
      </c>
      <c r="C689" s="45"/>
      <c r="D689" s="42" t="s">
        <v>3762</v>
      </c>
      <c r="E689" s="43"/>
      <c r="F689" s="44"/>
      <c r="G689" s="46"/>
    </row>
    <row r="690" spans="2:7" x14ac:dyDescent="0.35">
      <c r="B690" s="41" t="s">
        <v>3781</v>
      </c>
      <c r="C690" s="45"/>
      <c r="D690" s="42" t="s">
        <v>3782</v>
      </c>
      <c r="E690" s="43"/>
      <c r="F690" s="44"/>
      <c r="G690" s="46"/>
    </row>
    <row r="691" spans="2:7" x14ac:dyDescent="0.35">
      <c r="B691" s="41" t="s">
        <v>3783</v>
      </c>
      <c r="C691" s="45"/>
      <c r="D691" s="42" t="s">
        <v>3784</v>
      </c>
      <c r="E691" s="43"/>
      <c r="F691" s="44"/>
      <c r="G691" s="46"/>
    </row>
    <row r="692" spans="2:7" x14ac:dyDescent="0.35">
      <c r="B692" s="41" t="s">
        <v>3785</v>
      </c>
      <c r="C692" s="45"/>
      <c r="D692" s="42" t="s">
        <v>3784</v>
      </c>
      <c r="E692" s="43"/>
      <c r="F692" s="44"/>
      <c r="G692" s="46"/>
    </row>
    <row r="693" spans="2:7" x14ac:dyDescent="0.35">
      <c r="B693" s="41" t="s">
        <v>3786</v>
      </c>
      <c r="C693" s="45"/>
      <c r="D693" s="42" t="s">
        <v>3784</v>
      </c>
      <c r="E693" s="43"/>
      <c r="F693" s="44"/>
      <c r="G693" s="46"/>
    </row>
    <row r="694" spans="2:7" x14ac:dyDescent="0.35">
      <c r="B694" s="41" t="s">
        <v>3815</v>
      </c>
      <c r="C694" s="45" t="s">
        <v>3814</v>
      </c>
      <c r="D694" s="42" t="s">
        <v>3816</v>
      </c>
      <c r="E694" s="43"/>
      <c r="F694" s="44"/>
      <c r="G694" s="46"/>
    </row>
    <row r="695" spans="2:7" x14ac:dyDescent="0.35">
      <c r="B695" s="41" t="s">
        <v>3818</v>
      </c>
      <c r="C695" s="45" t="s">
        <v>3817</v>
      </c>
      <c r="D695" s="42" t="s">
        <v>3816</v>
      </c>
      <c r="E695" s="43"/>
      <c r="F695" s="44"/>
      <c r="G695" s="46"/>
    </row>
    <row r="696" spans="2:7" x14ac:dyDescent="0.35">
      <c r="B696" s="41" t="s">
        <v>3820</v>
      </c>
      <c r="C696" s="45" t="s">
        <v>3819</v>
      </c>
      <c r="D696" s="42" t="s">
        <v>3816</v>
      </c>
      <c r="E696" s="43"/>
      <c r="F696" s="44"/>
      <c r="G696" s="46"/>
    </row>
    <row r="697" spans="2:7" x14ac:dyDescent="0.35">
      <c r="B697" s="41" t="s">
        <v>4548</v>
      </c>
      <c r="C697" s="46"/>
      <c r="D697" s="42" t="s">
        <v>4549</v>
      </c>
      <c r="E697" s="43"/>
      <c r="F697" s="44"/>
      <c r="G697" s="46"/>
    </row>
    <row r="698" spans="2:7" x14ac:dyDescent="0.35">
      <c r="B698" s="41" t="s">
        <v>3833</v>
      </c>
      <c r="C698" s="41" t="s">
        <v>3832</v>
      </c>
      <c r="D698" s="42" t="s">
        <v>3816</v>
      </c>
      <c r="E698" s="43"/>
      <c r="F698" s="44"/>
      <c r="G698" s="46"/>
    </row>
    <row r="699" spans="2:7" x14ac:dyDescent="0.35">
      <c r="B699" s="41" t="s">
        <v>3835</v>
      </c>
      <c r="C699" s="41" t="s">
        <v>3834</v>
      </c>
      <c r="D699" s="42" t="s">
        <v>3836</v>
      </c>
      <c r="E699" s="43"/>
      <c r="F699" s="44"/>
      <c r="G699" s="46"/>
    </row>
    <row r="700" spans="2:7" x14ac:dyDescent="0.35">
      <c r="B700" s="41" t="s">
        <v>3919</v>
      </c>
      <c r="C700" s="45" t="s">
        <v>3918</v>
      </c>
      <c r="D700" s="42" t="s">
        <v>3836</v>
      </c>
      <c r="E700" s="43"/>
      <c r="F700" s="44"/>
      <c r="G700" s="46"/>
    </row>
    <row r="701" spans="2:7" x14ac:dyDescent="0.35">
      <c r="B701" s="41" t="s">
        <v>3948</v>
      </c>
      <c r="C701" s="41" t="s">
        <v>3947</v>
      </c>
      <c r="D701" s="42" t="s">
        <v>3949</v>
      </c>
      <c r="E701" s="43"/>
      <c r="F701" s="44"/>
      <c r="G701" s="46"/>
    </row>
    <row r="702" spans="2:7" x14ac:dyDescent="0.35">
      <c r="B702" s="41" t="s">
        <v>3951</v>
      </c>
      <c r="C702" s="41" t="s">
        <v>3950</v>
      </c>
      <c r="D702" s="42" t="s">
        <v>3930</v>
      </c>
      <c r="E702" s="43"/>
      <c r="F702" s="44"/>
      <c r="G702" s="46"/>
    </row>
    <row r="703" spans="2:7" x14ac:dyDescent="0.35">
      <c r="B703" s="41" t="s">
        <v>3955</v>
      </c>
      <c r="C703" s="41" t="s">
        <v>3954</v>
      </c>
      <c r="D703" s="42" t="s">
        <v>3956</v>
      </c>
      <c r="E703" s="43"/>
      <c r="F703" s="44"/>
      <c r="G703" s="46"/>
    </row>
    <row r="704" spans="2:7" x14ac:dyDescent="0.35">
      <c r="B704" s="41" t="s">
        <v>3957</v>
      </c>
      <c r="C704" s="41" t="s">
        <v>3958</v>
      </c>
      <c r="D704" s="42" t="s">
        <v>3956</v>
      </c>
      <c r="E704" s="43"/>
      <c r="F704" s="44"/>
      <c r="G704" s="46"/>
    </row>
    <row r="705" spans="2:7" x14ac:dyDescent="0.35">
      <c r="B705" s="41" t="s">
        <v>3969</v>
      </c>
      <c r="C705" s="41" t="s">
        <v>3968</v>
      </c>
      <c r="D705" s="42" t="s">
        <v>3970</v>
      </c>
      <c r="E705" s="43"/>
      <c r="F705" s="44"/>
      <c r="G705" s="46"/>
    </row>
    <row r="706" spans="2:7" x14ac:dyDescent="0.35">
      <c r="B706" s="41" t="s">
        <v>3972</v>
      </c>
      <c r="C706" s="41" t="s">
        <v>3971</v>
      </c>
      <c r="D706" s="42" t="s">
        <v>3973</v>
      </c>
      <c r="E706" s="43"/>
      <c r="F706" s="44"/>
      <c r="G706" s="46"/>
    </row>
    <row r="707" spans="2:7" x14ac:dyDescent="0.35">
      <c r="B707" s="41" t="s">
        <v>3975</v>
      </c>
      <c r="C707" s="41" t="s">
        <v>3974</v>
      </c>
      <c r="D707" s="42" t="s">
        <v>3935</v>
      </c>
      <c r="E707" s="43"/>
      <c r="F707" s="44"/>
      <c r="G707" s="46"/>
    </row>
    <row r="708" spans="2:7" x14ac:dyDescent="0.35">
      <c r="B708" s="41" t="s">
        <v>3977</v>
      </c>
      <c r="C708" s="41" t="s">
        <v>3976</v>
      </c>
      <c r="D708" s="42" t="s">
        <v>3978</v>
      </c>
      <c r="E708" s="43"/>
      <c r="F708" s="44"/>
      <c r="G708" s="46"/>
    </row>
    <row r="709" spans="2:7" x14ac:dyDescent="0.35">
      <c r="B709" s="41" t="s">
        <v>3980</v>
      </c>
      <c r="C709" s="41" t="s">
        <v>3979</v>
      </c>
      <c r="D709" s="42" t="s">
        <v>3935</v>
      </c>
      <c r="E709" s="43"/>
      <c r="F709" s="44"/>
      <c r="G709" s="46"/>
    </row>
    <row r="710" spans="2:7" x14ac:dyDescent="0.35">
      <c r="B710" s="41" t="s">
        <v>3993</v>
      </c>
      <c r="C710" s="41" t="s">
        <v>3992</v>
      </c>
      <c r="D710" s="42" t="s">
        <v>3943</v>
      </c>
      <c r="E710" s="43"/>
      <c r="F710" s="44"/>
      <c r="G710" s="46"/>
    </row>
    <row r="711" spans="2:7" x14ac:dyDescent="0.35">
      <c r="B711" s="41" t="s">
        <v>3995</v>
      </c>
      <c r="C711" s="41" t="s">
        <v>3994</v>
      </c>
      <c r="D711" s="42" t="s">
        <v>3943</v>
      </c>
      <c r="E711" s="43"/>
      <c r="F711" s="44"/>
      <c r="G711" s="46"/>
    </row>
    <row r="712" spans="2:7" x14ac:dyDescent="0.35">
      <c r="B712" s="41" t="s">
        <v>4550</v>
      </c>
      <c r="C712" s="46"/>
      <c r="D712" s="42" t="s">
        <v>4549</v>
      </c>
      <c r="E712" s="43"/>
      <c r="F712" s="44"/>
      <c r="G712" s="46"/>
    </row>
    <row r="713" spans="2:7" x14ac:dyDescent="0.4">
      <c r="B713" s="46" t="s">
        <v>4057</v>
      </c>
      <c r="C713" s="46"/>
      <c r="D713" s="42" t="s">
        <v>4058</v>
      </c>
      <c r="E713" s="43"/>
      <c r="F713" s="44"/>
      <c r="G713" s="46"/>
    </row>
    <row r="714" spans="2:7" x14ac:dyDescent="0.35">
      <c r="B714" s="41" t="s">
        <v>4077</v>
      </c>
      <c r="C714" s="45" t="s">
        <v>4076</v>
      </c>
      <c r="D714" s="42" t="s">
        <v>4070</v>
      </c>
      <c r="E714" s="43"/>
      <c r="F714" s="44"/>
      <c r="G714" s="46"/>
    </row>
    <row r="715" spans="2:7" x14ac:dyDescent="0.35">
      <c r="B715" s="41" t="s">
        <v>4085</v>
      </c>
      <c r="C715" s="45" t="s">
        <v>4084</v>
      </c>
      <c r="D715" s="42" t="s">
        <v>4083</v>
      </c>
      <c r="E715" s="43"/>
      <c r="F715" s="44"/>
      <c r="G715" s="46"/>
    </row>
    <row r="716" spans="2:7" x14ac:dyDescent="0.35">
      <c r="B716" s="41" t="s">
        <v>4087</v>
      </c>
      <c r="C716" s="41" t="s">
        <v>4086</v>
      </c>
      <c r="D716" s="42" t="s">
        <v>4088</v>
      </c>
      <c r="E716" s="43"/>
      <c r="F716" s="44"/>
      <c r="G716" s="46"/>
    </row>
    <row r="717" spans="2:7" x14ac:dyDescent="0.35">
      <c r="B717" s="41" t="s">
        <v>4090</v>
      </c>
      <c r="C717" s="41" t="s">
        <v>4089</v>
      </c>
      <c r="D717" s="42" t="s">
        <v>4088</v>
      </c>
      <c r="E717" s="43"/>
      <c r="F717" s="44"/>
      <c r="G717" s="46"/>
    </row>
    <row r="718" spans="2:7" x14ac:dyDescent="0.35">
      <c r="B718" s="41" t="s">
        <v>4094</v>
      </c>
      <c r="C718" s="45" t="s">
        <v>4093</v>
      </c>
      <c r="D718" s="42" t="s">
        <v>4088</v>
      </c>
      <c r="E718" s="43"/>
      <c r="F718" s="44"/>
      <c r="G718" s="46"/>
    </row>
    <row r="719" spans="2:7" x14ac:dyDescent="0.35">
      <c r="B719" s="41" t="s">
        <v>4099</v>
      </c>
      <c r="C719" s="41" t="s">
        <v>4098</v>
      </c>
      <c r="D719" s="42" t="s">
        <v>4100</v>
      </c>
      <c r="E719" s="43"/>
      <c r="F719" s="44"/>
      <c r="G719" s="46"/>
    </row>
    <row r="720" spans="2:7" x14ac:dyDescent="0.35">
      <c r="B720" s="41" t="s">
        <v>4104</v>
      </c>
      <c r="C720" s="45" t="s">
        <v>4103</v>
      </c>
      <c r="D720" s="42" t="s">
        <v>4105</v>
      </c>
      <c r="E720" s="43"/>
      <c r="F720" s="44"/>
      <c r="G720" s="46"/>
    </row>
    <row r="721" spans="2:7" x14ac:dyDescent="0.35">
      <c r="B721" s="41" t="s">
        <v>4115</v>
      </c>
      <c r="C721" s="45"/>
      <c r="D721" s="42" t="s">
        <v>1129</v>
      </c>
      <c r="E721" s="43"/>
      <c r="F721" s="44"/>
      <c r="G721" s="46"/>
    </row>
    <row r="722" spans="2:7" x14ac:dyDescent="0.35">
      <c r="B722" s="41" t="s">
        <v>4126</v>
      </c>
      <c r="C722" s="45" t="s">
        <v>4125</v>
      </c>
      <c r="D722" s="42" t="s">
        <v>4127</v>
      </c>
      <c r="E722" s="43"/>
      <c r="F722" s="44"/>
      <c r="G722" s="46"/>
    </row>
    <row r="723" spans="2:7" x14ac:dyDescent="0.35">
      <c r="B723" s="41" t="s">
        <v>4129</v>
      </c>
      <c r="C723" s="45" t="s">
        <v>4128</v>
      </c>
      <c r="D723" s="42" t="s">
        <v>4127</v>
      </c>
      <c r="E723" s="43"/>
      <c r="F723" s="44"/>
      <c r="G723" s="46"/>
    </row>
    <row r="724" spans="2:7" x14ac:dyDescent="0.35">
      <c r="B724" s="41" t="s">
        <v>4131</v>
      </c>
      <c r="C724" s="45" t="s">
        <v>4130</v>
      </c>
      <c r="D724" s="42" t="s">
        <v>4127</v>
      </c>
      <c r="E724" s="43"/>
      <c r="F724" s="44"/>
      <c r="G724" s="46"/>
    </row>
    <row r="725" spans="2:7" x14ac:dyDescent="0.35">
      <c r="B725" s="41" t="s">
        <v>4133</v>
      </c>
      <c r="C725" s="45" t="s">
        <v>4132</v>
      </c>
      <c r="D725" s="42" t="s">
        <v>4127</v>
      </c>
      <c r="E725" s="43"/>
      <c r="F725" s="44"/>
      <c r="G725" s="46"/>
    </row>
    <row r="726" spans="2:7" x14ac:dyDescent="0.35">
      <c r="B726" s="41" t="s">
        <v>4134</v>
      </c>
      <c r="C726" s="45"/>
      <c r="D726" s="42" t="s">
        <v>4097</v>
      </c>
      <c r="E726" s="43"/>
      <c r="F726" s="44"/>
      <c r="G726" s="46"/>
    </row>
    <row r="727" spans="2:7" x14ac:dyDescent="0.35">
      <c r="B727" s="41" t="s">
        <v>4169</v>
      </c>
      <c r="C727" s="45" t="s">
        <v>4168</v>
      </c>
      <c r="D727" s="42" t="s">
        <v>4164</v>
      </c>
      <c r="E727" s="43"/>
      <c r="F727" s="44"/>
      <c r="G727" s="46"/>
    </row>
    <row r="728" spans="2:7" x14ac:dyDescent="0.35">
      <c r="B728" s="41" t="s">
        <v>4171</v>
      </c>
      <c r="C728" s="41" t="s">
        <v>4170</v>
      </c>
      <c r="D728" s="42" t="s">
        <v>4164</v>
      </c>
      <c r="E728" s="43"/>
      <c r="F728" s="44"/>
      <c r="G728" s="46"/>
    </row>
    <row r="729" spans="2:7" x14ac:dyDescent="0.35">
      <c r="B729" s="41" t="s">
        <v>4182</v>
      </c>
      <c r="C729" s="41" t="s">
        <v>4181</v>
      </c>
      <c r="D729" s="42" t="s">
        <v>4100</v>
      </c>
      <c r="E729" s="43"/>
      <c r="F729" s="44"/>
      <c r="G729" s="46"/>
    </row>
    <row r="730" spans="2:7" x14ac:dyDescent="0.35">
      <c r="B730" s="41" t="s">
        <v>4184</v>
      </c>
      <c r="C730" s="41" t="s">
        <v>4183</v>
      </c>
      <c r="D730" s="42" t="s">
        <v>4097</v>
      </c>
      <c r="E730" s="43"/>
      <c r="F730" s="44"/>
      <c r="G730" s="46"/>
    </row>
    <row r="731" spans="2:7" x14ac:dyDescent="0.35">
      <c r="B731" s="41" t="s">
        <v>4186</v>
      </c>
      <c r="C731" s="41" t="s">
        <v>4185</v>
      </c>
      <c r="D731" s="42" t="s">
        <v>4097</v>
      </c>
      <c r="E731" s="43"/>
      <c r="F731" s="44"/>
      <c r="G731" s="46"/>
    </row>
    <row r="732" spans="2:7" x14ac:dyDescent="0.35">
      <c r="B732" s="41" t="s">
        <v>4188</v>
      </c>
      <c r="C732" s="41" t="s">
        <v>4187</v>
      </c>
      <c r="D732" s="42" t="s">
        <v>4097</v>
      </c>
      <c r="E732" s="43"/>
      <c r="F732" s="44"/>
      <c r="G732" s="46"/>
    </row>
    <row r="733" spans="2:7" x14ac:dyDescent="0.35">
      <c r="B733" s="41" t="s">
        <v>4190</v>
      </c>
      <c r="C733" s="41" t="s">
        <v>4189</v>
      </c>
      <c r="D733" s="42" t="s">
        <v>4097</v>
      </c>
      <c r="E733" s="43"/>
      <c r="F733" s="44"/>
      <c r="G733" s="46"/>
    </row>
    <row r="734" spans="2:7" x14ac:dyDescent="0.35">
      <c r="B734" s="41" t="s">
        <v>4242</v>
      </c>
      <c r="C734" s="45" t="s">
        <v>4241</v>
      </c>
      <c r="D734" s="42" t="s">
        <v>4243</v>
      </c>
      <c r="E734" s="43"/>
      <c r="F734" s="44"/>
      <c r="G734" s="46"/>
    </row>
    <row r="735" spans="2:7" x14ac:dyDescent="0.35">
      <c r="B735" s="45" t="s">
        <v>4246</v>
      </c>
      <c r="C735" s="45"/>
      <c r="D735" s="42" t="s">
        <v>4247</v>
      </c>
      <c r="E735" s="43"/>
      <c r="F735" s="44"/>
      <c r="G735" s="46"/>
    </row>
    <row r="736" spans="2:7" x14ac:dyDescent="0.35">
      <c r="B736" s="45" t="s">
        <v>4248</v>
      </c>
      <c r="C736" s="45"/>
      <c r="D736" s="42" t="s">
        <v>4249</v>
      </c>
      <c r="E736" s="43"/>
      <c r="F736" s="44"/>
      <c r="G736" s="46"/>
    </row>
    <row r="737" spans="2:7" x14ac:dyDescent="0.35">
      <c r="B737" s="41" t="s">
        <v>4254</v>
      </c>
      <c r="C737" s="41" t="s">
        <v>4253</v>
      </c>
      <c r="D737" s="42" t="s">
        <v>4255</v>
      </c>
      <c r="E737" s="43"/>
      <c r="F737" s="44"/>
      <c r="G737" s="46"/>
    </row>
    <row r="738" spans="2:7" x14ac:dyDescent="0.35">
      <c r="B738" s="41" t="s">
        <v>4257</v>
      </c>
      <c r="C738" s="41" t="s">
        <v>4256</v>
      </c>
      <c r="D738" s="42" t="s">
        <v>4255</v>
      </c>
      <c r="E738" s="43"/>
      <c r="F738" s="44"/>
      <c r="G738" s="46"/>
    </row>
    <row r="739" spans="2:7" x14ac:dyDescent="0.35">
      <c r="B739" s="41" t="s">
        <v>4289</v>
      </c>
      <c r="C739" s="41" t="s">
        <v>4288</v>
      </c>
      <c r="D739" s="42" t="s">
        <v>4290</v>
      </c>
      <c r="E739" s="43"/>
      <c r="F739" s="44"/>
      <c r="G739" s="46"/>
    </row>
    <row r="740" spans="2:7" x14ac:dyDescent="0.35">
      <c r="B740" s="41" t="s">
        <v>4295</v>
      </c>
      <c r="C740" s="41" t="s">
        <v>4294</v>
      </c>
      <c r="D740" s="42" t="s">
        <v>4296</v>
      </c>
      <c r="E740" s="43"/>
      <c r="F740" s="44"/>
      <c r="G740" s="46"/>
    </row>
    <row r="741" spans="2:7" x14ac:dyDescent="0.35">
      <c r="B741" s="41" t="s">
        <v>4316</v>
      </c>
      <c r="C741" s="41" t="s">
        <v>4315</v>
      </c>
      <c r="D741" s="42" t="s">
        <v>4317</v>
      </c>
      <c r="E741" s="43"/>
      <c r="F741" s="44"/>
      <c r="G741" s="46"/>
    </row>
    <row r="742" spans="2:7" x14ac:dyDescent="0.35">
      <c r="B742" s="41" t="s">
        <v>4319</v>
      </c>
      <c r="C742" s="41" t="s">
        <v>4318</v>
      </c>
      <c r="D742" s="42" t="s">
        <v>4317</v>
      </c>
      <c r="E742" s="43"/>
      <c r="F742" s="44"/>
      <c r="G742" s="46"/>
    </row>
    <row r="743" spans="2:7" x14ac:dyDescent="0.35">
      <c r="B743" s="41" t="s">
        <v>4321</v>
      </c>
      <c r="C743" s="41" t="s">
        <v>4320</v>
      </c>
      <c r="D743" s="42" t="s">
        <v>4317</v>
      </c>
      <c r="E743" s="43"/>
      <c r="F743" s="44"/>
      <c r="G743" s="46"/>
    </row>
    <row r="744" spans="2:7" x14ac:dyDescent="0.35">
      <c r="B744" s="41" t="s">
        <v>4323</v>
      </c>
      <c r="C744" s="41" t="s">
        <v>4322</v>
      </c>
      <c r="D744" s="42" t="s">
        <v>4324</v>
      </c>
      <c r="E744" s="43"/>
      <c r="F744" s="44"/>
      <c r="G744" s="46"/>
    </row>
    <row r="745" spans="2:7" x14ac:dyDescent="0.35">
      <c r="B745" s="41" t="s">
        <v>4331</v>
      </c>
      <c r="C745" s="41" t="s">
        <v>4330</v>
      </c>
      <c r="D745" s="42" t="s">
        <v>4332</v>
      </c>
      <c r="E745" s="43"/>
      <c r="F745" s="44"/>
      <c r="G745" s="46"/>
    </row>
    <row r="746" spans="2:7" x14ac:dyDescent="0.35">
      <c r="B746" s="41" t="s">
        <v>4352</v>
      </c>
      <c r="C746" s="41" t="s">
        <v>4351</v>
      </c>
      <c r="D746" s="42" t="s">
        <v>4296</v>
      </c>
      <c r="E746" s="43"/>
      <c r="F746" s="44"/>
      <c r="G746" s="46"/>
    </row>
    <row r="747" spans="2:7" x14ac:dyDescent="0.35">
      <c r="B747" s="41" t="s">
        <v>4354</v>
      </c>
      <c r="C747" s="41" t="s">
        <v>4353</v>
      </c>
      <c r="D747" s="42" t="s">
        <v>4355</v>
      </c>
      <c r="E747" s="43"/>
      <c r="F747" s="44"/>
      <c r="G747" s="46"/>
    </row>
    <row r="748" spans="2:7" x14ac:dyDescent="0.35">
      <c r="B748" s="41" t="s">
        <v>4359</v>
      </c>
      <c r="C748" s="41" t="s">
        <v>4358</v>
      </c>
      <c r="D748" s="42" t="s">
        <v>4360</v>
      </c>
      <c r="E748" s="43"/>
      <c r="F748" s="44"/>
      <c r="G748" s="46"/>
    </row>
    <row r="749" spans="2:7" x14ac:dyDescent="0.35">
      <c r="B749" s="41" t="s">
        <v>4362</v>
      </c>
      <c r="C749" s="41" t="s">
        <v>4361</v>
      </c>
      <c r="D749" s="42" t="s">
        <v>4360</v>
      </c>
      <c r="E749" s="43"/>
      <c r="F749" s="44"/>
      <c r="G749" s="46"/>
    </row>
    <row r="750" spans="2:7" x14ac:dyDescent="0.35">
      <c r="B750" s="41" t="s">
        <v>4382</v>
      </c>
      <c r="C750" s="45"/>
      <c r="D750" s="42" t="s">
        <v>4332</v>
      </c>
      <c r="E750" s="43"/>
      <c r="F750" s="44"/>
      <c r="G750" s="46"/>
    </row>
    <row r="751" spans="2:7" x14ac:dyDescent="0.35">
      <c r="B751" s="41" t="s">
        <v>4389</v>
      </c>
      <c r="C751" s="41" t="s">
        <v>4388</v>
      </c>
      <c r="D751" s="42" t="s">
        <v>4387</v>
      </c>
      <c r="E751" s="43"/>
      <c r="F751" s="44"/>
      <c r="G751" s="46"/>
    </row>
    <row r="752" spans="2:7" x14ac:dyDescent="0.35">
      <c r="B752" s="41" t="s">
        <v>4393</v>
      </c>
      <c r="C752" s="41" t="s">
        <v>4392</v>
      </c>
      <c r="D752" s="42" t="s">
        <v>4387</v>
      </c>
      <c r="E752" s="43"/>
      <c r="F752" s="44"/>
      <c r="G752" s="46"/>
    </row>
    <row r="753" spans="2:7" x14ac:dyDescent="0.35">
      <c r="B753" s="41" t="s">
        <v>4395</v>
      </c>
      <c r="C753" s="41" t="s">
        <v>4394</v>
      </c>
      <c r="D753" s="42" t="s">
        <v>4387</v>
      </c>
      <c r="E753" s="43"/>
      <c r="F753" s="44"/>
      <c r="G753" s="46"/>
    </row>
    <row r="754" spans="2:7" x14ac:dyDescent="0.35">
      <c r="B754" s="41" t="s">
        <v>4404</v>
      </c>
      <c r="C754" s="41" t="s">
        <v>4403</v>
      </c>
      <c r="D754" s="42" t="s">
        <v>4405</v>
      </c>
      <c r="E754" s="43"/>
      <c r="F754" s="44"/>
      <c r="G754" s="46"/>
    </row>
    <row r="755" spans="2:7" x14ac:dyDescent="0.35">
      <c r="B755" s="41" t="s">
        <v>4407</v>
      </c>
      <c r="C755" s="41" t="s">
        <v>4406</v>
      </c>
      <c r="D755" s="42" t="s">
        <v>4255</v>
      </c>
      <c r="E755" s="43"/>
      <c r="F755" s="44"/>
      <c r="G755" s="46"/>
    </row>
    <row r="756" spans="2:7" x14ac:dyDescent="0.35">
      <c r="B756" s="41" t="s">
        <v>4411</v>
      </c>
      <c r="C756" s="41" t="s">
        <v>4410</v>
      </c>
      <c r="D756" s="42" t="s">
        <v>4355</v>
      </c>
      <c r="E756" s="43"/>
      <c r="F756" s="44"/>
      <c r="G756" s="46"/>
    </row>
    <row r="757" spans="2:7" x14ac:dyDescent="0.35">
      <c r="B757" s="41" t="s">
        <v>4415</v>
      </c>
      <c r="C757" s="41" t="s">
        <v>4414</v>
      </c>
      <c r="D757" s="42" t="s">
        <v>4416</v>
      </c>
      <c r="E757" s="43"/>
      <c r="F757" s="44"/>
      <c r="G757" s="46"/>
    </row>
    <row r="758" spans="2:7" x14ac:dyDescent="0.35">
      <c r="B758" s="41" t="s">
        <v>4418</v>
      </c>
      <c r="C758" s="41" t="s">
        <v>4417</v>
      </c>
      <c r="D758" s="42" t="s">
        <v>4416</v>
      </c>
      <c r="E758" s="43"/>
      <c r="F758" s="44"/>
      <c r="G758" s="46"/>
    </row>
    <row r="759" spans="2:7" x14ac:dyDescent="0.35">
      <c r="B759" s="41" t="s">
        <v>4420</v>
      </c>
      <c r="C759" s="41" t="s">
        <v>4419</v>
      </c>
      <c r="D759" s="42" t="s">
        <v>4416</v>
      </c>
      <c r="E759" s="43"/>
      <c r="F759" s="44"/>
      <c r="G759" s="46"/>
    </row>
    <row r="760" spans="2:7" x14ac:dyDescent="0.35">
      <c r="B760" s="41" t="s">
        <v>4422</v>
      </c>
      <c r="C760" s="41" t="s">
        <v>4421</v>
      </c>
      <c r="D760" s="42" t="s">
        <v>4416</v>
      </c>
      <c r="E760" s="43"/>
      <c r="F760" s="44"/>
      <c r="G760" s="46"/>
    </row>
    <row r="761" spans="2:7" x14ac:dyDescent="0.35">
      <c r="B761" s="41" t="s">
        <v>4424</v>
      </c>
      <c r="C761" s="41" t="s">
        <v>4423</v>
      </c>
      <c r="D761" s="42" t="s">
        <v>4416</v>
      </c>
      <c r="E761" s="43"/>
      <c r="F761" s="44"/>
      <c r="G761" s="46"/>
    </row>
    <row r="762" spans="2:7" x14ac:dyDescent="0.35">
      <c r="B762" s="41" t="s">
        <v>4426</v>
      </c>
      <c r="C762" s="41" t="s">
        <v>4425</v>
      </c>
      <c r="D762" s="42" t="s">
        <v>4416</v>
      </c>
      <c r="E762" s="43"/>
      <c r="F762" s="44"/>
      <c r="G762" s="46"/>
    </row>
    <row r="763" spans="2:7" x14ac:dyDescent="0.35">
      <c r="B763" s="41" t="s">
        <v>4430</v>
      </c>
      <c r="C763" s="41" t="s">
        <v>4429</v>
      </c>
      <c r="D763" s="42" t="s">
        <v>4398</v>
      </c>
      <c r="E763" s="43"/>
      <c r="F763" s="44"/>
      <c r="G763" s="46"/>
    </row>
    <row r="764" spans="2:7" x14ac:dyDescent="0.35">
      <c r="B764" s="41" t="s">
        <v>4432</v>
      </c>
      <c r="C764" s="41" t="s">
        <v>4431</v>
      </c>
      <c r="D764" s="42" t="s">
        <v>4398</v>
      </c>
      <c r="E764" s="43"/>
      <c r="F764" s="44"/>
      <c r="G764" s="46"/>
    </row>
    <row r="765" spans="2:7" x14ac:dyDescent="0.35">
      <c r="B765" s="41" t="s">
        <v>4434</v>
      </c>
      <c r="C765" s="41" t="s">
        <v>4433</v>
      </c>
      <c r="D765" s="42" t="s">
        <v>4398</v>
      </c>
      <c r="E765" s="43"/>
      <c r="F765" s="44"/>
      <c r="G765" s="46"/>
    </row>
    <row r="766" spans="2:7" x14ac:dyDescent="0.35">
      <c r="B766" s="41" t="s">
        <v>4438</v>
      </c>
      <c r="C766" s="41" t="s">
        <v>4437</v>
      </c>
      <c r="D766" s="42" t="s">
        <v>4439</v>
      </c>
      <c r="E766" s="43"/>
      <c r="F766" s="44"/>
      <c r="G766" s="46"/>
    </row>
    <row r="767" spans="2:7" x14ac:dyDescent="0.35">
      <c r="B767" s="41" t="s">
        <v>4443</v>
      </c>
      <c r="C767" s="41" t="s">
        <v>4442</v>
      </c>
      <c r="D767" s="42" t="s">
        <v>4387</v>
      </c>
      <c r="E767" s="43"/>
      <c r="F767" s="44"/>
      <c r="G767" s="46"/>
    </row>
    <row r="768" spans="2:7" x14ac:dyDescent="0.35">
      <c r="B768" s="41" t="s">
        <v>4452</v>
      </c>
      <c r="C768" s="41" t="s">
        <v>4451</v>
      </c>
      <c r="D768" s="42" t="s">
        <v>4562</v>
      </c>
      <c r="E768" s="43"/>
      <c r="F768" s="44"/>
      <c r="G768" s="46"/>
    </row>
    <row r="769" spans="2:7" x14ac:dyDescent="0.4">
      <c r="B769" s="46" t="s">
        <v>4455</v>
      </c>
      <c r="C769" s="46"/>
      <c r="D769" s="42" t="s">
        <v>4456</v>
      </c>
      <c r="E769" s="43"/>
      <c r="F769" s="44"/>
      <c r="G769" s="46"/>
    </row>
    <row r="770" spans="2:7" x14ac:dyDescent="0.35">
      <c r="B770" s="41" t="s">
        <v>4469</v>
      </c>
      <c r="C770" s="41" t="s">
        <v>4468</v>
      </c>
      <c r="D770" s="42" t="s">
        <v>4255</v>
      </c>
      <c r="E770" s="43"/>
      <c r="F770" s="44"/>
      <c r="G770" s="46"/>
    </row>
    <row r="771" spans="2:7" x14ac:dyDescent="0.35">
      <c r="B771" s="41" t="s">
        <v>4471</v>
      </c>
      <c r="C771" s="41" t="s">
        <v>4470</v>
      </c>
      <c r="D771" s="42" t="s">
        <v>4255</v>
      </c>
      <c r="E771" s="43"/>
      <c r="F771" s="44"/>
      <c r="G771" s="46"/>
    </row>
    <row r="772" spans="2:7" x14ac:dyDescent="0.35">
      <c r="B772" s="41" t="s">
        <v>4473</v>
      </c>
      <c r="C772" s="41" t="s">
        <v>4472</v>
      </c>
      <c r="D772" s="42" t="s">
        <v>4474</v>
      </c>
      <c r="E772" s="43"/>
      <c r="F772" s="44"/>
      <c r="G772" s="46"/>
    </row>
    <row r="773" spans="2:7" x14ac:dyDescent="0.35">
      <c r="B773" s="41" t="s">
        <v>4502</v>
      </c>
      <c r="C773" s="41" t="s">
        <v>4501</v>
      </c>
      <c r="D773" s="42" t="s">
        <v>4500</v>
      </c>
      <c r="E773" s="43"/>
      <c r="F773" s="44"/>
      <c r="G773" s="46"/>
    </row>
    <row r="774" spans="2:7" x14ac:dyDescent="0.35">
      <c r="B774" s="41" t="s">
        <v>4506</v>
      </c>
      <c r="C774" s="41" t="s">
        <v>4505</v>
      </c>
      <c r="D774" s="42" t="s">
        <v>4507</v>
      </c>
      <c r="E774" s="43"/>
      <c r="F774" s="44"/>
      <c r="G774" s="46"/>
    </row>
    <row r="775" spans="2:7" x14ac:dyDescent="0.35">
      <c r="B775" s="41" t="s">
        <v>4511</v>
      </c>
      <c r="C775" s="41" t="s">
        <v>4510</v>
      </c>
      <c r="D775" s="42" t="s">
        <v>4512</v>
      </c>
      <c r="E775" s="43"/>
      <c r="F775" s="44"/>
      <c r="G775" s="46"/>
    </row>
    <row r="776" spans="2:7" x14ac:dyDescent="0.35">
      <c r="B776" s="41" t="s">
        <v>4521</v>
      </c>
      <c r="C776" s="41" t="s">
        <v>4520</v>
      </c>
      <c r="D776" s="42" t="s">
        <v>4522</v>
      </c>
      <c r="E776" s="43"/>
      <c r="F776" s="44"/>
      <c r="G776" s="46"/>
    </row>
    <row r="777" spans="2:7" x14ac:dyDescent="0.35">
      <c r="B777" s="41" t="s">
        <v>4524</v>
      </c>
      <c r="C777" s="41" t="s">
        <v>4523</v>
      </c>
      <c r="D777" s="42" t="s">
        <v>4461</v>
      </c>
      <c r="E777" s="43"/>
      <c r="F777" s="44"/>
      <c r="G777" s="46"/>
    </row>
    <row r="778" spans="2:7" x14ac:dyDescent="0.35">
      <c r="B778" s="41" t="s">
        <v>4526</v>
      </c>
      <c r="C778" s="41" t="s">
        <v>4525</v>
      </c>
      <c r="D778" s="42" t="s">
        <v>4527</v>
      </c>
      <c r="E778" s="43"/>
      <c r="F778" s="44"/>
      <c r="G778" s="46"/>
    </row>
    <row r="779" spans="2:7" x14ac:dyDescent="0.35">
      <c r="B779" s="41" t="s">
        <v>4531</v>
      </c>
      <c r="C779" s="41" t="s">
        <v>4530</v>
      </c>
      <c r="D779" s="42" t="s">
        <v>4360</v>
      </c>
      <c r="E779" s="43"/>
      <c r="F779" s="44"/>
      <c r="G779" s="46"/>
    </row>
    <row r="780" spans="2:7" x14ac:dyDescent="0.35">
      <c r="B780" s="41" t="s">
        <v>4533</v>
      </c>
      <c r="C780" s="41" t="s">
        <v>4532</v>
      </c>
      <c r="D780" s="42" t="s">
        <v>4497</v>
      </c>
      <c r="E780" s="43"/>
      <c r="F780" s="44"/>
      <c r="G780" s="46"/>
    </row>
    <row r="781" spans="2:7" x14ac:dyDescent="0.35">
      <c r="B781" s="41" t="s">
        <v>4535</v>
      </c>
      <c r="C781" s="41" t="s">
        <v>4534</v>
      </c>
      <c r="D781" s="42" t="s">
        <v>4497</v>
      </c>
      <c r="E781" s="43"/>
      <c r="F781" s="44"/>
      <c r="G781" s="46"/>
    </row>
    <row r="782" spans="2:7" x14ac:dyDescent="0.35">
      <c r="B782" s="41" t="s">
        <v>4537</v>
      </c>
      <c r="C782" s="41" t="s">
        <v>4536</v>
      </c>
      <c r="D782" s="42" t="s">
        <v>4497</v>
      </c>
      <c r="E782" s="43"/>
      <c r="F782" s="44"/>
      <c r="G782" s="46"/>
    </row>
    <row r="783" spans="2:7" x14ac:dyDescent="0.4">
      <c r="B783" s="46" t="s">
        <v>4611</v>
      </c>
      <c r="C783" s="46"/>
      <c r="D783" s="42" t="s">
        <v>4608</v>
      </c>
      <c r="E783" s="43"/>
      <c r="F783" s="44"/>
      <c r="G783" s="46"/>
    </row>
    <row r="784" spans="2:7" x14ac:dyDescent="0.35">
      <c r="B784" s="41" t="s">
        <v>380</v>
      </c>
      <c r="C784" s="41" t="s">
        <v>379</v>
      </c>
      <c r="D784" s="42" t="s">
        <v>381</v>
      </c>
      <c r="E784" s="43" t="s">
        <v>4776</v>
      </c>
      <c r="F784" s="44"/>
      <c r="G784" s="46"/>
    </row>
    <row r="785" spans="2:7" x14ac:dyDescent="0.35">
      <c r="B785" s="41" t="s">
        <v>383</v>
      </c>
      <c r="C785" s="41" t="s">
        <v>382</v>
      </c>
      <c r="D785" s="42" t="s">
        <v>381</v>
      </c>
      <c r="E785" s="43" t="s">
        <v>4776</v>
      </c>
      <c r="F785" s="44"/>
      <c r="G785" s="46"/>
    </row>
    <row r="786" spans="2:7" x14ac:dyDescent="0.35">
      <c r="B786" s="41" t="s">
        <v>639</v>
      </c>
      <c r="C786" s="41" t="s">
        <v>638</v>
      </c>
      <c r="D786" s="42" t="s">
        <v>640</v>
      </c>
      <c r="E786" s="43" t="s">
        <v>4776</v>
      </c>
      <c r="F786" s="44"/>
      <c r="G786" s="46"/>
    </row>
    <row r="787" spans="2:7" x14ac:dyDescent="0.35">
      <c r="B787" s="41" t="s">
        <v>645</v>
      </c>
      <c r="C787" s="41" t="s">
        <v>644</v>
      </c>
      <c r="D787" s="42" t="s">
        <v>646</v>
      </c>
      <c r="E787" s="43" t="s">
        <v>4776</v>
      </c>
      <c r="F787" s="44"/>
      <c r="G787" s="46"/>
    </row>
    <row r="788" spans="2:7" x14ac:dyDescent="0.35">
      <c r="B788" s="41" t="s">
        <v>648</v>
      </c>
      <c r="C788" s="41" t="s">
        <v>647</v>
      </c>
      <c r="D788" s="42" t="s">
        <v>378</v>
      </c>
      <c r="E788" s="43" t="s">
        <v>4776</v>
      </c>
      <c r="F788" s="44"/>
      <c r="G788" s="46"/>
    </row>
    <row r="789" spans="2:7" x14ac:dyDescent="0.35">
      <c r="B789" s="41" t="s">
        <v>1331</v>
      </c>
      <c r="C789" s="41" t="s">
        <v>1330</v>
      </c>
      <c r="D789" s="42" t="s">
        <v>1332</v>
      </c>
      <c r="E789" s="43" t="s">
        <v>4776</v>
      </c>
      <c r="F789" s="44"/>
      <c r="G789" s="46"/>
    </row>
    <row r="790" spans="2:7" x14ac:dyDescent="0.35">
      <c r="B790" s="41" t="s">
        <v>1337</v>
      </c>
      <c r="C790" s="41" t="s">
        <v>1336</v>
      </c>
      <c r="D790" s="42" t="s">
        <v>1338</v>
      </c>
      <c r="E790" s="43" t="s">
        <v>4776</v>
      </c>
      <c r="F790" s="44"/>
      <c r="G790" s="46"/>
    </row>
    <row r="791" spans="2:7" x14ac:dyDescent="0.35">
      <c r="B791" s="41" t="s">
        <v>1340</v>
      </c>
      <c r="C791" s="41" t="s">
        <v>1339</v>
      </c>
      <c r="D791" s="42" t="s">
        <v>381</v>
      </c>
      <c r="E791" s="43" t="s">
        <v>4776</v>
      </c>
      <c r="F791" s="44"/>
      <c r="G791" s="46"/>
    </row>
    <row r="792" spans="2:7" x14ac:dyDescent="0.35">
      <c r="B792" s="41" t="s">
        <v>1541</v>
      </c>
      <c r="C792" s="41" t="s">
        <v>1540</v>
      </c>
      <c r="D792" s="42" t="s">
        <v>1542</v>
      </c>
      <c r="E792" s="43" t="s">
        <v>4776</v>
      </c>
      <c r="F792" s="44"/>
      <c r="G792" s="46"/>
    </row>
    <row r="793" spans="2:7" x14ac:dyDescent="0.35">
      <c r="B793" s="41" t="s">
        <v>1544</v>
      </c>
      <c r="C793" s="41" t="s">
        <v>1543</v>
      </c>
      <c r="D793" s="42" t="s">
        <v>1542</v>
      </c>
      <c r="E793" s="43" t="s">
        <v>4776</v>
      </c>
      <c r="F793" s="44"/>
      <c r="G793" s="46"/>
    </row>
    <row r="794" spans="2:7" x14ac:dyDescent="0.35">
      <c r="B794" s="41" t="s">
        <v>1835</v>
      </c>
      <c r="C794" s="41" t="s">
        <v>1834</v>
      </c>
      <c r="D794" s="42" t="s">
        <v>381</v>
      </c>
      <c r="E794" s="43" t="s">
        <v>4776</v>
      </c>
      <c r="F794" s="44"/>
      <c r="G794" s="46"/>
    </row>
    <row r="795" spans="2:7" x14ac:dyDescent="0.35">
      <c r="B795" s="41" t="s">
        <v>2111</v>
      </c>
      <c r="C795" s="41" t="s">
        <v>2110</v>
      </c>
      <c r="D795" s="42" t="s">
        <v>4627</v>
      </c>
      <c r="E795" s="43" t="s">
        <v>4776</v>
      </c>
      <c r="F795" s="44"/>
      <c r="G795" s="46"/>
    </row>
    <row r="796" spans="2:7" x14ac:dyDescent="0.35">
      <c r="B796" s="41" t="s">
        <v>2114</v>
      </c>
      <c r="C796" s="41" t="s">
        <v>2113</v>
      </c>
      <c r="D796" s="42" t="s">
        <v>4628</v>
      </c>
      <c r="E796" s="43" t="s">
        <v>4776</v>
      </c>
      <c r="F796" s="44"/>
      <c r="G796" s="46"/>
    </row>
    <row r="797" spans="2:7" x14ac:dyDescent="0.35">
      <c r="B797" s="41" t="s">
        <v>2540</v>
      </c>
      <c r="C797" s="45" t="s">
        <v>2539</v>
      </c>
      <c r="D797" s="42" t="s">
        <v>2541</v>
      </c>
      <c r="E797" s="43" t="s">
        <v>4776</v>
      </c>
      <c r="F797" s="44"/>
      <c r="G797" s="46"/>
    </row>
    <row r="798" spans="2:7" x14ac:dyDescent="0.35">
      <c r="B798" s="41" t="s">
        <v>2918</v>
      </c>
      <c r="C798" s="41" t="s">
        <v>2917</v>
      </c>
      <c r="D798" s="42" t="s">
        <v>2919</v>
      </c>
      <c r="E798" s="43" t="s">
        <v>4776</v>
      </c>
      <c r="F798" s="44"/>
      <c r="G798" s="46"/>
    </row>
    <row r="799" spans="2:7" x14ac:dyDescent="0.35">
      <c r="B799" s="41" t="s">
        <v>3305</v>
      </c>
      <c r="C799" s="41" t="s">
        <v>3304</v>
      </c>
      <c r="D799" s="42" t="s">
        <v>3214</v>
      </c>
      <c r="E799" s="43" t="s">
        <v>4776</v>
      </c>
      <c r="F799" s="44"/>
      <c r="G799" s="46"/>
    </row>
    <row r="800" spans="2:7" x14ac:dyDescent="0.35">
      <c r="B800" s="41" t="s">
        <v>3371</v>
      </c>
      <c r="C800" s="41" t="s">
        <v>3370</v>
      </c>
      <c r="D800" s="42" t="s">
        <v>3211</v>
      </c>
      <c r="E800" s="43" t="s">
        <v>4776</v>
      </c>
      <c r="F800" s="44"/>
      <c r="G800" s="46"/>
    </row>
    <row r="801" spans="2:7" x14ac:dyDescent="0.35">
      <c r="B801" s="41" t="s">
        <v>447</v>
      </c>
      <c r="C801" s="41" t="s">
        <v>446</v>
      </c>
      <c r="D801" s="42" t="s">
        <v>448</v>
      </c>
      <c r="E801" s="43" t="s">
        <v>4778</v>
      </c>
      <c r="F801" s="44"/>
      <c r="G801" s="46"/>
    </row>
    <row r="802" spans="2:7" x14ac:dyDescent="0.35">
      <c r="B802" s="41" t="s">
        <v>454</v>
      </c>
      <c r="C802" s="41" t="s">
        <v>453</v>
      </c>
      <c r="D802" s="42" t="s">
        <v>455</v>
      </c>
      <c r="E802" s="43" t="s">
        <v>4778</v>
      </c>
      <c r="F802" s="44"/>
      <c r="G802" s="46"/>
    </row>
    <row r="803" spans="2:7" x14ac:dyDescent="0.35">
      <c r="B803" s="41" t="s">
        <v>457</v>
      </c>
      <c r="C803" s="41" t="s">
        <v>456</v>
      </c>
      <c r="D803" s="42" t="s">
        <v>455</v>
      </c>
      <c r="E803" s="43" t="s">
        <v>4778</v>
      </c>
      <c r="F803" s="44"/>
      <c r="G803" s="46"/>
    </row>
    <row r="804" spans="2:7" x14ac:dyDescent="0.35">
      <c r="B804" s="41" t="s">
        <v>459</v>
      </c>
      <c r="C804" s="41" t="s">
        <v>458</v>
      </c>
      <c r="D804" s="42" t="s">
        <v>448</v>
      </c>
      <c r="E804" s="43" t="s">
        <v>4778</v>
      </c>
      <c r="F804" s="44"/>
      <c r="G804" s="46"/>
    </row>
    <row r="805" spans="2:7" x14ac:dyDescent="0.35">
      <c r="B805" s="41" t="s">
        <v>973</v>
      </c>
      <c r="C805" s="41" t="s">
        <v>972</v>
      </c>
      <c r="D805" s="42" t="s">
        <v>888</v>
      </c>
      <c r="E805" s="43" t="s">
        <v>4778</v>
      </c>
      <c r="F805" s="44"/>
      <c r="G805" s="46"/>
    </row>
    <row r="806" spans="2:7" x14ac:dyDescent="0.35">
      <c r="B806" s="41" t="s">
        <v>1524</v>
      </c>
      <c r="C806" s="41" t="s">
        <v>1523</v>
      </c>
      <c r="D806" s="42" t="s">
        <v>49</v>
      </c>
      <c r="E806" s="43" t="s">
        <v>4778</v>
      </c>
      <c r="F806" s="44"/>
      <c r="G806" s="46"/>
    </row>
    <row r="807" spans="2:7" x14ac:dyDescent="0.35">
      <c r="B807" s="41" t="s">
        <v>857</v>
      </c>
      <c r="C807" s="41" t="s">
        <v>856</v>
      </c>
      <c r="D807" s="42" t="s">
        <v>372</v>
      </c>
      <c r="E807" s="43" t="s">
        <v>4782</v>
      </c>
      <c r="F807" s="44"/>
      <c r="G807" s="46"/>
    </row>
    <row r="808" spans="2:7" x14ac:dyDescent="0.35">
      <c r="B808" s="41" t="s">
        <v>23</v>
      </c>
      <c r="C808" s="41" t="s">
        <v>22</v>
      </c>
      <c r="D808" s="42" t="s">
        <v>24</v>
      </c>
      <c r="E808" s="43" t="s">
        <v>4769</v>
      </c>
      <c r="F808" s="44"/>
      <c r="G808" s="46"/>
    </row>
    <row r="809" spans="2:7" x14ac:dyDescent="0.35">
      <c r="B809" s="41" t="s">
        <v>26</v>
      </c>
      <c r="C809" s="41" t="s">
        <v>25</v>
      </c>
      <c r="D809" s="42" t="s">
        <v>27</v>
      </c>
      <c r="E809" s="43" t="s">
        <v>4769</v>
      </c>
      <c r="F809" s="44"/>
      <c r="G809" s="46"/>
    </row>
    <row r="810" spans="2:7" x14ac:dyDescent="0.35">
      <c r="B810" s="41" t="s">
        <v>31</v>
      </c>
      <c r="C810" s="41" t="s">
        <v>30</v>
      </c>
      <c r="D810" s="42" t="s">
        <v>24</v>
      </c>
      <c r="E810" s="43" t="s">
        <v>4769</v>
      </c>
      <c r="F810" s="44"/>
      <c r="G810" s="46"/>
    </row>
    <row r="811" spans="2:7" x14ac:dyDescent="0.35">
      <c r="B811" s="41" t="s">
        <v>33</v>
      </c>
      <c r="C811" s="41" t="s">
        <v>32</v>
      </c>
      <c r="D811" s="42" t="s">
        <v>27</v>
      </c>
      <c r="E811" s="43" t="s">
        <v>4769</v>
      </c>
      <c r="F811" s="44"/>
      <c r="G811" s="46"/>
    </row>
    <row r="812" spans="2:7" x14ac:dyDescent="0.35">
      <c r="B812" s="41" t="s">
        <v>38</v>
      </c>
      <c r="C812" s="41" t="s">
        <v>37</v>
      </c>
      <c r="D812" s="42" t="s">
        <v>24</v>
      </c>
      <c r="E812" s="43" t="s">
        <v>4769</v>
      </c>
      <c r="F812" s="44"/>
      <c r="G812" s="46"/>
    </row>
    <row r="813" spans="2:7" x14ac:dyDescent="0.35">
      <c r="B813" s="41" t="s">
        <v>44</v>
      </c>
      <c r="C813" s="41" t="s">
        <v>43</v>
      </c>
      <c r="D813" s="42" t="s">
        <v>27</v>
      </c>
      <c r="E813" s="43" t="s">
        <v>4769</v>
      </c>
      <c r="F813" s="44"/>
      <c r="G813" s="46"/>
    </row>
    <row r="814" spans="2:7" x14ac:dyDescent="0.35">
      <c r="B814" s="41" t="s">
        <v>46</v>
      </c>
      <c r="C814" s="41" t="s">
        <v>45</v>
      </c>
      <c r="D814" s="42" t="s">
        <v>27</v>
      </c>
      <c r="E814" s="43" t="s">
        <v>4769</v>
      </c>
      <c r="F814" s="44"/>
      <c r="G814" s="46"/>
    </row>
    <row r="815" spans="2:7" x14ac:dyDescent="0.35">
      <c r="B815" s="41" t="s">
        <v>48</v>
      </c>
      <c r="C815" s="41" t="s">
        <v>47</v>
      </c>
      <c r="D815" s="42" t="s">
        <v>49</v>
      </c>
      <c r="E815" s="43" t="s">
        <v>4769</v>
      </c>
      <c r="F815" s="44"/>
      <c r="G815" s="46"/>
    </row>
    <row r="816" spans="2:7" x14ac:dyDescent="0.35">
      <c r="B816" s="41" t="s">
        <v>52</v>
      </c>
      <c r="C816" s="41">
        <v>0.5</v>
      </c>
      <c r="D816" s="42" t="s">
        <v>53</v>
      </c>
      <c r="E816" s="43" t="s">
        <v>4769</v>
      </c>
      <c r="F816" s="44"/>
      <c r="G816" s="46"/>
    </row>
    <row r="817" spans="2:7" x14ac:dyDescent="0.35">
      <c r="B817" s="41" t="s">
        <v>55</v>
      </c>
      <c r="C817" s="41" t="s">
        <v>54</v>
      </c>
      <c r="D817" s="42" t="s">
        <v>53</v>
      </c>
      <c r="E817" s="43" t="s">
        <v>4769</v>
      </c>
      <c r="F817" s="44"/>
      <c r="G817" s="46"/>
    </row>
    <row r="818" spans="2:7" x14ac:dyDescent="0.35">
      <c r="B818" s="41" t="s">
        <v>60</v>
      </c>
      <c r="C818" s="41" t="s">
        <v>59</v>
      </c>
      <c r="D818" s="42" t="s">
        <v>58</v>
      </c>
      <c r="E818" s="43" t="s">
        <v>4769</v>
      </c>
      <c r="F818" s="44"/>
      <c r="G818" s="46"/>
    </row>
    <row r="819" spans="2:7" x14ac:dyDescent="0.35">
      <c r="B819" s="41" t="s">
        <v>78</v>
      </c>
      <c r="C819" s="45" t="s">
        <v>77</v>
      </c>
      <c r="D819" s="42" t="s">
        <v>79</v>
      </c>
      <c r="E819" s="43" t="s">
        <v>4769</v>
      </c>
      <c r="F819" s="44"/>
      <c r="G819" s="46"/>
    </row>
    <row r="820" spans="2:7" x14ac:dyDescent="0.35">
      <c r="B820" s="41" t="s">
        <v>388</v>
      </c>
      <c r="C820" s="41" t="s">
        <v>387</v>
      </c>
      <c r="D820" s="42" t="s">
        <v>389</v>
      </c>
      <c r="E820" s="43" t="s">
        <v>4769</v>
      </c>
      <c r="F820" s="44"/>
      <c r="G820" s="46"/>
    </row>
    <row r="821" spans="2:7" x14ac:dyDescent="0.35">
      <c r="B821" s="41" t="s">
        <v>450</v>
      </c>
      <c r="C821" s="41" t="s">
        <v>449</v>
      </c>
      <c r="D821" s="42" t="s">
        <v>337</v>
      </c>
      <c r="E821" s="43" t="s">
        <v>4769</v>
      </c>
      <c r="F821" s="44"/>
      <c r="G821" s="46"/>
    </row>
    <row r="822" spans="2:7" x14ac:dyDescent="0.35">
      <c r="B822" s="41" t="s">
        <v>452</v>
      </c>
      <c r="C822" s="41" t="s">
        <v>451</v>
      </c>
      <c r="D822" s="42" t="s">
        <v>337</v>
      </c>
      <c r="E822" s="43" t="s">
        <v>4769</v>
      </c>
      <c r="F822" s="44"/>
      <c r="G822" s="46"/>
    </row>
    <row r="823" spans="2:7" x14ac:dyDescent="0.35">
      <c r="B823" s="41" t="s">
        <v>463</v>
      </c>
      <c r="C823" s="41" t="s">
        <v>462</v>
      </c>
      <c r="D823" s="42" t="s">
        <v>337</v>
      </c>
      <c r="E823" s="43" t="s">
        <v>4769</v>
      </c>
      <c r="F823" s="44"/>
      <c r="G823" s="46"/>
    </row>
    <row r="824" spans="2:7" x14ac:dyDescent="0.35">
      <c r="B824" s="41" t="s">
        <v>465</v>
      </c>
      <c r="C824" s="41" t="s">
        <v>464</v>
      </c>
      <c r="D824" s="42" t="s">
        <v>386</v>
      </c>
      <c r="E824" s="43" t="s">
        <v>4769</v>
      </c>
      <c r="F824" s="44"/>
      <c r="G824" s="46"/>
    </row>
    <row r="825" spans="2:7" x14ac:dyDescent="0.35">
      <c r="B825" s="46" t="s">
        <v>474</v>
      </c>
      <c r="C825" s="41" t="s">
        <v>473</v>
      </c>
      <c r="D825" s="42" t="s">
        <v>475</v>
      </c>
      <c r="E825" s="43" t="s">
        <v>4769</v>
      </c>
      <c r="F825" s="44"/>
      <c r="G825" s="46"/>
    </row>
    <row r="826" spans="2:7" x14ac:dyDescent="0.35">
      <c r="B826" s="41" t="s">
        <v>686</v>
      </c>
      <c r="C826" s="41" t="s">
        <v>685</v>
      </c>
      <c r="D826" s="42" t="s">
        <v>255</v>
      </c>
      <c r="E826" s="43" t="s">
        <v>4769</v>
      </c>
      <c r="F826" s="44"/>
      <c r="G826" s="46"/>
    </row>
    <row r="827" spans="2:7" x14ac:dyDescent="0.35">
      <c r="B827" s="41" t="s">
        <v>691</v>
      </c>
      <c r="C827" s="41" t="s">
        <v>690</v>
      </c>
      <c r="D827" s="42" t="s">
        <v>255</v>
      </c>
      <c r="E827" s="43" t="s">
        <v>4769</v>
      </c>
      <c r="F827" s="44"/>
      <c r="G827" s="46"/>
    </row>
    <row r="828" spans="2:7" x14ac:dyDescent="0.35">
      <c r="B828" s="41" t="s">
        <v>693</v>
      </c>
      <c r="C828" s="41" t="s">
        <v>692</v>
      </c>
      <c r="D828" s="42" t="s">
        <v>694</v>
      </c>
      <c r="E828" s="43" t="s">
        <v>4769</v>
      </c>
      <c r="F828" s="44"/>
      <c r="G828" s="46"/>
    </row>
    <row r="829" spans="2:7" x14ac:dyDescent="0.35">
      <c r="B829" s="41" t="s">
        <v>696</v>
      </c>
      <c r="C829" s="41" t="s">
        <v>695</v>
      </c>
      <c r="D829" s="42" t="s">
        <v>697</v>
      </c>
      <c r="E829" s="43" t="s">
        <v>4769</v>
      </c>
      <c r="F829" s="44"/>
      <c r="G829" s="46"/>
    </row>
    <row r="830" spans="2:7" x14ac:dyDescent="0.35">
      <c r="B830" s="41" t="s">
        <v>699</v>
      </c>
      <c r="C830" s="41" t="s">
        <v>698</v>
      </c>
      <c r="D830" s="42" t="s">
        <v>700</v>
      </c>
      <c r="E830" s="43" t="s">
        <v>4769</v>
      </c>
      <c r="F830" s="44"/>
      <c r="G830" s="46"/>
    </row>
    <row r="831" spans="2:7" x14ac:dyDescent="0.35">
      <c r="B831" s="41" t="s">
        <v>720</v>
      </c>
      <c r="C831" s="41" t="s">
        <v>719</v>
      </c>
      <c r="D831" s="42" t="s">
        <v>721</v>
      </c>
      <c r="E831" s="43" t="s">
        <v>4769</v>
      </c>
      <c r="F831" s="44"/>
      <c r="G831" s="46"/>
    </row>
    <row r="832" spans="2:7" x14ac:dyDescent="0.35">
      <c r="B832" s="41" t="s">
        <v>981</v>
      </c>
      <c r="C832" s="41" t="s">
        <v>980</v>
      </c>
      <c r="D832" s="42" t="s">
        <v>629</v>
      </c>
      <c r="E832" s="43" t="s">
        <v>4769</v>
      </c>
      <c r="F832" s="44"/>
      <c r="G832" s="46"/>
    </row>
    <row r="833" spans="2:7" x14ac:dyDescent="0.35">
      <c r="B833" s="41" t="s">
        <v>983</v>
      </c>
      <c r="C833" s="41" t="s">
        <v>982</v>
      </c>
      <c r="D833" s="42" t="s">
        <v>665</v>
      </c>
      <c r="E833" s="43" t="s">
        <v>4769</v>
      </c>
      <c r="F833" s="44"/>
      <c r="G833" s="46"/>
    </row>
    <row r="834" spans="2:7" x14ac:dyDescent="0.35">
      <c r="B834" s="41" t="s">
        <v>995</v>
      </c>
      <c r="C834" s="41" t="s">
        <v>994</v>
      </c>
      <c r="D834" s="42" t="s">
        <v>629</v>
      </c>
      <c r="E834" s="43" t="s">
        <v>4769</v>
      </c>
      <c r="F834" s="44"/>
      <c r="G834" s="46"/>
    </row>
    <row r="835" spans="2:7" x14ac:dyDescent="0.35">
      <c r="B835" s="41" t="s">
        <v>997</v>
      </c>
      <c r="C835" s="41" t="s">
        <v>996</v>
      </c>
      <c r="D835" s="42" t="s">
        <v>629</v>
      </c>
      <c r="E835" s="43" t="s">
        <v>4769</v>
      </c>
      <c r="F835" s="44"/>
      <c r="G835" s="46"/>
    </row>
    <row r="836" spans="2:7" x14ac:dyDescent="0.35">
      <c r="B836" s="41" t="s">
        <v>1300</v>
      </c>
      <c r="C836" s="41" t="s">
        <v>1299</v>
      </c>
      <c r="D836" s="42" t="s">
        <v>1298</v>
      </c>
      <c r="E836" s="43" t="s">
        <v>4769</v>
      </c>
      <c r="F836" s="44"/>
      <c r="G836" s="46"/>
    </row>
    <row r="837" spans="2:7" x14ac:dyDescent="0.35">
      <c r="B837" s="41" t="s">
        <v>1385</v>
      </c>
      <c r="C837" s="41" t="s">
        <v>1384</v>
      </c>
      <c r="D837" s="42" t="s">
        <v>1357</v>
      </c>
      <c r="E837" s="43" t="s">
        <v>4769</v>
      </c>
      <c r="F837" s="44"/>
      <c r="G837" s="46"/>
    </row>
    <row r="838" spans="2:7" x14ac:dyDescent="0.35">
      <c r="B838" s="45" t="s">
        <v>1397</v>
      </c>
      <c r="C838" s="45" t="s">
        <v>1396</v>
      </c>
      <c r="D838" s="42" t="s">
        <v>1398</v>
      </c>
      <c r="E838" s="43" t="s">
        <v>4769</v>
      </c>
      <c r="F838" s="44"/>
      <c r="G838" s="46"/>
    </row>
    <row r="839" spans="2:7" x14ac:dyDescent="0.35">
      <c r="B839" s="41" t="s">
        <v>1439</v>
      </c>
      <c r="C839" s="41" t="s">
        <v>1438</v>
      </c>
      <c r="D839" s="42" t="s">
        <v>1433</v>
      </c>
      <c r="E839" s="43" t="s">
        <v>4769</v>
      </c>
      <c r="F839" s="44"/>
      <c r="G839" s="46"/>
    </row>
    <row r="840" spans="2:7" x14ac:dyDescent="0.35">
      <c r="B840" s="41" t="s">
        <v>1443</v>
      </c>
      <c r="C840" s="41" t="s">
        <v>1442</v>
      </c>
      <c r="D840" s="42" t="s">
        <v>1444</v>
      </c>
      <c r="E840" s="43" t="s">
        <v>4769</v>
      </c>
      <c r="F840" s="44"/>
      <c r="G840" s="46"/>
    </row>
    <row r="841" spans="2:7" x14ac:dyDescent="0.35">
      <c r="B841" s="41" t="s">
        <v>1452</v>
      </c>
      <c r="C841" s="41" t="s">
        <v>1451</v>
      </c>
      <c r="D841" s="42" t="s">
        <v>1444</v>
      </c>
      <c r="E841" s="43" t="s">
        <v>4769</v>
      </c>
      <c r="F841" s="44"/>
      <c r="G841" s="46"/>
    </row>
    <row r="842" spans="2:7" x14ac:dyDescent="0.35">
      <c r="B842" s="41" t="s">
        <v>1471</v>
      </c>
      <c r="C842" s="41" t="s">
        <v>1470</v>
      </c>
      <c r="D842" s="42" t="s">
        <v>678</v>
      </c>
      <c r="E842" s="43" t="s">
        <v>4769</v>
      </c>
      <c r="F842" s="44"/>
      <c r="G842" s="46"/>
    </row>
    <row r="843" spans="2:7" x14ac:dyDescent="0.35">
      <c r="B843" s="41" t="s">
        <v>1530</v>
      </c>
      <c r="C843" s="41" t="s">
        <v>1529</v>
      </c>
      <c r="D843" s="42" t="s">
        <v>475</v>
      </c>
      <c r="E843" s="43" t="s">
        <v>4769</v>
      </c>
      <c r="F843" s="44"/>
      <c r="G843" s="46"/>
    </row>
    <row r="844" spans="2:7" x14ac:dyDescent="0.35">
      <c r="B844" s="41" t="s">
        <v>1828</v>
      </c>
      <c r="C844" s="41" t="s">
        <v>1827</v>
      </c>
      <c r="D844" s="42" t="s">
        <v>1829</v>
      </c>
      <c r="E844" s="43" t="s">
        <v>4769</v>
      </c>
      <c r="F844" s="44"/>
      <c r="G844" s="46"/>
    </row>
    <row r="845" spans="2:7" x14ac:dyDescent="0.35">
      <c r="B845" s="41" t="s">
        <v>1887</v>
      </c>
      <c r="C845" s="41" t="s">
        <v>1886</v>
      </c>
      <c r="D845" s="42" t="s">
        <v>1888</v>
      </c>
      <c r="E845" s="43" t="s">
        <v>4769</v>
      </c>
      <c r="F845" s="44"/>
      <c r="G845" s="46"/>
    </row>
    <row r="846" spans="2:7" x14ac:dyDescent="0.35">
      <c r="B846" s="41" t="s">
        <v>1890</v>
      </c>
      <c r="C846" s="41" t="s">
        <v>1889</v>
      </c>
      <c r="D846" s="42" t="s">
        <v>1814</v>
      </c>
      <c r="E846" s="43" t="s">
        <v>4769</v>
      </c>
      <c r="F846" s="44"/>
      <c r="G846" s="46"/>
    </row>
    <row r="847" spans="2:7" x14ac:dyDescent="0.35">
      <c r="B847" s="41" t="s">
        <v>2138</v>
      </c>
      <c r="C847" s="41" t="s">
        <v>2137</v>
      </c>
      <c r="D847" s="42" t="s">
        <v>2139</v>
      </c>
      <c r="E847" s="43" t="s">
        <v>4769</v>
      </c>
      <c r="F847" s="44"/>
      <c r="G847" s="46"/>
    </row>
    <row r="848" spans="2:7" x14ac:dyDescent="0.35">
      <c r="B848" s="41" t="s">
        <v>2183</v>
      </c>
      <c r="C848" s="41" t="s">
        <v>2182</v>
      </c>
      <c r="D848" s="42" t="s">
        <v>2139</v>
      </c>
      <c r="E848" s="43" t="s">
        <v>4769</v>
      </c>
      <c r="F848" s="44"/>
      <c r="G848" s="46"/>
    </row>
    <row r="849" spans="2:7" x14ac:dyDescent="0.35">
      <c r="B849" s="41" t="s">
        <v>2505</v>
      </c>
      <c r="C849" s="41" t="s">
        <v>2504</v>
      </c>
      <c r="D849" s="42" t="s">
        <v>2455</v>
      </c>
      <c r="E849" s="43" t="s">
        <v>4769</v>
      </c>
      <c r="F849" s="44"/>
      <c r="G849" s="46"/>
    </row>
    <row r="850" spans="2:7" x14ac:dyDescent="0.35">
      <c r="B850" s="45" t="s">
        <v>2515</v>
      </c>
      <c r="C850" s="45" t="s">
        <v>2514</v>
      </c>
      <c r="D850" s="42" t="s">
        <v>2516</v>
      </c>
      <c r="E850" s="43" t="s">
        <v>4769</v>
      </c>
      <c r="F850" s="44"/>
      <c r="G850" s="46"/>
    </row>
    <row r="851" spans="2:7" x14ac:dyDescent="0.35">
      <c r="B851" s="45" t="s">
        <v>2518</v>
      </c>
      <c r="C851" s="45" t="s">
        <v>2517</v>
      </c>
      <c r="D851" s="42" t="s">
        <v>2516</v>
      </c>
      <c r="E851" s="43" t="s">
        <v>4769</v>
      </c>
      <c r="F851" s="44"/>
      <c r="G851" s="46"/>
    </row>
    <row r="852" spans="2:7" x14ac:dyDescent="0.35">
      <c r="B852" s="41" t="s">
        <v>2549</v>
      </c>
      <c r="C852" s="41" t="s">
        <v>2548</v>
      </c>
      <c r="D852" s="42" t="s">
        <v>241</v>
      </c>
      <c r="E852" s="43" t="s">
        <v>4769</v>
      </c>
      <c r="F852" s="44"/>
      <c r="G852" s="46"/>
    </row>
    <row r="853" spans="2:7" x14ac:dyDescent="0.35">
      <c r="B853" s="41" t="s">
        <v>2645</v>
      </c>
      <c r="C853" s="41" t="s">
        <v>2644</v>
      </c>
      <c r="D853" s="42" t="s">
        <v>2639</v>
      </c>
      <c r="E853" s="43" t="s">
        <v>4769</v>
      </c>
      <c r="F853" s="44"/>
      <c r="G853" s="46"/>
    </row>
    <row r="854" spans="2:7" x14ac:dyDescent="0.35">
      <c r="B854" s="41" t="s">
        <v>2680</v>
      </c>
      <c r="C854" s="41" t="s">
        <v>2679</v>
      </c>
      <c r="D854" s="42" t="s">
        <v>2677</v>
      </c>
      <c r="E854" s="43" t="s">
        <v>4769</v>
      </c>
      <c r="F854" s="44"/>
      <c r="G854" s="46"/>
    </row>
    <row r="855" spans="2:7" x14ac:dyDescent="0.35">
      <c r="B855" s="41" t="s">
        <v>2685</v>
      </c>
      <c r="C855" s="41" t="s">
        <v>2684</v>
      </c>
      <c r="D855" s="42" t="s">
        <v>2677</v>
      </c>
      <c r="E855" s="43" t="s">
        <v>4769</v>
      </c>
      <c r="F855" s="44"/>
      <c r="G855" s="46"/>
    </row>
    <row r="856" spans="2:7" x14ac:dyDescent="0.35">
      <c r="B856" s="41" t="s">
        <v>2932</v>
      </c>
      <c r="C856" s="41" t="s">
        <v>2931</v>
      </c>
      <c r="D856" s="42" t="s">
        <v>2930</v>
      </c>
      <c r="E856" s="43" t="s">
        <v>4769</v>
      </c>
      <c r="F856" s="44"/>
      <c r="G856" s="46"/>
    </row>
    <row r="857" spans="2:7" x14ac:dyDescent="0.35">
      <c r="B857" s="41" t="s">
        <v>2958</v>
      </c>
      <c r="C857" s="41" t="s">
        <v>2957</v>
      </c>
      <c r="D857" s="42" t="s">
        <v>2930</v>
      </c>
      <c r="E857" s="43" t="s">
        <v>4769</v>
      </c>
      <c r="F857" s="44"/>
      <c r="G857" s="46"/>
    </row>
    <row r="858" spans="2:7" x14ac:dyDescent="0.35">
      <c r="B858" s="41" t="s">
        <v>3047</v>
      </c>
      <c r="C858" s="41" t="s">
        <v>3046</v>
      </c>
      <c r="D858" s="42" t="s">
        <v>2930</v>
      </c>
      <c r="E858" s="43" t="s">
        <v>4769</v>
      </c>
      <c r="F858" s="44"/>
      <c r="G858" s="46"/>
    </row>
    <row r="859" spans="2:7" x14ac:dyDescent="0.35">
      <c r="B859" s="41" t="s">
        <v>3049</v>
      </c>
      <c r="C859" s="41" t="s">
        <v>3048</v>
      </c>
      <c r="D859" s="42" t="s">
        <v>475</v>
      </c>
      <c r="E859" s="43" t="s">
        <v>4769</v>
      </c>
      <c r="F859" s="44"/>
      <c r="G859" s="46"/>
    </row>
    <row r="860" spans="2:7" x14ac:dyDescent="0.35">
      <c r="B860" s="41" t="s">
        <v>3118</v>
      </c>
      <c r="C860" s="41" t="s">
        <v>3117</v>
      </c>
      <c r="D860" s="42" t="s">
        <v>2964</v>
      </c>
      <c r="E860" s="43" t="s">
        <v>4769</v>
      </c>
      <c r="F860" s="44"/>
      <c r="G860" s="46"/>
    </row>
    <row r="861" spans="2:7" x14ac:dyDescent="0.35">
      <c r="B861" s="41" t="s">
        <v>3204</v>
      </c>
      <c r="C861" s="41" t="s">
        <v>3203</v>
      </c>
      <c r="D861" s="42" t="s">
        <v>3205</v>
      </c>
      <c r="E861" s="43" t="s">
        <v>4769</v>
      </c>
      <c r="F861" s="44"/>
      <c r="G861" s="46"/>
    </row>
    <row r="862" spans="2:7" x14ac:dyDescent="0.35">
      <c r="B862" s="41" t="s">
        <v>3219</v>
      </c>
      <c r="C862" s="41" t="s">
        <v>3218</v>
      </c>
      <c r="D862" s="42" t="s">
        <v>3220</v>
      </c>
      <c r="E862" s="43" t="s">
        <v>4769</v>
      </c>
      <c r="F862" s="44"/>
      <c r="G862" s="46"/>
    </row>
    <row r="863" spans="2:7" x14ac:dyDescent="0.35">
      <c r="B863" s="41" t="s">
        <v>3222</v>
      </c>
      <c r="C863" s="41" t="s">
        <v>3221</v>
      </c>
      <c r="D863" s="42" t="s">
        <v>3217</v>
      </c>
      <c r="E863" s="43" t="s">
        <v>4769</v>
      </c>
      <c r="F863" s="44"/>
      <c r="G863" s="46"/>
    </row>
    <row r="864" spans="2:7" x14ac:dyDescent="0.35">
      <c r="B864" s="41" t="s">
        <v>3261</v>
      </c>
      <c r="C864" s="41" t="s">
        <v>3260</v>
      </c>
      <c r="D864" s="42" t="s">
        <v>3262</v>
      </c>
      <c r="E864" s="43" t="s">
        <v>4769</v>
      </c>
      <c r="F864" s="44"/>
      <c r="G864" s="46"/>
    </row>
    <row r="865" spans="2:7" x14ac:dyDescent="0.35">
      <c r="B865" s="41" t="s">
        <v>3264</v>
      </c>
      <c r="C865" s="41" t="s">
        <v>3263</v>
      </c>
      <c r="D865" s="42" t="s">
        <v>3251</v>
      </c>
      <c r="E865" s="43" t="s">
        <v>4769</v>
      </c>
      <c r="F865" s="44"/>
      <c r="G865" s="46"/>
    </row>
    <row r="866" spans="2:7" x14ac:dyDescent="0.35">
      <c r="B866" s="45" t="s">
        <v>3266</v>
      </c>
      <c r="C866" s="45" t="s">
        <v>3265</v>
      </c>
      <c r="D866" s="42" t="s">
        <v>3251</v>
      </c>
      <c r="E866" s="43" t="s">
        <v>4769</v>
      </c>
      <c r="F866" s="44"/>
      <c r="G866" s="46"/>
    </row>
    <row r="867" spans="2:7" x14ac:dyDescent="0.35">
      <c r="B867" s="41" t="s">
        <v>3366</v>
      </c>
      <c r="C867" s="41" t="s">
        <v>3365</v>
      </c>
      <c r="D867" s="42" t="s">
        <v>3367</v>
      </c>
      <c r="E867" s="43" t="s">
        <v>4769</v>
      </c>
      <c r="F867" s="44"/>
      <c r="G867" s="46"/>
    </row>
    <row r="868" spans="2:7" x14ac:dyDescent="0.35">
      <c r="B868" s="41" t="s">
        <v>3398</v>
      </c>
      <c r="C868" s="41" t="s">
        <v>3397</v>
      </c>
      <c r="D868" s="42" t="s">
        <v>3386</v>
      </c>
      <c r="E868" s="43" t="s">
        <v>4769</v>
      </c>
      <c r="F868" s="44"/>
      <c r="G868" s="46"/>
    </row>
    <row r="869" spans="2:7" x14ac:dyDescent="0.35">
      <c r="B869" s="41" t="s">
        <v>3400</v>
      </c>
      <c r="C869" s="41" t="s">
        <v>3399</v>
      </c>
      <c r="D869" s="42" t="s">
        <v>1061</v>
      </c>
      <c r="E869" s="43" t="s">
        <v>4769</v>
      </c>
      <c r="F869" s="44"/>
      <c r="G869" s="46"/>
    </row>
    <row r="870" spans="2:7" x14ac:dyDescent="0.35">
      <c r="B870" s="41" t="s">
        <v>3402</v>
      </c>
      <c r="C870" s="41" t="s">
        <v>3401</v>
      </c>
      <c r="D870" s="42" t="s">
        <v>3386</v>
      </c>
      <c r="E870" s="43" t="s">
        <v>4769</v>
      </c>
      <c r="F870" s="44"/>
      <c r="G870" s="46"/>
    </row>
    <row r="871" spans="2:7" x14ac:dyDescent="0.35">
      <c r="B871" s="41" t="s">
        <v>3406</v>
      </c>
      <c r="C871" s="41" t="s">
        <v>3405</v>
      </c>
      <c r="D871" s="42" t="s">
        <v>3367</v>
      </c>
      <c r="E871" s="43" t="s">
        <v>4769</v>
      </c>
      <c r="F871" s="44"/>
      <c r="G871" s="46"/>
    </row>
    <row r="872" spans="2:7" x14ac:dyDescent="0.35">
      <c r="B872" s="41" t="s">
        <v>3532</v>
      </c>
      <c r="C872" s="41" t="s">
        <v>3531</v>
      </c>
      <c r="D872" s="42" t="s">
        <v>3533</v>
      </c>
      <c r="E872" s="43" t="s">
        <v>4769</v>
      </c>
      <c r="F872" s="44"/>
      <c r="G872" s="46"/>
    </row>
    <row r="873" spans="2:7" x14ac:dyDescent="0.35">
      <c r="B873" s="41" t="s">
        <v>3688</v>
      </c>
      <c r="C873" s="41" t="s">
        <v>3687</v>
      </c>
      <c r="D873" s="42" t="s">
        <v>3686</v>
      </c>
      <c r="E873" s="43" t="s">
        <v>4769</v>
      </c>
      <c r="F873" s="44"/>
      <c r="G873" s="46"/>
    </row>
    <row r="874" spans="2:7" x14ac:dyDescent="0.35">
      <c r="B874" s="41" t="s">
        <v>3702</v>
      </c>
      <c r="C874" s="41" t="s">
        <v>3701</v>
      </c>
      <c r="D874" s="42" t="s">
        <v>3696</v>
      </c>
      <c r="E874" s="43" t="s">
        <v>4769</v>
      </c>
      <c r="F874" s="44"/>
      <c r="G874" s="46"/>
    </row>
    <row r="875" spans="2:7" x14ac:dyDescent="0.35">
      <c r="B875" s="41" t="s">
        <v>3704</v>
      </c>
      <c r="C875" s="41" t="s">
        <v>3703</v>
      </c>
      <c r="D875" s="42" t="s">
        <v>3696</v>
      </c>
      <c r="E875" s="43" t="s">
        <v>4769</v>
      </c>
      <c r="F875" s="44"/>
      <c r="G875" s="46"/>
    </row>
    <row r="876" spans="2:7" x14ac:dyDescent="0.35">
      <c r="B876" s="41" t="s">
        <v>3706</v>
      </c>
      <c r="C876" s="41" t="s">
        <v>3705</v>
      </c>
      <c r="D876" s="42" t="s">
        <v>3696</v>
      </c>
      <c r="E876" s="43" t="s">
        <v>4769</v>
      </c>
      <c r="F876" s="44"/>
      <c r="G876" s="46"/>
    </row>
    <row r="877" spans="2:7" x14ac:dyDescent="0.35">
      <c r="B877" s="45" t="s">
        <v>3749</v>
      </c>
      <c r="C877" s="45" t="s">
        <v>3748</v>
      </c>
      <c r="D877" s="42" t="s">
        <v>3750</v>
      </c>
      <c r="E877" s="43" t="s">
        <v>4769</v>
      </c>
      <c r="F877" s="44"/>
      <c r="G877" s="46"/>
    </row>
    <row r="878" spans="2:7" x14ac:dyDescent="0.35">
      <c r="B878" s="41" t="s">
        <v>3752</v>
      </c>
      <c r="C878" s="41" t="s">
        <v>3751</v>
      </c>
      <c r="D878" s="42" t="s">
        <v>3696</v>
      </c>
      <c r="E878" s="43" t="s">
        <v>4769</v>
      </c>
      <c r="F878" s="44"/>
      <c r="G878" s="46"/>
    </row>
    <row r="879" spans="2:7" x14ac:dyDescent="0.35">
      <c r="B879" s="41" t="s">
        <v>3858</v>
      </c>
      <c r="C879" s="41" t="s">
        <v>3857</v>
      </c>
      <c r="D879" s="42" t="s">
        <v>3854</v>
      </c>
      <c r="E879" s="43" t="s">
        <v>4769</v>
      </c>
      <c r="F879" s="44"/>
      <c r="G879" s="46"/>
    </row>
    <row r="880" spans="2:7" x14ac:dyDescent="0.35">
      <c r="B880" s="41" t="s">
        <v>3866</v>
      </c>
      <c r="C880" s="41" t="s">
        <v>3865</v>
      </c>
      <c r="D880" s="42" t="s">
        <v>3867</v>
      </c>
      <c r="E880" s="43" t="s">
        <v>4769</v>
      </c>
      <c r="F880" s="44"/>
      <c r="G880" s="46"/>
    </row>
    <row r="881" spans="2:7" x14ac:dyDescent="0.35">
      <c r="B881" s="41" t="s">
        <v>3923</v>
      </c>
      <c r="C881" s="45" t="s">
        <v>3922</v>
      </c>
      <c r="D881" s="42" t="s">
        <v>3864</v>
      </c>
      <c r="E881" s="43" t="s">
        <v>4769</v>
      </c>
      <c r="F881" s="44"/>
      <c r="G881" s="46"/>
    </row>
    <row r="882" spans="2:7" x14ac:dyDescent="0.35">
      <c r="B882" s="41" t="s">
        <v>4117</v>
      </c>
      <c r="C882" s="45" t="s">
        <v>4116</v>
      </c>
      <c r="D882" s="42" t="s">
        <v>4118</v>
      </c>
      <c r="E882" s="43" t="s">
        <v>4769</v>
      </c>
      <c r="F882" s="44"/>
      <c r="G882" s="46"/>
    </row>
    <row r="883" spans="2:7" x14ac:dyDescent="0.35">
      <c r="B883" s="41" t="s">
        <v>4136</v>
      </c>
      <c r="C883" s="41" t="s">
        <v>4135</v>
      </c>
      <c r="D883" s="42" t="s">
        <v>2541</v>
      </c>
      <c r="E883" s="43" t="s">
        <v>4769</v>
      </c>
      <c r="F883" s="44"/>
      <c r="G883" s="46"/>
    </row>
    <row r="884" spans="2:7" x14ac:dyDescent="0.35">
      <c r="B884" s="41" t="s">
        <v>4138</v>
      </c>
      <c r="C884" s="41" t="s">
        <v>4137</v>
      </c>
      <c r="D884" s="42" t="s">
        <v>4105</v>
      </c>
      <c r="E884" s="43" t="s">
        <v>4769</v>
      </c>
      <c r="F884" s="44"/>
      <c r="G884" s="46"/>
    </row>
    <row r="885" spans="2:7" x14ac:dyDescent="0.35">
      <c r="B885" s="41" t="s">
        <v>4284</v>
      </c>
      <c r="C885" s="41" t="s">
        <v>4283</v>
      </c>
      <c r="D885" s="42" t="s">
        <v>4285</v>
      </c>
      <c r="E885" s="43" t="s">
        <v>4769</v>
      </c>
      <c r="F885" s="44"/>
      <c r="G885" s="46"/>
    </row>
    <row r="886" spans="2:7" x14ac:dyDescent="0.35">
      <c r="B886" s="41" t="s">
        <v>4328</v>
      </c>
      <c r="C886" s="41" t="s">
        <v>4327</v>
      </c>
      <c r="D886" s="42" t="s">
        <v>4329</v>
      </c>
      <c r="E886" s="43" t="s">
        <v>4769</v>
      </c>
      <c r="F886" s="44"/>
      <c r="G886" s="46"/>
    </row>
    <row r="887" spans="2:7" x14ac:dyDescent="0.35">
      <c r="B887" s="41" t="s">
        <v>4336</v>
      </c>
      <c r="C887" s="41" t="s">
        <v>4335</v>
      </c>
      <c r="D887" s="42" t="s">
        <v>4285</v>
      </c>
      <c r="E887" s="43" t="s">
        <v>4769</v>
      </c>
      <c r="F887" s="44"/>
      <c r="G887" s="46"/>
    </row>
    <row r="888" spans="2:7" x14ac:dyDescent="0.35">
      <c r="B888" s="41" t="s">
        <v>4379</v>
      </c>
      <c r="C888" s="41" t="s">
        <v>4378</v>
      </c>
      <c r="D888" s="42" t="s">
        <v>4332</v>
      </c>
      <c r="E888" s="43" t="s">
        <v>4769</v>
      </c>
      <c r="F888" s="44"/>
      <c r="G888" s="46"/>
    </row>
    <row r="889" spans="2:7" x14ac:dyDescent="0.35">
      <c r="B889" s="41" t="s">
        <v>4381</v>
      </c>
      <c r="C889" s="41" t="s">
        <v>4380</v>
      </c>
      <c r="D889" s="42" t="s">
        <v>4332</v>
      </c>
      <c r="E889" s="43" t="s">
        <v>4769</v>
      </c>
      <c r="F889" s="44"/>
      <c r="G889" s="46"/>
    </row>
    <row r="890" spans="2:7" x14ac:dyDescent="0.35">
      <c r="B890" s="41" t="s">
        <v>4384</v>
      </c>
      <c r="C890" s="41" t="s">
        <v>4383</v>
      </c>
      <c r="D890" s="42" t="s">
        <v>4332</v>
      </c>
      <c r="E890" s="43" t="s">
        <v>4769</v>
      </c>
      <c r="F890" s="44"/>
      <c r="G890" s="46"/>
    </row>
    <row r="891" spans="2:7" x14ac:dyDescent="0.35">
      <c r="B891" s="41" t="s">
        <v>4397</v>
      </c>
      <c r="C891" s="41" t="s">
        <v>4396</v>
      </c>
      <c r="D891" s="42" t="s">
        <v>4398</v>
      </c>
      <c r="E891" s="43" t="s">
        <v>4769</v>
      </c>
      <c r="F891" s="44"/>
      <c r="G891" s="46"/>
    </row>
    <row r="892" spans="2:7" x14ac:dyDescent="0.35">
      <c r="B892" s="41" t="s">
        <v>4402</v>
      </c>
      <c r="C892" s="41" t="s">
        <v>4401</v>
      </c>
      <c r="D892" s="42" t="s">
        <v>4398</v>
      </c>
      <c r="E892" s="43" t="s">
        <v>4769</v>
      </c>
      <c r="F892" s="44"/>
      <c r="G892" s="46"/>
    </row>
    <row r="893" spans="2:7" x14ac:dyDescent="0.4">
      <c r="B893" s="43" t="s">
        <v>4553</v>
      </c>
      <c r="C893" s="46"/>
      <c r="D893" s="42" t="s">
        <v>4554</v>
      </c>
      <c r="E893" s="43" t="s">
        <v>4769</v>
      </c>
      <c r="F893" s="44"/>
      <c r="G893" s="46"/>
    </row>
    <row r="894" spans="2:7" x14ac:dyDescent="0.35">
      <c r="B894" s="41" t="s">
        <v>4445</v>
      </c>
      <c r="C894" s="41" t="s">
        <v>4444</v>
      </c>
      <c r="D894" s="42" t="s">
        <v>4345</v>
      </c>
      <c r="E894" s="43" t="s">
        <v>4769</v>
      </c>
      <c r="F894" s="44"/>
      <c r="G894" s="46"/>
    </row>
    <row r="895" spans="2:7" x14ac:dyDescent="0.35">
      <c r="B895" s="41" t="s">
        <v>4447</v>
      </c>
      <c r="C895" s="41" t="s">
        <v>4446</v>
      </c>
      <c r="D895" s="42" t="s">
        <v>4345</v>
      </c>
      <c r="E895" s="43" t="s">
        <v>4769</v>
      </c>
      <c r="F895" s="44"/>
      <c r="G895" s="46"/>
    </row>
    <row r="896" spans="2:7" x14ac:dyDescent="0.35">
      <c r="B896" s="41" t="s">
        <v>4541</v>
      </c>
      <c r="C896" s="41" t="s">
        <v>4540</v>
      </c>
      <c r="D896" s="42" t="s">
        <v>475</v>
      </c>
      <c r="E896" s="43" t="s">
        <v>4769</v>
      </c>
      <c r="F896" s="44"/>
      <c r="G896" s="46"/>
    </row>
    <row r="897" spans="2:7" x14ac:dyDescent="0.4">
      <c r="B897" s="46" t="s">
        <v>4669</v>
      </c>
      <c r="C897" s="46"/>
      <c r="D897" s="42" t="s">
        <v>4670</v>
      </c>
      <c r="E897" s="43" t="s">
        <v>4769</v>
      </c>
      <c r="F897" s="44"/>
      <c r="G897" s="46"/>
    </row>
    <row r="898" spans="2:7" x14ac:dyDescent="0.4">
      <c r="B898" s="46" t="s">
        <v>4673</v>
      </c>
      <c r="C898" s="46"/>
      <c r="D898" s="42" t="s">
        <v>4670</v>
      </c>
      <c r="E898" s="43" t="s">
        <v>4769</v>
      </c>
      <c r="F898" s="44"/>
      <c r="G898" s="46"/>
    </row>
    <row r="899" spans="2:7" x14ac:dyDescent="0.4">
      <c r="B899" s="46" t="s">
        <v>4702</v>
      </c>
      <c r="C899" s="46" t="s">
        <v>4703</v>
      </c>
      <c r="D899" s="42" t="s">
        <v>4704</v>
      </c>
      <c r="E899" s="43" t="s">
        <v>4769</v>
      </c>
      <c r="F899" s="44"/>
      <c r="G899" s="46"/>
    </row>
    <row r="900" spans="2:7" x14ac:dyDescent="0.35">
      <c r="B900" s="41" t="s">
        <v>2462</v>
      </c>
      <c r="C900" s="41" t="s">
        <v>2461</v>
      </c>
      <c r="D900" s="42" t="s">
        <v>2463</v>
      </c>
      <c r="E900" s="43" t="s">
        <v>4793</v>
      </c>
      <c r="F900" s="44"/>
      <c r="G900" s="46"/>
    </row>
    <row r="901" spans="2:7" x14ac:dyDescent="0.35">
      <c r="B901" s="41" t="s">
        <v>2465</v>
      </c>
      <c r="C901" s="41" t="s">
        <v>2464</v>
      </c>
      <c r="D901" s="42" t="s">
        <v>2466</v>
      </c>
      <c r="E901" s="43" t="s">
        <v>4793</v>
      </c>
      <c r="F901" s="44"/>
      <c r="G901" s="46"/>
    </row>
    <row r="902" spans="2:7" x14ac:dyDescent="0.35">
      <c r="B902" s="41" t="s">
        <v>3582</v>
      </c>
      <c r="C902" s="41" t="s">
        <v>3581</v>
      </c>
      <c r="D902" s="42" t="s">
        <v>3490</v>
      </c>
      <c r="E902" s="43" t="s">
        <v>4804</v>
      </c>
      <c r="F902" s="44"/>
      <c r="G902" s="46"/>
    </row>
    <row r="903" spans="2:7" x14ac:dyDescent="0.35">
      <c r="B903" s="41" t="s">
        <v>3639</v>
      </c>
      <c r="C903" s="41" t="s">
        <v>3638</v>
      </c>
      <c r="D903" s="42" t="s">
        <v>3490</v>
      </c>
      <c r="E903" s="43" t="s">
        <v>4804</v>
      </c>
      <c r="F903" s="44"/>
      <c r="G903" s="46"/>
    </row>
    <row r="904" spans="2:7" x14ac:dyDescent="0.35">
      <c r="B904" s="41" t="s">
        <v>2833</v>
      </c>
      <c r="C904" s="41" t="s">
        <v>2832</v>
      </c>
      <c r="D904" s="42" t="s">
        <v>2829</v>
      </c>
      <c r="E904" s="43" t="s">
        <v>4800</v>
      </c>
      <c r="F904" s="44"/>
      <c r="G904" s="46"/>
    </row>
    <row r="905" spans="2:7" x14ac:dyDescent="0.35">
      <c r="B905" s="41" t="s">
        <v>2835</v>
      </c>
      <c r="C905" s="41" t="s">
        <v>2834</v>
      </c>
      <c r="D905" s="42" t="s">
        <v>2829</v>
      </c>
      <c r="E905" s="43" t="s">
        <v>4800</v>
      </c>
      <c r="F905" s="44"/>
      <c r="G905" s="46"/>
    </row>
    <row r="906" spans="2:7" x14ac:dyDescent="0.35">
      <c r="B906" s="41" t="s">
        <v>4145</v>
      </c>
      <c r="C906" s="41" t="s">
        <v>4144</v>
      </c>
      <c r="D906" s="42" t="s">
        <v>4146</v>
      </c>
      <c r="E906" s="43" t="s">
        <v>4809</v>
      </c>
      <c r="F906" s="44"/>
      <c r="G906" s="46"/>
    </row>
    <row r="907" spans="2:7" x14ac:dyDescent="0.35">
      <c r="B907" s="41" t="s">
        <v>4148</v>
      </c>
      <c r="C907" s="41" t="s">
        <v>4147</v>
      </c>
      <c r="D907" s="42" t="s">
        <v>4149</v>
      </c>
      <c r="E907" s="43" t="s">
        <v>4809</v>
      </c>
      <c r="F907" s="44"/>
      <c r="G907" s="46"/>
    </row>
    <row r="908" spans="2:7" x14ac:dyDescent="0.35">
      <c r="B908" s="41" t="s">
        <v>4209</v>
      </c>
      <c r="C908" s="41" t="s">
        <v>4208</v>
      </c>
      <c r="D908" s="42" t="s">
        <v>4149</v>
      </c>
      <c r="E908" s="43" t="s">
        <v>4809</v>
      </c>
      <c r="F908" s="44"/>
      <c r="G908" s="46"/>
    </row>
    <row r="909" spans="2:7" x14ac:dyDescent="0.35">
      <c r="B909" s="41" t="s">
        <v>4211</v>
      </c>
      <c r="C909" s="41" t="s">
        <v>4210</v>
      </c>
      <c r="D909" s="42" t="s">
        <v>4212</v>
      </c>
      <c r="E909" s="43" t="s">
        <v>4809</v>
      </c>
      <c r="F909" s="44"/>
      <c r="G909" s="46"/>
    </row>
    <row r="910" spans="2:7" x14ac:dyDescent="0.35">
      <c r="B910" s="41" t="s">
        <v>4214</v>
      </c>
      <c r="C910" s="41" t="s">
        <v>4213</v>
      </c>
      <c r="D910" s="42" t="s">
        <v>4212</v>
      </c>
      <c r="E910" s="43" t="s">
        <v>4809</v>
      </c>
      <c r="F910" s="44"/>
      <c r="G910" s="46"/>
    </row>
    <row r="911" spans="2:7" x14ac:dyDescent="0.35">
      <c r="B911" s="41" t="s">
        <v>4216</v>
      </c>
      <c r="C911" s="41" t="s">
        <v>4215</v>
      </c>
      <c r="D911" s="42" t="s">
        <v>4217</v>
      </c>
      <c r="E911" s="43" t="s">
        <v>4809</v>
      </c>
      <c r="F911" s="44"/>
      <c r="G911" s="46"/>
    </row>
    <row r="912" spans="2:7" x14ac:dyDescent="0.35">
      <c r="B912" s="41" t="s">
        <v>4219</v>
      </c>
      <c r="C912" s="41" t="s">
        <v>4218</v>
      </c>
      <c r="D912" s="42" t="s">
        <v>3585</v>
      </c>
      <c r="E912" s="43" t="s">
        <v>4809</v>
      </c>
      <c r="F912" s="44"/>
      <c r="G912" s="46"/>
    </row>
    <row r="913" spans="2:7" x14ac:dyDescent="0.35">
      <c r="B913" s="41" t="s">
        <v>4221</v>
      </c>
      <c r="C913" s="41" t="s">
        <v>4220</v>
      </c>
      <c r="D913" s="42" t="s">
        <v>4212</v>
      </c>
      <c r="E913" s="43" t="s">
        <v>4809</v>
      </c>
      <c r="F913" s="44"/>
      <c r="G913" s="46"/>
    </row>
    <row r="914" spans="2:7" x14ac:dyDescent="0.35">
      <c r="B914" s="41" t="s">
        <v>374</v>
      </c>
      <c r="C914" s="41" t="s">
        <v>373</v>
      </c>
      <c r="D914" s="42" t="s">
        <v>375</v>
      </c>
      <c r="E914" s="43" t="s">
        <v>4775</v>
      </c>
      <c r="F914" s="44"/>
      <c r="G914" s="46"/>
    </row>
    <row r="915" spans="2:7" x14ac:dyDescent="0.35">
      <c r="B915" s="41" t="s">
        <v>1334</v>
      </c>
      <c r="C915" s="41" t="s">
        <v>1333</v>
      </c>
      <c r="D915" s="42" t="s">
        <v>1335</v>
      </c>
      <c r="E915" s="43" t="s">
        <v>4775</v>
      </c>
      <c r="F915" s="44"/>
      <c r="G915" s="46"/>
    </row>
    <row r="916" spans="2:7" x14ac:dyDescent="0.35">
      <c r="B916" s="41" t="s">
        <v>2915</v>
      </c>
      <c r="C916" s="41" t="s">
        <v>2914</v>
      </c>
      <c r="D916" s="42" t="s">
        <v>2916</v>
      </c>
      <c r="E916" s="43" t="s">
        <v>4775</v>
      </c>
      <c r="F916" s="44"/>
      <c r="G916" s="46"/>
    </row>
    <row r="917" spans="2:7" x14ac:dyDescent="0.35">
      <c r="B917" s="41" t="s">
        <v>2998</v>
      </c>
      <c r="C917" s="41" t="s">
        <v>2997</v>
      </c>
      <c r="D917" s="42" t="s">
        <v>2999</v>
      </c>
      <c r="E917" s="43" t="s">
        <v>4775</v>
      </c>
      <c r="F917" s="44"/>
      <c r="G917" s="46"/>
    </row>
    <row r="918" spans="2:7" x14ac:dyDescent="0.35">
      <c r="B918" s="41" t="s">
        <v>3061</v>
      </c>
      <c r="C918" s="41" t="s">
        <v>3060</v>
      </c>
      <c r="D918" s="42" t="s">
        <v>2927</v>
      </c>
      <c r="E918" s="43" t="s">
        <v>4768</v>
      </c>
      <c r="F918" s="44"/>
      <c r="G918" s="46"/>
    </row>
    <row r="919" spans="2:7" x14ac:dyDescent="0.35">
      <c r="B919" s="41" t="s">
        <v>16</v>
      </c>
      <c r="C919" s="41" t="s">
        <v>3062</v>
      </c>
      <c r="D919" s="42" t="s">
        <v>3063</v>
      </c>
      <c r="E919" s="43" t="s">
        <v>4768</v>
      </c>
      <c r="F919" s="44"/>
      <c r="G919" s="46"/>
    </row>
    <row r="920" spans="2:7" x14ac:dyDescent="0.35">
      <c r="B920" s="41" t="s">
        <v>3071</v>
      </c>
      <c r="C920" s="41" t="s">
        <v>3070</v>
      </c>
      <c r="D920" s="42" t="s">
        <v>3063</v>
      </c>
      <c r="E920" s="43" t="s">
        <v>4768</v>
      </c>
      <c r="F920" s="44"/>
      <c r="G920" s="46"/>
    </row>
    <row r="921" spans="2:7" x14ac:dyDescent="0.35">
      <c r="B921" s="41" t="s">
        <v>3122</v>
      </c>
      <c r="C921" s="41" t="s">
        <v>3121</v>
      </c>
      <c r="D921" s="42" t="s">
        <v>3063</v>
      </c>
      <c r="E921" s="43" t="s">
        <v>4768</v>
      </c>
      <c r="F921" s="44"/>
      <c r="G921" s="46"/>
    </row>
    <row r="922" spans="2:7" x14ac:dyDescent="0.35">
      <c r="B922" s="41" t="s">
        <v>2497</v>
      </c>
      <c r="C922" s="41" t="s">
        <v>2496</v>
      </c>
      <c r="D922" s="42" t="s">
        <v>2460</v>
      </c>
      <c r="E922" s="43" t="s">
        <v>4794</v>
      </c>
      <c r="F922" s="44"/>
      <c r="G922" s="46"/>
    </row>
    <row r="923" spans="2:7" x14ac:dyDescent="0.35">
      <c r="B923" s="41" t="s">
        <v>4357</v>
      </c>
      <c r="C923" s="41" t="s">
        <v>4356</v>
      </c>
      <c r="D923" s="42" t="s">
        <v>4350</v>
      </c>
      <c r="E923" s="43" t="s">
        <v>4794</v>
      </c>
      <c r="F923" s="44"/>
      <c r="G923" s="46"/>
    </row>
    <row r="924" spans="2:7" x14ac:dyDescent="0.35">
      <c r="B924" s="41" t="s">
        <v>2885</v>
      </c>
      <c r="C924" s="41" t="s">
        <v>2884</v>
      </c>
      <c r="D924" s="42" t="s">
        <v>2886</v>
      </c>
      <c r="E924" s="43" t="s">
        <v>4801</v>
      </c>
      <c r="F924" s="44"/>
      <c r="G924" s="46"/>
    </row>
    <row r="925" spans="2:7" x14ac:dyDescent="0.35">
      <c r="B925" s="41" t="s">
        <v>4546</v>
      </c>
      <c r="C925" s="41" t="s">
        <v>4545</v>
      </c>
      <c r="D925" s="42" t="s">
        <v>4547</v>
      </c>
      <c r="E925" s="43" t="s">
        <v>4801</v>
      </c>
      <c r="F925" s="44"/>
      <c r="G925" s="46"/>
    </row>
    <row r="926" spans="2:7" x14ac:dyDescent="0.35">
      <c r="B926" s="41" t="s">
        <v>2576</v>
      </c>
      <c r="C926" s="41" t="s">
        <v>2575</v>
      </c>
      <c r="D926" s="42" t="s">
        <v>2577</v>
      </c>
      <c r="E926" s="43" t="s">
        <v>4797</v>
      </c>
      <c r="F926" s="44"/>
      <c r="G926" s="46"/>
    </row>
    <row r="927" spans="2:7" x14ac:dyDescent="0.35">
      <c r="B927" s="41" t="s">
        <v>2579</v>
      </c>
      <c r="C927" s="41" t="s">
        <v>2578</v>
      </c>
      <c r="D927" s="42" t="s">
        <v>2577</v>
      </c>
      <c r="E927" s="43" t="s">
        <v>4797</v>
      </c>
      <c r="F927" s="44"/>
      <c r="G927" s="46"/>
    </row>
    <row r="928" spans="2:7" x14ac:dyDescent="0.35">
      <c r="B928" s="41" t="s">
        <v>2581</v>
      </c>
      <c r="C928" s="41" t="s">
        <v>2580</v>
      </c>
      <c r="D928" s="42" t="s">
        <v>2582</v>
      </c>
      <c r="E928" s="43" t="s">
        <v>4797</v>
      </c>
      <c r="F928" s="44"/>
      <c r="G928" s="46"/>
    </row>
    <row r="929" spans="2:7" x14ac:dyDescent="0.35">
      <c r="B929" s="41" t="s">
        <v>2584</v>
      </c>
      <c r="C929" s="41" t="s">
        <v>2583</v>
      </c>
      <c r="D929" s="42" t="s">
        <v>2582</v>
      </c>
      <c r="E929" s="43" t="s">
        <v>4797</v>
      </c>
      <c r="F929" s="44"/>
      <c r="G929" s="46"/>
    </row>
    <row r="930" spans="2:7" x14ac:dyDescent="0.35">
      <c r="B930" s="41" t="s">
        <v>2586</v>
      </c>
      <c r="C930" s="41" t="s">
        <v>2585</v>
      </c>
      <c r="D930" s="42" t="s">
        <v>2582</v>
      </c>
      <c r="E930" s="43" t="s">
        <v>4797</v>
      </c>
      <c r="F930" s="44"/>
      <c r="G930" s="46"/>
    </row>
    <row r="931" spans="2:7" x14ac:dyDescent="0.35">
      <c r="B931" s="41" t="s">
        <v>2588</v>
      </c>
      <c r="C931" s="41" t="s">
        <v>2587</v>
      </c>
      <c r="D931" s="42" t="s">
        <v>2589</v>
      </c>
      <c r="E931" s="43" t="s">
        <v>4797</v>
      </c>
      <c r="F931" s="44"/>
      <c r="G931" s="46"/>
    </row>
    <row r="932" spans="2:7" x14ac:dyDescent="0.35">
      <c r="B932" s="41" t="s">
        <v>2591</v>
      </c>
      <c r="C932" s="41" t="s">
        <v>2590</v>
      </c>
      <c r="D932" s="42" t="s">
        <v>2589</v>
      </c>
      <c r="E932" s="43" t="s">
        <v>4797</v>
      </c>
      <c r="F932" s="44"/>
      <c r="G932" s="46"/>
    </row>
    <row r="933" spans="2:7" x14ac:dyDescent="0.35">
      <c r="B933" s="41" t="s">
        <v>2593</v>
      </c>
      <c r="C933" s="41" t="s">
        <v>2592</v>
      </c>
      <c r="D933" s="42" t="s">
        <v>2589</v>
      </c>
      <c r="E933" s="43" t="s">
        <v>4797</v>
      </c>
      <c r="F933" s="44"/>
      <c r="G933" s="46"/>
    </row>
    <row r="934" spans="2:7" x14ac:dyDescent="0.35">
      <c r="B934" s="41" t="s">
        <v>3210</v>
      </c>
      <c r="C934" s="41" t="s">
        <v>3209</v>
      </c>
      <c r="D934" s="42" t="s">
        <v>3211</v>
      </c>
      <c r="E934" s="43" t="s">
        <v>4803</v>
      </c>
      <c r="F934" s="44"/>
      <c r="G934" s="46"/>
    </row>
    <row r="935" spans="2:7" x14ac:dyDescent="0.35">
      <c r="B935" s="41" t="s">
        <v>2116</v>
      </c>
      <c r="C935" s="41" t="s">
        <v>2115</v>
      </c>
      <c r="D935" s="42" t="s">
        <v>2117</v>
      </c>
      <c r="E935" s="43" t="s">
        <v>4767</v>
      </c>
      <c r="F935" s="44"/>
      <c r="G935" s="46"/>
    </row>
    <row r="936" spans="2:7" x14ac:dyDescent="0.35">
      <c r="B936" s="41" t="s">
        <v>3545</v>
      </c>
      <c r="C936" s="41" t="s">
        <v>3544</v>
      </c>
      <c r="D936" s="42" t="s">
        <v>168</v>
      </c>
      <c r="E936" s="43" t="s">
        <v>4767</v>
      </c>
      <c r="F936" s="44"/>
      <c r="G936" s="46"/>
    </row>
    <row r="937" spans="2:7" x14ac:dyDescent="0.35">
      <c r="B937" s="41" t="s">
        <v>4067</v>
      </c>
      <c r="C937" s="41" t="s">
        <v>4066</v>
      </c>
      <c r="D937" s="42" t="s">
        <v>168</v>
      </c>
      <c r="E937" s="43" t="s">
        <v>4767</v>
      </c>
      <c r="F937" s="44"/>
      <c r="G937" s="46"/>
    </row>
    <row r="938" spans="2:7" x14ac:dyDescent="0.35">
      <c r="B938" s="41" t="s">
        <v>4079</v>
      </c>
      <c r="C938" s="41" t="s">
        <v>4078</v>
      </c>
      <c r="D938" s="42" t="s">
        <v>4080</v>
      </c>
      <c r="E938" s="43" t="s">
        <v>4767</v>
      </c>
      <c r="F938" s="44"/>
      <c r="G938" s="46"/>
    </row>
    <row r="939" spans="2:7" x14ac:dyDescent="0.35">
      <c r="B939" s="41" t="s">
        <v>4173</v>
      </c>
      <c r="C939" s="41" t="s">
        <v>4172</v>
      </c>
      <c r="D939" s="42" t="s">
        <v>168</v>
      </c>
      <c r="E939" s="43" t="s">
        <v>4767</v>
      </c>
      <c r="F939" s="44"/>
      <c r="G939" s="46"/>
    </row>
    <row r="940" spans="2:7" x14ac:dyDescent="0.35">
      <c r="B940" s="41" t="s">
        <v>1048</v>
      </c>
      <c r="C940" s="41" t="s">
        <v>1047</v>
      </c>
      <c r="D940" s="42" t="s">
        <v>922</v>
      </c>
      <c r="E940" s="43" t="s">
        <v>4786</v>
      </c>
      <c r="F940" s="44"/>
      <c r="G940" s="46"/>
    </row>
    <row r="941" spans="2:7" x14ac:dyDescent="0.35">
      <c r="B941" s="41" t="s">
        <v>1212</v>
      </c>
      <c r="C941" s="41" t="s">
        <v>1211</v>
      </c>
      <c r="D941" s="42" t="s">
        <v>933</v>
      </c>
      <c r="E941" s="43" t="s">
        <v>4786</v>
      </c>
      <c r="F941" s="44"/>
      <c r="G941" s="46"/>
    </row>
    <row r="942" spans="2:7" x14ac:dyDescent="0.35">
      <c r="B942" s="41" t="s">
        <v>1214</v>
      </c>
      <c r="C942" s="41" t="s">
        <v>1213</v>
      </c>
      <c r="D942" s="42" t="s">
        <v>808</v>
      </c>
      <c r="E942" s="43" t="s">
        <v>4786</v>
      </c>
      <c r="F942" s="44"/>
      <c r="G942" s="46"/>
    </row>
    <row r="943" spans="2:7" x14ac:dyDescent="0.35">
      <c r="B943" s="45" t="s">
        <v>1642</v>
      </c>
      <c r="C943" s="45" t="s">
        <v>1641</v>
      </c>
      <c r="D943" s="42" t="s">
        <v>1643</v>
      </c>
      <c r="E943" s="43" t="s">
        <v>4786</v>
      </c>
      <c r="F943" s="44"/>
      <c r="G943" s="46"/>
    </row>
    <row r="944" spans="2:7" x14ac:dyDescent="0.35">
      <c r="B944" s="45" t="s">
        <v>1645</v>
      </c>
      <c r="C944" s="45" t="s">
        <v>1644</v>
      </c>
      <c r="D944" s="42" t="s">
        <v>1401</v>
      </c>
      <c r="E944" s="43" t="s">
        <v>4786</v>
      </c>
      <c r="F944" s="44"/>
      <c r="G944" s="46"/>
    </row>
    <row r="945" spans="2:7" x14ac:dyDescent="0.35">
      <c r="B945" s="45" t="s">
        <v>1647</v>
      </c>
      <c r="C945" s="45" t="s">
        <v>1646</v>
      </c>
      <c r="D945" s="42" t="s">
        <v>1401</v>
      </c>
      <c r="E945" s="43" t="s">
        <v>4786</v>
      </c>
      <c r="F945" s="44"/>
      <c r="G945" s="46"/>
    </row>
    <row r="946" spans="2:7" x14ac:dyDescent="0.35">
      <c r="B946" s="41" t="s">
        <v>1687</v>
      </c>
      <c r="C946" s="41" t="s">
        <v>1686</v>
      </c>
      <c r="D946" s="42" t="s">
        <v>4827</v>
      </c>
      <c r="E946" s="43" t="s">
        <v>4786</v>
      </c>
      <c r="F946" s="44"/>
      <c r="G946" s="46"/>
    </row>
    <row r="947" spans="2:7" x14ac:dyDescent="0.35">
      <c r="B947" s="41" t="s">
        <v>1689</v>
      </c>
      <c r="C947" s="41" t="s">
        <v>1688</v>
      </c>
      <c r="D947" s="42" t="s">
        <v>1690</v>
      </c>
      <c r="E947" s="43" t="s">
        <v>4786</v>
      </c>
      <c r="F947" s="44"/>
      <c r="G947" s="46"/>
    </row>
    <row r="948" spans="2:7" x14ac:dyDescent="0.35">
      <c r="B948" s="41" t="s">
        <v>1712</v>
      </c>
      <c r="C948" s="41" t="s">
        <v>1711</v>
      </c>
      <c r="D948" s="42" t="s">
        <v>1698</v>
      </c>
      <c r="E948" s="43" t="s">
        <v>4786</v>
      </c>
      <c r="F948" s="44"/>
      <c r="G948" s="46"/>
    </row>
    <row r="949" spans="2:7" x14ac:dyDescent="0.35">
      <c r="B949" s="41" t="s">
        <v>1714</v>
      </c>
      <c r="C949" s="41" t="s">
        <v>1713</v>
      </c>
      <c r="D949" s="42" t="s">
        <v>1715</v>
      </c>
      <c r="E949" s="43" t="s">
        <v>4786</v>
      </c>
      <c r="F949" s="44"/>
      <c r="G949" s="46"/>
    </row>
    <row r="950" spans="2:7" x14ac:dyDescent="0.35">
      <c r="B950" s="41" t="s">
        <v>1721</v>
      </c>
      <c r="C950" s="41" t="s">
        <v>1720</v>
      </c>
      <c r="D950" s="42" t="s">
        <v>1168</v>
      </c>
      <c r="E950" s="43" t="s">
        <v>4786</v>
      </c>
      <c r="F950" s="44"/>
      <c r="G950" s="46"/>
    </row>
    <row r="951" spans="2:7" x14ac:dyDescent="0.35">
      <c r="B951" s="41" t="s">
        <v>1786</v>
      </c>
      <c r="C951" s="41" t="s">
        <v>1785</v>
      </c>
      <c r="D951" s="42" t="s">
        <v>1778</v>
      </c>
      <c r="E951" s="43" t="s">
        <v>4786</v>
      </c>
      <c r="F951" s="44"/>
      <c r="G951" s="46"/>
    </row>
    <row r="952" spans="2:7" x14ac:dyDescent="0.35">
      <c r="B952" s="41" t="s">
        <v>1788</v>
      </c>
      <c r="C952" s="41" t="s">
        <v>1787</v>
      </c>
      <c r="D952" s="42" t="s">
        <v>1778</v>
      </c>
      <c r="E952" s="43" t="s">
        <v>4786</v>
      </c>
      <c r="F952" s="44"/>
      <c r="G952" s="46"/>
    </row>
    <row r="953" spans="2:7" x14ac:dyDescent="0.4">
      <c r="B953" s="46" t="s">
        <v>1790</v>
      </c>
      <c r="C953" s="46" t="s">
        <v>1789</v>
      </c>
      <c r="D953" s="42" t="s">
        <v>1791</v>
      </c>
      <c r="E953" s="43" t="s">
        <v>4786</v>
      </c>
      <c r="F953" s="44"/>
      <c r="G953" s="46"/>
    </row>
    <row r="954" spans="2:7" x14ac:dyDescent="0.4">
      <c r="B954" s="46" t="s">
        <v>1793</v>
      </c>
      <c r="C954" s="46" t="s">
        <v>1792</v>
      </c>
      <c r="D954" s="42" t="s">
        <v>4561</v>
      </c>
      <c r="E954" s="43" t="s">
        <v>4786</v>
      </c>
      <c r="F954" s="44"/>
      <c r="G954" s="46"/>
    </row>
    <row r="955" spans="2:7" x14ac:dyDescent="0.35">
      <c r="B955" s="41" t="s">
        <v>1799</v>
      </c>
      <c r="C955" s="41" t="s">
        <v>1798</v>
      </c>
      <c r="D955" s="42" t="s">
        <v>1225</v>
      </c>
      <c r="E955" s="43" t="s">
        <v>4786</v>
      </c>
      <c r="F955" s="44"/>
      <c r="G955" s="46"/>
    </row>
    <row r="956" spans="2:7" x14ac:dyDescent="0.35">
      <c r="B956" s="41" t="s">
        <v>1962</v>
      </c>
      <c r="C956" s="41" t="s">
        <v>1961</v>
      </c>
      <c r="D956" s="42" t="s">
        <v>1956</v>
      </c>
      <c r="E956" s="43" t="s">
        <v>4786</v>
      </c>
      <c r="F956" s="44"/>
      <c r="G956" s="46"/>
    </row>
    <row r="957" spans="2:7" x14ac:dyDescent="0.35">
      <c r="B957" s="41" t="s">
        <v>1990</v>
      </c>
      <c r="C957" s="41" t="s">
        <v>1989</v>
      </c>
      <c r="D957" s="42" t="s">
        <v>1974</v>
      </c>
      <c r="E957" s="43" t="s">
        <v>4786</v>
      </c>
      <c r="F957" s="44"/>
      <c r="G957" s="46"/>
    </row>
    <row r="958" spans="2:7" x14ac:dyDescent="0.35">
      <c r="B958" s="41" t="s">
        <v>1996</v>
      </c>
      <c r="C958" s="41" t="s">
        <v>1995</v>
      </c>
      <c r="D958" s="42" t="s">
        <v>1974</v>
      </c>
      <c r="E958" s="43" t="s">
        <v>4786</v>
      </c>
      <c r="F958" s="44"/>
      <c r="G958" s="46"/>
    </row>
    <row r="959" spans="2:7" x14ac:dyDescent="0.35">
      <c r="B959" s="41" t="s">
        <v>1998</v>
      </c>
      <c r="C959" s="41" t="s">
        <v>1997</v>
      </c>
      <c r="D959" s="42" t="s">
        <v>1974</v>
      </c>
      <c r="E959" s="43" t="s">
        <v>4786</v>
      </c>
      <c r="F959" s="44"/>
      <c r="G959" s="46"/>
    </row>
    <row r="960" spans="2:7" x14ac:dyDescent="0.35">
      <c r="B960" s="41" t="s">
        <v>2000</v>
      </c>
      <c r="C960" s="41" t="s">
        <v>1999</v>
      </c>
      <c r="D960" s="42" t="s">
        <v>1956</v>
      </c>
      <c r="E960" s="43" t="s">
        <v>4786</v>
      </c>
      <c r="F960" s="44"/>
      <c r="G960" s="46"/>
    </row>
    <row r="961" spans="2:7" x14ac:dyDescent="0.35">
      <c r="B961" s="41" t="s">
        <v>2002</v>
      </c>
      <c r="C961" s="41" t="s">
        <v>2001</v>
      </c>
      <c r="D961" s="42" t="s">
        <v>2003</v>
      </c>
      <c r="E961" s="43" t="s">
        <v>4786</v>
      </c>
      <c r="F961" s="44"/>
      <c r="G961" s="46"/>
    </row>
    <row r="962" spans="2:7" x14ac:dyDescent="0.35">
      <c r="B962" s="41" t="s">
        <v>2005</v>
      </c>
      <c r="C962" s="41" t="s">
        <v>2004</v>
      </c>
      <c r="D962" s="42" t="s">
        <v>2003</v>
      </c>
      <c r="E962" s="43" t="s">
        <v>4786</v>
      </c>
      <c r="F962" s="44"/>
      <c r="G962" s="46"/>
    </row>
    <row r="963" spans="2:7" x14ac:dyDescent="0.35">
      <c r="B963" s="46" t="s">
        <v>2023</v>
      </c>
      <c r="C963" s="41" t="s">
        <v>2022</v>
      </c>
      <c r="D963" s="42" t="s">
        <v>1814</v>
      </c>
      <c r="E963" s="43" t="s">
        <v>4786</v>
      </c>
      <c r="F963" s="44"/>
      <c r="G963" s="46"/>
    </row>
    <row r="964" spans="2:7" x14ac:dyDescent="0.35">
      <c r="B964" s="41" t="s">
        <v>2031</v>
      </c>
      <c r="C964" s="41" t="s">
        <v>2030</v>
      </c>
      <c r="D964" s="42" t="s">
        <v>1863</v>
      </c>
      <c r="E964" s="43" t="s">
        <v>4786</v>
      </c>
      <c r="F964" s="44"/>
      <c r="G964" s="46"/>
    </row>
    <row r="965" spans="2:7" x14ac:dyDescent="0.35">
      <c r="B965" s="41" t="s">
        <v>3514</v>
      </c>
      <c r="C965" s="41" t="s">
        <v>3513</v>
      </c>
      <c r="D965" s="42" t="s">
        <v>3485</v>
      </c>
      <c r="E965" s="43" t="s">
        <v>4786</v>
      </c>
      <c r="F965" s="44"/>
      <c r="G965" s="46"/>
    </row>
    <row r="966" spans="2:7" x14ac:dyDescent="0.35">
      <c r="B966" s="41" t="s">
        <v>3516</v>
      </c>
      <c r="C966" s="41" t="s">
        <v>3515</v>
      </c>
      <c r="D966" s="42" t="s">
        <v>3485</v>
      </c>
      <c r="E966" s="43" t="s">
        <v>4786</v>
      </c>
      <c r="F966" s="44"/>
      <c r="G966" s="46"/>
    </row>
    <row r="967" spans="2:7" x14ac:dyDescent="0.35">
      <c r="B967" s="41" t="s">
        <v>3518</v>
      </c>
      <c r="C967" s="41" t="s">
        <v>3517</v>
      </c>
      <c r="D967" s="42" t="s">
        <v>3485</v>
      </c>
      <c r="E967" s="43" t="s">
        <v>4786</v>
      </c>
      <c r="F967" s="44"/>
      <c r="G967" s="46"/>
    </row>
    <row r="968" spans="2:7" x14ac:dyDescent="0.35">
      <c r="B968" s="41" t="s">
        <v>3520</v>
      </c>
      <c r="C968" s="41" t="s">
        <v>3519</v>
      </c>
      <c r="D968" s="42" t="s">
        <v>3485</v>
      </c>
      <c r="E968" s="43" t="s">
        <v>4786</v>
      </c>
      <c r="F968" s="44"/>
      <c r="G968" s="46"/>
    </row>
    <row r="969" spans="2:7" x14ac:dyDescent="0.4">
      <c r="B969" s="46" t="s">
        <v>4675</v>
      </c>
      <c r="C969" s="46"/>
      <c r="D969" s="42" t="s">
        <v>4676</v>
      </c>
      <c r="E969" s="43" t="s">
        <v>4786</v>
      </c>
      <c r="F969" s="44"/>
      <c r="G969" s="46"/>
    </row>
    <row r="970" spans="2:7" x14ac:dyDescent="0.4">
      <c r="B970" s="46" t="s">
        <v>4693</v>
      </c>
      <c r="C970" s="46"/>
      <c r="D970" s="42" t="s">
        <v>4694</v>
      </c>
      <c r="E970" s="43" t="s">
        <v>4786</v>
      </c>
      <c r="F970" s="44"/>
      <c r="G970" s="46"/>
    </row>
    <row r="971" spans="2:7" x14ac:dyDescent="0.35">
      <c r="B971" s="41" t="s">
        <v>395</v>
      </c>
      <c r="C971" s="41" t="s">
        <v>394</v>
      </c>
      <c r="D971" s="42" t="s">
        <v>340</v>
      </c>
      <c r="E971" s="43" t="s">
        <v>4777</v>
      </c>
      <c r="F971" s="44"/>
      <c r="G971" s="46"/>
    </row>
    <row r="972" spans="2:7" x14ac:dyDescent="0.35">
      <c r="B972" s="41" t="s">
        <v>401</v>
      </c>
      <c r="C972" s="41" t="s">
        <v>400</v>
      </c>
      <c r="D972" s="42" t="s">
        <v>4683</v>
      </c>
      <c r="E972" s="43" t="s">
        <v>4777</v>
      </c>
      <c r="F972" s="44"/>
      <c r="G972" s="46"/>
    </row>
    <row r="973" spans="2:7" x14ac:dyDescent="0.35">
      <c r="B973" s="41" t="s">
        <v>412</v>
      </c>
      <c r="C973" s="41" t="s">
        <v>411</v>
      </c>
      <c r="D973" s="42" t="s">
        <v>405</v>
      </c>
      <c r="E973" s="43" t="s">
        <v>4777</v>
      </c>
      <c r="F973" s="44"/>
      <c r="G973" s="46"/>
    </row>
    <row r="974" spans="2:7" x14ac:dyDescent="0.35">
      <c r="B974" s="41" t="s">
        <v>423</v>
      </c>
      <c r="C974" s="41" t="s">
        <v>422</v>
      </c>
      <c r="D974" s="42" t="s">
        <v>402</v>
      </c>
      <c r="E974" s="43" t="s">
        <v>4777</v>
      </c>
      <c r="F974" s="44"/>
      <c r="G974" s="46"/>
    </row>
    <row r="975" spans="2:7" x14ac:dyDescent="0.35">
      <c r="B975" s="45" t="s">
        <v>653</v>
      </c>
      <c r="C975" s="45" t="s">
        <v>652</v>
      </c>
      <c r="D975" s="42" t="s">
        <v>654</v>
      </c>
      <c r="E975" s="43" t="s">
        <v>4777</v>
      </c>
      <c r="F975" s="44"/>
      <c r="G975" s="46"/>
    </row>
    <row r="976" spans="2:7" x14ac:dyDescent="0.35">
      <c r="B976" s="41" t="s">
        <v>661</v>
      </c>
      <c r="C976" s="41" t="s">
        <v>660</v>
      </c>
      <c r="D976" s="42" t="s">
        <v>662</v>
      </c>
      <c r="E976" s="43" t="s">
        <v>4777</v>
      </c>
      <c r="F976" s="44"/>
      <c r="G976" s="46"/>
    </row>
    <row r="977" spans="2:7" x14ac:dyDescent="0.35">
      <c r="B977" s="41" t="s">
        <v>752</v>
      </c>
      <c r="C977" s="41" t="s">
        <v>751</v>
      </c>
      <c r="D977" s="42" t="s">
        <v>249</v>
      </c>
      <c r="E977" s="43" t="s">
        <v>4777</v>
      </c>
      <c r="F977" s="44"/>
      <c r="G977" s="46"/>
    </row>
    <row r="978" spans="2:7" x14ac:dyDescent="0.35">
      <c r="B978" s="41" t="s">
        <v>859</v>
      </c>
      <c r="C978" s="41" t="s">
        <v>858</v>
      </c>
      <c r="D978" s="42" t="s">
        <v>860</v>
      </c>
      <c r="E978" s="43" t="s">
        <v>4777</v>
      </c>
      <c r="F978" s="44"/>
      <c r="G978" s="46"/>
    </row>
    <row r="979" spans="2:7" x14ac:dyDescent="0.35">
      <c r="B979" s="41" t="s">
        <v>867</v>
      </c>
      <c r="C979" s="41" t="s">
        <v>866</v>
      </c>
      <c r="D979" s="42" t="s">
        <v>860</v>
      </c>
      <c r="E979" s="43" t="s">
        <v>4777</v>
      </c>
      <c r="F979" s="44"/>
      <c r="G979" s="46"/>
    </row>
    <row r="980" spans="2:7" x14ac:dyDescent="0.35">
      <c r="B980" s="41" t="s">
        <v>877</v>
      </c>
      <c r="C980" s="41" t="s">
        <v>876</v>
      </c>
      <c r="D980" s="42" t="s">
        <v>878</v>
      </c>
      <c r="E980" s="43" t="s">
        <v>4777</v>
      </c>
      <c r="F980" s="44"/>
      <c r="G980" s="46"/>
    </row>
    <row r="981" spans="2:7" x14ac:dyDescent="0.35">
      <c r="B981" s="41" t="s">
        <v>880</v>
      </c>
      <c r="C981" s="41" t="s">
        <v>879</v>
      </c>
      <c r="D981" s="42" t="s">
        <v>878</v>
      </c>
      <c r="E981" s="43" t="s">
        <v>4777</v>
      </c>
      <c r="F981" s="44"/>
      <c r="G981" s="46"/>
    </row>
    <row r="982" spans="2:7" x14ac:dyDescent="0.35">
      <c r="B982" s="41" t="s">
        <v>887</v>
      </c>
      <c r="C982" s="41" t="s">
        <v>886</v>
      </c>
      <c r="D982" s="42" t="s">
        <v>888</v>
      </c>
      <c r="E982" s="43" t="s">
        <v>4777</v>
      </c>
      <c r="F982" s="44"/>
      <c r="G982" s="46"/>
    </row>
    <row r="983" spans="2:7" x14ac:dyDescent="0.35">
      <c r="B983" s="41" t="s">
        <v>890</v>
      </c>
      <c r="C983" s="41" t="s">
        <v>889</v>
      </c>
      <c r="D983" s="42" t="s">
        <v>888</v>
      </c>
      <c r="E983" s="43" t="s">
        <v>4777</v>
      </c>
      <c r="F983" s="44"/>
      <c r="G983" s="46"/>
    </row>
    <row r="984" spans="2:7" x14ac:dyDescent="0.35">
      <c r="B984" s="41" t="s">
        <v>892</v>
      </c>
      <c r="C984" s="41" t="s">
        <v>891</v>
      </c>
      <c r="D984" s="42" t="s">
        <v>888</v>
      </c>
      <c r="E984" s="43" t="s">
        <v>4777</v>
      </c>
      <c r="F984" s="44"/>
      <c r="G984" s="46"/>
    </row>
    <row r="985" spans="2:7" x14ac:dyDescent="0.35">
      <c r="B985" s="41" t="s">
        <v>894</v>
      </c>
      <c r="C985" s="41" t="s">
        <v>893</v>
      </c>
      <c r="D985" s="42" t="s">
        <v>888</v>
      </c>
      <c r="E985" s="43" t="s">
        <v>4777</v>
      </c>
      <c r="F985" s="44"/>
      <c r="G985" s="46"/>
    </row>
    <row r="986" spans="2:7" x14ac:dyDescent="0.35">
      <c r="B986" s="41" t="s">
        <v>896</v>
      </c>
      <c r="C986" s="41" t="s">
        <v>895</v>
      </c>
      <c r="D986" s="42" t="s">
        <v>897</v>
      </c>
      <c r="E986" s="43" t="s">
        <v>4777</v>
      </c>
      <c r="F986" s="44"/>
      <c r="G986" s="46"/>
    </row>
    <row r="987" spans="2:7" x14ac:dyDescent="0.35">
      <c r="B987" s="41" t="s">
        <v>899</v>
      </c>
      <c r="C987" s="41" t="s">
        <v>898</v>
      </c>
      <c r="D987" s="42" t="s">
        <v>897</v>
      </c>
      <c r="E987" s="43" t="s">
        <v>4777</v>
      </c>
      <c r="F987" s="44"/>
      <c r="G987" s="46"/>
    </row>
    <row r="988" spans="2:7" x14ac:dyDescent="0.35">
      <c r="B988" s="41" t="s">
        <v>901</v>
      </c>
      <c r="C988" s="41" t="s">
        <v>900</v>
      </c>
      <c r="D988" s="42" t="s">
        <v>897</v>
      </c>
      <c r="E988" s="43" t="s">
        <v>4777</v>
      </c>
      <c r="F988" s="44"/>
      <c r="G988" s="46"/>
    </row>
    <row r="989" spans="2:7" x14ac:dyDescent="0.35">
      <c r="B989" s="41" t="s">
        <v>903</v>
      </c>
      <c r="C989" s="41" t="s">
        <v>902</v>
      </c>
      <c r="D989" s="42" t="s">
        <v>897</v>
      </c>
      <c r="E989" s="43" t="s">
        <v>4777</v>
      </c>
      <c r="F989" s="44"/>
      <c r="G989" s="46"/>
    </row>
    <row r="990" spans="2:7" x14ac:dyDescent="0.35">
      <c r="B990" s="41" t="s">
        <v>917</v>
      </c>
      <c r="C990" s="41" t="s">
        <v>916</v>
      </c>
      <c r="D990" s="42" t="s">
        <v>897</v>
      </c>
      <c r="E990" s="43" t="s">
        <v>4777</v>
      </c>
      <c r="F990" s="44"/>
      <c r="G990" s="46"/>
    </row>
    <row r="991" spans="2:7" x14ac:dyDescent="0.35">
      <c r="B991" s="41" t="s">
        <v>919</v>
      </c>
      <c r="C991" s="41" t="s">
        <v>918</v>
      </c>
      <c r="D991" s="42" t="s">
        <v>897</v>
      </c>
      <c r="E991" s="43" t="s">
        <v>4777</v>
      </c>
      <c r="F991" s="44"/>
      <c r="G991" s="46"/>
    </row>
    <row r="992" spans="2:7" x14ac:dyDescent="0.35">
      <c r="B992" s="41" t="s">
        <v>930</v>
      </c>
      <c r="C992" s="41" t="s">
        <v>929</v>
      </c>
      <c r="D992" s="42" t="s">
        <v>922</v>
      </c>
      <c r="E992" s="43" t="s">
        <v>4777</v>
      </c>
      <c r="F992" s="44"/>
      <c r="G992" s="46"/>
    </row>
    <row r="993" spans="2:7" x14ac:dyDescent="0.35">
      <c r="B993" s="45" t="s">
        <v>1041</v>
      </c>
      <c r="C993" s="45" t="s">
        <v>1040</v>
      </c>
      <c r="D993" s="42" t="s">
        <v>249</v>
      </c>
      <c r="E993" s="43" t="s">
        <v>4777</v>
      </c>
      <c r="F993" s="44"/>
      <c r="G993" s="46"/>
    </row>
    <row r="994" spans="2:7" x14ac:dyDescent="0.35">
      <c r="B994" s="41" t="s">
        <v>1050</v>
      </c>
      <c r="C994" s="41" t="s">
        <v>1049</v>
      </c>
      <c r="D994" s="42" t="s">
        <v>885</v>
      </c>
      <c r="E994" s="43" t="s">
        <v>4777</v>
      </c>
      <c r="F994" s="44"/>
      <c r="G994" s="46"/>
    </row>
    <row r="995" spans="2:7" x14ac:dyDescent="0.35">
      <c r="B995" s="41" t="s">
        <v>1052</v>
      </c>
      <c r="C995" s="41" t="s">
        <v>1051</v>
      </c>
      <c r="D995" s="42" t="s">
        <v>885</v>
      </c>
      <c r="E995" s="43" t="s">
        <v>4777</v>
      </c>
      <c r="F995" s="44"/>
      <c r="G995" s="46"/>
    </row>
    <row r="996" spans="2:7" x14ac:dyDescent="0.35">
      <c r="B996" s="41" t="s">
        <v>1165</v>
      </c>
      <c r="C996" s="41" t="s">
        <v>1164</v>
      </c>
      <c r="D996" s="42" t="s">
        <v>4696</v>
      </c>
      <c r="E996" s="43" t="s">
        <v>4777</v>
      </c>
      <c r="F996" s="44"/>
      <c r="G996" s="46"/>
    </row>
    <row r="997" spans="2:7" x14ac:dyDescent="0.35">
      <c r="B997" s="41" t="s">
        <v>1366</v>
      </c>
      <c r="C997" s="41" t="s">
        <v>1365</v>
      </c>
      <c r="D997" s="42" t="s">
        <v>1303</v>
      </c>
      <c r="E997" s="43" t="s">
        <v>4777</v>
      </c>
      <c r="F997" s="44"/>
      <c r="G997" s="46"/>
    </row>
    <row r="998" spans="2:7" x14ac:dyDescent="0.35">
      <c r="B998" s="45" t="s">
        <v>1368</v>
      </c>
      <c r="C998" s="45" t="s">
        <v>1367</v>
      </c>
      <c r="D998" s="42" t="s">
        <v>1303</v>
      </c>
      <c r="E998" s="43" t="s">
        <v>4777</v>
      </c>
      <c r="F998" s="44"/>
      <c r="G998" s="46"/>
    </row>
    <row r="999" spans="2:7" x14ac:dyDescent="0.35">
      <c r="B999" s="41" t="s">
        <v>1370</v>
      </c>
      <c r="C999" s="41" t="s">
        <v>1369</v>
      </c>
      <c r="D999" s="42" t="s">
        <v>1371</v>
      </c>
      <c r="E999" s="43" t="s">
        <v>4777</v>
      </c>
      <c r="F999" s="44"/>
      <c r="G999" s="46"/>
    </row>
    <row r="1000" spans="2:7" x14ac:dyDescent="0.35">
      <c r="B1000" s="41" t="s">
        <v>1400</v>
      </c>
      <c r="C1000" s="41" t="s">
        <v>1399</v>
      </c>
      <c r="D1000" s="42" t="s">
        <v>1401</v>
      </c>
      <c r="E1000" s="43" t="s">
        <v>4777</v>
      </c>
      <c r="F1000" s="44"/>
      <c r="G1000" s="46"/>
    </row>
    <row r="1001" spans="2:7" x14ac:dyDescent="0.35">
      <c r="B1001" s="41" t="s">
        <v>1403</v>
      </c>
      <c r="C1001" s="41" t="s">
        <v>1402</v>
      </c>
      <c r="D1001" s="42" t="s">
        <v>1401</v>
      </c>
      <c r="E1001" s="43" t="s">
        <v>4777</v>
      </c>
      <c r="F1001" s="44"/>
      <c r="G1001" s="46"/>
    </row>
    <row r="1002" spans="2:7" x14ac:dyDescent="0.35">
      <c r="B1002" s="41" t="s">
        <v>1405</v>
      </c>
      <c r="C1002" s="41" t="s">
        <v>1404</v>
      </c>
      <c r="D1002" s="42" t="s">
        <v>678</v>
      </c>
      <c r="E1002" s="43" t="s">
        <v>4777</v>
      </c>
      <c r="F1002" s="44"/>
      <c r="G1002" s="46"/>
    </row>
    <row r="1003" spans="2:7" x14ac:dyDescent="0.35">
      <c r="B1003" s="41" t="s">
        <v>1407</v>
      </c>
      <c r="C1003" s="41" t="s">
        <v>1406</v>
      </c>
      <c r="D1003" s="42" t="s">
        <v>1398</v>
      </c>
      <c r="E1003" s="43" t="s">
        <v>4777</v>
      </c>
      <c r="F1003" s="44"/>
      <c r="G1003" s="46"/>
    </row>
    <row r="1004" spans="2:7" x14ac:dyDescent="0.35">
      <c r="B1004" s="41" t="s">
        <v>1409</v>
      </c>
      <c r="C1004" s="41" t="s">
        <v>1408</v>
      </c>
      <c r="D1004" s="42" t="s">
        <v>1398</v>
      </c>
      <c r="E1004" s="43" t="s">
        <v>4777</v>
      </c>
      <c r="F1004" s="44"/>
      <c r="G1004" s="46"/>
    </row>
    <row r="1005" spans="2:7" x14ac:dyDescent="0.35">
      <c r="B1005" s="41" t="s">
        <v>1473</v>
      </c>
      <c r="C1005" s="41" t="s">
        <v>1472</v>
      </c>
      <c r="D1005" s="42" t="s">
        <v>678</v>
      </c>
      <c r="E1005" s="43" t="s">
        <v>4777</v>
      </c>
      <c r="F1005" s="44"/>
      <c r="G1005" s="46"/>
    </row>
    <row r="1006" spans="2:7" x14ac:dyDescent="0.35">
      <c r="B1006" s="41" t="s">
        <v>1479</v>
      </c>
      <c r="C1006" s="41" t="s">
        <v>1478</v>
      </c>
      <c r="D1006" s="42" t="s">
        <v>678</v>
      </c>
      <c r="E1006" s="43" t="s">
        <v>4777</v>
      </c>
      <c r="F1006" s="44"/>
      <c r="G1006" s="46"/>
    </row>
    <row r="1007" spans="2:7" x14ac:dyDescent="0.35">
      <c r="B1007" s="41" t="s">
        <v>1481</v>
      </c>
      <c r="C1007" s="41" t="s">
        <v>1480</v>
      </c>
      <c r="D1007" s="42" t="s">
        <v>678</v>
      </c>
      <c r="E1007" s="43" t="s">
        <v>4777</v>
      </c>
      <c r="F1007" s="44"/>
      <c r="G1007" s="46"/>
    </row>
    <row r="1008" spans="2:7" x14ac:dyDescent="0.35">
      <c r="B1008" s="41" t="s">
        <v>1483</v>
      </c>
      <c r="C1008" s="41" t="s">
        <v>1482</v>
      </c>
      <c r="D1008" s="42" t="s">
        <v>1484</v>
      </c>
      <c r="E1008" s="43" t="s">
        <v>4777</v>
      </c>
      <c r="F1008" s="44"/>
      <c r="G1008" s="46"/>
    </row>
    <row r="1009" spans="2:7" x14ac:dyDescent="0.35">
      <c r="B1009" s="41" t="s">
        <v>1842</v>
      </c>
      <c r="C1009" s="41" t="s">
        <v>1841</v>
      </c>
      <c r="D1009" s="42" t="s">
        <v>1398</v>
      </c>
      <c r="E1009" s="43" t="s">
        <v>4777</v>
      </c>
      <c r="F1009" s="44"/>
      <c r="G1009" s="46"/>
    </row>
    <row r="1010" spans="2:7" x14ac:dyDescent="0.35">
      <c r="B1010" s="41" t="s">
        <v>1844</v>
      </c>
      <c r="C1010" s="41" t="s">
        <v>1843</v>
      </c>
      <c r="D1010" s="42" t="s">
        <v>1845</v>
      </c>
      <c r="E1010" s="43" t="s">
        <v>4777</v>
      </c>
      <c r="F1010" s="44"/>
      <c r="G1010" s="46"/>
    </row>
    <row r="1011" spans="2:7" x14ac:dyDescent="0.35">
      <c r="B1011" s="41" t="s">
        <v>1847</v>
      </c>
      <c r="C1011" s="41" t="s">
        <v>1846</v>
      </c>
      <c r="D1011" s="42" t="s">
        <v>1845</v>
      </c>
      <c r="E1011" s="43" t="s">
        <v>4777</v>
      </c>
      <c r="F1011" s="44"/>
      <c r="G1011" s="46"/>
    </row>
    <row r="1012" spans="2:7" x14ac:dyDescent="0.35">
      <c r="B1012" s="41" t="s">
        <v>1849</v>
      </c>
      <c r="C1012" s="41" t="s">
        <v>1848</v>
      </c>
      <c r="D1012" s="42" t="s">
        <v>1845</v>
      </c>
      <c r="E1012" s="43" t="s">
        <v>4777</v>
      </c>
      <c r="F1012" s="44"/>
      <c r="G1012" s="46"/>
    </row>
    <row r="1013" spans="2:7" x14ac:dyDescent="0.35">
      <c r="B1013" s="41" t="s">
        <v>1856</v>
      </c>
      <c r="C1013" s="41" t="s">
        <v>1855</v>
      </c>
      <c r="D1013" s="42" t="s">
        <v>1845</v>
      </c>
      <c r="E1013" s="43" t="s">
        <v>4777</v>
      </c>
      <c r="F1013" s="44"/>
      <c r="G1013" s="46"/>
    </row>
    <row r="1014" spans="2:7" x14ac:dyDescent="0.35">
      <c r="B1014" s="41" t="s">
        <v>1858</v>
      </c>
      <c r="C1014" s="41" t="s">
        <v>1857</v>
      </c>
      <c r="D1014" s="42" t="s">
        <v>1814</v>
      </c>
      <c r="E1014" s="43" t="s">
        <v>4777</v>
      </c>
      <c r="F1014" s="44"/>
      <c r="G1014" s="46"/>
    </row>
    <row r="1015" spans="2:7" x14ac:dyDescent="0.35">
      <c r="B1015" s="41" t="s">
        <v>2141</v>
      </c>
      <c r="C1015" s="45" t="s">
        <v>2140</v>
      </c>
      <c r="D1015" s="42" t="s">
        <v>2139</v>
      </c>
      <c r="E1015" s="43" t="s">
        <v>4777</v>
      </c>
      <c r="F1015" s="44"/>
      <c r="G1015" s="46"/>
    </row>
    <row r="1016" spans="2:7" x14ac:dyDescent="0.35">
      <c r="B1016" s="41" t="s">
        <v>2143</v>
      </c>
      <c r="C1016" s="41" t="s">
        <v>2142</v>
      </c>
      <c r="D1016" s="42" t="s">
        <v>2126</v>
      </c>
      <c r="E1016" s="43" t="s">
        <v>4777</v>
      </c>
      <c r="F1016" s="44"/>
      <c r="G1016" s="46"/>
    </row>
    <row r="1017" spans="2:7" x14ac:dyDescent="0.35">
      <c r="B1017" s="41" t="s">
        <v>2162</v>
      </c>
      <c r="C1017" s="41" t="s">
        <v>2161</v>
      </c>
      <c r="D1017" s="42" t="s">
        <v>2163</v>
      </c>
      <c r="E1017" s="43" t="s">
        <v>4777</v>
      </c>
      <c r="F1017" s="44"/>
      <c r="G1017" s="46"/>
    </row>
    <row r="1018" spans="2:7" x14ac:dyDescent="0.35">
      <c r="B1018" s="41" t="s">
        <v>2165</v>
      </c>
      <c r="C1018" s="41" t="s">
        <v>2164</v>
      </c>
      <c r="D1018" s="42" t="s">
        <v>2166</v>
      </c>
      <c r="E1018" s="43" t="s">
        <v>4777</v>
      </c>
      <c r="F1018" s="44"/>
      <c r="G1018" s="46"/>
    </row>
    <row r="1019" spans="2:7" x14ac:dyDescent="0.35">
      <c r="B1019" s="41" t="s">
        <v>2168</v>
      </c>
      <c r="C1019" s="41" t="s">
        <v>2167</v>
      </c>
      <c r="D1019" s="42" t="s">
        <v>4659</v>
      </c>
      <c r="E1019" s="43" t="s">
        <v>4777</v>
      </c>
      <c r="F1019" s="44"/>
      <c r="G1019" s="46"/>
    </row>
    <row r="1020" spans="2:7" x14ac:dyDescent="0.35">
      <c r="B1020" s="41" t="s">
        <v>2185</v>
      </c>
      <c r="C1020" s="45" t="s">
        <v>2184</v>
      </c>
      <c r="D1020" s="42" t="s">
        <v>2186</v>
      </c>
      <c r="E1020" s="43" t="s">
        <v>4777</v>
      </c>
      <c r="F1020" s="44"/>
      <c r="G1020" s="46"/>
    </row>
    <row r="1021" spans="2:7" x14ac:dyDescent="0.35">
      <c r="B1021" s="41" t="s">
        <v>2214</v>
      </c>
      <c r="C1021" s="41" t="s">
        <v>2213</v>
      </c>
      <c r="D1021" s="42" t="s">
        <v>2215</v>
      </c>
      <c r="E1021" s="43" t="s">
        <v>4777</v>
      </c>
      <c r="F1021" s="44"/>
      <c r="G1021" s="46"/>
    </row>
    <row r="1022" spans="2:7" x14ac:dyDescent="0.35">
      <c r="B1022" s="41" t="s">
        <v>2477</v>
      </c>
      <c r="C1022" s="41" t="s">
        <v>2476</v>
      </c>
      <c r="D1022" s="42" t="s">
        <v>885</v>
      </c>
      <c r="E1022" s="43" t="s">
        <v>4777</v>
      </c>
      <c r="F1022" s="44"/>
      <c r="G1022" s="46"/>
    </row>
    <row r="1023" spans="2:7" x14ac:dyDescent="0.35">
      <c r="B1023" s="41" t="s">
        <v>2501</v>
      </c>
      <c r="C1023" s="41" t="s">
        <v>2500</v>
      </c>
      <c r="D1023" s="42" t="s">
        <v>2455</v>
      </c>
      <c r="E1023" s="43" t="s">
        <v>4777</v>
      </c>
      <c r="F1023" s="44"/>
      <c r="G1023" s="46"/>
    </row>
    <row r="1024" spans="2:7" x14ac:dyDescent="0.35">
      <c r="B1024" s="41" t="s">
        <v>2507</v>
      </c>
      <c r="C1024" s="41" t="s">
        <v>2506</v>
      </c>
      <c r="D1024" s="42" t="s">
        <v>1424</v>
      </c>
      <c r="E1024" s="43" t="s">
        <v>4777</v>
      </c>
      <c r="F1024" s="44"/>
      <c r="G1024" s="46"/>
    </row>
    <row r="1025" spans="2:7" x14ac:dyDescent="0.35">
      <c r="B1025" s="41" t="s">
        <v>2950</v>
      </c>
      <c r="C1025" s="41" t="s">
        <v>2949</v>
      </c>
      <c r="D1025" s="42" t="s">
        <v>2951</v>
      </c>
      <c r="E1025" s="43" t="s">
        <v>4777</v>
      </c>
      <c r="F1025" s="44"/>
      <c r="G1025" s="46"/>
    </row>
    <row r="1026" spans="2:7" x14ac:dyDescent="0.35">
      <c r="B1026" s="41" t="s">
        <v>2953</v>
      </c>
      <c r="C1026" s="41" t="s">
        <v>2952</v>
      </c>
      <c r="D1026" s="42" t="s">
        <v>2954</v>
      </c>
      <c r="E1026" s="43" t="s">
        <v>4777</v>
      </c>
      <c r="F1026" s="44"/>
      <c r="G1026" s="46"/>
    </row>
    <row r="1027" spans="2:7" x14ac:dyDescent="0.35">
      <c r="B1027" s="41" t="s">
        <v>2956</v>
      </c>
      <c r="C1027" s="41" t="s">
        <v>2955</v>
      </c>
      <c r="D1027" s="42" t="s">
        <v>2954</v>
      </c>
      <c r="E1027" s="43" t="s">
        <v>4777</v>
      </c>
      <c r="F1027" s="44"/>
      <c r="G1027" s="46"/>
    </row>
    <row r="1028" spans="2:7" x14ac:dyDescent="0.35">
      <c r="B1028" s="41" t="s">
        <v>2979</v>
      </c>
      <c r="C1028" s="41" t="s">
        <v>2978</v>
      </c>
      <c r="D1028" s="42" t="s">
        <v>2980</v>
      </c>
      <c r="E1028" s="43" t="s">
        <v>4777</v>
      </c>
      <c r="F1028" s="44"/>
      <c r="G1028" s="46"/>
    </row>
    <row r="1029" spans="2:7" x14ac:dyDescent="0.35">
      <c r="B1029" s="41" t="s">
        <v>2982</v>
      </c>
      <c r="C1029" s="41" t="s">
        <v>2981</v>
      </c>
      <c r="D1029" s="42" t="s">
        <v>2954</v>
      </c>
      <c r="E1029" s="43" t="s">
        <v>4777</v>
      </c>
      <c r="F1029" s="44"/>
      <c r="G1029" s="46"/>
    </row>
    <row r="1030" spans="2:7" x14ac:dyDescent="0.35">
      <c r="B1030" s="41" t="s">
        <v>2984</v>
      </c>
      <c r="C1030" s="41" t="s">
        <v>2983</v>
      </c>
      <c r="D1030" s="42" t="s">
        <v>2954</v>
      </c>
      <c r="E1030" s="43" t="s">
        <v>4777</v>
      </c>
      <c r="F1030" s="44"/>
      <c r="G1030" s="46"/>
    </row>
    <row r="1031" spans="2:7" x14ac:dyDescent="0.35">
      <c r="B1031" s="41" t="s">
        <v>2986</v>
      </c>
      <c r="C1031" s="41" t="s">
        <v>2985</v>
      </c>
      <c r="D1031" s="42" t="s">
        <v>2954</v>
      </c>
      <c r="E1031" s="43" t="s">
        <v>4777</v>
      </c>
      <c r="F1031" s="44"/>
      <c r="G1031" s="46"/>
    </row>
    <row r="1032" spans="2:7" x14ac:dyDescent="0.35">
      <c r="B1032" s="41" t="s">
        <v>3003</v>
      </c>
      <c r="C1032" s="41" t="s">
        <v>3002</v>
      </c>
      <c r="D1032" s="42" t="s">
        <v>2954</v>
      </c>
      <c r="E1032" s="43" t="s">
        <v>4777</v>
      </c>
      <c r="F1032" s="44"/>
      <c r="G1032" s="46"/>
    </row>
    <row r="1033" spans="2:7" x14ac:dyDescent="0.35">
      <c r="B1033" s="41" t="s">
        <v>3112</v>
      </c>
      <c r="C1033" s="41" t="s">
        <v>3111</v>
      </c>
      <c r="D1033" s="42" t="s">
        <v>2927</v>
      </c>
      <c r="E1033" s="43" t="s">
        <v>4777</v>
      </c>
      <c r="F1033" s="44"/>
      <c r="G1033" s="46"/>
    </row>
    <row r="1034" spans="2:7" x14ac:dyDescent="0.35">
      <c r="B1034" s="41" t="s">
        <v>3114</v>
      </c>
      <c r="C1034" s="41" t="s">
        <v>3113</v>
      </c>
      <c r="D1034" s="42" t="s">
        <v>2927</v>
      </c>
      <c r="E1034" s="43" t="s">
        <v>4777</v>
      </c>
      <c r="F1034" s="44"/>
      <c r="G1034" s="46"/>
    </row>
    <row r="1035" spans="2:7" x14ac:dyDescent="0.35">
      <c r="B1035" s="41" t="s">
        <v>3142</v>
      </c>
      <c r="C1035" s="41" t="s">
        <v>3141</v>
      </c>
      <c r="D1035" s="42" t="s">
        <v>2980</v>
      </c>
      <c r="E1035" s="43" t="s">
        <v>4777</v>
      </c>
      <c r="F1035" s="44"/>
      <c r="G1035" s="46"/>
    </row>
    <row r="1036" spans="2:7" x14ac:dyDescent="0.35">
      <c r="B1036" s="41" t="s">
        <v>3144</v>
      </c>
      <c r="C1036" s="41" t="s">
        <v>3143</v>
      </c>
      <c r="D1036" s="42" t="s">
        <v>2980</v>
      </c>
      <c r="E1036" s="43" t="s">
        <v>4777</v>
      </c>
      <c r="F1036" s="44"/>
      <c r="G1036" s="46"/>
    </row>
    <row r="1037" spans="2:7" x14ac:dyDescent="0.35">
      <c r="B1037" s="41" t="s">
        <v>3177</v>
      </c>
      <c r="C1037" s="41" t="s">
        <v>3176</v>
      </c>
      <c r="D1037" s="42" t="s">
        <v>2980</v>
      </c>
      <c r="E1037" s="43" t="s">
        <v>4777</v>
      </c>
      <c r="F1037" s="44"/>
      <c r="G1037" s="46"/>
    </row>
    <row r="1038" spans="2:7" x14ac:dyDescent="0.35">
      <c r="B1038" s="41" t="s">
        <v>4112</v>
      </c>
      <c r="C1038" s="45" t="s">
        <v>4111</v>
      </c>
      <c r="D1038" s="42" t="s">
        <v>4108</v>
      </c>
      <c r="E1038" s="43" t="s">
        <v>4777</v>
      </c>
      <c r="F1038" s="44"/>
      <c r="G1038" s="46"/>
    </row>
    <row r="1039" spans="2:7" x14ac:dyDescent="0.35">
      <c r="B1039" s="41" t="s">
        <v>4122</v>
      </c>
      <c r="C1039" s="41" t="s">
        <v>4121</v>
      </c>
      <c r="D1039" s="42" t="s">
        <v>4567</v>
      </c>
      <c r="E1039" s="43" t="s">
        <v>4777</v>
      </c>
      <c r="F1039" s="44"/>
      <c r="G1039" s="46"/>
    </row>
    <row r="1040" spans="2:7" x14ac:dyDescent="0.35">
      <c r="B1040" s="41" t="s">
        <v>4124</v>
      </c>
      <c r="C1040" s="41" t="s">
        <v>4123</v>
      </c>
      <c r="D1040" s="42" t="s">
        <v>4567</v>
      </c>
      <c r="E1040" s="43" t="s">
        <v>4777</v>
      </c>
      <c r="F1040" s="44"/>
      <c r="G1040" s="46"/>
    </row>
    <row r="1041" spans="2:7" x14ac:dyDescent="0.35">
      <c r="B1041" s="41" t="s">
        <v>4225</v>
      </c>
      <c r="C1041" s="41" t="s">
        <v>4224</v>
      </c>
      <c r="D1041" s="42" t="s">
        <v>4149</v>
      </c>
      <c r="E1041" s="43" t="s">
        <v>4777</v>
      </c>
      <c r="F1041" s="44"/>
      <c r="G1041" s="46"/>
    </row>
    <row r="1042" spans="2:7" x14ac:dyDescent="0.35">
      <c r="B1042" s="41" t="s">
        <v>4483</v>
      </c>
      <c r="C1042" s="41" t="s">
        <v>4482</v>
      </c>
      <c r="D1042" s="42" t="s">
        <v>4439</v>
      </c>
      <c r="E1042" s="43" t="s">
        <v>4777</v>
      </c>
      <c r="F1042" s="44"/>
      <c r="G1042" s="46"/>
    </row>
    <row r="1043" spans="2:7" x14ac:dyDescent="0.35">
      <c r="B1043" s="41" t="s">
        <v>4485</v>
      </c>
      <c r="C1043" s="41" t="s">
        <v>4484</v>
      </c>
      <c r="D1043" s="42" t="s">
        <v>4439</v>
      </c>
      <c r="E1043" s="43" t="s">
        <v>4777</v>
      </c>
      <c r="F1043" s="44"/>
      <c r="G1043" s="46"/>
    </row>
    <row r="1044" spans="2:7" x14ac:dyDescent="0.35">
      <c r="B1044" s="41" t="s">
        <v>4487</v>
      </c>
      <c r="C1044" s="41" t="s">
        <v>4486</v>
      </c>
      <c r="D1044" s="42" t="s">
        <v>4488</v>
      </c>
      <c r="E1044" s="43" t="s">
        <v>4777</v>
      </c>
      <c r="F1044" s="44"/>
      <c r="G1044" s="46"/>
    </row>
    <row r="1045" spans="2:7" x14ac:dyDescent="0.35">
      <c r="B1045" s="41" t="s">
        <v>4490</v>
      </c>
      <c r="C1045" s="41" t="s">
        <v>4489</v>
      </c>
      <c r="D1045" s="42" t="s">
        <v>4439</v>
      </c>
      <c r="E1045" s="43" t="s">
        <v>4777</v>
      </c>
      <c r="F1045" s="44"/>
      <c r="G1045" s="46"/>
    </row>
    <row r="1046" spans="2:7" x14ac:dyDescent="0.35">
      <c r="B1046" s="41" t="s">
        <v>4492</v>
      </c>
      <c r="C1046" s="41" t="s">
        <v>4491</v>
      </c>
      <c r="D1046" s="42" t="s">
        <v>4439</v>
      </c>
      <c r="E1046" s="43" t="s">
        <v>4777</v>
      </c>
      <c r="F1046" s="44"/>
      <c r="G1046" s="46"/>
    </row>
    <row r="1047" spans="2:7" x14ac:dyDescent="0.35">
      <c r="B1047" s="41" t="s">
        <v>4494</v>
      </c>
      <c r="C1047" s="41" t="s">
        <v>4493</v>
      </c>
      <c r="D1047" s="42" t="s">
        <v>4439</v>
      </c>
      <c r="E1047" s="43" t="s">
        <v>4777</v>
      </c>
      <c r="F1047" s="44"/>
      <c r="G1047" s="46"/>
    </row>
    <row r="1048" spans="2:7" x14ac:dyDescent="0.4">
      <c r="B1048" s="46" t="s">
        <v>4633</v>
      </c>
      <c r="C1048" s="46"/>
      <c r="D1048" s="42" t="s">
        <v>4634</v>
      </c>
      <c r="E1048" s="43" t="s">
        <v>4777</v>
      </c>
      <c r="F1048" s="44"/>
      <c r="G1048" s="46"/>
    </row>
    <row r="1049" spans="2:7" x14ac:dyDescent="0.4">
      <c r="B1049" s="46" t="s">
        <v>4635</v>
      </c>
      <c r="C1049" s="46"/>
      <c r="D1049" s="42" t="s">
        <v>4636</v>
      </c>
      <c r="E1049" s="43" t="s">
        <v>4777</v>
      </c>
      <c r="F1049" s="44"/>
      <c r="G1049" s="46"/>
    </row>
    <row r="1050" spans="2:7" x14ac:dyDescent="0.4">
      <c r="B1050" s="46" t="s">
        <v>4637</v>
      </c>
      <c r="C1050" s="46"/>
      <c r="D1050" s="42" t="s">
        <v>4634</v>
      </c>
      <c r="E1050" s="43" t="s">
        <v>4777</v>
      </c>
      <c r="F1050" s="44"/>
      <c r="G1050" s="46"/>
    </row>
    <row r="1051" spans="2:7" x14ac:dyDescent="0.4">
      <c r="B1051" s="46" t="s">
        <v>4638</v>
      </c>
      <c r="C1051" s="46"/>
      <c r="D1051" s="42" t="s">
        <v>4639</v>
      </c>
      <c r="E1051" s="43" t="s">
        <v>4777</v>
      </c>
      <c r="F1051" s="44"/>
      <c r="G1051" s="46"/>
    </row>
    <row r="1052" spans="2:7" x14ac:dyDescent="0.4">
      <c r="B1052" s="46" t="s">
        <v>4640</v>
      </c>
      <c r="C1052" s="46"/>
      <c r="D1052" s="42" t="s">
        <v>4639</v>
      </c>
      <c r="E1052" s="43" t="s">
        <v>4777</v>
      </c>
      <c r="F1052" s="44"/>
      <c r="G1052" s="46"/>
    </row>
    <row r="1053" spans="2:7" x14ac:dyDescent="0.4">
      <c r="B1053" s="46" t="s">
        <v>4641</v>
      </c>
      <c r="C1053" s="46"/>
      <c r="D1053" s="42" t="s">
        <v>4639</v>
      </c>
      <c r="E1053" s="43" t="s">
        <v>4777</v>
      </c>
      <c r="F1053" s="44"/>
      <c r="G1053" s="46"/>
    </row>
    <row r="1054" spans="2:7" x14ac:dyDescent="0.4">
      <c r="B1054" s="46" t="s">
        <v>4642</v>
      </c>
      <c r="C1054" s="46"/>
      <c r="D1054" s="42" t="s">
        <v>4639</v>
      </c>
      <c r="E1054" s="43" t="s">
        <v>4777</v>
      </c>
      <c r="F1054" s="44"/>
      <c r="G1054" s="46"/>
    </row>
    <row r="1055" spans="2:7" x14ac:dyDescent="0.4">
      <c r="B1055" s="46" t="s">
        <v>4643</v>
      </c>
      <c r="C1055" s="46"/>
      <c r="D1055" s="42" t="s">
        <v>4639</v>
      </c>
      <c r="E1055" s="43" t="s">
        <v>4777</v>
      </c>
      <c r="F1055" s="44"/>
      <c r="G1055" s="46"/>
    </row>
    <row r="1056" spans="2:7" x14ac:dyDescent="0.35">
      <c r="B1056" s="41" t="s">
        <v>4151</v>
      </c>
      <c r="C1056" s="41" t="s">
        <v>4150</v>
      </c>
      <c r="D1056" s="42" t="s">
        <v>3896</v>
      </c>
      <c r="E1056" s="43" t="s">
        <v>4810</v>
      </c>
      <c r="F1056" s="44"/>
      <c r="G1056" s="46"/>
    </row>
    <row r="1057" spans="2:7" x14ac:dyDescent="0.35">
      <c r="B1057" s="41" t="s">
        <v>4157</v>
      </c>
      <c r="C1057" s="41" t="s">
        <v>4156</v>
      </c>
      <c r="D1057" s="42" t="s">
        <v>4158</v>
      </c>
      <c r="E1057" s="43" t="s">
        <v>4810</v>
      </c>
      <c r="F1057" s="44"/>
      <c r="G1057" s="46"/>
    </row>
    <row r="1058" spans="2:7" x14ac:dyDescent="0.35">
      <c r="B1058" s="41" t="s">
        <v>4175</v>
      </c>
      <c r="C1058" s="41" t="s">
        <v>4174</v>
      </c>
      <c r="D1058" s="42" t="s">
        <v>2112</v>
      </c>
      <c r="E1058" s="43" t="s">
        <v>4811</v>
      </c>
      <c r="F1058" s="44"/>
      <c r="G1058" s="46"/>
    </row>
    <row r="1059" spans="2:7" x14ac:dyDescent="0.35">
      <c r="B1059" s="41" t="s">
        <v>4177</v>
      </c>
      <c r="C1059" s="41" t="s">
        <v>4176</v>
      </c>
      <c r="D1059" s="42" t="s">
        <v>4178</v>
      </c>
      <c r="E1059" s="43" t="s">
        <v>4811</v>
      </c>
      <c r="F1059" s="44"/>
      <c r="G1059" s="46"/>
    </row>
    <row r="1060" spans="2:7" x14ac:dyDescent="0.4">
      <c r="B1060" s="46" t="s">
        <v>167</v>
      </c>
      <c r="C1060" s="46" t="s">
        <v>166</v>
      </c>
      <c r="D1060" s="42" t="s">
        <v>168</v>
      </c>
      <c r="E1060" s="43" t="s">
        <v>4770</v>
      </c>
      <c r="F1060" s="44"/>
      <c r="G1060" s="46"/>
    </row>
    <row r="1061" spans="2:7" x14ac:dyDescent="0.35">
      <c r="B1061" s="45" t="s">
        <v>1897</v>
      </c>
      <c r="C1061" s="45" t="s">
        <v>1896</v>
      </c>
      <c r="D1061" s="42" t="s">
        <v>1898</v>
      </c>
      <c r="E1061" s="43" t="s">
        <v>4789</v>
      </c>
      <c r="F1061" s="44"/>
      <c r="G1061" s="46"/>
    </row>
    <row r="1062" spans="2:7" x14ac:dyDescent="0.35">
      <c r="B1062" s="41" t="s">
        <v>1906</v>
      </c>
      <c r="C1062" s="41" t="s">
        <v>1905</v>
      </c>
      <c r="D1062" s="42" t="s">
        <v>1907</v>
      </c>
      <c r="E1062" s="43" t="s">
        <v>4789</v>
      </c>
      <c r="F1062" s="44"/>
      <c r="G1062" s="46"/>
    </row>
    <row r="1063" spans="2:7" x14ac:dyDescent="0.35">
      <c r="B1063" s="45" t="s">
        <v>1909</v>
      </c>
      <c r="C1063" s="45" t="s">
        <v>1908</v>
      </c>
      <c r="D1063" s="42" t="s">
        <v>1910</v>
      </c>
      <c r="E1063" s="43" t="s">
        <v>4789</v>
      </c>
      <c r="F1063" s="44"/>
      <c r="G1063" s="46"/>
    </row>
    <row r="1064" spans="2:7" x14ac:dyDescent="0.35">
      <c r="B1064" s="41" t="s">
        <v>2231</v>
      </c>
      <c r="C1064" s="41" t="s">
        <v>2230</v>
      </c>
      <c r="D1064" s="42" t="s">
        <v>2232</v>
      </c>
      <c r="E1064" s="43" t="s">
        <v>4789</v>
      </c>
      <c r="F1064" s="44"/>
      <c r="G1064" s="46"/>
    </row>
    <row r="1065" spans="2:7" x14ac:dyDescent="0.4">
      <c r="B1065" s="46" t="s">
        <v>177</v>
      </c>
      <c r="C1065" s="46" t="s">
        <v>176</v>
      </c>
      <c r="D1065" s="42" t="s">
        <v>178</v>
      </c>
      <c r="E1065" s="43" t="s">
        <v>4772</v>
      </c>
      <c r="F1065" s="44"/>
      <c r="G1065" s="46"/>
    </row>
    <row r="1066" spans="2:7" x14ac:dyDescent="0.35">
      <c r="B1066" s="41" t="s">
        <v>274</v>
      </c>
      <c r="C1066" s="41" t="s">
        <v>273</v>
      </c>
      <c r="D1066" s="42" t="s">
        <v>275</v>
      </c>
      <c r="E1066" s="43" t="s">
        <v>4772</v>
      </c>
      <c r="F1066" s="44"/>
      <c r="G1066" s="46"/>
    </row>
    <row r="1067" spans="2:7" x14ac:dyDescent="0.35">
      <c r="B1067" s="41" t="s">
        <v>277</v>
      </c>
      <c r="C1067" s="41" t="s">
        <v>276</v>
      </c>
      <c r="D1067" s="42" t="s">
        <v>275</v>
      </c>
      <c r="E1067" s="43" t="s">
        <v>4772</v>
      </c>
      <c r="F1067" s="44"/>
      <c r="G1067" s="46"/>
    </row>
    <row r="1068" spans="2:7" x14ac:dyDescent="0.35">
      <c r="B1068" s="41" t="s">
        <v>351</v>
      </c>
      <c r="C1068" s="41" t="s">
        <v>350</v>
      </c>
      <c r="D1068" s="42" t="s">
        <v>426</v>
      </c>
      <c r="E1068" s="43" t="s">
        <v>4772</v>
      </c>
      <c r="F1068" s="44"/>
      <c r="G1068" s="46"/>
    </row>
    <row r="1069" spans="2:7" x14ac:dyDescent="0.35">
      <c r="B1069" s="41" t="s">
        <v>414</v>
      </c>
      <c r="C1069" s="41" t="s">
        <v>413</v>
      </c>
      <c r="D1069" s="42" t="s">
        <v>415</v>
      </c>
      <c r="E1069" s="43" t="s">
        <v>4772</v>
      </c>
      <c r="F1069" s="44"/>
      <c r="G1069" s="46"/>
    </row>
    <row r="1070" spans="2:7" x14ac:dyDescent="0.35">
      <c r="B1070" s="41" t="s">
        <v>417</v>
      </c>
      <c r="C1070" s="41" t="s">
        <v>416</v>
      </c>
      <c r="D1070" s="42" t="s">
        <v>418</v>
      </c>
      <c r="E1070" s="43" t="s">
        <v>4772</v>
      </c>
      <c r="F1070" s="44"/>
      <c r="G1070" s="46"/>
    </row>
    <row r="1071" spans="2:7" x14ac:dyDescent="0.35">
      <c r="B1071" s="41" t="s">
        <v>420</v>
      </c>
      <c r="C1071" s="41" t="s">
        <v>419</v>
      </c>
      <c r="D1071" s="42" t="s">
        <v>421</v>
      </c>
      <c r="E1071" s="43" t="s">
        <v>4772</v>
      </c>
      <c r="F1071" s="44"/>
      <c r="G1071" s="46"/>
    </row>
    <row r="1072" spans="2:7" x14ac:dyDescent="0.35">
      <c r="B1072" s="41" t="s">
        <v>905</v>
      </c>
      <c r="C1072" s="41" t="s">
        <v>904</v>
      </c>
      <c r="D1072" s="42" t="s">
        <v>897</v>
      </c>
      <c r="E1072" s="43" t="s">
        <v>4772</v>
      </c>
      <c r="F1072" s="44"/>
      <c r="G1072" s="46"/>
    </row>
    <row r="1073" spans="2:7" x14ac:dyDescent="0.35">
      <c r="B1073" s="41" t="s">
        <v>907</v>
      </c>
      <c r="C1073" s="41" t="s">
        <v>906</v>
      </c>
      <c r="D1073" s="42" t="s">
        <v>897</v>
      </c>
      <c r="E1073" s="43" t="s">
        <v>4772</v>
      </c>
      <c r="F1073" s="44"/>
      <c r="G1073" s="46"/>
    </row>
    <row r="1074" spans="2:7" x14ac:dyDescent="0.35">
      <c r="B1074" s="41" t="s">
        <v>909</v>
      </c>
      <c r="C1074" s="41" t="s">
        <v>908</v>
      </c>
      <c r="D1074" s="42" t="s">
        <v>897</v>
      </c>
      <c r="E1074" s="43" t="s">
        <v>4772</v>
      </c>
      <c r="F1074" s="44"/>
      <c r="G1074" s="46"/>
    </row>
    <row r="1075" spans="2:7" x14ac:dyDescent="0.35">
      <c r="B1075" s="41" t="s">
        <v>911</v>
      </c>
      <c r="C1075" s="41" t="s">
        <v>910</v>
      </c>
      <c r="D1075" s="42" t="s">
        <v>897</v>
      </c>
      <c r="E1075" s="43" t="s">
        <v>4772</v>
      </c>
      <c r="F1075" s="44"/>
      <c r="G1075" s="46"/>
    </row>
    <row r="1076" spans="2:7" x14ac:dyDescent="0.35">
      <c r="B1076" s="41" t="s">
        <v>913</v>
      </c>
      <c r="C1076" s="41" t="s">
        <v>912</v>
      </c>
      <c r="D1076" s="42" t="s">
        <v>897</v>
      </c>
      <c r="E1076" s="43" t="s">
        <v>4772</v>
      </c>
      <c r="F1076" s="44"/>
      <c r="G1076" s="46"/>
    </row>
    <row r="1077" spans="2:7" x14ac:dyDescent="0.35">
      <c r="B1077" s="41" t="s">
        <v>915</v>
      </c>
      <c r="C1077" s="41" t="s">
        <v>914</v>
      </c>
      <c r="D1077" s="42" t="s">
        <v>897</v>
      </c>
      <c r="E1077" s="43" t="s">
        <v>4772</v>
      </c>
      <c r="F1077" s="44"/>
      <c r="G1077" s="46"/>
    </row>
    <row r="1078" spans="2:7" x14ac:dyDescent="0.35">
      <c r="B1078" s="41" t="s">
        <v>921</v>
      </c>
      <c r="C1078" s="41" t="s">
        <v>920</v>
      </c>
      <c r="D1078" s="42" t="s">
        <v>922</v>
      </c>
      <c r="E1078" s="43" t="s">
        <v>4772</v>
      </c>
      <c r="F1078" s="44"/>
      <c r="G1078" s="46"/>
    </row>
    <row r="1079" spans="2:7" x14ac:dyDescent="0.35">
      <c r="B1079" s="41" t="s">
        <v>924</v>
      </c>
      <c r="C1079" s="41" t="s">
        <v>923</v>
      </c>
      <c r="D1079" s="42" t="s">
        <v>922</v>
      </c>
      <c r="E1079" s="43" t="s">
        <v>4772</v>
      </c>
      <c r="F1079" s="44"/>
      <c r="G1079" s="46"/>
    </row>
    <row r="1080" spans="2:7" x14ac:dyDescent="0.35">
      <c r="B1080" s="41" t="s">
        <v>926</v>
      </c>
      <c r="C1080" s="41" t="s">
        <v>925</v>
      </c>
      <c r="D1080" s="42" t="s">
        <v>922</v>
      </c>
      <c r="E1080" s="43" t="s">
        <v>4772</v>
      </c>
      <c r="F1080" s="44"/>
      <c r="G1080" s="46"/>
    </row>
    <row r="1081" spans="2:7" x14ac:dyDescent="0.35">
      <c r="B1081" s="41" t="s">
        <v>928</v>
      </c>
      <c r="C1081" s="41" t="s">
        <v>927</v>
      </c>
      <c r="D1081" s="42" t="s">
        <v>922</v>
      </c>
      <c r="E1081" s="43" t="s">
        <v>4772</v>
      </c>
      <c r="F1081" s="44"/>
      <c r="G1081" s="46"/>
    </row>
    <row r="1082" spans="2:7" x14ac:dyDescent="0.35">
      <c r="B1082" s="41" t="s">
        <v>932</v>
      </c>
      <c r="C1082" s="41" t="s">
        <v>931</v>
      </c>
      <c r="D1082" s="42" t="s">
        <v>933</v>
      </c>
      <c r="E1082" s="43" t="s">
        <v>4772</v>
      </c>
      <c r="F1082" s="44"/>
      <c r="G1082" s="46"/>
    </row>
    <row r="1083" spans="2:7" x14ac:dyDescent="0.35">
      <c r="B1083" s="45" t="s">
        <v>1133</v>
      </c>
      <c r="C1083" s="45" t="s">
        <v>1132</v>
      </c>
      <c r="D1083" s="42" t="s">
        <v>369</v>
      </c>
      <c r="E1083" s="43" t="s">
        <v>4772</v>
      </c>
      <c r="F1083" s="44"/>
      <c r="G1083" s="46"/>
    </row>
    <row r="1084" spans="2:7" x14ac:dyDescent="0.35">
      <c r="B1084" s="41" t="s">
        <v>1135</v>
      </c>
      <c r="C1084" s="41" t="s">
        <v>1134</v>
      </c>
      <c r="D1084" s="42" t="s">
        <v>1136</v>
      </c>
      <c r="E1084" s="43" t="s">
        <v>4772</v>
      </c>
      <c r="F1084" s="44"/>
      <c r="G1084" s="46"/>
    </row>
    <row r="1085" spans="2:7" x14ac:dyDescent="0.35">
      <c r="B1085" s="41" t="s">
        <v>4711</v>
      </c>
      <c r="C1085" s="41" t="s">
        <v>1139</v>
      </c>
      <c r="D1085" s="42" t="s">
        <v>366</v>
      </c>
      <c r="E1085" s="43" t="s">
        <v>4772</v>
      </c>
      <c r="F1085" s="44"/>
      <c r="G1085" s="46"/>
    </row>
    <row r="1086" spans="2:7" x14ac:dyDescent="0.35">
      <c r="B1086" s="45" t="s">
        <v>1354</v>
      </c>
      <c r="C1086" s="45" t="s">
        <v>1353</v>
      </c>
      <c r="D1086" s="42" t="s">
        <v>845</v>
      </c>
      <c r="E1086" s="43" t="s">
        <v>4772</v>
      </c>
      <c r="F1086" s="44"/>
      <c r="G1086" s="46"/>
    </row>
    <row r="1087" spans="2:7" x14ac:dyDescent="0.35">
      <c r="B1087" s="41" t="s">
        <v>1375</v>
      </c>
      <c r="C1087" s="41" t="s">
        <v>1374</v>
      </c>
      <c r="D1087" s="42" t="s">
        <v>1376</v>
      </c>
      <c r="E1087" s="43" t="s">
        <v>4772</v>
      </c>
      <c r="F1087" s="44"/>
      <c r="G1087" s="46"/>
    </row>
    <row r="1088" spans="2:7" x14ac:dyDescent="0.35">
      <c r="B1088" s="41" t="s">
        <v>1417</v>
      </c>
      <c r="C1088" s="41" t="s">
        <v>4668</v>
      </c>
      <c r="D1088" s="42" t="s">
        <v>1398</v>
      </c>
      <c r="E1088" s="43" t="s">
        <v>4772</v>
      </c>
      <c r="F1088" s="44"/>
      <c r="G1088" s="46"/>
    </row>
    <row r="1089" spans="2:7" x14ac:dyDescent="0.35">
      <c r="B1089" s="41" t="s">
        <v>1423</v>
      </c>
      <c r="C1089" s="41" t="s">
        <v>1422</v>
      </c>
      <c r="D1089" s="42" t="s">
        <v>845</v>
      </c>
      <c r="E1089" s="43" t="s">
        <v>4772</v>
      </c>
      <c r="F1089" s="44"/>
      <c r="G1089" s="46"/>
    </row>
    <row r="1090" spans="2:7" x14ac:dyDescent="0.35">
      <c r="B1090" s="41" t="s">
        <v>1475</v>
      </c>
      <c r="C1090" s="41" t="s">
        <v>1474</v>
      </c>
      <c r="D1090" s="42" t="s">
        <v>678</v>
      </c>
      <c r="E1090" s="43" t="s">
        <v>4772</v>
      </c>
      <c r="F1090" s="44"/>
      <c r="G1090" s="46"/>
    </row>
    <row r="1091" spans="2:7" x14ac:dyDescent="0.35">
      <c r="B1091" s="41" t="s">
        <v>1477</v>
      </c>
      <c r="C1091" s="41" t="s">
        <v>1476</v>
      </c>
      <c r="D1091" s="42" t="s">
        <v>678</v>
      </c>
      <c r="E1091" s="43" t="s">
        <v>4772</v>
      </c>
      <c r="F1091" s="44"/>
      <c r="G1091" s="46"/>
    </row>
    <row r="1092" spans="2:7" x14ac:dyDescent="0.35">
      <c r="B1092" s="41" t="s">
        <v>1813</v>
      </c>
      <c r="C1092" s="41" t="s">
        <v>1812</v>
      </c>
      <c r="D1092" s="42" t="s">
        <v>1814</v>
      </c>
      <c r="E1092" s="43" t="s">
        <v>4772</v>
      </c>
      <c r="F1092" s="44"/>
      <c r="G1092" s="46"/>
    </row>
    <row r="1093" spans="2:7" x14ac:dyDescent="0.35">
      <c r="B1093" s="41" t="s">
        <v>2123</v>
      </c>
      <c r="C1093" s="41" t="s">
        <v>2122</v>
      </c>
      <c r="D1093" s="42" t="s">
        <v>366</v>
      </c>
      <c r="E1093" s="43" t="s">
        <v>4772</v>
      </c>
      <c r="F1093" s="44"/>
      <c r="G1093" s="46"/>
    </row>
    <row r="1094" spans="2:7" x14ac:dyDescent="0.35">
      <c r="B1094" s="41" t="s">
        <v>2219</v>
      </c>
      <c r="C1094" s="41" t="s">
        <v>2218</v>
      </c>
      <c r="D1094" s="42" t="s">
        <v>366</v>
      </c>
      <c r="E1094" s="43" t="s">
        <v>4772</v>
      </c>
      <c r="F1094" s="44"/>
      <c r="G1094" s="46"/>
    </row>
    <row r="1095" spans="2:7" x14ac:dyDescent="0.35">
      <c r="B1095" s="41" t="s">
        <v>2459</v>
      </c>
      <c r="C1095" s="41" t="s">
        <v>2458</v>
      </c>
      <c r="D1095" s="42" t="s">
        <v>2460</v>
      </c>
      <c r="E1095" s="43" t="s">
        <v>4772</v>
      </c>
      <c r="F1095" s="44"/>
      <c r="G1095" s="46"/>
    </row>
    <row r="1096" spans="2:7" x14ac:dyDescent="0.35">
      <c r="B1096" s="41" t="s">
        <v>3095</v>
      </c>
      <c r="C1096" s="41" t="s">
        <v>3094</v>
      </c>
      <c r="D1096" s="42" t="s">
        <v>2980</v>
      </c>
      <c r="E1096" s="43" t="s">
        <v>4772</v>
      </c>
      <c r="F1096" s="44"/>
      <c r="G1096" s="46"/>
    </row>
    <row r="1097" spans="2:7" x14ac:dyDescent="0.35">
      <c r="B1097" s="41" t="s">
        <v>3097</v>
      </c>
      <c r="C1097" s="41" t="s">
        <v>3096</v>
      </c>
      <c r="D1097" s="42" t="s">
        <v>2980</v>
      </c>
      <c r="E1097" s="43" t="s">
        <v>4772</v>
      </c>
      <c r="F1097" s="44"/>
      <c r="G1097" s="46"/>
    </row>
    <row r="1098" spans="2:7" x14ac:dyDescent="0.35">
      <c r="B1098" s="41" t="s">
        <v>1467</v>
      </c>
      <c r="C1098" s="41" t="s">
        <v>1466</v>
      </c>
      <c r="D1098" s="42" t="s">
        <v>1459</v>
      </c>
      <c r="E1098" s="43" t="s">
        <v>4762</v>
      </c>
      <c r="F1098" s="44"/>
      <c r="G1098" s="46"/>
    </row>
    <row r="1099" spans="2:7" x14ac:dyDescent="0.35">
      <c r="B1099" s="41" t="s">
        <v>1469</v>
      </c>
      <c r="C1099" s="41" t="s">
        <v>1468</v>
      </c>
      <c r="D1099" s="42" t="s">
        <v>1459</v>
      </c>
      <c r="E1099" s="43" t="s">
        <v>4762</v>
      </c>
      <c r="F1099" s="44"/>
      <c r="G1099" s="46"/>
    </row>
    <row r="1100" spans="2:7" x14ac:dyDescent="0.35">
      <c r="B1100" s="41" t="s">
        <v>3895</v>
      </c>
      <c r="C1100" s="41" t="s">
        <v>3894</v>
      </c>
      <c r="D1100" s="42" t="s">
        <v>3896</v>
      </c>
      <c r="E1100" s="43" t="s">
        <v>4762</v>
      </c>
      <c r="F1100" s="44"/>
      <c r="G1100" s="46"/>
    </row>
    <row r="1101" spans="2:7" x14ac:dyDescent="0.35">
      <c r="B1101" s="41" t="s">
        <v>4107</v>
      </c>
      <c r="C1101" s="41" t="s">
        <v>4106</v>
      </c>
      <c r="D1101" s="42" t="s">
        <v>4108</v>
      </c>
      <c r="E1101" s="43" t="s">
        <v>4762</v>
      </c>
      <c r="F1101" s="44"/>
      <c r="G1101" s="46"/>
    </row>
    <row r="1102" spans="2:7" x14ac:dyDescent="0.4">
      <c r="B1102" s="46" t="s">
        <v>4114</v>
      </c>
      <c r="C1102" s="46" t="s">
        <v>4113</v>
      </c>
      <c r="D1102" s="42" t="s">
        <v>4108</v>
      </c>
      <c r="E1102" s="43" t="s">
        <v>4762</v>
      </c>
      <c r="F1102" s="44"/>
      <c r="G1102" s="46"/>
    </row>
    <row r="1103" spans="2:7" x14ac:dyDescent="0.35">
      <c r="B1103" s="45" t="s">
        <v>1566</v>
      </c>
      <c r="C1103" s="45" t="s">
        <v>1565</v>
      </c>
      <c r="D1103" s="42" t="s">
        <v>241</v>
      </c>
      <c r="E1103" s="43" t="s">
        <v>4788</v>
      </c>
      <c r="F1103" s="44"/>
      <c r="G1103" s="46"/>
    </row>
    <row r="1104" spans="2:7" x14ac:dyDescent="0.35">
      <c r="B1104" s="41" t="s">
        <v>1936</v>
      </c>
      <c r="C1104" s="41" t="s">
        <v>1935</v>
      </c>
      <c r="D1104" s="42" t="s">
        <v>241</v>
      </c>
      <c r="E1104" s="43" t="s">
        <v>4788</v>
      </c>
      <c r="F1104" s="44"/>
      <c r="G1104" s="46"/>
    </row>
    <row r="1105" spans="2:7" x14ac:dyDescent="0.35">
      <c r="B1105" s="41" t="s">
        <v>2263</v>
      </c>
      <c r="C1105" s="41" t="s">
        <v>2262</v>
      </c>
      <c r="D1105" s="42" t="s">
        <v>244</v>
      </c>
      <c r="E1105" s="43" t="s">
        <v>4788</v>
      </c>
      <c r="F1105" s="44"/>
      <c r="G1105" s="46"/>
    </row>
    <row r="1106" spans="2:7" x14ac:dyDescent="0.35">
      <c r="B1106" s="41" t="s">
        <v>445</v>
      </c>
      <c r="C1106" s="41" t="s">
        <v>444</v>
      </c>
      <c r="D1106" s="42" t="s">
        <v>386</v>
      </c>
      <c r="E1106" s="43" t="s">
        <v>4763</v>
      </c>
      <c r="F1106" s="44"/>
      <c r="G1106" s="46"/>
    </row>
    <row r="1107" spans="2:7" x14ac:dyDescent="0.35">
      <c r="B1107" s="41" t="s">
        <v>461</v>
      </c>
      <c r="C1107" s="41" t="s">
        <v>460</v>
      </c>
      <c r="D1107" s="42" t="s">
        <v>386</v>
      </c>
      <c r="E1107" s="43" t="s">
        <v>4763</v>
      </c>
      <c r="F1107" s="44"/>
      <c r="G1107" s="46"/>
    </row>
    <row r="1108" spans="2:7" x14ac:dyDescent="0.35">
      <c r="B1108" s="41" t="s">
        <v>716</v>
      </c>
      <c r="C1108" s="41" t="s">
        <v>715</v>
      </c>
      <c r="D1108" s="42" t="s">
        <v>700</v>
      </c>
      <c r="E1108" s="43" t="s">
        <v>4763</v>
      </c>
      <c r="F1108" s="44"/>
      <c r="G1108" s="46"/>
    </row>
    <row r="1109" spans="2:7" x14ac:dyDescent="0.35">
      <c r="B1109" s="41" t="s">
        <v>967</v>
      </c>
      <c r="C1109" s="41" t="s">
        <v>966</v>
      </c>
      <c r="D1109" s="42" t="s">
        <v>629</v>
      </c>
      <c r="E1109" s="43" t="s">
        <v>4763</v>
      </c>
      <c r="F1109" s="44"/>
      <c r="G1109" s="46"/>
    </row>
    <row r="1110" spans="2:7" x14ac:dyDescent="0.35">
      <c r="B1110" s="41" t="s">
        <v>987</v>
      </c>
      <c r="C1110" s="41" t="s">
        <v>986</v>
      </c>
      <c r="D1110" s="42" t="s">
        <v>988</v>
      </c>
      <c r="E1110" s="43" t="s">
        <v>4763</v>
      </c>
      <c r="F1110" s="44"/>
      <c r="G1110" s="46"/>
    </row>
    <row r="1111" spans="2:7" x14ac:dyDescent="0.35">
      <c r="B1111" s="41" t="s">
        <v>1522</v>
      </c>
      <c r="C1111" s="41" t="s">
        <v>1521</v>
      </c>
      <c r="D1111" s="42" t="s">
        <v>49</v>
      </c>
      <c r="E1111" s="43" t="s">
        <v>4763</v>
      </c>
      <c r="F1111" s="44"/>
      <c r="G1111" s="46"/>
    </row>
    <row r="1112" spans="2:7" x14ac:dyDescent="0.35">
      <c r="B1112" s="41" t="s">
        <v>1892</v>
      </c>
      <c r="C1112" s="41" t="s">
        <v>1891</v>
      </c>
      <c r="D1112" s="42" t="s">
        <v>1888</v>
      </c>
      <c r="E1112" s="43" t="s">
        <v>4763</v>
      </c>
      <c r="F1112" s="44"/>
      <c r="G1112" s="46"/>
    </row>
    <row r="1113" spans="2:7" x14ac:dyDescent="0.35">
      <c r="B1113" s="41" t="s">
        <v>2221</v>
      </c>
      <c r="C1113" s="41" t="s">
        <v>2220</v>
      </c>
      <c r="D1113" s="42" t="s">
        <v>2085</v>
      </c>
      <c r="E1113" s="43" t="s">
        <v>4763</v>
      </c>
      <c r="F1113" s="44"/>
      <c r="G1113" s="46"/>
    </row>
    <row r="1114" spans="2:7" x14ac:dyDescent="0.35">
      <c r="B1114" s="41" t="s">
        <v>2454</v>
      </c>
      <c r="C1114" s="41" t="s">
        <v>2453</v>
      </c>
      <c r="D1114" s="42" t="s">
        <v>2455</v>
      </c>
      <c r="E1114" s="43" t="s">
        <v>4763</v>
      </c>
      <c r="F1114" s="44"/>
      <c r="G1114" s="46"/>
    </row>
    <row r="1115" spans="2:7" x14ac:dyDescent="0.35">
      <c r="B1115" s="41" t="s">
        <v>2503</v>
      </c>
      <c r="C1115" s="41" t="s">
        <v>2502</v>
      </c>
      <c r="D1115" s="42" t="s">
        <v>249</v>
      </c>
      <c r="E1115" s="43" t="s">
        <v>4763</v>
      </c>
      <c r="F1115" s="44"/>
      <c r="G1115" s="46"/>
    </row>
    <row r="1116" spans="2:7" x14ac:dyDescent="0.35">
      <c r="B1116" s="45" t="s">
        <v>4617</v>
      </c>
      <c r="C1116" s="45" t="s">
        <v>2743</v>
      </c>
      <c r="D1116" s="42" t="s">
        <v>2736</v>
      </c>
      <c r="E1116" s="43" t="s">
        <v>4763</v>
      </c>
      <c r="F1116" s="44"/>
      <c r="G1116" s="46"/>
    </row>
    <row r="1117" spans="2:7" x14ac:dyDescent="0.35">
      <c r="B1117" s="45" t="s">
        <v>4618</v>
      </c>
      <c r="C1117" s="45" t="s">
        <v>2744</v>
      </c>
      <c r="D1117" s="42" t="s">
        <v>2712</v>
      </c>
      <c r="E1117" s="43" t="s">
        <v>4763</v>
      </c>
      <c r="F1117" s="44"/>
      <c r="G1117" s="46"/>
    </row>
    <row r="1118" spans="2:7" x14ac:dyDescent="0.35">
      <c r="B1118" s="41" t="s">
        <v>2807</v>
      </c>
      <c r="C1118" s="41" t="s">
        <v>2806</v>
      </c>
      <c r="D1118" s="42" t="s">
        <v>2760</v>
      </c>
      <c r="E1118" s="43" t="s">
        <v>4763</v>
      </c>
      <c r="F1118" s="44"/>
      <c r="G1118" s="46"/>
    </row>
    <row r="1119" spans="2:7" x14ac:dyDescent="0.35">
      <c r="B1119" s="41" t="s">
        <v>2909</v>
      </c>
      <c r="C1119" s="41" t="s">
        <v>2908</v>
      </c>
      <c r="D1119" s="42"/>
      <c r="E1119" s="43" t="s">
        <v>4763</v>
      </c>
      <c r="F1119" s="44"/>
      <c r="G1119" s="46"/>
    </row>
    <row r="1120" spans="2:7" x14ac:dyDescent="0.35">
      <c r="B1120" s="41" t="s">
        <v>3034</v>
      </c>
      <c r="C1120" s="41" t="s">
        <v>3033</v>
      </c>
      <c r="D1120" s="42" t="s">
        <v>2916</v>
      </c>
      <c r="E1120" s="43" t="s">
        <v>4763</v>
      </c>
      <c r="F1120" s="44"/>
      <c r="G1120" s="46"/>
    </row>
    <row r="1121" spans="2:7" x14ac:dyDescent="0.35">
      <c r="B1121" s="41" t="s">
        <v>3053</v>
      </c>
      <c r="C1121" s="41" t="s">
        <v>3052</v>
      </c>
      <c r="D1121" s="42" t="s">
        <v>2916</v>
      </c>
      <c r="E1121" s="43" t="s">
        <v>4763</v>
      </c>
      <c r="F1121" s="44"/>
      <c r="G1121" s="46"/>
    </row>
    <row r="1122" spans="2:7" x14ac:dyDescent="0.35">
      <c r="B1122" s="41" t="s">
        <v>3106</v>
      </c>
      <c r="C1122" s="41" t="s">
        <v>3105</v>
      </c>
      <c r="D1122" s="42" t="s">
        <v>2901</v>
      </c>
      <c r="E1122" s="43" t="s">
        <v>4763</v>
      </c>
      <c r="F1122" s="44"/>
      <c r="G1122" s="46"/>
    </row>
    <row r="1123" spans="2:7" x14ac:dyDescent="0.35">
      <c r="B1123" s="41" t="s">
        <v>3404</v>
      </c>
      <c r="C1123" s="41" t="s">
        <v>3403</v>
      </c>
      <c r="D1123" s="42" t="s">
        <v>3386</v>
      </c>
      <c r="E1123" s="43" t="s">
        <v>4763</v>
      </c>
      <c r="F1123" s="44"/>
      <c r="G1123" s="46"/>
    </row>
    <row r="1124" spans="2:7" x14ac:dyDescent="0.35">
      <c r="B1124" s="41" t="s">
        <v>3698</v>
      </c>
      <c r="C1124" s="41" t="s">
        <v>3697</v>
      </c>
      <c r="D1124" s="42" t="s">
        <v>418</v>
      </c>
      <c r="E1124" s="43" t="s">
        <v>4763</v>
      </c>
      <c r="F1124" s="44"/>
      <c r="G1124" s="46"/>
    </row>
    <row r="1125" spans="2:7" x14ac:dyDescent="0.35">
      <c r="B1125" s="41" t="s">
        <v>3700</v>
      </c>
      <c r="C1125" s="41" t="s">
        <v>3699</v>
      </c>
      <c r="D1125" s="42" t="s">
        <v>418</v>
      </c>
      <c r="E1125" s="43" t="s">
        <v>4763</v>
      </c>
      <c r="F1125" s="44"/>
      <c r="G1125" s="46"/>
    </row>
    <row r="1126" spans="2:7" x14ac:dyDescent="0.35">
      <c r="B1126" s="41" t="s">
        <v>4259</v>
      </c>
      <c r="C1126" s="41" t="s">
        <v>4258</v>
      </c>
      <c r="D1126" s="42" t="s">
        <v>4255</v>
      </c>
      <c r="E1126" s="43" t="s">
        <v>4763</v>
      </c>
      <c r="F1126" s="44"/>
      <c r="G1126" s="46"/>
    </row>
    <row r="1127" spans="2:7" x14ac:dyDescent="0.35">
      <c r="B1127" s="41" t="s">
        <v>4334</v>
      </c>
      <c r="C1127" s="41" t="s">
        <v>4333</v>
      </c>
      <c r="D1127" s="42" t="s">
        <v>4285</v>
      </c>
      <c r="E1127" s="43" t="s">
        <v>4763</v>
      </c>
      <c r="F1127" s="44"/>
      <c r="G1127" s="46"/>
    </row>
    <row r="1128" spans="2:7" x14ac:dyDescent="0.35">
      <c r="B1128" s="41" t="s">
        <v>4517</v>
      </c>
      <c r="C1128" s="41" t="s">
        <v>4516</v>
      </c>
      <c r="D1128" s="42" t="s">
        <v>4439</v>
      </c>
      <c r="E1128" s="43" t="s">
        <v>4763</v>
      </c>
      <c r="F1128" s="44"/>
      <c r="G1128" s="46"/>
    </row>
    <row r="1129" spans="2:7" x14ac:dyDescent="0.35">
      <c r="B1129" s="41" t="s">
        <v>2513</v>
      </c>
      <c r="C1129" s="41" t="s">
        <v>2512</v>
      </c>
      <c r="D1129" s="42" t="s">
        <v>2455</v>
      </c>
      <c r="E1129" s="43" t="s">
        <v>4795</v>
      </c>
      <c r="F1129" s="44"/>
      <c r="G1129" s="46"/>
    </row>
    <row r="1130" spans="2:7" x14ac:dyDescent="0.35">
      <c r="B1130" s="41" t="s">
        <v>471</v>
      </c>
      <c r="C1130" s="41" t="s">
        <v>470</v>
      </c>
      <c r="D1130" s="42" t="s">
        <v>472</v>
      </c>
      <c r="E1130" s="43" t="s">
        <v>4779</v>
      </c>
      <c r="F1130" s="44"/>
      <c r="G1130" s="46"/>
    </row>
    <row r="1131" spans="2:7" x14ac:dyDescent="0.35">
      <c r="B1131" s="41" t="s">
        <v>1534</v>
      </c>
      <c r="C1131" s="41" t="s">
        <v>1533</v>
      </c>
      <c r="D1131" s="42" t="s">
        <v>472</v>
      </c>
      <c r="E1131" s="43" t="s">
        <v>4779</v>
      </c>
      <c r="F1131" s="44"/>
      <c r="G1131" s="46"/>
    </row>
    <row r="1132" spans="2:7" x14ac:dyDescent="0.35">
      <c r="B1132" s="41" t="s">
        <v>1895</v>
      </c>
      <c r="C1132" s="41" t="s">
        <v>1894</v>
      </c>
      <c r="D1132" s="42" t="s">
        <v>472</v>
      </c>
      <c r="E1132" s="43" t="s">
        <v>4779</v>
      </c>
      <c r="F1132" s="44"/>
      <c r="G1132" s="46"/>
    </row>
    <row r="1133" spans="2:7" x14ac:dyDescent="0.35">
      <c r="B1133" s="41" t="s">
        <v>3634</v>
      </c>
      <c r="C1133" s="41" t="s">
        <v>3633</v>
      </c>
      <c r="D1133" s="42" t="s">
        <v>3632</v>
      </c>
      <c r="E1133" s="43" t="s">
        <v>4805</v>
      </c>
      <c r="F1133" s="44"/>
      <c r="G1133" s="46"/>
    </row>
    <row r="1134" spans="2:7" x14ac:dyDescent="0.35">
      <c r="B1134" s="41" t="s">
        <v>3879</v>
      </c>
      <c r="C1134" s="41" t="s">
        <v>3878</v>
      </c>
      <c r="D1134" s="42" t="s">
        <v>3880</v>
      </c>
      <c r="E1134" s="43" t="s">
        <v>4805</v>
      </c>
      <c r="F1134" s="44"/>
      <c r="G1134" s="46"/>
    </row>
    <row r="1135" spans="2:7" x14ac:dyDescent="0.35">
      <c r="B1135" s="41" t="s">
        <v>707</v>
      </c>
      <c r="C1135" s="41" t="s">
        <v>706</v>
      </c>
      <c r="D1135" s="42" t="s">
        <v>165</v>
      </c>
      <c r="E1135" s="43" t="s">
        <v>4752</v>
      </c>
      <c r="F1135" s="44"/>
      <c r="G1135" s="46"/>
    </row>
    <row r="1136" spans="2:7" x14ac:dyDescent="0.35">
      <c r="B1136" s="41" t="s">
        <v>709</v>
      </c>
      <c r="C1136" s="41" t="s">
        <v>708</v>
      </c>
      <c r="D1136" s="42" t="s">
        <v>665</v>
      </c>
      <c r="E1136" s="43" t="s">
        <v>4752</v>
      </c>
      <c r="F1136" s="44"/>
      <c r="G1136" s="46"/>
    </row>
    <row r="1137" spans="2:7" x14ac:dyDescent="0.35">
      <c r="B1137" s="41" t="s">
        <v>985</v>
      </c>
      <c r="C1137" s="41" t="s">
        <v>984</v>
      </c>
      <c r="D1137" s="42" t="s">
        <v>860</v>
      </c>
      <c r="E1137" s="43" t="s">
        <v>4752</v>
      </c>
      <c r="F1137" s="44"/>
      <c r="G1137" s="46"/>
    </row>
    <row r="1138" spans="2:7" x14ac:dyDescent="0.35">
      <c r="B1138" s="41" t="s">
        <v>1128</v>
      </c>
      <c r="C1138" s="41" t="s">
        <v>1127</v>
      </c>
      <c r="D1138" s="42" t="s">
        <v>1129</v>
      </c>
      <c r="E1138" s="43" t="s">
        <v>4752</v>
      </c>
      <c r="F1138" s="44"/>
      <c r="G1138" s="46"/>
    </row>
    <row r="1139" spans="2:7" x14ac:dyDescent="0.35">
      <c r="B1139" s="41" t="s">
        <v>2638</v>
      </c>
      <c r="C1139" s="41" t="s">
        <v>2637</v>
      </c>
      <c r="D1139" s="42" t="s">
        <v>2639</v>
      </c>
      <c r="E1139" s="43" t="s">
        <v>4752</v>
      </c>
      <c r="F1139" s="44"/>
      <c r="G1139" s="46"/>
    </row>
    <row r="1140" spans="2:7" x14ac:dyDescent="0.35">
      <c r="B1140" s="41" t="s">
        <v>2641</v>
      </c>
      <c r="C1140" s="41" t="s">
        <v>2640</v>
      </c>
      <c r="D1140" s="42" t="s">
        <v>2639</v>
      </c>
      <c r="E1140" s="43" t="s">
        <v>4752</v>
      </c>
      <c r="F1140" s="44"/>
      <c r="G1140" s="46"/>
    </row>
    <row r="1141" spans="2:7" x14ac:dyDescent="0.35">
      <c r="B1141" s="41" t="s">
        <v>2647</v>
      </c>
      <c r="C1141" s="41" t="s">
        <v>2646</v>
      </c>
      <c r="D1141" s="42" t="s">
        <v>2648</v>
      </c>
      <c r="E1141" s="43" t="s">
        <v>4752</v>
      </c>
      <c r="F1141" s="44"/>
      <c r="G1141" s="46"/>
    </row>
    <row r="1142" spans="2:7" x14ac:dyDescent="0.35">
      <c r="B1142" s="41" t="s">
        <v>2650</v>
      </c>
      <c r="C1142" s="41" t="s">
        <v>2649</v>
      </c>
      <c r="D1142" s="42" t="s">
        <v>2648</v>
      </c>
      <c r="E1142" s="43" t="s">
        <v>4752</v>
      </c>
      <c r="F1142" s="44"/>
      <c r="G1142" s="46"/>
    </row>
    <row r="1143" spans="2:7" x14ac:dyDescent="0.35">
      <c r="B1143" s="41" t="s">
        <v>2652</v>
      </c>
      <c r="C1143" s="41" t="s">
        <v>2651</v>
      </c>
      <c r="D1143" s="42" t="s">
        <v>2653</v>
      </c>
      <c r="E1143" s="43" t="s">
        <v>4752</v>
      </c>
      <c r="F1143" s="44"/>
      <c r="G1143" s="46"/>
    </row>
    <row r="1144" spans="2:7" x14ac:dyDescent="0.35">
      <c r="B1144" s="41" t="s">
        <v>2655</v>
      </c>
      <c r="C1144" s="41" t="s">
        <v>2654</v>
      </c>
      <c r="D1144" s="42" t="s">
        <v>2653</v>
      </c>
      <c r="E1144" s="43" t="s">
        <v>4752</v>
      </c>
      <c r="F1144" s="44"/>
      <c r="G1144" s="46"/>
    </row>
    <row r="1145" spans="2:7" x14ac:dyDescent="0.35">
      <c r="B1145" s="41" t="s">
        <v>2657</v>
      </c>
      <c r="C1145" s="41" t="s">
        <v>2656</v>
      </c>
      <c r="D1145" s="42" t="s">
        <v>2658</v>
      </c>
      <c r="E1145" s="43" t="s">
        <v>4752</v>
      </c>
      <c r="F1145" s="44"/>
      <c r="G1145" s="46"/>
    </row>
    <row r="1146" spans="2:7" x14ac:dyDescent="0.35">
      <c r="B1146" s="41" t="s">
        <v>2660</v>
      </c>
      <c r="C1146" s="41" t="s">
        <v>2659</v>
      </c>
      <c r="D1146" s="42" t="s">
        <v>2658</v>
      </c>
      <c r="E1146" s="43" t="s">
        <v>4752</v>
      </c>
      <c r="F1146" s="44"/>
      <c r="G1146" s="46"/>
    </row>
    <row r="1147" spans="2:7" x14ac:dyDescent="0.35">
      <c r="B1147" s="41" t="s">
        <v>2662</v>
      </c>
      <c r="C1147" s="41" t="s">
        <v>2661</v>
      </c>
      <c r="D1147" s="42" t="s">
        <v>2658</v>
      </c>
      <c r="E1147" s="43" t="s">
        <v>4752</v>
      </c>
      <c r="F1147" s="44"/>
      <c r="G1147" s="46"/>
    </row>
    <row r="1148" spans="2:7" x14ac:dyDescent="0.35">
      <c r="B1148" s="41" t="s">
        <v>2664</v>
      </c>
      <c r="C1148" s="41" t="s">
        <v>2663</v>
      </c>
      <c r="D1148" s="42" t="s">
        <v>10</v>
      </c>
      <c r="E1148" s="43" t="s">
        <v>4752</v>
      </c>
      <c r="F1148" s="44"/>
      <c r="G1148" s="46"/>
    </row>
    <row r="1149" spans="2:7" x14ac:dyDescent="0.35">
      <c r="B1149" s="41" t="s">
        <v>2666</v>
      </c>
      <c r="C1149" s="41" t="s">
        <v>2665</v>
      </c>
      <c r="D1149" s="42" t="s">
        <v>10</v>
      </c>
      <c r="E1149" s="43" t="s">
        <v>4752</v>
      </c>
      <c r="F1149" s="44"/>
      <c r="G1149" s="46"/>
    </row>
    <row r="1150" spans="2:7" x14ac:dyDescent="0.35">
      <c r="B1150" s="41" t="s">
        <v>2668</v>
      </c>
      <c r="C1150" s="41" t="s">
        <v>2667</v>
      </c>
      <c r="D1150" s="42" t="s">
        <v>2669</v>
      </c>
      <c r="E1150" s="43" t="s">
        <v>4752</v>
      </c>
      <c r="F1150" s="44"/>
      <c r="G1150" s="46"/>
    </row>
    <row r="1151" spans="2:7" x14ac:dyDescent="0.35">
      <c r="B1151" s="41" t="s">
        <v>2671</v>
      </c>
      <c r="C1151" s="41" t="s">
        <v>2670</v>
      </c>
      <c r="D1151" s="42" t="s">
        <v>2751</v>
      </c>
      <c r="E1151" s="43" t="s">
        <v>4752</v>
      </c>
      <c r="F1151" s="44"/>
      <c r="G1151" s="46"/>
    </row>
    <row r="1152" spans="2:7" x14ac:dyDescent="0.35">
      <c r="B1152" s="41" t="s">
        <v>2673</v>
      </c>
      <c r="C1152" s="41" t="s">
        <v>2672</v>
      </c>
      <c r="D1152" s="42" t="s">
        <v>10</v>
      </c>
      <c r="E1152" s="43" t="s">
        <v>4752</v>
      </c>
      <c r="F1152" s="44"/>
      <c r="G1152" s="46"/>
    </row>
    <row r="1153" spans="2:7" x14ac:dyDescent="0.35">
      <c r="B1153" s="41" t="s">
        <v>2675</v>
      </c>
      <c r="C1153" s="41" t="s">
        <v>2674</v>
      </c>
      <c r="D1153" s="42" t="s">
        <v>10</v>
      </c>
      <c r="E1153" s="43" t="s">
        <v>4752</v>
      </c>
      <c r="F1153" s="44"/>
      <c r="G1153" s="46"/>
    </row>
    <row r="1154" spans="2:7" x14ac:dyDescent="0.35">
      <c r="B1154" s="41" t="s">
        <v>7</v>
      </c>
      <c r="C1154" s="41" t="s">
        <v>2676</v>
      </c>
      <c r="D1154" s="42" t="s">
        <v>2677</v>
      </c>
      <c r="E1154" s="43" t="s">
        <v>4752</v>
      </c>
      <c r="F1154" s="44"/>
      <c r="G1154" s="46"/>
    </row>
    <row r="1155" spans="2:7" x14ac:dyDescent="0.35">
      <c r="B1155" s="41" t="s">
        <v>8</v>
      </c>
      <c r="C1155" s="41" t="s">
        <v>2678</v>
      </c>
      <c r="D1155" s="42" t="s">
        <v>2677</v>
      </c>
      <c r="E1155" s="43" t="s">
        <v>4752</v>
      </c>
      <c r="F1155" s="44"/>
      <c r="G1155" s="46"/>
    </row>
    <row r="1156" spans="2:7" x14ac:dyDescent="0.35">
      <c r="B1156" s="41" t="s">
        <v>2682</v>
      </c>
      <c r="C1156" s="41" t="s">
        <v>2681</v>
      </c>
      <c r="D1156" s="42" t="s">
        <v>2683</v>
      </c>
      <c r="E1156" s="43" t="s">
        <v>4752</v>
      </c>
      <c r="F1156" s="44"/>
      <c r="G1156" s="46"/>
    </row>
    <row r="1157" spans="2:7" x14ac:dyDescent="0.35">
      <c r="B1157" s="41" t="s">
        <v>2687</v>
      </c>
      <c r="C1157" s="41" t="s">
        <v>2686</v>
      </c>
      <c r="D1157" s="42" t="s">
        <v>2677</v>
      </c>
      <c r="E1157" s="43" t="s">
        <v>4752</v>
      </c>
      <c r="F1157" s="44"/>
      <c r="G1157" s="46"/>
    </row>
    <row r="1158" spans="2:7" x14ac:dyDescent="0.35">
      <c r="B1158" s="41" t="s">
        <v>2692</v>
      </c>
      <c r="C1158" s="41" t="s">
        <v>2691</v>
      </c>
      <c r="D1158" s="42" t="s">
        <v>2690</v>
      </c>
      <c r="E1158" s="43" t="s">
        <v>4752</v>
      </c>
      <c r="F1158" s="44"/>
      <c r="G1158" s="46"/>
    </row>
    <row r="1159" spans="2:7" x14ac:dyDescent="0.35">
      <c r="B1159" s="41" t="s">
        <v>2696</v>
      </c>
      <c r="C1159" s="41" t="s">
        <v>2695</v>
      </c>
      <c r="D1159" s="42" t="s">
        <v>2639</v>
      </c>
      <c r="E1159" s="43" t="s">
        <v>4752</v>
      </c>
      <c r="F1159" s="44"/>
      <c r="G1159" s="46"/>
    </row>
    <row r="1160" spans="2:7" x14ac:dyDescent="0.35">
      <c r="B1160" s="41" t="s">
        <v>2698</v>
      </c>
      <c r="C1160" s="41" t="s">
        <v>2697</v>
      </c>
      <c r="D1160" s="42" t="s">
        <v>2653</v>
      </c>
      <c r="E1160" s="43" t="s">
        <v>4752</v>
      </c>
      <c r="F1160" s="44"/>
      <c r="G1160" s="46"/>
    </row>
    <row r="1161" spans="2:7" x14ac:dyDescent="0.35">
      <c r="B1161" s="41" t="s">
        <v>2700</v>
      </c>
      <c r="C1161" s="41" t="s">
        <v>2699</v>
      </c>
      <c r="D1161" s="42" t="s">
        <v>2639</v>
      </c>
      <c r="E1161" s="43" t="s">
        <v>4752</v>
      </c>
      <c r="F1161" s="44"/>
      <c r="G1161" s="46"/>
    </row>
    <row r="1162" spans="2:7" x14ac:dyDescent="0.35">
      <c r="B1162" s="41" t="s">
        <v>2704</v>
      </c>
      <c r="C1162" s="41" t="s">
        <v>2703</v>
      </c>
      <c r="D1162" s="42" t="s">
        <v>2690</v>
      </c>
      <c r="E1162" s="43" t="s">
        <v>4752</v>
      </c>
      <c r="F1162" s="44"/>
      <c r="G1162" s="46"/>
    </row>
    <row r="1163" spans="2:7" x14ac:dyDescent="0.35">
      <c r="B1163" s="41" t="s">
        <v>2706</v>
      </c>
      <c r="C1163" s="41" t="s">
        <v>2705</v>
      </c>
      <c r="D1163" s="42" t="s">
        <v>2653</v>
      </c>
      <c r="E1163" s="43" t="s">
        <v>4752</v>
      </c>
      <c r="F1163" s="44"/>
      <c r="G1163" s="46"/>
    </row>
    <row r="1164" spans="2:7" x14ac:dyDescent="0.35">
      <c r="B1164" s="41" t="s">
        <v>2723</v>
      </c>
      <c r="C1164" s="41" t="s">
        <v>2722</v>
      </c>
      <c r="D1164" s="42" t="s">
        <v>2648</v>
      </c>
      <c r="E1164" s="43" t="s">
        <v>4752</v>
      </c>
      <c r="F1164" s="44"/>
      <c r="G1164" s="46"/>
    </row>
    <row r="1165" spans="2:7" x14ac:dyDescent="0.35">
      <c r="B1165" s="41" t="s">
        <v>2725</v>
      </c>
      <c r="C1165" s="41" t="s">
        <v>2724</v>
      </c>
      <c r="D1165" s="42" t="s">
        <v>2648</v>
      </c>
      <c r="E1165" s="43" t="s">
        <v>4752</v>
      </c>
      <c r="F1165" s="44"/>
      <c r="G1165" s="46"/>
    </row>
    <row r="1166" spans="2:7" x14ac:dyDescent="0.35">
      <c r="B1166" s="41" t="s">
        <v>2735</v>
      </c>
      <c r="C1166" s="41" t="s">
        <v>2734</v>
      </c>
      <c r="D1166" s="42" t="s">
        <v>2736</v>
      </c>
      <c r="E1166" s="43" t="s">
        <v>4752</v>
      </c>
      <c r="F1166" s="44"/>
      <c r="G1166" s="46"/>
    </row>
    <row r="1167" spans="2:7" x14ac:dyDescent="0.35">
      <c r="B1167" s="41" t="s">
        <v>2746</v>
      </c>
      <c r="C1167" s="41" t="s">
        <v>2745</v>
      </c>
      <c r="D1167" s="42" t="s">
        <v>2653</v>
      </c>
      <c r="E1167" s="43" t="s">
        <v>4752</v>
      </c>
      <c r="F1167" s="44"/>
      <c r="G1167" s="46"/>
    </row>
    <row r="1168" spans="2:7" x14ac:dyDescent="0.35">
      <c r="B1168" s="41" t="s">
        <v>2750</v>
      </c>
      <c r="C1168" s="41" t="s">
        <v>2749</v>
      </c>
      <c r="D1168" s="42" t="s">
        <v>2751</v>
      </c>
      <c r="E1168" s="43" t="s">
        <v>4752</v>
      </c>
      <c r="F1168" s="44"/>
      <c r="G1168" s="46"/>
    </row>
    <row r="1169" spans="2:7" x14ac:dyDescent="0.35">
      <c r="B1169" s="41" t="s">
        <v>2753</v>
      </c>
      <c r="C1169" s="41" t="s">
        <v>2752</v>
      </c>
      <c r="D1169" s="42" t="s">
        <v>2751</v>
      </c>
      <c r="E1169" s="43" t="s">
        <v>4752</v>
      </c>
      <c r="F1169" s="44"/>
      <c r="G1169" s="46"/>
    </row>
    <row r="1170" spans="2:7" x14ac:dyDescent="0.35">
      <c r="B1170" s="41" t="s">
        <v>2762</v>
      </c>
      <c r="C1170" s="41" t="s">
        <v>2761</v>
      </c>
      <c r="D1170" s="42" t="s">
        <v>2763</v>
      </c>
      <c r="E1170" s="43" t="s">
        <v>4752</v>
      </c>
      <c r="F1170" s="44"/>
      <c r="G1170" s="46"/>
    </row>
    <row r="1171" spans="2:7" x14ac:dyDescent="0.35">
      <c r="B1171" s="41" t="s">
        <v>2767</v>
      </c>
      <c r="C1171" s="41" t="s">
        <v>2766</v>
      </c>
      <c r="D1171" s="42" t="s">
        <v>2648</v>
      </c>
      <c r="E1171" s="43" t="s">
        <v>4752</v>
      </c>
      <c r="F1171" s="44"/>
      <c r="G1171" s="46"/>
    </row>
    <row r="1172" spans="2:7" x14ac:dyDescent="0.35">
      <c r="B1172" s="41" t="s">
        <v>2769</v>
      </c>
      <c r="C1172" s="41" t="s">
        <v>2768</v>
      </c>
      <c r="D1172" s="42" t="s">
        <v>2763</v>
      </c>
      <c r="E1172" s="43" t="s">
        <v>4752</v>
      </c>
      <c r="F1172" s="44"/>
      <c r="G1172" s="46"/>
    </row>
    <row r="1173" spans="2:7" x14ac:dyDescent="0.35">
      <c r="B1173" s="41" t="s">
        <v>2771</v>
      </c>
      <c r="C1173" s="41" t="s">
        <v>2770</v>
      </c>
      <c r="D1173" s="42" t="s">
        <v>2772</v>
      </c>
      <c r="E1173" s="43" t="s">
        <v>4752</v>
      </c>
      <c r="F1173" s="44"/>
      <c r="G1173" s="46"/>
    </row>
    <row r="1174" spans="2:7" x14ac:dyDescent="0.35">
      <c r="B1174" s="41" t="s">
        <v>2774</v>
      </c>
      <c r="C1174" s="41" t="s">
        <v>2773</v>
      </c>
      <c r="D1174" s="42" t="s">
        <v>2772</v>
      </c>
      <c r="E1174" s="43" t="s">
        <v>4752</v>
      </c>
      <c r="F1174" s="44"/>
      <c r="G1174" s="46"/>
    </row>
    <row r="1175" spans="2:7" x14ac:dyDescent="0.35">
      <c r="B1175" s="41" t="s">
        <v>2780</v>
      </c>
      <c r="C1175" s="41" t="s">
        <v>2779</v>
      </c>
      <c r="D1175" s="42" t="s">
        <v>2772</v>
      </c>
      <c r="E1175" s="43" t="s">
        <v>4752</v>
      </c>
      <c r="F1175" s="44"/>
      <c r="G1175" s="46"/>
    </row>
    <row r="1176" spans="2:7" x14ac:dyDescent="0.35">
      <c r="B1176" s="41" t="s">
        <v>2782</v>
      </c>
      <c r="C1176" s="41" t="s">
        <v>2781</v>
      </c>
      <c r="D1176" s="42" t="s">
        <v>2639</v>
      </c>
      <c r="E1176" s="43" t="s">
        <v>4752</v>
      </c>
      <c r="F1176" s="44"/>
      <c r="G1176" s="46"/>
    </row>
    <row r="1177" spans="2:7" x14ac:dyDescent="0.35">
      <c r="B1177" s="41" t="s">
        <v>2784</v>
      </c>
      <c r="C1177" s="41" t="s">
        <v>2783</v>
      </c>
      <c r="D1177" s="42" t="s">
        <v>2639</v>
      </c>
      <c r="E1177" s="43" t="s">
        <v>4752</v>
      </c>
      <c r="F1177" s="44"/>
      <c r="G1177" s="46"/>
    </row>
    <row r="1178" spans="2:7" x14ac:dyDescent="0.35">
      <c r="B1178" s="41" t="s">
        <v>2786</v>
      </c>
      <c r="C1178" s="41" t="s">
        <v>2785</v>
      </c>
      <c r="D1178" s="42" t="s">
        <v>2772</v>
      </c>
      <c r="E1178" s="43" t="s">
        <v>4752</v>
      </c>
      <c r="F1178" s="44"/>
      <c r="G1178" s="46"/>
    </row>
    <row r="1179" spans="2:7" x14ac:dyDescent="0.35">
      <c r="B1179" s="41" t="s">
        <v>2788</v>
      </c>
      <c r="C1179" s="41" t="s">
        <v>2787</v>
      </c>
      <c r="D1179" s="42" t="s">
        <v>2760</v>
      </c>
      <c r="E1179" s="43" t="s">
        <v>4752</v>
      </c>
      <c r="F1179" s="44"/>
      <c r="G1179" s="46"/>
    </row>
    <row r="1180" spans="2:7" x14ac:dyDescent="0.35">
      <c r="B1180" s="41" t="s">
        <v>2790</v>
      </c>
      <c r="C1180" s="41" t="s">
        <v>2789</v>
      </c>
      <c r="D1180" s="42" t="s">
        <v>2639</v>
      </c>
      <c r="E1180" s="43" t="s">
        <v>4752</v>
      </c>
      <c r="F1180" s="44"/>
      <c r="G1180" s="46"/>
    </row>
    <row r="1181" spans="2:7" x14ac:dyDescent="0.35">
      <c r="B1181" s="41" t="s">
        <v>2794</v>
      </c>
      <c r="C1181" s="41" t="s">
        <v>2793</v>
      </c>
      <c r="D1181" s="42" t="s">
        <v>2795</v>
      </c>
      <c r="E1181" s="43" t="s">
        <v>4752</v>
      </c>
      <c r="F1181" s="44"/>
      <c r="G1181" s="46"/>
    </row>
    <row r="1182" spans="2:7" x14ac:dyDescent="0.35">
      <c r="B1182" s="41" t="s">
        <v>2797</v>
      </c>
      <c r="C1182" s="41" t="s">
        <v>2796</v>
      </c>
      <c r="D1182" s="42" t="s">
        <v>2795</v>
      </c>
      <c r="E1182" s="43" t="s">
        <v>4752</v>
      </c>
      <c r="F1182" s="44"/>
      <c r="G1182" s="46"/>
    </row>
    <row r="1183" spans="2:7" x14ac:dyDescent="0.35">
      <c r="B1183" s="41" t="s">
        <v>2799</v>
      </c>
      <c r="C1183" s="41" t="s">
        <v>2798</v>
      </c>
      <c r="D1183" s="42" t="s">
        <v>2795</v>
      </c>
      <c r="E1183" s="43" t="s">
        <v>4752</v>
      </c>
      <c r="F1183" s="44"/>
      <c r="G1183" s="46"/>
    </row>
    <row r="1184" spans="2:7" x14ac:dyDescent="0.35">
      <c r="B1184" s="41" t="s">
        <v>2801</v>
      </c>
      <c r="C1184" s="41" t="s">
        <v>2800</v>
      </c>
      <c r="D1184" s="42" t="s">
        <v>2795</v>
      </c>
      <c r="E1184" s="43" t="s">
        <v>4752</v>
      </c>
      <c r="F1184" s="44"/>
      <c r="G1184" s="46"/>
    </row>
    <row r="1185" spans="2:7" x14ac:dyDescent="0.35">
      <c r="B1185" s="41" t="s">
        <v>2803</v>
      </c>
      <c r="C1185" s="41" t="s">
        <v>2802</v>
      </c>
      <c r="D1185" s="42" t="s">
        <v>1956</v>
      </c>
      <c r="E1185" s="43" t="s">
        <v>4752</v>
      </c>
      <c r="F1185" s="44"/>
      <c r="G1185" s="46"/>
    </row>
    <row r="1186" spans="2:7" x14ac:dyDescent="0.35">
      <c r="B1186" s="45" t="s">
        <v>2809</v>
      </c>
      <c r="C1186" s="45" t="s">
        <v>2808</v>
      </c>
      <c r="D1186" s="42" t="s">
        <v>2639</v>
      </c>
      <c r="E1186" s="43" t="s">
        <v>4752</v>
      </c>
      <c r="F1186" s="44"/>
      <c r="G1186" s="46"/>
    </row>
    <row r="1187" spans="2:7" x14ac:dyDescent="0.35">
      <c r="B1187" s="41" t="s">
        <v>2811</v>
      </c>
      <c r="C1187" s="41" t="s">
        <v>2810</v>
      </c>
      <c r="D1187" s="42" t="s">
        <v>2760</v>
      </c>
      <c r="E1187" s="43" t="s">
        <v>4752</v>
      </c>
      <c r="F1187" s="44"/>
      <c r="G1187" s="46"/>
    </row>
    <row r="1188" spans="2:7" x14ac:dyDescent="0.35">
      <c r="B1188" s="41" t="s">
        <v>2813</v>
      </c>
      <c r="C1188" s="41" t="s">
        <v>2812</v>
      </c>
      <c r="D1188" s="42" t="s">
        <v>2760</v>
      </c>
      <c r="E1188" s="43" t="s">
        <v>4752</v>
      </c>
      <c r="F1188" s="44"/>
      <c r="G1188" s="46"/>
    </row>
    <row r="1189" spans="2:7" x14ac:dyDescent="0.35">
      <c r="B1189" s="41" t="s">
        <v>2815</v>
      </c>
      <c r="C1189" s="41" t="s">
        <v>2814</v>
      </c>
      <c r="D1189" s="42" t="s">
        <v>2795</v>
      </c>
      <c r="E1189" s="43" t="s">
        <v>4752</v>
      </c>
      <c r="F1189" s="44"/>
      <c r="G1189" s="46"/>
    </row>
    <row r="1190" spans="2:7" x14ac:dyDescent="0.35">
      <c r="B1190" s="41" t="s">
        <v>2820</v>
      </c>
      <c r="C1190" s="41" t="s">
        <v>2819</v>
      </c>
      <c r="D1190" s="42" t="s">
        <v>2639</v>
      </c>
      <c r="E1190" s="43" t="s">
        <v>4752</v>
      </c>
      <c r="F1190" s="44"/>
      <c r="G1190" s="46"/>
    </row>
    <row r="1191" spans="2:7" x14ac:dyDescent="0.35">
      <c r="B1191" s="41" t="s">
        <v>2822</v>
      </c>
      <c r="C1191" s="41" t="s">
        <v>2821</v>
      </c>
      <c r="D1191" s="42" t="s">
        <v>2818</v>
      </c>
      <c r="E1191" s="43" t="s">
        <v>4752</v>
      </c>
      <c r="F1191" s="44"/>
      <c r="G1191" s="46"/>
    </row>
    <row r="1192" spans="2:7" x14ac:dyDescent="0.35">
      <c r="B1192" s="41" t="s">
        <v>2824</v>
      </c>
      <c r="C1192" s="41" t="s">
        <v>2823</v>
      </c>
      <c r="D1192" s="42" t="s">
        <v>2818</v>
      </c>
      <c r="E1192" s="43" t="s">
        <v>4752</v>
      </c>
      <c r="F1192" s="44"/>
      <c r="G1192" s="46"/>
    </row>
    <row r="1193" spans="2:7" x14ac:dyDescent="0.35">
      <c r="B1193" s="41" t="s">
        <v>2837</v>
      </c>
      <c r="C1193" s="41" t="s">
        <v>2836</v>
      </c>
      <c r="D1193" s="42" t="s">
        <v>2838</v>
      </c>
      <c r="E1193" s="43" t="s">
        <v>4752</v>
      </c>
      <c r="F1193" s="44"/>
      <c r="G1193" s="46"/>
    </row>
    <row r="1194" spans="2:7" x14ac:dyDescent="0.35">
      <c r="B1194" s="41" t="s">
        <v>2840</v>
      </c>
      <c r="C1194" s="41" t="s">
        <v>2839</v>
      </c>
      <c r="D1194" s="42" t="s">
        <v>2838</v>
      </c>
      <c r="E1194" s="43" t="s">
        <v>4752</v>
      </c>
      <c r="F1194" s="44"/>
      <c r="G1194" s="46"/>
    </row>
    <row r="1195" spans="2:7" x14ac:dyDescent="0.35">
      <c r="B1195" s="41" t="s">
        <v>2842</v>
      </c>
      <c r="C1195" s="41" t="s">
        <v>2841</v>
      </c>
      <c r="D1195" s="42" t="s">
        <v>2639</v>
      </c>
      <c r="E1195" s="43" t="s">
        <v>4752</v>
      </c>
      <c r="F1195" s="44"/>
      <c r="G1195" s="46"/>
    </row>
    <row r="1196" spans="2:7" x14ac:dyDescent="0.35">
      <c r="B1196" s="41" t="s">
        <v>2848</v>
      </c>
      <c r="C1196" s="41" t="s">
        <v>2847</v>
      </c>
      <c r="D1196" s="42" t="s">
        <v>2639</v>
      </c>
      <c r="E1196" s="43" t="s">
        <v>4752</v>
      </c>
      <c r="F1196" s="44"/>
      <c r="G1196" s="46"/>
    </row>
    <row r="1197" spans="2:7" x14ac:dyDescent="0.35">
      <c r="B1197" s="41" t="s">
        <v>2870</v>
      </c>
      <c r="C1197" s="41" t="s">
        <v>2869</v>
      </c>
      <c r="D1197" s="42" t="s">
        <v>2864</v>
      </c>
      <c r="E1197" s="43" t="s">
        <v>4752</v>
      </c>
      <c r="F1197" s="44"/>
      <c r="G1197" s="46"/>
    </row>
    <row r="1198" spans="2:7" x14ac:dyDescent="0.35">
      <c r="B1198" s="41" t="s">
        <v>2877</v>
      </c>
      <c r="C1198" s="41" t="s">
        <v>2876</v>
      </c>
      <c r="D1198" s="42" t="s">
        <v>2875</v>
      </c>
      <c r="E1198" s="43" t="s">
        <v>4752</v>
      </c>
      <c r="F1198" s="44"/>
      <c r="G1198" s="46"/>
    </row>
    <row r="1199" spans="2:7" x14ac:dyDescent="0.35">
      <c r="B1199" s="41" t="s">
        <v>2879</v>
      </c>
      <c r="C1199" s="41" t="s">
        <v>2878</v>
      </c>
      <c r="D1199" s="42" t="s">
        <v>2875</v>
      </c>
      <c r="E1199" s="43" t="s">
        <v>4752</v>
      </c>
      <c r="F1199" s="44"/>
      <c r="G1199" s="46"/>
    </row>
    <row r="1200" spans="2:7" x14ac:dyDescent="0.35">
      <c r="B1200" s="41" t="s">
        <v>2881</v>
      </c>
      <c r="C1200" s="41" t="s">
        <v>2880</v>
      </c>
      <c r="D1200" s="42" t="s">
        <v>2639</v>
      </c>
      <c r="E1200" s="43" t="s">
        <v>4752</v>
      </c>
      <c r="F1200" s="44"/>
      <c r="G1200" s="46"/>
    </row>
    <row r="1201" spans="2:7" x14ac:dyDescent="0.35">
      <c r="B1201" s="41" t="s">
        <v>2934</v>
      </c>
      <c r="C1201" s="41" t="s">
        <v>2933</v>
      </c>
      <c r="D1201" s="42" t="s">
        <v>2935</v>
      </c>
      <c r="E1201" s="43" t="s">
        <v>4752</v>
      </c>
      <c r="F1201" s="44"/>
      <c r="G1201" s="46"/>
    </row>
    <row r="1202" spans="2:7" x14ac:dyDescent="0.35">
      <c r="B1202" s="41" t="s">
        <v>2937</v>
      </c>
      <c r="C1202" s="41" t="s">
        <v>2936</v>
      </c>
      <c r="D1202" s="42" t="s">
        <v>2938</v>
      </c>
      <c r="E1202" s="43" t="s">
        <v>4752</v>
      </c>
      <c r="F1202" s="44"/>
      <c r="G1202" s="46"/>
    </row>
    <row r="1203" spans="2:7" x14ac:dyDescent="0.35">
      <c r="B1203" s="41" t="s">
        <v>2940</v>
      </c>
      <c r="C1203" s="41" t="s">
        <v>2939</v>
      </c>
      <c r="D1203" s="42" t="s">
        <v>2941</v>
      </c>
      <c r="E1203" s="43" t="s">
        <v>4752</v>
      </c>
      <c r="F1203" s="44"/>
      <c r="G1203" s="46"/>
    </row>
    <row r="1204" spans="2:7" x14ac:dyDescent="0.35">
      <c r="B1204" s="41" t="s">
        <v>2946</v>
      </c>
      <c r="C1204" s="41" t="s">
        <v>2945</v>
      </c>
      <c r="D1204" s="42" t="s">
        <v>4834</v>
      </c>
      <c r="E1204" s="43" t="s">
        <v>4752</v>
      </c>
      <c r="F1204" s="44"/>
      <c r="G1204" s="46"/>
    </row>
    <row r="1205" spans="2:7" x14ac:dyDescent="0.35">
      <c r="B1205" s="41" t="s">
        <v>2977</v>
      </c>
      <c r="C1205" s="41" t="s">
        <v>2976</v>
      </c>
      <c r="D1205" s="42" t="s">
        <v>2941</v>
      </c>
      <c r="E1205" s="43" t="s">
        <v>4752</v>
      </c>
      <c r="F1205" s="44"/>
      <c r="G1205" s="46"/>
    </row>
    <row r="1206" spans="2:7" x14ac:dyDescent="0.35">
      <c r="B1206" s="41" t="s">
        <v>3001</v>
      </c>
      <c r="C1206" s="41" t="s">
        <v>3000</v>
      </c>
      <c r="D1206" s="42" t="s">
        <v>2941</v>
      </c>
      <c r="E1206" s="43" t="s">
        <v>4752</v>
      </c>
      <c r="F1206" s="44"/>
      <c r="G1206" s="46"/>
    </row>
    <row r="1207" spans="2:7" x14ac:dyDescent="0.35">
      <c r="B1207" s="41" t="s">
        <v>3023</v>
      </c>
      <c r="C1207" s="41" t="s">
        <v>3022</v>
      </c>
      <c r="D1207" s="42" t="s">
        <v>2941</v>
      </c>
      <c r="E1207" s="43" t="s">
        <v>4752</v>
      </c>
      <c r="F1207" s="44"/>
      <c r="G1207" s="46"/>
    </row>
    <row r="1208" spans="2:7" x14ac:dyDescent="0.35">
      <c r="B1208" s="41" t="s">
        <v>3025</v>
      </c>
      <c r="C1208" s="41" t="s">
        <v>3024</v>
      </c>
      <c r="D1208" s="42" t="s">
        <v>3026</v>
      </c>
      <c r="E1208" s="43" t="s">
        <v>4752</v>
      </c>
      <c r="F1208" s="44"/>
      <c r="G1208" s="46"/>
    </row>
    <row r="1209" spans="2:7" x14ac:dyDescent="0.35">
      <c r="B1209" s="41" t="s">
        <v>3028</v>
      </c>
      <c r="C1209" s="41" t="s">
        <v>3027</v>
      </c>
      <c r="D1209" s="42" t="s">
        <v>3026</v>
      </c>
      <c r="E1209" s="43" t="s">
        <v>4752</v>
      </c>
      <c r="F1209" s="44"/>
      <c r="G1209" s="46"/>
    </row>
    <row r="1210" spans="2:7" x14ac:dyDescent="0.35">
      <c r="B1210" s="41" t="s">
        <v>3030</v>
      </c>
      <c r="C1210" s="41" t="s">
        <v>3029</v>
      </c>
      <c r="D1210" s="42" t="s">
        <v>3026</v>
      </c>
      <c r="E1210" s="43" t="s">
        <v>4752</v>
      </c>
      <c r="F1210" s="44"/>
      <c r="G1210" s="46"/>
    </row>
    <row r="1211" spans="2:7" x14ac:dyDescent="0.35">
      <c r="B1211" s="41" t="s">
        <v>3040</v>
      </c>
      <c r="C1211" s="41" t="s">
        <v>3039</v>
      </c>
      <c r="D1211" s="42" t="s">
        <v>3026</v>
      </c>
      <c r="E1211" s="43" t="s">
        <v>4752</v>
      </c>
      <c r="F1211" s="44"/>
      <c r="G1211" s="46"/>
    </row>
    <row r="1212" spans="2:7" x14ac:dyDescent="0.35">
      <c r="B1212" s="41" t="s">
        <v>3073</v>
      </c>
      <c r="C1212" s="41" t="s">
        <v>3072</v>
      </c>
      <c r="D1212" s="42" t="s">
        <v>3026</v>
      </c>
      <c r="E1212" s="43" t="s">
        <v>4752</v>
      </c>
      <c r="F1212" s="44"/>
      <c r="G1212" s="46"/>
    </row>
    <row r="1213" spans="2:7" x14ac:dyDescent="0.35">
      <c r="B1213" s="41" t="s">
        <v>3124</v>
      </c>
      <c r="C1213" s="41" t="s">
        <v>3123</v>
      </c>
      <c r="D1213" s="42" t="s">
        <v>3125</v>
      </c>
      <c r="E1213" s="43" t="s">
        <v>4752</v>
      </c>
      <c r="F1213" s="44"/>
      <c r="G1213" s="46"/>
    </row>
    <row r="1214" spans="2:7" x14ac:dyDescent="0.35">
      <c r="B1214" s="41" t="s">
        <v>3127</v>
      </c>
      <c r="C1214" s="41" t="s">
        <v>3126</v>
      </c>
      <c r="D1214" s="42" t="s">
        <v>3125</v>
      </c>
      <c r="E1214" s="43" t="s">
        <v>4752</v>
      </c>
      <c r="F1214" s="44"/>
      <c r="G1214" s="46"/>
    </row>
    <row r="1215" spans="2:7" x14ac:dyDescent="0.35">
      <c r="B1215" s="41" t="s">
        <v>3129</v>
      </c>
      <c r="C1215" s="41" t="s">
        <v>3128</v>
      </c>
      <c r="D1215" s="42" t="s">
        <v>3125</v>
      </c>
      <c r="E1215" s="43" t="s">
        <v>4752</v>
      </c>
      <c r="F1215" s="44"/>
      <c r="G1215" s="46"/>
    </row>
    <row r="1216" spans="2:7" x14ac:dyDescent="0.35">
      <c r="B1216" s="41" t="s">
        <v>3131</v>
      </c>
      <c r="C1216" s="41" t="s">
        <v>3130</v>
      </c>
      <c r="D1216" s="42" t="s">
        <v>3125</v>
      </c>
      <c r="E1216" s="43" t="s">
        <v>4752</v>
      </c>
      <c r="F1216" s="44"/>
      <c r="G1216" s="46"/>
    </row>
    <row r="1217" spans="2:7" x14ac:dyDescent="0.35">
      <c r="B1217" s="41" t="s">
        <v>3133</v>
      </c>
      <c r="C1217" s="41" t="s">
        <v>3132</v>
      </c>
      <c r="D1217" s="42" t="s">
        <v>3125</v>
      </c>
      <c r="E1217" s="43" t="s">
        <v>4752</v>
      </c>
      <c r="F1217" s="44"/>
      <c r="G1217" s="46"/>
    </row>
    <row r="1218" spans="2:7" x14ac:dyDescent="0.35">
      <c r="B1218" s="41" t="s">
        <v>3535</v>
      </c>
      <c r="C1218" s="41" t="s">
        <v>3534</v>
      </c>
      <c r="D1218" s="42" t="s">
        <v>3536</v>
      </c>
      <c r="E1218" s="43" t="s">
        <v>4752</v>
      </c>
      <c r="F1218" s="44"/>
      <c r="G1218" s="46"/>
    </row>
    <row r="1219" spans="2:7" x14ac:dyDescent="0.35">
      <c r="B1219" s="41" t="s">
        <v>3838</v>
      </c>
      <c r="C1219" s="41" t="s">
        <v>3837</v>
      </c>
      <c r="D1219" s="42" t="s">
        <v>3839</v>
      </c>
      <c r="E1219" s="43" t="s">
        <v>4752</v>
      </c>
      <c r="F1219" s="44"/>
      <c r="G1219" s="46"/>
    </row>
    <row r="1220" spans="2:7" x14ac:dyDescent="0.35">
      <c r="B1220" s="41" t="s">
        <v>3841</v>
      </c>
      <c r="C1220" s="41" t="s">
        <v>3840</v>
      </c>
      <c r="D1220" s="42" t="s">
        <v>3839</v>
      </c>
      <c r="E1220" s="43" t="s">
        <v>4752</v>
      </c>
      <c r="F1220" s="44"/>
      <c r="G1220" s="46"/>
    </row>
    <row r="1221" spans="2:7" x14ac:dyDescent="0.35">
      <c r="B1221" s="41" t="s">
        <v>3845</v>
      </c>
      <c r="C1221" s="41" t="s">
        <v>3844</v>
      </c>
      <c r="D1221" s="42" t="s">
        <v>3823</v>
      </c>
      <c r="E1221" s="43" t="s">
        <v>4752</v>
      </c>
      <c r="F1221" s="44"/>
      <c r="G1221" s="46"/>
    </row>
    <row r="1222" spans="2:7" x14ac:dyDescent="0.35">
      <c r="B1222" s="41" t="s">
        <v>3862</v>
      </c>
      <c r="C1222" s="41" t="s">
        <v>3861</v>
      </c>
      <c r="D1222" s="42" t="s">
        <v>2924</v>
      </c>
      <c r="E1222" s="43" t="s">
        <v>4752</v>
      </c>
      <c r="F1222" s="44"/>
      <c r="G1222" s="46"/>
    </row>
    <row r="1223" spans="2:7" x14ac:dyDescent="0.35">
      <c r="B1223" s="41" t="s">
        <v>4092</v>
      </c>
      <c r="C1223" s="41" t="s">
        <v>4091</v>
      </c>
      <c r="D1223" s="42" t="s">
        <v>2541</v>
      </c>
      <c r="E1223" s="43" t="s">
        <v>4752</v>
      </c>
      <c r="F1223" s="44"/>
      <c r="G1223" s="46"/>
    </row>
    <row r="1224" spans="2:7" x14ac:dyDescent="0.35">
      <c r="B1224" s="41" t="s">
        <v>4096</v>
      </c>
      <c r="C1224" s="41" t="s">
        <v>4095</v>
      </c>
      <c r="D1224" s="42" t="s">
        <v>4097</v>
      </c>
      <c r="E1224" s="43" t="s">
        <v>4752</v>
      </c>
      <c r="F1224" s="44"/>
      <c r="G1224" s="46"/>
    </row>
    <row r="1225" spans="2:7" x14ac:dyDescent="0.35">
      <c r="B1225" s="41" t="s">
        <v>4102</v>
      </c>
      <c r="C1225" s="41" t="s">
        <v>4101</v>
      </c>
      <c r="D1225" s="42" t="s">
        <v>4100</v>
      </c>
      <c r="E1225" s="43" t="s">
        <v>4752</v>
      </c>
      <c r="F1225" s="44"/>
      <c r="G1225" s="46"/>
    </row>
    <row r="1226" spans="2:7" x14ac:dyDescent="0.35">
      <c r="B1226" s="41" t="s">
        <v>4180</v>
      </c>
      <c r="C1226" s="41" t="s">
        <v>4179</v>
      </c>
      <c r="D1226" s="42" t="s">
        <v>4161</v>
      </c>
      <c r="E1226" s="43" t="s">
        <v>4752</v>
      </c>
      <c r="F1226" s="44"/>
      <c r="G1226" s="46"/>
    </row>
    <row r="1227" spans="2:7" x14ac:dyDescent="0.35">
      <c r="B1227" s="41" t="s">
        <v>4192</v>
      </c>
      <c r="C1227" s="41" t="s">
        <v>4191</v>
      </c>
      <c r="D1227" s="42" t="s">
        <v>2541</v>
      </c>
      <c r="E1227" s="43" t="s">
        <v>4752</v>
      </c>
      <c r="F1227" s="44"/>
      <c r="G1227" s="46"/>
    </row>
    <row r="1228" spans="2:7" x14ac:dyDescent="0.35">
      <c r="B1228" s="41" t="s">
        <v>4266</v>
      </c>
      <c r="C1228" s="41" t="s">
        <v>4265</v>
      </c>
      <c r="D1228" s="42" t="s">
        <v>4267</v>
      </c>
      <c r="E1228" s="43" t="s">
        <v>4752</v>
      </c>
      <c r="F1228" s="44"/>
      <c r="G1228" s="46"/>
    </row>
    <row r="1229" spans="2:7" x14ac:dyDescent="0.35">
      <c r="B1229" s="41" t="s">
        <v>4269</v>
      </c>
      <c r="C1229" s="41" t="s">
        <v>4268</v>
      </c>
      <c r="D1229" s="42" t="s">
        <v>4267</v>
      </c>
      <c r="E1229" s="43" t="s">
        <v>4752</v>
      </c>
      <c r="F1229" s="44"/>
      <c r="G1229" s="46"/>
    </row>
    <row r="1230" spans="2:7" x14ac:dyDescent="0.35">
      <c r="B1230" s="41" t="s">
        <v>4271</v>
      </c>
      <c r="C1230" s="41" t="s">
        <v>4270</v>
      </c>
      <c r="D1230" s="42" t="s">
        <v>4267</v>
      </c>
      <c r="E1230" s="43" t="s">
        <v>4752</v>
      </c>
      <c r="F1230" s="44"/>
      <c r="G1230" s="46"/>
    </row>
    <row r="1231" spans="2:7" x14ac:dyDescent="0.35">
      <c r="B1231" s="41" t="s">
        <v>4273</v>
      </c>
      <c r="C1231" s="41" t="s">
        <v>4272</v>
      </c>
      <c r="D1231" s="42" t="s">
        <v>4267</v>
      </c>
      <c r="E1231" s="43" t="s">
        <v>4752</v>
      </c>
      <c r="F1231" s="44"/>
      <c r="G1231" s="46"/>
    </row>
    <row r="1232" spans="2:7" x14ac:dyDescent="0.35">
      <c r="B1232" s="41" t="s">
        <v>4275</v>
      </c>
      <c r="C1232" s="41" t="s">
        <v>4274</v>
      </c>
      <c r="D1232" s="42" t="s">
        <v>4267</v>
      </c>
      <c r="E1232" s="43" t="s">
        <v>4752</v>
      </c>
      <c r="F1232" s="44"/>
      <c r="G1232" s="46"/>
    </row>
    <row r="1233" spans="2:7" x14ac:dyDescent="0.35">
      <c r="B1233" s="41" t="s">
        <v>4314</v>
      </c>
      <c r="C1233" s="41" t="s">
        <v>4313</v>
      </c>
      <c r="D1233" s="42" t="s">
        <v>4141</v>
      </c>
      <c r="E1233" s="43" t="s">
        <v>4752</v>
      </c>
      <c r="F1233" s="44"/>
      <c r="G1233" s="46"/>
    </row>
    <row r="1234" spans="2:7" x14ac:dyDescent="0.35">
      <c r="B1234" s="41" t="s">
        <v>4377</v>
      </c>
      <c r="C1234" s="41" t="s">
        <v>4376</v>
      </c>
      <c r="D1234" s="42" t="s">
        <v>4141</v>
      </c>
      <c r="E1234" s="43" t="s">
        <v>4752</v>
      </c>
      <c r="F1234" s="44"/>
      <c r="G1234" s="46"/>
    </row>
    <row r="1235" spans="2:7" x14ac:dyDescent="0.4">
      <c r="B1235" s="46" t="s">
        <v>4631</v>
      </c>
      <c r="C1235" s="46"/>
      <c r="D1235" s="42" t="s">
        <v>4632</v>
      </c>
      <c r="E1235" s="43" t="s">
        <v>4752</v>
      </c>
      <c r="F1235" s="44"/>
      <c r="G1235" s="46"/>
    </row>
    <row r="1236" spans="2:7" x14ac:dyDescent="0.4">
      <c r="B1236" s="46" t="s">
        <v>4697</v>
      </c>
      <c r="C1236" s="46"/>
      <c r="D1236" s="42" t="s">
        <v>4698</v>
      </c>
      <c r="E1236" s="43" t="s">
        <v>4752</v>
      </c>
      <c r="F1236" s="44"/>
      <c r="G1236" s="46"/>
    </row>
    <row r="1237" spans="2:7" x14ac:dyDescent="0.4">
      <c r="B1237" s="46" t="s">
        <v>170</v>
      </c>
      <c r="C1237" s="46" t="s">
        <v>169</v>
      </c>
      <c r="D1237" s="42" t="s">
        <v>168</v>
      </c>
      <c r="E1237" s="43" t="s">
        <v>4771</v>
      </c>
      <c r="F1237" s="44"/>
      <c r="G1237" s="46"/>
    </row>
    <row r="1238" spans="2:7" x14ac:dyDescent="0.35">
      <c r="B1238" s="49" t="s">
        <v>4573</v>
      </c>
      <c r="C1238" s="46"/>
      <c r="D1238" s="42" t="s">
        <v>168</v>
      </c>
      <c r="E1238" s="43" t="s">
        <v>4771</v>
      </c>
      <c r="F1238" s="44"/>
      <c r="G1238" s="46"/>
    </row>
    <row r="1239" spans="2:7" x14ac:dyDescent="0.35">
      <c r="B1239" s="41" t="s">
        <v>19</v>
      </c>
      <c r="C1239" s="41" t="s">
        <v>2536</v>
      </c>
      <c r="D1239" s="42" t="s">
        <v>689</v>
      </c>
      <c r="E1239" s="43" t="s">
        <v>4771</v>
      </c>
      <c r="F1239" s="44"/>
      <c r="G1239" s="46"/>
    </row>
    <row r="1240" spans="2:7" x14ac:dyDescent="0.35">
      <c r="B1240" s="41" t="s">
        <v>1903</v>
      </c>
      <c r="C1240" s="41" t="s">
        <v>1902</v>
      </c>
      <c r="D1240" s="42" t="s">
        <v>1904</v>
      </c>
      <c r="E1240" s="43" t="s">
        <v>4791</v>
      </c>
      <c r="F1240" s="44"/>
      <c r="G1240" s="46"/>
    </row>
    <row r="1241" spans="2:7" x14ac:dyDescent="0.35">
      <c r="B1241" s="41" t="s">
        <v>1912</v>
      </c>
      <c r="C1241" s="41" t="s">
        <v>1911</v>
      </c>
      <c r="D1241" s="42" t="s">
        <v>168</v>
      </c>
      <c r="E1241" s="43" t="s">
        <v>4792</v>
      </c>
      <c r="F1241" s="44"/>
      <c r="G1241" s="46"/>
    </row>
    <row r="1242" spans="2:7" x14ac:dyDescent="0.35">
      <c r="B1242" s="41" t="s">
        <v>1914</v>
      </c>
      <c r="C1242" s="41" t="s">
        <v>1913</v>
      </c>
      <c r="D1242" s="42" t="s">
        <v>168</v>
      </c>
      <c r="E1242" s="43" t="s">
        <v>4792</v>
      </c>
      <c r="F1242" s="44"/>
      <c r="G1242" s="46"/>
    </row>
    <row r="1243" spans="2:7" x14ac:dyDescent="0.35">
      <c r="B1243" s="49" t="s">
        <v>4571</v>
      </c>
      <c r="C1243" s="46"/>
      <c r="D1243" s="42" t="s">
        <v>4570</v>
      </c>
      <c r="E1243" s="43" t="s">
        <v>4792</v>
      </c>
      <c r="F1243" s="44"/>
      <c r="G1243" s="46"/>
    </row>
    <row r="1244" spans="2:7" x14ac:dyDescent="0.35">
      <c r="B1244" s="49" t="s">
        <v>4572</v>
      </c>
      <c r="C1244" s="46"/>
      <c r="D1244" s="42" t="s">
        <v>4570</v>
      </c>
      <c r="E1244" s="43" t="s">
        <v>4792</v>
      </c>
      <c r="F1244" s="44"/>
      <c r="G1244" s="46"/>
    </row>
    <row r="1245" spans="2:7" x14ac:dyDescent="0.35">
      <c r="B1245" s="49" t="s">
        <v>4569</v>
      </c>
      <c r="C1245" s="46"/>
      <c r="D1245" s="42" t="s">
        <v>4570</v>
      </c>
      <c r="E1245" s="43" t="s">
        <v>4792</v>
      </c>
      <c r="F1245" s="44"/>
      <c r="G1245" s="46"/>
    </row>
    <row r="1246" spans="2:7" x14ac:dyDescent="0.4">
      <c r="B1246" s="46" t="s">
        <v>4574</v>
      </c>
      <c r="C1246" s="46"/>
      <c r="D1246" s="42" t="s">
        <v>4842</v>
      </c>
      <c r="E1246" s="43" t="s">
        <v>4796</v>
      </c>
      <c r="F1246" s="44"/>
      <c r="G1246" s="46"/>
    </row>
    <row r="1247" spans="2:7" x14ac:dyDescent="0.35">
      <c r="B1247" s="41" t="s">
        <v>658</v>
      </c>
      <c r="C1247" s="41" t="s">
        <v>657</v>
      </c>
      <c r="D1247" s="42" t="s">
        <v>659</v>
      </c>
      <c r="E1247" s="43" t="s">
        <v>4766</v>
      </c>
      <c r="F1247" s="44"/>
      <c r="G1247" s="46"/>
    </row>
    <row r="1248" spans="2:7" x14ac:dyDescent="0.35">
      <c r="B1248" s="41" t="s">
        <v>664</v>
      </c>
      <c r="C1248" s="41" t="s">
        <v>663</v>
      </c>
      <c r="D1248" s="42" t="s">
        <v>665</v>
      </c>
      <c r="E1248" s="43" t="s">
        <v>4766</v>
      </c>
      <c r="F1248" s="44"/>
      <c r="G1248" s="46"/>
    </row>
    <row r="1249" spans="2:7" x14ac:dyDescent="0.35">
      <c r="B1249" s="41" t="s">
        <v>675</v>
      </c>
      <c r="C1249" s="41" t="s">
        <v>674</v>
      </c>
      <c r="D1249" s="42" t="s">
        <v>659</v>
      </c>
      <c r="E1249" s="43" t="s">
        <v>4766</v>
      </c>
      <c r="F1249" s="44"/>
      <c r="G1249" s="46"/>
    </row>
    <row r="1250" spans="2:7" x14ac:dyDescent="0.35">
      <c r="B1250" s="41" t="s">
        <v>677</v>
      </c>
      <c r="C1250" s="41" t="s">
        <v>676</v>
      </c>
      <c r="D1250" s="42" t="s">
        <v>678</v>
      </c>
      <c r="E1250" s="43" t="s">
        <v>4766</v>
      </c>
      <c r="F1250" s="44"/>
      <c r="G1250" s="46"/>
    </row>
    <row r="1251" spans="2:7" x14ac:dyDescent="0.35">
      <c r="B1251" s="41" t="s">
        <v>1361</v>
      </c>
      <c r="C1251" s="41" t="s">
        <v>1360</v>
      </c>
      <c r="D1251" s="42" t="s">
        <v>1362</v>
      </c>
      <c r="E1251" s="43" t="s">
        <v>4766</v>
      </c>
      <c r="F1251" s="44"/>
      <c r="G1251" s="46"/>
    </row>
    <row r="1252" spans="2:7" x14ac:dyDescent="0.35">
      <c r="B1252" s="41" t="s">
        <v>1387</v>
      </c>
      <c r="C1252" s="41" t="s">
        <v>1386</v>
      </c>
      <c r="D1252" s="42" t="s">
        <v>1362</v>
      </c>
      <c r="E1252" s="43" t="s">
        <v>4766</v>
      </c>
      <c r="F1252" s="44"/>
      <c r="G1252" s="46"/>
    </row>
    <row r="1253" spans="2:7" x14ac:dyDescent="0.35">
      <c r="B1253" s="41" t="s">
        <v>1389</v>
      </c>
      <c r="C1253" s="41" t="s">
        <v>1388</v>
      </c>
      <c r="D1253" s="42" t="s">
        <v>1362</v>
      </c>
      <c r="E1253" s="43" t="s">
        <v>4766</v>
      </c>
      <c r="F1253" s="44"/>
      <c r="G1253" s="46"/>
    </row>
    <row r="1254" spans="2:7" x14ac:dyDescent="0.35">
      <c r="B1254" s="45" t="s">
        <v>1421</v>
      </c>
      <c r="C1254" s="45" t="s">
        <v>1420</v>
      </c>
      <c r="D1254" s="42" t="s">
        <v>1362</v>
      </c>
      <c r="E1254" s="43" t="s">
        <v>4766</v>
      </c>
      <c r="F1254" s="44"/>
      <c r="G1254" s="46"/>
    </row>
    <row r="1255" spans="2:7" x14ac:dyDescent="0.35">
      <c r="B1255" s="41" t="s">
        <v>1454</v>
      </c>
      <c r="C1255" s="41" t="s">
        <v>1453</v>
      </c>
      <c r="D1255" s="42" t="s">
        <v>1444</v>
      </c>
      <c r="E1255" s="43" t="s">
        <v>4766</v>
      </c>
      <c r="F1255" s="44"/>
      <c r="G1255" s="46"/>
    </row>
    <row r="1256" spans="2:7" x14ac:dyDescent="0.35">
      <c r="B1256" s="41" t="s">
        <v>1486</v>
      </c>
      <c r="C1256" s="41" t="s">
        <v>1485</v>
      </c>
      <c r="D1256" s="42" t="s">
        <v>1484</v>
      </c>
      <c r="E1256" s="43" t="s">
        <v>4766</v>
      </c>
      <c r="F1256" s="44"/>
      <c r="G1256" s="46"/>
    </row>
    <row r="1257" spans="2:7" x14ac:dyDescent="0.35">
      <c r="B1257" s="41" t="s">
        <v>1562</v>
      </c>
      <c r="C1257" s="41" t="s">
        <v>1561</v>
      </c>
      <c r="D1257" s="42" t="s">
        <v>1362</v>
      </c>
      <c r="E1257" s="43" t="s">
        <v>4766</v>
      </c>
      <c r="F1257" s="44"/>
      <c r="G1257" s="46"/>
    </row>
    <row r="1258" spans="2:7" x14ac:dyDescent="0.35">
      <c r="B1258" s="45" t="s">
        <v>1839</v>
      </c>
      <c r="C1258" s="45" t="s">
        <v>1838</v>
      </c>
      <c r="D1258" s="42" t="s">
        <v>1840</v>
      </c>
      <c r="E1258" s="43" t="s">
        <v>4766</v>
      </c>
      <c r="F1258" s="44"/>
      <c r="G1258" s="46"/>
    </row>
    <row r="1259" spans="2:7" x14ac:dyDescent="0.35">
      <c r="B1259" s="41" t="s">
        <v>1854</v>
      </c>
      <c r="C1259" s="41" t="s">
        <v>1853</v>
      </c>
      <c r="D1259" s="42" t="s">
        <v>1840</v>
      </c>
      <c r="E1259" s="43" t="s">
        <v>4766</v>
      </c>
      <c r="F1259" s="44"/>
      <c r="G1259" s="46"/>
    </row>
    <row r="1260" spans="2:7" x14ac:dyDescent="0.35">
      <c r="B1260" s="41" t="s">
        <v>1865</v>
      </c>
      <c r="C1260" s="41" t="s">
        <v>1864</v>
      </c>
      <c r="D1260" s="42" t="s">
        <v>659</v>
      </c>
      <c r="E1260" s="43" t="s">
        <v>4766</v>
      </c>
      <c r="F1260" s="44"/>
      <c r="G1260" s="46"/>
    </row>
    <row r="1261" spans="2:7" x14ac:dyDescent="0.35">
      <c r="B1261" s="41" t="s">
        <v>1875</v>
      </c>
      <c r="C1261" s="41" t="s">
        <v>1874</v>
      </c>
      <c r="D1261" s="42" t="s">
        <v>1484</v>
      </c>
      <c r="E1261" s="43" t="s">
        <v>4766</v>
      </c>
      <c r="F1261" s="44"/>
      <c r="G1261" s="46"/>
    </row>
    <row r="1262" spans="2:7" x14ac:dyDescent="0.35">
      <c r="B1262" s="45" t="s">
        <v>2157</v>
      </c>
      <c r="C1262" s="45" t="s">
        <v>2156</v>
      </c>
      <c r="D1262" s="42" t="s">
        <v>2146</v>
      </c>
      <c r="E1262" s="43" t="s">
        <v>4766</v>
      </c>
      <c r="F1262" s="44"/>
      <c r="G1262" s="46"/>
    </row>
    <row r="1263" spans="2:7" x14ac:dyDescent="0.35">
      <c r="B1263" s="41" t="s">
        <v>2170</v>
      </c>
      <c r="C1263" s="41" t="s">
        <v>2169</v>
      </c>
      <c r="D1263" s="42" t="s">
        <v>2163</v>
      </c>
      <c r="E1263" s="43" t="s">
        <v>4766</v>
      </c>
      <c r="F1263" s="44"/>
      <c r="G1263" s="46"/>
    </row>
    <row r="1264" spans="2:7" x14ac:dyDescent="0.35">
      <c r="B1264" s="45" t="s">
        <v>2533</v>
      </c>
      <c r="C1264" s="45" t="s">
        <v>2532</v>
      </c>
      <c r="D1264" s="42" t="s">
        <v>255</v>
      </c>
      <c r="E1264" s="43" t="s">
        <v>4766</v>
      </c>
      <c r="F1264" s="44"/>
      <c r="G1264" s="46"/>
    </row>
    <row r="1265" spans="2:7" x14ac:dyDescent="0.35">
      <c r="B1265" s="45" t="s">
        <v>2535</v>
      </c>
      <c r="C1265" s="45" t="s">
        <v>2534</v>
      </c>
      <c r="D1265" s="42" t="s">
        <v>255</v>
      </c>
      <c r="E1265" s="43" t="s">
        <v>4766</v>
      </c>
      <c r="F1265" s="44"/>
      <c r="G1265" s="46"/>
    </row>
    <row r="1266" spans="2:7" x14ac:dyDescent="0.35">
      <c r="B1266" s="41" t="s">
        <v>3259</v>
      </c>
      <c r="C1266" s="41" t="s">
        <v>3258</v>
      </c>
      <c r="D1266" s="42" t="s">
        <v>3251</v>
      </c>
      <c r="E1266" s="43" t="s">
        <v>4766</v>
      </c>
      <c r="F1266" s="44"/>
      <c r="G1266" s="46"/>
    </row>
    <row r="1267" spans="2:7" x14ac:dyDescent="0.35">
      <c r="B1267" s="41" t="s">
        <v>3363</v>
      </c>
      <c r="C1267" s="41" t="s">
        <v>3362</v>
      </c>
      <c r="D1267" s="42" t="s">
        <v>4695</v>
      </c>
      <c r="E1267" s="43" t="s">
        <v>4766</v>
      </c>
      <c r="F1267" s="44"/>
      <c r="G1267" s="46"/>
    </row>
    <row r="1268" spans="2:7" x14ac:dyDescent="0.35">
      <c r="B1268" s="41" t="s">
        <v>3396</v>
      </c>
      <c r="C1268" s="41" t="s">
        <v>3395</v>
      </c>
      <c r="D1268" s="42" t="s">
        <v>3386</v>
      </c>
      <c r="E1268" s="43" t="s">
        <v>4766</v>
      </c>
      <c r="F1268" s="44"/>
      <c r="G1268" s="46"/>
    </row>
    <row r="1269" spans="2:7" x14ac:dyDescent="0.35">
      <c r="B1269" s="41" t="s">
        <v>3492</v>
      </c>
      <c r="C1269" s="41" t="s">
        <v>3491</v>
      </c>
      <c r="D1269" s="42" t="s">
        <v>1352</v>
      </c>
      <c r="E1269" s="43" t="s">
        <v>4766</v>
      </c>
      <c r="F1269" s="44"/>
      <c r="G1269" s="46"/>
    </row>
    <row r="1270" spans="2:7" x14ac:dyDescent="0.35">
      <c r="B1270" s="41" t="s">
        <v>3578</v>
      </c>
      <c r="C1270" s="41" t="s">
        <v>3577</v>
      </c>
      <c r="D1270" s="42" t="s">
        <v>3367</v>
      </c>
      <c r="E1270" s="43" t="s">
        <v>4766</v>
      </c>
      <c r="F1270" s="44"/>
      <c r="G1270" s="46"/>
    </row>
    <row r="1271" spans="2:7" x14ac:dyDescent="0.35">
      <c r="B1271" s="41" t="s">
        <v>3636</v>
      </c>
      <c r="C1271" s="41" t="s">
        <v>3635</v>
      </c>
      <c r="D1271" s="42" t="s">
        <v>3637</v>
      </c>
      <c r="E1271" s="43" t="s">
        <v>4766</v>
      </c>
      <c r="F1271" s="44"/>
      <c r="G1271" s="46"/>
    </row>
    <row r="1272" spans="2:7" x14ac:dyDescent="0.35">
      <c r="B1272" s="45" t="s">
        <v>3754</v>
      </c>
      <c r="C1272" s="45" t="s">
        <v>3753</v>
      </c>
      <c r="D1272" s="42" t="s">
        <v>3677</v>
      </c>
      <c r="E1272" s="43" t="s">
        <v>4766</v>
      </c>
      <c r="F1272" s="44"/>
      <c r="G1272" s="46"/>
    </row>
    <row r="1273" spans="2:7" x14ac:dyDescent="0.35">
      <c r="B1273" s="45" t="s">
        <v>3756</v>
      </c>
      <c r="C1273" s="45" t="s">
        <v>3755</v>
      </c>
      <c r="D1273" s="42" t="s">
        <v>3677</v>
      </c>
      <c r="E1273" s="43" t="s">
        <v>4766</v>
      </c>
      <c r="F1273" s="44"/>
      <c r="G1273" s="46"/>
    </row>
    <row r="1274" spans="2:7" x14ac:dyDescent="0.35">
      <c r="B1274" s="45" t="s">
        <v>3758</v>
      </c>
      <c r="C1274" s="45" t="s">
        <v>3757</v>
      </c>
      <c r="D1274" s="42" t="s">
        <v>3677</v>
      </c>
      <c r="E1274" s="43" t="s">
        <v>4766</v>
      </c>
      <c r="F1274" s="44"/>
      <c r="G1274" s="46"/>
    </row>
    <row r="1275" spans="2:7" x14ac:dyDescent="0.35">
      <c r="B1275" s="45" t="s">
        <v>3760</v>
      </c>
      <c r="C1275" s="45" t="s">
        <v>3759</v>
      </c>
      <c r="D1275" s="42" t="s">
        <v>3677</v>
      </c>
      <c r="E1275" s="43" t="s">
        <v>4766</v>
      </c>
      <c r="F1275" s="44"/>
      <c r="G1275" s="46"/>
    </row>
    <row r="1276" spans="2:7" x14ac:dyDescent="0.35">
      <c r="B1276" s="41" t="s">
        <v>4160</v>
      </c>
      <c r="C1276" s="45" t="s">
        <v>4159</v>
      </c>
      <c r="D1276" s="42" t="s">
        <v>4161</v>
      </c>
      <c r="E1276" s="43" t="s">
        <v>4766</v>
      </c>
      <c r="F1276" s="44"/>
      <c r="G1276" s="46"/>
    </row>
    <row r="1277" spans="2:7" x14ac:dyDescent="0.35">
      <c r="B1277" s="41" t="s">
        <v>4194</v>
      </c>
      <c r="C1277" s="41" t="s">
        <v>4193</v>
      </c>
      <c r="D1277" s="42" t="s">
        <v>4195</v>
      </c>
      <c r="E1277" s="43" t="s">
        <v>4766</v>
      </c>
      <c r="F1277" s="44"/>
      <c r="G1277" s="46"/>
    </row>
    <row r="1278" spans="2:7" x14ac:dyDescent="0.35">
      <c r="B1278" s="41" t="s">
        <v>4496</v>
      </c>
      <c r="C1278" s="41" t="s">
        <v>4495</v>
      </c>
      <c r="D1278" s="42" t="s">
        <v>4497</v>
      </c>
      <c r="E1278" s="43" t="s">
        <v>4766</v>
      </c>
      <c r="F1278" s="44"/>
      <c r="G1278" s="46"/>
    </row>
    <row r="1279" spans="2:7" x14ac:dyDescent="0.35">
      <c r="B1279" s="41" t="s">
        <v>4499</v>
      </c>
      <c r="C1279" s="41" t="s">
        <v>4498</v>
      </c>
      <c r="D1279" s="42" t="s">
        <v>4500</v>
      </c>
      <c r="E1279" s="43" t="s">
        <v>4766</v>
      </c>
      <c r="F1279" s="44"/>
      <c r="G1279" s="46"/>
    </row>
    <row r="1280" spans="2:7" x14ac:dyDescent="0.35">
      <c r="B1280" s="41" t="s">
        <v>4509</v>
      </c>
      <c r="C1280" s="41" t="s">
        <v>4508</v>
      </c>
      <c r="D1280" s="42" t="s">
        <v>4507</v>
      </c>
      <c r="E1280" s="43" t="s">
        <v>4766</v>
      </c>
      <c r="F1280" s="44"/>
      <c r="G1280" s="46"/>
    </row>
    <row r="1281" spans="2:7" x14ac:dyDescent="0.35">
      <c r="B1281" s="41" t="s">
        <v>4514</v>
      </c>
      <c r="C1281" s="41" t="s">
        <v>4513</v>
      </c>
      <c r="D1281" s="42" t="s">
        <v>4515</v>
      </c>
      <c r="E1281" s="43" t="s">
        <v>4766</v>
      </c>
      <c r="F1281" s="44"/>
      <c r="G1281" s="46"/>
    </row>
    <row r="1282" spans="2:7" x14ac:dyDescent="0.4">
      <c r="B1282" s="46" t="s">
        <v>4629</v>
      </c>
      <c r="C1282" s="46"/>
      <c r="D1282" s="42" t="s">
        <v>4630</v>
      </c>
      <c r="E1282" s="43" t="s">
        <v>4766</v>
      </c>
      <c r="F1282" s="44"/>
      <c r="G1282" s="46"/>
    </row>
    <row r="1283" spans="2:7" x14ac:dyDescent="0.35">
      <c r="B1283" s="41" t="s">
        <v>4277</v>
      </c>
      <c r="C1283" s="41" t="s">
        <v>4276</v>
      </c>
      <c r="D1283" s="42" t="s">
        <v>4278</v>
      </c>
      <c r="E1283" s="43" t="s">
        <v>4813</v>
      </c>
      <c r="F1283" s="44"/>
      <c r="G1283" s="46"/>
    </row>
    <row r="1284" spans="2:7" x14ac:dyDescent="0.35">
      <c r="B1284" s="41" t="s">
        <v>4280</v>
      </c>
      <c r="C1284" s="41" t="s">
        <v>4279</v>
      </c>
      <c r="D1284" s="42" t="s">
        <v>4278</v>
      </c>
      <c r="E1284" s="43" t="s">
        <v>4813</v>
      </c>
      <c r="F1284" s="44"/>
      <c r="G1284" s="46"/>
    </row>
    <row r="1285" spans="2:7" x14ac:dyDescent="0.35">
      <c r="B1285" s="41" t="s">
        <v>4344</v>
      </c>
      <c r="C1285" s="41" t="s">
        <v>4343</v>
      </c>
      <c r="D1285" s="42" t="s">
        <v>4345</v>
      </c>
      <c r="E1285" s="43" t="s">
        <v>4815</v>
      </c>
      <c r="F1285" s="44"/>
      <c r="G1285" s="46"/>
    </row>
    <row r="1286" spans="2:7" x14ac:dyDescent="0.35">
      <c r="B1286" s="41" t="s">
        <v>4347</v>
      </c>
      <c r="C1286" s="41" t="s">
        <v>4346</v>
      </c>
      <c r="D1286" s="42" t="s">
        <v>4345</v>
      </c>
      <c r="E1286" s="43" t="s">
        <v>4815</v>
      </c>
      <c r="F1286" s="44"/>
      <c r="G1286" s="46"/>
    </row>
    <row r="1287" spans="2:7" x14ac:dyDescent="0.35">
      <c r="B1287" s="41" t="s">
        <v>4082</v>
      </c>
      <c r="C1287" s="45" t="s">
        <v>4081</v>
      </c>
      <c r="D1287" s="42" t="s">
        <v>4083</v>
      </c>
      <c r="E1287" s="43" t="s">
        <v>4807</v>
      </c>
      <c r="F1287" s="44"/>
      <c r="G1287" s="46"/>
    </row>
    <row r="1288" spans="2:7" x14ac:dyDescent="0.35">
      <c r="B1288" s="41" t="s">
        <v>3906</v>
      </c>
      <c r="C1288" s="41" t="s">
        <v>3905</v>
      </c>
      <c r="D1288" s="42" t="s">
        <v>3880</v>
      </c>
      <c r="E1288" s="43" t="s">
        <v>4806</v>
      </c>
      <c r="F1288" s="44"/>
      <c r="G1288" s="46"/>
    </row>
    <row r="1289" spans="2:7" x14ac:dyDescent="0.35">
      <c r="B1289" s="41" t="s">
        <v>993</v>
      </c>
      <c r="C1289" s="41" t="s">
        <v>992</v>
      </c>
      <c r="D1289" s="42" t="s">
        <v>244</v>
      </c>
      <c r="E1289" s="43" t="s">
        <v>4754</v>
      </c>
      <c r="F1289" s="44"/>
      <c r="G1289" s="46"/>
    </row>
    <row r="1290" spans="2:7" x14ac:dyDescent="0.35">
      <c r="B1290" s="41" t="s">
        <v>999</v>
      </c>
      <c r="C1290" s="41" t="s">
        <v>998</v>
      </c>
      <c r="D1290" s="42" t="s">
        <v>241</v>
      </c>
      <c r="E1290" s="43" t="s">
        <v>4754</v>
      </c>
      <c r="F1290" s="44"/>
      <c r="G1290" s="46"/>
    </row>
    <row r="1291" spans="2:7" x14ac:dyDescent="0.35">
      <c r="B1291" s="41" t="s">
        <v>1001</v>
      </c>
      <c r="C1291" s="41" t="s">
        <v>1000</v>
      </c>
      <c r="D1291" s="42" t="s">
        <v>241</v>
      </c>
      <c r="E1291" s="43" t="s">
        <v>4754</v>
      </c>
      <c r="F1291" s="44"/>
      <c r="G1291" s="46"/>
    </row>
    <row r="1292" spans="2:7" x14ac:dyDescent="0.35">
      <c r="B1292" s="41" t="s">
        <v>1009</v>
      </c>
      <c r="C1292" s="41" t="s">
        <v>1008</v>
      </c>
      <c r="D1292" s="42" t="s">
        <v>241</v>
      </c>
      <c r="E1292" s="43" t="s">
        <v>4754</v>
      </c>
      <c r="F1292" s="44"/>
      <c r="G1292" s="46"/>
    </row>
    <row r="1293" spans="2:7" x14ac:dyDescent="0.35">
      <c r="B1293" s="41" t="s">
        <v>1556</v>
      </c>
      <c r="C1293" s="41" t="s">
        <v>1555</v>
      </c>
      <c r="D1293" s="42" t="s">
        <v>241</v>
      </c>
      <c r="E1293" s="43" t="s">
        <v>4754</v>
      </c>
      <c r="F1293" s="44"/>
      <c r="G1293" s="46"/>
    </row>
    <row r="1294" spans="2:7" x14ac:dyDescent="0.35">
      <c r="B1294" s="41" t="s">
        <v>2242</v>
      </c>
      <c r="C1294" s="41" t="s">
        <v>2241</v>
      </c>
      <c r="D1294" s="42" t="s">
        <v>4681</v>
      </c>
      <c r="E1294" s="43" t="s">
        <v>4754</v>
      </c>
      <c r="F1294" s="44"/>
      <c r="G1294" s="46"/>
    </row>
    <row r="1295" spans="2:7" x14ac:dyDescent="0.35">
      <c r="B1295" s="45" t="s">
        <v>2244</v>
      </c>
      <c r="C1295" s="45" t="s">
        <v>2243</v>
      </c>
      <c r="D1295" s="42" t="s">
        <v>2097</v>
      </c>
      <c r="E1295" s="43" t="s">
        <v>4754</v>
      </c>
      <c r="F1295" s="44"/>
      <c r="G1295" s="46"/>
    </row>
    <row r="1296" spans="2:7" x14ac:dyDescent="0.35">
      <c r="B1296" s="41" t="s">
        <v>2595</v>
      </c>
      <c r="C1296" s="41" t="s">
        <v>2594</v>
      </c>
      <c r="D1296" s="42" t="s">
        <v>2559</v>
      </c>
      <c r="E1296" s="43" t="s">
        <v>4754</v>
      </c>
      <c r="F1296" s="44"/>
      <c r="G1296" s="46"/>
    </row>
    <row r="1297" spans="2:7" x14ac:dyDescent="0.35">
      <c r="B1297" s="41" t="s">
        <v>2597</v>
      </c>
      <c r="C1297" s="41" t="s">
        <v>2596</v>
      </c>
      <c r="D1297" s="42" t="s">
        <v>2559</v>
      </c>
      <c r="E1297" s="43" t="s">
        <v>4754</v>
      </c>
      <c r="F1297" s="44"/>
      <c r="G1297" s="46"/>
    </row>
    <row r="1298" spans="2:7" x14ac:dyDescent="0.35">
      <c r="B1298" s="41" t="s">
        <v>2599</v>
      </c>
      <c r="C1298" s="41" t="s">
        <v>2598</v>
      </c>
      <c r="D1298" s="42" t="s">
        <v>2559</v>
      </c>
      <c r="E1298" s="43" t="s">
        <v>4754</v>
      </c>
      <c r="F1298" s="44"/>
      <c r="G1298" s="46"/>
    </row>
    <row r="1299" spans="2:7" x14ac:dyDescent="0.35">
      <c r="B1299" s="41" t="s">
        <v>2963</v>
      </c>
      <c r="C1299" s="41" t="s">
        <v>2962</v>
      </c>
      <c r="D1299" s="42" t="s">
        <v>2964</v>
      </c>
      <c r="E1299" s="43" t="s">
        <v>4754</v>
      </c>
      <c r="F1299" s="44"/>
      <c r="G1299" s="46"/>
    </row>
    <row r="1300" spans="2:7" x14ac:dyDescent="0.35">
      <c r="B1300" s="41" t="s">
        <v>2966</v>
      </c>
      <c r="C1300" s="41" t="s">
        <v>2965</v>
      </c>
      <c r="D1300" s="42" t="s">
        <v>2964</v>
      </c>
      <c r="E1300" s="43" t="s">
        <v>4754</v>
      </c>
      <c r="F1300" s="44"/>
      <c r="G1300" s="46"/>
    </row>
    <row r="1301" spans="2:7" x14ac:dyDescent="0.35">
      <c r="B1301" s="41" t="s">
        <v>2971</v>
      </c>
      <c r="C1301" s="41" t="s">
        <v>2970</v>
      </c>
      <c r="D1301" s="42" t="s">
        <v>2972</v>
      </c>
      <c r="E1301" s="43" t="s">
        <v>4754</v>
      </c>
      <c r="F1301" s="44"/>
      <c r="G1301" s="46"/>
    </row>
    <row r="1302" spans="2:7" x14ac:dyDescent="0.35">
      <c r="B1302" s="41" t="s">
        <v>3067</v>
      </c>
      <c r="C1302" s="41" t="s">
        <v>3066</v>
      </c>
      <c r="D1302" s="42" t="s">
        <v>4699</v>
      </c>
      <c r="E1302" s="43" t="s">
        <v>4754</v>
      </c>
      <c r="F1302" s="44"/>
      <c r="G1302" s="46"/>
    </row>
    <row r="1303" spans="2:7" x14ac:dyDescent="0.35">
      <c r="B1303" s="41" t="s">
        <v>3077</v>
      </c>
      <c r="C1303" s="41" t="s">
        <v>3076</v>
      </c>
      <c r="D1303" s="42" t="s">
        <v>2969</v>
      </c>
      <c r="E1303" s="43" t="s">
        <v>4754</v>
      </c>
      <c r="F1303" s="44"/>
      <c r="G1303" s="46"/>
    </row>
    <row r="1304" spans="2:7" x14ac:dyDescent="0.35">
      <c r="B1304" s="41" t="s">
        <v>3079</v>
      </c>
      <c r="C1304" s="41" t="s">
        <v>3078</v>
      </c>
      <c r="D1304" s="42" t="s">
        <v>2886</v>
      </c>
      <c r="E1304" s="43" t="s">
        <v>4754</v>
      </c>
      <c r="F1304" s="44"/>
      <c r="G1304" s="46"/>
    </row>
    <row r="1305" spans="2:7" x14ac:dyDescent="0.35">
      <c r="B1305" s="41" t="s">
        <v>3081</v>
      </c>
      <c r="C1305" s="41" t="s">
        <v>3080</v>
      </c>
      <c r="D1305" s="42" t="s">
        <v>2886</v>
      </c>
      <c r="E1305" s="43" t="s">
        <v>4754</v>
      </c>
      <c r="F1305" s="44"/>
      <c r="G1305" s="46"/>
    </row>
    <row r="1306" spans="2:7" x14ac:dyDescent="0.35">
      <c r="B1306" s="41" t="s">
        <v>3083</v>
      </c>
      <c r="C1306" s="41" t="s">
        <v>3082</v>
      </c>
      <c r="D1306" s="42" t="s">
        <v>2886</v>
      </c>
      <c r="E1306" s="43" t="s">
        <v>4754</v>
      </c>
      <c r="F1306" s="44"/>
      <c r="G1306" s="46"/>
    </row>
    <row r="1307" spans="2:7" x14ac:dyDescent="0.35">
      <c r="B1307" s="41" t="s">
        <v>3085</v>
      </c>
      <c r="C1307" s="41" t="s">
        <v>3084</v>
      </c>
      <c r="D1307" s="42" t="s">
        <v>2886</v>
      </c>
      <c r="E1307" s="43" t="s">
        <v>4754</v>
      </c>
      <c r="F1307" s="44"/>
      <c r="G1307" s="46"/>
    </row>
    <row r="1308" spans="2:7" x14ac:dyDescent="0.35">
      <c r="B1308" s="41" t="s">
        <v>3101</v>
      </c>
      <c r="C1308" s="41" t="s">
        <v>3100</v>
      </c>
      <c r="D1308" s="42" t="s">
        <v>3102</v>
      </c>
      <c r="E1308" s="43" t="s">
        <v>4754</v>
      </c>
      <c r="F1308" s="44"/>
      <c r="G1308" s="46"/>
    </row>
    <row r="1309" spans="2:7" x14ac:dyDescent="0.35">
      <c r="B1309" s="41" t="s">
        <v>3108</v>
      </c>
      <c r="C1309" s="41" t="s">
        <v>3107</v>
      </c>
      <c r="D1309" s="42" t="s">
        <v>2964</v>
      </c>
      <c r="E1309" s="43" t="s">
        <v>4754</v>
      </c>
      <c r="F1309" s="44"/>
      <c r="G1309" s="46"/>
    </row>
    <row r="1310" spans="2:7" x14ac:dyDescent="0.35">
      <c r="B1310" s="41" t="s">
        <v>3137</v>
      </c>
      <c r="C1310" s="41" t="s">
        <v>3136</v>
      </c>
      <c r="D1310" s="42" t="s">
        <v>3138</v>
      </c>
      <c r="E1310" s="43" t="s">
        <v>4754</v>
      </c>
      <c r="F1310" s="44"/>
      <c r="G1310" s="46"/>
    </row>
    <row r="1311" spans="2:7" x14ac:dyDescent="0.35">
      <c r="B1311" s="41" t="s">
        <v>3152</v>
      </c>
      <c r="C1311" s="41" t="s">
        <v>3151</v>
      </c>
      <c r="D1311" s="42" t="s">
        <v>2964</v>
      </c>
      <c r="E1311" s="43" t="s">
        <v>4754</v>
      </c>
      <c r="F1311" s="44"/>
      <c r="G1311" s="46"/>
    </row>
    <row r="1312" spans="2:7" x14ac:dyDescent="0.35">
      <c r="B1312" s="41" t="s">
        <v>3156</v>
      </c>
      <c r="C1312" s="41" t="s">
        <v>3155</v>
      </c>
      <c r="D1312" s="42" t="s">
        <v>3157</v>
      </c>
      <c r="E1312" s="43" t="s">
        <v>4754</v>
      </c>
      <c r="F1312" s="44"/>
      <c r="G1312" s="46"/>
    </row>
    <row r="1313" spans="2:7" x14ac:dyDescent="0.35">
      <c r="B1313" s="41" t="s">
        <v>3161</v>
      </c>
      <c r="C1313" s="41" t="s">
        <v>3160</v>
      </c>
      <c r="D1313" s="42" t="s">
        <v>3157</v>
      </c>
      <c r="E1313" s="43" t="s">
        <v>4754</v>
      </c>
      <c r="F1313" s="44"/>
      <c r="G1313" s="46"/>
    </row>
    <row r="1314" spans="2:7" x14ac:dyDescent="0.35">
      <c r="B1314" s="41" t="s">
        <v>3169</v>
      </c>
      <c r="C1314" s="41" t="s">
        <v>3168</v>
      </c>
      <c r="D1314" s="42" t="s">
        <v>3157</v>
      </c>
      <c r="E1314" s="43" t="s">
        <v>4754</v>
      </c>
      <c r="F1314" s="44"/>
      <c r="G1314" s="46"/>
    </row>
    <row r="1315" spans="2:7" x14ac:dyDescent="0.35">
      <c r="B1315" s="41" t="s">
        <v>3183</v>
      </c>
      <c r="C1315" s="41" t="s">
        <v>3182</v>
      </c>
      <c r="D1315" s="42" t="s">
        <v>2911</v>
      </c>
      <c r="E1315" s="43" t="s">
        <v>4754</v>
      </c>
      <c r="F1315" s="44"/>
      <c r="G1315" s="46"/>
    </row>
    <row r="1316" spans="2:7" x14ac:dyDescent="0.35">
      <c r="B1316" s="41" t="s">
        <v>3187</v>
      </c>
      <c r="C1316" s="41" t="s">
        <v>3186</v>
      </c>
      <c r="D1316" s="42" t="s">
        <v>3157</v>
      </c>
      <c r="E1316" s="43" t="s">
        <v>4754</v>
      </c>
      <c r="F1316" s="44"/>
      <c r="G1316" s="46"/>
    </row>
    <row r="1317" spans="2:7" x14ac:dyDescent="0.35">
      <c r="B1317" s="41" t="s">
        <v>4153</v>
      </c>
      <c r="C1317" s="41" t="s">
        <v>4152</v>
      </c>
      <c r="D1317" s="42" t="s">
        <v>4146</v>
      </c>
      <c r="E1317" s="43" t="s">
        <v>4754</v>
      </c>
      <c r="F1317" s="44"/>
      <c r="G1317" s="46"/>
    </row>
    <row r="1318" spans="2:7" x14ac:dyDescent="0.35">
      <c r="B1318" s="41" t="s">
        <v>4155</v>
      </c>
      <c r="C1318" s="41" t="s">
        <v>4154</v>
      </c>
      <c r="D1318" s="42" t="s">
        <v>4146</v>
      </c>
      <c r="E1318" s="43" t="s">
        <v>4754</v>
      </c>
      <c r="F1318" s="44"/>
      <c r="G1318" s="46"/>
    </row>
    <row r="1319" spans="2:7" x14ac:dyDescent="0.35">
      <c r="B1319" s="41" t="s">
        <v>4292</v>
      </c>
      <c r="C1319" s="41" t="s">
        <v>4291</v>
      </c>
      <c r="D1319" s="42" t="s">
        <v>4293</v>
      </c>
      <c r="E1319" s="43" t="s">
        <v>4754</v>
      </c>
      <c r="F1319" s="44"/>
      <c r="G1319" s="46"/>
    </row>
    <row r="1320" spans="2:7" x14ac:dyDescent="0.35">
      <c r="B1320" s="41" t="s">
        <v>4298</v>
      </c>
      <c r="C1320" s="41" t="s">
        <v>4297</v>
      </c>
      <c r="D1320" s="42" t="s">
        <v>3967</v>
      </c>
      <c r="E1320" s="43" t="s">
        <v>4754</v>
      </c>
      <c r="F1320" s="44"/>
      <c r="G1320" s="46"/>
    </row>
    <row r="1321" spans="2:7" x14ac:dyDescent="0.35">
      <c r="B1321" s="41" t="s">
        <v>4300</v>
      </c>
      <c r="C1321" s="41" t="s">
        <v>4299</v>
      </c>
      <c r="D1321" s="42" t="s">
        <v>3967</v>
      </c>
      <c r="E1321" s="43" t="s">
        <v>4754</v>
      </c>
      <c r="F1321" s="44"/>
      <c r="G1321" s="46"/>
    </row>
    <row r="1322" spans="2:7" x14ac:dyDescent="0.35">
      <c r="B1322" s="41" t="s">
        <v>4302</v>
      </c>
      <c r="C1322" s="41" t="s">
        <v>4301</v>
      </c>
      <c r="D1322" s="42" t="s">
        <v>4303</v>
      </c>
      <c r="E1322" s="43" t="s">
        <v>4754</v>
      </c>
      <c r="F1322" s="44"/>
      <c r="G1322" s="46"/>
    </row>
    <row r="1323" spans="2:7" x14ac:dyDescent="0.35">
      <c r="B1323" s="41" t="s">
        <v>4409</v>
      </c>
      <c r="C1323" s="41" t="s">
        <v>4408</v>
      </c>
      <c r="D1323" s="42" t="s">
        <v>4355</v>
      </c>
      <c r="E1323" s="43" t="s">
        <v>4754</v>
      </c>
      <c r="F1323" s="44"/>
      <c r="G1323" s="46"/>
    </row>
    <row r="1324" spans="2:7" x14ac:dyDescent="0.35">
      <c r="B1324" s="41" t="s">
        <v>4413</v>
      </c>
      <c r="C1324" s="41" t="s">
        <v>4412</v>
      </c>
      <c r="D1324" s="42" t="s">
        <v>4355</v>
      </c>
      <c r="E1324" s="43" t="s">
        <v>4754</v>
      </c>
      <c r="F1324" s="44"/>
      <c r="G1324" s="46"/>
    </row>
    <row r="1325" spans="2:7" x14ac:dyDescent="0.35">
      <c r="B1325" s="41" t="s">
        <v>4460</v>
      </c>
      <c r="C1325" s="41" t="s">
        <v>4459</v>
      </c>
      <c r="D1325" s="42" t="s">
        <v>4461</v>
      </c>
      <c r="E1325" s="43" t="s">
        <v>4754</v>
      </c>
      <c r="F1325" s="44"/>
      <c r="G1325" s="46"/>
    </row>
    <row r="1326" spans="2:7" x14ac:dyDescent="0.35">
      <c r="B1326" s="41" t="s">
        <v>4467</v>
      </c>
      <c r="C1326" s="41" t="s">
        <v>4466</v>
      </c>
      <c r="D1326" s="42" t="s">
        <v>4461</v>
      </c>
      <c r="E1326" s="43" t="s">
        <v>4754</v>
      </c>
      <c r="F1326" s="44"/>
      <c r="G1326" s="46"/>
    </row>
    <row r="1327" spans="2:7" x14ac:dyDescent="0.35">
      <c r="B1327" s="41" t="s">
        <v>4519</v>
      </c>
      <c r="C1327" s="41" t="s">
        <v>4518</v>
      </c>
      <c r="D1327" s="42" t="s">
        <v>4497</v>
      </c>
      <c r="E1327" s="43" t="s">
        <v>4754</v>
      </c>
      <c r="F1327" s="44"/>
      <c r="G1327" s="46"/>
    </row>
    <row r="1328" spans="2:7" x14ac:dyDescent="0.35">
      <c r="B1328" s="41" t="s">
        <v>4529</v>
      </c>
      <c r="C1328" s="41" t="s">
        <v>4528</v>
      </c>
      <c r="D1328" s="42" t="s">
        <v>4527</v>
      </c>
      <c r="E1328" s="43" t="s">
        <v>4754</v>
      </c>
      <c r="F1328" s="44"/>
      <c r="G1328" s="46"/>
    </row>
    <row r="1329" spans="2:7" x14ac:dyDescent="0.35">
      <c r="B1329" s="41" t="s">
        <v>4682</v>
      </c>
      <c r="C1329" s="46"/>
      <c r="D1329" s="42" t="s">
        <v>4681</v>
      </c>
      <c r="E1329" s="43" t="s">
        <v>4754</v>
      </c>
      <c r="F1329" s="44"/>
      <c r="G1329" s="46"/>
    </row>
    <row r="1330" spans="2:7" x14ac:dyDescent="0.4">
      <c r="B1330" s="46" t="s">
        <v>4730</v>
      </c>
      <c r="C1330" s="46"/>
      <c r="D1330" s="42" t="s">
        <v>4731</v>
      </c>
      <c r="E1330" s="43" t="s">
        <v>4754</v>
      </c>
      <c r="F1330" s="44"/>
      <c r="G1330" s="46"/>
    </row>
    <row r="1331" spans="2:7" x14ac:dyDescent="0.35">
      <c r="B1331" s="41" t="s">
        <v>4543</v>
      </c>
      <c r="C1331" s="41" t="s">
        <v>4542</v>
      </c>
      <c r="D1331" s="42" t="s">
        <v>4544</v>
      </c>
      <c r="E1331" s="43" t="s">
        <v>4816</v>
      </c>
      <c r="F1331" s="44"/>
      <c r="G1331" s="46"/>
    </row>
    <row r="1332" spans="2:7" x14ac:dyDescent="0.35">
      <c r="B1332" s="41" t="s">
        <v>2689</v>
      </c>
      <c r="C1332" s="41" t="s">
        <v>2688</v>
      </c>
      <c r="D1332" s="42" t="s">
        <v>2690</v>
      </c>
      <c r="E1332" s="43" t="s">
        <v>4798</v>
      </c>
      <c r="F1332" s="44"/>
      <c r="G1332" s="46"/>
    </row>
    <row r="1333" spans="2:7" x14ac:dyDescent="0.35">
      <c r="B1333" s="41" t="s">
        <v>2755</v>
      </c>
      <c r="C1333" s="41" t="s">
        <v>2754</v>
      </c>
      <c r="D1333" s="42" t="s">
        <v>2639</v>
      </c>
      <c r="E1333" s="43" t="s">
        <v>4798</v>
      </c>
      <c r="F1333" s="44"/>
      <c r="G1333" s="46"/>
    </row>
    <row r="1334" spans="2:7" x14ac:dyDescent="0.35">
      <c r="B1334" s="41" t="s">
        <v>2859</v>
      </c>
      <c r="C1334" s="41" t="s">
        <v>2858</v>
      </c>
      <c r="D1334" s="42" t="s">
        <v>2669</v>
      </c>
      <c r="E1334" s="43" t="s">
        <v>4798</v>
      </c>
      <c r="F1334" s="44"/>
      <c r="G1334" s="46"/>
    </row>
    <row r="1335" spans="2:7" x14ac:dyDescent="0.35">
      <c r="B1335" s="41" t="s">
        <v>2861</v>
      </c>
      <c r="C1335" s="41" t="s">
        <v>2860</v>
      </c>
      <c r="D1335" s="42" t="s">
        <v>2669</v>
      </c>
      <c r="E1335" s="43" t="s">
        <v>4798</v>
      </c>
      <c r="F1335" s="44"/>
      <c r="G1335" s="46"/>
    </row>
    <row r="1336" spans="2:7" x14ac:dyDescent="0.35">
      <c r="B1336" s="41" t="s">
        <v>3742</v>
      </c>
      <c r="C1336" s="41" t="s">
        <v>3741</v>
      </c>
      <c r="D1336" s="42" t="s">
        <v>3743</v>
      </c>
      <c r="E1336" s="43" t="s">
        <v>4798</v>
      </c>
      <c r="F1336" s="44"/>
      <c r="G1336" s="46"/>
    </row>
    <row r="1337" spans="2:7" x14ac:dyDescent="0.35">
      <c r="B1337" s="41" t="s">
        <v>3774</v>
      </c>
      <c r="C1337" s="41" t="s">
        <v>3773</v>
      </c>
      <c r="D1337" s="42" t="s">
        <v>3308</v>
      </c>
      <c r="E1337" s="43" t="s">
        <v>4798</v>
      </c>
      <c r="F1337" s="44"/>
      <c r="G1337" s="46"/>
    </row>
    <row r="1338" spans="2:7" x14ac:dyDescent="0.35">
      <c r="B1338" s="41" t="s">
        <v>4310</v>
      </c>
      <c r="C1338" s="41" t="s">
        <v>4309</v>
      </c>
      <c r="D1338" s="42" t="s">
        <v>3809</v>
      </c>
      <c r="E1338" s="43" t="s">
        <v>4798</v>
      </c>
      <c r="F1338" s="44"/>
      <c r="G1338" s="46"/>
    </row>
    <row r="1339" spans="2:7" x14ac:dyDescent="0.35">
      <c r="B1339" s="41" t="s">
        <v>4375</v>
      </c>
      <c r="C1339" s="41" t="s">
        <v>4374</v>
      </c>
      <c r="D1339" s="42" t="s">
        <v>4371</v>
      </c>
      <c r="E1339" s="43" t="s">
        <v>4798</v>
      </c>
      <c r="F1339" s="44"/>
      <c r="G1339" s="46"/>
    </row>
    <row r="1340" spans="2:7" x14ac:dyDescent="0.35">
      <c r="B1340" s="41" t="s">
        <v>4504</v>
      </c>
      <c r="C1340" s="41" t="s">
        <v>4503</v>
      </c>
      <c r="D1340" s="42" t="s">
        <v>4500</v>
      </c>
      <c r="E1340" s="43" t="s">
        <v>4798</v>
      </c>
      <c r="F1340" s="44"/>
      <c r="G1340" s="46"/>
    </row>
    <row r="1341" spans="2:7" x14ac:dyDescent="0.4">
      <c r="B1341" s="46" t="s">
        <v>4708</v>
      </c>
      <c r="C1341" s="46"/>
      <c r="D1341" s="42" t="s">
        <v>4709</v>
      </c>
      <c r="E1341" s="43" t="s">
        <v>4798</v>
      </c>
      <c r="F1341" s="44"/>
      <c r="G1341" s="46"/>
    </row>
    <row r="1342" spans="2:7" x14ac:dyDescent="0.35">
      <c r="B1342" s="41" t="s">
        <v>1017</v>
      </c>
      <c r="C1342" s="41" t="s">
        <v>1016</v>
      </c>
      <c r="D1342" s="42" t="s">
        <v>241</v>
      </c>
      <c r="E1342" s="43" t="s">
        <v>4759</v>
      </c>
      <c r="F1342" s="44"/>
      <c r="G1342" s="46"/>
    </row>
    <row r="1343" spans="2:7" x14ac:dyDescent="0.35">
      <c r="B1343" s="41" t="s">
        <v>2643</v>
      </c>
      <c r="C1343" s="41" t="s">
        <v>2642</v>
      </c>
      <c r="D1343" s="42" t="s">
        <v>2639</v>
      </c>
      <c r="E1343" s="43" t="s">
        <v>4759</v>
      </c>
      <c r="F1343" s="44"/>
      <c r="G1343" s="46"/>
    </row>
    <row r="1344" spans="2:7" x14ac:dyDescent="0.35">
      <c r="B1344" s="41" t="s">
        <v>2792</v>
      </c>
      <c r="C1344" s="41" t="s">
        <v>2791</v>
      </c>
      <c r="D1344" s="42" t="s">
        <v>2639</v>
      </c>
      <c r="E1344" s="43" t="s">
        <v>4759</v>
      </c>
      <c r="F1344" s="44"/>
      <c r="G1344" s="46"/>
    </row>
    <row r="1345" spans="2:7" x14ac:dyDescent="0.35">
      <c r="B1345" s="41" t="s">
        <v>2844</v>
      </c>
      <c r="C1345" s="41" t="s">
        <v>2843</v>
      </c>
      <c r="D1345" s="42" t="s">
        <v>2818</v>
      </c>
      <c r="E1345" s="43" t="s">
        <v>4759</v>
      </c>
      <c r="F1345" s="44"/>
      <c r="G1345" s="46"/>
    </row>
    <row r="1346" spans="2:7" x14ac:dyDescent="0.35">
      <c r="B1346" s="41" t="s">
        <v>508</v>
      </c>
      <c r="C1346" s="41" t="s">
        <v>507</v>
      </c>
      <c r="D1346" s="42" t="s">
        <v>509</v>
      </c>
      <c r="E1346" s="43" t="s">
        <v>4780</v>
      </c>
      <c r="F1346" s="44"/>
      <c r="G1346" s="46"/>
    </row>
    <row r="1347" spans="2:7" x14ac:dyDescent="0.35">
      <c r="B1347" s="41" t="s">
        <v>516</v>
      </c>
      <c r="C1347" s="41" t="s">
        <v>515</v>
      </c>
      <c r="D1347" s="42" t="s">
        <v>517</v>
      </c>
      <c r="E1347" s="43" t="s">
        <v>4780</v>
      </c>
      <c r="F1347" s="44"/>
      <c r="G1347" s="46"/>
    </row>
    <row r="1348" spans="2:7" x14ac:dyDescent="0.35">
      <c r="B1348" s="41" t="s">
        <v>530</v>
      </c>
      <c r="C1348" s="41" t="s">
        <v>529</v>
      </c>
      <c r="D1348" s="42" t="s">
        <v>517</v>
      </c>
      <c r="E1348" s="43" t="s">
        <v>4780</v>
      </c>
      <c r="F1348" s="44"/>
      <c r="G1348" s="46"/>
    </row>
    <row r="1349" spans="2:7" x14ac:dyDescent="0.35">
      <c r="B1349" s="41" t="s">
        <v>532</v>
      </c>
      <c r="C1349" s="41" t="s">
        <v>531</v>
      </c>
      <c r="D1349" s="42" t="s">
        <v>533</v>
      </c>
      <c r="E1349" s="43" t="s">
        <v>4780</v>
      </c>
      <c r="F1349" s="44"/>
      <c r="G1349" s="46"/>
    </row>
    <row r="1350" spans="2:7" x14ac:dyDescent="0.35">
      <c r="B1350" s="41" t="s">
        <v>538</v>
      </c>
      <c r="C1350" s="41" t="s">
        <v>537</v>
      </c>
      <c r="D1350" s="42" t="s">
        <v>526</v>
      </c>
      <c r="E1350" s="43" t="s">
        <v>4780</v>
      </c>
      <c r="F1350" s="44"/>
      <c r="G1350" s="46"/>
    </row>
    <row r="1351" spans="2:7" x14ac:dyDescent="0.35">
      <c r="B1351" s="41" t="s">
        <v>542</v>
      </c>
      <c r="C1351" s="41" t="s">
        <v>541</v>
      </c>
      <c r="D1351" s="42" t="s">
        <v>543</v>
      </c>
      <c r="E1351" s="43" t="s">
        <v>4780</v>
      </c>
      <c r="F1351" s="44"/>
      <c r="G1351" s="46"/>
    </row>
    <row r="1352" spans="2:7" x14ac:dyDescent="0.35">
      <c r="B1352" s="41" t="s">
        <v>545</v>
      </c>
      <c r="C1352" s="41" t="s">
        <v>544</v>
      </c>
      <c r="D1352" s="42" t="s">
        <v>526</v>
      </c>
      <c r="E1352" s="43" t="s">
        <v>4780</v>
      </c>
      <c r="F1352" s="44"/>
      <c r="G1352" s="46"/>
    </row>
    <row r="1353" spans="2:7" x14ac:dyDescent="0.35">
      <c r="B1353" s="41" t="s">
        <v>551</v>
      </c>
      <c r="C1353" s="41" t="s">
        <v>550</v>
      </c>
      <c r="D1353" s="42" t="s">
        <v>526</v>
      </c>
      <c r="E1353" s="43" t="s">
        <v>4780</v>
      </c>
      <c r="F1353" s="44"/>
      <c r="G1353" s="46"/>
    </row>
    <row r="1354" spans="2:7" x14ac:dyDescent="0.35">
      <c r="B1354" s="41" t="s">
        <v>556</v>
      </c>
      <c r="C1354" s="41" t="s">
        <v>555</v>
      </c>
      <c r="D1354" s="42" t="s">
        <v>352</v>
      </c>
      <c r="E1354" s="43" t="s">
        <v>4780</v>
      </c>
      <c r="F1354" s="44"/>
      <c r="G1354" s="46"/>
    </row>
    <row r="1355" spans="2:7" x14ac:dyDescent="0.35">
      <c r="B1355" s="41" t="s">
        <v>558</v>
      </c>
      <c r="C1355" s="41" t="s">
        <v>557</v>
      </c>
      <c r="D1355" s="42" t="s">
        <v>352</v>
      </c>
      <c r="E1355" s="43" t="s">
        <v>4780</v>
      </c>
      <c r="F1355" s="44"/>
      <c r="G1355" s="46"/>
    </row>
    <row r="1356" spans="2:7" x14ac:dyDescent="0.35">
      <c r="B1356" s="41" t="s">
        <v>562</v>
      </c>
      <c r="C1356" s="41" t="s">
        <v>561</v>
      </c>
      <c r="D1356" s="42" t="s">
        <v>517</v>
      </c>
      <c r="E1356" s="43" t="s">
        <v>4780</v>
      </c>
      <c r="F1356" s="44"/>
      <c r="G1356" s="46"/>
    </row>
    <row r="1357" spans="2:7" x14ac:dyDescent="0.35">
      <c r="B1357" s="41" t="s">
        <v>564</v>
      </c>
      <c r="C1357" s="41" t="s">
        <v>563</v>
      </c>
      <c r="D1357" s="42" t="s">
        <v>533</v>
      </c>
      <c r="E1357" s="43" t="s">
        <v>4780</v>
      </c>
      <c r="F1357" s="44"/>
      <c r="G1357" s="46"/>
    </row>
    <row r="1358" spans="2:7" x14ac:dyDescent="0.35">
      <c r="B1358" s="41" t="s">
        <v>571</v>
      </c>
      <c r="C1358" s="41" t="s">
        <v>570</v>
      </c>
      <c r="D1358" s="42" t="s">
        <v>572</v>
      </c>
      <c r="E1358" s="43" t="s">
        <v>4780</v>
      </c>
      <c r="F1358" s="44"/>
      <c r="G1358" s="46"/>
    </row>
    <row r="1359" spans="2:7" x14ac:dyDescent="0.35">
      <c r="B1359" s="41" t="s">
        <v>574</v>
      </c>
      <c r="C1359" s="41" t="s">
        <v>573</v>
      </c>
      <c r="D1359" s="42" t="s">
        <v>575</v>
      </c>
      <c r="E1359" s="43" t="s">
        <v>4780</v>
      </c>
      <c r="F1359" s="44"/>
      <c r="G1359" s="46"/>
    </row>
    <row r="1360" spans="2:7" x14ac:dyDescent="0.35">
      <c r="B1360" s="41" t="s">
        <v>577</v>
      </c>
      <c r="C1360" s="41" t="s">
        <v>576</v>
      </c>
      <c r="D1360" s="42" t="s">
        <v>543</v>
      </c>
      <c r="E1360" s="43" t="s">
        <v>4780</v>
      </c>
      <c r="F1360" s="44"/>
      <c r="G1360" s="46"/>
    </row>
    <row r="1361" spans="2:7" x14ac:dyDescent="0.35">
      <c r="B1361" s="41" t="s">
        <v>579</v>
      </c>
      <c r="C1361" s="41" t="s">
        <v>578</v>
      </c>
      <c r="D1361" s="42" t="s">
        <v>517</v>
      </c>
      <c r="E1361" s="43" t="s">
        <v>4780</v>
      </c>
      <c r="F1361" s="44"/>
      <c r="G1361" s="46"/>
    </row>
    <row r="1362" spans="2:7" x14ac:dyDescent="0.35">
      <c r="B1362" s="41" t="s">
        <v>581</v>
      </c>
      <c r="C1362" s="41" t="s">
        <v>580</v>
      </c>
      <c r="D1362" s="42" t="s">
        <v>582</v>
      </c>
      <c r="E1362" s="43" t="s">
        <v>4780</v>
      </c>
      <c r="F1362" s="44"/>
      <c r="G1362" s="46"/>
    </row>
    <row r="1363" spans="2:7" x14ac:dyDescent="0.35">
      <c r="B1363" s="41" t="s">
        <v>584</v>
      </c>
      <c r="C1363" s="41" t="s">
        <v>583</v>
      </c>
      <c r="D1363" s="42" t="s">
        <v>533</v>
      </c>
      <c r="E1363" s="43" t="s">
        <v>4780</v>
      </c>
      <c r="F1363" s="44"/>
      <c r="G1363" s="46"/>
    </row>
    <row r="1364" spans="2:7" x14ac:dyDescent="0.35">
      <c r="B1364" s="41" t="s">
        <v>588</v>
      </c>
      <c r="C1364" s="41" t="s">
        <v>587</v>
      </c>
      <c r="D1364" s="42" t="s">
        <v>275</v>
      </c>
      <c r="E1364" s="43" t="s">
        <v>4780</v>
      </c>
      <c r="F1364" s="44"/>
      <c r="G1364" s="46"/>
    </row>
    <row r="1365" spans="2:7" x14ac:dyDescent="0.35">
      <c r="B1365" s="41" t="s">
        <v>748</v>
      </c>
      <c r="C1365" s="41" t="s">
        <v>747</v>
      </c>
      <c r="D1365" s="42" t="s">
        <v>165</v>
      </c>
      <c r="E1365" s="43" t="s">
        <v>4780</v>
      </c>
      <c r="F1365" s="44"/>
      <c r="G1365" s="46"/>
    </row>
    <row r="1366" spans="2:7" x14ac:dyDescent="0.35">
      <c r="B1366" s="41" t="s">
        <v>750</v>
      </c>
      <c r="C1366" s="41" t="s">
        <v>749</v>
      </c>
      <c r="D1366" s="42" t="s">
        <v>165</v>
      </c>
      <c r="E1366" s="43" t="s">
        <v>4780</v>
      </c>
      <c r="F1366" s="44"/>
      <c r="G1366" s="46"/>
    </row>
    <row r="1367" spans="2:7" x14ac:dyDescent="0.35">
      <c r="B1367" s="41" t="s">
        <v>757</v>
      </c>
      <c r="C1367" s="41" t="s">
        <v>756</v>
      </c>
      <c r="D1367" s="42" t="s">
        <v>758</v>
      </c>
      <c r="E1367" s="43" t="s">
        <v>4780</v>
      </c>
      <c r="F1367" s="44"/>
      <c r="G1367" s="46"/>
    </row>
    <row r="1368" spans="2:7" x14ac:dyDescent="0.35">
      <c r="B1368" s="41" t="s">
        <v>761</v>
      </c>
      <c r="C1368" s="41" t="s">
        <v>760</v>
      </c>
      <c r="D1368" s="42" t="s">
        <v>533</v>
      </c>
      <c r="E1368" s="43" t="s">
        <v>4780</v>
      </c>
      <c r="F1368" s="44"/>
      <c r="G1368" s="46"/>
    </row>
    <row r="1369" spans="2:7" x14ac:dyDescent="0.35">
      <c r="B1369" s="41" t="s">
        <v>771</v>
      </c>
      <c r="C1369" s="41" t="s">
        <v>770</v>
      </c>
      <c r="D1369" s="42" t="s">
        <v>651</v>
      </c>
      <c r="E1369" s="43" t="s">
        <v>4780</v>
      </c>
      <c r="F1369" s="44"/>
      <c r="G1369" s="46"/>
    </row>
    <row r="1370" spans="2:7" x14ac:dyDescent="0.35">
      <c r="B1370" s="41" t="s">
        <v>773</v>
      </c>
      <c r="C1370" s="41" t="s">
        <v>772</v>
      </c>
      <c r="D1370" s="42" t="s">
        <v>173</v>
      </c>
      <c r="E1370" s="43" t="s">
        <v>4780</v>
      </c>
      <c r="F1370" s="44"/>
      <c r="G1370" s="46"/>
    </row>
    <row r="1371" spans="2:7" x14ac:dyDescent="0.35">
      <c r="B1371" s="41" t="s">
        <v>775</v>
      </c>
      <c r="C1371" s="41" t="s">
        <v>774</v>
      </c>
      <c r="D1371" s="42" t="s">
        <v>651</v>
      </c>
      <c r="E1371" s="43" t="s">
        <v>4780</v>
      </c>
      <c r="F1371" s="44"/>
      <c r="G1371" s="46"/>
    </row>
    <row r="1372" spans="2:7" x14ac:dyDescent="0.35">
      <c r="B1372" s="41" t="s">
        <v>777</v>
      </c>
      <c r="C1372" s="41" t="s">
        <v>776</v>
      </c>
      <c r="D1372" s="42" t="s">
        <v>651</v>
      </c>
      <c r="E1372" s="43" t="s">
        <v>4780</v>
      </c>
      <c r="F1372" s="44"/>
      <c r="G1372" s="46"/>
    </row>
    <row r="1373" spans="2:7" x14ac:dyDescent="0.35">
      <c r="B1373" s="41" t="s">
        <v>782</v>
      </c>
      <c r="C1373" s="41" t="s">
        <v>781</v>
      </c>
      <c r="D1373" s="42" t="s">
        <v>780</v>
      </c>
      <c r="E1373" s="43" t="s">
        <v>4780</v>
      </c>
      <c r="F1373" s="44"/>
      <c r="G1373" s="46"/>
    </row>
    <row r="1374" spans="2:7" x14ac:dyDescent="0.35">
      <c r="B1374" s="41" t="s">
        <v>786</v>
      </c>
      <c r="C1374" s="41" t="s">
        <v>785</v>
      </c>
      <c r="D1374" s="42" t="s">
        <v>780</v>
      </c>
      <c r="E1374" s="43" t="s">
        <v>4780</v>
      </c>
      <c r="F1374" s="44"/>
      <c r="G1374" s="46"/>
    </row>
    <row r="1375" spans="2:7" x14ac:dyDescent="0.35">
      <c r="B1375" s="41" t="s">
        <v>788</v>
      </c>
      <c r="C1375" s="41" t="s">
        <v>787</v>
      </c>
      <c r="D1375" s="42" t="s">
        <v>789</v>
      </c>
      <c r="E1375" s="43" t="s">
        <v>4780</v>
      </c>
      <c r="F1375" s="44"/>
      <c r="G1375" s="46"/>
    </row>
    <row r="1376" spans="2:7" x14ac:dyDescent="0.35">
      <c r="B1376" s="41" t="s">
        <v>791</v>
      </c>
      <c r="C1376" s="41" t="s">
        <v>790</v>
      </c>
      <c r="D1376" s="42" t="s">
        <v>780</v>
      </c>
      <c r="E1376" s="43" t="s">
        <v>4780</v>
      </c>
      <c r="F1376" s="44"/>
      <c r="G1376" s="46"/>
    </row>
    <row r="1377" spans="2:7" x14ac:dyDescent="0.35">
      <c r="B1377" s="41" t="s">
        <v>1057</v>
      </c>
      <c r="C1377" s="41" t="s">
        <v>1056</v>
      </c>
      <c r="D1377" s="42" t="s">
        <v>1058</v>
      </c>
      <c r="E1377" s="43" t="s">
        <v>4780</v>
      </c>
      <c r="F1377" s="44"/>
      <c r="G1377" s="46"/>
    </row>
    <row r="1378" spans="2:7" x14ac:dyDescent="0.35">
      <c r="B1378" s="41" t="s">
        <v>1159</v>
      </c>
      <c r="C1378" s="41" t="s">
        <v>1158</v>
      </c>
      <c r="D1378" s="42" t="s">
        <v>249</v>
      </c>
      <c r="E1378" s="43" t="s">
        <v>4780</v>
      </c>
      <c r="F1378" s="44"/>
      <c r="G1378" s="46"/>
    </row>
    <row r="1379" spans="2:7" x14ac:dyDescent="0.35">
      <c r="B1379" s="41" t="s">
        <v>1161</v>
      </c>
      <c r="C1379" s="41" t="s">
        <v>1160</v>
      </c>
      <c r="D1379" s="42" t="s">
        <v>789</v>
      </c>
      <c r="E1379" s="43" t="s">
        <v>4780</v>
      </c>
      <c r="F1379" s="44"/>
      <c r="G1379" s="46"/>
    </row>
    <row r="1380" spans="2:7" x14ac:dyDescent="0.35">
      <c r="B1380" s="41" t="s">
        <v>1167</v>
      </c>
      <c r="C1380" s="41" t="s">
        <v>1166</v>
      </c>
      <c r="D1380" s="42" t="s">
        <v>1168</v>
      </c>
      <c r="E1380" s="43" t="s">
        <v>4780</v>
      </c>
      <c r="F1380" s="44"/>
      <c r="G1380" s="46"/>
    </row>
    <row r="1381" spans="2:7" x14ac:dyDescent="0.35">
      <c r="B1381" s="41" t="s">
        <v>1170</v>
      </c>
      <c r="C1381" s="41" t="s">
        <v>1169</v>
      </c>
      <c r="D1381" s="42" t="s">
        <v>1171</v>
      </c>
      <c r="E1381" s="43" t="s">
        <v>4780</v>
      </c>
      <c r="F1381" s="44"/>
      <c r="G1381" s="46"/>
    </row>
    <row r="1382" spans="2:7" x14ac:dyDescent="0.35">
      <c r="B1382" s="41" t="s">
        <v>1173</v>
      </c>
      <c r="C1382" s="41" t="s">
        <v>1172</v>
      </c>
      <c r="D1382" s="42" t="s">
        <v>1168</v>
      </c>
      <c r="E1382" s="43" t="s">
        <v>4780</v>
      </c>
      <c r="F1382" s="44"/>
      <c r="G1382" s="46"/>
    </row>
    <row r="1383" spans="2:7" x14ac:dyDescent="0.35">
      <c r="B1383" s="41" t="s">
        <v>1175</v>
      </c>
      <c r="C1383" s="41" t="s">
        <v>1174</v>
      </c>
      <c r="D1383" s="42" t="s">
        <v>1176</v>
      </c>
      <c r="E1383" s="43" t="s">
        <v>4780</v>
      </c>
      <c r="F1383" s="44"/>
      <c r="G1383" s="46"/>
    </row>
    <row r="1384" spans="2:7" x14ac:dyDescent="0.35">
      <c r="B1384" s="41" t="s">
        <v>1180</v>
      </c>
      <c r="C1384" s="41" t="s">
        <v>1179</v>
      </c>
      <c r="D1384" s="42" t="s">
        <v>389</v>
      </c>
      <c r="E1384" s="43" t="s">
        <v>4780</v>
      </c>
      <c r="F1384" s="44"/>
      <c r="G1384" s="46"/>
    </row>
    <row r="1385" spans="2:7" x14ac:dyDescent="0.35">
      <c r="B1385" s="41" t="s">
        <v>1182</v>
      </c>
      <c r="C1385" s="41" t="s">
        <v>1181</v>
      </c>
      <c r="D1385" s="42" t="s">
        <v>421</v>
      </c>
      <c r="E1385" s="43" t="s">
        <v>4780</v>
      </c>
      <c r="F1385" s="44"/>
      <c r="G1385" s="46"/>
    </row>
    <row r="1386" spans="2:7" x14ac:dyDescent="0.35">
      <c r="B1386" s="41" t="s">
        <v>1186</v>
      </c>
      <c r="C1386" s="41" t="s">
        <v>1185</v>
      </c>
      <c r="D1386" s="42" t="s">
        <v>249</v>
      </c>
      <c r="E1386" s="43" t="s">
        <v>4780</v>
      </c>
      <c r="F1386" s="44"/>
      <c r="G1386" s="46"/>
    </row>
    <row r="1387" spans="2:7" x14ac:dyDescent="0.35">
      <c r="B1387" s="41" t="s">
        <v>1188</v>
      </c>
      <c r="C1387" s="41" t="s">
        <v>1187</v>
      </c>
      <c r="D1387" s="42" t="s">
        <v>759</v>
      </c>
      <c r="E1387" s="43" t="s">
        <v>4780</v>
      </c>
      <c r="F1387" s="44"/>
      <c r="G1387" s="46"/>
    </row>
    <row r="1388" spans="2:7" x14ac:dyDescent="0.35">
      <c r="B1388" s="41" t="s">
        <v>1195</v>
      </c>
      <c r="C1388" s="41" t="s">
        <v>1194</v>
      </c>
      <c r="D1388" s="42" t="s">
        <v>1171</v>
      </c>
      <c r="E1388" s="43" t="s">
        <v>4780</v>
      </c>
      <c r="F1388" s="44"/>
      <c r="G1388" s="46"/>
    </row>
    <row r="1389" spans="2:7" x14ac:dyDescent="0.35">
      <c r="B1389" s="41" t="s">
        <v>1197</v>
      </c>
      <c r="C1389" s="41" t="s">
        <v>1196</v>
      </c>
      <c r="D1389" s="42" t="s">
        <v>626</v>
      </c>
      <c r="E1389" s="43" t="s">
        <v>4780</v>
      </c>
      <c r="F1389" s="44"/>
      <c r="G1389" s="46"/>
    </row>
    <row r="1390" spans="2:7" x14ac:dyDescent="0.35">
      <c r="B1390" s="41" t="s">
        <v>1199</v>
      </c>
      <c r="C1390" s="41" t="s">
        <v>1198</v>
      </c>
      <c r="D1390" s="42" t="s">
        <v>4599</v>
      </c>
      <c r="E1390" s="43" t="s">
        <v>4780</v>
      </c>
      <c r="F1390" s="44"/>
      <c r="G1390" s="46"/>
    </row>
    <row r="1391" spans="2:7" x14ac:dyDescent="0.35">
      <c r="B1391" s="41" t="s">
        <v>1205</v>
      </c>
      <c r="C1391" s="41" t="s">
        <v>1204</v>
      </c>
      <c r="D1391" s="42" t="s">
        <v>1191</v>
      </c>
      <c r="E1391" s="43" t="s">
        <v>4780</v>
      </c>
      <c r="F1391" s="44"/>
      <c r="G1391" s="46"/>
    </row>
    <row r="1392" spans="2:7" x14ac:dyDescent="0.35">
      <c r="B1392" s="41" t="s">
        <v>1207</v>
      </c>
      <c r="C1392" s="41" t="s">
        <v>1206</v>
      </c>
      <c r="D1392" s="42" t="s">
        <v>1191</v>
      </c>
      <c r="E1392" s="43" t="s">
        <v>4780</v>
      </c>
      <c r="F1392" s="44"/>
      <c r="G1392" s="46"/>
    </row>
    <row r="1393" spans="2:7" x14ac:dyDescent="0.35">
      <c r="B1393" s="41" t="s">
        <v>1310</v>
      </c>
      <c r="C1393" s="41" t="s">
        <v>1309</v>
      </c>
      <c r="D1393" s="42" t="s">
        <v>1044</v>
      </c>
      <c r="E1393" s="43" t="s">
        <v>4780</v>
      </c>
      <c r="F1393" s="44"/>
      <c r="G1393" s="46"/>
    </row>
    <row r="1394" spans="2:7" x14ac:dyDescent="0.35">
      <c r="B1394" s="41" t="s">
        <v>1314</v>
      </c>
      <c r="C1394" s="41" t="s">
        <v>1313</v>
      </c>
      <c r="D1394" s="42" t="s">
        <v>1044</v>
      </c>
      <c r="E1394" s="43" t="s">
        <v>4780</v>
      </c>
      <c r="F1394" s="44"/>
      <c r="G1394" s="46"/>
    </row>
    <row r="1395" spans="2:7" x14ac:dyDescent="0.35">
      <c r="B1395" s="41" t="s">
        <v>1316</v>
      </c>
      <c r="C1395" s="41" t="s">
        <v>1315</v>
      </c>
      <c r="D1395" s="42" t="s">
        <v>1044</v>
      </c>
      <c r="E1395" s="43" t="s">
        <v>4780</v>
      </c>
      <c r="F1395" s="44"/>
      <c r="G1395" s="46"/>
    </row>
    <row r="1396" spans="2:7" x14ac:dyDescent="0.35">
      <c r="B1396" s="45" t="s">
        <v>1580</v>
      </c>
      <c r="C1396" s="45" t="s">
        <v>1579</v>
      </c>
      <c r="D1396" s="42" t="s">
        <v>1345</v>
      </c>
      <c r="E1396" s="43" t="s">
        <v>4780</v>
      </c>
      <c r="F1396" s="44"/>
      <c r="G1396" s="46"/>
    </row>
    <row r="1397" spans="2:7" x14ac:dyDescent="0.35">
      <c r="B1397" s="41" t="s">
        <v>1582</v>
      </c>
      <c r="C1397" s="41" t="s">
        <v>1581</v>
      </c>
      <c r="D1397" s="42" t="s">
        <v>1459</v>
      </c>
      <c r="E1397" s="43" t="s">
        <v>4780</v>
      </c>
      <c r="F1397" s="44"/>
      <c r="G1397" s="46"/>
    </row>
    <row r="1398" spans="2:7" x14ac:dyDescent="0.35">
      <c r="B1398" s="41" t="s">
        <v>1584</v>
      </c>
      <c r="C1398" s="41" t="s">
        <v>1583</v>
      </c>
      <c r="D1398" s="42" t="s">
        <v>1585</v>
      </c>
      <c r="E1398" s="43" t="s">
        <v>4780</v>
      </c>
      <c r="F1398" s="44"/>
      <c r="G1398" s="46"/>
    </row>
    <row r="1399" spans="2:7" x14ac:dyDescent="0.35">
      <c r="B1399" s="41" t="s">
        <v>1587</v>
      </c>
      <c r="C1399" s="41" t="s">
        <v>1586</v>
      </c>
      <c r="D1399" s="42" t="s">
        <v>249</v>
      </c>
      <c r="E1399" s="43" t="s">
        <v>4780</v>
      </c>
      <c r="F1399" s="44"/>
      <c r="G1399" s="46"/>
    </row>
    <row r="1400" spans="2:7" x14ac:dyDescent="0.35">
      <c r="B1400" s="41" t="s">
        <v>1589</v>
      </c>
      <c r="C1400" s="41" t="s">
        <v>1588</v>
      </c>
      <c r="D1400" s="42" t="s">
        <v>1590</v>
      </c>
      <c r="E1400" s="43" t="s">
        <v>4780</v>
      </c>
      <c r="F1400" s="44"/>
      <c r="G1400" s="46"/>
    </row>
    <row r="1401" spans="2:7" x14ac:dyDescent="0.35">
      <c r="B1401" s="41" t="s">
        <v>1594</v>
      </c>
      <c r="C1401" s="41" t="s">
        <v>1593</v>
      </c>
      <c r="D1401" s="42" t="s">
        <v>1585</v>
      </c>
      <c r="E1401" s="43" t="s">
        <v>4780</v>
      </c>
      <c r="F1401" s="44"/>
      <c r="G1401" s="46"/>
    </row>
    <row r="1402" spans="2:7" x14ac:dyDescent="0.35">
      <c r="B1402" s="41" t="s">
        <v>1596</v>
      </c>
      <c r="C1402" s="41" t="s">
        <v>1595</v>
      </c>
      <c r="D1402" s="42" t="s">
        <v>1585</v>
      </c>
      <c r="E1402" s="43" t="s">
        <v>4780</v>
      </c>
      <c r="F1402" s="44"/>
      <c r="G1402" s="46"/>
    </row>
    <row r="1403" spans="2:7" x14ac:dyDescent="0.35">
      <c r="B1403" s="41" t="s">
        <v>1598</v>
      </c>
      <c r="C1403" s="41" t="s">
        <v>1597</v>
      </c>
      <c r="D1403" s="42" t="s">
        <v>1585</v>
      </c>
      <c r="E1403" s="43" t="s">
        <v>4780</v>
      </c>
      <c r="F1403" s="44"/>
      <c r="G1403" s="46"/>
    </row>
    <row r="1404" spans="2:7" x14ac:dyDescent="0.35">
      <c r="B1404" s="41" t="s">
        <v>1600</v>
      </c>
      <c r="C1404" s="41" t="s">
        <v>1599</v>
      </c>
      <c r="D1404" s="42" t="s">
        <v>1585</v>
      </c>
      <c r="E1404" s="43" t="s">
        <v>4780</v>
      </c>
      <c r="F1404" s="44"/>
      <c r="G1404" s="46"/>
    </row>
    <row r="1405" spans="2:7" x14ac:dyDescent="0.35">
      <c r="B1405" s="41" t="s">
        <v>1605</v>
      </c>
      <c r="C1405" s="41" t="s">
        <v>1604</v>
      </c>
      <c r="D1405" s="42" t="s">
        <v>1606</v>
      </c>
      <c r="E1405" s="43" t="s">
        <v>4780</v>
      </c>
      <c r="F1405" s="44"/>
      <c r="G1405" s="46"/>
    </row>
    <row r="1406" spans="2:7" x14ac:dyDescent="0.35">
      <c r="B1406" s="41" t="s">
        <v>1613</v>
      </c>
      <c r="C1406" s="41" t="s">
        <v>1612</v>
      </c>
      <c r="D1406" s="42" t="s">
        <v>1614</v>
      </c>
      <c r="E1406" s="43" t="s">
        <v>4780</v>
      </c>
      <c r="F1406" s="44"/>
      <c r="G1406" s="46"/>
    </row>
    <row r="1407" spans="2:7" x14ac:dyDescent="0.35">
      <c r="B1407" s="41" t="s">
        <v>1638</v>
      </c>
      <c r="C1407" s="41" t="s">
        <v>1637</v>
      </c>
      <c r="D1407" s="42" t="s">
        <v>1634</v>
      </c>
      <c r="E1407" s="43" t="s">
        <v>4780</v>
      </c>
      <c r="F1407" s="44"/>
      <c r="G1407" s="46"/>
    </row>
    <row r="1408" spans="2:7" x14ac:dyDescent="0.35">
      <c r="B1408" s="41" t="s">
        <v>1662</v>
      </c>
      <c r="C1408" s="41" t="s">
        <v>1661</v>
      </c>
      <c r="D1408" s="42" t="s">
        <v>1590</v>
      </c>
      <c r="E1408" s="43" t="s">
        <v>4780</v>
      </c>
      <c r="F1408" s="44"/>
      <c r="G1408" s="46"/>
    </row>
    <row r="1409" spans="2:7" x14ac:dyDescent="0.35">
      <c r="B1409" s="41" t="s">
        <v>1664</v>
      </c>
      <c r="C1409" s="41" t="s">
        <v>1663</v>
      </c>
      <c r="D1409" s="42" t="s">
        <v>1634</v>
      </c>
      <c r="E1409" s="43" t="s">
        <v>4780</v>
      </c>
      <c r="F1409" s="44"/>
      <c r="G1409" s="46"/>
    </row>
    <row r="1410" spans="2:7" x14ac:dyDescent="0.35">
      <c r="B1410" s="41" t="s">
        <v>1666</v>
      </c>
      <c r="C1410" s="41" t="s">
        <v>1665</v>
      </c>
      <c r="D1410" s="42" t="s">
        <v>1634</v>
      </c>
      <c r="E1410" s="43" t="s">
        <v>4780</v>
      </c>
      <c r="F1410" s="44"/>
      <c r="G1410" s="46"/>
    </row>
    <row r="1411" spans="2:7" x14ac:dyDescent="0.35">
      <c r="B1411" s="41" t="s">
        <v>1710</v>
      </c>
      <c r="C1411" s="41" t="s">
        <v>1709</v>
      </c>
      <c r="D1411" s="42" t="s">
        <v>1371</v>
      </c>
      <c r="E1411" s="43" t="s">
        <v>4780</v>
      </c>
      <c r="F1411" s="44"/>
      <c r="G1411" s="46"/>
    </row>
    <row r="1412" spans="2:7" x14ac:dyDescent="0.35">
      <c r="B1412" s="41" t="s">
        <v>1982</v>
      </c>
      <c r="C1412" s="41" t="s">
        <v>1981</v>
      </c>
      <c r="D1412" s="42" t="s">
        <v>805</v>
      </c>
      <c r="E1412" s="43" t="s">
        <v>4780</v>
      </c>
      <c r="F1412" s="44"/>
      <c r="G1412" s="46"/>
    </row>
    <row r="1413" spans="2:7" x14ac:dyDescent="0.35">
      <c r="B1413" s="41" t="s">
        <v>2299</v>
      </c>
      <c r="C1413" s="41" t="s">
        <v>2298</v>
      </c>
      <c r="D1413" s="42" t="s">
        <v>2293</v>
      </c>
      <c r="E1413" s="43" t="s">
        <v>4780</v>
      </c>
      <c r="F1413" s="44"/>
      <c r="G1413" s="46"/>
    </row>
    <row r="1414" spans="2:7" x14ac:dyDescent="0.35">
      <c r="B1414" s="41" t="s">
        <v>2309</v>
      </c>
      <c r="C1414" s="41" t="s">
        <v>2308</v>
      </c>
      <c r="D1414" s="42" t="s">
        <v>2293</v>
      </c>
      <c r="E1414" s="43" t="s">
        <v>4780</v>
      </c>
      <c r="F1414" s="44"/>
      <c r="G1414" s="46"/>
    </row>
    <row r="1415" spans="2:7" x14ac:dyDescent="0.35">
      <c r="B1415" s="41" t="s">
        <v>2311</v>
      </c>
      <c r="C1415" s="41" t="s">
        <v>2310</v>
      </c>
      <c r="D1415" s="42" t="s">
        <v>2312</v>
      </c>
      <c r="E1415" s="43" t="s">
        <v>4780</v>
      </c>
      <c r="F1415" s="44"/>
      <c r="G1415" s="46"/>
    </row>
    <row r="1416" spans="2:7" x14ac:dyDescent="0.35">
      <c r="B1416" s="41" t="s">
        <v>2314</v>
      </c>
      <c r="C1416" s="41" t="s">
        <v>2313</v>
      </c>
      <c r="D1416" s="42" t="s">
        <v>2312</v>
      </c>
      <c r="E1416" s="43" t="s">
        <v>4780</v>
      </c>
      <c r="F1416" s="44"/>
      <c r="G1416" s="46"/>
    </row>
    <row r="1417" spans="2:7" x14ac:dyDescent="0.35">
      <c r="B1417" s="41" t="s">
        <v>2316</v>
      </c>
      <c r="C1417" s="41" t="s">
        <v>2315</v>
      </c>
      <c r="D1417" s="42" t="s">
        <v>2312</v>
      </c>
      <c r="E1417" s="43" t="s">
        <v>4780</v>
      </c>
      <c r="F1417" s="44"/>
      <c r="G1417" s="46"/>
    </row>
    <row r="1418" spans="2:7" x14ac:dyDescent="0.35">
      <c r="B1418" s="41" t="s">
        <v>2324</v>
      </c>
      <c r="C1418" s="41" t="s">
        <v>2323</v>
      </c>
      <c r="D1418" s="42" t="s">
        <v>2325</v>
      </c>
      <c r="E1418" s="43" t="s">
        <v>4780</v>
      </c>
      <c r="F1418" s="44"/>
      <c r="G1418" s="46"/>
    </row>
    <row r="1419" spans="2:7" x14ac:dyDescent="0.35">
      <c r="B1419" s="41" t="s">
        <v>2371</v>
      </c>
      <c r="C1419" s="41" t="s">
        <v>2370</v>
      </c>
      <c r="D1419" s="42" t="s">
        <v>2353</v>
      </c>
      <c r="E1419" s="43" t="s">
        <v>4780</v>
      </c>
      <c r="F1419" s="44"/>
      <c r="G1419" s="46"/>
    </row>
    <row r="1420" spans="2:7" x14ac:dyDescent="0.35">
      <c r="B1420" s="41" t="s">
        <v>2418</v>
      </c>
      <c r="C1420" s="41" t="s">
        <v>2417</v>
      </c>
      <c r="D1420" s="42" t="s">
        <v>2085</v>
      </c>
      <c r="E1420" s="43" t="s">
        <v>4780</v>
      </c>
      <c r="F1420" s="44"/>
      <c r="G1420" s="46"/>
    </row>
    <row r="1421" spans="2:7" x14ac:dyDescent="0.35">
      <c r="B1421" s="41" t="s">
        <v>2520</v>
      </c>
      <c r="C1421" s="41" t="s">
        <v>2519</v>
      </c>
      <c r="D1421" s="42" t="s">
        <v>2521</v>
      </c>
      <c r="E1421" s="43" t="s">
        <v>4780</v>
      </c>
      <c r="F1421" s="44"/>
      <c r="G1421" s="46"/>
    </row>
    <row r="1422" spans="2:7" x14ac:dyDescent="0.35">
      <c r="B1422" s="41" t="s">
        <v>2525</v>
      </c>
      <c r="C1422" s="41" t="s">
        <v>2524</v>
      </c>
      <c r="D1422" s="42" t="s">
        <v>2521</v>
      </c>
      <c r="E1422" s="43" t="s">
        <v>4780</v>
      </c>
      <c r="F1422" s="44"/>
      <c r="G1422" s="46"/>
    </row>
    <row r="1423" spans="2:7" x14ac:dyDescent="0.35">
      <c r="B1423" s="41" t="s">
        <v>2527</v>
      </c>
      <c r="C1423" s="41" t="s">
        <v>2526</v>
      </c>
      <c r="D1423" s="42" t="s">
        <v>2460</v>
      </c>
      <c r="E1423" s="43" t="s">
        <v>4780</v>
      </c>
      <c r="F1423" s="44"/>
      <c r="G1423" s="46"/>
    </row>
    <row r="1424" spans="2:7" x14ac:dyDescent="0.35">
      <c r="B1424" s="41" t="s">
        <v>2616</v>
      </c>
      <c r="C1424" s="45" t="s">
        <v>2615</v>
      </c>
      <c r="D1424" s="42" t="s">
        <v>2617</v>
      </c>
      <c r="E1424" s="43" t="s">
        <v>4780</v>
      </c>
      <c r="F1424" s="44"/>
      <c r="G1424" s="46"/>
    </row>
    <row r="1425" spans="2:7" x14ac:dyDescent="0.35">
      <c r="B1425" s="41" t="s">
        <v>2628</v>
      </c>
      <c r="C1425" s="41" t="s">
        <v>2627</v>
      </c>
      <c r="D1425" s="42" t="s">
        <v>165</v>
      </c>
      <c r="E1425" s="43" t="s">
        <v>4780</v>
      </c>
      <c r="F1425" s="44"/>
      <c r="G1425" s="46"/>
    </row>
    <row r="1426" spans="2:7" x14ac:dyDescent="0.35">
      <c r="B1426" s="41" t="s">
        <v>3745</v>
      </c>
      <c r="C1426" s="41" t="s">
        <v>3744</v>
      </c>
      <c r="D1426" s="42" t="s">
        <v>3743</v>
      </c>
      <c r="E1426" s="43" t="s">
        <v>4780</v>
      </c>
      <c r="F1426" s="44"/>
      <c r="G1426" s="46"/>
    </row>
    <row r="1427" spans="2:7" x14ac:dyDescent="0.35">
      <c r="B1427" s="41" t="s">
        <v>4305</v>
      </c>
      <c r="C1427" s="41" t="s">
        <v>4304</v>
      </c>
      <c r="D1427" s="42" t="s">
        <v>4306</v>
      </c>
      <c r="E1427" s="43" t="s">
        <v>4780</v>
      </c>
      <c r="F1427" s="44"/>
      <c r="G1427" s="46"/>
    </row>
    <row r="1428" spans="2:7" x14ac:dyDescent="0.35">
      <c r="B1428" s="41" t="s">
        <v>4364</v>
      </c>
      <c r="C1428" s="41" t="s">
        <v>4363</v>
      </c>
      <c r="D1428" s="42" t="s">
        <v>4306</v>
      </c>
      <c r="E1428" s="43" t="s">
        <v>4780</v>
      </c>
      <c r="F1428" s="44"/>
      <c r="G1428" s="46"/>
    </row>
    <row r="1429" spans="2:7" x14ac:dyDescent="0.35">
      <c r="B1429" s="41" t="s">
        <v>4366</v>
      </c>
      <c r="C1429" s="41" t="s">
        <v>4365</v>
      </c>
      <c r="D1429" s="42" t="s">
        <v>4306</v>
      </c>
      <c r="E1429" s="43" t="s">
        <v>4780</v>
      </c>
      <c r="F1429" s="44"/>
      <c r="G1429" s="46"/>
    </row>
    <row r="1430" spans="2:7" x14ac:dyDescent="0.35">
      <c r="B1430" s="41" t="s">
        <v>4449</v>
      </c>
      <c r="C1430" s="41" t="s">
        <v>4448</v>
      </c>
      <c r="D1430" s="42" t="s">
        <v>4450</v>
      </c>
      <c r="E1430" s="43" t="s">
        <v>4780</v>
      </c>
      <c r="F1430" s="44"/>
      <c r="G1430" s="46"/>
    </row>
    <row r="1431" spans="2:7" x14ac:dyDescent="0.35">
      <c r="B1431" s="41" t="s">
        <v>4463</v>
      </c>
      <c r="C1431" s="41" t="s">
        <v>4462</v>
      </c>
      <c r="D1431" s="42" t="s">
        <v>4339</v>
      </c>
      <c r="E1431" s="43" t="s">
        <v>4780</v>
      </c>
      <c r="F1431" s="44"/>
      <c r="G1431" s="46"/>
    </row>
    <row r="1432" spans="2:7" x14ac:dyDescent="0.35">
      <c r="B1432" s="41" t="s">
        <v>990</v>
      </c>
      <c r="C1432" s="41" t="s">
        <v>989</v>
      </c>
      <c r="D1432" s="42" t="s">
        <v>991</v>
      </c>
      <c r="E1432" s="43" t="s">
        <v>4784</v>
      </c>
      <c r="F1432" s="44"/>
      <c r="G1432" s="46"/>
    </row>
    <row r="1433" spans="2:7" x14ac:dyDescent="0.35">
      <c r="B1433" s="41" t="s">
        <v>4143</v>
      </c>
      <c r="C1433" s="41" t="s">
        <v>4142</v>
      </c>
      <c r="D1433" s="42" t="s">
        <v>4070</v>
      </c>
      <c r="E1433" s="43" t="s">
        <v>4808</v>
      </c>
      <c r="F1433" s="44"/>
      <c r="G1433" s="46"/>
    </row>
    <row r="1434" spans="2:7" x14ac:dyDescent="0.35">
      <c r="B1434" s="41" t="s">
        <v>1900</v>
      </c>
      <c r="C1434" s="41" t="s">
        <v>1899</v>
      </c>
      <c r="D1434" s="42" t="s">
        <v>1901</v>
      </c>
      <c r="E1434" s="43" t="s">
        <v>4790</v>
      </c>
      <c r="F1434" s="44"/>
      <c r="G1434" s="46"/>
    </row>
    <row r="1435" spans="2:7" x14ac:dyDescent="0.35">
      <c r="B1435" s="41" t="s">
        <v>4349</v>
      </c>
      <c r="C1435" s="41" t="s">
        <v>4348</v>
      </c>
      <c r="D1435" s="42" t="s">
        <v>4350</v>
      </c>
      <c r="E1435" s="43" t="s">
        <v>4790</v>
      </c>
      <c r="F1435" s="44"/>
      <c r="G1435" s="46"/>
    </row>
    <row r="1436" spans="2:7" x14ac:dyDescent="0.35">
      <c r="B1436" s="41" t="s">
        <v>371</v>
      </c>
      <c r="C1436" s="41" t="s">
        <v>370</v>
      </c>
      <c r="D1436" s="42" t="s">
        <v>372</v>
      </c>
      <c r="E1436" s="43" t="s">
        <v>4751</v>
      </c>
      <c r="F1436" s="44"/>
      <c r="G1436" s="46"/>
    </row>
    <row r="1437" spans="2:7" x14ac:dyDescent="0.35">
      <c r="B1437" s="41" t="s">
        <v>377</v>
      </c>
      <c r="C1437" s="41" t="s">
        <v>376</v>
      </c>
      <c r="D1437" s="42" t="s">
        <v>378</v>
      </c>
      <c r="E1437" s="43" t="s">
        <v>4751</v>
      </c>
      <c r="F1437" s="44"/>
      <c r="G1437" s="46"/>
    </row>
    <row r="1438" spans="2:7" x14ac:dyDescent="0.35">
      <c r="B1438" s="45" t="s">
        <v>642</v>
      </c>
      <c r="C1438" s="45" t="s">
        <v>641</v>
      </c>
      <c r="D1438" s="42" t="s">
        <v>643</v>
      </c>
      <c r="E1438" s="43" t="s">
        <v>4751</v>
      </c>
      <c r="F1438" s="44"/>
      <c r="G1438" s="46"/>
    </row>
    <row r="1439" spans="2:7" x14ac:dyDescent="0.35">
      <c r="B1439" s="41" t="s">
        <v>854</v>
      </c>
      <c r="C1439" s="41" t="s">
        <v>853</v>
      </c>
      <c r="D1439" s="42" t="s">
        <v>855</v>
      </c>
      <c r="E1439" s="43" t="s">
        <v>4751</v>
      </c>
      <c r="F1439" s="44"/>
      <c r="G1439" s="46"/>
    </row>
    <row r="1440" spans="2:7" x14ac:dyDescent="0.35">
      <c r="B1440" s="41" t="s">
        <v>1123</v>
      </c>
      <c r="C1440" s="41" t="s">
        <v>1122</v>
      </c>
      <c r="D1440" s="42" t="s">
        <v>1124</v>
      </c>
      <c r="E1440" s="43" t="s">
        <v>4751</v>
      </c>
      <c r="F1440" s="44"/>
      <c r="G1440" s="46"/>
    </row>
    <row r="1441" spans="2:7" x14ac:dyDescent="0.4">
      <c r="B1441" s="46" t="s">
        <v>1125</v>
      </c>
      <c r="C1441" s="46"/>
      <c r="D1441" s="42" t="s">
        <v>1126</v>
      </c>
      <c r="E1441" s="43" t="s">
        <v>4751</v>
      </c>
      <c r="F1441" s="44"/>
      <c r="G1441" s="46"/>
    </row>
    <row r="1442" spans="2:7" x14ac:dyDescent="0.35">
      <c r="B1442" s="41" t="s">
        <v>1328</v>
      </c>
      <c r="C1442" s="41" t="s">
        <v>1327</v>
      </c>
      <c r="D1442" s="42" t="s">
        <v>1329</v>
      </c>
      <c r="E1442" s="43" t="s">
        <v>4751</v>
      </c>
      <c r="F1442" s="44"/>
      <c r="G1442" s="46"/>
    </row>
    <row r="1443" spans="2:7" x14ac:dyDescent="0.35">
      <c r="B1443" s="41" t="s">
        <v>1833</v>
      </c>
      <c r="C1443" s="41" t="s">
        <v>1832</v>
      </c>
      <c r="D1443" s="42" t="s">
        <v>378</v>
      </c>
      <c r="E1443" s="43" t="s">
        <v>4751</v>
      </c>
      <c r="F1443" s="44"/>
      <c r="G1443" s="46"/>
    </row>
    <row r="1444" spans="2:7" x14ac:dyDescent="0.4">
      <c r="B1444" s="46" t="s">
        <v>2118</v>
      </c>
      <c r="C1444" s="46"/>
      <c r="D1444" s="42" t="s">
        <v>2119</v>
      </c>
      <c r="E1444" s="43" t="s">
        <v>4751</v>
      </c>
      <c r="F1444" s="44"/>
      <c r="G1444" s="46"/>
    </row>
    <row r="1445" spans="2:7" x14ac:dyDescent="0.35">
      <c r="B1445" s="41" t="s">
        <v>2495</v>
      </c>
      <c r="C1445" s="41" t="s">
        <v>2494</v>
      </c>
      <c r="D1445" s="42" t="s">
        <v>643</v>
      </c>
      <c r="E1445" s="43" t="s">
        <v>4751</v>
      </c>
      <c r="F1445" s="44"/>
      <c r="G1445" s="46"/>
    </row>
    <row r="1446" spans="2:7" x14ac:dyDescent="0.35">
      <c r="B1446" s="41" t="s">
        <v>2921</v>
      </c>
      <c r="C1446" s="41" t="s">
        <v>2920</v>
      </c>
      <c r="D1446" s="42" t="s">
        <v>2919</v>
      </c>
      <c r="E1446" s="43" t="s">
        <v>4751</v>
      </c>
      <c r="F1446" s="44"/>
      <c r="G1446" s="46"/>
    </row>
    <row r="1447" spans="2:7" x14ac:dyDescent="0.35">
      <c r="B1447" s="41" t="s">
        <v>3038</v>
      </c>
      <c r="C1447" s="41" t="s">
        <v>3037</v>
      </c>
      <c r="D1447" s="42" t="s">
        <v>2919</v>
      </c>
      <c r="E1447" s="43" t="s">
        <v>4751</v>
      </c>
      <c r="F1447" s="44"/>
      <c r="G1447" s="46"/>
    </row>
    <row r="1448" spans="2:7" x14ac:dyDescent="0.35">
      <c r="B1448" s="41" t="s">
        <v>3104</v>
      </c>
      <c r="C1448" s="41" t="s">
        <v>3103</v>
      </c>
      <c r="D1448" s="42" t="s">
        <v>4684</v>
      </c>
      <c r="E1448" s="43" t="s">
        <v>4751</v>
      </c>
      <c r="F1448" s="44"/>
      <c r="G1448" s="46"/>
    </row>
    <row r="1449" spans="2:7" x14ac:dyDescent="0.35">
      <c r="B1449" s="41" t="s">
        <v>3159</v>
      </c>
      <c r="C1449" s="41" t="s">
        <v>3158</v>
      </c>
      <c r="D1449" s="42" t="s">
        <v>2916</v>
      </c>
      <c r="E1449" s="43" t="s">
        <v>4751</v>
      </c>
      <c r="F1449" s="44"/>
      <c r="G1449" s="46"/>
    </row>
    <row r="1450" spans="2:7" x14ac:dyDescent="0.35">
      <c r="B1450" s="41" t="s">
        <v>3213</v>
      </c>
      <c r="C1450" s="41" t="s">
        <v>3212</v>
      </c>
      <c r="D1450" s="42" t="s">
        <v>3214</v>
      </c>
      <c r="E1450" s="43" t="s">
        <v>4751</v>
      </c>
      <c r="F1450" s="44"/>
      <c r="G1450" s="46"/>
    </row>
    <row r="1451" spans="2:7" x14ac:dyDescent="0.35">
      <c r="B1451" s="41" t="s">
        <v>3459</v>
      </c>
      <c r="C1451" s="41" t="s">
        <v>3458</v>
      </c>
      <c r="D1451" s="42" t="s">
        <v>3460</v>
      </c>
      <c r="E1451" s="43" t="s">
        <v>4751</v>
      </c>
      <c r="F1451" s="44"/>
      <c r="G1451" s="46"/>
    </row>
    <row r="1452" spans="2:7" x14ac:dyDescent="0.35">
      <c r="B1452" s="41" t="s">
        <v>3462</v>
      </c>
      <c r="C1452" s="41" t="s">
        <v>3461</v>
      </c>
      <c r="D1452" s="42" t="s">
        <v>3214</v>
      </c>
      <c r="E1452" s="43" t="s">
        <v>4751</v>
      </c>
      <c r="F1452" s="44"/>
      <c r="G1452" s="46"/>
    </row>
    <row r="1453" spans="2:7" x14ac:dyDescent="0.35">
      <c r="B1453" s="41" t="s">
        <v>3543</v>
      </c>
      <c r="C1453" s="41" t="s">
        <v>3542</v>
      </c>
      <c r="D1453" s="42" t="s">
        <v>3211</v>
      </c>
      <c r="E1453" s="43" t="s">
        <v>4751</v>
      </c>
      <c r="F1453" s="44"/>
      <c r="G1453" s="46"/>
    </row>
    <row r="1454" spans="2:7" x14ac:dyDescent="0.35">
      <c r="B1454" s="41" t="s">
        <v>3808</v>
      </c>
      <c r="C1454" s="41" t="s">
        <v>3807</v>
      </c>
      <c r="D1454" s="42" t="s">
        <v>3809</v>
      </c>
      <c r="E1454" s="43" t="s">
        <v>4751</v>
      </c>
      <c r="F1454" s="44"/>
      <c r="G1454" s="46"/>
    </row>
    <row r="1455" spans="2:7" x14ac:dyDescent="0.35">
      <c r="B1455" s="41" t="s">
        <v>4264</v>
      </c>
      <c r="C1455" s="41" t="s">
        <v>4263</v>
      </c>
      <c r="D1455" s="42" t="s">
        <v>4178</v>
      </c>
      <c r="E1455" s="43" t="s">
        <v>4751</v>
      </c>
      <c r="F1455" s="44"/>
      <c r="G1455" s="46"/>
    </row>
    <row r="1456" spans="2:7" x14ac:dyDescent="0.35">
      <c r="B1456" s="41" t="s">
        <v>4312</v>
      </c>
      <c r="C1456" s="41" t="s">
        <v>4311</v>
      </c>
      <c r="D1456" s="42" t="s">
        <v>2117</v>
      </c>
      <c r="E1456" s="43" t="s">
        <v>4751</v>
      </c>
      <c r="F1456" s="44"/>
      <c r="G1456" s="46"/>
    </row>
    <row r="1457" spans="2:7" x14ac:dyDescent="0.35">
      <c r="B1457" s="41" t="s">
        <v>4370</v>
      </c>
      <c r="C1457" s="41" t="s">
        <v>4369</v>
      </c>
      <c r="D1457" s="42" t="s">
        <v>4371</v>
      </c>
      <c r="E1457" s="43" t="s">
        <v>4751</v>
      </c>
      <c r="F1457" s="44"/>
      <c r="G1457" s="46"/>
    </row>
    <row r="1458" spans="2:7" x14ac:dyDescent="0.35">
      <c r="B1458" s="41" t="s">
        <v>4373</v>
      </c>
      <c r="C1458" s="41" t="s">
        <v>4372</v>
      </c>
      <c r="D1458" s="42" t="s">
        <v>4371</v>
      </c>
      <c r="E1458" s="43" t="s">
        <v>4751</v>
      </c>
      <c r="F1458" s="44"/>
      <c r="G1458" s="46"/>
    </row>
    <row r="1459" spans="2:7" x14ac:dyDescent="0.35">
      <c r="B1459" s="41" t="s">
        <v>4454</v>
      </c>
      <c r="C1459" s="41" t="s">
        <v>4453</v>
      </c>
      <c r="D1459" s="42" t="s">
        <v>4371</v>
      </c>
      <c r="E1459" s="43" t="s">
        <v>4751</v>
      </c>
      <c r="F1459" s="44"/>
      <c r="G1459" s="46"/>
    </row>
    <row r="1460" spans="2:7" x14ac:dyDescent="0.35">
      <c r="B1460" s="41" t="s">
        <v>4465</v>
      </c>
      <c r="C1460" s="41" t="s">
        <v>4464</v>
      </c>
      <c r="D1460" s="42" t="s">
        <v>4371</v>
      </c>
      <c r="E1460" s="43" t="s">
        <v>4751</v>
      </c>
      <c r="F1460" s="44"/>
      <c r="G1460" s="46"/>
    </row>
    <row r="1461" spans="2:7" x14ac:dyDescent="0.4">
      <c r="B1461" s="46" t="s">
        <v>4685</v>
      </c>
      <c r="C1461" s="46"/>
      <c r="D1461" s="42" t="s">
        <v>4684</v>
      </c>
      <c r="E1461" s="43" t="s">
        <v>4751</v>
      </c>
      <c r="F1461" s="44"/>
      <c r="G1461" s="46"/>
    </row>
    <row r="1462" spans="2:7" x14ac:dyDescent="0.35">
      <c r="B1462" s="41" t="s">
        <v>2694</v>
      </c>
      <c r="C1462" s="41" t="s">
        <v>2693</v>
      </c>
      <c r="D1462" s="42" t="s">
        <v>2683</v>
      </c>
      <c r="E1462" s="43" t="s">
        <v>4799</v>
      </c>
      <c r="F1462" s="44"/>
      <c r="G1462" s="46"/>
    </row>
    <row r="1463" spans="2:7" x14ac:dyDescent="0.35">
      <c r="B1463" s="41" t="s">
        <v>2708</v>
      </c>
      <c r="C1463" s="41" t="s">
        <v>2707</v>
      </c>
      <c r="D1463" s="42" t="s">
        <v>2709</v>
      </c>
      <c r="E1463" s="43" t="s">
        <v>4799</v>
      </c>
      <c r="F1463" s="44"/>
      <c r="G1463" s="46"/>
    </row>
    <row r="1464" spans="2:7" x14ac:dyDescent="0.35">
      <c r="B1464" s="41" t="s">
        <v>2711</v>
      </c>
      <c r="C1464" s="41" t="s">
        <v>2710</v>
      </c>
      <c r="D1464" s="42" t="s">
        <v>2712</v>
      </c>
      <c r="E1464" s="43" t="s">
        <v>4799</v>
      </c>
      <c r="F1464" s="44"/>
      <c r="G1464" s="46"/>
    </row>
    <row r="1465" spans="2:7" x14ac:dyDescent="0.35">
      <c r="B1465" s="41" t="s">
        <v>2714</v>
      </c>
      <c r="C1465" s="41" t="s">
        <v>2713</v>
      </c>
      <c r="D1465" s="42" t="s">
        <v>2712</v>
      </c>
      <c r="E1465" s="43" t="s">
        <v>4799</v>
      </c>
      <c r="F1465" s="44"/>
      <c r="G1465" s="46"/>
    </row>
    <row r="1466" spans="2:7" x14ac:dyDescent="0.35">
      <c r="B1466" s="41" t="s">
        <v>2716</v>
      </c>
      <c r="C1466" s="41" t="s">
        <v>2715</v>
      </c>
      <c r="D1466" s="42" t="s">
        <v>2712</v>
      </c>
      <c r="E1466" s="43" t="s">
        <v>4799</v>
      </c>
      <c r="F1466" s="44"/>
      <c r="G1466" s="46"/>
    </row>
    <row r="1467" spans="2:7" x14ac:dyDescent="0.35">
      <c r="B1467" s="41" t="s">
        <v>2731</v>
      </c>
      <c r="C1467" s="41" t="s">
        <v>2730</v>
      </c>
      <c r="D1467" s="42" t="s">
        <v>2709</v>
      </c>
      <c r="E1467" s="43" t="s">
        <v>4799</v>
      </c>
      <c r="F1467" s="44"/>
      <c r="G1467" s="46"/>
    </row>
    <row r="1468" spans="2:7" x14ac:dyDescent="0.35">
      <c r="B1468" s="41" t="s">
        <v>2733</v>
      </c>
      <c r="C1468" s="41" t="s">
        <v>2732</v>
      </c>
      <c r="D1468" s="42" t="s">
        <v>2709</v>
      </c>
      <c r="E1468" s="43" t="s">
        <v>4799</v>
      </c>
      <c r="F1468" s="44"/>
      <c r="G1468" s="46"/>
    </row>
    <row r="1469" spans="2:7" x14ac:dyDescent="0.35">
      <c r="B1469" s="41" t="s">
        <v>2738</v>
      </c>
      <c r="C1469" s="41" t="s">
        <v>2737</v>
      </c>
      <c r="D1469" s="42" t="s">
        <v>2736</v>
      </c>
      <c r="E1469" s="43" t="s">
        <v>4799</v>
      </c>
      <c r="F1469" s="44"/>
      <c r="G1469" s="46"/>
    </row>
    <row r="1470" spans="2:7" x14ac:dyDescent="0.35">
      <c r="B1470" s="41" t="s">
        <v>2740</v>
      </c>
      <c r="C1470" s="41" t="s">
        <v>2739</v>
      </c>
      <c r="D1470" s="42" t="s">
        <v>2736</v>
      </c>
      <c r="E1470" s="43" t="s">
        <v>4799</v>
      </c>
      <c r="F1470" s="44"/>
      <c r="G1470" s="46"/>
    </row>
    <row r="1471" spans="2:7" x14ac:dyDescent="0.35">
      <c r="B1471" s="41" t="s">
        <v>2742</v>
      </c>
      <c r="C1471" s="41" t="s">
        <v>2741</v>
      </c>
      <c r="D1471" s="42" t="s">
        <v>2736</v>
      </c>
      <c r="E1471" s="43" t="s">
        <v>4799</v>
      </c>
      <c r="F1471" s="44"/>
      <c r="G1471" s="46"/>
    </row>
    <row r="1472" spans="2:7" x14ac:dyDescent="0.35">
      <c r="B1472" s="41" t="s">
        <v>2759</v>
      </c>
      <c r="C1472" s="41" t="s">
        <v>2758</v>
      </c>
      <c r="D1472" s="42" t="s">
        <v>2760</v>
      </c>
      <c r="E1472" s="43" t="s">
        <v>4799</v>
      </c>
      <c r="F1472" s="44"/>
      <c r="G1472" s="46"/>
    </row>
    <row r="1473" spans="2:7" x14ac:dyDescent="0.35">
      <c r="B1473" s="41" t="s">
        <v>2765</v>
      </c>
      <c r="C1473" s="41" t="s">
        <v>2764</v>
      </c>
      <c r="D1473" s="42" t="s">
        <v>2763</v>
      </c>
      <c r="E1473" s="43" t="s">
        <v>4799</v>
      </c>
      <c r="F1473" s="44"/>
      <c r="G1473" s="46"/>
    </row>
    <row r="1474" spans="2:7" x14ac:dyDescent="0.35">
      <c r="B1474" s="41" t="s">
        <v>2778</v>
      </c>
      <c r="C1474" s="41" t="s">
        <v>2777</v>
      </c>
      <c r="D1474" s="42" t="s">
        <v>2772</v>
      </c>
      <c r="E1474" s="43" t="s">
        <v>4799</v>
      </c>
      <c r="F1474" s="44"/>
      <c r="G1474" s="46"/>
    </row>
    <row r="1475" spans="2:7" x14ac:dyDescent="0.35">
      <c r="B1475" s="41" t="s">
        <v>2850</v>
      </c>
      <c r="C1475" s="41" t="s">
        <v>2849</v>
      </c>
      <c r="D1475" s="42" t="s">
        <v>2829</v>
      </c>
      <c r="E1475" s="43" t="s">
        <v>4799</v>
      </c>
      <c r="F1475" s="44"/>
      <c r="G1475" s="46"/>
    </row>
    <row r="1476" spans="2:7" x14ac:dyDescent="0.35">
      <c r="B1476" s="41" t="s">
        <v>2855</v>
      </c>
      <c r="C1476" s="41" t="s">
        <v>2854</v>
      </c>
      <c r="D1476" s="42" t="s">
        <v>2853</v>
      </c>
      <c r="E1476" s="43" t="s">
        <v>4799</v>
      </c>
      <c r="F1476" s="44"/>
      <c r="G1476" s="46"/>
    </row>
    <row r="1477" spans="2:7" x14ac:dyDescent="0.35">
      <c r="B1477" s="41" t="s">
        <v>2872</v>
      </c>
      <c r="C1477" s="41" t="s">
        <v>2871</v>
      </c>
      <c r="D1477" s="42" t="s">
        <v>2829</v>
      </c>
      <c r="E1477" s="43" t="s">
        <v>4799</v>
      </c>
      <c r="F1477" s="44"/>
      <c r="G1477" s="46"/>
    </row>
    <row r="1478" spans="2:7" x14ac:dyDescent="0.35">
      <c r="B1478" s="41" t="s">
        <v>2874</v>
      </c>
      <c r="C1478" s="41" t="s">
        <v>2873</v>
      </c>
      <c r="D1478" s="42" t="s">
        <v>2875</v>
      </c>
      <c r="E1478" s="43" t="s">
        <v>4799</v>
      </c>
      <c r="F1478" s="44"/>
      <c r="G1478" s="46"/>
    </row>
    <row r="1479" spans="2:7" x14ac:dyDescent="0.35">
      <c r="B1479" s="41" t="s">
        <v>3216</v>
      </c>
      <c r="C1479" s="41" t="s">
        <v>3215</v>
      </c>
      <c r="D1479" s="42" t="s">
        <v>3217</v>
      </c>
      <c r="E1479" s="43" t="s">
        <v>4799</v>
      </c>
      <c r="F1479" s="44"/>
      <c r="G1479" s="46"/>
    </row>
    <row r="1480" spans="2:7" x14ac:dyDescent="0.35">
      <c r="B1480" s="41" t="s">
        <v>3224</v>
      </c>
      <c r="C1480" s="41" t="s">
        <v>3223</v>
      </c>
      <c r="D1480" s="42" t="s">
        <v>3220</v>
      </c>
      <c r="E1480" s="43" t="s">
        <v>4799</v>
      </c>
      <c r="F1480" s="44"/>
      <c r="G1480" s="46"/>
    </row>
    <row r="1481" spans="2:7" x14ac:dyDescent="0.35">
      <c r="B1481" s="41" t="s">
        <v>3226</v>
      </c>
      <c r="C1481" s="41" t="s">
        <v>3225</v>
      </c>
      <c r="D1481" s="42" t="s">
        <v>3220</v>
      </c>
      <c r="E1481" s="43" t="s">
        <v>4799</v>
      </c>
      <c r="F1481" s="44"/>
      <c r="G1481" s="46"/>
    </row>
    <row r="1482" spans="2:7" x14ac:dyDescent="0.35">
      <c r="B1482" s="45" t="s">
        <v>3228</v>
      </c>
      <c r="C1482" s="45" t="s">
        <v>3227</v>
      </c>
      <c r="D1482" s="42" t="s">
        <v>3220</v>
      </c>
      <c r="E1482" s="43" t="s">
        <v>4799</v>
      </c>
      <c r="F1482" s="44"/>
      <c r="G1482" s="46"/>
    </row>
    <row r="1483" spans="2:7" x14ac:dyDescent="0.35">
      <c r="B1483" s="41" t="s">
        <v>3230</v>
      </c>
      <c r="C1483" s="41" t="s">
        <v>3229</v>
      </c>
      <c r="D1483" s="42" t="s">
        <v>3220</v>
      </c>
      <c r="E1483" s="43" t="s">
        <v>4799</v>
      </c>
      <c r="F1483" s="44"/>
      <c r="G1483" s="46"/>
    </row>
    <row r="1484" spans="2:7" x14ac:dyDescent="0.35">
      <c r="B1484" s="41" t="s">
        <v>3232</v>
      </c>
      <c r="C1484" s="41" t="s">
        <v>3231</v>
      </c>
      <c r="D1484" s="42" t="s">
        <v>3233</v>
      </c>
      <c r="E1484" s="43" t="s">
        <v>4799</v>
      </c>
      <c r="F1484" s="44"/>
      <c r="G1484" s="46"/>
    </row>
    <row r="1485" spans="2:7" x14ac:dyDescent="0.35">
      <c r="B1485" s="41" t="s">
        <v>3235</v>
      </c>
      <c r="C1485" s="41" t="s">
        <v>3234</v>
      </c>
      <c r="D1485" s="42" t="s">
        <v>3236</v>
      </c>
      <c r="E1485" s="43" t="s">
        <v>4799</v>
      </c>
      <c r="F1485" s="44"/>
      <c r="G1485" s="46"/>
    </row>
    <row r="1486" spans="2:7" x14ac:dyDescent="0.35">
      <c r="B1486" s="41" t="s">
        <v>3307</v>
      </c>
      <c r="C1486" s="41" t="s">
        <v>3306</v>
      </c>
      <c r="D1486" s="42" t="s">
        <v>3308</v>
      </c>
      <c r="E1486" s="43" t="s">
        <v>4799</v>
      </c>
      <c r="F1486" s="44"/>
      <c r="G1486" s="46"/>
    </row>
    <row r="1487" spans="2:7" x14ac:dyDescent="0.35">
      <c r="B1487" s="41" t="s">
        <v>3310</v>
      </c>
      <c r="C1487" s="41" t="s">
        <v>3309</v>
      </c>
      <c r="D1487" s="42" t="s">
        <v>3217</v>
      </c>
      <c r="E1487" s="43" t="s">
        <v>4799</v>
      </c>
      <c r="F1487" s="44"/>
      <c r="G1487" s="46"/>
    </row>
    <row r="1488" spans="2:7" x14ac:dyDescent="0.35">
      <c r="B1488" s="41" t="s">
        <v>3312</v>
      </c>
      <c r="C1488" s="41" t="s">
        <v>3311</v>
      </c>
      <c r="D1488" s="42" t="s">
        <v>3217</v>
      </c>
      <c r="E1488" s="43" t="s">
        <v>4799</v>
      </c>
      <c r="F1488" s="44"/>
      <c r="G1488" s="46"/>
    </row>
    <row r="1489" spans="2:7" x14ac:dyDescent="0.35">
      <c r="B1489" s="41" t="s">
        <v>3314</v>
      </c>
      <c r="C1489" s="41" t="s">
        <v>3313</v>
      </c>
      <c r="D1489" s="42" t="s">
        <v>3217</v>
      </c>
      <c r="E1489" s="43" t="s">
        <v>4799</v>
      </c>
      <c r="F1489" s="44"/>
      <c r="G1489" s="46"/>
    </row>
    <row r="1490" spans="2:7" x14ac:dyDescent="0.35">
      <c r="B1490" s="41" t="s">
        <v>3316</v>
      </c>
      <c r="C1490" s="41" t="s">
        <v>3315</v>
      </c>
      <c r="D1490" s="42" t="s">
        <v>3220</v>
      </c>
      <c r="E1490" s="43" t="s">
        <v>4799</v>
      </c>
      <c r="F1490" s="44"/>
      <c r="G1490" s="46"/>
    </row>
    <row r="1491" spans="2:7" x14ac:dyDescent="0.35">
      <c r="B1491" s="41" t="s">
        <v>3318</v>
      </c>
      <c r="C1491" s="41" t="s">
        <v>3317</v>
      </c>
      <c r="D1491" s="42" t="s">
        <v>3217</v>
      </c>
      <c r="E1491" s="43" t="s">
        <v>4799</v>
      </c>
      <c r="F1491" s="44"/>
      <c r="G1491" s="46"/>
    </row>
    <row r="1492" spans="2:7" x14ac:dyDescent="0.35">
      <c r="B1492" s="41" t="s">
        <v>3320</v>
      </c>
      <c r="C1492" s="41" t="s">
        <v>3319</v>
      </c>
      <c r="D1492" s="42" t="s">
        <v>3217</v>
      </c>
      <c r="E1492" s="43" t="s">
        <v>4799</v>
      </c>
      <c r="F1492" s="44"/>
      <c r="G1492" s="46"/>
    </row>
    <row r="1493" spans="2:7" x14ac:dyDescent="0.35">
      <c r="B1493" s="41" t="s">
        <v>3325</v>
      </c>
      <c r="C1493" s="41" t="s">
        <v>3324</v>
      </c>
      <c r="D1493" s="42" t="s">
        <v>3236</v>
      </c>
      <c r="E1493" s="43" t="s">
        <v>4799</v>
      </c>
      <c r="F1493" s="44"/>
      <c r="G1493" s="46"/>
    </row>
    <row r="1494" spans="2:7" x14ac:dyDescent="0.35">
      <c r="B1494" s="41" t="s">
        <v>3327</v>
      </c>
      <c r="C1494" s="41" t="s">
        <v>3326</v>
      </c>
      <c r="D1494" s="42" t="s">
        <v>3308</v>
      </c>
      <c r="E1494" s="43" t="s">
        <v>4799</v>
      </c>
      <c r="F1494" s="44"/>
      <c r="G1494" s="46"/>
    </row>
    <row r="1495" spans="2:7" x14ac:dyDescent="0.35">
      <c r="B1495" s="41" t="s">
        <v>3464</v>
      </c>
      <c r="C1495" s="41" t="s">
        <v>3463</v>
      </c>
      <c r="D1495" s="42" t="s">
        <v>3233</v>
      </c>
      <c r="E1495" s="43" t="s">
        <v>4799</v>
      </c>
      <c r="F1495" s="44"/>
      <c r="G1495" s="46"/>
    </row>
    <row r="1496" spans="2:7" x14ac:dyDescent="0.35">
      <c r="B1496" s="41" t="s">
        <v>3466</v>
      </c>
      <c r="C1496" s="41" t="s">
        <v>3465</v>
      </c>
      <c r="D1496" s="42" t="s">
        <v>3233</v>
      </c>
      <c r="E1496" s="43" t="s">
        <v>4799</v>
      </c>
      <c r="F1496" s="44"/>
      <c r="G1496" s="46"/>
    </row>
    <row r="1497" spans="2:7" x14ac:dyDescent="0.35">
      <c r="B1497" s="41" t="s">
        <v>3468</v>
      </c>
      <c r="C1497" s="41" t="s">
        <v>3467</v>
      </c>
      <c r="D1497" s="42" t="s">
        <v>3233</v>
      </c>
      <c r="E1497" s="43" t="s">
        <v>4799</v>
      </c>
      <c r="F1497" s="44"/>
      <c r="G1497" s="46"/>
    </row>
    <row r="1498" spans="2:7" x14ac:dyDescent="0.35">
      <c r="B1498" s="41" t="s">
        <v>3470</v>
      </c>
      <c r="C1498" s="41" t="s">
        <v>3469</v>
      </c>
      <c r="D1498" s="42" t="s">
        <v>3471</v>
      </c>
      <c r="E1498" s="43" t="s">
        <v>4799</v>
      </c>
      <c r="F1498" s="44"/>
      <c r="G1498" s="46"/>
    </row>
    <row r="1499" spans="2:7" x14ac:dyDescent="0.35">
      <c r="B1499" s="41" t="s">
        <v>3473</v>
      </c>
      <c r="C1499" s="41" t="s">
        <v>3472</v>
      </c>
      <c r="D1499" s="42" t="s">
        <v>3474</v>
      </c>
      <c r="E1499" s="43" t="s">
        <v>4799</v>
      </c>
      <c r="F1499" s="44"/>
      <c r="G1499" s="46"/>
    </row>
    <row r="1500" spans="2:7" x14ac:dyDescent="0.35">
      <c r="B1500" s="41" t="s">
        <v>3547</v>
      </c>
      <c r="C1500" s="41" t="s">
        <v>3546</v>
      </c>
      <c r="D1500" s="42" t="s">
        <v>3236</v>
      </c>
      <c r="E1500" s="43" t="s">
        <v>4799</v>
      </c>
      <c r="F1500" s="44"/>
      <c r="G1500" s="46"/>
    </row>
    <row r="1501" spans="2:7" x14ac:dyDescent="0.35">
      <c r="B1501" s="41" t="s">
        <v>3553</v>
      </c>
      <c r="C1501" s="41" t="s">
        <v>3552</v>
      </c>
      <c r="D1501" s="42" t="s">
        <v>3471</v>
      </c>
      <c r="E1501" s="43" t="s">
        <v>4799</v>
      </c>
      <c r="F1501" s="44"/>
      <c r="G1501" s="46"/>
    </row>
    <row r="1502" spans="2:7" x14ac:dyDescent="0.35">
      <c r="B1502" s="41" t="s">
        <v>3555</v>
      </c>
      <c r="C1502" s="41" t="s">
        <v>3554</v>
      </c>
      <c r="D1502" s="42" t="s">
        <v>3471</v>
      </c>
      <c r="E1502" s="43" t="s">
        <v>4799</v>
      </c>
      <c r="F1502" s="44"/>
      <c r="G1502" s="46"/>
    </row>
    <row r="1503" spans="2:7" x14ac:dyDescent="0.35">
      <c r="B1503" s="41" t="s">
        <v>3557</v>
      </c>
      <c r="C1503" s="41" t="s">
        <v>3556</v>
      </c>
      <c r="D1503" s="42" t="s">
        <v>3471</v>
      </c>
      <c r="E1503" s="43" t="s">
        <v>4799</v>
      </c>
      <c r="F1503" s="44"/>
      <c r="G1503" s="46"/>
    </row>
    <row r="1504" spans="2:7" x14ac:dyDescent="0.35">
      <c r="B1504" s="41" t="s">
        <v>3559</v>
      </c>
      <c r="C1504" s="41" t="s">
        <v>3558</v>
      </c>
      <c r="D1504" s="42" t="s">
        <v>3474</v>
      </c>
      <c r="E1504" s="43" t="s">
        <v>4799</v>
      </c>
      <c r="F1504" s="44"/>
      <c r="G1504" s="46"/>
    </row>
    <row r="1505" spans="2:7" x14ac:dyDescent="0.35">
      <c r="B1505" s="41" t="s">
        <v>3561</v>
      </c>
      <c r="C1505" s="41" t="s">
        <v>3560</v>
      </c>
      <c r="D1505" s="42" t="s">
        <v>3474</v>
      </c>
      <c r="E1505" s="43" t="s">
        <v>4799</v>
      </c>
      <c r="F1505" s="44"/>
      <c r="G1505" s="46"/>
    </row>
    <row r="1506" spans="2:7" x14ac:dyDescent="0.35">
      <c r="B1506" s="41" t="s">
        <v>3563</v>
      </c>
      <c r="C1506" s="41" t="s">
        <v>3562</v>
      </c>
      <c r="D1506" s="42" t="s">
        <v>3474</v>
      </c>
      <c r="E1506" s="43" t="s">
        <v>4799</v>
      </c>
      <c r="F1506" s="44"/>
      <c r="G1506" s="46"/>
    </row>
    <row r="1507" spans="2:7" x14ac:dyDescent="0.35">
      <c r="B1507" s="41" t="s">
        <v>3565</v>
      </c>
      <c r="C1507" s="41" t="s">
        <v>3564</v>
      </c>
      <c r="D1507" s="42" t="s">
        <v>3236</v>
      </c>
      <c r="E1507" s="43" t="s">
        <v>4799</v>
      </c>
      <c r="F1507" s="44"/>
      <c r="G1507" s="46"/>
    </row>
    <row r="1508" spans="2:7" x14ac:dyDescent="0.35">
      <c r="B1508" s="41" t="s">
        <v>3666</v>
      </c>
      <c r="C1508" s="41" t="s">
        <v>3665</v>
      </c>
      <c r="D1508" s="42" t="s">
        <v>3323</v>
      </c>
      <c r="E1508" s="43" t="s">
        <v>4799</v>
      </c>
      <c r="F1508" s="44"/>
      <c r="G1508" s="46"/>
    </row>
    <row r="1509" spans="2:7" x14ac:dyDescent="0.35">
      <c r="B1509" s="41" t="s">
        <v>3668</v>
      </c>
      <c r="C1509" s="41" t="s">
        <v>3667</v>
      </c>
      <c r="D1509" s="42" t="s">
        <v>3323</v>
      </c>
      <c r="E1509" s="43" t="s">
        <v>4799</v>
      </c>
      <c r="F1509" s="44"/>
      <c r="G1509" s="46"/>
    </row>
    <row r="1510" spans="2:7" x14ac:dyDescent="0.35">
      <c r="B1510" s="41" t="s">
        <v>3670</v>
      </c>
      <c r="C1510" s="41" t="s">
        <v>3669</v>
      </c>
      <c r="D1510" s="42" t="s">
        <v>3323</v>
      </c>
      <c r="E1510" s="43" t="s">
        <v>4799</v>
      </c>
      <c r="F1510" s="44"/>
      <c r="G1510" s="46"/>
    </row>
    <row r="1511" spans="2:7" x14ac:dyDescent="0.35">
      <c r="B1511" s="41" t="s">
        <v>3672</v>
      </c>
      <c r="C1511" s="41" t="s">
        <v>3671</v>
      </c>
      <c r="D1511" s="42" t="s">
        <v>3323</v>
      </c>
      <c r="E1511" s="43" t="s">
        <v>4799</v>
      </c>
      <c r="F1511" s="44"/>
      <c r="G1511" s="46"/>
    </row>
    <row r="1512" spans="2:7" x14ac:dyDescent="0.35">
      <c r="B1512" s="41" t="s">
        <v>3776</v>
      </c>
      <c r="C1512" s="41" t="s">
        <v>3775</v>
      </c>
      <c r="D1512" s="42" t="s">
        <v>3308</v>
      </c>
      <c r="E1512" s="43" t="s">
        <v>4799</v>
      </c>
      <c r="F1512" s="44"/>
      <c r="G1512" s="46"/>
    </row>
    <row r="1513" spans="2:7" x14ac:dyDescent="0.35">
      <c r="B1513" s="41" t="s">
        <v>3778</v>
      </c>
      <c r="C1513" s="41" t="s">
        <v>3777</v>
      </c>
      <c r="D1513" s="42" t="s">
        <v>3308</v>
      </c>
      <c r="E1513" s="43" t="s">
        <v>4799</v>
      </c>
      <c r="F1513" s="44"/>
      <c r="G1513" s="46"/>
    </row>
    <row r="1514" spans="2:7" x14ac:dyDescent="0.35">
      <c r="B1514" s="41" t="s">
        <v>3780</v>
      </c>
      <c r="C1514" s="41" t="s">
        <v>3779</v>
      </c>
      <c r="D1514" s="42" t="s">
        <v>3474</v>
      </c>
      <c r="E1514" s="43" t="s">
        <v>4799</v>
      </c>
      <c r="F1514" s="44"/>
      <c r="G1514" s="46"/>
    </row>
    <row r="1515" spans="2:7" x14ac:dyDescent="0.35">
      <c r="B1515" s="41" t="s">
        <v>335</v>
      </c>
      <c r="C1515" s="41" t="s">
        <v>334</v>
      </c>
      <c r="D1515" s="42" t="s">
        <v>336</v>
      </c>
      <c r="E1515" s="43" t="s">
        <v>4774</v>
      </c>
      <c r="F1515" s="44"/>
      <c r="G1515" s="46"/>
    </row>
    <row r="1516" spans="2:7" x14ac:dyDescent="0.35">
      <c r="B1516" s="41" t="s">
        <v>339</v>
      </c>
      <c r="C1516" s="41" t="s">
        <v>338</v>
      </c>
      <c r="D1516" s="42" t="s">
        <v>340</v>
      </c>
      <c r="E1516" s="43" t="s">
        <v>4774</v>
      </c>
      <c r="F1516" s="44"/>
      <c r="G1516" s="46"/>
    </row>
    <row r="1517" spans="2:7" x14ac:dyDescent="0.35">
      <c r="B1517" s="45" t="s">
        <v>354</v>
      </c>
      <c r="C1517" s="45" t="s">
        <v>353</v>
      </c>
      <c r="D1517" s="42" t="s">
        <v>355</v>
      </c>
      <c r="E1517" s="43" t="s">
        <v>4774</v>
      </c>
      <c r="F1517" s="44"/>
      <c r="G1517" s="46"/>
    </row>
    <row r="1518" spans="2:7" x14ac:dyDescent="0.35">
      <c r="B1518" s="41" t="s">
        <v>368</v>
      </c>
      <c r="C1518" s="41" t="s">
        <v>367</v>
      </c>
      <c r="D1518" s="42" t="s">
        <v>369</v>
      </c>
      <c r="E1518" s="43" t="s">
        <v>4774</v>
      </c>
      <c r="F1518" s="44"/>
      <c r="G1518" s="46"/>
    </row>
    <row r="1519" spans="2:7" x14ac:dyDescent="0.35">
      <c r="B1519" s="41" t="s">
        <v>391</v>
      </c>
      <c r="C1519" s="41" t="s">
        <v>390</v>
      </c>
      <c r="D1519" s="42" t="s">
        <v>363</v>
      </c>
      <c r="E1519" s="43" t="s">
        <v>4774</v>
      </c>
      <c r="F1519" s="44"/>
      <c r="G1519" s="46"/>
    </row>
    <row r="1520" spans="2:7" x14ac:dyDescent="0.35">
      <c r="B1520" s="45" t="s">
        <v>393</v>
      </c>
      <c r="C1520" s="45" t="s">
        <v>392</v>
      </c>
      <c r="D1520" s="42" t="s">
        <v>366</v>
      </c>
      <c r="E1520" s="43" t="s">
        <v>4774</v>
      </c>
      <c r="F1520" s="44"/>
      <c r="G1520" s="46"/>
    </row>
    <row r="1521" spans="2:7" x14ac:dyDescent="0.35">
      <c r="B1521" s="41" t="s">
        <v>625</v>
      </c>
      <c r="C1521" s="41" t="s">
        <v>624</v>
      </c>
      <c r="D1521" s="42" t="s">
        <v>626</v>
      </c>
      <c r="E1521" s="43" t="s">
        <v>4774</v>
      </c>
      <c r="F1521" s="44"/>
      <c r="G1521" s="46"/>
    </row>
    <row r="1522" spans="2:7" x14ac:dyDescent="0.35">
      <c r="B1522" s="41" t="s">
        <v>628</v>
      </c>
      <c r="C1522" s="41" t="s">
        <v>627</v>
      </c>
      <c r="D1522" s="42" t="s">
        <v>629</v>
      </c>
      <c r="E1522" s="43" t="s">
        <v>4774</v>
      </c>
      <c r="F1522" s="44"/>
      <c r="G1522" s="46"/>
    </row>
    <row r="1523" spans="2:7" x14ac:dyDescent="0.4">
      <c r="B1523" s="46" t="s">
        <v>635</v>
      </c>
      <c r="C1523" s="46" t="s">
        <v>634</v>
      </c>
      <c r="D1523" s="42" t="s">
        <v>472</v>
      </c>
      <c r="E1523" s="43" t="s">
        <v>4774</v>
      </c>
      <c r="F1523" s="44"/>
      <c r="G1523" s="46"/>
    </row>
    <row r="1524" spans="2:7" x14ac:dyDescent="0.35">
      <c r="B1524" s="41" t="s">
        <v>669</v>
      </c>
      <c r="C1524" s="41" t="s">
        <v>668</v>
      </c>
      <c r="D1524" s="42" t="s">
        <v>355</v>
      </c>
      <c r="E1524" s="43" t="s">
        <v>4774</v>
      </c>
      <c r="F1524" s="44"/>
      <c r="G1524" s="46"/>
    </row>
    <row r="1525" spans="2:7" x14ac:dyDescent="0.35">
      <c r="B1525" s="41" t="s">
        <v>729</v>
      </c>
      <c r="C1525" s="41" t="s">
        <v>728</v>
      </c>
      <c r="D1525" s="42" t="s">
        <v>665</v>
      </c>
      <c r="E1525" s="43" t="s">
        <v>4774</v>
      </c>
      <c r="F1525" s="44"/>
      <c r="G1525" s="46"/>
    </row>
    <row r="1526" spans="2:7" x14ac:dyDescent="0.35">
      <c r="B1526" s="41" t="s">
        <v>793</v>
      </c>
      <c r="C1526" s="41" t="s">
        <v>792</v>
      </c>
      <c r="D1526" s="42" t="s">
        <v>734</v>
      </c>
      <c r="E1526" s="43" t="s">
        <v>4774</v>
      </c>
      <c r="F1526" s="44"/>
      <c r="G1526" s="46"/>
    </row>
    <row r="1527" spans="2:7" x14ac:dyDescent="0.35">
      <c r="B1527" s="41" t="s">
        <v>842</v>
      </c>
      <c r="C1527" s="41" t="s">
        <v>841</v>
      </c>
      <c r="D1527" s="42" t="s">
        <v>626</v>
      </c>
      <c r="E1527" s="43" t="s">
        <v>4774</v>
      </c>
      <c r="F1527" s="44"/>
      <c r="G1527" s="46"/>
    </row>
    <row r="1528" spans="2:7" x14ac:dyDescent="0.35">
      <c r="B1528" s="41" t="s">
        <v>1007</v>
      </c>
      <c r="C1528" s="41" t="s">
        <v>1006</v>
      </c>
      <c r="D1528" s="42" t="s">
        <v>734</v>
      </c>
      <c r="E1528" s="43" t="s">
        <v>4774</v>
      </c>
      <c r="F1528" s="44"/>
      <c r="G1528" s="46"/>
    </row>
    <row r="1529" spans="2:7" x14ac:dyDescent="0.4">
      <c r="B1529" s="46" t="s">
        <v>1121</v>
      </c>
      <c r="C1529" s="46" t="s">
        <v>1120</v>
      </c>
      <c r="D1529" s="42" t="s">
        <v>366</v>
      </c>
      <c r="E1529" s="43" t="s">
        <v>4774</v>
      </c>
      <c r="F1529" s="44"/>
      <c r="G1529" s="46"/>
    </row>
    <row r="1530" spans="2:7" x14ac:dyDescent="0.35">
      <c r="B1530" s="41" t="s">
        <v>1131</v>
      </c>
      <c r="C1530" s="41" t="s">
        <v>1130</v>
      </c>
      <c r="D1530" s="42" t="s">
        <v>369</v>
      </c>
      <c r="E1530" s="43" t="s">
        <v>4774</v>
      </c>
      <c r="F1530" s="44"/>
      <c r="G1530" s="46"/>
    </row>
    <row r="1531" spans="2:7" x14ac:dyDescent="0.35">
      <c r="B1531" s="41" t="s">
        <v>1138</v>
      </c>
      <c r="C1531" s="41" t="s">
        <v>1137</v>
      </c>
      <c r="D1531" s="42" t="s">
        <v>363</v>
      </c>
      <c r="E1531" s="43" t="s">
        <v>4774</v>
      </c>
      <c r="F1531" s="44"/>
      <c r="G1531" s="46"/>
    </row>
    <row r="1532" spans="2:7" x14ac:dyDescent="0.35">
      <c r="B1532" s="41" t="s">
        <v>1289</v>
      </c>
      <c r="C1532" s="41" t="s">
        <v>1288</v>
      </c>
      <c r="D1532" s="42" t="s">
        <v>1290</v>
      </c>
      <c r="E1532" s="43" t="s">
        <v>4774</v>
      </c>
      <c r="F1532" s="44"/>
      <c r="G1532" s="46"/>
    </row>
    <row r="1533" spans="2:7" x14ac:dyDescent="0.35">
      <c r="B1533" s="45" t="s">
        <v>1292</v>
      </c>
      <c r="C1533" s="45" t="s">
        <v>1291</v>
      </c>
      <c r="D1533" s="42" t="s">
        <v>1293</v>
      </c>
      <c r="E1533" s="43" t="s">
        <v>4774</v>
      </c>
      <c r="F1533" s="44"/>
      <c r="G1533" s="46"/>
    </row>
    <row r="1534" spans="2:7" x14ac:dyDescent="0.35">
      <c r="B1534" s="41" t="s">
        <v>1295</v>
      </c>
      <c r="C1534" s="41" t="s">
        <v>1294</v>
      </c>
      <c r="D1534" s="42" t="s">
        <v>1293</v>
      </c>
      <c r="E1534" s="43" t="s">
        <v>4774</v>
      </c>
      <c r="F1534" s="44"/>
      <c r="G1534" s="46"/>
    </row>
    <row r="1535" spans="2:7" x14ac:dyDescent="0.35">
      <c r="B1535" s="41" t="s">
        <v>1308</v>
      </c>
      <c r="C1535" s="41" t="s">
        <v>1307</v>
      </c>
      <c r="D1535" s="42" t="s">
        <v>1290</v>
      </c>
      <c r="E1535" s="43" t="s">
        <v>4774</v>
      </c>
      <c r="F1535" s="44"/>
      <c r="G1535" s="46"/>
    </row>
    <row r="1536" spans="2:7" x14ac:dyDescent="0.35">
      <c r="B1536" s="41" t="s">
        <v>1318</v>
      </c>
      <c r="C1536" s="41" t="s">
        <v>1317</v>
      </c>
      <c r="D1536" s="42" t="s">
        <v>1290</v>
      </c>
      <c r="E1536" s="43" t="s">
        <v>4774</v>
      </c>
      <c r="F1536" s="44"/>
      <c r="G1536" s="46"/>
    </row>
    <row r="1537" spans="2:7" x14ac:dyDescent="0.35">
      <c r="B1537" s="41" t="s">
        <v>1320</v>
      </c>
      <c r="C1537" s="41" t="s">
        <v>1319</v>
      </c>
      <c r="D1537" s="42" t="s">
        <v>355</v>
      </c>
      <c r="E1537" s="43" t="s">
        <v>4774</v>
      </c>
      <c r="F1537" s="44"/>
      <c r="G1537" s="46"/>
    </row>
    <row r="1538" spans="2:7" x14ac:dyDescent="0.35">
      <c r="B1538" s="41" t="s">
        <v>1322</v>
      </c>
      <c r="C1538" s="41" t="s">
        <v>1321</v>
      </c>
      <c r="D1538" s="42" t="s">
        <v>355</v>
      </c>
      <c r="E1538" s="43" t="s">
        <v>4774</v>
      </c>
      <c r="F1538" s="44"/>
      <c r="G1538" s="46"/>
    </row>
    <row r="1539" spans="2:7" x14ac:dyDescent="0.35">
      <c r="B1539" s="41" t="s">
        <v>1324</v>
      </c>
      <c r="C1539" s="41" t="s">
        <v>1323</v>
      </c>
      <c r="D1539" s="42" t="s">
        <v>1290</v>
      </c>
      <c r="E1539" s="43" t="s">
        <v>4774</v>
      </c>
      <c r="F1539" s="44"/>
      <c r="G1539" s="46"/>
    </row>
    <row r="1540" spans="2:7" x14ac:dyDescent="0.35">
      <c r="B1540" s="41" t="s">
        <v>1342</v>
      </c>
      <c r="C1540" s="41" t="s">
        <v>1341</v>
      </c>
      <c r="D1540" s="42" t="s">
        <v>1303</v>
      </c>
      <c r="E1540" s="43" t="s">
        <v>4774</v>
      </c>
      <c r="F1540" s="44"/>
      <c r="G1540" s="46"/>
    </row>
    <row r="1541" spans="2:7" x14ac:dyDescent="0.35">
      <c r="B1541" s="41" t="s">
        <v>1618</v>
      </c>
      <c r="C1541" s="41" t="s">
        <v>1617</v>
      </c>
      <c r="D1541" s="42" t="s">
        <v>1614</v>
      </c>
      <c r="E1541" s="43" t="s">
        <v>4774</v>
      </c>
      <c r="F1541" s="44"/>
      <c r="G1541" s="46"/>
    </row>
    <row r="1542" spans="2:7" x14ac:dyDescent="0.35">
      <c r="B1542" s="41" t="s">
        <v>1633</v>
      </c>
      <c r="C1542" s="41" t="s">
        <v>1632</v>
      </c>
      <c r="D1542" s="42" t="s">
        <v>1634</v>
      </c>
      <c r="E1542" s="43" t="s">
        <v>4774</v>
      </c>
      <c r="F1542" s="44"/>
      <c r="G1542" s="46"/>
    </row>
    <row r="1543" spans="2:7" x14ac:dyDescent="0.35">
      <c r="B1543" s="41" t="s">
        <v>1640</v>
      </c>
      <c r="C1543" s="41" t="s">
        <v>1639</v>
      </c>
      <c r="D1543" s="42" t="s">
        <v>1634</v>
      </c>
      <c r="E1543" s="43" t="s">
        <v>4774</v>
      </c>
      <c r="F1543" s="44"/>
      <c r="G1543" s="46"/>
    </row>
    <row r="1544" spans="2:7" x14ac:dyDescent="0.35">
      <c r="B1544" s="41" t="s">
        <v>1816</v>
      </c>
      <c r="C1544" s="41" t="s">
        <v>1815</v>
      </c>
      <c r="D1544" s="42" t="s">
        <v>1817</v>
      </c>
      <c r="E1544" s="43" t="s">
        <v>4774</v>
      </c>
      <c r="F1544" s="44"/>
      <c r="G1544" s="46"/>
    </row>
    <row r="1545" spans="2:7" x14ac:dyDescent="0.35">
      <c r="B1545" s="41" t="s">
        <v>1819</v>
      </c>
      <c r="C1545" s="41" t="s">
        <v>1818</v>
      </c>
      <c r="D1545" s="42" t="s">
        <v>1817</v>
      </c>
      <c r="E1545" s="43" t="s">
        <v>4774</v>
      </c>
      <c r="F1545" s="44"/>
      <c r="G1545" s="46"/>
    </row>
    <row r="1546" spans="2:7" x14ac:dyDescent="0.35">
      <c r="B1546" s="41" t="s">
        <v>1867</v>
      </c>
      <c r="C1546" s="41" t="s">
        <v>1866</v>
      </c>
      <c r="D1546" s="42" t="s">
        <v>1863</v>
      </c>
      <c r="E1546" s="43" t="s">
        <v>4774</v>
      </c>
      <c r="F1546" s="44"/>
      <c r="G1546" s="46"/>
    </row>
    <row r="1547" spans="2:7" x14ac:dyDescent="0.35">
      <c r="B1547" s="41" t="s">
        <v>1920</v>
      </c>
      <c r="C1547" s="41" t="s">
        <v>1919</v>
      </c>
      <c r="D1547" s="42" t="s">
        <v>255</v>
      </c>
      <c r="E1547" s="43" t="s">
        <v>4774</v>
      </c>
      <c r="F1547" s="44"/>
      <c r="G1547" s="46"/>
    </row>
    <row r="1548" spans="2:7" x14ac:dyDescent="0.35">
      <c r="B1548" s="41" t="s">
        <v>2091</v>
      </c>
      <c r="C1548" s="41" t="s">
        <v>2090</v>
      </c>
      <c r="D1548" s="42" t="s">
        <v>366</v>
      </c>
      <c r="E1548" s="43" t="s">
        <v>4774</v>
      </c>
      <c r="F1548" s="44"/>
      <c r="G1548" s="46"/>
    </row>
    <row r="1549" spans="2:7" x14ac:dyDescent="0.35">
      <c r="B1549" s="41" t="s">
        <v>2099</v>
      </c>
      <c r="C1549" s="41" t="s">
        <v>2098</v>
      </c>
      <c r="D1549" s="42" t="s">
        <v>355</v>
      </c>
      <c r="E1549" s="43" t="s">
        <v>4774</v>
      </c>
      <c r="F1549" s="44"/>
      <c r="G1549" s="46"/>
    </row>
    <row r="1550" spans="2:7" x14ac:dyDescent="0.35">
      <c r="B1550" s="41" t="s">
        <v>2101</v>
      </c>
      <c r="C1550" s="41" t="s">
        <v>2100</v>
      </c>
      <c r="D1550" s="42" t="s">
        <v>369</v>
      </c>
      <c r="E1550" s="43" t="s">
        <v>4774</v>
      </c>
      <c r="F1550" s="44"/>
      <c r="G1550" s="46"/>
    </row>
    <row r="1551" spans="2:7" x14ac:dyDescent="0.35">
      <c r="B1551" s="41" t="s">
        <v>2212</v>
      </c>
      <c r="C1551" s="41" t="s">
        <v>2211</v>
      </c>
      <c r="D1551" s="42" t="s">
        <v>355</v>
      </c>
      <c r="E1551" s="43" t="s">
        <v>4774</v>
      </c>
      <c r="F1551" s="44"/>
      <c r="G1551" s="46"/>
    </row>
    <row r="1552" spans="2:7" x14ac:dyDescent="0.35">
      <c r="B1552" s="41" t="s">
        <v>2258</v>
      </c>
      <c r="C1552" s="41" t="s">
        <v>2257</v>
      </c>
      <c r="D1552" s="42" t="s">
        <v>2259</v>
      </c>
      <c r="E1552" s="43" t="s">
        <v>4774</v>
      </c>
      <c r="F1552" s="44"/>
      <c r="G1552" s="46"/>
    </row>
    <row r="1553" spans="2:7" x14ac:dyDescent="0.35">
      <c r="B1553" s="41" t="s">
        <v>2457</v>
      </c>
      <c r="C1553" s="41" t="s">
        <v>2456</v>
      </c>
      <c r="D1553" s="42" t="s">
        <v>1791</v>
      </c>
      <c r="E1553" s="43" t="s">
        <v>4774</v>
      </c>
      <c r="F1553" s="44"/>
      <c r="G1553" s="46"/>
    </row>
    <row r="1554" spans="2:7" x14ac:dyDescent="0.35">
      <c r="B1554" s="41" t="s">
        <v>2468</v>
      </c>
      <c r="C1554" s="41" t="s">
        <v>2467</v>
      </c>
      <c r="D1554" s="42" t="s">
        <v>2469</v>
      </c>
      <c r="E1554" s="43" t="s">
        <v>4774</v>
      </c>
      <c r="F1554" s="44"/>
      <c r="G1554" s="46"/>
    </row>
    <row r="1555" spans="2:7" x14ac:dyDescent="0.4">
      <c r="B1555" s="46" t="s">
        <v>2481</v>
      </c>
      <c r="C1555" s="46" t="s">
        <v>2480</v>
      </c>
      <c r="D1555" s="42" t="s">
        <v>2469</v>
      </c>
      <c r="E1555" s="43" t="s">
        <v>4774</v>
      </c>
      <c r="F1555" s="44"/>
      <c r="G1555" s="46"/>
    </row>
    <row r="1556" spans="2:7" x14ac:dyDescent="0.35">
      <c r="B1556" s="41" t="s">
        <v>3042</v>
      </c>
      <c r="C1556" s="41" t="s">
        <v>3041</v>
      </c>
      <c r="D1556" s="42" t="s">
        <v>3043</v>
      </c>
      <c r="E1556" s="43" t="s">
        <v>4774</v>
      </c>
      <c r="F1556" s="44"/>
      <c r="G1556" s="46"/>
    </row>
    <row r="1557" spans="2:7" x14ac:dyDescent="0.35">
      <c r="B1557" s="41" t="s">
        <v>3089</v>
      </c>
      <c r="C1557" s="41" t="s">
        <v>3088</v>
      </c>
      <c r="D1557" s="42" t="s">
        <v>3090</v>
      </c>
      <c r="E1557" s="43" t="s">
        <v>4774</v>
      </c>
      <c r="F1557" s="44"/>
      <c r="G1557" s="46"/>
    </row>
    <row r="1558" spans="2:7" x14ac:dyDescent="0.35">
      <c r="B1558" s="41" t="s">
        <v>3452</v>
      </c>
      <c r="C1558" s="41" t="s">
        <v>3451</v>
      </c>
      <c r="D1558" s="42" t="s">
        <v>3239</v>
      </c>
      <c r="E1558" s="43" t="s">
        <v>4774</v>
      </c>
      <c r="F1558" s="44"/>
      <c r="G1558" s="46"/>
    </row>
    <row r="1559" spans="2:7" x14ac:dyDescent="0.35">
      <c r="B1559" s="41" t="s">
        <v>4308</v>
      </c>
      <c r="C1559" s="41" t="s">
        <v>4307</v>
      </c>
      <c r="D1559" s="42" t="s">
        <v>4262</v>
      </c>
      <c r="E1559" s="43" t="s">
        <v>4774</v>
      </c>
      <c r="F1559" s="44"/>
      <c r="G1559" s="46"/>
    </row>
    <row r="1560" spans="2:7" x14ac:dyDescent="0.35">
      <c r="B1560" s="41" t="s">
        <v>4326</v>
      </c>
      <c r="C1560" s="41" t="s">
        <v>4325</v>
      </c>
      <c r="D1560" s="42" t="s">
        <v>4324</v>
      </c>
      <c r="E1560" s="43" t="s">
        <v>4774</v>
      </c>
      <c r="F1560" s="44"/>
      <c r="G1560" s="46"/>
    </row>
    <row r="1561" spans="2:7" x14ac:dyDescent="0.35">
      <c r="B1561" s="41" t="s">
        <v>4368</v>
      </c>
      <c r="C1561" s="41" t="s">
        <v>4367</v>
      </c>
      <c r="D1561" s="42" t="s">
        <v>4278</v>
      </c>
      <c r="E1561" s="43" t="s">
        <v>4774</v>
      </c>
      <c r="F1561" s="44"/>
      <c r="G1561" s="46"/>
    </row>
    <row r="1562" spans="2:7" x14ac:dyDescent="0.35">
      <c r="B1562" s="41" t="s">
        <v>4428</v>
      </c>
      <c r="C1562" s="41" t="s">
        <v>4427</v>
      </c>
      <c r="D1562" s="42" t="s">
        <v>4700</v>
      </c>
      <c r="E1562" s="43" t="s">
        <v>4774</v>
      </c>
      <c r="F1562" s="44"/>
      <c r="G1562" s="46"/>
    </row>
    <row r="1563" spans="2:7" x14ac:dyDescent="0.35">
      <c r="B1563" s="41" t="s">
        <v>4476</v>
      </c>
      <c r="C1563" s="41" t="s">
        <v>4475</v>
      </c>
      <c r="D1563" s="42" t="s">
        <v>4450</v>
      </c>
      <c r="E1563" s="43" t="s">
        <v>4774</v>
      </c>
      <c r="F1563" s="44"/>
      <c r="G1563" s="46"/>
    </row>
    <row r="1564" spans="2:7" x14ac:dyDescent="0.35">
      <c r="B1564" s="41" t="s">
        <v>4481</v>
      </c>
      <c r="C1564" s="41" t="s">
        <v>4480</v>
      </c>
      <c r="D1564" s="42" t="s">
        <v>4230</v>
      </c>
      <c r="E1564" s="43" t="s">
        <v>4774</v>
      </c>
      <c r="F1564" s="44"/>
      <c r="G1564" s="46"/>
    </row>
    <row r="1565" spans="2:7" x14ac:dyDescent="0.35">
      <c r="B1565" s="41" t="s">
        <v>172</v>
      </c>
      <c r="C1565" s="41" t="s">
        <v>171</v>
      </c>
      <c r="D1565" s="42" t="s">
        <v>173</v>
      </c>
      <c r="E1565" s="43" t="s">
        <v>4755</v>
      </c>
      <c r="F1565" s="44"/>
      <c r="G1565" s="46"/>
    </row>
    <row r="1566" spans="2:7" x14ac:dyDescent="0.4">
      <c r="B1566" s="46" t="s">
        <v>229</v>
      </c>
      <c r="C1566" s="46"/>
      <c r="D1566" s="42" t="s">
        <v>230</v>
      </c>
      <c r="E1566" s="43" t="s">
        <v>4755</v>
      </c>
      <c r="F1566" s="44"/>
      <c r="G1566" s="46"/>
    </row>
    <row r="1567" spans="2:7" x14ac:dyDescent="0.35">
      <c r="B1567" s="41" t="s">
        <v>232</v>
      </c>
      <c r="C1567" s="41" t="s">
        <v>231</v>
      </c>
      <c r="D1567" s="42" t="s">
        <v>233</v>
      </c>
      <c r="E1567" s="43" t="s">
        <v>4755</v>
      </c>
      <c r="F1567" s="44"/>
      <c r="G1567" s="46"/>
    </row>
    <row r="1568" spans="2:7" x14ac:dyDescent="0.35">
      <c r="B1568" s="41" t="s">
        <v>342</v>
      </c>
      <c r="C1568" s="41" t="s">
        <v>341</v>
      </c>
      <c r="D1568" s="42" t="s">
        <v>343</v>
      </c>
      <c r="E1568" s="43" t="s">
        <v>4755</v>
      </c>
      <c r="F1568" s="44"/>
      <c r="G1568" s="46"/>
    </row>
    <row r="1569" spans="2:7" x14ac:dyDescent="0.35">
      <c r="B1569" s="41" t="s">
        <v>347</v>
      </c>
      <c r="C1569" s="41" t="s">
        <v>346</v>
      </c>
      <c r="D1569" s="42" t="s">
        <v>343</v>
      </c>
      <c r="E1569" s="43" t="s">
        <v>4755</v>
      </c>
      <c r="F1569" s="44"/>
      <c r="G1569" s="46"/>
    </row>
    <row r="1570" spans="2:7" x14ac:dyDescent="0.35">
      <c r="B1570" s="41" t="s">
        <v>349</v>
      </c>
      <c r="C1570" s="41" t="s">
        <v>348</v>
      </c>
      <c r="D1570" s="42" t="s">
        <v>24</v>
      </c>
      <c r="E1570" s="43" t="s">
        <v>4755</v>
      </c>
      <c r="F1570" s="44"/>
      <c r="G1570" s="46"/>
    </row>
    <row r="1571" spans="2:7" x14ac:dyDescent="0.35">
      <c r="B1571" s="41" t="s">
        <v>357</v>
      </c>
      <c r="C1571" s="41" t="s">
        <v>356</v>
      </c>
      <c r="D1571" s="42" t="s">
        <v>358</v>
      </c>
      <c r="E1571" s="43" t="s">
        <v>4755</v>
      </c>
      <c r="F1571" s="44"/>
      <c r="G1571" s="46"/>
    </row>
    <row r="1572" spans="2:7" x14ac:dyDescent="0.35">
      <c r="B1572" s="41" t="s">
        <v>360</v>
      </c>
      <c r="C1572" s="41" t="s">
        <v>359</v>
      </c>
      <c r="D1572" s="42" t="s">
        <v>358</v>
      </c>
      <c r="E1572" s="43" t="s">
        <v>4755</v>
      </c>
      <c r="F1572" s="44"/>
      <c r="G1572" s="46"/>
    </row>
    <row r="1573" spans="2:7" x14ac:dyDescent="0.35">
      <c r="B1573" s="41" t="s">
        <v>362</v>
      </c>
      <c r="C1573" s="41" t="s">
        <v>361</v>
      </c>
      <c r="D1573" s="42" t="s">
        <v>363</v>
      </c>
      <c r="E1573" s="43" t="s">
        <v>4755</v>
      </c>
      <c r="F1573" s="44"/>
      <c r="G1573" s="46"/>
    </row>
    <row r="1574" spans="2:7" x14ac:dyDescent="0.35">
      <c r="B1574" s="41" t="s">
        <v>365</v>
      </c>
      <c r="C1574" s="41" t="s">
        <v>364</v>
      </c>
      <c r="D1574" s="42" t="s">
        <v>366</v>
      </c>
      <c r="E1574" s="43" t="s">
        <v>4755</v>
      </c>
      <c r="F1574" s="44"/>
      <c r="G1574" s="46"/>
    </row>
    <row r="1575" spans="2:7" x14ac:dyDescent="0.35">
      <c r="B1575" s="41" t="s">
        <v>385</v>
      </c>
      <c r="C1575" s="41" t="s">
        <v>384</v>
      </c>
      <c r="D1575" s="42" t="s">
        <v>386</v>
      </c>
      <c r="E1575" s="43" t="s">
        <v>4755</v>
      </c>
      <c r="F1575" s="44"/>
      <c r="G1575" s="46"/>
    </row>
    <row r="1576" spans="2:7" x14ac:dyDescent="0.35">
      <c r="B1576" s="41" t="s">
        <v>397</v>
      </c>
      <c r="C1576" s="41" t="s">
        <v>396</v>
      </c>
      <c r="D1576" s="42" t="s">
        <v>340</v>
      </c>
      <c r="E1576" s="43" t="s">
        <v>4755</v>
      </c>
      <c r="F1576" s="44"/>
      <c r="G1576" s="46"/>
    </row>
    <row r="1577" spans="2:7" x14ac:dyDescent="0.35">
      <c r="B1577" s="41" t="s">
        <v>399</v>
      </c>
      <c r="C1577" s="41" t="s">
        <v>398</v>
      </c>
      <c r="D1577" s="42" t="s">
        <v>386</v>
      </c>
      <c r="E1577" s="43" t="s">
        <v>4755</v>
      </c>
      <c r="F1577" s="44"/>
      <c r="G1577" s="46"/>
    </row>
    <row r="1578" spans="2:7" x14ac:dyDescent="0.35">
      <c r="B1578" s="41" t="s">
        <v>404</v>
      </c>
      <c r="C1578" s="41" t="s">
        <v>403</v>
      </c>
      <c r="D1578" s="42" t="s">
        <v>405</v>
      </c>
      <c r="E1578" s="43" t="s">
        <v>4755</v>
      </c>
      <c r="F1578" s="44"/>
      <c r="G1578" s="46"/>
    </row>
    <row r="1579" spans="2:7" x14ac:dyDescent="0.35">
      <c r="B1579" s="41" t="s">
        <v>410</v>
      </c>
      <c r="C1579" s="41" t="s">
        <v>409</v>
      </c>
      <c r="D1579" s="42" t="s">
        <v>402</v>
      </c>
      <c r="E1579" s="43" t="s">
        <v>4755</v>
      </c>
      <c r="F1579" s="44"/>
      <c r="G1579" s="46"/>
    </row>
    <row r="1580" spans="2:7" x14ac:dyDescent="0.35">
      <c r="B1580" s="41" t="s">
        <v>425</v>
      </c>
      <c r="C1580" s="41" t="s">
        <v>424</v>
      </c>
      <c r="D1580" s="42" t="s">
        <v>426</v>
      </c>
      <c r="E1580" s="43" t="s">
        <v>4755</v>
      </c>
      <c r="F1580" s="44"/>
      <c r="G1580" s="46"/>
    </row>
    <row r="1581" spans="2:7" x14ac:dyDescent="0.35">
      <c r="B1581" s="41" t="s">
        <v>535</v>
      </c>
      <c r="C1581" s="41" t="s">
        <v>534</v>
      </c>
      <c r="D1581" s="42" t="s">
        <v>536</v>
      </c>
      <c r="E1581" s="43" t="s">
        <v>4755</v>
      </c>
      <c r="F1581" s="44"/>
      <c r="G1581" s="46"/>
    </row>
    <row r="1582" spans="2:7" x14ac:dyDescent="0.35">
      <c r="B1582" s="41" t="s">
        <v>540</v>
      </c>
      <c r="C1582" s="41" t="s">
        <v>539</v>
      </c>
      <c r="D1582" s="42" t="s">
        <v>526</v>
      </c>
      <c r="E1582" s="43" t="s">
        <v>4755</v>
      </c>
      <c r="F1582" s="44"/>
      <c r="G1582" s="46"/>
    </row>
    <row r="1583" spans="2:7" x14ac:dyDescent="0.35">
      <c r="B1583" s="41" t="s">
        <v>547</v>
      </c>
      <c r="C1583" s="41" t="s">
        <v>546</v>
      </c>
      <c r="D1583" s="42" t="s">
        <v>526</v>
      </c>
      <c r="E1583" s="43" t="s">
        <v>4755</v>
      </c>
      <c r="F1583" s="44"/>
      <c r="G1583" s="46"/>
    </row>
    <row r="1584" spans="2:7" x14ac:dyDescent="0.35">
      <c r="B1584" s="41" t="s">
        <v>569</v>
      </c>
      <c r="C1584" s="41" t="s">
        <v>568</v>
      </c>
      <c r="D1584" s="42" t="s">
        <v>352</v>
      </c>
      <c r="E1584" s="43" t="s">
        <v>4755</v>
      </c>
      <c r="F1584" s="44"/>
      <c r="G1584" s="46"/>
    </row>
    <row r="1585" spans="2:7" x14ac:dyDescent="0.35">
      <c r="B1585" s="41" t="s">
        <v>650</v>
      </c>
      <c r="C1585" s="41" t="s">
        <v>649</v>
      </c>
      <c r="D1585" s="42" t="s">
        <v>651</v>
      </c>
      <c r="E1585" s="43" t="s">
        <v>4755</v>
      </c>
      <c r="F1585" s="44"/>
      <c r="G1585" s="46"/>
    </row>
    <row r="1586" spans="2:7" x14ac:dyDescent="0.35">
      <c r="B1586" s="41" t="s">
        <v>656</v>
      </c>
      <c r="C1586" s="41" t="s">
        <v>655</v>
      </c>
      <c r="D1586" s="42" t="s">
        <v>366</v>
      </c>
      <c r="E1586" s="43" t="s">
        <v>4755</v>
      </c>
      <c r="F1586" s="44"/>
      <c r="G1586" s="46"/>
    </row>
    <row r="1587" spans="2:7" x14ac:dyDescent="0.35">
      <c r="B1587" s="41" t="s">
        <v>733</v>
      </c>
      <c r="C1587" s="41" t="s">
        <v>732</v>
      </c>
      <c r="D1587" s="42" t="s">
        <v>734</v>
      </c>
      <c r="E1587" s="43" t="s">
        <v>4755</v>
      </c>
      <c r="F1587" s="44"/>
      <c r="G1587" s="46"/>
    </row>
    <row r="1588" spans="2:7" x14ac:dyDescent="0.35">
      <c r="B1588" s="41" t="s">
        <v>779</v>
      </c>
      <c r="C1588" s="41" t="s">
        <v>778</v>
      </c>
      <c r="D1588" s="42" t="s">
        <v>780</v>
      </c>
      <c r="E1588" s="43" t="s">
        <v>4755</v>
      </c>
      <c r="F1588" s="44"/>
      <c r="G1588" s="46"/>
    </row>
    <row r="1589" spans="2:7" x14ac:dyDescent="0.35">
      <c r="B1589" s="41" t="s">
        <v>795</v>
      </c>
      <c r="C1589" s="41" t="s">
        <v>794</v>
      </c>
      <c r="D1589" s="42" t="s">
        <v>654</v>
      </c>
      <c r="E1589" s="43" t="s">
        <v>4755</v>
      </c>
      <c r="F1589" s="44"/>
      <c r="G1589" s="46"/>
    </row>
    <row r="1590" spans="2:7" x14ac:dyDescent="0.35">
      <c r="B1590" s="41" t="s">
        <v>844</v>
      </c>
      <c r="C1590" s="41" t="s">
        <v>843</v>
      </c>
      <c r="D1590" s="42" t="s">
        <v>845</v>
      </c>
      <c r="E1590" s="43" t="s">
        <v>4755</v>
      </c>
      <c r="F1590" s="44"/>
      <c r="G1590" s="46"/>
    </row>
    <row r="1591" spans="2:7" x14ac:dyDescent="0.35">
      <c r="B1591" s="41" t="s">
        <v>847</v>
      </c>
      <c r="C1591" s="41" t="s">
        <v>846</v>
      </c>
      <c r="D1591" s="42" t="s">
        <v>366</v>
      </c>
      <c r="E1591" s="43" t="s">
        <v>4755</v>
      </c>
      <c r="F1591" s="44"/>
      <c r="G1591" s="46"/>
    </row>
    <row r="1592" spans="2:7" x14ac:dyDescent="0.35">
      <c r="B1592" s="41" t="s">
        <v>849</v>
      </c>
      <c r="C1592" s="41" t="s">
        <v>848</v>
      </c>
      <c r="D1592" s="42" t="s">
        <v>845</v>
      </c>
      <c r="E1592" s="43" t="s">
        <v>4755</v>
      </c>
      <c r="F1592" s="44"/>
      <c r="G1592" s="46"/>
    </row>
    <row r="1593" spans="2:7" x14ac:dyDescent="0.35">
      <c r="B1593" s="41" t="s">
        <v>873</v>
      </c>
      <c r="C1593" s="41" t="s">
        <v>872</v>
      </c>
      <c r="D1593" s="42" t="s">
        <v>58</v>
      </c>
      <c r="E1593" s="43" t="s">
        <v>4755</v>
      </c>
      <c r="F1593" s="44"/>
      <c r="G1593" s="46"/>
    </row>
    <row r="1594" spans="2:7" x14ac:dyDescent="0.35">
      <c r="B1594" s="41" t="s">
        <v>875</v>
      </c>
      <c r="C1594" s="41" t="s">
        <v>874</v>
      </c>
      <c r="D1594" s="42" t="s">
        <v>755</v>
      </c>
      <c r="E1594" s="43" t="s">
        <v>4755</v>
      </c>
      <c r="F1594" s="44"/>
      <c r="G1594" s="46"/>
    </row>
    <row r="1595" spans="2:7" x14ac:dyDescent="0.35">
      <c r="B1595" s="41" t="s">
        <v>884</v>
      </c>
      <c r="C1595" s="41" t="s">
        <v>883</v>
      </c>
      <c r="D1595" s="42" t="s">
        <v>885</v>
      </c>
      <c r="E1595" s="43" t="s">
        <v>4755</v>
      </c>
      <c r="F1595" s="44"/>
      <c r="G1595" s="46"/>
    </row>
    <row r="1596" spans="2:7" x14ac:dyDescent="0.35">
      <c r="B1596" s="41" t="s">
        <v>1060</v>
      </c>
      <c r="C1596" s="41" t="s">
        <v>1059</v>
      </c>
      <c r="D1596" s="42" t="s">
        <v>1061</v>
      </c>
      <c r="E1596" s="43" t="s">
        <v>4755</v>
      </c>
      <c r="F1596" s="44"/>
      <c r="G1596" s="46"/>
    </row>
    <row r="1597" spans="2:7" x14ac:dyDescent="0.4">
      <c r="B1597" s="46" t="s">
        <v>1119</v>
      </c>
      <c r="C1597" s="46" t="s">
        <v>1118</v>
      </c>
      <c r="D1597" s="42" t="s">
        <v>366</v>
      </c>
      <c r="E1597" s="43" t="s">
        <v>4755</v>
      </c>
      <c r="F1597" s="44"/>
      <c r="G1597" s="46"/>
    </row>
    <row r="1598" spans="2:7" x14ac:dyDescent="0.35">
      <c r="B1598" s="41" t="s">
        <v>1184</v>
      </c>
      <c r="C1598" s="41" t="s">
        <v>1183</v>
      </c>
      <c r="D1598" s="42" t="s">
        <v>1171</v>
      </c>
      <c r="E1598" s="43" t="s">
        <v>4755</v>
      </c>
      <c r="F1598" s="44"/>
      <c r="G1598" s="46"/>
    </row>
    <row r="1599" spans="2:7" x14ac:dyDescent="0.35">
      <c r="B1599" s="41" t="s">
        <v>1302</v>
      </c>
      <c r="C1599" s="41" t="s">
        <v>1301</v>
      </c>
      <c r="D1599" s="42" t="s">
        <v>1303</v>
      </c>
      <c r="E1599" s="43" t="s">
        <v>4755</v>
      </c>
      <c r="F1599" s="44"/>
      <c r="G1599" s="46"/>
    </row>
    <row r="1600" spans="2:7" x14ac:dyDescent="0.35">
      <c r="B1600" s="41" t="s">
        <v>1305</v>
      </c>
      <c r="C1600" s="41" t="s">
        <v>1304</v>
      </c>
      <c r="D1600" s="42" t="s">
        <v>1306</v>
      </c>
      <c r="E1600" s="43" t="s">
        <v>4755</v>
      </c>
      <c r="F1600" s="44"/>
      <c r="G1600" s="46"/>
    </row>
    <row r="1601" spans="2:7" x14ac:dyDescent="0.35">
      <c r="B1601" s="41" t="s">
        <v>1326</v>
      </c>
      <c r="C1601" s="41" t="s">
        <v>1325</v>
      </c>
      <c r="D1601" s="42" t="s">
        <v>1306</v>
      </c>
      <c r="E1601" s="43" t="s">
        <v>4755</v>
      </c>
      <c r="F1601" s="44"/>
      <c r="G1601" s="46"/>
    </row>
    <row r="1602" spans="2:7" x14ac:dyDescent="0.35">
      <c r="B1602" s="41" t="s">
        <v>1344</v>
      </c>
      <c r="C1602" s="41" t="s">
        <v>1343</v>
      </c>
      <c r="D1602" s="42" t="s">
        <v>1345</v>
      </c>
      <c r="E1602" s="43" t="s">
        <v>4755</v>
      </c>
      <c r="F1602" s="44"/>
      <c r="G1602" s="46"/>
    </row>
    <row r="1603" spans="2:7" x14ac:dyDescent="0.35">
      <c r="B1603" s="41" t="s">
        <v>1347</v>
      </c>
      <c r="C1603" s="41" t="s">
        <v>1346</v>
      </c>
      <c r="D1603" s="42" t="s">
        <v>1345</v>
      </c>
      <c r="E1603" s="43" t="s">
        <v>4755</v>
      </c>
      <c r="F1603" s="44"/>
      <c r="G1603" s="46"/>
    </row>
    <row r="1604" spans="2:7" x14ac:dyDescent="0.35">
      <c r="B1604" s="41" t="s">
        <v>1349</v>
      </c>
      <c r="C1604" s="41" t="s">
        <v>1348</v>
      </c>
      <c r="D1604" s="42" t="s">
        <v>1303</v>
      </c>
      <c r="E1604" s="43" t="s">
        <v>4755</v>
      </c>
      <c r="F1604" s="44"/>
      <c r="G1604" s="46"/>
    </row>
    <row r="1605" spans="2:7" x14ac:dyDescent="0.35">
      <c r="B1605" s="41" t="s">
        <v>1351</v>
      </c>
      <c r="C1605" s="41" t="s">
        <v>1350</v>
      </c>
      <c r="D1605" s="42" t="s">
        <v>1352</v>
      </c>
      <c r="E1605" s="43" t="s">
        <v>4755</v>
      </c>
      <c r="F1605" s="44"/>
      <c r="G1605" s="46"/>
    </row>
    <row r="1606" spans="2:7" x14ac:dyDescent="0.35">
      <c r="B1606" s="41" t="s">
        <v>1373</v>
      </c>
      <c r="C1606" s="41" t="s">
        <v>1372</v>
      </c>
      <c r="D1606" s="42" t="s">
        <v>1371</v>
      </c>
      <c r="E1606" s="43" t="s">
        <v>4755</v>
      </c>
      <c r="F1606" s="44"/>
      <c r="G1606" s="46"/>
    </row>
    <row r="1607" spans="2:7" x14ac:dyDescent="0.35">
      <c r="B1607" s="41" t="s">
        <v>1413</v>
      </c>
      <c r="C1607" s="41" t="s">
        <v>1412</v>
      </c>
      <c r="D1607" s="42" t="s">
        <v>1376</v>
      </c>
      <c r="E1607" s="43" t="s">
        <v>4755</v>
      </c>
      <c r="F1607" s="44"/>
      <c r="G1607" s="46"/>
    </row>
    <row r="1608" spans="2:7" x14ac:dyDescent="0.35">
      <c r="B1608" s="41" t="s">
        <v>1426</v>
      </c>
      <c r="C1608" s="41" t="s">
        <v>1425</v>
      </c>
      <c r="D1608" s="42" t="s">
        <v>1416</v>
      </c>
      <c r="E1608" s="43" t="s">
        <v>4755</v>
      </c>
      <c r="F1608" s="44"/>
      <c r="G1608" s="46"/>
    </row>
    <row r="1609" spans="2:7" x14ac:dyDescent="0.35">
      <c r="B1609" s="41" t="s">
        <v>1428</v>
      </c>
      <c r="C1609" s="41" t="s">
        <v>1427</v>
      </c>
      <c r="D1609" s="42" t="s">
        <v>1416</v>
      </c>
      <c r="E1609" s="43" t="s">
        <v>4755</v>
      </c>
      <c r="F1609" s="44"/>
      <c r="G1609" s="46"/>
    </row>
    <row r="1610" spans="2:7" x14ac:dyDescent="0.35">
      <c r="B1610" s="41" t="s">
        <v>1430</v>
      </c>
      <c r="C1610" s="41" t="s">
        <v>1429</v>
      </c>
      <c r="D1610" s="42" t="s">
        <v>1416</v>
      </c>
      <c r="E1610" s="43" t="s">
        <v>4755</v>
      </c>
      <c r="F1610" s="44"/>
      <c r="G1610" s="46"/>
    </row>
    <row r="1611" spans="2:7" x14ac:dyDescent="0.35">
      <c r="B1611" s="41" t="s">
        <v>1432</v>
      </c>
      <c r="C1611" s="41" t="s">
        <v>1431</v>
      </c>
      <c r="D1611" s="42" t="s">
        <v>1433</v>
      </c>
      <c r="E1611" s="43" t="s">
        <v>4755</v>
      </c>
      <c r="F1611" s="44"/>
      <c r="G1611" s="46"/>
    </row>
    <row r="1612" spans="2:7" x14ac:dyDescent="0.35">
      <c r="B1612" s="41" t="s">
        <v>1435</v>
      </c>
      <c r="C1612" s="41" t="s">
        <v>1434</v>
      </c>
      <c r="D1612" s="42" t="s">
        <v>1433</v>
      </c>
      <c r="E1612" s="43" t="s">
        <v>4755</v>
      </c>
      <c r="F1612" s="44"/>
      <c r="G1612" s="46"/>
    </row>
    <row r="1613" spans="2:7" x14ac:dyDescent="0.35">
      <c r="B1613" s="41" t="s">
        <v>1719</v>
      </c>
      <c r="C1613" s="41" t="s">
        <v>1718</v>
      </c>
      <c r="D1613" s="42" t="s">
        <v>1168</v>
      </c>
      <c r="E1613" s="43" t="s">
        <v>4755</v>
      </c>
      <c r="F1613" s="44"/>
      <c r="G1613" s="46"/>
    </row>
    <row r="1614" spans="2:7" x14ac:dyDescent="0.35">
      <c r="B1614" s="41" t="s">
        <v>1723</v>
      </c>
      <c r="C1614" s="41" t="s">
        <v>1722</v>
      </c>
      <c r="D1614" s="42" t="s">
        <v>1168</v>
      </c>
      <c r="E1614" s="43" t="s">
        <v>4755</v>
      </c>
      <c r="F1614" s="44"/>
      <c r="G1614" s="46"/>
    </row>
    <row r="1615" spans="2:7" x14ac:dyDescent="0.35">
      <c r="B1615" s="41" t="s">
        <v>1775</v>
      </c>
      <c r="C1615" s="41" t="s">
        <v>1774</v>
      </c>
      <c r="D1615" s="42" t="s">
        <v>1606</v>
      </c>
      <c r="E1615" s="43" t="s">
        <v>4755</v>
      </c>
      <c r="F1615" s="44"/>
      <c r="G1615" s="46"/>
    </row>
    <row r="1616" spans="2:7" x14ac:dyDescent="0.35">
      <c r="B1616" s="41" t="s">
        <v>1820</v>
      </c>
      <c r="C1616" s="41" t="s">
        <v>1810</v>
      </c>
      <c r="D1616" s="42" t="s">
        <v>366</v>
      </c>
      <c r="E1616" s="43" t="s">
        <v>4755</v>
      </c>
      <c r="F1616" s="44"/>
      <c r="G1616" s="46"/>
    </row>
    <row r="1617" spans="2:7" x14ac:dyDescent="0.35">
      <c r="B1617" s="41" t="s">
        <v>1822</v>
      </c>
      <c r="C1617" s="41" t="s">
        <v>1821</v>
      </c>
      <c r="D1617" s="42" t="s">
        <v>366</v>
      </c>
      <c r="E1617" s="43" t="s">
        <v>4755</v>
      </c>
      <c r="F1617" s="44"/>
      <c r="G1617" s="46"/>
    </row>
    <row r="1618" spans="2:7" x14ac:dyDescent="0.35">
      <c r="B1618" s="41" t="s">
        <v>1824</v>
      </c>
      <c r="C1618" s="41" t="s">
        <v>1823</v>
      </c>
      <c r="D1618" s="42" t="s">
        <v>366</v>
      </c>
      <c r="E1618" s="43" t="s">
        <v>4755</v>
      </c>
      <c r="F1618" s="44"/>
      <c r="G1618" s="46"/>
    </row>
    <row r="1619" spans="2:7" x14ac:dyDescent="0.35">
      <c r="B1619" s="41" t="s">
        <v>1826</v>
      </c>
      <c r="C1619" s="41" t="s">
        <v>1825</v>
      </c>
      <c r="D1619" s="42" t="s">
        <v>366</v>
      </c>
      <c r="E1619" s="43" t="s">
        <v>4755</v>
      </c>
      <c r="F1619" s="44"/>
      <c r="G1619" s="46"/>
    </row>
    <row r="1620" spans="2:7" x14ac:dyDescent="0.35">
      <c r="B1620" s="41" t="s">
        <v>1862</v>
      </c>
      <c r="C1620" s="41" t="s">
        <v>1861</v>
      </c>
      <c r="D1620" s="42" t="s">
        <v>1863</v>
      </c>
      <c r="E1620" s="43" t="s">
        <v>4755</v>
      </c>
      <c r="F1620" s="44"/>
      <c r="G1620" s="46"/>
    </row>
    <row r="1621" spans="2:7" x14ac:dyDescent="0.35">
      <c r="B1621" s="41" t="s">
        <v>1960</v>
      </c>
      <c r="C1621" s="41" t="s">
        <v>1959</v>
      </c>
      <c r="D1621" s="42" t="s">
        <v>49</v>
      </c>
      <c r="E1621" s="43" t="s">
        <v>4755</v>
      </c>
      <c r="F1621" s="44"/>
      <c r="G1621" s="46"/>
    </row>
    <row r="1622" spans="2:7" x14ac:dyDescent="0.35">
      <c r="B1622" s="41" t="s">
        <v>1967</v>
      </c>
      <c r="C1622" s="41" t="s">
        <v>1966</v>
      </c>
      <c r="D1622" s="42" t="s">
        <v>1968</v>
      </c>
      <c r="E1622" s="43" t="s">
        <v>4755</v>
      </c>
      <c r="F1622" s="44"/>
      <c r="G1622" s="46"/>
    </row>
    <row r="1623" spans="2:7" x14ac:dyDescent="0.35">
      <c r="B1623" s="41" t="s">
        <v>2035</v>
      </c>
      <c r="C1623" s="41" t="s">
        <v>2034</v>
      </c>
      <c r="D1623" s="42" t="s">
        <v>805</v>
      </c>
      <c r="E1623" s="43" t="s">
        <v>4755</v>
      </c>
      <c r="F1623" s="44"/>
      <c r="G1623" s="46"/>
    </row>
    <row r="1624" spans="2:7" x14ac:dyDescent="0.35">
      <c r="B1624" s="46" t="s">
        <v>2037</v>
      </c>
      <c r="C1624" s="41" t="s">
        <v>2036</v>
      </c>
      <c r="D1624" s="42" t="s">
        <v>275</v>
      </c>
      <c r="E1624" s="43" t="s">
        <v>4755</v>
      </c>
      <c r="F1624" s="44"/>
      <c r="G1624" s="46"/>
    </row>
    <row r="1625" spans="2:7" x14ac:dyDescent="0.35">
      <c r="B1625" s="41" t="s">
        <v>2046</v>
      </c>
      <c r="C1625" s="41" t="s">
        <v>2045</v>
      </c>
      <c r="D1625" s="42" t="s">
        <v>1225</v>
      </c>
      <c r="E1625" s="43" t="s">
        <v>4755</v>
      </c>
      <c r="F1625" s="44"/>
      <c r="G1625" s="46"/>
    </row>
    <row r="1626" spans="2:7" x14ac:dyDescent="0.35">
      <c r="B1626" s="41" t="s">
        <v>2096</v>
      </c>
      <c r="C1626" s="41" t="s">
        <v>2095</v>
      </c>
      <c r="D1626" s="42" t="s">
        <v>845</v>
      </c>
      <c r="E1626" s="43" t="s">
        <v>4755</v>
      </c>
      <c r="F1626" s="44"/>
      <c r="G1626" s="46"/>
    </row>
    <row r="1627" spans="2:7" x14ac:dyDescent="0.35">
      <c r="B1627" s="41" t="s">
        <v>2103</v>
      </c>
      <c r="C1627" s="41" t="s">
        <v>2102</v>
      </c>
      <c r="D1627" s="42" t="s">
        <v>1290</v>
      </c>
      <c r="E1627" s="43" t="s">
        <v>4755</v>
      </c>
      <c r="F1627" s="44"/>
      <c r="G1627" s="46"/>
    </row>
    <row r="1628" spans="2:7" x14ac:dyDescent="0.35">
      <c r="B1628" s="41" t="s">
        <v>2105</v>
      </c>
      <c r="C1628" s="41" t="s">
        <v>2104</v>
      </c>
      <c r="D1628" s="42" t="s">
        <v>1290</v>
      </c>
      <c r="E1628" s="43" t="s">
        <v>4755</v>
      </c>
      <c r="F1628" s="44"/>
      <c r="G1628" s="46"/>
    </row>
    <row r="1629" spans="2:7" x14ac:dyDescent="0.35">
      <c r="B1629" s="41" t="s">
        <v>2107</v>
      </c>
      <c r="C1629" s="41" t="s">
        <v>2106</v>
      </c>
      <c r="D1629" s="42" t="s">
        <v>1290</v>
      </c>
      <c r="E1629" s="43" t="s">
        <v>4755</v>
      </c>
      <c r="F1629" s="44"/>
      <c r="G1629" s="46"/>
    </row>
    <row r="1630" spans="2:7" x14ac:dyDescent="0.35">
      <c r="B1630" s="41" t="s">
        <v>2109</v>
      </c>
      <c r="C1630" s="41" t="s">
        <v>2108</v>
      </c>
      <c r="D1630" s="42" t="s">
        <v>1290</v>
      </c>
      <c r="E1630" s="43" t="s">
        <v>4755</v>
      </c>
      <c r="F1630" s="44"/>
      <c r="G1630" s="46"/>
    </row>
    <row r="1631" spans="2:7" x14ac:dyDescent="0.35">
      <c r="B1631" s="41" t="s">
        <v>2188</v>
      </c>
      <c r="C1631" s="41" t="s">
        <v>2187</v>
      </c>
      <c r="D1631" s="42" t="s">
        <v>363</v>
      </c>
      <c r="E1631" s="43" t="s">
        <v>4755</v>
      </c>
      <c r="F1631" s="44"/>
      <c r="G1631" s="46"/>
    </row>
    <row r="1632" spans="2:7" x14ac:dyDescent="0.35">
      <c r="B1632" s="46" t="s">
        <v>2479</v>
      </c>
      <c r="C1632" s="41" t="s">
        <v>2478</v>
      </c>
      <c r="D1632" s="42" t="s">
        <v>340</v>
      </c>
      <c r="E1632" s="43" t="s">
        <v>4755</v>
      </c>
      <c r="F1632" s="44"/>
      <c r="G1632" s="46"/>
    </row>
    <row r="1633" spans="2:7" x14ac:dyDescent="0.35">
      <c r="B1633" s="41" t="s">
        <v>2499</v>
      </c>
      <c r="C1633" s="41" t="s">
        <v>2498</v>
      </c>
      <c r="D1633" s="42" t="s">
        <v>2455</v>
      </c>
      <c r="E1633" s="43" t="s">
        <v>4755</v>
      </c>
      <c r="F1633" s="44"/>
      <c r="G1633" s="46"/>
    </row>
    <row r="1634" spans="2:7" x14ac:dyDescent="0.35">
      <c r="B1634" s="41" t="s">
        <v>2509</v>
      </c>
      <c r="C1634" s="41" t="s">
        <v>2508</v>
      </c>
      <c r="D1634" s="42" t="s">
        <v>1424</v>
      </c>
      <c r="E1634" s="43" t="s">
        <v>4755</v>
      </c>
      <c r="F1634" s="44"/>
      <c r="G1634" s="46"/>
    </row>
    <row r="1635" spans="2:7" x14ac:dyDescent="0.35">
      <c r="B1635" s="41" t="s">
        <v>2626</v>
      </c>
      <c r="C1635" s="41" t="s">
        <v>2625</v>
      </c>
      <c r="D1635" s="42" t="s">
        <v>2516</v>
      </c>
      <c r="E1635" s="43" t="s">
        <v>4755</v>
      </c>
      <c r="F1635" s="44"/>
      <c r="G1635" s="46"/>
    </row>
    <row r="1636" spans="2:7" x14ac:dyDescent="0.35">
      <c r="B1636" s="41" t="s">
        <v>3116</v>
      </c>
      <c r="C1636" s="41" t="s">
        <v>3115</v>
      </c>
      <c r="D1636" s="42" t="s">
        <v>2898</v>
      </c>
      <c r="E1636" s="43" t="s">
        <v>4755</v>
      </c>
      <c r="F1636" s="44"/>
      <c r="G1636" s="46"/>
    </row>
    <row r="1637" spans="2:7" x14ac:dyDescent="0.4">
      <c r="B1637" s="46" t="s">
        <v>3193</v>
      </c>
      <c r="C1637" s="46" t="s">
        <v>3192</v>
      </c>
      <c r="D1637" s="42" t="s">
        <v>2208</v>
      </c>
      <c r="E1637" s="43" t="s">
        <v>4755</v>
      </c>
      <c r="F1637" s="44"/>
      <c r="G1637" s="46"/>
    </row>
    <row r="1638" spans="2:7" x14ac:dyDescent="0.35">
      <c r="B1638" s="41" t="s">
        <v>3207</v>
      </c>
      <c r="C1638" s="41" t="s">
        <v>3206</v>
      </c>
      <c r="D1638" s="42" t="s">
        <v>3208</v>
      </c>
      <c r="E1638" s="43" t="s">
        <v>4755</v>
      </c>
      <c r="F1638" s="44"/>
      <c r="G1638" s="46"/>
    </row>
    <row r="1639" spans="2:7" x14ac:dyDescent="0.35">
      <c r="B1639" s="41" t="s">
        <v>3238</v>
      </c>
      <c r="C1639" s="41" t="s">
        <v>3237</v>
      </c>
      <c r="D1639" s="42" t="s">
        <v>3239</v>
      </c>
      <c r="E1639" s="43" t="s">
        <v>4755</v>
      </c>
      <c r="F1639" s="44"/>
      <c r="G1639" s="46"/>
    </row>
    <row r="1640" spans="2:7" x14ac:dyDescent="0.35">
      <c r="B1640" s="41" t="s">
        <v>3241</v>
      </c>
      <c r="C1640" s="41" t="s">
        <v>3240</v>
      </c>
      <c r="D1640" s="42" t="s">
        <v>418</v>
      </c>
      <c r="E1640" s="43" t="s">
        <v>4755</v>
      </c>
      <c r="F1640" s="44"/>
      <c r="G1640" s="46"/>
    </row>
    <row r="1641" spans="2:7" x14ac:dyDescent="0.4">
      <c r="B1641" s="46" t="s">
        <v>3243</v>
      </c>
      <c r="C1641" s="46" t="s">
        <v>3242</v>
      </c>
      <c r="D1641" s="42" t="s">
        <v>79</v>
      </c>
      <c r="E1641" s="43" t="s">
        <v>4755</v>
      </c>
      <c r="F1641" s="44"/>
      <c r="G1641" s="46"/>
    </row>
    <row r="1642" spans="2:7" x14ac:dyDescent="0.35">
      <c r="B1642" s="41" t="s">
        <v>3245</v>
      </c>
      <c r="C1642" s="41" t="s">
        <v>3244</v>
      </c>
      <c r="D1642" s="42" t="s">
        <v>3246</v>
      </c>
      <c r="E1642" s="43" t="s">
        <v>4755</v>
      </c>
      <c r="F1642" s="44"/>
      <c r="G1642" s="46"/>
    </row>
    <row r="1643" spans="2:7" x14ac:dyDescent="0.35">
      <c r="B1643" s="41" t="s">
        <v>3248</v>
      </c>
      <c r="C1643" s="41" t="s">
        <v>3247</v>
      </c>
      <c r="D1643" s="42" t="s">
        <v>3246</v>
      </c>
      <c r="E1643" s="43" t="s">
        <v>4755</v>
      </c>
      <c r="F1643" s="44"/>
      <c r="G1643" s="46"/>
    </row>
    <row r="1644" spans="2:7" x14ac:dyDescent="0.35">
      <c r="B1644" s="41" t="s">
        <v>3250</v>
      </c>
      <c r="C1644" s="41" t="s">
        <v>3249</v>
      </c>
      <c r="D1644" s="42" t="s">
        <v>3251</v>
      </c>
      <c r="E1644" s="43" t="s">
        <v>4755</v>
      </c>
      <c r="F1644" s="44"/>
      <c r="G1644" s="46"/>
    </row>
    <row r="1645" spans="2:7" x14ac:dyDescent="0.35">
      <c r="B1645" s="41" t="s">
        <v>3253</v>
      </c>
      <c r="C1645" s="41" t="s">
        <v>3252</v>
      </c>
      <c r="D1645" s="42" t="s">
        <v>3251</v>
      </c>
      <c r="E1645" s="43" t="s">
        <v>4755</v>
      </c>
      <c r="F1645" s="44"/>
      <c r="G1645" s="46"/>
    </row>
    <row r="1646" spans="2:7" x14ac:dyDescent="0.35">
      <c r="B1646" s="41" t="s">
        <v>3255</v>
      </c>
      <c r="C1646" s="41" t="s">
        <v>3254</v>
      </c>
      <c r="D1646" s="42" t="s">
        <v>3205</v>
      </c>
      <c r="E1646" s="43" t="s">
        <v>4755</v>
      </c>
      <c r="F1646" s="44"/>
      <c r="G1646" s="46"/>
    </row>
    <row r="1647" spans="2:7" x14ac:dyDescent="0.35">
      <c r="B1647" s="41" t="s">
        <v>3257</v>
      </c>
      <c r="C1647" s="41" t="s">
        <v>3256</v>
      </c>
      <c r="D1647" s="42" t="s">
        <v>3205</v>
      </c>
      <c r="E1647" s="43" t="s">
        <v>4755</v>
      </c>
      <c r="F1647" s="44"/>
      <c r="G1647" s="46"/>
    </row>
    <row r="1648" spans="2:7" x14ac:dyDescent="0.35">
      <c r="B1648" s="41" t="s">
        <v>3280</v>
      </c>
      <c r="C1648" s="41" t="s">
        <v>3279</v>
      </c>
      <c r="D1648" s="42" t="s">
        <v>79</v>
      </c>
      <c r="E1648" s="43" t="s">
        <v>4755</v>
      </c>
      <c r="F1648" s="44"/>
      <c r="G1648" s="46"/>
    </row>
    <row r="1649" spans="2:7" x14ac:dyDescent="0.35">
      <c r="B1649" s="41" t="s">
        <v>3282</v>
      </c>
      <c r="C1649" s="41" t="s">
        <v>3281</v>
      </c>
      <c r="D1649" s="42" t="s">
        <v>79</v>
      </c>
      <c r="E1649" s="43" t="s">
        <v>4755</v>
      </c>
      <c r="F1649" s="44"/>
      <c r="G1649" s="46"/>
    </row>
    <row r="1650" spans="2:7" x14ac:dyDescent="0.35">
      <c r="B1650" s="41" t="s">
        <v>3284</v>
      </c>
      <c r="C1650" s="41" t="s">
        <v>3283</v>
      </c>
      <c r="D1650" s="42" t="s">
        <v>79</v>
      </c>
      <c r="E1650" s="43" t="s">
        <v>4755</v>
      </c>
      <c r="F1650" s="44"/>
      <c r="G1650" s="46"/>
    </row>
    <row r="1651" spans="2:7" x14ac:dyDescent="0.35">
      <c r="B1651" s="41" t="s">
        <v>3286</v>
      </c>
      <c r="C1651" s="41" t="s">
        <v>3285</v>
      </c>
      <c r="D1651" s="42" t="s">
        <v>3246</v>
      </c>
      <c r="E1651" s="43" t="s">
        <v>4755</v>
      </c>
      <c r="F1651" s="44"/>
      <c r="G1651" s="46"/>
    </row>
    <row r="1652" spans="2:7" x14ac:dyDescent="0.35">
      <c r="B1652" s="41" t="s">
        <v>3288</v>
      </c>
      <c r="C1652" s="41" t="s">
        <v>3287</v>
      </c>
      <c r="D1652" s="42" t="s">
        <v>3246</v>
      </c>
      <c r="E1652" s="43" t="s">
        <v>4755</v>
      </c>
      <c r="F1652" s="44"/>
      <c r="G1652" s="46"/>
    </row>
    <row r="1653" spans="2:7" x14ac:dyDescent="0.35">
      <c r="B1653" s="41" t="s">
        <v>3290</v>
      </c>
      <c r="C1653" s="41" t="s">
        <v>3289</v>
      </c>
      <c r="D1653" s="42" t="s">
        <v>3251</v>
      </c>
      <c r="E1653" s="43" t="s">
        <v>4755</v>
      </c>
      <c r="F1653" s="44"/>
      <c r="G1653" s="46"/>
    </row>
    <row r="1654" spans="2:7" x14ac:dyDescent="0.35">
      <c r="B1654" s="41" t="s">
        <v>3292</v>
      </c>
      <c r="C1654" s="41" t="s">
        <v>3291</v>
      </c>
      <c r="D1654" s="42" t="s">
        <v>3251</v>
      </c>
      <c r="E1654" s="43" t="s">
        <v>4755</v>
      </c>
      <c r="F1654" s="44"/>
      <c r="G1654" s="46"/>
    </row>
    <row r="1655" spans="2:7" x14ac:dyDescent="0.35">
      <c r="B1655" s="41" t="s">
        <v>3294</v>
      </c>
      <c r="C1655" s="41" t="s">
        <v>3293</v>
      </c>
      <c r="D1655" s="42" t="s">
        <v>3295</v>
      </c>
      <c r="E1655" s="43" t="s">
        <v>4755</v>
      </c>
      <c r="F1655" s="44"/>
      <c r="G1655" s="46"/>
    </row>
    <row r="1656" spans="2:7" x14ac:dyDescent="0.35">
      <c r="B1656" s="41" t="s">
        <v>3297</v>
      </c>
      <c r="C1656" s="41" t="s">
        <v>3296</v>
      </c>
      <c r="D1656" s="42" t="s">
        <v>3246</v>
      </c>
      <c r="E1656" s="43" t="s">
        <v>4755</v>
      </c>
      <c r="F1656" s="44"/>
      <c r="G1656" s="46"/>
    </row>
    <row r="1657" spans="2:7" x14ac:dyDescent="0.35">
      <c r="B1657" s="41" t="s">
        <v>3299</v>
      </c>
      <c r="C1657" s="41" t="s">
        <v>3298</v>
      </c>
      <c r="D1657" s="42" t="s">
        <v>3205</v>
      </c>
      <c r="E1657" s="43" t="s">
        <v>4755</v>
      </c>
      <c r="F1657" s="44"/>
      <c r="G1657" s="46"/>
    </row>
    <row r="1658" spans="2:7" x14ac:dyDescent="0.35">
      <c r="B1658" s="41" t="s">
        <v>3301</v>
      </c>
      <c r="C1658" s="41" t="s">
        <v>3300</v>
      </c>
      <c r="D1658" s="42" t="s">
        <v>3239</v>
      </c>
      <c r="E1658" s="43" t="s">
        <v>4755</v>
      </c>
      <c r="F1658" s="44"/>
      <c r="G1658" s="46"/>
    </row>
    <row r="1659" spans="2:7" x14ac:dyDescent="0.35">
      <c r="B1659" s="41" t="s">
        <v>3303</v>
      </c>
      <c r="C1659" s="41" t="s">
        <v>3302</v>
      </c>
      <c r="D1659" s="42" t="s">
        <v>3208</v>
      </c>
      <c r="E1659" s="43" t="s">
        <v>4755</v>
      </c>
      <c r="F1659" s="44"/>
      <c r="G1659" s="46"/>
    </row>
    <row r="1660" spans="2:7" x14ac:dyDescent="0.35">
      <c r="B1660" s="41" t="s">
        <v>3329</v>
      </c>
      <c r="C1660" s="41" t="s">
        <v>3328</v>
      </c>
      <c r="D1660" s="42" t="s">
        <v>3239</v>
      </c>
      <c r="E1660" s="43" t="s">
        <v>4755</v>
      </c>
      <c r="F1660" s="44"/>
      <c r="G1660" s="46"/>
    </row>
    <row r="1661" spans="2:7" x14ac:dyDescent="0.35">
      <c r="B1661" s="41" t="s">
        <v>3331</v>
      </c>
      <c r="C1661" s="41" t="s">
        <v>3330</v>
      </c>
      <c r="D1661" s="42" t="s">
        <v>3332</v>
      </c>
      <c r="E1661" s="43" t="s">
        <v>4755</v>
      </c>
      <c r="F1661" s="44"/>
      <c r="G1661" s="46"/>
    </row>
    <row r="1662" spans="2:7" x14ac:dyDescent="0.35">
      <c r="B1662" s="41" t="s">
        <v>3345</v>
      </c>
      <c r="C1662" s="41" t="s">
        <v>3344</v>
      </c>
      <c r="D1662" s="42" t="s">
        <v>3295</v>
      </c>
      <c r="E1662" s="43" t="s">
        <v>4755</v>
      </c>
      <c r="F1662" s="44"/>
      <c r="G1662" s="46"/>
    </row>
    <row r="1663" spans="2:7" x14ac:dyDescent="0.35">
      <c r="B1663" s="41" t="s">
        <v>3347</v>
      </c>
      <c r="C1663" s="41" t="s">
        <v>3346</v>
      </c>
      <c r="D1663" s="42" t="s">
        <v>3348</v>
      </c>
      <c r="E1663" s="43" t="s">
        <v>4755</v>
      </c>
      <c r="F1663" s="44"/>
      <c r="G1663" s="46"/>
    </row>
    <row r="1664" spans="2:7" x14ac:dyDescent="0.35">
      <c r="B1664" s="41" t="s">
        <v>3350</v>
      </c>
      <c r="C1664" s="41" t="s">
        <v>3349</v>
      </c>
      <c r="D1664" s="42" t="s">
        <v>3348</v>
      </c>
      <c r="E1664" s="43" t="s">
        <v>4755</v>
      </c>
      <c r="F1664" s="44"/>
      <c r="G1664" s="46"/>
    </row>
    <row r="1665" spans="2:7" x14ac:dyDescent="0.35">
      <c r="B1665" s="41" t="s">
        <v>3352</v>
      </c>
      <c r="C1665" s="41" t="s">
        <v>3351</v>
      </c>
      <c r="D1665" s="42" t="s">
        <v>3332</v>
      </c>
      <c r="E1665" s="43" t="s">
        <v>4755</v>
      </c>
      <c r="F1665" s="44"/>
      <c r="G1665" s="46"/>
    </row>
    <row r="1666" spans="2:7" x14ac:dyDescent="0.35">
      <c r="B1666" s="41" t="s">
        <v>3354</v>
      </c>
      <c r="C1666" s="41" t="s">
        <v>3353</v>
      </c>
      <c r="D1666" s="42" t="s">
        <v>3205</v>
      </c>
      <c r="E1666" s="43" t="s">
        <v>4755</v>
      </c>
      <c r="F1666" s="44"/>
      <c r="G1666" s="46"/>
    </row>
    <row r="1667" spans="2:7" x14ac:dyDescent="0.35">
      <c r="B1667" s="41" t="s">
        <v>3356</v>
      </c>
      <c r="C1667" s="41" t="s">
        <v>3355</v>
      </c>
      <c r="D1667" s="42" t="s">
        <v>3357</v>
      </c>
      <c r="E1667" s="43" t="s">
        <v>4755</v>
      </c>
      <c r="F1667" s="44"/>
      <c r="G1667" s="46"/>
    </row>
    <row r="1668" spans="2:7" x14ac:dyDescent="0.35">
      <c r="B1668" s="41" t="s">
        <v>3361</v>
      </c>
      <c r="C1668" s="41" t="s">
        <v>3360</v>
      </c>
      <c r="D1668" s="42" t="s">
        <v>3357</v>
      </c>
      <c r="E1668" s="43" t="s">
        <v>4755</v>
      </c>
      <c r="F1668" s="44"/>
      <c r="G1668" s="46"/>
    </row>
    <row r="1669" spans="2:7" x14ac:dyDescent="0.35">
      <c r="B1669" s="41" t="s">
        <v>3369</v>
      </c>
      <c r="C1669" s="41" t="s">
        <v>3368</v>
      </c>
      <c r="D1669" s="42" t="s">
        <v>3208</v>
      </c>
      <c r="E1669" s="43" t="s">
        <v>4755</v>
      </c>
      <c r="F1669" s="44"/>
      <c r="G1669" s="46"/>
    </row>
    <row r="1670" spans="2:7" x14ac:dyDescent="0.35">
      <c r="B1670" s="41" t="s">
        <v>3375</v>
      </c>
      <c r="C1670" s="41" t="s">
        <v>3374</v>
      </c>
      <c r="D1670" s="42" t="s">
        <v>3239</v>
      </c>
      <c r="E1670" s="43" t="s">
        <v>4755</v>
      </c>
      <c r="F1670" s="44"/>
      <c r="G1670" s="46"/>
    </row>
    <row r="1671" spans="2:7" x14ac:dyDescent="0.35">
      <c r="B1671" s="41" t="s">
        <v>3377</v>
      </c>
      <c r="C1671" s="41" t="s">
        <v>3376</v>
      </c>
      <c r="D1671" s="42" t="s">
        <v>3332</v>
      </c>
      <c r="E1671" s="43" t="s">
        <v>4755</v>
      </c>
      <c r="F1671" s="44"/>
      <c r="G1671" s="46"/>
    </row>
    <row r="1672" spans="2:7" x14ac:dyDescent="0.35">
      <c r="B1672" s="41" t="s">
        <v>3379</v>
      </c>
      <c r="C1672" s="41" t="s">
        <v>3378</v>
      </c>
      <c r="D1672" s="42" t="s">
        <v>3357</v>
      </c>
      <c r="E1672" s="43" t="s">
        <v>4755</v>
      </c>
      <c r="F1672" s="44"/>
      <c r="G1672" s="46"/>
    </row>
    <row r="1673" spans="2:7" x14ac:dyDescent="0.35">
      <c r="B1673" s="41" t="s">
        <v>3381</v>
      </c>
      <c r="C1673" s="41" t="s">
        <v>3380</v>
      </c>
      <c r="D1673" s="42" t="s">
        <v>3332</v>
      </c>
      <c r="E1673" s="43" t="s">
        <v>4755</v>
      </c>
      <c r="F1673" s="44"/>
      <c r="G1673" s="46"/>
    </row>
    <row r="1674" spans="2:7" x14ac:dyDescent="0.35">
      <c r="B1674" s="41" t="s">
        <v>3383</v>
      </c>
      <c r="C1674" s="41" t="s">
        <v>3382</v>
      </c>
      <c r="D1674" s="42" t="s">
        <v>3332</v>
      </c>
      <c r="E1674" s="43" t="s">
        <v>4755</v>
      </c>
      <c r="F1674" s="44"/>
      <c r="G1674" s="46"/>
    </row>
    <row r="1675" spans="2:7" x14ac:dyDescent="0.35">
      <c r="B1675" s="41" t="s">
        <v>3385</v>
      </c>
      <c r="C1675" s="41" t="s">
        <v>3384</v>
      </c>
      <c r="D1675" s="42" t="s">
        <v>3386</v>
      </c>
      <c r="E1675" s="43" t="s">
        <v>4755</v>
      </c>
      <c r="F1675" s="44"/>
      <c r="G1675" s="46"/>
    </row>
    <row r="1676" spans="2:7" x14ac:dyDescent="0.35">
      <c r="B1676" s="41" t="s">
        <v>3388</v>
      </c>
      <c r="C1676" s="41" t="s">
        <v>3387</v>
      </c>
      <c r="D1676" s="42" t="s">
        <v>3386</v>
      </c>
      <c r="E1676" s="43" t="s">
        <v>4755</v>
      </c>
      <c r="F1676" s="44"/>
      <c r="G1676" s="46"/>
    </row>
    <row r="1677" spans="2:7" x14ac:dyDescent="0.35">
      <c r="B1677" s="41" t="s">
        <v>3390</v>
      </c>
      <c r="C1677" s="41" t="s">
        <v>3389</v>
      </c>
      <c r="D1677" s="42" t="s">
        <v>3357</v>
      </c>
      <c r="E1677" s="43" t="s">
        <v>4755</v>
      </c>
      <c r="F1677" s="44"/>
      <c r="G1677" s="46"/>
    </row>
    <row r="1678" spans="2:7" x14ac:dyDescent="0.35">
      <c r="B1678" s="41" t="s">
        <v>3392</v>
      </c>
      <c r="C1678" s="41" t="s">
        <v>3391</v>
      </c>
      <c r="D1678" s="42" t="s">
        <v>1061</v>
      </c>
      <c r="E1678" s="43" t="s">
        <v>4755</v>
      </c>
      <c r="F1678" s="44"/>
      <c r="G1678" s="46"/>
    </row>
    <row r="1679" spans="2:7" x14ac:dyDescent="0.35">
      <c r="B1679" s="41" t="s">
        <v>3394</v>
      </c>
      <c r="C1679" s="41" t="s">
        <v>3393</v>
      </c>
      <c r="D1679" s="42" t="s">
        <v>3386</v>
      </c>
      <c r="E1679" s="43" t="s">
        <v>4755</v>
      </c>
      <c r="F1679" s="44"/>
      <c r="G1679" s="46"/>
    </row>
    <row r="1680" spans="2:7" x14ac:dyDescent="0.35">
      <c r="B1680" s="41" t="s">
        <v>3438</v>
      </c>
      <c r="C1680" s="41" t="s">
        <v>3437</v>
      </c>
      <c r="D1680" s="42" t="s">
        <v>3357</v>
      </c>
      <c r="E1680" s="43" t="s">
        <v>4755</v>
      </c>
      <c r="F1680" s="44"/>
      <c r="G1680" s="46"/>
    </row>
    <row r="1681" spans="2:7" x14ac:dyDescent="0.35">
      <c r="B1681" s="41" t="s">
        <v>3440</v>
      </c>
      <c r="C1681" s="41" t="s">
        <v>3439</v>
      </c>
      <c r="D1681" s="42" t="s">
        <v>3332</v>
      </c>
      <c r="E1681" s="43" t="s">
        <v>4755</v>
      </c>
      <c r="F1681" s="44"/>
      <c r="G1681" s="46"/>
    </row>
    <row r="1682" spans="2:7" x14ac:dyDescent="0.35">
      <c r="B1682" s="41" t="s">
        <v>3442</v>
      </c>
      <c r="C1682" s="41" t="s">
        <v>3441</v>
      </c>
      <c r="D1682" s="42" t="s">
        <v>3332</v>
      </c>
      <c r="E1682" s="43" t="s">
        <v>4755</v>
      </c>
      <c r="F1682" s="44"/>
      <c r="G1682" s="46"/>
    </row>
    <row r="1683" spans="2:7" x14ac:dyDescent="0.35">
      <c r="B1683" s="41" t="s">
        <v>3448</v>
      </c>
      <c r="C1683" s="41" t="s">
        <v>3447</v>
      </c>
      <c r="D1683" s="42" t="s">
        <v>3348</v>
      </c>
      <c r="E1683" s="43" t="s">
        <v>4755</v>
      </c>
      <c r="F1683" s="44"/>
      <c r="G1683" s="46"/>
    </row>
    <row r="1684" spans="2:7" x14ac:dyDescent="0.35">
      <c r="B1684" s="41" t="s">
        <v>3450</v>
      </c>
      <c r="C1684" s="41" t="s">
        <v>3449</v>
      </c>
      <c r="D1684" s="42" t="s">
        <v>1061</v>
      </c>
      <c r="E1684" s="43" t="s">
        <v>4755</v>
      </c>
      <c r="F1684" s="44"/>
      <c r="G1684" s="46"/>
    </row>
    <row r="1685" spans="2:7" x14ac:dyDescent="0.35">
      <c r="B1685" s="41" t="s">
        <v>3454</v>
      </c>
      <c r="C1685" s="41" t="s">
        <v>3453</v>
      </c>
      <c r="D1685" s="42" t="s">
        <v>3455</v>
      </c>
      <c r="E1685" s="43" t="s">
        <v>4755</v>
      </c>
      <c r="F1685" s="44"/>
      <c r="G1685" s="46"/>
    </row>
    <row r="1686" spans="2:7" x14ac:dyDescent="0.35">
      <c r="B1686" s="41" t="s">
        <v>3457</v>
      </c>
      <c r="C1686" s="41" t="s">
        <v>3456</v>
      </c>
      <c r="D1686" s="42" t="s">
        <v>3208</v>
      </c>
      <c r="E1686" s="43" t="s">
        <v>4755</v>
      </c>
      <c r="F1686" s="44"/>
      <c r="G1686" s="46"/>
    </row>
    <row r="1687" spans="2:7" x14ac:dyDescent="0.35">
      <c r="B1687" s="41" t="s">
        <v>3476</v>
      </c>
      <c r="C1687" s="41" t="s">
        <v>3475</v>
      </c>
      <c r="D1687" s="42" t="s">
        <v>3239</v>
      </c>
      <c r="E1687" s="43" t="s">
        <v>4755</v>
      </c>
      <c r="F1687" s="44"/>
      <c r="G1687" s="46"/>
    </row>
    <row r="1688" spans="2:7" x14ac:dyDescent="0.35">
      <c r="B1688" s="41" t="s">
        <v>3478</v>
      </c>
      <c r="C1688" s="41" t="s">
        <v>3477</v>
      </c>
      <c r="D1688" s="42" t="s">
        <v>3367</v>
      </c>
      <c r="E1688" s="43" t="s">
        <v>4755</v>
      </c>
      <c r="F1688" s="44"/>
      <c r="G1688" s="46"/>
    </row>
    <row r="1689" spans="2:7" x14ac:dyDescent="0.35">
      <c r="B1689" s="41" t="s">
        <v>3480</v>
      </c>
      <c r="C1689" s="41" t="s">
        <v>3479</v>
      </c>
      <c r="D1689" s="42" t="s">
        <v>1352</v>
      </c>
      <c r="E1689" s="43" t="s">
        <v>4755</v>
      </c>
      <c r="F1689" s="44"/>
      <c r="G1689" s="46"/>
    </row>
    <row r="1690" spans="2:7" x14ac:dyDescent="0.35">
      <c r="B1690" s="41" t="s">
        <v>3482</v>
      </c>
      <c r="C1690" s="41" t="s">
        <v>3481</v>
      </c>
      <c r="D1690" s="42" t="s">
        <v>1352</v>
      </c>
      <c r="E1690" s="43" t="s">
        <v>4755</v>
      </c>
      <c r="F1690" s="44"/>
      <c r="G1690" s="46"/>
    </row>
    <row r="1691" spans="2:7" x14ac:dyDescent="0.35">
      <c r="B1691" s="41" t="s">
        <v>3484</v>
      </c>
      <c r="C1691" s="41" t="s">
        <v>3483</v>
      </c>
      <c r="D1691" s="42" t="s">
        <v>3485</v>
      </c>
      <c r="E1691" s="43" t="s">
        <v>4755</v>
      </c>
      <c r="F1691" s="44"/>
      <c r="G1691" s="46"/>
    </row>
    <row r="1692" spans="2:7" x14ac:dyDescent="0.35">
      <c r="B1692" s="41" t="s">
        <v>3487</v>
      </c>
      <c r="C1692" s="41" t="s">
        <v>3486</v>
      </c>
      <c r="D1692" s="42" t="s">
        <v>3485</v>
      </c>
      <c r="E1692" s="43" t="s">
        <v>4755</v>
      </c>
      <c r="F1692" s="44"/>
      <c r="G1692" s="46"/>
    </row>
    <row r="1693" spans="2:7" x14ac:dyDescent="0.35">
      <c r="B1693" s="41" t="s">
        <v>3489</v>
      </c>
      <c r="C1693" s="41" t="s">
        <v>3488</v>
      </c>
      <c r="D1693" s="42" t="s">
        <v>3490</v>
      </c>
      <c r="E1693" s="43" t="s">
        <v>4755</v>
      </c>
      <c r="F1693" s="44"/>
      <c r="G1693" s="46"/>
    </row>
    <row r="1694" spans="2:7" x14ac:dyDescent="0.35">
      <c r="B1694" s="41" t="s">
        <v>3508</v>
      </c>
      <c r="C1694" s="41" t="s">
        <v>3507</v>
      </c>
      <c r="D1694" s="42" t="s">
        <v>1352</v>
      </c>
      <c r="E1694" s="43" t="s">
        <v>4755</v>
      </c>
      <c r="F1694" s="44"/>
      <c r="G1694" s="46"/>
    </row>
    <row r="1695" spans="2:7" x14ac:dyDescent="0.35">
      <c r="B1695" s="41" t="s">
        <v>3512</v>
      </c>
      <c r="C1695" s="41" t="s">
        <v>3511</v>
      </c>
      <c r="D1695" s="42" t="s">
        <v>3367</v>
      </c>
      <c r="E1695" s="43" t="s">
        <v>4755</v>
      </c>
      <c r="F1695" s="44"/>
      <c r="G1695" s="46"/>
    </row>
    <row r="1696" spans="2:7" x14ac:dyDescent="0.35">
      <c r="B1696" s="41" t="s">
        <v>3522</v>
      </c>
      <c r="C1696" s="41" t="s">
        <v>3521</v>
      </c>
      <c r="D1696" s="42" t="s">
        <v>3485</v>
      </c>
      <c r="E1696" s="43" t="s">
        <v>4755</v>
      </c>
      <c r="F1696" s="44"/>
      <c r="G1696" s="46"/>
    </row>
    <row r="1697" spans="2:7" x14ac:dyDescent="0.35">
      <c r="B1697" s="41" t="s">
        <v>3524</v>
      </c>
      <c r="C1697" s="41" t="s">
        <v>3523</v>
      </c>
      <c r="D1697" s="42" t="s">
        <v>3485</v>
      </c>
      <c r="E1697" s="43" t="s">
        <v>4755</v>
      </c>
      <c r="F1697" s="44"/>
      <c r="G1697" s="46"/>
    </row>
    <row r="1698" spans="2:7" x14ac:dyDescent="0.35">
      <c r="B1698" s="41" t="s">
        <v>3526</v>
      </c>
      <c r="C1698" s="41" t="s">
        <v>3525</v>
      </c>
      <c r="D1698" s="42" t="s">
        <v>626</v>
      </c>
      <c r="E1698" s="43" t="s">
        <v>4755</v>
      </c>
      <c r="F1698" s="44"/>
      <c r="G1698" s="46"/>
    </row>
    <row r="1699" spans="2:7" x14ac:dyDescent="0.35">
      <c r="B1699" s="41" t="s">
        <v>3528</v>
      </c>
      <c r="C1699" s="41" t="s">
        <v>3527</v>
      </c>
      <c r="D1699" s="42" t="s">
        <v>4661</v>
      </c>
      <c r="E1699" s="43" t="s">
        <v>4755</v>
      </c>
      <c r="F1699" s="44"/>
      <c r="G1699" s="46"/>
    </row>
    <row r="1700" spans="2:7" x14ac:dyDescent="0.4">
      <c r="B1700" s="46" t="s">
        <v>3530</v>
      </c>
      <c r="C1700" s="46" t="s">
        <v>3529</v>
      </c>
      <c r="D1700" s="42" t="s">
        <v>3208</v>
      </c>
      <c r="E1700" s="43" t="s">
        <v>4755</v>
      </c>
      <c r="F1700" s="44"/>
      <c r="G1700" s="46"/>
    </row>
    <row r="1701" spans="2:7" x14ac:dyDescent="0.35">
      <c r="B1701" s="41" t="s">
        <v>3538</v>
      </c>
      <c r="C1701" s="41" t="s">
        <v>3537</v>
      </c>
      <c r="D1701" s="42" t="s">
        <v>3539</v>
      </c>
      <c r="E1701" s="43" t="s">
        <v>4755</v>
      </c>
      <c r="F1701" s="44"/>
      <c r="G1701" s="46"/>
    </row>
    <row r="1702" spans="2:7" x14ac:dyDescent="0.35">
      <c r="B1702" s="41" t="s">
        <v>3569</v>
      </c>
      <c r="C1702" s="41" t="s">
        <v>3568</v>
      </c>
      <c r="D1702" s="42" t="s">
        <v>3539</v>
      </c>
      <c r="E1702" s="43" t="s">
        <v>4755</v>
      </c>
      <c r="F1702" s="44"/>
      <c r="G1702" s="46"/>
    </row>
    <row r="1703" spans="2:7" x14ac:dyDescent="0.35">
      <c r="B1703" s="41" t="s">
        <v>3571</v>
      </c>
      <c r="C1703" s="41" t="s">
        <v>3570</v>
      </c>
      <c r="D1703" s="42" t="s">
        <v>3572</v>
      </c>
      <c r="E1703" s="43" t="s">
        <v>4755</v>
      </c>
      <c r="F1703" s="44"/>
      <c r="G1703" s="46"/>
    </row>
    <row r="1704" spans="2:7" x14ac:dyDescent="0.35">
      <c r="B1704" s="41" t="s">
        <v>3574</v>
      </c>
      <c r="C1704" s="41" t="s">
        <v>3573</v>
      </c>
      <c r="D1704" s="42" t="s">
        <v>3572</v>
      </c>
      <c r="E1704" s="43" t="s">
        <v>4755</v>
      </c>
      <c r="F1704" s="44"/>
      <c r="G1704" s="46"/>
    </row>
    <row r="1705" spans="2:7" x14ac:dyDescent="0.35">
      <c r="B1705" s="41" t="s">
        <v>3576</v>
      </c>
      <c r="C1705" s="41" t="s">
        <v>3575</v>
      </c>
      <c r="D1705" s="42" t="s">
        <v>418</v>
      </c>
      <c r="E1705" s="43" t="s">
        <v>4755</v>
      </c>
      <c r="F1705" s="44"/>
      <c r="G1705" s="46"/>
    </row>
    <row r="1706" spans="2:7" x14ac:dyDescent="0.35">
      <c r="B1706" s="41" t="s">
        <v>3580</v>
      </c>
      <c r="C1706" s="41" t="s">
        <v>3579</v>
      </c>
      <c r="D1706" s="42" t="s">
        <v>3541</v>
      </c>
      <c r="E1706" s="43" t="s">
        <v>4755</v>
      </c>
      <c r="F1706" s="44"/>
      <c r="G1706" s="46"/>
    </row>
    <row r="1707" spans="2:7" x14ac:dyDescent="0.35">
      <c r="B1707" s="41" t="s">
        <v>3595</v>
      </c>
      <c r="C1707" s="41" t="s">
        <v>3594</v>
      </c>
      <c r="D1707" s="42" t="s">
        <v>3596</v>
      </c>
      <c r="E1707" s="43" t="s">
        <v>4755</v>
      </c>
      <c r="F1707" s="44"/>
      <c r="G1707" s="46"/>
    </row>
    <row r="1708" spans="2:7" x14ac:dyDescent="0.35">
      <c r="B1708" s="41" t="s">
        <v>3598</v>
      </c>
      <c r="C1708" s="41" t="s">
        <v>3597</v>
      </c>
      <c r="D1708" s="42" t="s">
        <v>3533</v>
      </c>
      <c r="E1708" s="43" t="s">
        <v>4755</v>
      </c>
      <c r="F1708" s="44"/>
      <c r="G1708" s="46"/>
    </row>
    <row r="1709" spans="2:7" x14ac:dyDescent="0.35">
      <c r="B1709" s="41" t="s">
        <v>3608</v>
      </c>
      <c r="C1709" s="41" t="s">
        <v>3607</v>
      </c>
      <c r="D1709" s="42" t="s">
        <v>3572</v>
      </c>
      <c r="E1709" s="43" t="s">
        <v>4755</v>
      </c>
      <c r="F1709" s="44"/>
      <c r="G1709" s="46"/>
    </row>
    <row r="1710" spans="2:7" x14ac:dyDescent="0.35">
      <c r="B1710" s="41" t="s">
        <v>3610</v>
      </c>
      <c r="C1710" s="41" t="s">
        <v>3609</v>
      </c>
      <c r="D1710" s="42" t="s">
        <v>3611</v>
      </c>
      <c r="E1710" s="43" t="s">
        <v>4755</v>
      </c>
      <c r="F1710" s="44"/>
      <c r="G1710" s="46"/>
    </row>
    <row r="1711" spans="2:7" x14ac:dyDescent="0.35">
      <c r="B1711" s="41" t="s">
        <v>3613</v>
      </c>
      <c r="C1711" s="41" t="s">
        <v>3612</v>
      </c>
      <c r="D1711" s="42" t="s">
        <v>3611</v>
      </c>
      <c r="E1711" s="43" t="s">
        <v>4755</v>
      </c>
      <c r="F1711" s="44"/>
      <c r="G1711" s="46"/>
    </row>
    <row r="1712" spans="2:7" x14ac:dyDescent="0.35">
      <c r="B1712" s="41" t="s">
        <v>3615</v>
      </c>
      <c r="C1712" s="41" t="s">
        <v>3614</v>
      </c>
      <c r="D1712" s="42" t="s">
        <v>3611</v>
      </c>
      <c r="E1712" s="43" t="s">
        <v>4755</v>
      </c>
      <c r="F1712" s="44"/>
      <c r="G1712" s="46"/>
    </row>
    <row r="1713" spans="2:7" x14ac:dyDescent="0.35">
      <c r="B1713" s="41" t="s">
        <v>3617</v>
      </c>
      <c r="C1713" s="41" t="s">
        <v>3616</v>
      </c>
      <c r="D1713" s="42" t="s">
        <v>3611</v>
      </c>
      <c r="E1713" s="43" t="s">
        <v>4755</v>
      </c>
      <c r="F1713" s="44"/>
      <c r="G1713" s="46"/>
    </row>
    <row r="1714" spans="2:7" x14ac:dyDescent="0.35">
      <c r="B1714" s="41" t="s">
        <v>3619</v>
      </c>
      <c r="C1714" s="41" t="s">
        <v>3618</v>
      </c>
      <c r="D1714" s="42" t="s">
        <v>3364</v>
      </c>
      <c r="E1714" s="43" t="s">
        <v>4755</v>
      </c>
      <c r="F1714" s="44"/>
      <c r="G1714" s="46"/>
    </row>
    <row r="1715" spans="2:7" x14ac:dyDescent="0.35">
      <c r="B1715" s="41" t="s">
        <v>3621</v>
      </c>
      <c r="C1715" s="41" t="s">
        <v>3620</v>
      </c>
      <c r="D1715" s="42" t="s">
        <v>3611</v>
      </c>
      <c r="E1715" s="43" t="s">
        <v>4755</v>
      </c>
      <c r="F1715" s="44"/>
      <c r="G1715" s="46"/>
    </row>
    <row r="1716" spans="2:7" x14ac:dyDescent="0.35">
      <c r="B1716" s="41" t="s">
        <v>3623</v>
      </c>
      <c r="C1716" s="41" t="s">
        <v>3622</v>
      </c>
      <c r="D1716" s="42" t="s">
        <v>3541</v>
      </c>
      <c r="E1716" s="43" t="s">
        <v>4755</v>
      </c>
      <c r="F1716" s="44"/>
      <c r="G1716" s="46"/>
    </row>
    <row r="1717" spans="2:7" x14ac:dyDescent="0.35">
      <c r="B1717" s="41" t="s">
        <v>3627</v>
      </c>
      <c r="C1717" s="41" t="s">
        <v>3626</v>
      </c>
      <c r="D1717" s="42" t="s">
        <v>3208</v>
      </c>
      <c r="E1717" s="43" t="s">
        <v>4755</v>
      </c>
      <c r="F1717" s="44"/>
      <c r="G1717" s="46"/>
    </row>
    <row r="1718" spans="2:7" x14ac:dyDescent="0.35">
      <c r="B1718" s="41" t="s">
        <v>3629</v>
      </c>
      <c r="C1718" s="41" t="s">
        <v>3628</v>
      </c>
      <c r="D1718" s="42" t="s">
        <v>3541</v>
      </c>
      <c r="E1718" s="43" t="s">
        <v>4755</v>
      </c>
      <c r="F1718" s="44"/>
      <c r="G1718" s="46"/>
    </row>
    <row r="1719" spans="2:7" x14ac:dyDescent="0.35">
      <c r="B1719" s="41" t="s">
        <v>3631</v>
      </c>
      <c r="C1719" s="41" t="s">
        <v>3630</v>
      </c>
      <c r="D1719" s="42" t="s">
        <v>3632</v>
      </c>
      <c r="E1719" s="43" t="s">
        <v>4755</v>
      </c>
      <c r="F1719" s="44"/>
      <c r="G1719" s="46"/>
    </row>
    <row r="1720" spans="2:7" x14ac:dyDescent="0.35">
      <c r="B1720" s="41" t="s">
        <v>3646</v>
      </c>
      <c r="C1720" s="41" t="s">
        <v>3645</v>
      </c>
      <c r="D1720" s="42" t="s">
        <v>3239</v>
      </c>
      <c r="E1720" s="43" t="s">
        <v>4755</v>
      </c>
      <c r="F1720" s="44"/>
      <c r="G1720" s="46"/>
    </row>
    <row r="1721" spans="2:7" x14ac:dyDescent="0.35">
      <c r="B1721" s="41" t="s">
        <v>3648</v>
      </c>
      <c r="C1721" s="41" t="s">
        <v>3647</v>
      </c>
      <c r="D1721" s="42" t="s">
        <v>3239</v>
      </c>
      <c r="E1721" s="43" t="s">
        <v>4755</v>
      </c>
      <c r="F1721" s="44"/>
      <c r="G1721" s="46"/>
    </row>
    <row r="1722" spans="2:7" x14ac:dyDescent="0.35">
      <c r="B1722" s="41" t="s">
        <v>3650</v>
      </c>
      <c r="C1722" s="41" t="s">
        <v>3649</v>
      </c>
      <c r="D1722" s="42" t="s">
        <v>3632</v>
      </c>
      <c r="E1722" s="43" t="s">
        <v>4755</v>
      </c>
      <c r="F1722" s="44"/>
      <c r="G1722" s="46"/>
    </row>
    <row r="1723" spans="2:7" x14ac:dyDescent="0.4">
      <c r="B1723" s="47" t="s">
        <v>3652</v>
      </c>
      <c r="C1723" s="47" t="s">
        <v>3651</v>
      </c>
      <c r="D1723" s="42" t="s">
        <v>1965</v>
      </c>
      <c r="E1723" s="43" t="s">
        <v>4755</v>
      </c>
      <c r="F1723" s="44"/>
      <c r="G1723" s="46"/>
    </row>
    <row r="1724" spans="2:7" x14ac:dyDescent="0.35">
      <c r="B1724" s="41" t="s">
        <v>3654</v>
      </c>
      <c r="C1724" s="41" t="s">
        <v>3653</v>
      </c>
      <c r="D1724" s="42" t="s">
        <v>3632</v>
      </c>
      <c r="E1724" s="43" t="s">
        <v>4755</v>
      </c>
      <c r="F1724" s="44"/>
      <c r="G1724" s="46"/>
    </row>
    <row r="1725" spans="2:7" x14ac:dyDescent="0.35">
      <c r="B1725" s="41" t="s">
        <v>3656</v>
      </c>
      <c r="C1725" s="41" t="s">
        <v>3655</v>
      </c>
      <c r="D1725" s="42" t="s">
        <v>3239</v>
      </c>
      <c r="E1725" s="43" t="s">
        <v>4755</v>
      </c>
      <c r="F1725" s="44"/>
      <c r="G1725" s="46"/>
    </row>
    <row r="1726" spans="2:7" x14ac:dyDescent="0.35">
      <c r="B1726" s="41" t="s">
        <v>3658</v>
      </c>
      <c r="C1726" s="41" t="s">
        <v>3657</v>
      </c>
      <c r="D1726" s="42" t="s">
        <v>3632</v>
      </c>
      <c r="E1726" s="43" t="s">
        <v>4755</v>
      </c>
      <c r="F1726" s="44"/>
      <c r="G1726" s="46"/>
    </row>
    <row r="1727" spans="2:7" x14ac:dyDescent="0.35">
      <c r="B1727" s="41" t="s">
        <v>3660</v>
      </c>
      <c r="C1727" s="41" t="s">
        <v>3659</v>
      </c>
      <c r="D1727" s="42" t="s">
        <v>3239</v>
      </c>
      <c r="E1727" s="43" t="s">
        <v>4755</v>
      </c>
      <c r="F1727" s="44"/>
      <c r="G1727" s="46"/>
    </row>
    <row r="1728" spans="2:7" x14ac:dyDescent="0.35">
      <c r="B1728" s="41" t="s">
        <v>3662</v>
      </c>
      <c r="C1728" s="41" t="s">
        <v>3661</v>
      </c>
      <c r="D1728" s="42" t="s">
        <v>3208</v>
      </c>
      <c r="E1728" s="43" t="s">
        <v>4755</v>
      </c>
      <c r="F1728" s="44"/>
      <c r="G1728" s="46"/>
    </row>
    <row r="1729" spans="2:7" x14ac:dyDescent="0.35">
      <c r="B1729" s="41" t="s">
        <v>3664</v>
      </c>
      <c r="C1729" s="41" t="s">
        <v>3663</v>
      </c>
      <c r="D1729" s="42" t="s">
        <v>3239</v>
      </c>
      <c r="E1729" s="43" t="s">
        <v>4755</v>
      </c>
      <c r="F1729" s="44"/>
      <c r="G1729" s="46"/>
    </row>
    <row r="1730" spans="2:7" x14ac:dyDescent="0.35">
      <c r="B1730" s="41" t="s">
        <v>3674</v>
      </c>
      <c r="C1730" s="41" t="s">
        <v>3673</v>
      </c>
      <c r="D1730" s="42" t="s">
        <v>3239</v>
      </c>
      <c r="E1730" s="43" t="s">
        <v>4755</v>
      </c>
      <c r="F1730" s="44"/>
      <c r="G1730" s="46"/>
    </row>
    <row r="1731" spans="2:7" x14ac:dyDescent="0.35">
      <c r="B1731" s="41" t="s">
        <v>3676</v>
      </c>
      <c r="C1731" s="41" t="s">
        <v>3675</v>
      </c>
      <c r="D1731" s="42" t="s">
        <v>3677</v>
      </c>
      <c r="E1731" s="43" t="s">
        <v>4755</v>
      </c>
      <c r="F1731" s="44"/>
      <c r="G1731" s="46"/>
    </row>
    <row r="1732" spans="2:7" x14ac:dyDescent="0.35">
      <c r="B1732" s="41" t="s">
        <v>3679</v>
      </c>
      <c r="C1732" s="41" t="s">
        <v>3678</v>
      </c>
      <c r="D1732" s="42" t="s">
        <v>3637</v>
      </c>
      <c r="E1732" s="43" t="s">
        <v>4755</v>
      </c>
      <c r="F1732" s="44"/>
      <c r="G1732" s="46"/>
    </row>
    <row r="1733" spans="2:7" x14ac:dyDescent="0.35">
      <c r="B1733" s="41" t="s">
        <v>3681</v>
      </c>
      <c r="C1733" s="41" t="s">
        <v>3680</v>
      </c>
      <c r="D1733" s="42" t="s">
        <v>3637</v>
      </c>
      <c r="E1733" s="43" t="s">
        <v>4755</v>
      </c>
      <c r="F1733" s="44"/>
      <c r="G1733" s="46"/>
    </row>
    <row r="1734" spans="2:7" x14ac:dyDescent="0.35">
      <c r="B1734" s="41" t="s">
        <v>3683</v>
      </c>
      <c r="C1734" s="41" t="s">
        <v>3682</v>
      </c>
      <c r="D1734" s="42" t="s">
        <v>3637</v>
      </c>
      <c r="E1734" s="43" t="s">
        <v>4755</v>
      </c>
      <c r="F1734" s="44"/>
      <c r="G1734" s="46"/>
    </row>
    <row r="1735" spans="2:7" x14ac:dyDescent="0.35">
      <c r="B1735" s="41" t="s">
        <v>3685</v>
      </c>
      <c r="C1735" s="41" t="s">
        <v>3684</v>
      </c>
      <c r="D1735" s="42" t="s">
        <v>3686</v>
      </c>
      <c r="E1735" s="43" t="s">
        <v>4755</v>
      </c>
      <c r="F1735" s="44"/>
      <c r="G1735" s="46"/>
    </row>
    <row r="1736" spans="2:7" x14ac:dyDescent="0.35">
      <c r="B1736" s="41" t="s">
        <v>3690</v>
      </c>
      <c r="C1736" s="41" t="s">
        <v>3689</v>
      </c>
      <c r="D1736" s="42" t="s">
        <v>3239</v>
      </c>
      <c r="E1736" s="43" t="s">
        <v>4755</v>
      </c>
      <c r="F1736" s="44"/>
      <c r="G1736" s="46"/>
    </row>
    <row r="1737" spans="2:7" x14ac:dyDescent="0.35">
      <c r="B1737" s="41" t="s">
        <v>3692</v>
      </c>
      <c r="C1737" s="41" t="s">
        <v>3691</v>
      </c>
      <c r="D1737" s="42" t="s">
        <v>3693</v>
      </c>
      <c r="E1737" s="43" t="s">
        <v>4755</v>
      </c>
      <c r="F1737" s="44"/>
      <c r="G1737" s="46"/>
    </row>
    <row r="1738" spans="2:7" x14ac:dyDescent="0.35">
      <c r="B1738" s="41" t="s">
        <v>3718</v>
      </c>
      <c r="C1738" s="41" t="s">
        <v>3717</v>
      </c>
      <c r="D1738" s="42" t="s">
        <v>3677</v>
      </c>
      <c r="E1738" s="43" t="s">
        <v>4755</v>
      </c>
      <c r="F1738" s="44"/>
      <c r="G1738" s="46"/>
    </row>
    <row r="1739" spans="2:7" x14ac:dyDescent="0.35">
      <c r="B1739" s="41" t="s">
        <v>3720</v>
      </c>
      <c r="C1739" s="41" t="s">
        <v>3719</v>
      </c>
      <c r="D1739" s="42" t="s">
        <v>3677</v>
      </c>
      <c r="E1739" s="43" t="s">
        <v>4755</v>
      </c>
      <c r="F1739" s="44"/>
      <c r="G1739" s="46"/>
    </row>
    <row r="1740" spans="2:7" x14ac:dyDescent="0.35">
      <c r="B1740" s="41" t="s">
        <v>3722</v>
      </c>
      <c r="C1740" s="41" t="s">
        <v>3721</v>
      </c>
      <c r="D1740" s="42" t="s">
        <v>3696</v>
      </c>
      <c r="E1740" s="43" t="s">
        <v>4755</v>
      </c>
      <c r="F1740" s="44"/>
      <c r="G1740" s="46"/>
    </row>
    <row r="1741" spans="2:7" x14ac:dyDescent="0.35">
      <c r="B1741" s="41" t="s">
        <v>3724</v>
      </c>
      <c r="C1741" s="41" t="s">
        <v>3723</v>
      </c>
      <c r="D1741" s="42" t="s">
        <v>3686</v>
      </c>
      <c r="E1741" s="43" t="s">
        <v>4755</v>
      </c>
      <c r="F1741" s="44"/>
      <c r="G1741" s="46"/>
    </row>
    <row r="1742" spans="2:7" x14ac:dyDescent="0.35">
      <c r="B1742" s="41" t="s">
        <v>3726</v>
      </c>
      <c r="C1742" s="41" t="s">
        <v>3725</v>
      </c>
      <c r="D1742" s="42" t="s">
        <v>3686</v>
      </c>
      <c r="E1742" s="43" t="s">
        <v>4755</v>
      </c>
      <c r="F1742" s="44"/>
      <c r="G1742" s="46"/>
    </row>
    <row r="1743" spans="2:7" x14ac:dyDescent="0.35">
      <c r="B1743" s="41" t="s">
        <v>3728</v>
      </c>
      <c r="C1743" s="41" t="s">
        <v>3727</v>
      </c>
      <c r="D1743" s="42" t="s">
        <v>3239</v>
      </c>
      <c r="E1743" s="43" t="s">
        <v>4755</v>
      </c>
      <c r="F1743" s="44"/>
      <c r="G1743" s="46"/>
    </row>
    <row r="1744" spans="2:7" x14ac:dyDescent="0.35">
      <c r="B1744" s="41" t="s">
        <v>3730</v>
      </c>
      <c r="C1744" s="41" t="s">
        <v>3729</v>
      </c>
      <c r="D1744" s="42" t="s">
        <v>3239</v>
      </c>
      <c r="E1744" s="43" t="s">
        <v>4755</v>
      </c>
      <c r="F1744" s="44"/>
      <c r="G1744" s="46"/>
    </row>
    <row r="1745" spans="2:7" x14ac:dyDescent="0.35">
      <c r="B1745" s="41" t="s">
        <v>3732</v>
      </c>
      <c r="C1745" s="41" t="s">
        <v>3731</v>
      </c>
      <c r="D1745" s="42" t="s">
        <v>3239</v>
      </c>
      <c r="E1745" s="43" t="s">
        <v>4755</v>
      </c>
      <c r="F1745" s="44"/>
      <c r="G1745" s="46"/>
    </row>
    <row r="1746" spans="2:7" x14ac:dyDescent="0.35">
      <c r="B1746" s="41" t="s">
        <v>3734</v>
      </c>
      <c r="C1746" s="41" t="s">
        <v>3733</v>
      </c>
      <c r="D1746" s="42" t="s">
        <v>3239</v>
      </c>
      <c r="E1746" s="43" t="s">
        <v>4755</v>
      </c>
      <c r="F1746" s="44"/>
      <c r="G1746" s="46"/>
    </row>
    <row r="1747" spans="2:7" x14ac:dyDescent="0.35">
      <c r="B1747" s="41" t="s">
        <v>3736</v>
      </c>
      <c r="C1747" s="41" t="s">
        <v>3735</v>
      </c>
      <c r="D1747" s="42" t="s">
        <v>3696</v>
      </c>
      <c r="E1747" s="43" t="s">
        <v>4755</v>
      </c>
      <c r="F1747" s="44"/>
      <c r="G1747" s="46"/>
    </row>
    <row r="1748" spans="2:7" x14ac:dyDescent="0.35">
      <c r="B1748" s="41" t="s">
        <v>3738</v>
      </c>
      <c r="C1748" s="41" t="s">
        <v>3737</v>
      </c>
      <c r="D1748" s="42" t="s">
        <v>3686</v>
      </c>
      <c r="E1748" s="43" t="s">
        <v>4755</v>
      </c>
      <c r="F1748" s="44"/>
      <c r="G1748" s="46"/>
    </row>
    <row r="1749" spans="2:7" x14ac:dyDescent="0.35">
      <c r="B1749" s="41" t="s">
        <v>3740</v>
      </c>
      <c r="C1749" s="41" t="s">
        <v>3739</v>
      </c>
      <c r="D1749" s="42" t="s">
        <v>3239</v>
      </c>
      <c r="E1749" s="43" t="s">
        <v>4755</v>
      </c>
      <c r="F1749" s="44"/>
      <c r="G1749" s="46"/>
    </row>
    <row r="1750" spans="2:7" x14ac:dyDescent="0.4">
      <c r="B1750" s="46" t="s">
        <v>3863</v>
      </c>
      <c r="C1750" s="46"/>
      <c r="D1750" s="42" t="s">
        <v>3864</v>
      </c>
      <c r="E1750" s="43" t="s">
        <v>4755</v>
      </c>
      <c r="F1750" s="44"/>
      <c r="G1750" s="46"/>
    </row>
    <row r="1751" spans="2:7" x14ac:dyDescent="0.35">
      <c r="B1751" s="41" t="s">
        <v>3869</v>
      </c>
      <c r="C1751" s="41" t="s">
        <v>3868</v>
      </c>
      <c r="D1751" s="42" t="s">
        <v>3870</v>
      </c>
      <c r="E1751" s="43" t="s">
        <v>4755</v>
      </c>
      <c r="F1751" s="44"/>
      <c r="G1751" s="46"/>
    </row>
    <row r="1752" spans="2:7" x14ac:dyDescent="0.35">
      <c r="B1752" s="41" t="s">
        <v>3882</v>
      </c>
      <c r="C1752" s="41" t="s">
        <v>3881</v>
      </c>
      <c r="D1752" s="42" t="s">
        <v>3883</v>
      </c>
      <c r="E1752" s="43" t="s">
        <v>4755</v>
      </c>
      <c r="F1752" s="44"/>
      <c r="G1752" s="46"/>
    </row>
    <row r="1753" spans="2:7" x14ac:dyDescent="0.35">
      <c r="B1753" s="41" t="s">
        <v>4021</v>
      </c>
      <c r="C1753" s="41" t="s">
        <v>4020</v>
      </c>
      <c r="D1753" s="42" t="s">
        <v>3880</v>
      </c>
      <c r="E1753" s="43" t="s">
        <v>4755</v>
      </c>
      <c r="F1753" s="44"/>
      <c r="G1753" s="46"/>
    </row>
    <row r="1754" spans="2:7" x14ac:dyDescent="0.35">
      <c r="B1754" s="41" t="s">
        <v>4023</v>
      </c>
      <c r="C1754" s="41" t="s">
        <v>4022</v>
      </c>
      <c r="D1754" s="42" t="s">
        <v>3871</v>
      </c>
      <c r="E1754" s="43" t="s">
        <v>4755</v>
      </c>
      <c r="F1754" s="44"/>
      <c r="G1754" s="46"/>
    </row>
    <row r="1755" spans="2:7" x14ac:dyDescent="0.35">
      <c r="B1755" s="41" t="s">
        <v>4025</v>
      </c>
      <c r="C1755" s="41" t="s">
        <v>4024</v>
      </c>
      <c r="D1755" s="42" t="s">
        <v>4026</v>
      </c>
      <c r="E1755" s="43" t="s">
        <v>4755</v>
      </c>
      <c r="F1755" s="44"/>
      <c r="G1755" s="46"/>
    </row>
    <row r="1756" spans="2:7" x14ac:dyDescent="0.35">
      <c r="B1756" s="41" t="s">
        <v>4036</v>
      </c>
      <c r="C1756" s="41" t="s">
        <v>4035</v>
      </c>
      <c r="D1756" s="42" t="s">
        <v>4037</v>
      </c>
      <c r="E1756" s="43" t="s">
        <v>4755</v>
      </c>
      <c r="F1756" s="44"/>
      <c r="G1756" s="46"/>
    </row>
    <row r="1757" spans="2:7" x14ac:dyDescent="0.35">
      <c r="B1757" s="41" t="s">
        <v>4039</v>
      </c>
      <c r="C1757" s="41" t="s">
        <v>4038</v>
      </c>
      <c r="D1757" s="42" t="s">
        <v>4040</v>
      </c>
      <c r="E1757" s="43" t="s">
        <v>4755</v>
      </c>
      <c r="F1757" s="44"/>
      <c r="G1757" s="46"/>
    </row>
    <row r="1758" spans="2:7" x14ac:dyDescent="0.35">
      <c r="B1758" s="41" t="s">
        <v>4042</v>
      </c>
      <c r="C1758" s="41" t="s">
        <v>4041</v>
      </c>
      <c r="D1758" s="42" t="s">
        <v>4043</v>
      </c>
      <c r="E1758" s="43" t="s">
        <v>4755</v>
      </c>
      <c r="F1758" s="44"/>
      <c r="G1758" s="46"/>
    </row>
    <row r="1759" spans="2:7" x14ac:dyDescent="0.35">
      <c r="B1759" s="41" t="s">
        <v>4050</v>
      </c>
      <c r="C1759" s="41" t="s">
        <v>4049</v>
      </c>
      <c r="D1759" s="42" t="s">
        <v>4051</v>
      </c>
      <c r="E1759" s="43" t="s">
        <v>4755</v>
      </c>
      <c r="F1759" s="44"/>
      <c r="G1759" s="46"/>
    </row>
    <row r="1760" spans="2:7" x14ac:dyDescent="0.35">
      <c r="B1760" s="41" t="s">
        <v>4053</v>
      </c>
      <c r="C1760" s="41" t="s">
        <v>4052</v>
      </c>
      <c r="D1760" s="42" t="s">
        <v>4054</v>
      </c>
      <c r="E1760" s="43" t="s">
        <v>4755</v>
      </c>
      <c r="F1760" s="44"/>
      <c r="G1760" s="46"/>
    </row>
    <row r="1761" spans="2:7" x14ac:dyDescent="0.35">
      <c r="B1761" s="41" t="s">
        <v>4065</v>
      </c>
      <c r="C1761" s="41" t="s">
        <v>4064</v>
      </c>
      <c r="D1761" s="42" t="s">
        <v>4660</v>
      </c>
      <c r="E1761" s="43" t="s">
        <v>4755</v>
      </c>
      <c r="F1761" s="44"/>
      <c r="G1761" s="46"/>
    </row>
    <row r="1762" spans="2:7" x14ac:dyDescent="0.35">
      <c r="B1762" s="41" t="s">
        <v>4069</v>
      </c>
      <c r="C1762" s="41" t="s">
        <v>4068</v>
      </c>
      <c r="D1762" s="42" t="s">
        <v>4204</v>
      </c>
      <c r="E1762" s="43" t="s">
        <v>4755</v>
      </c>
      <c r="F1762" s="44"/>
      <c r="G1762" s="46"/>
    </row>
    <row r="1763" spans="2:7" x14ac:dyDescent="0.35">
      <c r="B1763" s="41" t="s">
        <v>4072</v>
      </c>
      <c r="C1763" s="41" t="s">
        <v>4071</v>
      </c>
      <c r="D1763" s="42" t="s">
        <v>4070</v>
      </c>
      <c r="E1763" s="43" t="s">
        <v>4755</v>
      </c>
      <c r="F1763" s="44"/>
      <c r="G1763" s="46"/>
    </row>
    <row r="1764" spans="2:7" x14ac:dyDescent="0.35">
      <c r="B1764" s="41" t="s">
        <v>4074</v>
      </c>
      <c r="C1764" s="41" t="s">
        <v>4073</v>
      </c>
      <c r="D1764" s="42" t="s">
        <v>4075</v>
      </c>
      <c r="E1764" s="43" t="s">
        <v>4755</v>
      </c>
      <c r="F1764" s="44"/>
      <c r="G1764" s="46"/>
    </row>
    <row r="1765" spans="2:7" x14ac:dyDescent="0.35">
      <c r="B1765" s="41" t="s">
        <v>4110</v>
      </c>
      <c r="C1765" s="41" t="s">
        <v>4109</v>
      </c>
      <c r="D1765" s="42" t="s">
        <v>4606</v>
      </c>
      <c r="E1765" s="43" t="s">
        <v>4755</v>
      </c>
      <c r="F1765" s="44"/>
      <c r="G1765" s="46"/>
    </row>
    <row r="1766" spans="2:7" x14ac:dyDescent="0.35">
      <c r="B1766" s="41" t="s">
        <v>4120</v>
      </c>
      <c r="C1766" s="41" t="s">
        <v>4119</v>
      </c>
      <c r="D1766" s="42" t="s">
        <v>4568</v>
      </c>
      <c r="E1766" s="43" t="s">
        <v>4755</v>
      </c>
      <c r="F1766" s="44"/>
      <c r="G1766" s="46"/>
    </row>
    <row r="1767" spans="2:7" x14ac:dyDescent="0.35">
      <c r="B1767" s="41" t="s">
        <v>4163</v>
      </c>
      <c r="C1767" s="41" t="s">
        <v>4162</v>
      </c>
      <c r="D1767" s="42" t="s">
        <v>4230</v>
      </c>
      <c r="E1767" s="43" t="s">
        <v>4755</v>
      </c>
      <c r="F1767" s="44"/>
      <c r="G1767" s="46"/>
    </row>
    <row r="1768" spans="2:7" x14ac:dyDescent="0.35">
      <c r="B1768" s="41" t="s">
        <v>4166</v>
      </c>
      <c r="C1768" s="41" t="s">
        <v>4165</v>
      </c>
      <c r="D1768" s="42" t="s">
        <v>4167</v>
      </c>
      <c r="E1768" s="43" t="s">
        <v>4755</v>
      </c>
      <c r="F1768" s="44"/>
      <c r="G1768" s="46"/>
    </row>
    <row r="1769" spans="2:7" x14ac:dyDescent="0.35">
      <c r="B1769" s="41" t="s">
        <v>4197</v>
      </c>
      <c r="C1769" s="41" t="s">
        <v>4196</v>
      </c>
      <c r="D1769" s="42" t="s">
        <v>4701</v>
      </c>
      <c r="E1769" s="43" t="s">
        <v>4755</v>
      </c>
      <c r="F1769" s="44"/>
      <c r="G1769" s="46"/>
    </row>
    <row r="1770" spans="2:7" x14ac:dyDescent="0.35">
      <c r="B1770" s="41" t="s">
        <v>4199</v>
      </c>
      <c r="C1770" s="41" t="s">
        <v>4198</v>
      </c>
      <c r="D1770" s="42" t="s">
        <v>4149</v>
      </c>
      <c r="E1770" s="43" t="s">
        <v>4755</v>
      </c>
      <c r="F1770" s="44"/>
      <c r="G1770" s="46"/>
    </row>
    <row r="1771" spans="2:7" x14ac:dyDescent="0.35">
      <c r="B1771" s="41" t="s">
        <v>4201</v>
      </c>
      <c r="C1771" s="41" t="s">
        <v>4200</v>
      </c>
      <c r="D1771" s="42" t="s">
        <v>4195</v>
      </c>
      <c r="E1771" s="43" t="s">
        <v>4755</v>
      </c>
      <c r="F1771" s="44"/>
      <c r="G1771" s="46"/>
    </row>
    <row r="1772" spans="2:7" x14ac:dyDescent="0.35">
      <c r="B1772" s="41" t="s">
        <v>4203</v>
      </c>
      <c r="C1772" s="41" t="s">
        <v>4202</v>
      </c>
      <c r="D1772" s="42" t="s">
        <v>4204</v>
      </c>
      <c r="E1772" s="43" t="s">
        <v>4755</v>
      </c>
      <c r="F1772" s="44"/>
      <c r="G1772" s="46"/>
    </row>
    <row r="1773" spans="2:7" x14ac:dyDescent="0.35">
      <c r="B1773" s="41" t="s">
        <v>4206</v>
      </c>
      <c r="C1773" s="41" t="s">
        <v>4205</v>
      </c>
      <c r="D1773" s="42" t="s">
        <v>4207</v>
      </c>
      <c r="E1773" s="43" t="s">
        <v>4755</v>
      </c>
      <c r="F1773" s="44"/>
      <c r="G1773" s="46"/>
    </row>
    <row r="1774" spans="2:7" x14ac:dyDescent="0.35">
      <c r="B1774" s="41" t="s">
        <v>4223</v>
      </c>
      <c r="C1774" s="41" t="s">
        <v>4222</v>
      </c>
      <c r="D1774" s="42" t="s">
        <v>4607</v>
      </c>
      <c r="E1774" s="43" t="s">
        <v>4755</v>
      </c>
      <c r="F1774" s="44"/>
      <c r="G1774" s="46"/>
    </row>
    <row r="1775" spans="2:7" x14ac:dyDescent="0.35">
      <c r="B1775" s="41" t="s">
        <v>4227</v>
      </c>
      <c r="C1775" s="41" t="s">
        <v>4226</v>
      </c>
      <c r="D1775" s="42" t="s">
        <v>4149</v>
      </c>
      <c r="E1775" s="43" t="s">
        <v>4755</v>
      </c>
      <c r="F1775" s="44"/>
      <c r="G1775" s="46"/>
    </row>
    <row r="1776" spans="2:7" x14ac:dyDescent="0.35">
      <c r="B1776" s="41" t="s">
        <v>4229</v>
      </c>
      <c r="C1776" s="41" t="s">
        <v>4228</v>
      </c>
      <c r="D1776" s="42" t="s">
        <v>4230</v>
      </c>
      <c r="E1776" s="43" t="s">
        <v>4755</v>
      </c>
      <c r="F1776" s="44"/>
      <c r="G1776" s="46"/>
    </row>
    <row r="1777" spans="2:7" x14ac:dyDescent="0.35">
      <c r="B1777" s="41" t="s">
        <v>4232</v>
      </c>
      <c r="C1777" s="41" t="s">
        <v>4231</v>
      </c>
      <c r="D1777" s="42" t="s">
        <v>4149</v>
      </c>
      <c r="E1777" s="43" t="s">
        <v>4755</v>
      </c>
      <c r="F1777" s="44"/>
      <c r="G1777" s="46"/>
    </row>
    <row r="1778" spans="2:7" x14ac:dyDescent="0.35">
      <c r="B1778" s="41" t="s">
        <v>4234</v>
      </c>
      <c r="C1778" s="41" t="s">
        <v>4233</v>
      </c>
      <c r="D1778" s="42" t="s">
        <v>4607</v>
      </c>
      <c r="E1778" s="43" t="s">
        <v>4755</v>
      </c>
      <c r="F1778" s="44"/>
      <c r="G1778" s="46"/>
    </row>
    <row r="1779" spans="2:7" x14ac:dyDescent="0.35">
      <c r="B1779" s="41" t="s">
        <v>4236</v>
      </c>
      <c r="C1779" s="41" t="s">
        <v>4235</v>
      </c>
      <c r="D1779" s="42" t="s">
        <v>4075</v>
      </c>
      <c r="E1779" s="43" t="s">
        <v>4755</v>
      </c>
      <c r="F1779" s="44"/>
      <c r="G1779" s="46"/>
    </row>
    <row r="1780" spans="2:7" x14ac:dyDescent="0.35">
      <c r="B1780" s="41" t="s">
        <v>4238</v>
      </c>
      <c r="C1780" s="41" t="s">
        <v>4237</v>
      </c>
      <c r="D1780" s="42" t="s">
        <v>4075</v>
      </c>
      <c r="E1780" s="43" t="s">
        <v>4755</v>
      </c>
      <c r="F1780" s="44"/>
      <c r="G1780" s="46"/>
    </row>
    <row r="1781" spans="2:7" x14ac:dyDescent="0.35">
      <c r="B1781" s="41" t="s">
        <v>4240</v>
      </c>
      <c r="C1781" s="41" t="s">
        <v>4239</v>
      </c>
      <c r="D1781" s="42" t="s">
        <v>4075</v>
      </c>
      <c r="E1781" s="43" t="s">
        <v>4755</v>
      </c>
      <c r="F1781" s="44"/>
      <c r="G1781" s="46"/>
    </row>
    <row r="1782" spans="2:7" x14ac:dyDescent="0.35">
      <c r="B1782" s="41" t="s">
        <v>4245</v>
      </c>
      <c r="C1782" s="41" t="s">
        <v>4244</v>
      </c>
      <c r="D1782" s="42" t="s">
        <v>4075</v>
      </c>
      <c r="E1782" s="43" t="s">
        <v>4755</v>
      </c>
      <c r="F1782" s="44"/>
      <c r="G1782" s="46"/>
    </row>
    <row r="1783" spans="2:7" x14ac:dyDescent="0.35">
      <c r="B1783" s="41" t="s">
        <v>4386</v>
      </c>
      <c r="C1783" s="41" t="s">
        <v>4385</v>
      </c>
      <c r="D1783" s="42" t="s">
        <v>4387</v>
      </c>
      <c r="E1783" s="43" t="s">
        <v>4755</v>
      </c>
      <c r="F1783" s="44"/>
      <c r="G1783" s="46"/>
    </row>
    <row r="1784" spans="2:7" x14ac:dyDescent="0.35">
      <c r="B1784" s="41" t="s">
        <v>4391</v>
      </c>
      <c r="C1784" s="41" t="s">
        <v>4390</v>
      </c>
      <c r="D1784" s="42" t="s">
        <v>4387</v>
      </c>
      <c r="E1784" s="43" t="s">
        <v>4755</v>
      </c>
      <c r="F1784" s="44"/>
      <c r="G1784" s="46"/>
    </row>
    <row r="1785" spans="2:7" x14ac:dyDescent="0.35">
      <c r="B1785" s="41" t="s">
        <v>4400</v>
      </c>
      <c r="C1785" s="41" t="s">
        <v>4399</v>
      </c>
      <c r="D1785" s="42" t="s">
        <v>4398</v>
      </c>
      <c r="E1785" s="43" t="s">
        <v>4755</v>
      </c>
      <c r="F1785" s="44"/>
      <c r="G1785" s="46"/>
    </row>
    <row r="1786" spans="2:7" x14ac:dyDescent="0.35">
      <c r="B1786" s="41" t="s">
        <v>4436</v>
      </c>
      <c r="C1786" s="41" t="s">
        <v>4435</v>
      </c>
      <c r="D1786" s="42" t="s">
        <v>4398</v>
      </c>
      <c r="E1786" s="43" t="s">
        <v>4755</v>
      </c>
      <c r="F1786" s="44"/>
      <c r="G1786" s="46"/>
    </row>
    <row r="1787" spans="2:7" x14ac:dyDescent="0.35">
      <c r="B1787" s="41" t="s">
        <v>4441</v>
      </c>
      <c r="C1787" s="41" t="s">
        <v>4440</v>
      </c>
      <c r="D1787" s="42" t="s">
        <v>4439</v>
      </c>
      <c r="E1787" s="43" t="s">
        <v>4755</v>
      </c>
      <c r="F1787" s="44"/>
      <c r="G1787" s="46"/>
    </row>
    <row r="1788" spans="2:7" x14ac:dyDescent="0.4">
      <c r="B1788" s="46" t="s">
        <v>4601</v>
      </c>
      <c r="C1788" s="46"/>
      <c r="D1788" s="42" t="s">
        <v>4602</v>
      </c>
      <c r="E1788" s="43" t="s">
        <v>4755</v>
      </c>
      <c r="F1788" s="44"/>
      <c r="G1788" s="46"/>
    </row>
    <row r="1789" spans="2:7" x14ac:dyDescent="0.4">
      <c r="B1789" s="46" t="s">
        <v>4609</v>
      </c>
      <c r="C1789" s="46"/>
      <c r="D1789" s="42" t="s">
        <v>4608</v>
      </c>
      <c r="E1789" s="43" t="s">
        <v>4755</v>
      </c>
      <c r="F1789" s="44"/>
      <c r="G1789" s="46"/>
    </row>
    <row r="1790" spans="2:7" x14ac:dyDescent="0.4">
      <c r="B1790" s="46" t="s">
        <v>4610</v>
      </c>
      <c r="C1790" s="46"/>
      <c r="D1790" s="42" t="s">
        <v>4608</v>
      </c>
      <c r="E1790" s="43" t="s">
        <v>4755</v>
      </c>
      <c r="F1790" s="44"/>
      <c r="G1790" s="46"/>
    </row>
    <row r="1791" spans="2:7" x14ac:dyDescent="0.4">
      <c r="B1791" s="46" t="s">
        <v>4612</v>
      </c>
      <c r="C1791" s="46"/>
      <c r="D1791" s="42" t="s">
        <v>3208</v>
      </c>
      <c r="E1791" s="43" t="s">
        <v>4755</v>
      </c>
      <c r="F1791" s="44"/>
      <c r="G1791" s="46"/>
    </row>
    <row r="1792" spans="2:7" x14ac:dyDescent="0.4">
      <c r="B1792" s="46" t="s">
        <v>4671</v>
      </c>
      <c r="C1792" s="46"/>
      <c r="D1792" s="42" t="s">
        <v>4672</v>
      </c>
      <c r="E1792" s="43" t="s">
        <v>4755</v>
      </c>
      <c r="F1792" s="44"/>
      <c r="G1792" s="46"/>
    </row>
    <row r="1793" spans="2:7" x14ac:dyDescent="0.4">
      <c r="B1793" s="46" t="s">
        <v>4679</v>
      </c>
      <c r="C1793" s="46"/>
      <c r="D1793" s="42" t="s">
        <v>4680</v>
      </c>
      <c r="E1793" s="43" t="s">
        <v>4755</v>
      </c>
      <c r="F1793" s="44"/>
      <c r="G1793" s="46"/>
    </row>
    <row r="1794" spans="2:7" x14ac:dyDescent="0.35">
      <c r="B1794" s="41" t="s">
        <v>4251</v>
      </c>
      <c r="C1794" s="41" t="s">
        <v>4250</v>
      </c>
      <c r="D1794" s="42" t="s">
        <v>4252</v>
      </c>
      <c r="E1794" s="43" t="s">
        <v>4758</v>
      </c>
      <c r="F1794" s="44"/>
      <c r="G1794" s="46"/>
    </row>
    <row r="1795" spans="2:7" x14ac:dyDescent="0.35">
      <c r="B1795" s="41" t="s">
        <v>1532</v>
      </c>
      <c r="C1795" s="41" t="s">
        <v>1531</v>
      </c>
      <c r="D1795" s="42" t="s">
        <v>472</v>
      </c>
      <c r="E1795" s="43" t="s">
        <v>4787</v>
      </c>
      <c r="F1795" s="44"/>
      <c r="G1795" s="46"/>
    </row>
    <row r="1796" spans="2:7" x14ac:dyDescent="0.35">
      <c r="B1796" s="41" t="s">
        <v>688</v>
      </c>
      <c r="C1796" s="41" t="s">
        <v>687</v>
      </c>
      <c r="D1796" s="42" t="s">
        <v>689</v>
      </c>
      <c r="E1796" s="43" t="s">
        <v>4753</v>
      </c>
      <c r="F1796" s="44"/>
      <c r="G1796" s="46"/>
    </row>
    <row r="1797" spans="2:7" x14ac:dyDescent="0.35">
      <c r="B1797" s="41" t="s">
        <v>1536</v>
      </c>
      <c r="C1797" s="41" t="s">
        <v>1535</v>
      </c>
      <c r="D1797" s="42" t="s">
        <v>1537</v>
      </c>
      <c r="E1797" s="43" t="s">
        <v>4753</v>
      </c>
      <c r="F1797" s="44"/>
      <c r="G1797" s="46"/>
    </row>
    <row r="1798" spans="2:7" x14ac:dyDescent="0.35">
      <c r="B1798" s="41" t="s">
        <v>1539</v>
      </c>
      <c r="C1798" s="41" t="s">
        <v>1538</v>
      </c>
      <c r="D1798" s="42" t="s">
        <v>1537</v>
      </c>
      <c r="E1798" s="43" t="s">
        <v>4753</v>
      </c>
      <c r="F1798" s="44"/>
      <c r="G1798" s="46"/>
    </row>
    <row r="1799" spans="2:7" x14ac:dyDescent="0.35">
      <c r="B1799" s="41" t="s">
        <v>1546</v>
      </c>
      <c r="C1799" s="41" t="s">
        <v>1545</v>
      </c>
      <c r="D1799" s="42" t="s">
        <v>1542</v>
      </c>
      <c r="E1799" s="43" t="s">
        <v>4753</v>
      </c>
      <c r="F1799" s="44"/>
      <c r="G1799" s="46"/>
    </row>
    <row r="1800" spans="2:7" x14ac:dyDescent="0.35">
      <c r="B1800" s="41" t="s">
        <v>1548</v>
      </c>
      <c r="C1800" s="41" t="s">
        <v>1547</v>
      </c>
      <c r="D1800" s="42" t="s">
        <v>705</v>
      </c>
      <c r="E1800" s="43" t="s">
        <v>4753</v>
      </c>
      <c r="F1800" s="44"/>
      <c r="G1800" s="46"/>
    </row>
    <row r="1801" spans="2:7" x14ac:dyDescent="0.35">
      <c r="B1801" s="41" t="s">
        <v>1550</v>
      </c>
      <c r="C1801" s="41" t="s">
        <v>1549</v>
      </c>
      <c r="D1801" s="42" t="s">
        <v>1542</v>
      </c>
      <c r="E1801" s="43" t="s">
        <v>4753</v>
      </c>
      <c r="F1801" s="44"/>
      <c r="G1801" s="46"/>
    </row>
    <row r="1802" spans="2:7" x14ac:dyDescent="0.35">
      <c r="B1802" s="41" t="s">
        <v>2538</v>
      </c>
      <c r="C1802" s="41" t="s">
        <v>2537</v>
      </c>
      <c r="D1802" s="42" t="s">
        <v>168</v>
      </c>
      <c r="E1802" s="43" t="s">
        <v>4753</v>
      </c>
      <c r="F1802" s="44"/>
      <c r="G1802" s="46"/>
    </row>
    <row r="1803" spans="2:7" x14ac:dyDescent="0.35">
      <c r="B1803" s="41" t="s">
        <v>2543</v>
      </c>
      <c r="C1803" s="41" t="s">
        <v>2542</v>
      </c>
      <c r="D1803" s="42" t="s">
        <v>168</v>
      </c>
      <c r="E1803" s="43" t="s">
        <v>4753</v>
      </c>
      <c r="F1803" s="44"/>
      <c r="G1803" s="46"/>
    </row>
    <row r="1804" spans="2:7" x14ac:dyDescent="0.35">
      <c r="B1804" s="41" t="s">
        <v>2718</v>
      </c>
      <c r="C1804" s="41" t="s">
        <v>2717</v>
      </c>
      <c r="D1804" s="42" t="s">
        <v>2712</v>
      </c>
      <c r="E1804" s="43" t="s">
        <v>4753</v>
      </c>
      <c r="F1804" s="44"/>
      <c r="G1804" s="46"/>
    </row>
    <row r="1805" spans="2:7" x14ac:dyDescent="0.35">
      <c r="B1805" s="41" t="s">
        <v>2720</v>
      </c>
      <c r="C1805" s="41" t="s">
        <v>2719</v>
      </c>
      <c r="D1805" s="42" t="s">
        <v>2721</v>
      </c>
      <c r="E1805" s="43" t="s">
        <v>4753</v>
      </c>
      <c r="F1805" s="44"/>
      <c r="G1805" s="46"/>
    </row>
    <row r="1806" spans="2:7" x14ac:dyDescent="0.35">
      <c r="B1806" s="41" t="s">
        <v>2888</v>
      </c>
      <c r="C1806" s="41" t="s">
        <v>2887</v>
      </c>
      <c r="D1806" s="42" t="s">
        <v>2886</v>
      </c>
      <c r="E1806" s="43" t="s">
        <v>4753</v>
      </c>
      <c r="F1806" s="44"/>
      <c r="G1806" s="46"/>
    </row>
    <row r="1807" spans="2:7" x14ac:dyDescent="0.35">
      <c r="B1807" s="41" t="s">
        <v>2890</v>
      </c>
      <c r="C1807" s="41" t="s">
        <v>2889</v>
      </c>
      <c r="D1807" s="42" t="s">
        <v>2886</v>
      </c>
      <c r="E1807" s="43" t="s">
        <v>4753</v>
      </c>
      <c r="F1807" s="44"/>
      <c r="G1807" s="46"/>
    </row>
    <row r="1808" spans="2:7" x14ac:dyDescent="0.35">
      <c r="B1808" s="41" t="s">
        <v>2894</v>
      </c>
      <c r="C1808" s="41" t="s">
        <v>2893</v>
      </c>
      <c r="D1808" s="42" t="s">
        <v>2886</v>
      </c>
      <c r="E1808" s="43" t="s">
        <v>4753</v>
      </c>
      <c r="F1808" s="44"/>
      <c r="G1808" s="46"/>
    </row>
    <row r="1809" spans="2:7" x14ac:dyDescent="0.35">
      <c r="B1809" s="41" t="s">
        <v>2900</v>
      </c>
      <c r="C1809" s="41" t="s">
        <v>2899</v>
      </c>
      <c r="D1809" s="42" t="s">
        <v>2901</v>
      </c>
      <c r="E1809" s="43" t="s">
        <v>4753</v>
      </c>
      <c r="F1809" s="44"/>
      <c r="G1809" s="46"/>
    </row>
    <row r="1810" spans="2:7" x14ac:dyDescent="0.35">
      <c r="B1810" s="41" t="s">
        <v>2903</v>
      </c>
      <c r="C1810" s="41" t="s">
        <v>2902</v>
      </c>
      <c r="D1810" s="42" t="s">
        <v>2901</v>
      </c>
      <c r="E1810" s="43" t="s">
        <v>4753</v>
      </c>
      <c r="F1810" s="44"/>
      <c r="G1810" s="46"/>
    </row>
    <row r="1811" spans="2:7" x14ac:dyDescent="0.35">
      <c r="B1811" s="41" t="s">
        <v>2948</v>
      </c>
      <c r="C1811" s="41" t="s">
        <v>2947</v>
      </c>
      <c r="D1811" s="42" t="s">
        <v>2927</v>
      </c>
      <c r="E1811" s="43" t="s">
        <v>4753</v>
      </c>
      <c r="F1811" s="44"/>
      <c r="G1811" s="46"/>
    </row>
    <row r="1812" spans="2:7" x14ac:dyDescent="0.35">
      <c r="B1812" s="41" t="s">
        <v>2960</v>
      </c>
      <c r="C1812" s="41" t="s">
        <v>2959</v>
      </c>
      <c r="D1812" s="42" t="s">
        <v>2961</v>
      </c>
      <c r="E1812" s="43" t="s">
        <v>4753</v>
      </c>
      <c r="F1812" s="44"/>
      <c r="G1812" s="46"/>
    </row>
    <row r="1813" spans="2:7" x14ac:dyDescent="0.35">
      <c r="B1813" s="41" t="s">
        <v>2988</v>
      </c>
      <c r="C1813" s="41" t="s">
        <v>2987</v>
      </c>
      <c r="D1813" s="42" t="s">
        <v>2901</v>
      </c>
      <c r="E1813" s="43" t="s">
        <v>4753</v>
      </c>
      <c r="F1813" s="44"/>
      <c r="G1813" s="46"/>
    </row>
    <row r="1814" spans="2:7" x14ac:dyDescent="0.35">
      <c r="B1814" s="41" t="s">
        <v>3005</v>
      </c>
      <c r="C1814" s="41" t="s">
        <v>3004</v>
      </c>
      <c r="D1814" s="42" t="s">
        <v>2961</v>
      </c>
      <c r="E1814" s="43" t="s">
        <v>4753</v>
      </c>
      <c r="F1814" s="44"/>
      <c r="G1814" s="46"/>
    </row>
    <row r="1815" spans="2:7" x14ac:dyDescent="0.35">
      <c r="B1815" s="41" t="s">
        <v>3032</v>
      </c>
      <c r="C1815" s="41" t="s">
        <v>3031</v>
      </c>
      <c r="D1815" s="42" t="s">
        <v>3026</v>
      </c>
      <c r="E1815" s="43" t="s">
        <v>4753</v>
      </c>
      <c r="F1815" s="44"/>
      <c r="G1815" s="46"/>
    </row>
    <row r="1816" spans="2:7" x14ac:dyDescent="0.35">
      <c r="B1816" s="41" t="s">
        <v>3065</v>
      </c>
      <c r="C1816" s="41" t="s">
        <v>3064</v>
      </c>
      <c r="D1816" s="42" t="s">
        <v>3063</v>
      </c>
      <c r="E1816" s="43" t="s">
        <v>4753</v>
      </c>
      <c r="F1816" s="44"/>
      <c r="G1816" s="46"/>
    </row>
    <row r="1817" spans="2:7" x14ac:dyDescent="0.35">
      <c r="B1817" s="41" t="s">
        <v>1013</v>
      </c>
      <c r="C1817" s="41" t="s">
        <v>1012</v>
      </c>
      <c r="D1817" s="42" t="s">
        <v>888</v>
      </c>
      <c r="E1817" s="43" t="s">
        <v>4785</v>
      </c>
      <c r="F1817" s="44"/>
      <c r="G1817" s="46"/>
    </row>
    <row r="1818" spans="2:7" x14ac:dyDescent="0.35">
      <c r="B1818" s="41" t="s">
        <v>3045</v>
      </c>
      <c r="C1818" s="41" t="s">
        <v>3044</v>
      </c>
      <c r="D1818" s="42" t="s">
        <v>2954</v>
      </c>
      <c r="E1818" s="43" t="s">
        <v>4802</v>
      </c>
      <c r="F1818" s="44"/>
      <c r="G1818" s="46"/>
    </row>
    <row r="1819" spans="2:7" x14ac:dyDescent="0.35">
      <c r="B1819" s="41" t="s">
        <v>57</v>
      </c>
      <c r="C1819" s="41" t="s">
        <v>56</v>
      </c>
      <c r="D1819" s="42" t="s">
        <v>58</v>
      </c>
      <c r="E1819" s="43" t="s">
        <v>4756</v>
      </c>
      <c r="F1819" s="44"/>
      <c r="G1819" s="46"/>
    </row>
    <row r="1820" spans="2:7" x14ac:dyDescent="0.35">
      <c r="B1820" s="41" t="s">
        <v>975</v>
      </c>
      <c r="C1820" s="41" t="s">
        <v>974</v>
      </c>
      <c r="D1820" s="42" t="s">
        <v>888</v>
      </c>
      <c r="E1820" s="43" t="s">
        <v>4756</v>
      </c>
      <c r="F1820" s="44"/>
      <c r="G1820" s="46"/>
    </row>
    <row r="1821" spans="2:7" x14ac:dyDescent="0.35">
      <c r="B1821" s="41" t="s">
        <v>2523</v>
      </c>
      <c r="C1821" s="41" t="s">
        <v>2522</v>
      </c>
      <c r="D1821" s="42" t="s">
        <v>2460</v>
      </c>
      <c r="E1821" s="43" t="s">
        <v>4756</v>
      </c>
      <c r="F1821" s="44"/>
      <c r="G1821" s="46"/>
    </row>
    <row r="1822" spans="2:7" x14ac:dyDescent="0.35">
      <c r="B1822" s="41" t="s">
        <v>4140</v>
      </c>
      <c r="C1822" s="45" t="s">
        <v>4139</v>
      </c>
      <c r="D1822" s="42" t="s">
        <v>4141</v>
      </c>
      <c r="E1822" s="43" t="s">
        <v>4756</v>
      </c>
      <c r="F1822" s="44"/>
      <c r="G1822" s="46"/>
    </row>
    <row r="1823" spans="2:7" x14ac:dyDescent="0.35">
      <c r="B1823" s="41" t="s">
        <v>4287</v>
      </c>
      <c r="C1823" s="41" t="s">
        <v>4286</v>
      </c>
      <c r="D1823" s="42" t="s">
        <v>4285</v>
      </c>
      <c r="E1823" s="43" t="s">
        <v>4756</v>
      </c>
      <c r="F1823" s="44"/>
      <c r="G1823" s="46"/>
    </row>
    <row r="1824" spans="2:7" x14ac:dyDescent="0.35">
      <c r="B1824" s="41" t="s">
        <v>4338</v>
      </c>
      <c r="C1824" s="41" t="s">
        <v>4337</v>
      </c>
      <c r="D1824" s="42" t="s">
        <v>4339</v>
      </c>
      <c r="E1824" s="43" t="s">
        <v>4756</v>
      </c>
      <c r="F1824" s="44"/>
      <c r="G1824" s="46"/>
    </row>
    <row r="1825" spans="2:7" x14ac:dyDescent="0.35">
      <c r="B1825" s="41" t="s">
        <v>4458</v>
      </c>
      <c r="C1825" s="45" t="s">
        <v>4457</v>
      </c>
      <c r="D1825" s="42" t="s">
        <v>4345</v>
      </c>
      <c r="E1825" s="43" t="s">
        <v>4756</v>
      </c>
      <c r="F1825" s="44"/>
      <c r="G1825" s="46"/>
    </row>
    <row r="1826" spans="2:7" x14ac:dyDescent="0.4">
      <c r="B1826" s="46" t="s">
        <v>4712</v>
      </c>
      <c r="C1826" s="46"/>
      <c r="D1826" s="42" t="s">
        <v>4713</v>
      </c>
      <c r="E1826" s="43" t="s">
        <v>4756</v>
      </c>
      <c r="F1826" s="44"/>
      <c r="G1826" s="46"/>
    </row>
    <row r="1827" spans="2:7" x14ac:dyDescent="0.35">
      <c r="B1827" s="41" t="s">
        <v>240</v>
      </c>
      <c r="C1827" s="41" t="s">
        <v>239</v>
      </c>
      <c r="D1827" s="42" t="s">
        <v>241</v>
      </c>
      <c r="E1827" s="43" t="s">
        <v>4760</v>
      </c>
      <c r="F1827" s="44"/>
      <c r="G1827" s="46"/>
    </row>
    <row r="1828" spans="2:7" x14ac:dyDescent="0.35">
      <c r="B1828" s="41" t="s">
        <v>243</v>
      </c>
      <c r="C1828" s="41" t="s">
        <v>242</v>
      </c>
      <c r="D1828" s="42" t="s">
        <v>244</v>
      </c>
      <c r="E1828" s="43" t="s">
        <v>4760</v>
      </c>
      <c r="F1828" s="44"/>
      <c r="G1828" s="46"/>
    </row>
    <row r="1829" spans="2:7" x14ac:dyDescent="0.35">
      <c r="B1829" s="41" t="s">
        <v>246</v>
      </c>
      <c r="C1829" s="41" t="s">
        <v>245</v>
      </c>
      <c r="D1829" s="42" t="s">
        <v>244</v>
      </c>
      <c r="E1829" s="43" t="s">
        <v>4760</v>
      </c>
      <c r="F1829" s="44"/>
      <c r="G1829" s="46"/>
    </row>
    <row r="1830" spans="2:7" x14ac:dyDescent="0.35">
      <c r="B1830" s="41" t="s">
        <v>248</v>
      </c>
      <c r="C1830" s="41" t="s">
        <v>247</v>
      </c>
      <c r="D1830" s="42" t="s">
        <v>249</v>
      </c>
      <c r="E1830" s="43" t="s">
        <v>4760</v>
      </c>
      <c r="F1830" s="44"/>
      <c r="G1830" s="46"/>
    </row>
    <row r="1831" spans="2:7" x14ac:dyDescent="0.35">
      <c r="B1831" s="45" t="s">
        <v>251</v>
      </c>
      <c r="C1831" s="45" t="s">
        <v>250</v>
      </c>
      <c r="D1831" s="42" t="s">
        <v>252</v>
      </c>
      <c r="E1831" s="43" t="s">
        <v>4760</v>
      </c>
      <c r="F1831" s="44"/>
      <c r="G1831" s="46"/>
    </row>
    <row r="1832" spans="2:7" x14ac:dyDescent="0.35">
      <c r="B1832" s="41" t="s">
        <v>254</v>
      </c>
      <c r="C1832" s="41" t="s">
        <v>253</v>
      </c>
      <c r="D1832" s="42" t="s">
        <v>255</v>
      </c>
      <c r="E1832" s="43" t="s">
        <v>4760</v>
      </c>
      <c r="F1832" s="44"/>
      <c r="G1832" s="46"/>
    </row>
    <row r="1833" spans="2:7" x14ac:dyDescent="0.35">
      <c r="B1833" s="41" t="s">
        <v>479</v>
      </c>
      <c r="C1833" s="41" t="s">
        <v>478</v>
      </c>
      <c r="D1833" s="42" t="s">
        <v>244</v>
      </c>
      <c r="E1833" s="43" t="s">
        <v>4760</v>
      </c>
      <c r="F1833" s="44"/>
      <c r="G1833" s="46"/>
    </row>
    <row r="1834" spans="2:7" x14ac:dyDescent="0.35">
      <c r="B1834" s="41" t="s">
        <v>481</v>
      </c>
      <c r="C1834" s="41" t="s">
        <v>480</v>
      </c>
      <c r="D1834" s="42" t="s">
        <v>244</v>
      </c>
      <c r="E1834" s="43" t="s">
        <v>4760</v>
      </c>
      <c r="F1834" s="44"/>
      <c r="G1834" s="46"/>
    </row>
    <row r="1835" spans="2:7" x14ac:dyDescent="0.35">
      <c r="B1835" s="41" t="s">
        <v>483</v>
      </c>
      <c r="C1835" s="41" t="s">
        <v>482</v>
      </c>
      <c r="D1835" s="42" t="s">
        <v>252</v>
      </c>
      <c r="E1835" s="43" t="s">
        <v>4760</v>
      </c>
      <c r="F1835" s="44"/>
      <c r="G1835" s="46"/>
    </row>
    <row r="1836" spans="2:7" x14ac:dyDescent="0.35">
      <c r="B1836" s="41" t="s">
        <v>487</v>
      </c>
      <c r="C1836" s="41" t="s">
        <v>486</v>
      </c>
      <c r="D1836" s="42" t="s">
        <v>252</v>
      </c>
      <c r="E1836" s="43" t="s">
        <v>4760</v>
      </c>
      <c r="F1836" s="44"/>
      <c r="G1836" s="46"/>
    </row>
    <row r="1837" spans="2:7" x14ac:dyDescent="0.35">
      <c r="B1837" s="41" t="s">
        <v>489</v>
      </c>
      <c r="C1837" s="41" t="s">
        <v>488</v>
      </c>
      <c r="D1837" s="42" t="s">
        <v>252</v>
      </c>
      <c r="E1837" s="43" t="s">
        <v>4760</v>
      </c>
      <c r="F1837" s="44"/>
      <c r="G1837" s="46"/>
    </row>
    <row r="1838" spans="2:7" x14ac:dyDescent="0.35">
      <c r="B1838" s="41" t="s">
        <v>491</v>
      </c>
      <c r="C1838" s="41" t="s">
        <v>490</v>
      </c>
      <c r="D1838" s="42" t="s">
        <v>252</v>
      </c>
      <c r="E1838" s="43" t="s">
        <v>4760</v>
      </c>
      <c r="F1838" s="44"/>
      <c r="G1838" s="46"/>
    </row>
    <row r="1839" spans="2:7" x14ac:dyDescent="0.35">
      <c r="B1839" s="41" t="s">
        <v>631</v>
      </c>
      <c r="C1839" s="41" t="s">
        <v>630</v>
      </c>
      <c r="D1839" s="42" t="s">
        <v>244</v>
      </c>
      <c r="E1839" s="43" t="s">
        <v>4760</v>
      </c>
      <c r="F1839" s="44"/>
      <c r="G1839" s="46"/>
    </row>
    <row r="1840" spans="2:7" x14ac:dyDescent="0.35">
      <c r="B1840" s="41" t="s">
        <v>633</v>
      </c>
      <c r="C1840" s="41" t="s">
        <v>632</v>
      </c>
      <c r="D1840" s="42" t="s">
        <v>244</v>
      </c>
      <c r="E1840" s="43" t="s">
        <v>4760</v>
      </c>
      <c r="F1840" s="44"/>
      <c r="G1840" s="46"/>
    </row>
    <row r="1841" spans="2:7" x14ac:dyDescent="0.35">
      <c r="B1841" s="41" t="s">
        <v>637</v>
      </c>
      <c r="C1841" s="41" t="s">
        <v>636</v>
      </c>
      <c r="D1841" s="42" t="s">
        <v>244</v>
      </c>
      <c r="E1841" s="43" t="s">
        <v>4760</v>
      </c>
      <c r="F1841" s="44"/>
      <c r="G1841" s="46"/>
    </row>
    <row r="1842" spans="2:7" x14ac:dyDescent="0.35">
      <c r="B1842" s="41" t="s">
        <v>723</v>
      </c>
      <c r="C1842" s="41" t="s">
        <v>722</v>
      </c>
      <c r="D1842" s="42" t="s">
        <v>244</v>
      </c>
      <c r="E1842" s="43" t="s">
        <v>4760</v>
      </c>
      <c r="F1842" s="44"/>
      <c r="G1842" s="46"/>
    </row>
    <row r="1843" spans="2:7" x14ac:dyDescent="0.35">
      <c r="B1843" s="41" t="s">
        <v>725</v>
      </c>
      <c r="C1843" s="41" t="s">
        <v>724</v>
      </c>
      <c r="D1843" s="42" t="s">
        <v>244</v>
      </c>
      <c r="E1843" s="43" t="s">
        <v>4760</v>
      </c>
      <c r="F1843" s="44"/>
      <c r="G1843" s="46"/>
    </row>
    <row r="1844" spans="2:7" x14ac:dyDescent="0.35">
      <c r="B1844" s="41" t="s">
        <v>727</v>
      </c>
      <c r="C1844" s="41" t="s">
        <v>726</v>
      </c>
      <c r="D1844" s="42" t="s">
        <v>241</v>
      </c>
      <c r="E1844" s="43" t="s">
        <v>4760</v>
      </c>
      <c r="F1844" s="44"/>
      <c r="G1844" s="46"/>
    </row>
    <row r="1845" spans="2:7" x14ac:dyDescent="0.35">
      <c r="B1845" s="41" t="s">
        <v>736</v>
      </c>
      <c r="C1845" s="41" t="s">
        <v>735</v>
      </c>
      <c r="D1845" s="42" t="s">
        <v>252</v>
      </c>
      <c r="E1845" s="43" t="s">
        <v>4760</v>
      </c>
      <c r="F1845" s="44"/>
      <c r="G1845" s="46"/>
    </row>
    <row r="1846" spans="2:7" x14ac:dyDescent="0.35">
      <c r="B1846" s="41" t="s">
        <v>740</v>
      </c>
      <c r="C1846" s="41" t="s">
        <v>739</v>
      </c>
      <c r="D1846" s="42" t="s">
        <v>252</v>
      </c>
      <c r="E1846" s="43" t="s">
        <v>4760</v>
      </c>
      <c r="F1846" s="44"/>
      <c r="G1846" s="46"/>
    </row>
    <row r="1847" spans="2:7" x14ac:dyDescent="0.35">
      <c r="B1847" s="41" t="s">
        <v>742</v>
      </c>
      <c r="C1847" s="41" t="s">
        <v>741</v>
      </c>
      <c r="D1847" s="42" t="s">
        <v>252</v>
      </c>
      <c r="E1847" s="43" t="s">
        <v>4760</v>
      </c>
      <c r="F1847" s="44"/>
      <c r="G1847" s="46"/>
    </row>
    <row r="1848" spans="2:7" x14ac:dyDescent="0.35">
      <c r="B1848" s="41" t="s">
        <v>838</v>
      </c>
      <c r="C1848" s="41" t="s">
        <v>837</v>
      </c>
      <c r="D1848" s="42" t="s">
        <v>244</v>
      </c>
      <c r="E1848" s="43" t="s">
        <v>4760</v>
      </c>
      <c r="F1848" s="44"/>
      <c r="G1848" s="46"/>
    </row>
    <row r="1849" spans="2:7" x14ac:dyDescent="0.35">
      <c r="B1849" s="41" t="s">
        <v>1039</v>
      </c>
      <c r="C1849" s="41" t="s">
        <v>1038</v>
      </c>
      <c r="D1849" s="42" t="s">
        <v>252</v>
      </c>
      <c r="E1849" s="43" t="s">
        <v>4760</v>
      </c>
      <c r="F1849" s="44"/>
      <c r="G1849" s="46"/>
    </row>
    <row r="1850" spans="2:7" x14ac:dyDescent="0.35">
      <c r="B1850" s="41" t="s">
        <v>1113</v>
      </c>
      <c r="C1850" s="41" t="s">
        <v>1112</v>
      </c>
      <c r="D1850" s="42" t="s">
        <v>244</v>
      </c>
      <c r="E1850" s="43" t="s">
        <v>4760</v>
      </c>
      <c r="F1850" s="44"/>
      <c r="G1850" s="46"/>
    </row>
    <row r="1851" spans="2:7" x14ac:dyDescent="0.35">
      <c r="B1851" s="41" t="s">
        <v>1115</v>
      </c>
      <c r="C1851" s="41" t="s">
        <v>1114</v>
      </c>
      <c r="D1851" s="42" t="s">
        <v>244</v>
      </c>
      <c r="E1851" s="43" t="s">
        <v>4760</v>
      </c>
      <c r="F1851" s="44"/>
      <c r="G1851" s="46"/>
    </row>
    <row r="1852" spans="2:7" x14ac:dyDescent="0.35">
      <c r="B1852" s="41" t="s">
        <v>1117</v>
      </c>
      <c r="C1852" s="41" t="s">
        <v>1116</v>
      </c>
      <c r="D1852" s="42" t="s">
        <v>244</v>
      </c>
      <c r="E1852" s="43" t="s">
        <v>4760</v>
      </c>
      <c r="F1852" s="44"/>
      <c r="G1852" s="46"/>
    </row>
    <row r="1853" spans="2:7" x14ac:dyDescent="0.35">
      <c r="B1853" s="41" t="s">
        <v>1148</v>
      </c>
      <c r="C1853" s="41" t="s">
        <v>1147</v>
      </c>
      <c r="D1853" s="42" t="s">
        <v>241</v>
      </c>
      <c r="E1853" s="43" t="s">
        <v>4760</v>
      </c>
      <c r="F1853" s="44"/>
      <c r="G1853" s="46"/>
    </row>
    <row r="1854" spans="2:7" x14ac:dyDescent="0.35">
      <c r="B1854" s="41" t="s">
        <v>1153</v>
      </c>
      <c r="C1854" s="41" t="s">
        <v>1152</v>
      </c>
      <c r="D1854" s="42" t="s">
        <v>252</v>
      </c>
      <c r="E1854" s="43" t="s">
        <v>4760</v>
      </c>
      <c r="F1854" s="44"/>
      <c r="G1854" s="46"/>
    </row>
    <row r="1855" spans="2:7" x14ac:dyDescent="0.35">
      <c r="B1855" s="41" t="s">
        <v>1558</v>
      </c>
      <c r="C1855" s="47" t="s">
        <v>1557</v>
      </c>
      <c r="D1855" s="42" t="s">
        <v>244</v>
      </c>
      <c r="E1855" s="43" t="s">
        <v>4760</v>
      </c>
      <c r="F1855" s="44"/>
      <c r="G1855" s="46"/>
    </row>
    <row r="1856" spans="2:7" x14ac:dyDescent="0.35">
      <c r="B1856" s="41" t="s">
        <v>1560</v>
      </c>
      <c r="C1856" s="41" t="s">
        <v>1559</v>
      </c>
      <c r="D1856" s="42" t="s">
        <v>244</v>
      </c>
      <c r="E1856" s="43" t="s">
        <v>4760</v>
      </c>
      <c r="F1856" s="44"/>
      <c r="G1856" s="46"/>
    </row>
    <row r="1857" spans="2:7" x14ac:dyDescent="0.35">
      <c r="B1857" s="41" t="s">
        <v>1564</v>
      </c>
      <c r="C1857" s="41" t="s">
        <v>1563</v>
      </c>
      <c r="D1857" s="42" t="s">
        <v>244</v>
      </c>
      <c r="E1857" s="43" t="s">
        <v>4760</v>
      </c>
      <c r="F1857" s="44"/>
      <c r="G1857" s="46"/>
    </row>
    <row r="1858" spans="2:7" x14ac:dyDescent="0.35">
      <c r="B1858" s="41" t="s">
        <v>1568</v>
      </c>
      <c r="C1858" s="41" t="s">
        <v>1567</v>
      </c>
      <c r="D1858" s="42" t="s">
        <v>241</v>
      </c>
      <c r="E1858" s="43" t="s">
        <v>4760</v>
      </c>
      <c r="F1858" s="44"/>
      <c r="G1858" s="46"/>
    </row>
    <row r="1859" spans="2:7" x14ac:dyDescent="0.35">
      <c r="B1859" s="41" t="s">
        <v>1570</v>
      </c>
      <c r="C1859" s="41" t="s">
        <v>1569</v>
      </c>
      <c r="D1859" s="42" t="s">
        <v>244</v>
      </c>
      <c r="E1859" s="43" t="s">
        <v>4760</v>
      </c>
      <c r="F1859" s="44"/>
      <c r="G1859" s="46"/>
    </row>
    <row r="1860" spans="2:7" x14ac:dyDescent="0.35">
      <c r="B1860" s="41" t="s">
        <v>1572</v>
      </c>
      <c r="C1860" s="41" t="s">
        <v>1571</v>
      </c>
      <c r="D1860" s="42" t="s">
        <v>244</v>
      </c>
      <c r="E1860" s="43" t="s">
        <v>4760</v>
      </c>
      <c r="F1860" s="44"/>
      <c r="G1860" s="46"/>
    </row>
    <row r="1861" spans="2:7" x14ac:dyDescent="0.35">
      <c r="B1861" s="41" t="s">
        <v>1576</v>
      </c>
      <c r="C1861" s="41" t="s">
        <v>1575</v>
      </c>
      <c r="D1861" s="42" t="s">
        <v>252</v>
      </c>
      <c r="E1861" s="43" t="s">
        <v>4760</v>
      </c>
      <c r="F1861" s="44"/>
      <c r="G1861" s="46"/>
    </row>
    <row r="1862" spans="2:7" x14ac:dyDescent="0.35">
      <c r="B1862" s="41" t="s">
        <v>1811</v>
      </c>
      <c r="C1862" s="41" t="s">
        <v>1810</v>
      </c>
      <c r="D1862" s="42" t="s">
        <v>244</v>
      </c>
      <c r="E1862" s="43" t="s">
        <v>4760</v>
      </c>
      <c r="F1862" s="44"/>
      <c r="G1862" s="46"/>
    </row>
    <row r="1863" spans="2:7" x14ac:dyDescent="0.35">
      <c r="B1863" s="41" t="s">
        <v>1916</v>
      </c>
      <c r="C1863" s="41" t="s">
        <v>1915</v>
      </c>
      <c r="D1863" s="42" t="s">
        <v>244</v>
      </c>
      <c r="E1863" s="43" t="s">
        <v>4760</v>
      </c>
      <c r="F1863" s="44"/>
      <c r="G1863" s="46"/>
    </row>
    <row r="1864" spans="2:7" x14ac:dyDescent="0.35">
      <c r="B1864" s="41" t="s">
        <v>1918</v>
      </c>
      <c r="C1864" s="41" t="s">
        <v>1917</v>
      </c>
      <c r="D1864" s="42" t="s">
        <v>244</v>
      </c>
      <c r="E1864" s="43" t="s">
        <v>4760</v>
      </c>
      <c r="F1864" s="44"/>
      <c r="G1864" s="46"/>
    </row>
    <row r="1865" spans="2:7" x14ac:dyDescent="0.35">
      <c r="B1865" s="41" t="s">
        <v>1926</v>
      </c>
      <c r="C1865" s="41" t="s">
        <v>1925</v>
      </c>
      <c r="D1865" s="42" t="s">
        <v>244</v>
      </c>
      <c r="E1865" s="43" t="s">
        <v>4760</v>
      </c>
      <c r="F1865" s="44"/>
      <c r="G1865" s="46"/>
    </row>
    <row r="1866" spans="2:7" x14ac:dyDescent="0.35">
      <c r="B1866" s="41" t="s">
        <v>1930</v>
      </c>
      <c r="C1866" s="41" t="s">
        <v>1929</v>
      </c>
      <c r="D1866" s="42" t="s">
        <v>244</v>
      </c>
      <c r="E1866" s="43" t="s">
        <v>4760</v>
      </c>
      <c r="F1866" s="44"/>
      <c r="G1866" s="46"/>
    </row>
    <row r="1867" spans="2:7" x14ac:dyDescent="0.35">
      <c r="B1867" s="41" t="s">
        <v>1938</v>
      </c>
      <c r="C1867" s="41" t="s">
        <v>1937</v>
      </c>
      <c r="D1867" s="42" t="s">
        <v>244</v>
      </c>
      <c r="E1867" s="43" t="s">
        <v>4760</v>
      </c>
      <c r="F1867" s="44"/>
      <c r="G1867" s="46"/>
    </row>
    <row r="1868" spans="2:7" x14ac:dyDescent="0.35">
      <c r="B1868" s="41" t="s">
        <v>1942</v>
      </c>
      <c r="C1868" s="41" t="s">
        <v>1941</v>
      </c>
      <c r="D1868" s="42" t="s">
        <v>252</v>
      </c>
      <c r="E1868" s="43" t="s">
        <v>4760</v>
      </c>
      <c r="F1868" s="44"/>
      <c r="G1868" s="46"/>
    </row>
    <row r="1869" spans="2:7" x14ac:dyDescent="0.35">
      <c r="B1869" s="41" t="s">
        <v>1944</v>
      </c>
      <c r="C1869" s="41" t="s">
        <v>1943</v>
      </c>
      <c r="D1869" s="42" t="s">
        <v>252</v>
      </c>
      <c r="E1869" s="43" t="s">
        <v>4760</v>
      </c>
      <c r="F1869" s="44"/>
      <c r="G1869" s="46"/>
    </row>
    <row r="1870" spans="2:7" x14ac:dyDescent="0.35">
      <c r="B1870" s="41" t="s">
        <v>1946</v>
      </c>
      <c r="C1870" s="41" t="s">
        <v>1945</v>
      </c>
      <c r="D1870" s="42" t="s">
        <v>252</v>
      </c>
      <c r="E1870" s="43" t="s">
        <v>4760</v>
      </c>
      <c r="F1870" s="44"/>
      <c r="G1870" s="46"/>
    </row>
    <row r="1871" spans="2:7" x14ac:dyDescent="0.35">
      <c r="B1871" s="41" t="s">
        <v>2238</v>
      </c>
      <c r="C1871" s="41" t="s">
        <v>2237</v>
      </c>
      <c r="D1871" s="42" t="s">
        <v>244</v>
      </c>
      <c r="E1871" s="43" t="s">
        <v>4760</v>
      </c>
      <c r="F1871" s="44"/>
      <c r="G1871" s="46"/>
    </row>
    <row r="1872" spans="2:7" x14ac:dyDescent="0.35">
      <c r="B1872" s="41" t="s">
        <v>2240</v>
      </c>
      <c r="C1872" s="41" t="s">
        <v>2239</v>
      </c>
      <c r="D1872" s="42" t="s">
        <v>244</v>
      </c>
      <c r="E1872" s="43" t="s">
        <v>4760</v>
      </c>
      <c r="F1872" s="44"/>
      <c r="G1872" s="46"/>
    </row>
    <row r="1873" spans="2:7" x14ac:dyDescent="0.35">
      <c r="B1873" s="41" t="s">
        <v>2248</v>
      </c>
      <c r="C1873" s="41" t="s">
        <v>2247</v>
      </c>
      <c r="D1873" s="42" t="s">
        <v>244</v>
      </c>
      <c r="E1873" s="43" t="s">
        <v>4760</v>
      </c>
      <c r="F1873" s="44"/>
      <c r="G1873" s="46"/>
    </row>
    <row r="1874" spans="2:7" x14ac:dyDescent="0.35">
      <c r="B1874" s="41" t="s">
        <v>2250</v>
      </c>
      <c r="C1874" s="41" t="s">
        <v>2249</v>
      </c>
      <c r="D1874" s="42" t="s">
        <v>2215</v>
      </c>
      <c r="E1874" s="43" t="s">
        <v>4760</v>
      </c>
      <c r="F1874" s="44"/>
      <c r="G1874" s="46"/>
    </row>
    <row r="1875" spans="2:7" x14ac:dyDescent="0.35">
      <c r="B1875" s="41" t="s">
        <v>2252</v>
      </c>
      <c r="C1875" s="41" t="s">
        <v>2251</v>
      </c>
      <c r="D1875" s="42" t="s">
        <v>2215</v>
      </c>
      <c r="E1875" s="43" t="s">
        <v>4760</v>
      </c>
      <c r="F1875" s="44"/>
      <c r="G1875" s="46"/>
    </row>
    <row r="1876" spans="2:7" x14ac:dyDescent="0.35">
      <c r="B1876" s="41" t="s">
        <v>2473</v>
      </c>
      <c r="C1876" s="41" t="s">
        <v>2472</v>
      </c>
      <c r="D1876" s="42" t="s">
        <v>366</v>
      </c>
      <c r="E1876" s="43" t="s">
        <v>4760</v>
      </c>
      <c r="F1876" s="44"/>
      <c r="G1876" s="46"/>
    </row>
    <row r="1877" spans="2:7" x14ac:dyDescent="0.35">
      <c r="B1877" s="41" t="s">
        <v>2475</v>
      </c>
      <c r="C1877" s="41" t="s">
        <v>2474</v>
      </c>
      <c r="D1877" s="42" t="s">
        <v>366</v>
      </c>
      <c r="E1877" s="43" t="s">
        <v>4760</v>
      </c>
      <c r="F1877" s="44"/>
      <c r="G1877" s="46"/>
    </row>
    <row r="1878" spans="2:7" x14ac:dyDescent="0.35">
      <c r="B1878" s="41" t="s">
        <v>2553</v>
      </c>
      <c r="C1878" s="41" t="s">
        <v>2552</v>
      </c>
      <c r="D1878" s="42" t="s">
        <v>369</v>
      </c>
      <c r="E1878" s="43" t="s">
        <v>4760</v>
      </c>
      <c r="F1878" s="44"/>
      <c r="G1878" s="46"/>
    </row>
    <row r="1879" spans="2:7" x14ac:dyDescent="0.35">
      <c r="B1879" s="41" t="s">
        <v>2561</v>
      </c>
      <c r="C1879" s="41" t="s">
        <v>2560</v>
      </c>
      <c r="D1879" s="42" t="s">
        <v>4613</v>
      </c>
      <c r="E1879" s="43" t="s">
        <v>4760</v>
      </c>
      <c r="F1879" s="44"/>
      <c r="G1879" s="46"/>
    </row>
    <row r="1880" spans="2:7" x14ac:dyDescent="0.35">
      <c r="B1880" s="41" t="s">
        <v>2563</v>
      </c>
      <c r="C1880" s="45" t="s">
        <v>2562</v>
      </c>
      <c r="D1880" s="42" t="s">
        <v>2564</v>
      </c>
      <c r="E1880" s="43" t="s">
        <v>4760</v>
      </c>
      <c r="F1880" s="44"/>
      <c r="G1880" s="46"/>
    </row>
    <row r="1881" spans="2:7" x14ac:dyDescent="0.35">
      <c r="B1881" s="41" t="s">
        <v>2566</v>
      </c>
      <c r="C1881" s="41" t="s">
        <v>2565</v>
      </c>
      <c r="D1881" s="42" t="s">
        <v>241</v>
      </c>
      <c r="E1881" s="43" t="s">
        <v>4760</v>
      </c>
      <c r="F1881" s="44"/>
      <c r="G1881" s="46"/>
    </row>
    <row r="1882" spans="2:7" x14ac:dyDescent="0.35">
      <c r="B1882" s="41" t="s">
        <v>2601</v>
      </c>
      <c r="C1882" s="41" t="s">
        <v>2600</v>
      </c>
      <c r="D1882" s="42" t="s">
        <v>241</v>
      </c>
      <c r="E1882" s="43" t="s">
        <v>4760</v>
      </c>
      <c r="F1882" s="44"/>
      <c r="G1882" s="46"/>
    </row>
    <row r="1883" spans="2:7" x14ac:dyDescent="0.35">
      <c r="B1883" s="41" t="s">
        <v>2607</v>
      </c>
      <c r="C1883" s="41" t="s">
        <v>2606</v>
      </c>
      <c r="D1883" s="42" t="s">
        <v>252</v>
      </c>
      <c r="E1883" s="43" t="s">
        <v>4760</v>
      </c>
      <c r="F1883" s="44"/>
      <c r="G1883" s="46"/>
    </row>
    <row r="1884" spans="2:7" x14ac:dyDescent="0.35">
      <c r="B1884" s="41" t="s">
        <v>2609</v>
      </c>
      <c r="C1884" s="41" t="s">
        <v>2608</v>
      </c>
      <c r="D1884" s="42" t="s">
        <v>1424</v>
      </c>
      <c r="E1884" s="43" t="s">
        <v>4760</v>
      </c>
      <c r="F1884" s="44"/>
      <c r="G1884" s="46"/>
    </row>
    <row r="1885" spans="2:7" x14ac:dyDescent="0.35">
      <c r="B1885" s="41" t="s">
        <v>3165</v>
      </c>
      <c r="C1885" s="41" t="s">
        <v>3164</v>
      </c>
      <c r="D1885" s="42" t="s">
        <v>2969</v>
      </c>
      <c r="E1885" s="43" t="s">
        <v>4760</v>
      </c>
      <c r="F1885" s="44"/>
      <c r="G1885" s="46"/>
    </row>
    <row r="1886" spans="2:7" x14ac:dyDescent="0.35">
      <c r="B1886" s="41" t="s">
        <v>3196</v>
      </c>
      <c r="C1886" s="41" t="s">
        <v>3195</v>
      </c>
      <c r="D1886" s="42" t="s">
        <v>3197</v>
      </c>
      <c r="E1886" s="43" t="s">
        <v>4760</v>
      </c>
      <c r="F1886" s="44"/>
      <c r="G1886" s="46"/>
    </row>
    <row r="1887" spans="2:7" x14ac:dyDescent="0.35">
      <c r="B1887" s="41" t="s">
        <v>3199</v>
      </c>
      <c r="C1887" s="41" t="s">
        <v>3198</v>
      </c>
      <c r="D1887" s="42" t="s">
        <v>3200</v>
      </c>
      <c r="E1887" s="43" t="s">
        <v>4760</v>
      </c>
      <c r="F1887" s="44"/>
      <c r="G1887" s="46"/>
    </row>
    <row r="1888" spans="2:7" x14ac:dyDescent="0.35">
      <c r="B1888" s="41" t="s">
        <v>3202</v>
      </c>
      <c r="C1888" s="41" t="s">
        <v>3201</v>
      </c>
      <c r="D1888" s="42" t="s">
        <v>249</v>
      </c>
      <c r="E1888" s="43" t="s">
        <v>4760</v>
      </c>
      <c r="F1888" s="44"/>
      <c r="G1888" s="46"/>
    </row>
    <row r="1889" spans="2:7" x14ac:dyDescent="0.35">
      <c r="B1889" s="41" t="s">
        <v>3270</v>
      </c>
      <c r="C1889" s="41" t="s">
        <v>3269</v>
      </c>
      <c r="D1889" s="42" t="s">
        <v>3271</v>
      </c>
      <c r="E1889" s="43" t="s">
        <v>4760</v>
      </c>
      <c r="F1889" s="44"/>
      <c r="G1889" s="46"/>
    </row>
    <row r="1890" spans="2:7" x14ac:dyDescent="0.35">
      <c r="B1890" s="41" t="s">
        <v>3273</v>
      </c>
      <c r="C1890" s="41" t="s">
        <v>3272</v>
      </c>
      <c r="D1890" s="42" t="s">
        <v>3271</v>
      </c>
      <c r="E1890" s="43" t="s">
        <v>4760</v>
      </c>
      <c r="F1890" s="44"/>
      <c r="G1890" s="46"/>
    </row>
    <row r="1891" spans="2:7" x14ac:dyDescent="0.35">
      <c r="B1891" s="41" t="s">
        <v>3275</v>
      </c>
      <c r="C1891" s="41" t="s">
        <v>3274</v>
      </c>
      <c r="D1891" s="42" t="s">
        <v>3276</v>
      </c>
      <c r="E1891" s="43" t="s">
        <v>4760</v>
      </c>
      <c r="F1891" s="44"/>
      <c r="G1891" s="46"/>
    </row>
    <row r="1892" spans="2:7" x14ac:dyDescent="0.35">
      <c r="B1892" s="41" t="s">
        <v>3278</v>
      </c>
      <c r="C1892" s="41" t="s">
        <v>3277</v>
      </c>
      <c r="D1892" s="42" t="s">
        <v>3271</v>
      </c>
      <c r="E1892" s="43" t="s">
        <v>4760</v>
      </c>
      <c r="F1892" s="44"/>
      <c r="G1892" s="46"/>
    </row>
    <row r="1893" spans="2:7" x14ac:dyDescent="0.35">
      <c r="B1893" s="41" t="s">
        <v>3334</v>
      </c>
      <c r="C1893" s="41" t="s">
        <v>3333</v>
      </c>
      <c r="D1893" s="42" t="s">
        <v>3335</v>
      </c>
      <c r="E1893" s="43" t="s">
        <v>4760</v>
      </c>
      <c r="F1893" s="44"/>
      <c r="G1893" s="46"/>
    </row>
    <row r="1894" spans="2:7" x14ac:dyDescent="0.35">
      <c r="B1894" s="41" t="s">
        <v>3337</v>
      </c>
      <c r="C1894" s="41" t="s">
        <v>3336</v>
      </c>
      <c r="D1894" s="42" t="s">
        <v>3338</v>
      </c>
      <c r="E1894" s="43" t="s">
        <v>4760</v>
      </c>
      <c r="F1894" s="44"/>
      <c r="G1894" s="46"/>
    </row>
    <row r="1895" spans="2:7" x14ac:dyDescent="0.35">
      <c r="B1895" s="41" t="s">
        <v>3340</v>
      </c>
      <c r="C1895" s="41" t="s">
        <v>3339</v>
      </c>
      <c r="D1895" s="42" t="s">
        <v>3338</v>
      </c>
      <c r="E1895" s="43" t="s">
        <v>4760</v>
      </c>
      <c r="F1895" s="44"/>
      <c r="G1895" s="46"/>
    </row>
    <row r="1896" spans="2:7" x14ac:dyDescent="0.35">
      <c r="B1896" s="41" t="s">
        <v>3342</v>
      </c>
      <c r="C1896" s="41" t="s">
        <v>3341</v>
      </c>
      <c r="D1896" s="42" t="s">
        <v>3343</v>
      </c>
      <c r="E1896" s="43" t="s">
        <v>4760</v>
      </c>
      <c r="F1896" s="44"/>
      <c r="G1896" s="46"/>
    </row>
    <row r="1897" spans="2:7" x14ac:dyDescent="0.35">
      <c r="B1897" s="41" t="s">
        <v>3410</v>
      </c>
      <c r="C1897" s="41" t="s">
        <v>3409</v>
      </c>
      <c r="D1897" s="42" t="s">
        <v>2026</v>
      </c>
      <c r="E1897" s="43" t="s">
        <v>4760</v>
      </c>
      <c r="F1897" s="44"/>
      <c r="G1897" s="46"/>
    </row>
    <row r="1898" spans="2:7" x14ac:dyDescent="0.35">
      <c r="B1898" s="41" t="s">
        <v>3412</v>
      </c>
      <c r="C1898" s="41" t="s">
        <v>3411</v>
      </c>
      <c r="D1898" s="42" t="s">
        <v>1829</v>
      </c>
      <c r="E1898" s="43" t="s">
        <v>4760</v>
      </c>
      <c r="F1898" s="44"/>
      <c r="G1898" s="46"/>
    </row>
    <row r="1899" spans="2:7" x14ac:dyDescent="0.35">
      <c r="B1899" s="41" t="s">
        <v>3414</v>
      </c>
      <c r="C1899" s="41" t="s">
        <v>3413</v>
      </c>
      <c r="D1899" s="42" t="s">
        <v>3415</v>
      </c>
      <c r="E1899" s="43" t="s">
        <v>4760</v>
      </c>
      <c r="F1899" s="44"/>
      <c r="G1899" s="46"/>
    </row>
    <row r="1900" spans="2:7" x14ac:dyDescent="0.35">
      <c r="B1900" s="41" t="s">
        <v>3417</v>
      </c>
      <c r="C1900" s="41" t="s">
        <v>3416</v>
      </c>
      <c r="D1900" s="42" t="s">
        <v>3415</v>
      </c>
      <c r="E1900" s="43" t="s">
        <v>4760</v>
      </c>
      <c r="F1900" s="44"/>
      <c r="G1900" s="46"/>
    </row>
    <row r="1901" spans="2:7" x14ac:dyDescent="0.35">
      <c r="B1901" s="41" t="s">
        <v>3419</v>
      </c>
      <c r="C1901" s="41" t="s">
        <v>3418</v>
      </c>
      <c r="D1901" s="42" t="s">
        <v>3420</v>
      </c>
      <c r="E1901" s="43" t="s">
        <v>4760</v>
      </c>
      <c r="F1901" s="44"/>
      <c r="G1901" s="46"/>
    </row>
    <row r="1902" spans="2:7" x14ac:dyDescent="0.35">
      <c r="B1902" s="41" t="s">
        <v>3422</v>
      </c>
      <c r="C1902" s="41" t="s">
        <v>3421</v>
      </c>
      <c r="D1902" s="42" t="s">
        <v>3423</v>
      </c>
      <c r="E1902" s="43" t="s">
        <v>4760</v>
      </c>
      <c r="F1902" s="44"/>
      <c r="G1902" s="46"/>
    </row>
    <row r="1903" spans="2:7" x14ac:dyDescent="0.35">
      <c r="B1903" s="41" t="s">
        <v>3425</v>
      </c>
      <c r="C1903" s="41" t="s">
        <v>3424</v>
      </c>
      <c r="D1903" s="42" t="s">
        <v>3426</v>
      </c>
      <c r="E1903" s="43" t="s">
        <v>4760</v>
      </c>
      <c r="F1903" s="44"/>
      <c r="G1903" s="46"/>
    </row>
    <row r="1904" spans="2:7" x14ac:dyDescent="0.35">
      <c r="B1904" s="41" t="s">
        <v>3428</v>
      </c>
      <c r="C1904" s="41" t="s">
        <v>3427</v>
      </c>
      <c r="D1904" s="42" t="s">
        <v>3343</v>
      </c>
      <c r="E1904" s="43" t="s">
        <v>4760</v>
      </c>
      <c r="F1904" s="44"/>
      <c r="G1904" s="46"/>
    </row>
    <row r="1905" spans="2:7" x14ac:dyDescent="0.35">
      <c r="B1905" s="41" t="s">
        <v>3430</v>
      </c>
      <c r="C1905" s="41" t="s">
        <v>3429</v>
      </c>
      <c r="D1905" s="42" t="s">
        <v>2026</v>
      </c>
      <c r="E1905" s="43" t="s">
        <v>4760</v>
      </c>
      <c r="F1905" s="44"/>
      <c r="G1905" s="46"/>
    </row>
    <row r="1906" spans="2:7" x14ac:dyDescent="0.35">
      <c r="B1906" s="41" t="s">
        <v>3432</v>
      </c>
      <c r="C1906" s="41" t="s">
        <v>3431</v>
      </c>
      <c r="D1906" s="42" t="s">
        <v>2026</v>
      </c>
      <c r="E1906" s="43" t="s">
        <v>4760</v>
      </c>
      <c r="F1906" s="44"/>
      <c r="G1906" s="46"/>
    </row>
    <row r="1907" spans="2:7" x14ac:dyDescent="0.35">
      <c r="B1907" s="41" t="s">
        <v>3434</v>
      </c>
      <c r="C1907" s="41" t="s">
        <v>3433</v>
      </c>
      <c r="D1907" s="42" t="s">
        <v>2026</v>
      </c>
      <c r="E1907" s="43" t="s">
        <v>4760</v>
      </c>
      <c r="F1907" s="44"/>
      <c r="G1907" s="46"/>
    </row>
    <row r="1908" spans="2:7" x14ac:dyDescent="0.35">
      <c r="B1908" s="41" t="s">
        <v>3436</v>
      </c>
      <c r="C1908" s="41" t="s">
        <v>3435</v>
      </c>
      <c r="D1908" s="42" t="s">
        <v>2026</v>
      </c>
      <c r="E1908" s="43" t="s">
        <v>4760</v>
      </c>
      <c r="F1908" s="44"/>
      <c r="G1908" s="46"/>
    </row>
    <row r="1909" spans="2:7" x14ac:dyDescent="0.35">
      <c r="B1909" s="41" t="s">
        <v>3496</v>
      </c>
      <c r="C1909" s="41" t="s">
        <v>3495</v>
      </c>
      <c r="D1909" s="42" t="s">
        <v>3497</v>
      </c>
      <c r="E1909" s="43" t="s">
        <v>4760</v>
      </c>
      <c r="F1909" s="44"/>
      <c r="G1909" s="46"/>
    </row>
    <row r="1910" spans="2:7" x14ac:dyDescent="0.35">
      <c r="B1910" s="41" t="s">
        <v>3499</v>
      </c>
      <c r="C1910" s="41" t="s">
        <v>3498</v>
      </c>
      <c r="D1910" s="42" t="s">
        <v>3500</v>
      </c>
      <c r="E1910" s="43" t="s">
        <v>4760</v>
      </c>
      <c r="F1910" s="44"/>
      <c r="G1910" s="46"/>
    </row>
    <row r="1911" spans="2:7" x14ac:dyDescent="0.35">
      <c r="B1911" s="41" t="s">
        <v>3502</v>
      </c>
      <c r="C1911" s="41" t="s">
        <v>3501</v>
      </c>
      <c r="D1911" s="42" t="s">
        <v>3500</v>
      </c>
      <c r="E1911" s="43" t="s">
        <v>4760</v>
      </c>
      <c r="F1911" s="44"/>
      <c r="G1911" s="46"/>
    </row>
    <row r="1912" spans="2:7" x14ac:dyDescent="0.35">
      <c r="B1912" s="41" t="s">
        <v>3504</v>
      </c>
      <c r="C1912" s="41" t="s">
        <v>3503</v>
      </c>
      <c r="D1912" s="42" t="s">
        <v>3276</v>
      </c>
      <c r="E1912" s="43" t="s">
        <v>4760</v>
      </c>
      <c r="F1912" s="44"/>
      <c r="G1912" s="46"/>
    </row>
    <row r="1913" spans="2:7" x14ac:dyDescent="0.35">
      <c r="B1913" s="41" t="s">
        <v>3506</v>
      </c>
      <c r="C1913" s="41" t="s">
        <v>3505</v>
      </c>
      <c r="D1913" s="42" t="s">
        <v>3276</v>
      </c>
      <c r="E1913" s="43" t="s">
        <v>4760</v>
      </c>
      <c r="F1913" s="44"/>
      <c r="G1913" s="46"/>
    </row>
    <row r="1914" spans="2:7" x14ac:dyDescent="0.35">
      <c r="B1914" s="41" t="s">
        <v>3587</v>
      </c>
      <c r="C1914" s="41" t="s">
        <v>3586</v>
      </c>
      <c r="D1914" s="42" t="s">
        <v>3588</v>
      </c>
      <c r="E1914" s="43" t="s">
        <v>4760</v>
      </c>
      <c r="F1914" s="44"/>
      <c r="G1914" s="46"/>
    </row>
    <row r="1915" spans="2:7" x14ac:dyDescent="0.35">
      <c r="B1915" s="41" t="s">
        <v>3590</v>
      </c>
      <c r="C1915" s="41" t="s">
        <v>3589</v>
      </c>
      <c r="D1915" s="42" t="s">
        <v>3591</v>
      </c>
      <c r="E1915" s="43" t="s">
        <v>4760</v>
      </c>
      <c r="F1915" s="44"/>
      <c r="G1915" s="46"/>
    </row>
    <row r="1916" spans="2:7" x14ac:dyDescent="0.35">
      <c r="B1916" s="41" t="s">
        <v>3593</v>
      </c>
      <c r="C1916" s="41" t="s">
        <v>3592</v>
      </c>
      <c r="D1916" s="42" t="s">
        <v>2026</v>
      </c>
      <c r="E1916" s="43" t="s">
        <v>4760</v>
      </c>
      <c r="F1916" s="44"/>
      <c r="G1916" s="46"/>
    </row>
    <row r="1917" spans="2:7" x14ac:dyDescent="0.35">
      <c r="B1917" s="41" t="s">
        <v>3641</v>
      </c>
      <c r="C1917" s="41" t="s">
        <v>3640</v>
      </c>
      <c r="D1917" s="42" t="s">
        <v>3642</v>
      </c>
      <c r="E1917" s="43" t="s">
        <v>4760</v>
      </c>
      <c r="F1917" s="44"/>
      <c r="G1917" s="46"/>
    </row>
    <row r="1918" spans="2:7" x14ac:dyDescent="0.35">
      <c r="B1918" s="41" t="s">
        <v>3644</v>
      </c>
      <c r="C1918" s="41" t="s">
        <v>3643</v>
      </c>
      <c r="D1918" s="42" t="s">
        <v>3642</v>
      </c>
      <c r="E1918" s="43" t="s">
        <v>4760</v>
      </c>
      <c r="F1918" s="44"/>
      <c r="G1918" s="46"/>
    </row>
    <row r="1919" spans="2:7" x14ac:dyDescent="0.35">
      <c r="B1919" s="41" t="s">
        <v>3708</v>
      </c>
      <c r="C1919" s="41" t="s">
        <v>3707</v>
      </c>
      <c r="D1919" s="42" t="s">
        <v>3709</v>
      </c>
      <c r="E1919" s="43" t="s">
        <v>4760</v>
      </c>
      <c r="F1919" s="44"/>
      <c r="G1919" s="46"/>
    </row>
    <row r="1920" spans="2:7" x14ac:dyDescent="0.35">
      <c r="B1920" s="41" t="s">
        <v>3711</v>
      </c>
      <c r="C1920" s="41" t="s">
        <v>3710</v>
      </c>
      <c r="D1920" s="42" t="s">
        <v>3276</v>
      </c>
      <c r="E1920" s="43" t="s">
        <v>4760</v>
      </c>
      <c r="F1920" s="44"/>
      <c r="G1920" s="46"/>
    </row>
    <row r="1921" spans="2:7" x14ac:dyDescent="0.35">
      <c r="B1921" s="41" t="s">
        <v>3713</v>
      </c>
      <c r="C1921" s="41" t="s">
        <v>3712</v>
      </c>
      <c r="D1921" s="42" t="s">
        <v>3343</v>
      </c>
      <c r="E1921" s="43" t="s">
        <v>4760</v>
      </c>
      <c r="F1921" s="44"/>
      <c r="G1921" s="46"/>
    </row>
    <row r="1922" spans="2:7" x14ac:dyDescent="0.35">
      <c r="B1922" s="41" t="s">
        <v>3715</v>
      </c>
      <c r="C1922" s="41" t="s">
        <v>3714</v>
      </c>
      <c r="D1922" s="42" t="s">
        <v>3716</v>
      </c>
      <c r="E1922" s="43" t="s">
        <v>4760</v>
      </c>
      <c r="F1922" s="44"/>
      <c r="G1922" s="46"/>
    </row>
    <row r="1923" spans="2:7" x14ac:dyDescent="0.35">
      <c r="B1923" s="41" t="s">
        <v>3747</v>
      </c>
      <c r="C1923" s="41" t="s">
        <v>3746</v>
      </c>
      <c r="D1923" s="42" t="s">
        <v>3239</v>
      </c>
      <c r="E1923" s="43" t="s">
        <v>4760</v>
      </c>
      <c r="F1923" s="44"/>
      <c r="G1923" s="46"/>
    </row>
    <row r="1924" spans="2:7" x14ac:dyDescent="0.35">
      <c r="B1924" s="41" t="s">
        <v>3764</v>
      </c>
      <c r="C1924" s="41" t="s">
        <v>3763</v>
      </c>
      <c r="D1924" s="42" t="s">
        <v>3426</v>
      </c>
      <c r="E1924" s="43" t="s">
        <v>4760</v>
      </c>
      <c r="F1924" s="44"/>
      <c r="G1924" s="46"/>
    </row>
    <row r="1925" spans="2:7" x14ac:dyDescent="0.35">
      <c r="B1925" s="41" t="s">
        <v>3766</v>
      </c>
      <c r="C1925" s="41" t="s">
        <v>3765</v>
      </c>
      <c r="D1925" s="42" t="s">
        <v>3426</v>
      </c>
      <c r="E1925" s="43" t="s">
        <v>4760</v>
      </c>
      <c r="F1925" s="44"/>
      <c r="G1925" s="46"/>
    </row>
    <row r="1926" spans="2:7" x14ac:dyDescent="0.35">
      <c r="B1926" s="41" t="s">
        <v>3768</v>
      </c>
      <c r="C1926" s="41" t="s">
        <v>3767</v>
      </c>
      <c r="D1926" s="42" t="s">
        <v>3426</v>
      </c>
      <c r="E1926" s="43" t="s">
        <v>4760</v>
      </c>
      <c r="F1926" s="44"/>
      <c r="G1926" s="46"/>
    </row>
    <row r="1927" spans="2:7" x14ac:dyDescent="0.35">
      <c r="B1927" s="41" t="s">
        <v>3770</v>
      </c>
      <c r="C1927" s="41" t="s">
        <v>3769</v>
      </c>
      <c r="D1927" s="42" t="s">
        <v>3426</v>
      </c>
      <c r="E1927" s="43" t="s">
        <v>4760</v>
      </c>
      <c r="F1927" s="44"/>
      <c r="G1927" s="46"/>
    </row>
    <row r="1928" spans="2:7" x14ac:dyDescent="0.35">
      <c r="B1928" s="41" t="s">
        <v>3772</v>
      </c>
      <c r="C1928" s="41" t="s">
        <v>3771</v>
      </c>
      <c r="D1928" s="42" t="s">
        <v>3426</v>
      </c>
      <c r="E1928" s="43" t="s">
        <v>4760</v>
      </c>
      <c r="F1928" s="44"/>
      <c r="G1928" s="46"/>
    </row>
    <row r="1929" spans="2:7" x14ac:dyDescent="0.4">
      <c r="B1929" s="46" t="s">
        <v>4614</v>
      </c>
      <c r="C1929" s="46"/>
      <c r="D1929" s="42" t="s">
        <v>4615</v>
      </c>
      <c r="E1929" s="43" t="s">
        <v>4760</v>
      </c>
      <c r="F1929" s="44"/>
      <c r="G1929" s="46"/>
    </row>
    <row r="1930" spans="2:7" x14ac:dyDescent="0.4">
      <c r="B1930" s="46" t="s">
        <v>4677</v>
      </c>
      <c r="C1930" s="46"/>
      <c r="D1930" s="42" t="s">
        <v>4678</v>
      </c>
      <c r="E1930" s="43" t="s">
        <v>4760</v>
      </c>
      <c r="F1930" s="44"/>
      <c r="G1930" s="46"/>
    </row>
    <row r="1931" spans="2:7" x14ac:dyDescent="0.35">
      <c r="B1931" s="41" t="s">
        <v>935</v>
      </c>
      <c r="C1931" s="41" t="s">
        <v>934</v>
      </c>
      <c r="D1931" s="42" t="s">
        <v>678</v>
      </c>
      <c r="E1931" s="43" t="s">
        <v>4783</v>
      </c>
      <c r="F1931" s="44"/>
      <c r="G1931" s="46"/>
    </row>
    <row r="1932" spans="2:7" x14ac:dyDescent="0.35">
      <c r="B1932" s="41" t="s">
        <v>257</v>
      </c>
      <c r="C1932" s="41" t="s">
        <v>256</v>
      </c>
      <c r="D1932" s="42" t="s">
        <v>258</v>
      </c>
      <c r="E1932" s="43" t="s">
        <v>4773</v>
      </c>
      <c r="F1932" s="44"/>
      <c r="G1932" s="46"/>
    </row>
    <row r="1933" spans="2:7" x14ac:dyDescent="0.35">
      <c r="B1933" s="41" t="s">
        <v>260</v>
      </c>
      <c r="C1933" s="41" t="s">
        <v>259</v>
      </c>
      <c r="D1933" s="42" t="s">
        <v>258</v>
      </c>
      <c r="E1933" s="43" t="s">
        <v>4773</v>
      </c>
      <c r="F1933" s="44"/>
      <c r="G1933" s="46"/>
    </row>
    <row r="1934" spans="2:7" x14ac:dyDescent="0.35">
      <c r="B1934" s="41" t="s">
        <v>262</v>
      </c>
      <c r="C1934" s="41" t="s">
        <v>261</v>
      </c>
      <c r="D1934" s="42" t="s">
        <v>258</v>
      </c>
      <c r="E1934" s="43" t="s">
        <v>4773</v>
      </c>
      <c r="F1934" s="44"/>
      <c r="G1934" s="46"/>
    </row>
    <row r="1935" spans="2:7" x14ac:dyDescent="0.35">
      <c r="B1935" s="45" t="s">
        <v>264</v>
      </c>
      <c r="C1935" s="45" t="s">
        <v>263</v>
      </c>
      <c r="D1935" s="42" t="s">
        <v>265</v>
      </c>
      <c r="E1935" s="43" t="s">
        <v>4773</v>
      </c>
      <c r="F1935" s="44"/>
      <c r="G1935" s="46"/>
    </row>
    <row r="1936" spans="2:7" x14ac:dyDescent="0.35">
      <c r="B1936" s="41" t="s">
        <v>267</v>
      </c>
      <c r="C1936" s="41" t="s">
        <v>266</v>
      </c>
      <c r="D1936" s="42" t="s">
        <v>268</v>
      </c>
      <c r="E1936" s="43" t="s">
        <v>4773</v>
      </c>
      <c r="F1936" s="44"/>
      <c r="G1936" s="46"/>
    </row>
    <row r="1937" spans="2:7" x14ac:dyDescent="0.35">
      <c r="B1937" s="41" t="s">
        <v>270</v>
      </c>
      <c r="C1937" s="41" t="s">
        <v>269</v>
      </c>
      <c r="D1937" s="42" t="s">
        <v>258</v>
      </c>
      <c r="E1937" s="43" t="s">
        <v>4773</v>
      </c>
      <c r="F1937" s="44"/>
      <c r="G1937" s="46"/>
    </row>
    <row r="1938" spans="2:7" x14ac:dyDescent="0.35">
      <c r="B1938" s="41" t="s">
        <v>272</v>
      </c>
      <c r="C1938" s="41" t="s">
        <v>271</v>
      </c>
      <c r="D1938" s="42" t="s">
        <v>258</v>
      </c>
      <c r="E1938" s="43" t="s">
        <v>4773</v>
      </c>
      <c r="F1938" s="44"/>
      <c r="G1938" s="46"/>
    </row>
    <row r="1939" spans="2:7" x14ac:dyDescent="0.4">
      <c r="B1939" s="46" t="s">
        <v>305</v>
      </c>
      <c r="C1939" s="46"/>
      <c r="D1939" s="42" t="s">
        <v>283</v>
      </c>
      <c r="E1939" s="43" t="s">
        <v>4773</v>
      </c>
      <c r="F1939" s="44"/>
      <c r="G1939" s="46"/>
    </row>
    <row r="1940" spans="2:7" x14ac:dyDescent="0.4">
      <c r="B1940" s="46" t="s">
        <v>502</v>
      </c>
      <c r="C1940" s="46" t="s">
        <v>501</v>
      </c>
      <c r="D1940" s="42" t="s">
        <v>503</v>
      </c>
      <c r="E1940" s="43" t="s">
        <v>4773</v>
      </c>
      <c r="F1940" s="44"/>
      <c r="G1940" s="46"/>
    </row>
    <row r="1941" spans="2:7" x14ac:dyDescent="0.35">
      <c r="B1941" s="41" t="s">
        <v>505</v>
      </c>
      <c r="C1941" s="41" t="s">
        <v>504</v>
      </c>
      <c r="D1941" s="42" t="s">
        <v>506</v>
      </c>
      <c r="E1941" s="43" t="s">
        <v>4773</v>
      </c>
      <c r="F1941" s="44"/>
      <c r="G1941" s="46"/>
    </row>
    <row r="1942" spans="2:7" x14ac:dyDescent="0.35">
      <c r="B1942" s="41" t="s">
        <v>525</v>
      </c>
      <c r="C1942" s="41" t="s">
        <v>524</v>
      </c>
      <c r="D1942" s="42" t="s">
        <v>526</v>
      </c>
      <c r="E1942" s="43" t="s">
        <v>4773</v>
      </c>
      <c r="F1942" s="44"/>
      <c r="G1942" s="46"/>
    </row>
    <row r="1943" spans="2:7" x14ac:dyDescent="0.35">
      <c r="B1943" s="41" t="s">
        <v>528</v>
      </c>
      <c r="C1943" s="41" t="s">
        <v>527</v>
      </c>
      <c r="D1943" s="42" t="s">
        <v>526</v>
      </c>
      <c r="E1943" s="43" t="s">
        <v>4773</v>
      </c>
      <c r="F1943" s="44"/>
      <c r="G1943" s="46"/>
    </row>
    <row r="1944" spans="2:7" x14ac:dyDescent="0.35">
      <c r="B1944" s="41" t="s">
        <v>560</v>
      </c>
      <c r="C1944" s="41" t="s">
        <v>559</v>
      </c>
      <c r="D1944" s="42" t="s">
        <v>352</v>
      </c>
      <c r="E1944" s="43" t="s">
        <v>4773</v>
      </c>
      <c r="F1944" s="44"/>
      <c r="G1944" s="46"/>
    </row>
    <row r="1945" spans="2:7" x14ac:dyDescent="0.35">
      <c r="B1945" s="41" t="s">
        <v>566</v>
      </c>
      <c r="C1945" s="41" t="s">
        <v>565</v>
      </c>
      <c r="D1945" s="42" t="s">
        <v>567</v>
      </c>
      <c r="E1945" s="43" t="s">
        <v>4773</v>
      </c>
      <c r="F1945" s="44"/>
      <c r="G1945" s="46"/>
    </row>
    <row r="1946" spans="2:7" x14ac:dyDescent="0.35">
      <c r="B1946" s="41" t="s">
        <v>586</v>
      </c>
      <c r="C1946" s="41" t="s">
        <v>585</v>
      </c>
      <c r="D1946" s="42" t="s">
        <v>352</v>
      </c>
      <c r="E1946" s="43" t="s">
        <v>4773</v>
      </c>
      <c r="F1946" s="44"/>
      <c r="G1946" s="46"/>
    </row>
    <row r="1947" spans="2:7" x14ac:dyDescent="0.35">
      <c r="B1947" s="41" t="s">
        <v>590</v>
      </c>
      <c r="C1947" s="41" t="s">
        <v>589</v>
      </c>
      <c r="D1947" s="42" t="s">
        <v>591</v>
      </c>
      <c r="E1947" s="43" t="s">
        <v>4773</v>
      </c>
      <c r="F1947" s="44"/>
      <c r="G1947" s="46"/>
    </row>
    <row r="1948" spans="2:7" x14ac:dyDescent="0.35">
      <c r="B1948" s="41" t="s">
        <v>600</v>
      </c>
      <c r="C1948" s="41" t="s">
        <v>599</v>
      </c>
      <c r="D1948" s="42" t="s">
        <v>275</v>
      </c>
      <c r="E1948" s="43" t="s">
        <v>4773</v>
      </c>
      <c r="F1948" s="44"/>
      <c r="G1948" s="46"/>
    </row>
    <row r="1949" spans="2:7" x14ac:dyDescent="0.35">
      <c r="B1949" s="41" t="s">
        <v>766</v>
      </c>
      <c r="C1949" s="41" t="s">
        <v>765</v>
      </c>
      <c r="D1949" s="42" t="s">
        <v>694</v>
      </c>
      <c r="E1949" s="43" t="s">
        <v>4773</v>
      </c>
      <c r="F1949" s="44"/>
      <c r="G1949" s="46"/>
    </row>
    <row r="1950" spans="2:7" x14ac:dyDescent="0.35">
      <c r="B1950" s="41" t="s">
        <v>768</v>
      </c>
      <c r="C1950" s="41" t="s">
        <v>767</v>
      </c>
      <c r="D1950" s="42" t="s">
        <v>651</v>
      </c>
      <c r="E1950" s="43" t="s">
        <v>4773</v>
      </c>
      <c r="F1950" s="44"/>
      <c r="G1950" s="46"/>
    </row>
    <row r="1951" spans="2:7" x14ac:dyDescent="0.4">
      <c r="B1951" s="46" t="s">
        <v>797</v>
      </c>
      <c r="C1951" s="46" t="s">
        <v>796</v>
      </c>
      <c r="D1951" s="42" t="s">
        <v>503</v>
      </c>
      <c r="E1951" s="43" t="s">
        <v>4773</v>
      </c>
      <c r="F1951" s="44"/>
      <c r="G1951" s="46"/>
    </row>
    <row r="1952" spans="2:7" x14ac:dyDescent="0.35">
      <c r="B1952" s="41" t="s">
        <v>799</v>
      </c>
      <c r="C1952" s="41" t="s">
        <v>798</v>
      </c>
      <c r="D1952" s="42" t="s">
        <v>800</v>
      </c>
      <c r="E1952" s="43" t="s">
        <v>4773</v>
      </c>
      <c r="F1952" s="44"/>
      <c r="G1952" s="46"/>
    </row>
    <row r="1953" spans="2:7" x14ac:dyDescent="0.35">
      <c r="B1953" s="41" t="s">
        <v>802</v>
      </c>
      <c r="C1953" s="41" t="s">
        <v>801</v>
      </c>
      <c r="D1953" s="42" t="s">
        <v>629</v>
      </c>
      <c r="E1953" s="43" t="s">
        <v>4773</v>
      </c>
      <c r="F1953" s="44"/>
      <c r="G1953" s="46"/>
    </row>
    <row r="1954" spans="2:7" x14ac:dyDescent="0.35">
      <c r="B1954" s="41" t="s">
        <v>814</v>
      </c>
      <c r="C1954" s="41" t="s">
        <v>813</v>
      </c>
      <c r="D1954" s="42" t="s">
        <v>808</v>
      </c>
      <c r="E1954" s="43" t="s">
        <v>4773</v>
      </c>
      <c r="F1954" s="44"/>
      <c r="G1954" s="46"/>
    </row>
    <row r="1955" spans="2:7" x14ac:dyDescent="0.35">
      <c r="B1955" s="41" t="s">
        <v>1043</v>
      </c>
      <c r="C1955" s="41" t="s">
        <v>1042</v>
      </c>
      <c r="D1955" s="42" t="s">
        <v>1044</v>
      </c>
      <c r="E1955" s="43" t="s">
        <v>4773</v>
      </c>
      <c r="F1955" s="44"/>
      <c r="G1955" s="46"/>
    </row>
    <row r="1956" spans="2:7" x14ac:dyDescent="0.35">
      <c r="B1956" s="41" t="s">
        <v>1046</v>
      </c>
      <c r="C1956" s="41" t="s">
        <v>1045</v>
      </c>
      <c r="D1956" s="42" t="s">
        <v>58</v>
      </c>
      <c r="E1956" s="43" t="s">
        <v>4773</v>
      </c>
      <c r="F1956" s="44"/>
      <c r="G1956" s="46"/>
    </row>
    <row r="1957" spans="2:7" x14ac:dyDescent="0.35">
      <c r="B1957" s="41" t="s">
        <v>1054</v>
      </c>
      <c r="C1957" s="41" t="s">
        <v>1053</v>
      </c>
      <c r="D1957" s="42" t="s">
        <v>1055</v>
      </c>
      <c r="E1957" s="43" t="s">
        <v>4773</v>
      </c>
      <c r="F1957" s="44"/>
      <c r="G1957" s="46"/>
    </row>
    <row r="1958" spans="2:7" x14ac:dyDescent="0.35">
      <c r="B1958" s="41" t="s">
        <v>1071</v>
      </c>
      <c r="C1958" s="41" t="s">
        <v>1070</v>
      </c>
      <c r="D1958" s="42" t="s">
        <v>1072</v>
      </c>
      <c r="E1958" s="43" t="s">
        <v>4773</v>
      </c>
      <c r="F1958" s="44"/>
      <c r="G1958" s="46"/>
    </row>
    <row r="1959" spans="2:7" x14ac:dyDescent="0.35">
      <c r="B1959" s="41" t="s">
        <v>1074</v>
      </c>
      <c r="C1959" s="41" t="s">
        <v>1073</v>
      </c>
      <c r="D1959" s="42" t="s">
        <v>1064</v>
      </c>
      <c r="E1959" s="43" t="s">
        <v>4773</v>
      </c>
      <c r="F1959" s="44"/>
      <c r="G1959" s="46"/>
    </row>
    <row r="1960" spans="2:7" x14ac:dyDescent="0.35">
      <c r="B1960" s="41" t="s">
        <v>1076</v>
      </c>
      <c r="C1960" s="41" t="s">
        <v>1075</v>
      </c>
      <c r="D1960" s="42" t="s">
        <v>922</v>
      </c>
      <c r="E1960" s="43" t="s">
        <v>4773</v>
      </c>
      <c r="F1960" s="44"/>
      <c r="G1960" s="46"/>
    </row>
    <row r="1961" spans="2:7" x14ac:dyDescent="0.35">
      <c r="B1961" s="41" t="s">
        <v>1078</v>
      </c>
      <c r="C1961" s="41" t="s">
        <v>1077</v>
      </c>
      <c r="D1961" s="42" t="s">
        <v>1079</v>
      </c>
      <c r="E1961" s="43" t="s">
        <v>4773</v>
      </c>
      <c r="F1961" s="44"/>
      <c r="G1961" s="46"/>
    </row>
    <row r="1962" spans="2:7" x14ac:dyDescent="0.35">
      <c r="B1962" s="41" t="s">
        <v>1081</v>
      </c>
      <c r="C1962" s="41" t="s">
        <v>1080</v>
      </c>
      <c r="D1962" s="42" t="s">
        <v>1079</v>
      </c>
      <c r="E1962" s="43" t="s">
        <v>4773</v>
      </c>
      <c r="F1962" s="44"/>
      <c r="G1962" s="46"/>
    </row>
    <row r="1963" spans="2:7" x14ac:dyDescent="0.35">
      <c r="B1963" s="41" t="s">
        <v>1083</v>
      </c>
      <c r="C1963" s="41" t="s">
        <v>1082</v>
      </c>
      <c r="D1963" s="42" t="s">
        <v>1079</v>
      </c>
      <c r="E1963" s="43" t="s">
        <v>4773</v>
      </c>
      <c r="F1963" s="44"/>
      <c r="G1963" s="46"/>
    </row>
    <row r="1964" spans="2:7" x14ac:dyDescent="0.35">
      <c r="B1964" s="41" t="s">
        <v>1085</v>
      </c>
      <c r="C1964" s="41" t="s">
        <v>1084</v>
      </c>
      <c r="D1964" s="42" t="s">
        <v>1079</v>
      </c>
      <c r="E1964" s="43" t="s">
        <v>4773</v>
      </c>
      <c r="F1964" s="44"/>
      <c r="G1964" s="46"/>
    </row>
    <row r="1965" spans="2:7" x14ac:dyDescent="0.35">
      <c r="B1965" s="41" t="s">
        <v>1087</v>
      </c>
      <c r="C1965" s="41" t="s">
        <v>1086</v>
      </c>
      <c r="D1965" s="42" t="s">
        <v>1079</v>
      </c>
      <c r="E1965" s="43" t="s">
        <v>4773</v>
      </c>
      <c r="F1965" s="44"/>
      <c r="G1965" s="46"/>
    </row>
    <row r="1966" spans="2:7" x14ac:dyDescent="0.35">
      <c r="B1966" s="41" t="s">
        <v>1089</v>
      </c>
      <c r="C1966" s="41" t="s">
        <v>1088</v>
      </c>
      <c r="D1966" s="42" t="s">
        <v>1064</v>
      </c>
      <c r="E1966" s="43" t="s">
        <v>4773</v>
      </c>
      <c r="F1966" s="44"/>
      <c r="G1966" s="46"/>
    </row>
    <row r="1967" spans="2:7" x14ac:dyDescent="0.35">
      <c r="B1967" s="41" t="s">
        <v>1190</v>
      </c>
      <c r="C1967" s="41" t="s">
        <v>1189</v>
      </c>
      <c r="D1967" s="42" t="s">
        <v>1191</v>
      </c>
      <c r="E1967" s="43" t="s">
        <v>4773</v>
      </c>
      <c r="F1967" s="44"/>
      <c r="G1967" s="46"/>
    </row>
    <row r="1968" spans="2:7" x14ac:dyDescent="0.35">
      <c r="B1968" s="41" t="s">
        <v>1210</v>
      </c>
      <c r="C1968" s="41" t="s">
        <v>1209</v>
      </c>
      <c r="D1968" s="42" t="s">
        <v>933</v>
      </c>
      <c r="E1968" s="43" t="s">
        <v>4773</v>
      </c>
      <c r="F1968" s="44"/>
      <c r="G1968" s="46"/>
    </row>
    <row r="1969" spans="2:7" x14ac:dyDescent="0.35">
      <c r="B1969" s="41" t="s">
        <v>1602</v>
      </c>
      <c r="C1969" s="41" t="s">
        <v>1601</v>
      </c>
      <c r="D1969" s="42" t="s">
        <v>1603</v>
      </c>
      <c r="E1969" s="43" t="s">
        <v>4773</v>
      </c>
      <c r="F1969" s="44"/>
      <c r="G1969" s="46"/>
    </row>
    <row r="1970" spans="2:7" x14ac:dyDescent="0.35">
      <c r="B1970" s="41" t="s">
        <v>1616</v>
      </c>
      <c r="C1970" s="41" t="s">
        <v>1615</v>
      </c>
      <c r="D1970" s="42" t="s">
        <v>1614</v>
      </c>
      <c r="E1970" s="43" t="s">
        <v>4773</v>
      </c>
      <c r="F1970" s="44"/>
      <c r="G1970" s="46"/>
    </row>
    <row r="1971" spans="2:7" x14ac:dyDescent="0.35">
      <c r="B1971" s="41" t="s">
        <v>1620</v>
      </c>
      <c r="C1971" s="41" t="s">
        <v>1619</v>
      </c>
      <c r="D1971" s="42" t="s">
        <v>1614</v>
      </c>
      <c r="E1971" s="43" t="s">
        <v>4773</v>
      </c>
      <c r="F1971" s="44"/>
      <c r="G1971" s="46"/>
    </row>
    <row r="1972" spans="2:7" x14ac:dyDescent="0.35">
      <c r="B1972" s="41" t="s">
        <v>1631</v>
      </c>
      <c r="C1972" s="41" t="s">
        <v>1630</v>
      </c>
      <c r="D1972" s="42" t="s">
        <v>1614</v>
      </c>
      <c r="E1972" s="43" t="s">
        <v>4773</v>
      </c>
      <c r="F1972" s="44"/>
      <c r="G1972" s="46"/>
    </row>
    <row r="1973" spans="2:7" x14ac:dyDescent="0.35">
      <c r="B1973" s="41" t="s">
        <v>1649</v>
      </c>
      <c r="C1973" s="41" t="s">
        <v>1648</v>
      </c>
      <c r="D1973" s="42" t="s">
        <v>1650</v>
      </c>
      <c r="E1973" s="43" t="s">
        <v>4773</v>
      </c>
      <c r="F1973" s="44"/>
      <c r="G1973" s="46"/>
    </row>
    <row r="1974" spans="2:7" x14ac:dyDescent="0.35">
      <c r="B1974" s="41" t="s">
        <v>1652</v>
      </c>
      <c r="C1974" s="41" t="s">
        <v>1651</v>
      </c>
      <c r="D1974" s="42" t="s">
        <v>1650</v>
      </c>
      <c r="E1974" s="43" t="s">
        <v>4773</v>
      </c>
      <c r="F1974" s="44"/>
      <c r="G1974" s="46"/>
    </row>
    <row r="1975" spans="2:7" x14ac:dyDescent="0.35">
      <c r="B1975" s="41" t="s">
        <v>1668</v>
      </c>
      <c r="C1975" s="41" t="s">
        <v>1667</v>
      </c>
      <c r="D1975" s="42" t="s">
        <v>1345</v>
      </c>
      <c r="E1975" s="43" t="s">
        <v>4773</v>
      </c>
      <c r="F1975" s="44"/>
      <c r="G1975" s="46"/>
    </row>
    <row r="1976" spans="2:7" x14ac:dyDescent="0.35">
      <c r="B1976" s="41" t="s">
        <v>1683</v>
      </c>
      <c r="C1976" s="41" t="s">
        <v>1682</v>
      </c>
      <c r="D1976" s="42" t="s">
        <v>1650</v>
      </c>
      <c r="E1976" s="43" t="s">
        <v>4773</v>
      </c>
      <c r="F1976" s="44"/>
      <c r="G1976" s="46"/>
    </row>
    <row r="1977" spans="2:7" x14ac:dyDescent="0.35">
      <c r="B1977" s="41" t="s">
        <v>1685</v>
      </c>
      <c r="C1977" s="41" t="s">
        <v>1684</v>
      </c>
      <c r="D1977" s="42" t="s">
        <v>1650</v>
      </c>
      <c r="E1977" s="43" t="s">
        <v>4773</v>
      </c>
      <c r="F1977" s="44"/>
      <c r="G1977" s="46"/>
    </row>
    <row r="1978" spans="2:7" x14ac:dyDescent="0.35">
      <c r="B1978" s="41" t="s">
        <v>1692</v>
      </c>
      <c r="C1978" s="41" t="s">
        <v>1691</v>
      </c>
      <c r="D1978" s="42" t="s">
        <v>1675</v>
      </c>
      <c r="E1978" s="43" t="s">
        <v>4773</v>
      </c>
      <c r="F1978" s="44"/>
      <c r="G1978" s="46"/>
    </row>
    <row r="1979" spans="2:7" x14ac:dyDescent="0.35">
      <c r="B1979" s="41" t="s">
        <v>1695</v>
      </c>
      <c r="C1979" s="41" t="s">
        <v>1694</v>
      </c>
      <c r="D1979" s="42" t="s">
        <v>1675</v>
      </c>
      <c r="E1979" s="43" t="s">
        <v>4773</v>
      </c>
      <c r="F1979" s="44"/>
      <c r="G1979" s="46"/>
    </row>
    <row r="1980" spans="2:7" x14ac:dyDescent="0.35">
      <c r="B1980" s="41" t="s">
        <v>1697</v>
      </c>
      <c r="C1980" s="41" t="s">
        <v>1696</v>
      </c>
      <c r="D1980" s="42" t="s">
        <v>1698</v>
      </c>
      <c r="E1980" s="43" t="s">
        <v>4773</v>
      </c>
      <c r="F1980" s="44"/>
      <c r="G1980" s="46"/>
    </row>
    <row r="1981" spans="2:7" x14ac:dyDescent="0.35">
      <c r="B1981" s="41" t="s">
        <v>1700</v>
      </c>
      <c r="C1981" s="41" t="s">
        <v>1699</v>
      </c>
      <c r="D1981" s="42" t="s">
        <v>1698</v>
      </c>
      <c r="E1981" s="43" t="s">
        <v>4773</v>
      </c>
      <c r="F1981" s="44"/>
      <c r="G1981" s="46"/>
    </row>
    <row r="1982" spans="2:7" x14ac:dyDescent="0.35">
      <c r="B1982" s="41" t="s">
        <v>1702</v>
      </c>
      <c r="C1982" s="41" t="s">
        <v>1701</v>
      </c>
      <c r="D1982" s="42" t="s">
        <v>1698</v>
      </c>
      <c r="E1982" s="43" t="s">
        <v>4773</v>
      </c>
      <c r="F1982" s="44"/>
      <c r="G1982" s="46"/>
    </row>
    <row r="1983" spans="2:7" x14ac:dyDescent="0.35">
      <c r="B1983" s="45" t="s">
        <v>1704</v>
      </c>
      <c r="C1983" s="45" t="s">
        <v>1703</v>
      </c>
      <c r="D1983" s="42" t="s">
        <v>1698</v>
      </c>
      <c r="E1983" s="43" t="s">
        <v>4773</v>
      </c>
      <c r="F1983" s="44"/>
      <c r="G1983" s="46"/>
    </row>
    <row r="1984" spans="2:7" x14ac:dyDescent="0.35">
      <c r="B1984" s="41" t="s">
        <v>1706</v>
      </c>
      <c r="C1984" s="41" t="s">
        <v>1705</v>
      </c>
      <c r="D1984" s="42" t="s">
        <v>1698</v>
      </c>
      <c r="E1984" s="43" t="s">
        <v>4773</v>
      </c>
      <c r="F1984" s="44"/>
      <c r="G1984" s="46"/>
    </row>
    <row r="1985" spans="2:7" x14ac:dyDescent="0.35">
      <c r="B1985" s="41" t="s">
        <v>1708</v>
      </c>
      <c r="C1985" s="41" t="s">
        <v>1707</v>
      </c>
      <c r="D1985" s="42" t="s">
        <v>1698</v>
      </c>
      <c r="E1985" s="43" t="s">
        <v>4773</v>
      </c>
      <c r="F1985" s="44"/>
      <c r="G1985" s="46"/>
    </row>
    <row r="1986" spans="2:7" x14ac:dyDescent="0.35">
      <c r="B1986" s="41" t="s">
        <v>1717</v>
      </c>
      <c r="C1986" s="41" t="s">
        <v>1716</v>
      </c>
      <c r="D1986" s="42" t="s">
        <v>4565</v>
      </c>
      <c r="E1986" s="43" t="s">
        <v>4773</v>
      </c>
      <c r="F1986" s="44"/>
      <c r="G1986" s="46"/>
    </row>
    <row r="1987" spans="2:7" x14ac:dyDescent="0.35">
      <c r="B1987" s="41" t="s">
        <v>1773</v>
      </c>
      <c r="C1987" s="41" t="s">
        <v>1772</v>
      </c>
      <c r="D1987" s="42" t="s">
        <v>1643</v>
      </c>
      <c r="E1987" s="43" t="s">
        <v>4773</v>
      </c>
      <c r="F1987" s="44"/>
      <c r="G1987" s="46"/>
    </row>
    <row r="1988" spans="2:7" x14ac:dyDescent="0.35">
      <c r="B1988" s="41" t="s">
        <v>1782</v>
      </c>
      <c r="C1988" s="41" t="s">
        <v>1781</v>
      </c>
      <c r="D1988" s="42" t="s">
        <v>49</v>
      </c>
      <c r="E1988" s="43" t="s">
        <v>4773</v>
      </c>
      <c r="F1988" s="44"/>
      <c r="G1988" s="46"/>
    </row>
    <row r="1989" spans="2:7" x14ac:dyDescent="0.35">
      <c r="B1989" s="41" t="s">
        <v>1784</v>
      </c>
      <c r="C1989" s="41" t="s">
        <v>1783</v>
      </c>
      <c r="D1989" s="42" t="s">
        <v>49</v>
      </c>
      <c r="E1989" s="43" t="s">
        <v>4773</v>
      </c>
      <c r="F1989" s="44"/>
      <c r="G1989" s="46"/>
    </row>
    <row r="1990" spans="2:7" x14ac:dyDescent="0.35">
      <c r="B1990" s="41" t="s">
        <v>1795</v>
      </c>
      <c r="C1990" s="41" t="s">
        <v>1794</v>
      </c>
      <c r="D1990" s="42" t="s">
        <v>1225</v>
      </c>
      <c r="E1990" s="43" t="s">
        <v>4773</v>
      </c>
      <c r="F1990" s="44"/>
      <c r="G1990" s="46"/>
    </row>
    <row r="1991" spans="2:7" x14ac:dyDescent="0.35">
      <c r="B1991" s="41" t="s">
        <v>1955</v>
      </c>
      <c r="C1991" s="41" t="s">
        <v>1954</v>
      </c>
      <c r="D1991" s="42" t="s">
        <v>1956</v>
      </c>
      <c r="E1991" s="43" t="s">
        <v>4773</v>
      </c>
      <c r="F1991" s="44"/>
      <c r="G1991" s="46"/>
    </row>
    <row r="1992" spans="2:7" x14ac:dyDescent="0.35">
      <c r="B1992" s="41" t="s">
        <v>1958</v>
      </c>
      <c r="C1992" s="41" t="s">
        <v>1957</v>
      </c>
      <c r="D1992" s="42" t="s">
        <v>249</v>
      </c>
      <c r="E1992" s="43" t="s">
        <v>4773</v>
      </c>
      <c r="F1992" s="44"/>
      <c r="G1992" s="46"/>
    </row>
    <row r="1993" spans="2:7" x14ac:dyDescent="0.4">
      <c r="B1993" s="46" t="s">
        <v>1964</v>
      </c>
      <c r="C1993" s="46" t="s">
        <v>1963</v>
      </c>
      <c r="D1993" s="42" t="s">
        <v>1965</v>
      </c>
      <c r="E1993" s="43" t="s">
        <v>4773</v>
      </c>
      <c r="F1993" s="44"/>
      <c r="G1993" s="46"/>
    </row>
    <row r="1994" spans="2:7" x14ac:dyDescent="0.35">
      <c r="B1994" s="41" t="s">
        <v>1973</v>
      </c>
      <c r="C1994" s="41" t="s">
        <v>1972</v>
      </c>
      <c r="D1994" s="42" t="s">
        <v>1974</v>
      </c>
      <c r="E1994" s="43" t="s">
        <v>4773</v>
      </c>
      <c r="F1994" s="44"/>
      <c r="G1994" s="46"/>
    </row>
    <row r="1995" spans="2:7" x14ac:dyDescent="0.35">
      <c r="B1995" s="41" t="s">
        <v>1980</v>
      </c>
      <c r="C1995" s="45" t="s">
        <v>1979</v>
      </c>
      <c r="D1995" s="42" t="s">
        <v>4833</v>
      </c>
      <c r="E1995" s="43" t="s">
        <v>4773</v>
      </c>
      <c r="F1995" s="44"/>
      <c r="G1995" s="46"/>
    </row>
    <row r="1996" spans="2:7" x14ac:dyDescent="0.4">
      <c r="B1996" s="46" t="s">
        <v>1986</v>
      </c>
      <c r="C1996" s="46" t="s">
        <v>1985</v>
      </c>
      <c r="D1996" s="42" t="s">
        <v>503</v>
      </c>
      <c r="E1996" s="43" t="s">
        <v>4773</v>
      </c>
      <c r="F1996" s="44"/>
      <c r="G1996" s="46"/>
    </row>
    <row r="1997" spans="2:7" x14ac:dyDescent="0.35">
      <c r="B1997" s="41" t="s">
        <v>1988</v>
      </c>
      <c r="C1997" s="41" t="s">
        <v>1987</v>
      </c>
      <c r="D1997" s="42" t="s">
        <v>340</v>
      </c>
      <c r="E1997" s="43" t="s">
        <v>4773</v>
      </c>
      <c r="F1997" s="44"/>
      <c r="G1997" s="46"/>
    </row>
    <row r="1998" spans="2:7" x14ac:dyDescent="0.35">
      <c r="B1998" s="41" t="s">
        <v>1992</v>
      </c>
      <c r="C1998" s="41" t="s">
        <v>1991</v>
      </c>
      <c r="D1998" s="42" t="s">
        <v>1956</v>
      </c>
      <c r="E1998" s="43" t="s">
        <v>4773</v>
      </c>
      <c r="F1998" s="44"/>
      <c r="G1998" s="46"/>
    </row>
    <row r="1999" spans="2:7" x14ac:dyDescent="0.35">
      <c r="B1999" s="41" t="s">
        <v>1994</v>
      </c>
      <c r="C1999" s="41" t="s">
        <v>1993</v>
      </c>
      <c r="D1999" s="42" t="s">
        <v>1956</v>
      </c>
      <c r="E1999" s="43" t="s">
        <v>4773</v>
      </c>
      <c r="F1999" s="44"/>
      <c r="G1999" s="46"/>
    </row>
    <row r="2000" spans="2:7" x14ac:dyDescent="0.35">
      <c r="B2000" s="41" t="s">
        <v>2028</v>
      </c>
      <c r="C2000" s="41" t="s">
        <v>2027</v>
      </c>
      <c r="D2000" s="42" t="s">
        <v>2029</v>
      </c>
      <c r="E2000" s="43" t="s">
        <v>4773</v>
      </c>
      <c r="F2000" s="44"/>
      <c r="G2000" s="46"/>
    </row>
    <row r="2001" spans="2:7" x14ac:dyDescent="0.35">
      <c r="B2001" s="41" t="s">
        <v>2057</v>
      </c>
      <c r="C2001" s="45" t="s">
        <v>2056</v>
      </c>
      <c r="D2001" s="42" t="s">
        <v>2049</v>
      </c>
      <c r="E2001" s="43" t="s">
        <v>4773</v>
      </c>
      <c r="F2001" s="44"/>
      <c r="G2001" s="46"/>
    </row>
    <row r="2002" spans="2:7" x14ac:dyDescent="0.35">
      <c r="B2002" s="41" t="s">
        <v>2275</v>
      </c>
      <c r="C2002" s="41" t="s">
        <v>2274</v>
      </c>
      <c r="D2002" s="42" t="s">
        <v>2276</v>
      </c>
      <c r="E2002" s="43" t="s">
        <v>4773</v>
      </c>
      <c r="F2002" s="44"/>
      <c r="G2002" s="46"/>
    </row>
    <row r="2003" spans="2:7" x14ac:dyDescent="0.35">
      <c r="B2003" s="41" t="s">
        <v>2278</v>
      </c>
      <c r="C2003" s="41" t="s">
        <v>2277</v>
      </c>
      <c r="D2003" s="42" t="s">
        <v>4663</v>
      </c>
      <c r="E2003" s="43" t="s">
        <v>4773</v>
      </c>
      <c r="F2003" s="44"/>
      <c r="G2003" s="46"/>
    </row>
    <row r="2004" spans="2:7" x14ac:dyDescent="0.35">
      <c r="B2004" s="41" t="s">
        <v>2280</v>
      </c>
      <c r="C2004" s="41" t="s">
        <v>2279</v>
      </c>
      <c r="D2004" s="42" t="s">
        <v>2276</v>
      </c>
      <c r="E2004" s="43" t="s">
        <v>4773</v>
      </c>
      <c r="F2004" s="44"/>
      <c r="G2004" s="46"/>
    </row>
    <row r="2005" spans="2:7" x14ac:dyDescent="0.35">
      <c r="B2005" s="41" t="s">
        <v>2284</v>
      </c>
      <c r="C2005" s="41" t="s">
        <v>2283</v>
      </c>
      <c r="D2005" s="42" t="s">
        <v>2276</v>
      </c>
      <c r="E2005" s="43" t="s">
        <v>4773</v>
      </c>
      <c r="F2005" s="44"/>
      <c r="G2005" s="46"/>
    </row>
    <row r="2006" spans="2:7" x14ac:dyDescent="0.35">
      <c r="B2006" s="41" t="s">
        <v>2292</v>
      </c>
      <c r="C2006" s="41" t="s">
        <v>2291</v>
      </c>
      <c r="D2006" s="42" t="s">
        <v>4564</v>
      </c>
      <c r="E2006" s="43" t="s">
        <v>4773</v>
      </c>
      <c r="F2006" s="44"/>
      <c r="G2006" s="46"/>
    </row>
    <row r="2007" spans="2:7" x14ac:dyDescent="0.35">
      <c r="B2007" s="41" t="s">
        <v>2297</v>
      </c>
      <c r="C2007" s="41" t="s">
        <v>2296</v>
      </c>
      <c r="D2007" s="42" t="s">
        <v>355</v>
      </c>
      <c r="E2007" s="43" t="s">
        <v>4773</v>
      </c>
      <c r="F2007" s="44"/>
      <c r="G2007" s="46"/>
    </row>
    <row r="2008" spans="2:7" x14ac:dyDescent="0.35">
      <c r="B2008" s="41" t="s">
        <v>2327</v>
      </c>
      <c r="C2008" s="41" t="s">
        <v>2326</v>
      </c>
      <c r="D2008" s="42" t="s">
        <v>2325</v>
      </c>
      <c r="E2008" s="43" t="s">
        <v>4773</v>
      </c>
      <c r="F2008" s="44"/>
      <c r="G2008" s="46"/>
    </row>
    <row r="2009" spans="2:7" x14ac:dyDescent="0.35">
      <c r="B2009" s="41" t="s">
        <v>2329</v>
      </c>
      <c r="C2009" s="41" t="s">
        <v>2328</v>
      </c>
      <c r="D2009" s="42" t="s">
        <v>2325</v>
      </c>
      <c r="E2009" s="43" t="s">
        <v>4773</v>
      </c>
      <c r="F2009" s="44"/>
      <c r="G2009" s="46"/>
    </row>
    <row r="2010" spans="2:7" x14ac:dyDescent="0.35">
      <c r="B2010" s="41" t="s">
        <v>2331</v>
      </c>
      <c r="C2010" s="41" t="s">
        <v>2330</v>
      </c>
      <c r="D2010" s="42" t="s">
        <v>2325</v>
      </c>
      <c r="E2010" s="43" t="s">
        <v>4773</v>
      </c>
      <c r="F2010" s="44"/>
      <c r="G2010" s="46"/>
    </row>
    <row r="2011" spans="2:7" x14ac:dyDescent="0.35">
      <c r="B2011" s="41" t="s">
        <v>2333</v>
      </c>
      <c r="C2011" s="41" t="s">
        <v>2332</v>
      </c>
      <c r="D2011" s="42" t="s">
        <v>2325</v>
      </c>
      <c r="E2011" s="43" t="s">
        <v>4773</v>
      </c>
      <c r="F2011" s="44"/>
      <c r="G2011" s="46"/>
    </row>
    <row r="2012" spans="2:7" x14ac:dyDescent="0.35">
      <c r="B2012" s="41" t="s">
        <v>2337</v>
      </c>
      <c r="C2012" s="41" t="s">
        <v>2336</v>
      </c>
      <c r="D2012" s="42" t="s">
        <v>2325</v>
      </c>
      <c r="E2012" s="43" t="s">
        <v>4773</v>
      </c>
      <c r="F2012" s="44"/>
      <c r="G2012" s="46"/>
    </row>
    <row r="2013" spans="2:7" x14ac:dyDescent="0.35">
      <c r="B2013" s="41" t="s">
        <v>2339</v>
      </c>
      <c r="C2013" s="41" t="s">
        <v>2338</v>
      </c>
      <c r="D2013" s="42" t="s">
        <v>2340</v>
      </c>
      <c r="E2013" s="43" t="s">
        <v>4773</v>
      </c>
      <c r="F2013" s="44"/>
      <c r="G2013" s="46"/>
    </row>
    <row r="2014" spans="2:7" x14ac:dyDescent="0.35">
      <c r="B2014" s="41" t="s">
        <v>2342</v>
      </c>
      <c r="C2014" s="41" t="s">
        <v>2341</v>
      </c>
      <c r="D2014" s="42" t="s">
        <v>2340</v>
      </c>
      <c r="E2014" s="43" t="s">
        <v>4773</v>
      </c>
      <c r="F2014" s="44"/>
      <c r="G2014" s="46"/>
    </row>
    <row r="2015" spans="2:7" x14ac:dyDescent="0.35">
      <c r="B2015" s="41" t="s">
        <v>2344</v>
      </c>
      <c r="C2015" s="41" t="s">
        <v>2343</v>
      </c>
      <c r="D2015" s="42" t="s">
        <v>2340</v>
      </c>
      <c r="E2015" s="43" t="s">
        <v>4773</v>
      </c>
      <c r="F2015" s="44"/>
      <c r="G2015" s="46"/>
    </row>
    <row r="2016" spans="2:7" x14ac:dyDescent="0.35">
      <c r="B2016" s="41" t="s">
        <v>2346</v>
      </c>
      <c r="C2016" s="41" t="s">
        <v>2345</v>
      </c>
      <c r="D2016" s="42" t="s">
        <v>2340</v>
      </c>
      <c r="E2016" s="43" t="s">
        <v>4773</v>
      </c>
      <c r="F2016" s="44"/>
      <c r="G2016" s="46"/>
    </row>
    <row r="2017" spans="2:7" x14ac:dyDescent="0.35">
      <c r="B2017" s="45" t="s">
        <v>2348</v>
      </c>
      <c r="C2017" s="45" t="s">
        <v>2347</v>
      </c>
      <c r="D2017" s="42" t="s">
        <v>366</v>
      </c>
      <c r="E2017" s="43" t="s">
        <v>4773</v>
      </c>
      <c r="F2017" s="44"/>
      <c r="G2017" s="46"/>
    </row>
    <row r="2018" spans="2:7" x14ac:dyDescent="0.35">
      <c r="B2018" s="45" t="s">
        <v>2355</v>
      </c>
      <c r="C2018" s="45" t="s">
        <v>2354</v>
      </c>
      <c r="D2018" s="42" t="s">
        <v>2356</v>
      </c>
      <c r="E2018" s="43" t="s">
        <v>4773</v>
      </c>
      <c r="F2018" s="44"/>
      <c r="G2018" s="46"/>
    </row>
    <row r="2019" spans="2:7" x14ac:dyDescent="0.35">
      <c r="B2019" s="41" t="s">
        <v>2358</v>
      </c>
      <c r="C2019" s="41" t="s">
        <v>2357</v>
      </c>
      <c r="D2019" s="42" t="s">
        <v>4664</v>
      </c>
      <c r="E2019" s="43" t="s">
        <v>4773</v>
      </c>
      <c r="F2019" s="44"/>
      <c r="G2019" s="46"/>
    </row>
    <row r="2020" spans="2:7" x14ac:dyDescent="0.35">
      <c r="B2020" s="41" t="s">
        <v>2360</v>
      </c>
      <c r="C2020" s="41" t="s">
        <v>2359</v>
      </c>
      <c r="D2020" s="42" t="s">
        <v>2361</v>
      </c>
      <c r="E2020" s="43" t="s">
        <v>4773</v>
      </c>
      <c r="F2020" s="44"/>
      <c r="G2020" s="46"/>
    </row>
    <row r="2021" spans="2:7" x14ac:dyDescent="0.35">
      <c r="B2021" s="41" t="s">
        <v>2363</v>
      </c>
      <c r="C2021" s="41" t="s">
        <v>2362</v>
      </c>
      <c r="D2021" s="42" t="s">
        <v>2139</v>
      </c>
      <c r="E2021" s="43" t="s">
        <v>4773</v>
      </c>
      <c r="F2021" s="44"/>
      <c r="G2021" s="46"/>
    </row>
    <row r="2022" spans="2:7" x14ac:dyDescent="0.35">
      <c r="B2022" s="41" t="s">
        <v>2365</v>
      </c>
      <c r="C2022" s="41" t="s">
        <v>2364</v>
      </c>
      <c r="D2022" s="42" t="s">
        <v>2139</v>
      </c>
      <c r="E2022" s="43" t="s">
        <v>4773</v>
      </c>
      <c r="F2022" s="44"/>
      <c r="G2022" s="46"/>
    </row>
    <row r="2023" spans="2:7" x14ac:dyDescent="0.35">
      <c r="B2023" s="41" t="s">
        <v>2367</v>
      </c>
      <c r="C2023" s="41" t="s">
        <v>2366</v>
      </c>
      <c r="D2023" s="42" t="s">
        <v>2082</v>
      </c>
      <c r="E2023" s="43" t="s">
        <v>4773</v>
      </c>
      <c r="F2023" s="44"/>
      <c r="G2023" s="46"/>
    </row>
    <row r="2024" spans="2:7" x14ac:dyDescent="0.35">
      <c r="B2024" s="41" t="s">
        <v>2406</v>
      </c>
      <c r="C2024" s="41" t="s">
        <v>2405</v>
      </c>
      <c r="D2024" s="42" t="s">
        <v>366</v>
      </c>
      <c r="E2024" s="43" t="s">
        <v>4773</v>
      </c>
      <c r="F2024" s="44"/>
      <c r="G2024" s="46"/>
    </row>
    <row r="2025" spans="2:7" x14ac:dyDescent="0.35">
      <c r="B2025" s="41" t="s">
        <v>2408</v>
      </c>
      <c r="C2025" s="41" t="s">
        <v>2407</v>
      </c>
      <c r="D2025" s="42" t="s">
        <v>2400</v>
      </c>
      <c r="E2025" s="43" t="s">
        <v>4773</v>
      </c>
      <c r="F2025" s="44"/>
      <c r="G2025" s="46"/>
    </row>
    <row r="2026" spans="2:7" x14ac:dyDescent="0.35">
      <c r="B2026" s="41" t="s">
        <v>2410</v>
      </c>
      <c r="C2026" s="41" t="s">
        <v>2409</v>
      </c>
      <c r="D2026" s="42" t="s">
        <v>2400</v>
      </c>
      <c r="E2026" s="43" t="s">
        <v>4773</v>
      </c>
      <c r="F2026" s="44"/>
      <c r="G2026" s="46"/>
    </row>
    <row r="2027" spans="2:7" x14ac:dyDescent="0.35">
      <c r="B2027" s="41" t="s">
        <v>2412</v>
      </c>
      <c r="C2027" s="41" t="s">
        <v>2411</v>
      </c>
      <c r="D2027" s="42" t="s">
        <v>2400</v>
      </c>
      <c r="E2027" s="43" t="s">
        <v>4773</v>
      </c>
      <c r="F2027" s="44"/>
      <c r="G2027" s="46"/>
    </row>
    <row r="2028" spans="2:7" x14ac:dyDescent="0.35">
      <c r="B2028" s="41" t="s">
        <v>2414</v>
      </c>
      <c r="C2028" s="41" t="s">
        <v>2413</v>
      </c>
      <c r="D2028" s="42" t="s">
        <v>2400</v>
      </c>
      <c r="E2028" s="43" t="s">
        <v>4773</v>
      </c>
      <c r="F2028" s="44"/>
      <c r="G2028" s="46"/>
    </row>
    <row r="2029" spans="2:7" x14ac:dyDescent="0.35">
      <c r="B2029" s="41" t="s">
        <v>2416</v>
      </c>
      <c r="C2029" s="41" t="s">
        <v>2415</v>
      </c>
      <c r="D2029" s="42" t="s">
        <v>2085</v>
      </c>
      <c r="E2029" s="43" t="s">
        <v>4773</v>
      </c>
      <c r="F2029" s="44"/>
      <c r="G2029" s="46"/>
    </row>
    <row r="2030" spans="2:7" x14ac:dyDescent="0.35">
      <c r="B2030" s="41" t="s">
        <v>2420</v>
      </c>
      <c r="C2030" s="41" t="s">
        <v>2419</v>
      </c>
      <c r="D2030" s="42" t="s">
        <v>2421</v>
      </c>
      <c r="E2030" s="43" t="s">
        <v>4773</v>
      </c>
      <c r="F2030" s="44"/>
      <c r="G2030" s="46"/>
    </row>
    <row r="2031" spans="2:7" x14ac:dyDescent="0.35">
      <c r="B2031" s="41" t="s">
        <v>2423</v>
      </c>
      <c r="C2031" s="41" t="s">
        <v>2422</v>
      </c>
      <c r="D2031" s="42" t="s">
        <v>2267</v>
      </c>
      <c r="E2031" s="43" t="s">
        <v>4773</v>
      </c>
      <c r="F2031" s="44"/>
      <c r="G2031" s="46"/>
    </row>
    <row r="2032" spans="2:7" x14ac:dyDescent="0.35">
      <c r="B2032" s="41" t="s">
        <v>2425</v>
      </c>
      <c r="C2032" s="41" t="s">
        <v>2424</v>
      </c>
      <c r="D2032" s="42" t="s">
        <v>2191</v>
      </c>
      <c r="E2032" s="43" t="s">
        <v>4773</v>
      </c>
      <c r="F2032" s="44"/>
      <c r="G2032" s="46"/>
    </row>
    <row r="2033" spans="2:7" x14ac:dyDescent="0.35">
      <c r="B2033" s="41" t="s">
        <v>2427</v>
      </c>
      <c r="C2033" s="41" t="s">
        <v>2426</v>
      </c>
      <c r="D2033" s="42" t="s">
        <v>4662</v>
      </c>
      <c r="E2033" s="43" t="s">
        <v>4773</v>
      </c>
      <c r="F2033" s="44"/>
      <c r="G2033" s="46"/>
    </row>
    <row r="2034" spans="2:7" x14ac:dyDescent="0.35">
      <c r="B2034" s="41" t="s">
        <v>2429</v>
      </c>
      <c r="C2034" s="41" t="s">
        <v>2428</v>
      </c>
      <c r="D2034" s="42" t="s">
        <v>2191</v>
      </c>
      <c r="E2034" s="43" t="s">
        <v>4773</v>
      </c>
      <c r="F2034" s="44"/>
      <c r="G2034" s="46"/>
    </row>
    <row r="2035" spans="2:7" x14ac:dyDescent="0.35">
      <c r="B2035" s="41" t="s">
        <v>2431</v>
      </c>
      <c r="C2035" s="41" t="s">
        <v>2430</v>
      </c>
      <c r="D2035" s="42" t="s">
        <v>2267</v>
      </c>
      <c r="E2035" s="43" t="s">
        <v>4773</v>
      </c>
      <c r="F2035" s="44"/>
      <c r="G2035" s="46"/>
    </row>
    <row r="2036" spans="2:7" x14ac:dyDescent="0.35">
      <c r="B2036" s="46" t="s">
        <v>2433</v>
      </c>
      <c r="C2036" s="41" t="s">
        <v>2432</v>
      </c>
      <c r="D2036" s="42" t="s">
        <v>1956</v>
      </c>
      <c r="E2036" s="43" t="s">
        <v>4773</v>
      </c>
      <c r="F2036" s="44"/>
      <c r="G2036" s="46"/>
    </row>
    <row r="2037" spans="2:7" x14ac:dyDescent="0.35">
      <c r="B2037" s="41" t="s">
        <v>2435</v>
      </c>
      <c r="C2037" s="41" t="s">
        <v>2434</v>
      </c>
      <c r="D2037" s="42" t="s">
        <v>2215</v>
      </c>
      <c r="E2037" s="43" t="s">
        <v>4773</v>
      </c>
      <c r="F2037" s="44"/>
      <c r="G2037" s="46"/>
    </row>
    <row r="2038" spans="2:7" x14ac:dyDescent="0.35">
      <c r="B2038" s="41" t="s">
        <v>2437</v>
      </c>
      <c r="C2038" s="41" t="s">
        <v>2436</v>
      </c>
      <c r="D2038" s="42" t="s">
        <v>2215</v>
      </c>
      <c r="E2038" s="43" t="s">
        <v>4773</v>
      </c>
      <c r="F2038" s="44"/>
      <c r="G2038" s="46"/>
    </row>
    <row r="2039" spans="2:7" x14ac:dyDescent="0.35">
      <c r="B2039" s="41" t="s">
        <v>2439</v>
      </c>
      <c r="C2039" s="41" t="s">
        <v>2438</v>
      </c>
      <c r="D2039" s="42" t="s">
        <v>2215</v>
      </c>
      <c r="E2039" s="43" t="s">
        <v>4773</v>
      </c>
      <c r="F2039" s="44"/>
      <c r="G2039" s="46"/>
    </row>
    <row r="2040" spans="2:7" x14ac:dyDescent="0.35">
      <c r="B2040" s="41" t="s">
        <v>2441</v>
      </c>
      <c r="C2040" s="41" t="s">
        <v>2440</v>
      </c>
      <c r="D2040" s="42" t="s">
        <v>2215</v>
      </c>
      <c r="E2040" s="43" t="s">
        <v>4773</v>
      </c>
      <c r="F2040" s="44"/>
      <c r="G2040" s="46"/>
    </row>
    <row r="2041" spans="2:7" x14ac:dyDescent="0.35">
      <c r="B2041" s="41" t="s">
        <v>2443</v>
      </c>
      <c r="C2041" s="41" t="s">
        <v>2442</v>
      </c>
      <c r="D2041" s="42" t="s">
        <v>2215</v>
      </c>
      <c r="E2041" s="43" t="s">
        <v>4773</v>
      </c>
      <c r="F2041" s="44"/>
      <c r="G2041" s="46"/>
    </row>
    <row r="2042" spans="2:7" x14ac:dyDescent="0.35">
      <c r="B2042" s="41" t="s">
        <v>2619</v>
      </c>
      <c r="C2042" s="41" t="s">
        <v>2618</v>
      </c>
      <c r="D2042" s="42" t="s">
        <v>2620</v>
      </c>
      <c r="E2042" s="43" t="s">
        <v>4773</v>
      </c>
      <c r="F2042" s="44"/>
      <c r="G2042" s="46"/>
    </row>
    <row r="2043" spans="2:7" x14ac:dyDescent="0.35">
      <c r="B2043" s="41" t="s">
        <v>2622</v>
      </c>
      <c r="C2043" s="41" t="s">
        <v>2621</v>
      </c>
      <c r="D2043" s="42" t="s">
        <v>705</v>
      </c>
      <c r="E2043" s="43" t="s">
        <v>4773</v>
      </c>
      <c r="F2043" s="44"/>
      <c r="G2043" s="46"/>
    </row>
    <row r="2044" spans="2:7" x14ac:dyDescent="0.35">
      <c r="B2044" s="41" t="s">
        <v>2974</v>
      </c>
      <c r="C2044" s="41" t="s">
        <v>2973</v>
      </c>
      <c r="D2044" s="42" t="s">
        <v>2975</v>
      </c>
      <c r="E2044" s="43" t="s">
        <v>4773</v>
      </c>
      <c r="F2044" s="44"/>
      <c r="G2044" s="46"/>
    </row>
    <row r="2045" spans="2:7" x14ac:dyDescent="0.35">
      <c r="B2045" s="41" t="s">
        <v>2994</v>
      </c>
      <c r="C2045" s="41" t="s">
        <v>2993</v>
      </c>
      <c r="D2045" s="42" t="s">
        <v>2975</v>
      </c>
      <c r="E2045" s="43" t="s">
        <v>4773</v>
      </c>
      <c r="F2045" s="44"/>
      <c r="G2045" s="46"/>
    </row>
    <row r="2046" spans="2:7" x14ac:dyDescent="0.35">
      <c r="B2046" s="41" t="s">
        <v>2996</v>
      </c>
      <c r="C2046" s="41" t="s">
        <v>2995</v>
      </c>
      <c r="D2046" s="42" t="s">
        <v>2975</v>
      </c>
      <c r="E2046" s="43" t="s">
        <v>4773</v>
      </c>
      <c r="F2046" s="44"/>
      <c r="G2046" s="46"/>
    </row>
    <row r="2047" spans="2:7" x14ac:dyDescent="0.35">
      <c r="B2047" s="41" t="s">
        <v>3007</v>
      </c>
      <c r="C2047" s="41" t="s">
        <v>3006</v>
      </c>
      <c r="D2047" s="42" t="s">
        <v>2975</v>
      </c>
      <c r="E2047" s="43" t="s">
        <v>4773</v>
      </c>
      <c r="F2047" s="44"/>
      <c r="G2047" s="46"/>
    </row>
    <row r="2048" spans="2:7" x14ac:dyDescent="0.35">
      <c r="B2048" s="41" t="s">
        <v>3009</v>
      </c>
      <c r="C2048" s="41" t="s">
        <v>3008</v>
      </c>
      <c r="D2048" s="42" t="s">
        <v>2975</v>
      </c>
      <c r="E2048" s="43" t="s">
        <v>4773</v>
      </c>
      <c r="F2048" s="44"/>
      <c r="G2048" s="46"/>
    </row>
    <row r="2049" spans="2:7" x14ac:dyDescent="0.35">
      <c r="B2049" s="41" t="s">
        <v>3011</v>
      </c>
      <c r="C2049" s="41" t="s">
        <v>3010</v>
      </c>
      <c r="D2049" s="42" t="s">
        <v>2975</v>
      </c>
      <c r="E2049" s="43" t="s">
        <v>4773</v>
      </c>
      <c r="F2049" s="44"/>
      <c r="G2049" s="46"/>
    </row>
    <row r="2050" spans="2:7" x14ac:dyDescent="0.35">
      <c r="B2050" s="41" t="s">
        <v>3013</v>
      </c>
      <c r="C2050" s="41" t="s">
        <v>3012</v>
      </c>
      <c r="D2050" s="42" t="s">
        <v>2975</v>
      </c>
      <c r="E2050" s="43" t="s">
        <v>4773</v>
      </c>
      <c r="F2050" s="44"/>
      <c r="G2050" s="46"/>
    </row>
    <row r="2051" spans="2:7" x14ac:dyDescent="0.35">
      <c r="B2051" s="41" t="s">
        <v>3015</v>
      </c>
      <c r="C2051" s="41" t="s">
        <v>3014</v>
      </c>
      <c r="D2051" s="42" t="s">
        <v>3016</v>
      </c>
      <c r="E2051" s="43" t="s">
        <v>4773</v>
      </c>
      <c r="F2051" s="44"/>
      <c r="G2051" s="46"/>
    </row>
    <row r="2052" spans="2:7" x14ac:dyDescent="0.35">
      <c r="B2052" s="41" t="s">
        <v>3018</v>
      </c>
      <c r="C2052" s="41" t="s">
        <v>3017</v>
      </c>
      <c r="D2052" s="42" t="s">
        <v>3016</v>
      </c>
      <c r="E2052" s="43" t="s">
        <v>4773</v>
      </c>
      <c r="F2052" s="44"/>
      <c r="G2052" s="46"/>
    </row>
    <row r="2053" spans="2:7" x14ac:dyDescent="0.35">
      <c r="B2053" s="41" t="s">
        <v>3036</v>
      </c>
      <c r="C2053" s="41" t="s">
        <v>3035</v>
      </c>
      <c r="D2053" s="42" t="s">
        <v>3016</v>
      </c>
      <c r="E2053" s="43" t="s">
        <v>4773</v>
      </c>
      <c r="F2053" s="44"/>
      <c r="G2053" s="46"/>
    </row>
    <row r="2054" spans="2:7" x14ac:dyDescent="0.35">
      <c r="B2054" s="41" t="s">
        <v>3087</v>
      </c>
      <c r="C2054" s="41" t="s">
        <v>3086</v>
      </c>
      <c r="D2054" s="42" t="s">
        <v>3016</v>
      </c>
      <c r="E2054" s="43" t="s">
        <v>4773</v>
      </c>
      <c r="F2054" s="44"/>
      <c r="G2054" s="46"/>
    </row>
    <row r="2055" spans="2:7" x14ac:dyDescent="0.35">
      <c r="B2055" s="41" t="s">
        <v>3110</v>
      </c>
      <c r="C2055" s="41" t="s">
        <v>3109</v>
      </c>
      <c r="D2055" s="42" t="s">
        <v>3016</v>
      </c>
      <c r="E2055" s="43" t="s">
        <v>4773</v>
      </c>
      <c r="F2055" s="44"/>
      <c r="G2055" s="46"/>
    </row>
    <row r="2056" spans="2:7" x14ac:dyDescent="0.35">
      <c r="B2056" s="41" t="s">
        <v>3120</v>
      </c>
      <c r="C2056" s="41" t="s">
        <v>3119</v>
      </c>
      <c r="D2056" s="42" t="s">
        <v>3016</v>
      </c>
      <c r="E2056" s="43" t="s">
        <v>4773</v>
      </c>
      <c r="F2056" s="44"/>
      <c r="G2056" s="46"/>
    </row>
    <row r="2057" spans="2:7" x14ac:dyDescent="0.35">
      <c r="B2057" s="41" t="s">
        <v>3146</v>
      </c>
      <c r="C2057" s="41" t="s">
        <v>3145</v>
      </c>
      <c r="D2057" s="42" t="s">
        <v>3016</v>
      </c>
      <c r="E2057" s="43" t="s">
        <v>4773</v>
      </c>
      <c r="F2057" s="44"/>
      <c r="G2057" s="46"/>
    </row>
    <row r="2058" spans="2:7" x14ac:dyDescent="0.35">
      <c r="B2058" s="41" t="s">
        <v>3148</v>
      </c>
      <c r="C2058" s="41" t="s">
        <v>3147</v>
      </c>
      <c r="D2058" s="42" t="s">
        <v>2895</v>
      </c>
      <c r="E2058" s="43" t="s">
        <v>4773</v>
      </c>
      <c r="F2058" s="44"/>
      <c r="G2058" s="46"/>
    </row>
    <row r="2059" spans="2:7" x14ac:dyDescent="0.35">
      <c r="B2059" s="41" t="s">
        <v>3150</v>
      </c>
      <c r="C2059" s="41" t="s">
        <v>3149</v>
      </c>
      <c r="D2059" s="42" t="s">
        <v>2895</v>
      </c>
      <c r="E2059" s="43" t="s">
        <v>4773</v>
      </c>
      <c r="F2059" s="44"/>
      <c r="G2059" s="46"/>
    </row>
    <row r="2060" spans="2:7" x14ac:dyDescent="0.35">
      <c r="B2060" s="41" t="s">
        <v>3154</v>
      </c>
      <c r="C2060" s="41" t="s">
        <v>3153</v>
      </c>
      <c r="D2060" s="42" t="s">
        <v>2895</v>
      </c>
      <c r="E2060" s="43" t="s">
        <v>4773</v>
      </c>
      <c r="F2060" s="44"/>
      <c r="G2060" s="46"/>
    </row>
    <row r="2061" spans="2:7" x14ac:dyDescent="0.35">
      <c r="B2061" s="41" t="s">
        <v>3179</v>
      </c>
      <c r="C2061" s="41" t="s">
        <v>3178</v>
      </c>
      <c r="D2061" s="42" t="s">
        <v>2895</v>
      </c>
      <c r="E2061" s="43" t="s">
        <v>4773</v>
      </c>
      <c r="F2061" s="44"/>
      <c r="G2061" s="46"/>
    </row>
    <row r="2062" spans="2:7" x14ac:dyDescent="0.35">
      <c r="B2062" s="41" t="s">
        <v>3181</v>
      </c>
      <c r="C2062" s="41" t="s">
        <v>3180</v>
      </c>
      <c r="D2062" s="42" t="s">
        <v>2895</v>
      </c>
      <c r="E2062" s="43" t="s">
        <v>4773</v>
      </c>
      <c r="F2062" s="44"/>
      <c r="G2062" s="46"/>
    </row>
    <row r="2063" spans="2:7" x14ac:dyDescent="0.35">
      <c r="B2063" s="41" t="s">
        <v>3185</v>
      </c>
      <c r="C2063" s="41" t="s">
        <v>3184</v>
      </c>
      <c r="D2063" s="42" t="s">
        <v>2895</v>
      </c>
      <c r="E2063" s="43" t="s">
        <v>4773</v>
      </c>
      <c r="F2063" s="44"/>
      <c r="G2063" s="46"/>
    </row>
    <row r="2064" spans="2:7" x14ac:dyDescent="0.35">
      <c r="B2064" s="41" t="s">
        <v>3189</v>
      </c>
      <c r="C2064" s="41" t="s">
        <v>3188</v>
      </c>
      <c r="D2064" s="42" t="s">
        <v>2895</v>
      </c>
      <c r="E2064" s="43" t="s">
        <v>4773</v>
      </c>
      <c r="F2064" s="44"/>
      <c r="G2064" s="46"/>
    </row>
    <row r="2065" spans="2:7" x14ac:dyDescent="0.35">
      <c r="B2065" s="41" t="s">
        <v>3191</v>
      </c>
      <c r="C2065" s="41" t="s">
        <v>3190</v>
      </c>
      <c r="D2065" s="42" t="s">
        <v>2886</v>
      </c>
      <c r="E2065" s="43" t="s">
        <v>4773</v>
      </c>
      <c r="F2065" s="44"/>
      <c r="G2065" s="46"/>
    </row>
    <row r="2066" spans="2:7" x14ac:dyDescent="0.35">
      <c r="B2066" s="41" t="s">
        <v>3444</v>
      </c>
      <c r="C2066" s="41" t="s">
        <v>3443</v>
      </c>
      <c r="D2066" s="42" t="s">
        <v>3239</v>
      </c>
      <c r="E2066" s="43" t="s">
        <v>4773</v>
      </c>
      <c r="F2066" s="44"/>
      <c r="G2066" s="46"/>
    </row>
    <row r="2067" spans="2:7" x14ac:dyDescent="0.35">
      <c r="B2067" s="41" t="s">
        <v>3446</v>
      </c>
      <c r="C2067" s="41" t="s">
        <v>3445</v>
      </c>
      <c r="D2067" s="42" t="s">
        <v>3239</v>
      </c>
      <c r="E2067" s="43" t="s">
        <v>4773</v>
      </c>
      <c r="F2067" s="44"/>
      <c r="G2067" s="46"/>
    </row>
    <row r="2068" spans="2:7" x14ac:dyDescent="0.35">
      <c r="B2068" s="41" t="s">
        <v>3510</v>
      </c>
      <c r="C2068" s="41" t="s">
        <v>3509</v>
      </c>
      <c r="D2068" s="42" t="s">
        <v>3367</v>
      </c>
      <c r="E2068" s="43" t="s">
        <v>4773</v>
      </c>
      <c r="F2068" s="44"/>
      <c r="G2068" s="46"/>
    </row>
    <row r="2069" spans="2:7" x14ac:dyDescent="0.35">
      <c r="B2069" s="41" t="s">
        <v>3567</v>
      </c>
      <c r="C2069" s="41" t="s">
        <v>3566</v>
      </c>
      <c r="D2069" s="42" t="s">
        <v>3533</v>
      </c>
      <c r="E2069" s="43" t="s">
        <v>4773</v>
      </c>
      <c r="F2069" s="44"/>
      <c r="G2069" s="46"/>
    </row>
    <row r="2070" spans="2:7" x14ac:dyDescent="0.35">
      <c r="B2070" s="41" t="s">
        <v>3600</v>
      </c>
      <c r="C2070" s="41" t="s">
        <v>3599</v>
      </c>
      <c r="D2070" s="42" t="s">
        <v>3533</v>
      </c>
      <c r="E2070" s="43" t="s">
        <v>4773</v>
      </c>
      <c r="F2070" s="44"/>
      <c r="G2070" s="46"/>
    </row>
    <row r="2071" spans="2:7" x14ac:dyDescent="0.35">
      <c r="B2071" s="41" t="s">
        <v>3602</v>
      </c>
      <c r="C2071" s="41" t="s">
        <v>3601</v>
      </c>
      <c r="D2071" s="42" t="s">
        <v>3533</v>
      </c>
      <c r="E2071" s="43" t="s">
        <v>4773</v>
      </c>
      <c r="F2071" s="44"/>
      <c r="G2071" s="46"/>
    </row>
    <row r="2072" spans="2:7" x14ac:dyDescent="0.35">
      <c r="B2072" s="41" t="s">
        <v>3604</v>
      </c>
      <c r="C2072" s="41" t="s">
        <v>3603</v>
      </c>
      <c r="D2072" s="42" t="s">
        <v>3572</v>
      </c>
      <c r="E2072" s="43" t="s">
        <v>4773</v>
      </c>
      <c r="F2072" s="44"/>
      <c r="G2072" s="46"/>
    </row>
    <row r="2073" spans="2:7" x14ac:dyDescent="0.35">
      <c r="B2073" s="41" t="s">
        <v>3606</v>
      </c>
      <c r="C2073" s="41" t="s">
        <v>3605</v>
      </c>
      <c r="D2073" s="42" t="s">
        <v>3572</v>
      </c>
      <c r="E2073" s="43" t="s">
        <v>4773</v>
      </c>
      <c r="F2073" s="44"/>
      <c r="G2073" s="46"/>
    </row>
    <row r="2074" spans="2:7" x14ac:dyDescent="0.35">
      <c r="B2074" s="41" t="s">
        <v>3625</v>
      </c>
      <c r="C2074" s="41" t="s">
        <v>3624</v>
      </c>
      <c r="D2074" s="42" t="s">
        <v>3541</v>
      </c>
      <c r="E2074" s="43" t="s">
        <v>4773</v>
      </c>
      <c r="F2074" s="44"/>
      <c r="G2074" s="46"/>
    </row>
    <row r="2075" spans="2:7" x14ac:dyDescent="0.4">
      <c r="B2075" s="46" t="s">
        <v>3874</v>
      </c>
      <c r="C2075" s="46"/>
      <c r="D2075" s="42" t="s">
        <v>3875</v>
      </c>
      <c r="E2075" s="43" t="s">
        <v>4773</v>
      </c>
      <c r="F2075" s="44"/>
      <c r="G2075" s="46"/>
    </row>
    <row r="2076" spans="2:7" x14ac:dyDescent="0.4">
      <c r="B2076" s="46" t="s">
        <v>3876</v>
      </c>
      <c r="C2076" s="46"/>
      <c r="D2076" s="42" t="s">
        <v>3877</v>
      </c>
      <c r="E2076" s="43" t="s">
        <v>4773</v>
      </c>
      <c r="F2076" s="44"/>
      <c r="G2076" s="46"/>
    </row>
    <row r="2077" spans="2:7" x14ac:dyDescent="0.4">
      <c r="B2077" s="46" t="s">
        <v>3890</v>
      </c>
      <c r="C2077" s="46"/>
      <c r="D2077" s="42" t="s">
        <v>3891</v>
      </c>
      <c r="E2077" s="43" t="s">
        <v>4773</v>
      </c>
      <c r="F2077" s="44"/>
      <c r="G2077" s="46"/>
    </row>
    <row r="2078" spans="2:7" x14ac:dyDescent="0.4">
      <c r="B2078" s="46" t="s">
        <v>3892</v>
      </c>
      <c r="C2078" s="46"/>
      <c r="D2078" s="42" t="s">
        <v>3893</v>
      </c>
      <c r="E2078" s="43" t="s">
        <v>4773</v>
      </c>
      <c r="F2078" s="44"/>
      <c r="G2078" s="46"/>
    </row>
    <row r="2079" spans="2:7" x14ac:dyDescent="0.35">
      <c r="B2079" s="41" t="s">
        <v>4539</v>
      </c>
      <c r="C2079" s="41" t="s">
        <v>4538</v>
      </c>
      <c r="D2079" s="42" t="s">
        <v>4339</v>
      </c>
      <c r="E2079" s="43" t="s">
        <v>4773</v>
      </c>
      <c r="F2079" s="44"/>
      <c r="G2079" s="46"/>
    </row>
    <row r="2080" spans="2:7" x14ac:dyDescent="0.4">
      <c r="B2080" s="46" t="s">
        <v>4665</v>
      </c>
      <c r="C2080" s="46"/>
      <c r="D2080" s="42" t="s">
        <v>4666</v>
      </c>
      <c r="E2080" s="43" t="s">
        <v>4773</v>
      </c>
      <c r="F2080" s="44"/>
      <c r="G2080" s="46"/>
    </row>
    <row r="2081" spans="2:7" x14ac:dyDescent="0.4">
      <c r="B2081" s="46" t="s">
        <v>4557</v>
      </c>
      <c r="C2081" s="46"/>
      <c r="D2081" s="42" t="s">
        <v>4616</v>
      </c>
      <c r="E2081" s="43" t="s">
        <v>4817</v>
      </c>
      <c r="F2081" s="44"/>
      <c r="G2081" s="46"/>
    </row>
    <row r="2082" spans="2:7" x14ac:dyDescent="0.4">
      <c r="B2082" s="46" t="s">
        <v>4558</v>
      </c>
      <c r="C2082" s="46"/>
      <c r="D2082" s="42" t="s">
        <v>4616</v>
      </c>
      <c r="E2082" s="43" t="s">
        <v>4817</v>
      </c>
      <c r="F2082" s="44"/>
      <c r="G2082" s="46"/>
    </row>
    <row r="2083" spans="2:7" x14ac:dyDescent="0.4">
      <c r="B2083" s="46" t="s">
        <v>4559</v>
      </c>
      <c r="C2083" s="46"/>
      <c r="D2083" s="42" t="s">
        <v>4616</v>
      </c>
      <c r="E2083" s="43" t="s">
        <v>4817</v>
      </c>
      <c r="F2083" s="44"/>
      <c r="G2083" s="46"/>
    </row>
    <row r="2084" spans="2:7" x14ac:dyDescent="0.35">
      <c r="B2084" s="41" t="s">
        <v>4261</v>
      </c>
      <c r="C2084" s="41" t="s">
        <v>4260</v>
      </c>
      <c r="D2084" s="42" t="s">
        <v>4262</v>
      </c>
      <c r="E2084" s="43" t="s">
        <v>4812</v>
      </c>
      <c r="F2084" s="44"/>
      <c r="G2084" s="46"/>
    </row>
    <row r="2085" spans="2:7" x14ac:dyDescent="0.35">
      <c r="B2085" s="41" t="s">
        <v>840</v>
      </c>
      <c r="C2085" s="41" t="s">
        <v>839</v>
      </c>
      <c r="D2085" s="42" t="s">
        <v>168</v>
      </c>
      <c r="E2085" s="43" t="s">
        <v>4781</v>
      </c>
      <c r="F2085" s="44"/>
      <c r="G2085" s="46"/>
    </row>
    <row r="2086" spans="2:7" x14ac:dyDescent="0.35">
      <c r="B2086" s="41" t="s">
        <v>4341</v>
      </c>
      <c r="C2086" s="41" t="s">
        <v>4340</v>
      </c>
      <c r="D2086" s="42" t="s">
        <v>4342</v>
      </c>
      <c r="E2086" s="43" t="s">
        <v>4814</v>
      </c>
      <c r="F2086" s="44"/>
      <c r="G2086" s="46"/>
    </row>
    <row r="2087" spans="2:7" x14ac:dyDescent="0.35">
      <c r="B2087" s="41" t="s">
        <v>345</v>
      </c>
      <c r="C2087" s="41" t="s">
        <v>344</v>
      </c>
      <c r="D2087" s="42" t="s">
        <v>3208</v>
      </c>
      <c r="E2087" s="43">
        <v>0</v>
      </c>
      <c r="F2087" s="44"/>
      <c r="G2087" s="46"/>
    </row>
    <row r="2088" spans="2:7" x14ac:dyDescent="0.35">
      <c r="B2088" s="46" t="s">
        <v>2483</v>
      </c>
      <c r="C2088" s="41" t="s">
        <v>2482</v>
      </c>
      <c r="D2088" s="42" t="s">
        <v>2463</v>
      </c>
      <c r="E2088" s="43">
        <v>0</v>
      </c>
      <c r="F2088" s="44"/>
      <c r="G2088" s="46"/>
    </row>
    <row r="2089" spans="2:7" x14ac:dyDescent="0.35">
      <c r="B2089" s="41" t="s">
        <v>4478</v>
      </c>
      <c r="C2089" s="41" t="s">
        <v>4477</v>
      </c>
      <c r="D2089" s="42" t="s">
        <v>4479</v>
      </c>
      <c r="E2089" s="43">
        <v>0</v>
      </c>
      <c r="F2089" s="44"/>
      <c r="G2089" s="46"/>
    </row>
    <row r="2090" spans="2:7" x14ac:dyDescent="0.4">
      <c r="B2090" s="46" t="s">
        <v>4818</v>
      </c>
      <c r="C2090" s="46"/>
      <c r="D2090" s="42" t="s">
        <v>4820</v>
      </c>
      <c r="E2090" s="42"/>
      <c r="F2090" s="44"/>
      <c r="G2090" s="46"/>
    </row>
    <row r="2091" spans="2:7" x14ac:dyDescent="0.4">
      <c r="B2091" s="46" t="s">
        <v>4819</v>
      </c>
      <c r="C2091" s="46"/>
      <c r="D2091" s="42" t="s">
        <v>4820</v>
      </c>
      <c r="E2091" s="42"/>
      <c r="F2091" s="44"/>
      <c r="G2091" s="46"/>
    </row>
    <row r="2092" spans="2:7" x14ac:dyDescent="0.4">
      <c r="B2092" s="46" t="s">
        <v>4821</v>
      </c>
      <c r="C2092" s="46"/>
      <c r="D2092" s="42" t="s">
        <v>4822</v>
      </c>
      <c r="E2092" s="42"/>
      <c r="F2092" s="44"/>
      <c r="G2092" s="46"/>
    </row>
    <row r="2093" spans="2:7" x14ac:dyDescent="0.4">
      <c r="B2093" s="46" t="s">
        <v>4828</v>
      </c>
      <c r="C2093" s="46"/>
      <c r="D2093" s="42" t="s">
        <v>4829</v>
      </c>
      <c r="E2093" s="42"/>
      <c r="F2093" s="46"/>
      <c r="G2093" s="46"/>
    </row>
    <row r="2094" spans="2:7" x14ac:dyDescent="0.4">
      <c r="B2094" s="46" t="s">
        <v>4830</v>
      </c>
      <c r="C2094" s="46"/>
      <c r="D2094" s="42" t="s">
        <v>4831</v>
      </c>
      <c r="E2094" s="42"/>
      <c r="F2094" s="46"/>
      <c r="G2094" s="46"/>
    </row>
    <row r="2095" spans="2:7" x14ac:dyDescent="0.4">
      <c r="B2095" s="46" t="s">
        <v>4835</v>
      </c>
      <c r="C2095" s="46"/>
      <c r="D2095" s="42" t="s">
        <v>4838</v>
      </c>
      <c r="E2095" s="42"/>
      <c r="F2095" s="46"/>
      <c r="G2095" s="46"/>
    </row>
    <row r="2096" spans="2:7" x14ac:dyDescent="0.4">
      <c r="B2096" s="46" t="s">
        <v>4836</v>
      </c>
      <c r="C2096" s="46"/>
      <c r="D2096" s="42" t="s">
        <v>4839</v>
      </c>
      <c r="E2096" s="42"/>
      <c r="F2096" s="46"/>
      <c r="G2096" s="46"/>
    </row>
    <row r="2097" spans="2:7" x14ac:dyDescent="0.4">
      <c r="B2097" s="50" t="s">
        <v>4837</v>
      </c>
      <c r="C2097" s="50"/>
      <c r="D2097" s="51" t="s">
        <v>4839</v>
      </c>
      <c r="E2097" s="51"/>
      <c r="F2097" s="50"/>
      <c r="G2097" s="46"/>
    </row>
    <row r="2098" spans="2:7" x14ac:dyDescent="0.4">
      <c r="B2098" s="46" t="s">
        <v>4840</v>
      </c>
      <c r="C2098" s="46"/>
      <c r="D2098" s="42" t="s">
        <v>4841</v>
      </c>
      <c r="E2098" s="42"/>
      <c r="F2098" s="46"/>
      <c r="G2098" s="46"/>
    </row>
    <row r="2099" spans="2:7" ht="17.399999999999999" x14ac:dyDescent="0.4">
      <c r="B2099" s="53"/>
      <c r="C2099" s="46"/>
      <c r="D2099" s="42"/>
      <c r="E2099" s="42"/>
      <c r="F2099" s="46"/>
      <c r="G2099" s="46"/>
    </row>
    <row r="2100" spans="2:7" ht="17.399999999999999" x14ac:dyDescent="0.4">
      <c r="B2100" s="53"/>
      <c r="C2100" s="46"/>
      <c r="D2100" s="42"/>
      <c r="E2100" s="42"/>
      <c r="F2100" s="46"/>
      <c r="G2100" s="46"/>
    </row>
  </sheetData>
  <autoFilter ref="B2:G2098" xr:uid="{814C1E7E-BC9C-4DAE-9EC8-8978FD82D40A}">
    <sortState xmlns:xlrd2="http://schemas.microsoft.com/office/spreadsheetml/2017/richdata2" ref="B4:G2098">
      <sortCondition ref="G2"/>
    </sortState>
  </autoFilter>
  <mergeCells count="5">
    <mergeCell ref="B1:B2"/>
    <mergeCell ref="C1:C2"/>
    <mergeCell ref="D1:D2"/>
    <mergeCell ref="E1:E2"/>
    <mergeCell ref="F1:G1"/>
  </mergeCells>
  <phoneticPr fontId="1" type="noConversion"/>
  <conditionalFormatting sqref="B3:B2097 B1 B2101:B1048576">
    <cfRule type="duplicateValues" dxfId="3" priority="4"/>
  </conditionalFormatting>
  <conditionalFormatting sqref="B1042">
    <cfRule type="duplicateValues" dxfId="2" priority="3"/>
  </conditionalFormatting>
  <conditionalFormatting sqref="B2099:B2100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E3F9-6089-447C-ABB5-BE9722662691}">
  <dimension ref="A1:S2776"/>
  <sheetViews>
    <sheetView workbookViewId="0">
      <selection sqref="A1:T2177"/>
    </sheetView>
  </sheetViews>
  <sheetFormatPr defaultRowHeight="17.399999999999999" x14ac:dyDescent="0.4"/>
  <cols>
    <col min="1" max="1" width="26.09765625" bestFit="1" customWidth="1"/>
    <col min="2" max="3" width="11" bestFit="1" customWidth="1"/>
    <col min="4" max="4" width="11.09765625" bestFit="1" customWidth="1"/>
    <col min="5" max="5" width="14.3984375" bestFit="1" customWidth="1"/>
    <col min="6" max="6" width="11" bestFit="1" customWidth="1"/>
    <col min="7" max="7" width="14.09765625" bestFit="1" customWidth="1"/>
    <col min="8" max="8" width="45.69921875" bestFit="1" customWidth="1"/>
    <col min="9" max="9" width="11" bestFit="1" customWidth="1"/>
    <col min="10" max="10" width="12" bestFit="1" customWidth="1"/>
    <col min="11" max="11" width="14.5" bestFit="1" customWidth="1"/>
    <col min="12" max="20" width="12" bestFit="1" customWidth="1"/>
  </cols>
  <sheetData>
    <row r="1" spans="1:19" x14ac:dyDescent="0.4">
      <c r="A1" t="s">
        <v>4879</v>
      </c>
      <c r="B1" t="s">
        <v>4880</v>
      </c>
      <c r="C1" t="s">
        <v>4881</v>
      </c>
      <c r="D1" t="s">
        <v>4882</v>
      </c>
      <c r="E1" t="s">
        <v>4883</v>
      </c>
      <c r="F1" t="s">
        <v>4884</v>
      </c>
      <c r="G1" t="s">
        <v>4885</v>
      </c>
      <c r="H1" t="s">
        <v>4886</v>
      </c>
      <c r="I1" t="s">
        <v>4887</v>
      </c>
      <c r="J1" t="s">
        <v>4888</v>
      </c>
      <c r="K1" t="s">
        <v>4889</v>
      </c>
      <c r="L1" t="s">
        <v>4890</v>
      </c>
      <c r="M1" t="s">
        <v>4891</v>
      </c>
      <c r="N1" t="s">
        <v>4892</v>
      </c>
      <c r="O1" t="s">
        <v>4893</v>
      </c>
      <c r="P1" t="s">
        <v>4894</v>
      </c>
      <c r="Q1" t="s">
        <v>4895</v>
      </c>
      <c r="R1" t="s">
        <v>4896</v>
      </c>
      <c r="S1" t="s">
        <v>4897</v>
      </c>
    </row>
    <row r="3" spans="1:19" x14ac:dyDescent="0.4">
      <c r="A3" t="s">
        <v>4898</v>
      </c>
    </row>
    <row r="4" spans="1:19" x14ac:dyDescent="0.4">
      <c r="I4" t="s">
        <v>4899</v>
      </c>
      <c r="N4" t="s">
        <v>4900</v>
      </c>
    </row>
    <row r="5" spans="1:19" x14ac:dyDescent="0.4">
      <c r="I5">
        <v>445979</v>
      </c>
      <c r="N5">
        <v>50622</v>
      </c>
    </row>
    <row r="6" spans="1:19" x14ac:dyDescent="0.4">
      <c r="A6" t="s">
        <v>4901</v>
      </c>
      <c r="M6" t="s">
        <v>4902</v>
      </c>
    </row>
    <row r="7" spans="1:19" x14ac:dyDescent="0.4">
      <c r="A7" t="s">
        <v>4903</v>
      </c>
      <c r="B7" t="s">
        <v>4620</v>
      </c>
      <c r="C7" t="s">
        <v>4904</v>
      </c>
      <c r="D7" t="s">
        <v>4905</v>
      </c>
      <c r="E7" t="s">
        <v>4906</v>
      </c>
      <c r="F7" t="s">
        <v>4907</v>
      </c>
      <c r="G7" t="s">
        <v>4624</v>
      </c>
      <c r="H7" t="s">
        <v>4908</v>
      </c>
      <c r="I7" t="s">
        <v>4909</v>
      </c>
      <c r="J7" t="s">
        <v>4910</v>
      </c>
      <c r="K7" t="s">
        <v>4625</v>
      </c>
      <c r="L7" t="s">
        <v>4911</v>
      </c>
      <c r="M7" t="s">
        <v>4912</v>
      </c>
      <c r="N7" t="s">
        <v>4900</v>
      </c>
      <c r="O7" t="s">
        <v>4913</v>
      </c>
      <c r="P7" t="s">
        <v>4914</v>
      </c>
    </row>
    <row r="8" spans="1:19" x14ac:dyDescent="0.4">
      <c r="A8">
        <v>2445</v>
      </c>
      <c r="B8" t="s">
        <v>4915</v>
      </c>
      <c r="G8" t="s">
        <v>2757</v>
      </c>
      <c r="H8" t="s">
        <v>2756</v>
      </c>
      <c r="I8">
        <v>412</v>
      </c>
      <c r="K8" t="s">
        <v>4872</v>
      </c>
      <c r="L8">
        <v>46301</v>
      </c>
      <c r="M8">
        <v>102930</v>
      </c>
      <c r="N8">
        <v>30</v>
      </c>
      <c r="O8">
        <v>46297</v>
      </c>
      <c r="P8">
        <v>382</v>
      </c>
    </row>
    <row r="9" spans="1:19" x14ac:dyDescent="0.4">
      <c r="A9">
        <v>2439</v>
      </c>
      <c r="B9" t="s">
        <v>4915</v>
      </c>
      <c r="G9" t="s">
        <v>1349</v>
      </c>
      <c r="H9" t="s">
        <v>1348</v>
      </c>
      <c r="I9">
        <v>259</v>
      </c>
      <c r="K9" t="s">
        <v>5039</v>
      </c>
      <c r="L9">
        <v>46301</v>
      </c>
      <c r="M9">
        <v>102930</v>
      </c>
      <c r="N9">
        <v>30</v>
      </c>
      <c r="O9">
        <v>46297</v>
      </c>
      <c r="P9">
        <v>229</v>
      </c>
    </row>
    <row r="10" spans="1:19" x14ac:dyDescent="0.4">
      <c r="A10">
        <v>2436</v>
      </c>
      <c r="B10" t="s">
        <v>4915</v>
      </c>
      <c r="G10" t="s">
        <v>1582</v>
      </c>
      <c r="H10" t="s">
        <v>1581</v>
      </c>
      <c r="I10">
        <v>501</v>
      </c>
      <c r="K10" t="s">
        <v>5129</v>
      </c>
      <c r="L10">
        <v>46301</v>
      </c>
      <c r="M10">
        <v>102930</v>
      </c>
      <c r="N10">
        <v>30</v>
      </c>
      <c r="O10">
        <v>46297</v>
      </c>
      <c r="P10">
        <v>471</v>
      </c>
    </row>
    <row r="11" spans="1:19" x14ac:dyDescent="0.4">
      <c r="A11">
        <v>2437</v>
      </c>
      <c r="B11" t="s">
        <v>4915</v>
      </c>
      <c r="G11" t="s">
        <v>1584</v>
      </c>
      <c r="H11" t="s">
        <v>1583</v>
      </c>
      <c r="I11">
        <v>317</v>
      </c>
      <c r="K11" t="s">
        <v>5037</v>
      </c>
      <c r="L11">
        <v>46301</v>
      </c>
      <c r="M11">
        <v>102930</v>
      </c>
      <c r="N11">
        <v>30</v>
      </c>
      <c r="O11">
        <v>46297</v>
      </c>
      <c r="P11">
        <v>287</v>
      </c>
    </row>
    <row r="12" spans="1:19" x14ac:dyDescent="0.4">
      <c r="A12">
        <v>2438</v>
      </c>
      <c r="B12" t="s">
        <v>4915</v>
      </c>
      <c r="G12" t="s">
        <v>1600</v>
      </c>
      <c r="H12" t="s">
        <v>1599</v>
      </c>
      <c r="I12">
        <v>611</v>
      </c>
      <c r="K12" t="s">
        <v>5037</v>
      </c>
      <c r="L12">
        <v>46301</v>
      </c>
      <c r="M12">
        <v>102930</v>
      </c>
      <c r="N12">
        <v>30</v>
      </c>
      <c r="O12">
        <v>46297</v>
      </c>
      <c r="P12">
        <v>581</v>
      </c>
    </row>
    <row r="13" spans="1:19" x14ac:dyDescent="0.4">
      <c r="A13">
        <v>2433</v>
      </c>
      <c r="B13" t="s">
        <v>4915</v>
      </c>
      <c r="G13" t="s">
        <v>1710</v>
      </c>
      <c r="H13" t="s">
        <v>1709</v>
      </c>
      <c r="I13">
        <v>369</v>
      </c>
      <c r="K13" t="s">
        <v>5123</v>
      </c>
      <c r="L13">
        <v>46301</v>
      </c>
      <c r="M13">
        <v>102930</v>
      </c>
      <c r="N13">
        <v>30</v>
      </c>
      <c r="O13">
        <v>46297</v>
      </c>
      <c r="P13">
        <v>339</v>
      </c>
    </row>
    <row r="14" spans="1:19" x14ac:dyDescent="0.4">
      <c r="A14">
        <v>2435</v>
      </c>
      <c r="B14" t="s">
        <v>4915</v>
      </c>
      <c r="G14" t="s">
        <v>1331</v>
      </c>
      <c r="H14" t="s">
        <v>5133</v>
      </c>
      <c r="I14">
        <v>664</v>
      </c>
      <c r="K14" t="s">
        <v>5134</v>
      </c>
      <c r="L14">
        <v>46301</v>
      </c>
      <c r="M14">
        <v>102930</v>
      </c>
      <c r="N14">
        <v>30</v>
      </c>
      <c r="O14">
        <v>46297</v>
      </c>
      <c r="P14">
        <v>634</v>
      </c>
    </row>
    <row r="15" spans="1:19" x14ac:dyDescent="0.4">
      <c r="A15">
        <v>2434</v>
      </c>
      <c r="B15" t="s">
        <v>4915</v>
      </c>
      <c r="G15" t="s">
        <v>1532</v>
      </c>
      <c r="H15" t="s">
        <v>1531</v>
      </c>
      <c r="I15">
        <v>324</v>
      </c>
      <c r="K15" t="s">
        <v>5024</v>
      </c>
      <c r="L15">
        <v>46301</v>
      </c>
      <c r="M15">
        <v>102930</v>
      </c>
      <c r="N15">
        <v>30</v>
      </c>
      <c r="O15">
        <v>46297</v>
      </c>
      <c r="P15">
        <v>294</v>
      </c>
    </row>
    <row r="16" spans="1:19" x14ac:dyDescent="0.4">
      <c r="A16">
        <v>2395</v>
      </c>
      <c r="B16" t="s">
        <v>4915</v>
      </c>
      <c r="G16" t="s">
        <v>1344</v>
      </c>
      <c r="H16" t="s">
        <v>1343</v>
      </c>
      <c r="I16">
        <v>112</v>
      </c>
      <c r="K16" t="s">
        <v>5041</v>
      </c>
      <c r="L16">
        <v>46301</v>
      </c>
      <c r="M16">
        <v>102930</v>
      </c>
      <c r="N16">
        <v>60</v>
      </c>
      <c r="O16">
        <v>46297</v>
      </c>
      <c r="P16">
        <v>52</v>
      </c>
    </row>
    <row r="17" spans="1:16" x14ac:dyDescent="0.4">
      <c r="A17">
        <v>2454</v>
      </c>
      <c r="B17" t="s">
        <v>4915</v>
      </c>
      <c r="G17" t="s">
        <v>1347</v>
      </c>
      <c r="H17" t="s">
        <v>1346</v>
      </c>
      <c r="I17">
        <v>334</v>
      </c>
      <c r="K17" t="s">
        <v>5041</v>
      </c>
      <c r="L17">
        <v>46301</v>
      </c>
      <c r="M17">
        <v>102930</v>
      </c>
      <c r="N17">
        <v>60</v>
      </c>
      <c r="O17">
        <v>46297</v>
      </c>
      <c r="P17">
        <v>274</v>
      </c>
    </row>
    <row r="18" spans="1:16" x14ac:dyDescent="0.4">
      <c r="A18">
        <v>2455</v>
      </c>
      <c r="B18" t="s">
        <v>4915</v>
      </c>
      <c r="G18" t="s">
        <v>1530</v>
      </c>
      <c r="H18" t="s">
        <v>5124</v>
      </c>
      <c r="I18">
        <v>220</v>
      </c>
      <c r="K18" t="s">
        <v>5125</v>
      </c>
      <c r="L18">
        <v>46301</v>
      </c>
      <c r="M18">
        <v>102930</v>
      </c>
      <c r="N18">
        <v>60</v>
      </c>
      <c r="O18">
        <v>46297</v>
      </c>
      <c r="P18">
        <v>160</v>
      </c>
    </row>
    <row r="19" spans="1:16" x14ac:dyDescent="0.4">
      <c r="A19">
        <v>2051</v>
      </c>
      <c r="B19" t="s">
        <v>4576</v>
      </c>
      <c r="D19" t="s">
        <v>4901</v>
      </c>
      <c r="E19" t="s">
        <v>5146</v>
      </c>
      <c r="F19" t="s">
        <v>5147</v>
      </c>
      <c r="G19" t="s">
        <v>2757</v>
      </c>
      <c r="H19" t="s">
        <v>2756</v>
      </c>
      <c r="I19">
        <v>300</v>
      </c>
      <c r="K19" t="s">
        <v>4872</v>
      </c>
      <c r="L19">
        <v>46296</v>
      </c>
      <c r="P19">
        <v>300</v>
      </c>
    </row>
    <row r="20" spans="1:16" x14ac:dyDescent="0.4">
      <c r="A20">
        <v>1979</v>
      </c>
      <c r="B20" t="s">
        <v>4576</v>
      </c>
      <c r="D20" t="s">
        <v>4901</v>
      </c>
      <c r="E20" t="s">
        <v>4936</v>
      </c>
      <c r="F20" t="s">
        <v>4939</v>
      </c>
      <c r="G20" t="s">
        <v>1344</v>
      </c>
      <c r="H20" t="s">
        <v>1343</v>
      </c>
      <c r="I20">
        <v>300</v>
      </c>
      <c r="K20" t="s">
        <v>5041</v>
      </c>
      <c r="L20">
        <v>46301</v>
      </c>
      <c r="P20">
        <v>300</v>
      </c>
    </row>
    <row r="21" spans="1:16" x14ac:dyDescent="0.4">
      <c r="A21">
        <v>1981</v>
      </c>
      <c r="B21" t="s">
        <v>4576</v>
      </c>
      <c r="D21" t="s">
        <v>4901</v>
      </c>
      <c r="E21" t="s">
        <v>4936</v>
      </c>
      <c r="F21" t="s">
        <v>4939</v>
      </c>
      <c r="G21" t="s">
        <v>1347</v>
      </c>
      <c r="H21" t="s">
        <v>1346</v>
      </c>
      <c r="I21">
        <v>300</v>
      </c>
      <c r="K21" t="s">
        <v>5041</v>
      </c>
      <c r="L21">
        <v>46301</v>
      </c>
      <c r="P21">
        <v>300</v>
      </c>
    </row>
    <row r="22" spans="1:16" x14ac:dyDescent="0.4">
      <c r="A22">
        <v>2030</v>
      </c>
      <c r="B22" t="s">
        <v>4576</v>
      </c>
      <c r="D22" t="s">
        <v>4901</v>
      </c>
      <c r="E22" t="s">
        <v>5146</v>
      </c>
      <c r="F22" t="s">
        <v>5147</v>
      </c>
      <c r="G22" t="s">
        <v>4843</v>
      </c>
      <c r="H22" t="s">
        <v>2775</v>
      </c>
      <c r="I22">
        <v>200</v>
      </c>
      <c r="K22" t="s">
        <v>4869</v>
      </c>
      <c r="L22">
        <v>46296</v>
      </c>
      <c r="P22">
        <v>200</v>
      </c>
    </row>
    <row r="23" spans="1:16" x14ac:dyDescent="0.4">
      <c r="A23">
        <v>1355</v>
      </c>
      <c r="B23" t="s">
        <v>4576</v>
      </c>
      <c r="D23" t="s">
        <v>4901</v>
      </c>
      <c r="E23" t="s">
        <v>5148</v>
      </c>
      <c r="F23" t="s">
        <v>4939</v>
      </c>
      <c r="G23" t="s">
        <v>633</v>
      </c>
      <c r="H23" t="s">
        <v>4963</v>
      </c>
      <c r="I23">
        <v>300</v>
      </c>
      <c r="K23" t="s">
        <v>4864</v>
      </c>
      <c r="L23">
        <v>46286</v>
      </c>
      <c r="P23">
        <v>300</v>
      </c>
    </row>
    <row r="24" spans="1:16" x14ac:dyDescent="0.4">
      <c r="A24">
        <v>1354</v>
      </c>
      <c r="B24" t="s">
        <v>4576</v>
      </c>
      <c r="D24" t="s">
        <v>4901</v>
      </c>
      <c r="E24" t="s">
        <v>5148</v>
      </c>
      <c r="F24" t="s">
        <v>4939</v>
      </c>
      <c r="G24" t="s">
        <v>631</v>
      </c>
      <c r="H24" t="s">
        <v>4964</v>
      </c>
      <c r="I24">
        <v>300</v>
      </c>
      <c r="K24" t="s">
        <v>4864</v>
      </c>
      <c r="L24">
        <v>46286</v>
      </c>
      <c r="P24">
        <v>300</v>
      </c>
    </row>
    <row r="25" spans="1:16" x14ac:dyDescent="0.4">
      <c r="A25">
        <v>1961</v>
      </c>
      <c r="B25" t="s">
        <v>4576</v>
      </c>
      <c r="D25" t="s">
        <v>4901</v>
      </c>
      <c r="E25" t="s">
        <v>4936</v>
      </c>
      <c r="F25" t="s">
        <v>4939</v>
      </c>
      <c r="G25" t="s">
        <v>2479</v>
      </c>
      <c r="H25" t="s">
        <v>5138</v>
      </c>
      <c r="I25">
        <v>18</v>
      </c>
      <c r="K25" t="s">
        <v>5109</v>
      </c>
      <c r="L25">
        <v>46296</v>
      </c>
      <c r="P25">
        <v>18</v>
      </c>
    </row>
    <row r="26" spans="1:16" x14ac:dyDescent="0.4">
      <c r="A26">
        <v>1962</v>
      </c>
      <c r="B26" t="s">
        <v>4576</v>
      </c>
      <c r="D26" t="s">
        <v>4901</v>
      </c>
      <c r="E26" t="s">
        <v>4936</v>
      </c>
      <c r="F26" t="s">
        <v>4939</v>
      </c>
      <c r="G26" t="s">
        <v>2479</v>
      </c>
      <c r="H26" t="s">
        <v>5138</v>
      </c>
      <c r="I26">
        <v>47</v>
      </c>
      <c r="K26" t="s">
        <v>5109</v>
      </c>
      <c r="L26">
        <v>46296</v>
      </c>
      <c r="P26">
        <v>47</v>
      </c>
    </row>
    <row r="27" spans="1:16" x14ac:dyDescent="0.4">
      <c r="A27">
        <v>1960</v>
      </c>
      <c r="B27" t="s">
        <v>4576</v>
      </c>
      <c r="D27" t="s">
        <v>4901</v>
      </c>
      <c r="E27" t="s">
        <v>4936</v>
      </c>
      <c r="F27" t="s">
        <v>4939</v>
      </c>
      <c r="G27" t="s">
        <v>2479</v>
      </c>
      <c r="H27" t="s">
        <v>5138</v>
      </c>
      <c r="I27">
        <v>52</v>
      </c>
      <c r="K27" t="s">
        <v>5109</v>
      </c>
      <c r="L27">
        <v>46296</v>
      </c>
      <c r="P27">
        <v>52</v>
      </c>
    </row>
    <row r="28" spans="1:16" x14ac:dyDescent="0.4">
      <c r="A28">
        <v>2040</v>
      </c>
      <c r="B28" t="s">
        <v>4576</v>
      </c>
      <c r="D28" t="s">
        <v>4901</v>
      </c>
      <c r="E28" t="s">
        <v>5146</v>
      </c>
      <c r="F28" t="s">
        <v>5147</v>
      </c>
      <c r="G28" t="s">
        <v>2782</v>
      </c>
      <c r="H28" t="s">
        <v>2781</v>
      </c>
      <c r="I28">
        <v>250</v>
      </c>
      <c r="K28" t="s">
        <v>4869</v>
      </c>
      <c r="L28">
        <v>46296</v>
      </c>
      <c r="P28">
        <v>250</v>
      </c>
    </row>
    <row r="29" spans="1:16" x14ac:dyDescent="0.4">
      <c r="A29">
        <v>2068</v>
      </c>
      <c r="B29" t="s">
        <v>4576</v>
      </c>
      <c r="D29" t="s">
        <v>4901</v>
      </c>
      <c r="E29" t="s">
        <v>5149</v>
      </c>
      <c r="F29" t="s">
        <v>5147</v>
      </c>
      <c r="G29" t="s">
        <v>2132</v>
      </c>
      <c r="H29" t="s">
        <v>2131</v>
      </c>
      <c r="I29">
        <v>100</v>
      </c>
      <c r="K29" t="s">
        <v>4852</v>
      </c>
      <c r="L29">
        <v>46302</v>
      </c>
      <c r="P29">
        <v>100</v>
      </c>
    </row>
    <row r="30" spans="1:16" x14ac:dyDescent="0.4">
      <c r="A30">
        <v>707</v>
      </c>
      <c r="B30" t="s">
        <v>4576</v>
      </c>
      <c r="D30" t="s">
        <v>4916</v>
      </c>
      <c r="G30" t="s">
        <v>3303</v>
      </c>
      <c r="H30" t="s">
        <v>3302</v>
      </c>
      <c r="I30">
        <v>0</v>
      </c>
      <c r="K30" t="s">
        <v>5005</v>
      </c>
      <c r="L30">
        <v>46275</v>
      </c>
      <c r="P30">
        <v>0</v>
      </c>
    </row>
    <row r="31" spans="1:16" x14ac:dyDescent="0.4">
      <c r="A31">
        <v>2627</v>
      </c>
      <c r="B31" t="s">
        <v>4576</v>
      </c>
      <c r="D31" t="s">
        <v>4901</v>
      </c>
      <c r="E31" t="s">
        <v>4936</v>
      </c>
      <c r="F31" t="s">
        <v>4939</v>
      </c>
      <c r="G31" t="s">
        <v>3303</v>
      </c>
      <c r="H31" t="s">
        <v>3302</v>
      </c>
      <c r="I31">
        <v>3</v>
      </c>
      <c r="K31" t="s">
        <v>5005</v>
      </c>
      <c r="L31">
        <v>46302</v>
      </c>
      <c r="P31">
        <v>3</v>
      </c>
    </row>
    <row r="32" spans="1:16" x14ac:dyDescent="0.4">
      <c r="A32">
        <v>2015</v>
      </c>
      <c r="B32" t="s">
        <v>4576</v>
      </c>
      <c r="D32" t="s">
        <v>4901</v>
      </c>
      <c r="E32" t="s">
        <v>5149</v>
      </c>
      <c r="F32" t="s">
        <v>5147</v>
      </c>
      <c r="G32" t="s">
        <v>3452</v>
      </c>
      <c r="H32" t="s">
        <v>3451</v>
      </c>
      <c r="I32">
        <v>50</v>
      </c>
      <c r="K32" t="s">
        <v>3239</v>
      </c>
      <c r="L32">
        <v>46296</v>
      </c>
      <c r="P32">
        <v>50</v>
      </c>
    </row>
    <row r="33" spans="1:16" x14ac:dyDescent="0.4">
      <c r="A33">
        <v>1947</v>
      </c>
      <c r="B33" t="s">
        <v>4576</v>
      </c>
      <c r="D33" t="s">
        <v>4901</v>
      </c>
      <c r="E33" t="s">
        <v>5148</v>
      </c>
      <c r="F33" t="s">
        <v>4939</v>
      </c>
      <c r="G33" t="s">
        <v>3202</v>
      </c>
      <c r="H33" t="s">
        <v>3201</v>
      </c>
      <c r="I33">
        <v>2000</v>
      </c>
      <c r="K33" t="s">
        <v>4970</v>
      </c>
      <c r="L33">
        <v>46297</v>
      </c>
      <c r="P33">
        <v>2000</v>
      </c>
    </row>
    <row r="34" spans="1:16" x14ac:dyDescent="0.4">
      <c r="A34">
        <v>1709</v>
      </c>
      <c r="B34" t="s">
        <v>4576</v>
      </c>
      <c r="D34" t="s">
        <v>4901</v>
      </c>
      <c r="E34" t="s">
        <v>5148</v>
      </c>
      <c r="F34" t="s">
        <v>4939</v>
      </c>
      <c r="G34" t="s">
        <v>3766</v>
      </c>
      <c r="H34" t="s">
        <v>3765</v>
      </c>
      <c r="I34">
        <v>100</v>
      </c>
      <c r="K34" t="s">
        <v>3426</v>
      </c>
      <c r="L34">
        <v>46279</v>
      </c>
      <c r="P34">
        <v>100</v>
      </c>
    </row>
    <row r="35" spans="1:16" x14ac:dyDescent="0.4">
      <c r="A35">
        <v>1147</v>
      </c>
      <c r="B35" t="s">
        <v>4576</v>
      </c>
      <c r="D35" t="s">
        <v>4901</v>
      </c>
      <c r="E35" t="s">
        <v>5150</v>
      </c>
      <c r="F35" t="s">
        <v>5151</v>
      </c>
      <c r="G35" t="s">
        <v>2513</v>
      </c>
      <c r="H35" t="s">
        <v>2512</v>
      </c>
      <c r="I35">
        <v>455</v>
      </c>
      <c r="K35" t="s">
        <v>4955</v>
      </c>
      <c r="L35">
        <v>46279</v>
      </c>
      <c r="P35">
        <v>455</v>
      </c>
    </row>
    <row r="36" spans="1:16" x14ac:dyDescent="0.4">
      <c r="A36">
        <v>1941</v>
      </c>
      <c r="B36" t="s">
        <v>4576</v>
      </c>
      <c r="D36" t="s">
        <v>4901</v>
      </c>
      <c r="E36" t="s">
        <v>5148</v>
      </c>
      <c r="F36" t="s">
        <v>4939</v>
      </c>
      <c r="G36" t="s">
        <v>3278</v>
      </c>
      <c r="H36" t="s">
        <v>3277</v>
      </c>
      <c r="I36">
        <v>50</v>
      </c>
      <c r="K36" t="s">
        <v>3271</v>
      </c>
      <c r="L36">
        <v>46296</v>
      </c>
      <c r="P36">
        <v>50</v>
      </c>
    </row>
    <row r="37" spans="1:16" x14ac:dyDescent="0.4">
      <c r="A37">
        <v>1359</v>
      </c>
      <c r="B37" t="s">
        <v>4576</v>
      </c>
      <c r="D37" t="s">
        <v>4901</v>
      </c>
      <c r="E37" t="s">
        <v>5148</v>
      </c>
      <c r="F37" t="s">
        <v>4939</v>
      </c>
      <c r="G37" t="s">
        <v>3436</v>
      </c>
      <c r="H37" t="s">
        <v>3435</v>
      </c>
      <c r="I37">
        <v>80</v>
      </c>
      <c r="K37" t="s">
        <v>2026</v>
      </c>
      <c r="L37">
        <v>46286</v>
      </c>
      <c r="P37">
        <v>80</v>
      </c>
    </row>
    <row r="38" spans="1:16" x14ac:dyDescent="0.4">
      <c r="A38">
        <v>1360</v>
      </c>
      <c r="B38" t="s">
        <v>4576</v>
      </c>
      <c r="D38" t="s">
        <v>4901</v>
      </c>
      <c r="E38" t="s">
        <v>5148</v>
      </c>
      <c r="F38" t="s">
        <v>4939</v>
      </c>
      <c r="G38" t="s">
        <v>3436</v>
      </c>
      <c r="H38" t="s">
        <v>3435</v>
      </c>
      <c r="I38">
        <v>300</v>
      </c>
      <c r="K38" t="s">
        <v>2026</v>
      </c>
      <c r="L38">
        <v>46286</v>
      </c>
      <c r="P38">
        <v>300</v>
      </c>
    </row>
    <row r="39" spans="1:16" x14ac:dyDescent="0.4">
      <c r="A39">
        <v>316</v>
      </c>
      <c r="B39" t="s">
        <v>4576</v>
      </c>
      <c r="D39" t="s">
        <v>4916</v>
      </c>
      <c r="G39" t="s">
        <v>362</v>
      </c>
      <c r="H39" t="s">
        <v>5022</v>
      </c>
      <c r="I39">
        <v>0</v>
      </c>
      <c r="K39" t="s">
        <v>5023</v>
      </c>
      <c r="L39">
        <v>46253</v>
      </c>
      <c r="P39">
        <v>0</v>
      </c>
    </row>
    <row r="40" spans="1:16" x14ac:dyDescent="0.4">
      <c r="A40">
        <v>170</v>
      </c>
      <c r="B40" t="s">
        <v>4576</v>
      </c>
      <c r="D40" t="s">
        <v>4916</v>
      </c>
      <c r="G40" t="s">
        <v>2195</v>
      </c>
      <c r="H40" t="s">
        <v>2194</v>
      </c>
      <c r="I40">
        <v>0</v>
      </c>
      <c r="K40" t="s">
        <v>4849</v>
      </c>
      <c r="L40">
        <v>46232</v>
      </c>
      <c r="P40">
        <v>0</v>
      </c>
    </row>
    <row r="41" spans="1:16" x14ac:dyDescent="0.4">
      <c r="A41">
        <v>171</v>
      </c>
      <c r="B41" t="s">
        <v>4576</v>
      </c>
      <c r="D41" t="s">
        <v>4916</v>
      </c>
      <c r="G41" t="s">
        <v>2197</v>
      </c>
      <c r="H41" t="s">
        <v>2196</v>
      </c>
      <c r="I41">
        <v>0</v>
      </c>
      <c r="K41" t="s">
        <v>4850</v>
      </c>
      <c r="L41">
        <v>46232</v>
      </c>
      <c r="P41">
        <v>0</v>
      </c>
    </row>
    <row r="42" spans="1:16" x14ac:dyDescent="0.4">
      <c r="A42">
        <v>172</v>
      </c>
      <c r="B42" t="s">
        <v>4576</v>
      </c>
      <c r="D42" t="s">
        <v>4916</v>
      </c>
      <c r="G42" t="s">
        <v>2199</v>
      </c>
      <c r="H42" t="s">
        <v>2198</v>
      </c>
      <c r="I42">
        <v>0</v>
      </c>
      <c r="K42" t="s">
        <v>4850</v>
      </c>
      <c r="L42">
        <v>46232</v>
      </c>
      <c r="P42">
        <v>0</v>
      </c>
    </row>
    <row r="43" spans="1:16" x14ac:dyDescent="0.4">
      <c r="A43">
        <v>174</v>
      </c>
      <c r="B43" t="s">
        <v>4576</v>
      </c>
      <c r="D43" t="s">
        <v>4916</v>
      </c>
      <c r="G43" t="s">
        <v>2203</v>
      </c>
      <c r="H43" t="s">
        <v>2202</v>
      </c>
      <c r="I43">
        <v>0</v>
      </c>
      <c r="K43" t="s">
        <v>4850</v>
      </c>
      <c r="L43">
        <v>46232</v>
      </c>
      <c r="P43">
        <v>0</v>
      </c>
    </row>
    <row r="44" spans="1:16" x14ac:dyDescent="0.4">
      <c r="A44">
        <v>236</v>
      </c>
      <c r="B44" t="s">
        <v>4576</v>
      </c>
      <c r="D44" t="s">
        <v>4916</v>
      </c>
      <c r="G44" t="s">
        <v>2178</v>
      </c>
      <c r="H44" t="s">
        <v>2177</v>
      </c>
      <c r="I44">
        <v>0</v>
      </c>
      <c r="K44" t="s">
        <v>4848</v>
      </c>
      <c r="L44">
        <v>46232</v>
      </c>
      <c r="P44">
        <v>0</v>
      </c>
    </row>
    <row r="45" spans="1:16" x14ac:dyDescent="0.4">
      <c r="A45">
        <v>238</v>
      </c>
      <c r="B45" t="s">
        <v>4576</v>
      </c>
      <c r="D45" t="s">
        <v>4916</v>
      </c>
      <c r="G45" t="s">
        <v>2193</v>
      </c>
      <c r="H45" t="s">
        <v>2192</v>
      </c>
      <c r="I45">
        <v>0</v>
      </c>
      <c r="K45" t="s">
        <v>4849</v>
      </c>
      <c r="L45">
        <v>46232</v>
      </c>
      <c r="P45">
        <v>0</v>
      </c>
    </row>
    <row r="46" spans="1:16" x14ac:dyDescent="0.4">
      <c r="A46">
        <v>882</v>
      </c>
      <c r="B46" t="s">
        <v>4576</v>
      </c>
      <c r="D46" t="s">
        <v>4916</v>
      </c>
      <c r="G46" t="s">
        <v>761</v>
      </c>
      <c r="H46" t="s">
        <v>760</v>
      </c>
      <c r="I46">
        <v>0</v>
      </c>
      <c r="K46" t="s">
        <v>533</v>
      </c>
      <c r="L46">
        <v>46276</v>
      </c>
      <c r="P46">
        <v>0</v>
      </c>
    </row>
    <row r="47" spans="1:16" x14ac:dyDescent="0.4">
      <c r="A47">
        <v>883</v>
      </c>
      <c r="B47" t="s">
        <v>4576</v>
      </c>
      <c r="D47" t="s">
        <v>4916</v>
      </c>
      <c r="G47" t="s">
        <v>1138</v>
      </c>
      <c r="H47" t="s">
        <v>1137</v>
      </c>
      <c r="I47">
        <v>0</v>
      </c>
      <c r="K47" t="s">
        <v>5023</v>
      </c>
      <c r="L47">
        <v>46276</v>
      </c>
      <c r="P47">
        <v>0</v>
      </c>
    </row>
    <row r="48" spans="1:16" x14ac:dyDescent="0.4">
      <c r="A48">
        <v>884</v>
      </c>
      <c r="B48" t="s">
        <v>4576</v>
      </c>
      <c r="D48" t="s">
        <v>4916</v>
      </c>
      <c r="G48" t="s">
        <v>1320</v>
      </c>
      <c r="H48" t="s">
        <v>1319</v>
      </c>
      <c r="I48">
        <v>0</v>
      </c>
      <c r="K48" t="s">
        <v>5054</v>
      </c>
      <c r="L48">
        <v>46276</v>
      </c>
      <c r="P48">
        <v>0</v>
      </c>
    </row>
    <row r="49" spans="1:16" x14ac:dyDescent="0.4">
      <c r="A49">
        <v>885</v>
      </c>
      <c r="B49" t="s">
        <v>4576</v>
      </c>
      <c r="D49" t="s">
        <v>4916</v>
      </c>
      <c r="G49" t="s">
        <v>1340</v>
      </c>
      <c r="H49" t="s">
        <v>1339</v>
      </c>
      <c r="I49">
        <v>0</v>
      </c>
      <c r="K49" t="s">
        <v>5055</v>
      </c>
      <c r="L49">
        <v>46276</v>
      </c>
      <c r="P49">
        <v>0</v>
      </c>
    </row>
    <row r="50" spans="1:16" x14ac:dyDescent="0.4">
      <c r="A50">
        <v>279</v>
      </c>
      <c r="B50" t="s">
        <v>4576</v>
      </c>
      <c r="G50" t="s">
        <v>4646</v>
      </c>
      <c r="H50">
        <v>0</v>
      </c>
      <c r="I50">
        <v>1</v>
      </c>
      <c r="K50" t="s">
        <v>4851</v>
      </c>
      <c r="L50">
        <v>46232</v>
      </c>
      <c r="P50">
        <v>1</v>
      </c>
    </row>
    <row r="51" spans="1:16" x14ac:dyDescent="0.4">
      <c r="A51">
        <v>1291</v>
      </c>
      <c r="B51" t="s">
        <v>4576</v>
      </c>
      <c r="G51" t="s">
        <v>4017</v>
      </c>
      <c r="H51" t="s">
        <v>4016</v>
      </c>
      <c r="I51">
        <v>1</v>
      </c>
      <c r="K51" t="s">
        <v>4739</v>
      </c>
      <c r="L51">
        <v>46287</v>
      </c>
      <c r="P51">
        <v>1</v>
      </c>
    </row>
    <row r="52" spans="1:16" x14ac:dyDescent="0.4">
      <c r="A52">
        <v>2355</v>
      </c>
      <c r="B52" t="s">
        <v>4576</v>
      </c>
      <c r="G52" t="s">
        <v>3459</v>
      </c>
      <c r="H52" t="s">
        <v>3458</v>
      </c>
      <c r="I52">
        <v>1</v>
      </c>
      <c r="K52" t="s">
        <v>5050</v>
      </c>
      <c r="L52">
        <v>46296</v>
      </c>
      <c r="P52">
        <v>1</v>
      </c>
    </row>
    <row r="53" spans="1:16" x14ac:dyDescent="0.4">
      <c r="A53">
        <v>2451</v>
      </c>
      <c r="B53" t="s">
        <v>4576</v>
      </c>
      <c r="G53" t="s">
        <v>2778</v>
      </c>
      <c r="H53" t="s">
        <v>2777</v>
      </c>
      <c r="I53">
        <v>1</v>
      </c>
      <c r="K53" t="s">
        <v>4949</v>
      </c>
      <c r="L53">
        <v>46301</v>
      </c>
      <c r="P53">
        <v>1</v>
      </c>
    </row>
    <row r="54" spans="1:16" x14ac:dyDescent="0.4">
      <c r="A54">
        <v>1959</v>
      </c>
      <c r="B54" t="s">
        <v>4576</v>
      </c>
      <c r="D54" t="s">
        <v>4901</v>
      </c>
      <c r="E54" t="s">
        <v>4936</v>
      </c>
      <c r="F54" t="s">
        <v>4939</v>
      </c>
      <c r="G54" t="s">
        <v>1305</v>
      </c>
      <c r="H54" t="s">
        <v>1304</v>
      </c>
      <c r="I54">
        <v>2</v>
      </c>
      <c r="K54" t="s">
        <v>5143</v>
      </c>
      <c r="L54">
        <v>46296</v>
      </c>
      <c r="P54">
        <v>2</v>
      </c>
    </row>
    <row r="55" spans="1:16" x14ac:dyDescent="0.4">
      <c r="A55">
        <v>311</v>
      </c>
      <c r="B55" t="s">
        <v>4576</v>
      </c>
      <c r="G55" t="s">
        <v>2178</v>
      </c>
      <c r="H55" t="s">
        <v>2177</v>
      </c>
      <c r="I55">
        <v>2</v>
      </c>
      <c r="K55" t="s">
        <v>4848</v>
      </c>
      <c r="L55">
        <v>46233</v>
      </c>
      <c r="P55">
        <v>2</v>
      </c>
    </row>
    <row r="56" spans="1:16" x14ac:dyDescent="0.4">
      <c r="A56">
        <v>478</v>
      </c>
      <c r="B56" t="s">
        <v>4576</v>
      </c>
      <c r="G56" t="s">
        <v>3904</v>
      </c>
      <c r="H56" t="s">
        <v>3903</v>
      </c>
      <c r="I56">
        <v>2</v>
      </c>
      <c r="K56" t="s">
        <v>3896</v>
      </c>
      <c r="L56">
        <v>46259</v>
      </c>
      <c r="P56">
        <v>2</v>
      </c>
    </row>
    <row r="57" spans="1:16" x14ac:dyDescent="0.4">
      <c r="A57">
        <v>886</v>
      </c>
      <c r="B57" t="s">
        <v>4576</v>
      </c>
      <c r="D57" t="s">
        <v>4916</v>
      </c>
      <c r="G57" t="s">
        <v>5056</v>
      </c>
      <c r="H57" t="s">
        <v>1139</v>
      </c>
      <c r="I57">
        <v>2</v>
      </c>
      <c r="K57" t="s">
        <v>4958</v>
      </c>
      <c r="L57">
        <v>46276</v>
      </c>
      <c r="P57">
        <v>2</v>
      </c>
    </row>
    <row r="58" spans="1:16" x14ac:dyDescent="0.4">
      <c r="A58">
        <v>1258</v>
      </c>
      <c r="B58" t="s">
        <v>4576</v>
      </c>
      <c r="D58" t="s">
        <v>5152</v>
      </c>
      <c r="G58" t="s">
        <v>4019</v>
      </c>
      <c r="H58" t="s">
        <v>4018</v>
      </c>
      <c r="I58">
        <v>2</v>
      </c>
      <c r="K58" t="s">
        <v>3875</v>
      </c>
      <c r="L58">
        <v>46287</v>
      </c>
      <c r="P58">
        <v>2</v>
      </c>
    </row>
    <row r="59" spans="1:16" x14ac:dyDescent="0.4">
      <c r="A59">
        <v>1289</v>
      </c>
      <c r="B59" t="s">
        <v>4576</v>
      </c>
      <c r="G59" t="s">
        <v>3999</v>
      </c>
      <c r="H59" t="s">
        <v>3998</v>
      </c>
      <c r="I59">
        <v>2</v>
      </c>
      <c r="K59" t="s">
        <v>3782</v>
      </c>
      <c r="L59">
        <v>46287</v>
      </c>
      <c r="P59">
        <v>2</v>
      </c>
    </row>
    <row r="60" spans="1:16" x14ac:dyDescent="0.4">
      <c r="A60">
        <v>1984</v>
      </c>
      <c r="B60" t="s">
        <v>4576</v>
      </c>
      <c r="D60" t="s">
        <v>4901</v>
      </c>
      <c r="E60" t="s">
        <v>4936</v>
      </c>
      <c r="F60" t="s">
        <v>4939</v>
      </c>
      <c r="G60" t="s">
        <v>3369</v>
      </c>
      <c r="H60" t="s">
        <v>3368</v>
      </c>
      <c r="I60">
        <v>2</v>
      </c>
      <c r="K60" t="s">
        <v>5005</v>
      </c>
      <c r="L60">
        <v>46281</v>
      </c>
      <c r="P60">
        <v>2</v>
      </c>
    </row>
    <row r="61" spans="1:16" x14ac:dyDescent="0.4">
      <c r="A61">
        <v>2258</v>
      </c>
      <c r="B61" t="s">
        <v>4576</v>
      </c>
      <c r="G61" t="s">
        <v>3929</v>
      </c>
      <c r="H61" t="s">
        <v>3928</v>
      </c>
      <c r="I61">
        <v>2</v>
      </c>
      <c r="K61" t="s">
        <v>3930</v>
      </c>
      <c r="L61">
        <v>46302</v>
      </c>
      <c r="P61">
        <v>2</v>
      </c>
    </row>
    <row r="62" spans="1:16" x14ac:dyDescent="0.4">
      <c r="A62">
        <v>2352</v>
      </c>
      <c r="B62" t="s">
        <v>4576</v>
      </c>
      <c r="G62" t="s">
        <v>3925</v>
      </c>
      <c r="H62" t="s">
        <v>3924</v>
      </c>
      <c r="I62">
        <v>2</v>
      </c>
      <c r="K62" t="s">
        <v>3836</v>
      </c>
      <c r="L62">
        <v>46295</v>
      </c>
      <c r="P62">
        <v>2</v>
      </c>
    </row>
    <row r="63" spans="1:16" x14ac:dyDescent="0.4">
      <c r="A63">
        <v>274</v>
      </c>
      <c r="B63" t="s">
        <v>4576</v>
      </c>
      <c r="G63" t="s">
        <v>2084</v>
      </c>
      <c r="H63" t="s">
        <v>2083</v>
      </c>
      <c r="I63">
        <v>3</v>
      </c>
      <c r="K63" t="s">
        <v>4853</v>
      </c>
      <c r="L63">
        <v>46232</v>
      </c>
      <c r="P63">
        <v>3</v>
      </c>
    </row>
    <row r="64" spans="1:16" x14ac:dyDescent="0.4">
      <c r="A64">
        <v>887</v>
      </c>
      <c r="B64" t="s">
        <v>4576</v>
      </c>
      <c r="D64" t="s">
        <v>4916</v>
      </c>
      <c r="G64" t="s">
        <v>1337</v>
      </c>
      <c r="H64" t="s">
        <v>1336</v>
      </c>
      <c r="I64">
        <v>3</v>
      </c>
      <c r="K64" t="s">
        <v>5057</v>
      </c>
      <c r="L64">
        <v>46276</v>
      </c>
      <c r="P64">
        <v>3</v>
      </c>
    </row>
    <row r="65" spans="1:16" x14ac:dyDescent="0.4">
      <c r="A65">
        <v>1952</v>
      </c>
      <c r="B65" t="s">
        <v>4576</v>
      </c>
      <c r="D65" t="s">
        <v>4901</v>
      </c>
      <c r="E65" t="s">
        <v>4936</v>
      </c>
      <c r="F65" t="s">
        <v>4939</v>
      </c>
      <c r="G65" t="s">
        <v>4063</v>
      </c>
      <c r="H65" t="s">
        <v>4062</v>
      </c>
      <c r="I65">
        <v>3</v>
      </c>
      <c r="K65" t="s">
        <v>4922</v>
      </c>
      <c r="L65">
        <v>46296</v>
      </c>
      <c r="P65">
        <v>3</v>
      </c>
    </row>
    <row r="66" spans="1:16" x14ac:dyDescent="0.4">
      <c r="A66">
        <v>2088</v>
      </c>
      <c r="B66" t="s">
        <v>4576</v>
      </c>
      <c r="G66" t="s">
        <v>1320</v>
      </c>
      <c r="H66" t="s">
        <v>1319</v>
      </c>
      <c r="I66">
        <v>3</v>
      </c>
      <c r="K66" t="s">
        <v>5054</v>
      </c>
      <c r="L66">
        <v>46287</v>
      </c>
      <c r="P66">
        <v>3</v>
      </c>
    </row>
    <row r="67" spans="1:16" x14ac:dyDescent="0.4">
      <c r="A67">
        <v>2264</v>
      </c>
      <c r="B67" t="s">
        <v>4576</v>
      </c>
      <c r="G67" t="s">
        <v>3900</v>
      </c>
      <c r="H67" t="s">
        <v>3899</v>
      </c>
      <c r="I67">
        <v>3</v>
      </c>
      <c r="K67" t="s">
        <v>4739</v>
      </c>
      <c r="L67">
        <v>46301</v>
      </c>
      <c r="P67">
        <v>3</v>
      </c>
    </row>
    <row r="68" spans="1:16" x14ac:dyDescent="0.4">
      <c r="A68">
        <v>308</v>
      </c>
      <c r="B68" t="s">
        <v>4576</v>
      </c>
      <c r="G68" t="s">
        <v>2197</v>
      </c>
      <c r="H68" t="s">
        <v>2196</v>
      </c>
      <c r="I68">
        <v>4</v>
      </c>
      <c r="K68" t="s">
        <v>4850</v>
      </c>
      <c r="L68">
        <v>46233</v>
      </c>
      <c r="P68">
        <v>4</v>
      </c>
    </row>
    <row r="69" spans="1:16" x14ac:dyDescent="0.4">
      <c r="A69">
        <v>309</v>
      </c>
      <c r="B69" t="s">
        <v>4576</v>
      </c>
      <c r="G69" t="s">
        <v>2199</v>
      </c>
      <c r="H69" t="s">
        <v>2198</v>
      </c>
      <c r="I69">
        <v>4</v>
      </c>
      <c r="K69" t="s">
        <v>4850</v>
      </c>
      <c r="L69">
        <v>46233</v>
      </c>
      <c r="P69">
        <v>4</v>
      </c>
    </row>
    <row r="70" spans="1:16" x14ac:dyDescent="0.4">
      <c r="A70">
        <v>310</v>
      </c>
      <c r="B70" t="s">
        <v>4576</v>
      </c>
      <c r="G70" t="s">
        <v>2203</v>
      </c>
      <c r="H70" t="s">
        <v>2202</v>
      </c>
      <c r="I70">
        <v>4</v>
      </c>
      <c r="K70" t="s">
        <v>4850</v>
      </c>
      <c r="L70">
        <v>46233</v>
      </c>
      <c r="P70">
        <v>4</v>
      </c>
    </row>
    <row r="71" spans="1:16" x14ac:dyDescent="0.4">
      <c r="A71">
        <v>477</v>
      </c>
      <c r="B71" t="s">
        <v>4576</v>
      </c>
      <c r="G71" t="s">
        <v>4019</v>
      </c>
      <c r="H71" t="s">
        <v>4018</v>
      </c>
      <c r="I71">
        <v>5</v>
      </c>
      <c r="K71" t="s">
        <v>3875</v>
      </c>
      <c r="L71">
        <v>46259</v>
      </c>
      <c r="P71">
        <v>5</v>
      </c>
    </row>
    <row r="72" spans="1:16" x14ac:dyDescent="0.4">
      <c r="A72">
        <v>888</v>
      </c>
      <c r="B72" t="s">
        <v>4576</v>
      </c>
      <c r="D72" t="s">
        <v>4916</v>
      </c>
      <c r="G72" t="s">
        <v>598</v>
      </c>
      <c r="H72" t="s">
        <v>597</v>
      </c>
      <c r="I72">
        <v>5</v>
      </c>
      <c r="K72" t="s">
        <v>5058</v>
      </c>
      <c r="L72">
        <v>46276</v>
      </c>
      <c r="P72">
        <v>5</v>
      </c>
    </row>
    <row r="73" spans="1:16" x14ac:dyDescent="0.4">
      <c r="A73">
        <v>889</v>
      </c>
      <c r="B73" t="s">
        <v>4576</v>
      </c>
      <c r="D73" t="s">
        <v>4916</v>
      </c>
      <c r="G73" t="s">
        <v>812</v>
      </c>
      <c r="H73" t="s">
        <v>811</v>
      </c>
      <c r="I73">
        <v>5</v>
      </c>
      <c r="K73" t="s">
        <v>5059</v>
      </c>
      <c r="L73">
        <v>46276</v>
      </c>
      <c r="P73">
        <v>5</v>
      </c>
    </row>
    <row r="74" spans="1:16" x14ac:dyDescent="0.4">
      <c r="A74">
        <v>890</v>
      </c>
      <c r="B74" t="s">
        <v>4576</v>
      </c>
      <c r="D74" t="s">
        <v>4916</v>
      </c>
      <c r="G74" t="s">
        <v>1548</v>
      </c>
      <c r="H74" t="s">
        <v>1547</v>
      </c>
      <c r="I74">
        <v>5</v>
      </c>
      <c r="K74" t="s">
        <v>5036</v>
      </c>
      <c r="L74">
        <v>46276</v>
      </c>
      <c r="P74">
        <v>5</v>
      </c>
    </row>
    <row r="75" spans="1:16" x14ac:dyDescent="0.4">
      <c r="A75">
        <v>1710</v>
      </c>
      <c r="B75" t="s">
        <v>4576</v>
      </c>
      <c r="G75" t="s">
        <v>3430</v>
      </c>
      <c r="H75" t="s">
        <v>3429</v>
      </c>
      <c r="I75">
        <v>5</v>
      </c>
      <c r="K75" t="s">
        <v>2026</v>
      </c>
      <c r="L75">
        <v>46288</v>
      </c>
      <c r="P75">
        <v>5</v>
      </c>
    </row>
    <row r="76" spans="1:16" x14ac:dyDescent="0.4">
      <c r="A76">
        <v>239</v>
      </c>
      <c r="B76" t="s">
        <v>4576</v>
      </c>
      <c r="G76" t="s">
        <v>2201</v>
      </c>
      <c r="H76" t="s">
        <v>2200</v>
      </c>
      <c r="I76">
        <v>6</v>
      </c>
      <c r="K76" t="s">
        <v>4850</v>
      </c>
      <c r="L76">
        <v>46232</v>
      </c>
      <c r="P76">
        <v>6</v>
      </c>
    </row>
    <row r="77" spans="1:16" x14ac:dyDescent="0.4">
      <c r="A77">
        <v>240</v>
      </c>
      <c r="B77" t="s">
        <v>4576</v>
      </c>
      <c r="G77" t="s">
        <v>2205</v>
      </c>
      <c r="H77" t="s">
        <v>2204</v>
      </c>
      <c r="I77">
        <v>6</v>
      </c>
      <c r="K77" t="s">
        <v>4850</v>
      </c>
      <c r="L77">
        <v>46232</v>
      </c>
      <c r="P77">
        <v>6</v>
      </c>
    </row>
    <row r="78" spans="1:16" x14ac:dyDescent="0.4">
      <c r="A78">
        <v>891</v>
      </c>
      <c r="B78" t="s">
        <v>4576</v>
      </c>
      <c r="D78" t="s">
        <v>4916</v>
      </c>
      <c r="G78" t="s">
        <v>2471</v>
      </c>
      <c r="H78" t="s">
        <v>2470</v>
      </c>
      <c r="I78">
        <v>6</v>
      </c>
      <c r="K78" t="s">
        <v>5060</v>
      </c>
      <c r="L78">
        <v>46276</v>
      </c>
      <c r="P78">
        <v>6</v>
      </c>
    </row>
    <row r="79" spans="1:16" x14ac:dyDescent="0.4">
      <c r="A79">
        <v>1311</v>
      </c>
      <c r="B79" t="s">
        <v>4576</v>
      </c>
      <c r="G79" t="s">
        <v>3934</v>
      </c>
      <c r="H79" t="s">
        <v>3933</v>
      </c>
      <c r="I79">
        <v>6</v>
      </c>
      <c r="K79" t="s">
        <v>3935</v>
      </c>
      <c r="L79">
        <v>46287</v>
      </c>
      <c r="P79">
        <v>6</v>
      </c>
    </row>
    <row r="80" spans="1:16" x14ac:dyDescent="0.4">
      <c r="A80">
        <v>1313</v>
      </c>
      <c r="B80" t="s">
        <v>4576</v>
      </c>
      <c r="G80" t="s">
        <v>3804</v>
      </c>
      <c r="H80" t="s">
        <v>3803</v>
      </c>
      <c r="I80">
        <v>6</v>
      </c>
      <c r="K80" t="s">
        <v>4743</v>
      </c>
      <c r="L80">
        <v>46287</v>
      </c>
      <c r="P80">
        <v>6</v>
      </c>
    </row>
    <row r="81" spans="1:16" x14ac:dyDescent="0.4">
      <c r="A81">
        <v>1510</v>
      </c>
      <c r="B81" t="s">
        <v>4576</v>
      </c>
      <c r="G81" t="s">
        <v>2714</v>
      </c>
      <c r="H81" t="s">
        <v>2713</v>
      </c>
      <c r="I81">
        <v>6</v>
      </c>
      <c r="K81" t="s">
        <v>5061</v>
      </c>
      <c r="L81">
        <v>46282</v>
      </c>
      <c r="P81">
        <v>6</v>
      </c>
    </row>
    <row r="82" spans="1:16" x14ac:dyDescent="0.4">
      <c r="A82">
        <v>2070</v>
      </c>
      <c r="B82" t="s">
        <v>4576</v>
      </c>
      <c r="D82" t="s">
        <v>4901</v>
      </c>
      <c r="E82" t="s">
        <v>5149</v>
      </c>
      <c r="F82" t="s">
        <v>5147</v>
      </c>
      <c r="G82" t="s">
        <v>1320</v>
      </c>
      <c r="H82" t="s">
        <v>1319</v>
      </c>
      <c r="I82">
        <v>6</v>
      </c>
      <c r="K82" t="s">
        <v>5054</v>
      </c>
      <c r="L82">
        <v>46301</v>
      </c>
      <c r="P82">
        <v>6</v>
      </c>
    </row>
    <row r="83" spans="1:16" x14ac:dyDescent="0.4">
      <c r="A83">
        <v>258</v>
      </c>
      <c r="B83" t="s">
        <v>4576</v>
      </c>
      <c r="G83" t="s">
        <v>2395</v>
      </c>
      <c r="H83" t="s">
        <v>2394</v>
      </c>
      <c r="I83">
        <v>7</v>
      </c>
      <c r="K83" t="s">
        <v>4854</v>
      </c>
      <c r="L83">
        <v>46232</v>
      </c>
      <c r="P83">
        <v>7</v>
      </c>
    </row>
    <row r="84" spans="1:16" x14ac:dyDescent="0.4">
      <c r="A84">
        <v>291</v>
      </c>
      <c r="B84" t="s">
        <v>4576</v>
      </c>
      <c r="G84" t="s">
        <v>2190</v>
      </c>
      <c r="H84" t="s">
        <v>2189</v>
      </c>
      <c r="I84">
        <v>7</v>
      </c>
      <c r="K84" t="s">
        <v>4855</v>
      </c>
      <c r="L84">
        <v>46232</v>
      </c>
      <c r="P84">
        <v>7</v>
      </c>
    </row>
    <row r="85" spans="1:16" x14ac:dyDescent="0.4">
      <c r="A85">
        <v>2441</v>
      </c>
      <c r="B85" t="s">
        <v>4576</v>
      </c>
      <c r="G85" t="s">
        <v>1322</v>
      </c>
      <c r="H85" t="s">
        <v>5145</v>
      </c>
      <c r="I85">
        <v>7</v>
      </c>
      <c r="K85" t="s">
        <v>5054</v>
      </c>
      <c r="L85">
        <v>46301</v>
      </c>
      <c r="P85">
        <v>7</v>
      </c>
    </row>
    <row r="86" spans="1:16" x14ac:dyDescent="0.4">
      <c r="A86">
        <v>275</v>
      </c>
      <c r="B86" t="s">
        <v>4576</v>
      </c>
      <c r="G86" t="s">
        <v>4844</v>
      </c>
      <c r="H86">
        <v>0</v>
      </c>
      <c r="I86">
        <v>8</v>
      </c>
      <c r="K86">
        <v>0</v>
      </c>
      <c r="L86">
        <v>46232</v>
      </c>
      <c r="P86">
        <v>8</v>
      </c>
    </row>
    <row r="87" spans="1:16" x14ac:dyDescent="0.4">
      <c r="A87">
        <v>276</v>
      </c>
      <c r="B87" t="s">
        <v>4576</v>
      </c>
      <c r="G87" t="s">
        <v>2089</v>
      </c>
      <c r="H87" t="s">
        <v>2088</v>
      </c>
      <c r="I87">
        <v>8</v>
      </c>
      <c r="K87" t="s">
        <v>4853</v>
      </c>
      <c r="L87">
        <v>46232</v>
      </c>
      <c r="P87">
        <v>8</v>
      </c>
    </row>
    <row r="88" spans="1:16" x14ac:dyDescent="0.4">
      <c r="A88">
        <v>1215</v>
      </c>
      <c r="B88" t="s">
        <v>4576</v>
      </c>
      <c r="D88" t="s">
        <v>5152</v>
      </c>
      <c r="G88" t="s">
        <v>4056</v>
      </c>
      <c r="H88" t="s">
        <v>4055</v>
      </c>
      <c r="I88">
        <v>8</v>
      </c>
      <c r="K88" t="s">
        <v>4015</v>
      </c>
      <c r="L88">
        <v>46287</v>
      </c>
      <c r="P88">
        <v>8</v>
      </c>
    </row>
    <row r="89" spans="1:16" x14ac:dyDescent="0.4">
      <c r="A89">
        <v>1222</v>
      </c>
      <c r="B89" t="s">
        <v>4576</v>
      </c>
      <c r="D89" t="s">
        <v>5152</v>
      </c>
      <c r="G89" t="s">
        <v>3806</v>
      </c>
      <c r="H89" t="s">
        <v>4923</v>
      </c>
      <c r="I89">
        <v>8</v>
      </c>
      <c r="K89" t="s">
        <v>4832</v>
      </c>
      <c r="L89">
        <v>46287</v>
      </c>
      <c r="P89">
        <v>8</v>
      </c>
    </row>
    <row r="90" spans="1:16" x14ac:dyDescent="0.4">
      <c r="A90">
        <v>1366</v>
      </c>
      <c r="B90" t="s">
        <v>4576</v>
      </c>
      <c r="G90" t="s">
        <v>3273</v>
      </c>
      <c r="H90" t="s">
        <v>3272</v>
      </c>
      <c r="I90">
        <v>8</v>
      </c>
      <c r="K90" t="s">
        <v>3271</v>
      </c>
      <c r="L90">
        <v>46287</v>
      </c>
      <c r="P90">
        <v>8</v>
      </c>
    </row>
    <row r="91" spans="1:16" x14ac:dyDescent="0.4">
      <c r="A91">
        <v>2273</v>
      </c>
      <c r="B91" t="s">
        <v>4576</v>
      </c>
      <c r="G91" t="s">
        <v>3827</v>
      </c>
      <c r="H91" t="s">
        <v>3826</v>
      </c>
      <c r="I91">
        <v>8</v>
      </c>
      <c r="K91" t="s">
        <v>3823</v>
      </c>
      <c r="L91">
        <v>46301</v>
      </c>
      <c r="P91">
        <v>8</v>
      </c>
    </row>
    <row r="92" spans="1:16" x14ac:dyDescent="0.4">
      <c r="A92">
        <v>2296</v>
      </c>
      <c r="B92" t="s">
        <v>4576</v>
      </c>
      <c r="G92" t="s">
        <v>3530</v>
      </c>
      <c r="H92" t="s">
        <v>5049</v>
      </c>
      <c r="I92">
        <v>8</v>
      </c>
      <c r="K92" t="s">
        <v>5005</v>
      </c>
      <c r="L92">
        <v>46303</v>
      </c>
      <c r="P92">
        <v>8</v>
      </c>
    </row>
    <row r="93" spans="1:16" x14ac:dyDescent="0.4">
      <c r="A93">
        <v>2348</v>
      </c>
      <c r="B93" t="s">
        <v>4576</v>
      </c>
      <c r="G93" t="s">
        <v>4736</v>
      </c>
      <c r="H93">
        <v>0</v>
      </c>
      <c r="I93">
        <v>8</v>
      </c>
      <c r="K93" t="s">
        <v>4046</v>
      </c>
      <c r="L93">
        <v>46301</v>
      </c>
      <c r="P93">
        <v>8</v>
      </c>
    </row>
    <row r="94" spans="1:16" x14ac:dyDescent="0.4">
      <c r="A94">
        <v>2424</v>
      </c>
      <c r="B94" t="s">
        <v>4576</v>
      </c>
      <c r="G94" t="s">
        <v>1354</v>
      </c>
      <c r="H94" t="s">
        <v>1353</v>
      </c>
      <c r="I94">
        <v>8</v>
      </c>
      <c r="K94" t="s">
        <v>4957</v>
      </c>
      <c r="L94">
        <v>46301</v>
      </c>
      <c r="P94">
        <v>8</v>
      </c>
    </row>
    <row r="95" spans="1:16" x14ac:dyDescent="0.4">
      <c r="A95">
        <v>470</v>
      </c>
      <c r="B95" t="s">
        <v>4576</v>
      </c>
      <c r="G95" t="s">
        <v>3822</v>
      </c>
      <c r="H95" t="s">
        <v>3821</v>
      </c>
      <c r="I95">
        <v>9</v>
      </c>
      <c r="K95" t="s">
        <v>3823</v>
      </c>
      <c r="L95">
        <v>46259</v>
      </c>
      <c r="P95">
        <v>9</v>
      </c>
    </row>
    <row r="96" spans="1:16" x14ac:dyDescent="0.4">
      <c r="A96">
        <v>471</v>
      </c>
      <c r="B96" t="s">
        <v>4576</v>
      </c>
      <c r="G96" t="s">
        <v>4012</v>
      </c>
      <c r="H96" t="s">
        <v>4011</v>
      </c>
      <c r="I96">
        <v>9</v>
      </c>
      <c r="K96" t="s">
        <v>3871</v>
      </c>
      <c r="L96">
        <v>46259</v>
      </c>
      <c r="P96">
        <v>9</v>
      </c>
    </row>
    <row r="97" spans="1:16" x14ac:dyDescent="0.4">
      <c r="A97">
        <v>1237</v>
      </c>
      <c r="B97" t="s">
        <v>4576</v>
      </c>
      <c r="D97" t="s">
        <v>5152</v>
      </c>
      <c r="G97" t="s">
        <v>4048</v>
      </c>
      <c r="H97" t="s">
        <v>4047</v>
      </c>
      <c r="I97">
        <v>9</v>
      </c>
      <c r="K97" t="s">
        <v>4046</v>
      </c>
      <c r="L97">
        <v>46287</v>
      </c>
      <c r="P97">
        <v>9</v>
      </c>
    </row>
    <row r="98" spans="1:16" x14ac:dyDescent="0.4">
      <c r="A98">
        <v>1316</v>
      </c>
      <c r="B98" t="s">
        <v>4576</v>
      </c>
      <c r="G98" t="s">
        <v>4034</v>
      </c>
      <c r="H98" t="s">
        <v>4924</v>
      </c>
      <c r="I98">
        <v>9</v>
      </c>
      <c r="K98" t="s">
        <v>4723</v>
      </c>
      <c r="L98">
        <v>46287</v>
      </c>
      <c r="P98">
        <v>9</v>
      </c>
    </row>
    <row r="99" spans="1:16" x14ac:dyDescent="0.4">
      <c r="A99">
        <v>1903</v>
      </c>
      <c r="B99" t="s">
        <v>4576</v>
      </c>
      <c r="G99" t="s">
        <v>1430</v>
      </c>
      <c r="H99" t="s">
        <v>1429</v>
      </c>
      <c r="I99">
        <v>9</v>
      </c>
      <c r="K99" t="s">
        <v>5073</v>
      </c>
      <c r="L99">
        <v>46295</v>
      </c>
      <c r="P99">
        <v>9</v>
      </c>
    </row>
    <row r="100" spans="1:16" x14ac:dyDescent="0.4">
      <c r="A100">
        <v>2261</v>
      </c>
      <c r="B100" t="s">
        <v>4576</v>
      </c>
      <c r="G100" t="s">
        <v>4010</v>
      </c>
      <c r="H100" t="s">
        <v>4009</v>
      </c>
      <c r="I100">
        <v>9</v>
      </c>
      <c r="K100" t="s">
        <v>4002</v>
      </c>
      <c r="L100">
        <v>46301</v>
      </c>
      <c r="P100">
        <v>9</v>
      </c>
    </row>
    <row r="101" spans="1:16" x14ac:dyDescent="0.4">
      <c r="A101">
        <v>2267</v>
      </c>
      <c r="B101" t="s">
        <v>4576</v>
      </c>
      <c r="G101" t="s">
        <v>2907</v>
      </c>
      <c r="H101" t="s">
        <v>2906</v>
      </c>
      <c r="I101">
        <v>9</v>
      </c>
      <c r="K101" t="s">
        <v>2992</v>
      </c>
      <c r="L101">
        <v>46301</v>
      </c>
      <c r="P101">
        <v>9</v>
      </c>
    </row>
    <row r="102" spans="1:16" x14ac:dyDescent="0.4">
      <c r="A102">
        <v>2295</v>
      </c>
      <c r="B102" t="s">
        <v>4576</v>
      </c>
      <c r="G102" t="s">
        <v>3538</v>
      </c>
      <c r="H102" t="s">
        <v>3537</v>
      </c>
      <c r="I102">
        <v>9</v>
      </c>
      <c r="K102" t="s">
        <v>5047</v>
      </c>
      <c r="L102">
        <v>46303</v>
      </c>
      <c r="P102">
        <v>9</v>
      </c>
    </row>
    <row r="103" spans="1:16" x14ac:dyDescent="0.4">
      <c r="A103">
        <v>2298</v>
      </c>
      <c r="B103" t="s">
        <v>4576</v>
      </c>
      <c r="G103" t="s">
        <v>3551</v>
      </c>
      <c r="H103" t="s">
        <v>5043</v>
      </c>
      <c r="I103">
        <v>9</v>
      </c>
      <c r="K103" t="s">
        <v>5004</v>
      </c>
      <c r="L103">
        <v>46303</v>
      </c>
      <c r="P103">
        <v>9</v>
      </c>
    </row>
    <row r="104" spans="1:16" x14ac:dyDescent="0.4">
      <c r="A104">
        <v>293</v>
      </c>
      <c r="B104" t="s">
        <v>4576</v>
      </c>
      <c r="G104" t="s">
        <v>40</v>
      </c>
      <c r="H104" t="s">
        <v>39</v>
      </c>
      <c r="I104">
        <v>10</v>
      </c>
      <c r="K104" t="s">
        <v>36</v>
      </c>
      <c r="L104">
        <v>46232</v>
      </c>
      <c r="P104">
        <v>10</v>
      </c>
    </row>
    <row r="105" spans="1:16" x14ac:dyDescent="0.4">
      <c r="A105">
        <v>398</v>
      </c>
      <c r="B105" t="s">
        <v>4576</v>
      </c>
      <c r="D105" t="s">
        <v>4901</v>
      </c>
      <c r="G105" t="s">
        <v>3843</v>
      </c>
      <c r="H105" t="s">
        <v>3842</v>
      </c>
      <c r="I105">
        <v>10</v>
      </c>
      <c r="K105" t="s">
        <v>3839</v>
      </c>
      <c r="L105">
        <v>46255</v>
      </c>
      <c r="P105">
        <v>10</v>
      </c>
    </row>
    <row r="106" spans="1:16" x14ac:dyDescent="0.4">
      <c r="A106">
        <v>1807</v>
      </c>
      <c r="B106" t="s">
        <v>4576</v>
      </c>
      <c r="G106" t="s">
        <v>791</v>
      </c>
      <c r="H106" t="s">
        <v>790</v>
      </c>
      <c r="I106">
        <v>10</v>
      </c>
      <c r="K106" t="s">
        <v>4987</v>
      </c>
      <c r="L106">
        <v>46294</v>
      </c>
      <c r="P106">
        <v>10</v>
      </c>
    </row>
    <row r="107" spans="1:16" x14ac:dyDescent="0.4">
      <c r="A107">
        <v>1945</v>
      </c>
      <c r="B107" t="s">
        <v>4576</v>
      </c>
      <c r="D107" t="s">
        <v>4901</v>
      </c>
      <c r="E107" t="s">
        <v>4938</v>
      </c>
      <c r="F107" t="s">
        <v>4939</v>
      </c>
      <c r="G107" t="s">
        <v>3932</v>
      </c>
      <c r="H107" t="s">
        <v>3931</v>
      </c>
      <c r="I107">
        <v>10</v>
      </c>
      <c r="K107" t="s">
        <v>3585</v>
      </c>
      <c r="L107">
        <v>46301</v>
      </c>
      <c r="P107">
        <v>10</v>
      </c>
    </row>
    <row r="108" spans="1:16" x14ac:dyDescent="0.4">
      <c r="A108">
        <v>1946</v>
      </c>
      <c r="B108" t="s">
        <v>4576</v>
      </c>
      <c r="D108" t="s">
        <v>4901</v>
      </c>
      <c r="E108" t="s">
        <v>4938</v>
      </c>
      <c r="F108" t="s">
        <v>4939</v>
      </c>
      <c r="G108" t="s">
        <v>4737</v>
      </c>
      <c r="H108">
        <v>0</v>
      </c>
      <c r="I108">
        <v>10</v>
      </c>
      <c r="K108" t="s">
        <v>3935</v>
      </c>
      <c r="L108">
        <v>46301</v>
      </c>
      <c r="P108">
        <v>10</v>
      </c>
    </row>
    <row r="109" spans="1:16" x14ac:dyDescent="0.4">
      <c r="A109">
        <v>2262</v>
      </c>
      <c r="B109" t="s">
        <v>4576</v>
      </c>
      <c r="G109" t="s">
        <v>3991</v>
      </c>
      <c r="H109" t="s">
        <v>3990</v>
      </c>
      <c r="I109">
        <v>10</v>
      </c>
      <c r="K109" t="s">
        <v>3782</v>
      </c>
      <c r="L109">
        <v>46301</v>
      </c>
      <c r="P109">
        <v>10</v>
      </c>
    </row>
    <row r="110" spans="1:16" x14ac:dyDescent="0.4">
      <c r="A110">
        <v>2340</v>
      </c>
      <c r="B110" t="s">
        <v>4576</v>
      </c>
      <c r="G110" t="s">
        <v>1858</v>
      </c>
      <c r="H110" t="s">
        <v>1857</v>
      </c>
      <c r="I110">
        <v>10</v>
      </c>
      <c r="K110" t="s">
        <v>5137</v>
      </c>
      <c r="L110">
        <v>46302</v>
      </c>
      <c r="P110">
        <v>10</v>
      </c>
    </row>
    <row r="111" spans="1:16" x14ac:dyDescent="0.4">
      <c r="A111">
        <v>467</v>
      </c>
      <c r="B111" t="s">
        <v>4576</v>
      </c>
      <c r="G111" t="s">
        <v>4004</v>
      </c>
      <c r="H111" t="s">
        <v>4003</v>
      </c>
      <c r="I111">
        <v>11</v>
      </c>
      <c r="K111" t="s">
        <v>4002</v>
      </c>
      <c r="L111">
        <v>46259</v>
      </c>
      <c r="P111">
        <v>11</v>
      </c>
    </row>
    <row r="112" spans="1:16" x14ac:dyDescent="0.4">
      <c r="A112">
        <v>894</v>
      </c>
      <c r="B112" t="s">
        <v>4576</v>
      </c>
      <c r="D112" t="s">
        <v>4916</v>
      </c>
      <c r="G112" t="s">
        <v>1797</v>
      </c>
      <c r="H112" t="s">
        <v>1796</v>
      </c>
      <c r="I112">
        <v>11</v>
      </c>
      <c r="K112" t="s">
        <v>5063</v>
      </c>
      <c r="L112">
        <v>46276</v>
      </c>
      <c r="P112">
        <v>11</v>
      </c>
    </row>
    <row r="113" spans="1:16" x14ac:dyDescent="0.4">
      <c r="A113">
        <v>1191</v>
      </c>
      <c r="B113" t="s">
        <v>4576</v>
      </c>
      <c r="D113" t="s">
        <v>5152</v>
      </c>
      <c r="G113" t="s">
        <v>4030</v>
      </c>
      <c r="H113" t="s">
        <v>4029</v>
      </c>
      <c r="I113">
        <v>11</v>
      </c>
      <c r="K113" t="s">
        <v>3875</v>
      </c>
      <c r="L113">
        <v>46287</v>
      </c>
      <c r="P113">
        <v>11</v>
      </c>
    </row>
    <row r="114" spans="1:16" x14ac:dyDescent="0.4">
      <c r="A114">
        <v>1325</v>
      </c>
      <c r="B114" t="s">
        <v>4576</v>
      </c>
      <c r="G114" t="s">
        <v>3887</v>
      </c>
      <c r="H114" t="s">
        <v>3886</v>
      </c>
      <c r="I114">
        <v>11</v>
      </c>
      <c r="K114" t="s">
        <v>2541</v>
      </c>
      <c r="L114">
        <v>46287</v>
      </c>
      <c r="P114">
        <v>11</v>
      </c>
    </row>
    <row r="115" spans="1:16" x14ac:dyDescent="0.4">
      <c r="A115">
        <v>1340</v>
      </c>
      <c r="B115" t="s">
        <v>4576</v>
      </c>
      <c r="G115" t="s">
        <v>4738</v>
      </c>
      <c r="H115">
        <v>0</v>
      </c>
      <c r="I115">
        <v>11</v>
      </c>
      <c r="K115" t="s">
        <v>3910</v>
      </c>
      <c r="L115">
        <v>46287</v>
      </c>
      <c r="P115">
        <v>11</v>
      </c>
    </row>
    <row r="116" spans="1:16" x14ac:dyDescent="0.4">
      <c r="A116">
        <v>1344</v>
      </c>
      <c r="B116" t="s">
        <v>4576</v>
      </c>
      <c r="G116" t="s">
        <v>3915</v>
      </c>
      <c r="H116" t="s">
        <v>3914</v>
      </c>
      <c r="I116">
        <v>11</v>
      </c>
      <c r="K116" t="s">
        <v>3871</v>
      </c>
      <c r="L116">
        <v>46287</v>
      </c>
      <c r="P116">
        <v>11</v>
      </c>
    </row>
    <row r="117" spans="1:16" x14ac:dyDescent="0.4">
      <c r="A117">
        <v>1365</v>
      </c>
      <c r="B117" t="s">
        <v>4576</v>
      </c>
      <c r="G117" t="s">
        <v>3270</v>
      </c>
      <c r="H117" t="s">
        <v>3269</v>
      </c>
      <c r="I117">
        <v>11</v>
      </c>
      <c r="K117" t="s">
        <v>3271</v>
      </c>
      <c r="L117">
        <v>46287</v>
      </c>
      <c r="P117">
        <v>11</v>
      </c>
    </row>
    <row r="118" spans="1:16" x14ac:dyDescent="0.4">
      <c r="A118">
        <v>1635</v>
      </c>
      <c r="B118" t="s">
        <v>4576</v>
      </c>
      <c r="G118" t="s">
        <v>2801</v>
      </c>
      <c r="H118" t="s">
        <v>2800</v>
      </c>
      <c r="I118">
        <v>11</v>
      </c>
      <c r="K118" t="s">
        <v>5025</v>
      </c>
      <c r="L118">
        <v>46280</v>
      </c>
      <c r="P118">
        <v>11</v>
      </c>
    </row>
    <row r="119" spans="1:16" x14ac:dyDescent="0.4">
      <c r="A119">
        <v>2370</v>
      </c>
      <c r="B119" t="s">
        <v>4576</v>
      </c>
      <c r="G119" t="s">
        <v>844</v>
      </c>
      <c r="H119" t="s">
        <v>843</v>
      </c>
      <c r="I119">
        <v>11</v>
      </c>
      <c r="K119" t="s">
        <v>4957</v>
      </c>
      <c r="L119">
        <v>46302</v>
      </c>
      <c r="P119">
        <v>11</v>
      </c>
    </row>
    <row r="120" spans="1:16" x14ac:dyDescent="0.4">
      <c r="A120">
        <v>2147</v>
      </c>
      <c r="B120" t="s">
        <v>4576</v>
      </c>
      <c r="G120" t="s">
        <v>457</v>
      </c>
      <c r="H120" t="s">
        <v>456</v>
      </c>
      <c r="I120">
        <v>12</v>
      </c>
      <c r="K120" t="s">
        <v>5075</v>
      </c>
      <c r="L120">
        <v>46293</v>
      </c>
      <c r="P120">
        <v>12</v>
      </c>
    </row>
    <row r="121" spans="1:16" x14ac:dyDescent="0.4">
      <c r="A121">
        <v>2269</v>
      </c>
      <c r="B121" t="s">
        <v>4576</v>
      </c>
      <c r="G121" t="s">
        <v>4006</v>
      </c>
      <c r="H121" t="s">
        <v>4005</v>
      </c>
      <c r="I121">
        <v>12</v>
      </c>
      <c r="K121" t="s">
        <v>4002</v>
      </c>
      <c r="L121">
        <v>46301</v>
      </c>
      <c r="P121">
        <v>12</v>
      </c>
    </row>
    <row r="122" spans="1:16" x14ac:dyDescent="0.4">
      <c r="A122">
        <v>299</v>
      </c>
      <c r="B122" t="s">
        <v>4576</v>
      </c>
      <c r="G122" t="s">
        <v>2387</v>
      </c>
      <c r="H122" t="s">
        <v>2386</v>
      </c>
      <c r="I122">
        <v>13</v>
      </c>
      <c r="K122" t="s">
        <v>4854</v>
      </c>
      <c r="L122">
        <v>46232</v>
      </c>
      <c r="P122">
        <v>13</v>
      </c>
    </row>
    <row r="123" spans="1:16" x14ac:dyDescent="0.4">
      <c r="A123">
        <v>465</v>
      </c>
      <c r="B123" t="s">
        <v>4576</v>
      </c>
      <c r="G123" t="s">
        <v>3851</v>
      </c>
      <c r="H123" t="s">
        <v>3850</v>
      </c>
      <c r="I123">
        <v>13</v>
      </c>
      <c r="K123" t="s">
        <v>3839</v>
      </c>
      <c r="L123">
        <v>46259</v>
      </c>
      <c r="P123">
        <v>13</v>
      </c>
    </row>
    <row r="124" spans="1:16" x14ac:dyDescent="0.4">
      <c r="A124">
        <v>1320</v>
      </c>
      <c r="B124" t="s">
        <v>4576</v>
      </c>
      <c r="G124" t="s">
        <v>3849</v>
      </c>
      <c r="H124" t="s">
        <v>3848</v>
      </c>
      <c r="I124">
        <v>13</v>
      </c>
      <c r="K124" t="s">
        <v>3839</v>
      </c>
      <c r="L124">
        <v>46287</v>
      </c>
      <c r="P124">
        <v>13</v>
      </c>
    </row>
    <row r="125" spans="1:16" x14ac:dyDescent="0.4">
      <c r="A125">
        <v>2419</v>
      </c>
      <c r="B125" t="s">
        <v>4576</v>
      </c>
      <c r="G125" t="s">
        <v>2000</v>
      </c>
      <c r="H125" t="s">
        <v>1999</v>
      </c>
      <c r="I125">
        <v>13</v>
      </c>
      <c r="K125" t="s">
        <v>5144</v>
      </c>
      <c r="L125">
        <v>46301</v>
      </c>
      <c r="P125">
        <v>13</v>
      </c>
    </row>
    <row r="126" spans="1:16" x14ac:dyDescent="0.4">
      <c r="A126">
        <v>895</v>
      </c>
      <c r="B126" t="s">
        <v>4576</v>
      </c>
      <c r="D126" t="s">
        <v>4916</v>
      </c>
      <c r="G126" t="s">
        <v>983</v>
      </c>
      <c r="H126" t="s">
        <v>982</v>
      </c>
      <c r="I126">
        <v>14</v>
      </c>
      <c r="K126" t="s">
        <v>4985</v>
      </c>
      <c r="L126">
        <v>46276</v>
      </c>
      <c r="P126">
        <v>14</v>
      </c>
    </row>
    <row r="127" spans="1:16" x14ac:dyDescent="0.4">
      <c r="A127">
        <v>2344</v>
      </c>
      <c r="B127" t="s">
        <v>4576</v>
      </c>
      <c r="G127" t="s">
        <v>3929</v>
      </c>
      <c r="H127" t="s">
        <v>3928</v>
      </c>
      <c r="I127">
        <v>14</v>
      </c>
      <c r="K127" t="s">
        <v>3930</v>
      </c>
      <c r="L127">
        <v>46295</v>
      </c>
      <c r="P127">
        <v>14</v>
      </c>
    </row>
    <row r="128" spans="1:16" x14ac:dyDescent="0.4">
      <c r="A128">
        <v>251</v>
      </c>
      <c r="B128" t="s">
        <v>4576</v>
      </c>
      <c r="G128" t="s">
        <v>2377</v>
      </c>
      <c r="H128" t="s">
        <v>2376</v>
      </c>
      <c r="I128">
        <v>15</v>
      </c>
      <c r="K128" t="s">
        <v>4856</v>
      </c>
      <c r="L128">
        <v>46232</v>
      </c>
      <c r="P128">
        <v>15</v>
      </c>
    </row>
    <row r="129" spans="1:16" x14ac:dyDescent="0.4">
      <c r="A129">
        <v>259</v>
      </c>
      <c r="B129" t="s">
        <v>4576</v>
      </c>
      <c r="G129" t="s">
        <v>2397</v>
      </c>
      <c r="H129" t="s">
        <v>2396</v>
      </c>
      <c r="I129">
        <v>15</v>
      </c>
      <c r="K129" t="s">
        <v>4854</v>
      </c>
      <c r="L129">
        <v>46232</v>
      </c>
      <c r="P129">
        <v>15</v>
      </c>
    </row>
    <row r="130" spans="1:16" x14ac:dyDescent="0.4">
      <c r="A130">
        <v>1306</v>
      </c>
      <c r="B130" t="s">
        <v>4576</v>
      </c>
      <c r="G130" t="s">
        <v>4063</v>
      </c>
      <c r="H130" t="s">
        <v>4062</v>
      </c>
      <c r="I130">
        <v>15</v>
      </c>
      <c r="K130" t="s">
        <v>4922</v>
      </c>
      <c r="L130">
        <v>46287</v>
      </c>
      <c r="P130">
        <v>15</v>
      </c>
    </row>
    <row r="131" spans="1:16" x14ac:dyDescent="0.4">
      <c r="A131">
        <v>1970</v>
      </c>
      <c r="B131" t="s">
        <v>4576</v>
      </c>
      <c r="D131" t="s">
        <v>4901</v>
      </c>
      <c r="E131" t="s">
        <v>4936</v>
      </c>
      <c r="F131" t="s">
        <v>4939</v>
      </c>
      <c r="G131" t="s">
        <v>3900</v>
      </c>
      <c r="H131" t="s">
        <v>3899</v>
      </c>
      <c r="I131">
        <v>15</v>
      </c>
      <c r="K131" t="s">
        <v>4739</v>
      </c>
      <c r="L131">
        <v>46301</v>
      </c>
      <c r="P131">
        <v>15</v>
      </c>
    </row>
    <row r="132" spans="1:16" x14ac:dyDescent="0.4">
      <c r="A132">
        <v>2308</v>
      </c>
      <c r="B132" t="s">
        <v>4576</v>
      </c>
      <c r="G132" t="s">
        <v>3207</v>
      </c>
      <c r="H132" t="s">
        <v>3206</v>
      </c>
      <c r="I132">
        <v>15</v>
      </c>
      <c r="K132" t="s">
        <v>5005</v>
      </c>
      <c r="L132">
        <v>46302</v>
      </c>
      <c r="P132">
        <v>15</v>
      </c>
    </row>
    <row r="133" spans="1:16" x14ac:dyDescent="0.4">
      <c r="A133">
        <v>252</v>
      </c>
      <c r="B133" t="s">
        <v>4576</v>
      </c>
      <c r="G133" t="s">
        <v>2381</v>
      </c>
      <c r="H133" t="s">
        <v>2380</v>
      </c>
      <c r="I133">
        <v>16</v>
      </c>
      <c r="K133" t="s">
        <v>4856</v>
      </c>
      <c r="L133">
        <v>46232</v>
      </c>
      <c r="P133">
        <v>16</v>
      </c>
    </row>
    <row r="134" spans="1:16" x14ac:dyDescent="0.4">
      <c r="A134">
        <v>255</v>
      </c>
      <c r="B134" t="s">
        <v>4576</v>
      </c>
      <c r="G134" t="s">
        <v>2389</v>
      </c>
      <c r="H134" t="s">
        <v>2388</v>
      </c>
      <c r="I134">
        <v>16</v>
      </c>
      <c r="K134" t="s">
        <v>4854</v>
      </c>
      <c r="L134">
        <v>46232</v>
      </c>
      <c r="P134">
        <v>16</v>
      </c>
    </row>
    <row r="135" spans="1:16" x14ac:dyDescent="0.4">
      <c r="A135">
        <v>257</v>
      </c>
      <c r="B135" t="s">
        <v>4576</v>
      </c>
      <c r="G135" t="s">
        <v>2393</v>
      </c>
      <c r="H135" t="s">
        <v>2392</v>
      </c>
      <c r="I135">
        <v>16</v>
      </c>
      <c r="K135" t="s">
        <v>4854</v>
      </c>
      <c r="L135">
        <v>46232</v>
      </c>
      <c r="P135">
        <v>16</v>
      </c>
    </row>
    <row r="136" spans="1:16" x14ac:dyDescent="0.4">
      <c r="A136">
        <v>262</v>
      </c>
      <c r="B136" t="s">
        <v>4576</v>
      </c>
      <c r="G136" t="s">
        <v>2404</v>
      </c>
      <c r="H136" t="s">
        <v>2403</v>
      </c>
      <c r="I136">
        <v>16</v>
      </c>
      <c r="K136" t="s">
        <v>4857</v>
      </c>
      <c r="L136">
        <v>46232</v>
      </c>
      <c r="P136">
        <v>16</v>
      </c>
    </row>
    <row r="137" spans="1:16" x14ac:dyDescent="0.4">
      <c r="A137">
        <v>1213</v>
      </c>
      <c r="B137" t="s">
        <v>4576</v>
      </c>
      <c r="D137" t="s">
        <v>5152</v>
      </c>
      <c r="G137" t="s">
        <v>4604</v>
      </c>
      <c r="H137">
        <v>0</v>
      </c>
      <c r="I137">
        <v>16</v>
      </c>
      <c r="K137" t="s">
        <v>4061</v>
      </c>
      <c r="L137">
        <v>46287</v>
      </c>
      <c r="P137">
        <v>16</v>
      </c>
    </row>
    <row r="138" spans="1:16" x14ac:dyDescent="0.4">
      <c r="A138">
        <v>1231</v>
      </c>
      <c r="B138" t="s">
        <v>4576</v>
      </c>
      <c r="D138" t="s">
        <v>5152</v>
      </c>
      <c r="G138" t="s">
        <v>3898</v>
      </c>
      <c r="H138" t="s">
        <v>4925</v>
      </c>
      <c r="I138">
        <v>16</v>
      </c>
      <c r="K138" t="s">
        <v>3896</v>
      </c>
      <c r="L138">
        <v>46287</v>
      </c>
      <c r="P138">
        <v>16</v>
      </c>
    </row>
    <row r="139" spans="1:16" x14ac:dyDescent="0.4">
      <c r="A139">
        <v>1262</v>
      </c>
      <c r="B139" t="s">
        <v>4576</v>
      </c>
      <c r="D139" t="s">
        <v>5152</v>
      </c>
      <c r="G139" t="s">
        <v>3963</v>
      </c>
      <c r="H139" t="s">
        <v>3962</v>
      </c>
      <c r="I139">
        <v>16</v>
      </c>
      <c r="K139" t="s">
        <v>3964</v>
      </c>
      <c r="L139">
        <v>46287</v>
      </c>
      <c r="P139">
        <v>16</v>
      </c>
    </row>
    <row r="140" spans="1:16" x14ac:dyDescent="0.4">
      <c r="A140">
        <v>1883</v>
      </c>
      <c r="B140" t="s">
        <v>4576</v>
      </c>
      <c r="G140" t="s">
        <v>727</v>
      </c>
      <c r="H140" t="s">
        <v>4969</v>
      </c>
      <c r="I140">
        <v>16</v>
      </c>
      <c r="K140" t="s">
        <v>4851</v>
      </c>
      <c r="L140">
        <v>46295</v>
      </c>
      <c r="P140">
        <v>16</v>
      </c>
    </row>
    <row r="141" spans="1:16" x14ac:dyDescent="0.4">
      <c r="A141">
        <v>1957</v>
      </c>
      <c r="B141" t="s">
        <v>4576</v>
      </c>
      <c r="D141" t="s">
        <v>4901</v>
      </c>
      <c r="E141" t="s">
        <v>4936</v>
      </c>
      <c r="F141" t="s">
        <v>4939</v>
      </c>
      <c r="G141" t="s">
        <v>3530</v>
      </c>
      <c r="H141" t="s">
        <v>5049</v>
      </c>
      <c r="I141">
        <v>16</v>
      </c>
      <c r="K141" t="s">
        <v>5005</v>
      </c>
      <c r="L141">
        <v>46296</v>
      </c>
      <c r="P141">
        <v>16</v>
      </c>
    </row>
    <row r="142" spans="1:16" x14ac:dyDescent="0.4">
      <c r="A142">
        <v>249</v>
      </c>
      <c r="B142" t="s">
        <v>4576</v>
      </c>
      <c r="G142" t="s">
        <v>2369</v>
      </c>
      <c r="H142" t="s">
        <v>2368</v>
      </c>
      <c r="I142">
        <v>17</v>
      </c>
      <c r="K142" t="s">
        <v>4856</v>
      </c>
      <c r="L142">
        <v>46232</v>
      </c>
      <c r="P142">
        <v>17</v>
      </c>
    </row>
    <row r="143" spans="1:16" x14ac:dyDescent="0.4">
      <c r="A143">
        <v>339</v>
      </c>
      <c r="B143" t="s">
        <v>4576</v>
      </c>
      <c r="D143" t="s">
        <v>4901</v>
      </c>
      <c r="G143" t="s">
        <v>3853</v>
      </c>
      <c r="H143" t="s">
        <v>3852</v>
      </c>
      <c r="I143">
        <v>17</v>
      </c>
      <c r="K143" t="s">
        <v>3854</v>
      </c>
      <c r="L143">
        <v>46253</v>
      </c>
      <c r="P143">
        <v>17</v>
      </c>
    </row>
    <row r="144" spans="1:16" x14ac:dyDescent="0.4">
      <c r="A144">
        <v>896</v>
      </c>
      <c r="B144" t="s">
        <v>4576</v>
      </c>
      <c r="D144" t="s">
        <v>4916</v>
      </c>
      <c r="G144" t="s">
        <v>380</v>
      </c>
      <c r="H144" t="s">
        <v>379</v>
      </c>
      <c r="I144">
        <v>17</v>
      </c>
      <c r="K144" t="s">
        <v>5055</v>
      </c>
      <c r="L144">
        <v>46276</v>
      </c>
      <c r="P144">
        <v>17</v>
      </c>
    </row>
    <row r="145" spans="1:16" x14ac:dyDescent="0.4">
      <c r="A145">
        <v>1225</v>
      </c>
      <c r="B145" t="s">
        <v>4576</v>
      </c>
      <c r="D145" t="s">
        <v>5152</v>
      </c>
      <c r="G145" t="s">
        <v>4014</v>
      </c>
      <c r="H145" t="s">
        <v>4013</v>
      </c>
      <c r="I145">
        <v>17</v>
      </c>
      <c r="K145" t="s">
        <v>4015</v>
      </c>
      <c r="L145">
        <v>46287</v>
      </c>
      <c r="P145">
        <v>17</v>
      </c>
    </row>
    <row r="146" spans="1:16" x14ac:dyDescent="0.4">
      <c r="A146">
        <v>1234</v>
      </c>
      <c r="B146" t="s">
        <v>4576</v>
      </c>
      <c r="D146" t="s">
        <v>5152</v>
      </c>
      <c r="G146" t="s">
        <v>3904</v>
      </c>
      <c r="H146" t="s">
        <v>3903</v>
      </c>
      <c r="I146">
        <v>17</v>
      </c>
      <c r="K146" t="s">
        <v>3896</v>
      </c>
      <c r="L146">
        <v>46287</v>
      </c>
      <c r="P146">
        <v>17</v>
      </c>
    </row>
    <row r="147" spans="1:16" x14ac:dyDescent="0.4">
      <c r="A147">
        <v>2270</v>
      </c>
      <c r="B147" t="s">
        <v>4576</v>
      </c>
      <c r="G147" t="s">
        <v>3997</v>
      </c>
      <c r="H147" t="s">
        <v>3996</v>
      </c>
      <c r="I147">
        <v>17</v>
      </c>
      <c r="K147" t="s">
        <v>3896</v>
      </c>
      <c r="L147">
        <v>46301</v>
      </c>
      <c r="P147">
        <v>17</v>
      </c>
    </row>
    <row r="148" spans="1:16" x14ac:dyDescent="0.4">
      <c r="A148">
        <v>2310</v>
      </c>
      <c r="B148" t="s">
        <v>4576</v>
      </c>
      <c r="G148" t="s">
        <v>3457</v>
      </c>
      <c r="H148" t="s">
        <v>3456</v>
      </c>
      <c r="I148">
        <v>17</v>
      </c>
      <c r="K148" t="s">
        <v>5005</v>
      </c>
      <c r="L148">
        <v>46302</v>
      </c>
      <c r="P148">
        <v>17</v>
      </c>
    </row>
    <row r="149" spans="1:16" x14ac:dyDescent="0.4">
      <c r="A149">
        <v>261</v>
      </c>
      <c r="B149" t="s">
        <v>4576</v>
      </c>
      <c r="G149" t="s">
        <v>2402</v>
      </c>
      <c r="H149" t="s">
        <v>2401</v>
      </c>
      <c r="I149">
        <v>18</v>
      </c>
      <c r="K149" t="s">
        <v>4857</v>
      </c>
      <c r="L149">
        <v>46232</v>
      </c>
      <c r="P149">
        <v>18</v>
      </c>
    </row>
    <row r="150" spans="1:16" x14ac:dyDescent="0.4">
      <c r="A150">
        <v>1221</v>
      </c>
      <c r="B150" t="s">
        <v>4576</v>
      </c>
      <c r="D150" t="s">
        <v>5152</v>
      </c>
      <c r="G150" t="s">
        <v>3804</v>
      </c>
      <c r="H150" t="s">
        <v>3803</v>
      </c>
      <c r="I150">
        <v>18</v>
      </c>
      <c r="K150" t="s">
        <v>4743</v>
      </c>
      <c r="L150">
        <v>46287</v>
      </c>
      <c r="P150">
        <v>18</v>
      </c>
    </row>
    <row r="151" spans="1:16" x14ac:dyDescent="0.4">
      <c r="A151">
        <v>1233</v>
      </c>
      <c r="B151" t="s">
        <v>4576</v>
      </c>
      <c r="D151" t="s">
        <v>5152</v>
      </c>
      <c r="G151" t="s">
        <v>3902</v>
      </c>
      <c r="H151" t="s">
        <v>3901</v>
      </c>
      <c r="I151">
        <v>18</v>
      </c>
      <c r="K151" t="s">
        <v>3896</v>
      </c>
      <c r="L151">
        <v>46287</v>
      </c>
      <c r="P151">
        <v>18</v>
      </c>
    </row>
    <row r="152" spans="1:16" x14ac:dyDescent="0.4">
      <c r="A152">
        <v>1238</v>
      </c>
      <c r="B152" t="s">
        <v>4576</v>
      </c>
      <c r="D152" t="s">
        <v>5152</v>
      </c>
      <c r="G152" t="s">
        <v>4735</v>
      </c>
      <c r="H152">
        <v>0</v>
      </c>
      <c r="I152">
        <v>18</v>
      </c>
      <c r="K152" t="s">
        <v>3585</v>
      </c>
      <c r="L152">
        <v>46287</v>
      </c>
      <c r="P152">
        <v>18</v>
      </c>
    </row>
    <row r="153" spans="1:16" x14ac:dyDescent="0.4">
      <c r="A153">
        <v>1263</v>
      </c>
      <c r="B153" t="s">
        <v>4576</v>
      </c>
      <c r="D153" t="s">
        <v>5152</v>
      </c>
      <c r="G153" t="s">
        <v>3985</v>
      </c>
      <c r="H153" t="s">
        <v>3984</v>
      </c>
      <c r="I153">
        <v>18</v>
      </c>
      <c r="K153" t="s">
        <v>3986</v>
      </c>
      <c r="L153">
        <v>46287</v>
      </c>
      <c r="P153">
        <v>18</v>
      </c>
    </row>
    <row r="154" spans="1:16" x14ac:dyDescent="0.4">
      <c r="A154">
        <v>1269</v>
      </c>
      <c r="B154" t="s">
        <v>4576</v>
      </c>
      <c r="D154" t="s">
        <v>5152</v>
      </c>
      <c r="G154" t="s">
        <v>3885</v>
      </c>
      <c r="H154" t="s">
        <v>3884</v>
      </c>
      <c r="I154">
        <v>18</v>
      </c>
      <c r="K154" t="s">
        <v>3883</v>
      </c>
      <c r="L154">
        <v>46287</v>
      </c>
      <c r="P154">
        <v>18</v>
      </c>
    </row>
    <row r="155" spans="1:16" x14ac:dyDescent="0.4">
      <c r="A155">
        <v>2274</v>
      </c>
      <c r="B155" t="s">
        <v>4576</v>
      </c>
      <c r="G155" t="s">
        <v>3873</v>
      </c>
      <c r="H155" t="s">
        <v>3872</v>
      </c>
      <c r="I155">
        <v>18</v>
      </c>
      <c r="K155" t="s">
        <v>3867</v>
      </c>
      <c r="L155">
        <v>46301</v>
      </c>
      <c r="P155">
        <v>18</v>
      </c>
    </row>
    <row r="156" spans="1:16" x14ac:dyDescent="0.4">
      <c r="A156">
        <v>2521</v>
      </c>
      <c r="B156" t="s">
        <v>4576</v>
      </c>
      <c r="G156" t="s">
        <v>773</v>
      </c>
      <c r="H156" t="s">
        <v>772</v>
      </c>
      <c r="I156">
        <v>18</v>
      </c>
      <c r="K156" t="s">
        <v>4996</v>
      </c>
      <c r="L156">
        <v>46308</v>
      </c>
      <c r="P156">
        <v>18</v>
      </c>
    </row>
    <row r="157" spans="1:16" x14ac:dyDescent="0.4">
      <c r="A157">
        <v>247</v>
      </c>
      <c r="B157" t="s">
        <v>4576</v>
      </c>
      <c r="G157" t="s">
        <v>2318</v>
      </c>
      <c r="H157" t="s">
        <v>2317</v>
      </c>
      <c r="I157">
        <v>19</v>
      </c>
      <c r="K157" t="s">
        <v>4858</v>
      </c>
      <c r="L157">
        <v>46232</v>
      </c>
      <c r="P157">
        <v>19</v>
      </c>
    </row>
    <row r="158" spans="1:16" x14ac:dyDescent="0.4">
      <c r="A158">
        <v>250</v>
      </c>
      <c r="B158" t="s">
        <v>4576</v>
      </c>
      <c r="G158" t="s">
        <v>2375</v>
      </c>
      <c r="H158" t="s">
        <v>2374</v>
      </c>
      <c r="I158">
        <v>19</v>
      </c>
      <c r="K158" t="s">
        <v>4856</v>
      </c>
      <c r="L158">
        <v>46232</v>
      </c>
      <c r="P158">
        <v>19</v>
      </c>
    </row>
    <row r="159" spans="1:16" x14ac:dyDescent="0.4">
      <c r="A159">
        <v>254</v>
      </c>
      <c r="B159" t="s">
        <v>4576</v>
      </c>
      <c r="G159" t="s">
        <v>2385</v>
      </c>
      <c r="H159" t="s">
        <v>2384</v>
      </c>
      <c r="I159">
        <v>19</v>
      </c>
      <c r="K159" t="s">
        <v>4854</v>
      </c>
      <c r="L159">
        <v>46232</v>
      </c>
      <c r="P159">
        <v>19</v>
      </c>
    </row>
    <row r="160" spans="1:16" x14ac:dyDescent="0.4">
      <c r="A160">
        <v>260</v>
      </c>
      <c r="B160" t="s">
        <v>4576</v>
      </c>
      <c r="G160" t="s">
        <v>2399</v>
      </c>
      <c r="H160" t="s">
        <v>2398</v>
      </c>
      <c r="I160">
        <v>19</v>
      </c>
      <c r="K160" t="s">
        <v>4857</v>
      </c>
      <c r="L160">
        <v>46232</v>
      </c>
      <c r="P160">
        <v>19</v>
      </c>
    </row>
    <row r="161" spans="1:16" x14ac:dyDescent="0.4">
      <c r="A161">
        <v>1349</v>
      </c>
      <c r="B161" t="s">
        <v>4576</v>
      </c>
      <c r="G161" t="s">
        <v>4826</v>
      </c>
      <c r="H161">
        <v>0</v>
      </c>
      <c r="I161">
        <v>19</v>
      </c>
      <c r="K161" t="s">
        <v>3585</v>
      </c>
      <c r="L161">
        <v>46287</v>
      </c>
      <c r="P161">
        <v>19</v>
      </c>
    </row>
    <row r="162" spans="1:16" x14ac:dyDescent="0.4">
      <c r="A162">
        <v>248</v>
      </c>
      <c r="B162" t="s">
        <v>4576</v>
      </c>
      <c r="G162" t="s">
        <v>2322</v>
      </c>
      <c r="H162" t="s">
        <v>2321</v>
      </c>
      <c r="I162">
        <v>20</v>
      </c>
      <c r="K162" t="s">
        <v>4859</v>
      </c>
      <c r="L162">
        <v>46232</v>
      </c>
      <c r="P162">
        <v>20</v>
      </c>
    </row>
    <row r="163" spans="1:16" x14ac:dyDescent="0.4">
      <c r="A163">
        <v>399</v>
      </c>
      <c r="B163" t="s">
        <v>4576</v>
      </c>
      <c r="D163" t="s">
        <v>4901</v>
      </c>
      <c r="G163" t="s">
        <v>3853</v>
      </c>
      <c r="H163" t="s">
        <v>3852</v>
      </c>
      <c r="I163">
        <v>20</v>
      </c>
      <c r="K163" t="s">
        <v>3854</v>
      </c>
      <c r="L163">
        <v>46255</v>
      </c>
      <c r="P163">
        <v>20</v>
      </c>
    </row>
    <row r="164" spans="1:16" x14ac:dyDescent="0.4">
      <c r="A164">
        <v>458</v>
      </c>
      <c r="B164" t="s">
        <v>4576</v>
      </c>
      <c r="G164" t="s">
        <v>3847</v>
      </c>
      <c r="H164" t="s">
        <v>3846</v>
      </c>
      <c r="I164">
        <v>20</v>
      </c>
      <c r="K164" t="s">
        <v>3839</v>
      </c>
      <c r="L164">
        <v>46259</v>
      </c>
      <c r="P164">
        <v>20</v>
      </c>
    </row>
    <row r="165" spans="1:16" x14ac:dyDescent="0.4">
      <c r="A165">
        <v>897</v>
      </c>
      <c r="B165" t="s">
        <v>4576</v>
      </c>
      <c r="D165" t="s">
        <v>4916</v>
      </c>
      <c r="G165" t="s">
        <v>274</v>
      </c>
      <c r="H165" t="s">
        <v>273</v>
      </c>
      <c r="I165">
        <v>20</v>
      </c>
      <c r="K165" t="s">
        <v>5058</v>
      </c>
      <c r="L165">
        <v>46276</v>
      </c>
      <c r="P165">
        <v>20</v>
      </c>
    </row>
    <row r="166" spans="1:16" x14ac:dyDescent="0.4">
      <c r="A166">
        <v>898</v>
      </c>
      <c r="B166" t="s">
        <v>4576</v>
      </c>
      <c r="D166" t="s">
        <v>4916</v>
      </c>
      <c r="G166" t="s">
        <v>277</v>
      </c>
      <c r="H166" t="s">
        <v>276</v>
      </c>
      <c r="I166">
        <v>20</v>
      </c>
      <c r="K166" t="s">
        <v>5058</v>
      </c>
      <c r="L166">
        <v>46276</v>
      </c>
      <c r="P166">
        <v>20</v>
      </c>
    </row>
    <row r="167" spans="1:16" x14ac:dyDescent="0.4">
      <c r="A167">
        <v>899</v>
      </c>
      <c r="B167" t="s">
        <v>4576</v>
      </c>
      <c r="D167" t="s">
        <v>4916</v>
      </c>
      <c r="G167" t="s">
        <v>1218</v>
      </c>
      <c r="H167" t="s">
        <v>1217</v>
      </c>
      <c r="I167">
        <v>20</v>
      </c>
      <c r="K167" t="s">
        <v>5059</v>
      </c>
      <c r="L167">
        <v>46276</v>
      </c>
      <c r="P167">
        <v>20</v>
      </c>
    </row>
    <row r="168" spans="1:16" x14ac:dyDescent="0.4">
      <c r="A168">
        <v>1341</v>
      </c>
      <c r="B168" t="s">
        <v>4576</v>
      </c>
      <c r="G168" t="s">
        <v>2907</v>
      </c>
      <c r="H168" t="s">
        <v>2906</v>
      </c>
      <c r="I168">
        <v>20</v>
      </c>
      <c r="K168" t="s">
        <v>2992</v>
      </c>
      <c r="L168">
        <v>46287</v>
      </c>
      <c r="P168">
        <v>20</v>
      </c>
    </row>
    <row r="169" spans="1:16" x14ac:dyDescent="0.4">
      <c r="A169">
        <v>1955</v>
      </c>
      <c r="B169" t="s">
        <v>4576</v>
      </c>
      <c r="D169" t="s">
        <v>4901</v>
      </c>
      <c r="E169" t="s">
        <v>4936</v>
      </c>
      <c r="F169" t="s">
        <v>4939</v>
      </c>
      <c r="G169" t="s">
        <v>4060</v>
      </c>
      <c r="H169" t="s">
        <v>4059</v>
      </c>
      <c r="I169">
        <v>20</v>
      </c>
      <c r="K169" t="s">
        <v>4061</v>
      </c>
      <c r="L169">
        <v>46296</v>
      </c>
      <c r="P169">
        <v>20</v>
      </c>
    </row>
    <row r="170" spans="1:16" x14ac:dyDescent="0.4">
      <c r="A170">
        <v>2392</v>
      </c>
      <c r="B170" t="s">
        <v>4576</v>
      </c>
      <c r="G170" t="s">
        <v>2499</v>
      </c>
      <c r="H170" t="s">
        <v>2498</v>
      </c>
      <c r="I170">
        <v>20</v>
      </c>
      <c r="K170" t="s">
        <v>4955</v>
      </c>
      <c r="L170">
        <v>46302</v>
      </c>
      <c r="P170">
        <v>20</v>
      </c>
    </row>
    <row r="171" spans="1:16" x14ac:dyDescent="0.4">
      <c r="A171">
        <v>2460</v>
      </c>
      <c r="B171" t="s">
        <v>4576</v>
      </c>
      <c r="D171" t="s">
        <v>4901</v>
      </c>
      <c r="E171" t="s">
        <v>5153</v>
      </c>
      <c r="F171" t="s">
        <v>5147</v>
      </c>
      <c r="G171" t="s">
        <v>635</v>
      </c>
      <c r="H171" t="s">
        <v>634</v>
      </c>
      <c r="I171">
        <v>20</v>
      </c>
      <c r="K171" t="s">
        <v>5024</v>
      </c>
      <c r="L171">
        <v>46307</v>
      </c>
      <c r="P171">
        <v>20</v>
      </c>
    </row>
    <row r="172" spans="1:16" x14ac:dyDescent="0.4">
      <c r="A172">
        <v>2487</v>
      </c>
      <c r="B172" t="s">
        <v>4576</v>
      </c>
      <c r="G172" t="s">
        <v>2771</v>
      </c>
      <c r="H172" t="s">
        <v>2770</v>
      </c>
      <c r="I172">
        <v>20</v>
      </c>
      <c r="K172" t="s">
        <v>4949</v>
      </c>
      <c r="L172">
        <v>46301</v>
      </c>
      <c r="P172">
        <v>20</v>
      </c>
    </row>
    <row r="173" spans="1:16" x14ac:dyDescent="0.4">
      <c r="A173">
        <v>256</v>
      </c>
      <c r="B173" t="s">
        <v>4576</v>
      </c>
      <c r="G173" t="s">
        <v>2391</v>
      </c>
      <c r="H173" t="s">
        <v>2390</v>
      </c>
      <c r="I173">
        <v>21</v>
      </c>
      <c r="K173" t="s">
        <v>4854</v>
      </c>
      <c r="L173">
        <v>46232</v>
      </c>
      <c r="P173">
        <v>21</v>
      </c>
    </row>
    <row r="174" spans="1:16" x14ac:dyDescent="0.4">
      <c r="A174">
        <v>457</v>
      </c>
      <c r="B174" t="s">
        <v>4576</v>
      </c>
      <c r="G174" t="s">
        <v>3829</v>
      </c>
      <c r="H174" t="s">
        <v>3828</v>
      </c>
      <c r="I174">
        <v>21</v>
      </c>
      <c r="K174" t="s">
        <v>3823</v>
      </c>
      <c r="L174">
        <v>46259</v>
      </c>
      <c r="P174">
        <v>21</v>
      </c>
    </row>
    <row r="175" spans="1:16" x14ac:dyDescent="0.4">
      <c r="A175">
        <v>900</v>
      </c>
      <c r="B175" t="s">
        <v>4576</v>
      </c>
      <c r="D175" t="s">
        <v>4916</v>
      </c>
      <c r="G175" t="s">
        <v>746</v>
      </c>
      <c r="H175" t="s">
        <v>745</v>
      </c>
      <c r="I175">
        <v>21</v>
      </c>
      <c r="K175" t="s">
        <v>252</v>
      </c>
      <c r="L175">
        <v>46276</v>
      </c>
      <c r="P175">
        <v>21</v>
      </c>
    </row>
    <row r="176" spans="1:16" x14ac:dyDescent="0.4">
      <c r="A176">
        <v>901</v>
      </c>
      <c r="B176" t="s">
        <v>4576</v>
      </c>
      <c r="D176" t="s">
        <v>4916</v>
      </c>
      <c r="G176" t="s">
        <v>807</v>
      </c>
      <c r="H176" t="s">
        <v>806</v>
      </c>
      <c r="I176">
        <v>21</v>
      </c>
      <c r="K176" t="s">
        <v>5059</v>
      </c>
      <c r="L176">
        <v>46276</v>
      </c>
      <c r="P176">
        <v>21</v>
      </c>
    </row>
    <row r="177" spans="1:16" x14ac:dyDescent="0.4">
      <c r="A177">
        <v>902</v>
      </c>
      <c r="B177" t="s">
        <v>4576</v>
      </c>
      <c r="D177" t="s">
        <v>4916</v>
      </c>
      <c r="G177" t="s">
        <v>1475</v>
      </c>
      <c r="H177" t="s">
        <v>1474</v>
      </c>
      <c r="I177">
        <v>21</v>
      </c>
      <c r="K177" t="s">
        <v>5064</v>
      </c>
      <c r="L177">
        <v>46276</v>
      </c>
      <c r="P177">
        <v>21</v>
      </c>
    </row>
    <row r="178" spans="1:16" x14ac:dyDescent="0.4">
      <c r="A178">
        <v>903</v>
      </c>
      <c r="B178" t="s">
        <v>4576</v>
      </c>
      <c r="D178" t="s">
        <v>4916</v>
      </c>
      <c r="G178" t="s">
        <v>1477</v>
      </c>
      <c r="H178" t="s">
        <v>1476</v>
      </c>
      <c r="I178">
        <v>21</v>
      </c>
      <c r="K178" t="s">
        <v>5064</v>
      </c>
      <c r="L178">
        <v>46276</v>
      </c>
      <c r="P178">
        <v>21</v>
      </c>
    </row>
    <row r="179" spans="1:16" x14ac:dyDescent="0.4">
      <c r="A179">
        <v>1228</v>
      </c>
      <c r="B179" t="s">
        <v>4576</v>
      </c>
      <c r="D179" t="s">
        <v>5152</v>
      </c>
      <c r="G179" t="s">
        <v>4028</v>
      </c>
      <c r="H179" t="s">
        <v>4027</v>
      </c>
      <c r="I179">
        <v>21</v>
      </c>
      <c r="K179" t="s">
        <v>3875</v>
      </c>
      <c r="L179">
        <v>46287</v>
      </c>
      <c r="P179">
        <v>21</v>
      </c>
    </row>
    <row r="180" spans="1:16" x14ac:dyDescent="0.4">
      <c r="A180">
        <v>1229</v>
      </c>
      <c r="B180" t="s">
        <v>4576</v>
      </c>
      <c r="D180" t="s">
        <v>5152</v>
      </c>
      <c r="G180" t="s">
        <v>3822</v>
      </c>
      <c r="H180" t="s">
        <v>3821</v>
      </c>
      <c r="I180">
        <v>21</v>
      </c>
      <c r="K180" t="s">
        <v>3823</v>
      </c>
      <c r="L180">
        <v>46287</v>
      </c>
      <c r="P180">
        <v>21</v>
      </c>
    </row>
    <row r="181" spans="1:16" x14ac:dyDescent="0.4">
      <c r="A181">
        <v>1247</v>
      </c>
      <c r="B181" t="s">
        <v>4576</v>
      </c>
      <c r="D181" t="s">
        <v>5152</v>
      </c>
      <c r="G181" t="s">
        <v>4010</v>
      </c>
      <c r="H181" t="s">
        <v>4009</v>
      </c>
      <c r="I181">
        <v>21</v>
      </c>
      <c r="K181" t="s">
        <v>4002</v>
      </c>
      <c r="L181">
        <v>46287</v>
      </c>
      <c r="P181">
        <v>21</v>
      </c>
    </row>
    <row r="182" spans="1:16" x14ac:dyDescent="0.4">
      <c r="A182">
        <v>1323</v>
      </c>
      <c r="B182" t="s">
        <v>4576</v>
      </c>
      <c r="G182" t="s">
        <v>4737</v>
      </c>
      <c r="H182">
        <v>0</v>
      </c>
      <c r="I182">
        <v>21</v>
      </c>
      <c r="K182" t="s">
        <v>3935</v>
      </c>
      <c r="L182">
        <v>46287</v>
      </c>
      <c r="P182">
        <v>21</v>
      </c>
    </row>
    <row r="183" spans="1:16" x14ac:dyDescent="0.4">
      <c r="A183">
        <v>282</v>
      </c>
      <c r="B183" t="s">
        <v>4576</v>
      </c>
      <c r="G183" t="s">
        <v>4648</v>
      </c>
      <c r="H183">
        <v>0</v>
      </c>
      <c r="I183">
        <v>22</v>
      </c>
      <c r="K183" t="s">
        <v>4860</v>
      </c>
      <c r="L183">
        <v>46232</v>
      </c>
      <c r="P183">
        <v>22</v>
      </c>
    </row>
    <row r="184" spans="1:16" x14ac:dyDescent="0.4">
      <c r="A184">
        <v>292</v>
      </c>
      <c r="B184" t="s">
        <v>4576</v>
      </c>
      <c r="G184" t="s">
        <v>2379</v>
      </c>
      <c r="H184" t="s">
        <v>2378</v>
      </c>
      <c r="I184">
        <v>22</v>
      </c>
      <c r="K184" t="s">
        <v>4856</v>
      </c>
      <c r="L184">
        <v>46232</v>
      </c>
      <c r="P184">
        <v>22</v>
      </c>
    </row>
    <row r="185" spans="1:16" x14ac:dyDescent="0.4">
      <c r="A185">
        <v>904</v>
      </c>
      <c r="B185" t="s">
        <v>4576</v>
      </c>
      <c r="D185" t="s">
        <v>4916</v>
      </c>
      <c r="G185" t="s">
        <v>1091</v>
      </c>
      <c r="H185" t="s">
        <v>1090</v>
      </c>
      <c r="I185">
        <v>22</v>
      </c>
      <c r="K185" t="s">
        <v>5059</v>
      </c>
      <c r="L185">
        <v>46276</v>
      </c>
      <c r="P185">
        <v>22</v>
      </c>
    </row>
    <row r="186" spans="1:16" x14ac:dyDescent="0.4">
      <c r="A186">
        <v>1195</v>
      </c>
      <c r="B186" t="s">
        <v>4576</v>
      </c>
      <c r="D186" t="s">
        <v>5152</v>
      </c>
      <c r="G186" t="s">
        <v>4017</v>
      </c>
      <c r="H186" t="s">
        <v>4016</v>
      </c>
      <c r="I186">
        <v>22</v>
      </c>
      <c r="K186" t="s">
        <v>4739</v>
      </c>
      <c r="L186">
        <v>46287</v>
      </c>
      <c r="P186">
        <v>22</v>
      </c>
    </row>
    <row r="187" spans="1:16" x14ac:dyDescent="0.4">
      <c r="A187">
        <v>1197</v>
      </c>
      <c r="B187" t="s">
        <v>4576</v>
      </c>
      <c r="D187" t="s">
        <v>5152</v>
      </c>
      <c r="G187" t="s">
        <v>3813</v>
      </c>
      <c r="H187" t="s">
        <v>3812</v>
      </c>
      <c r="I187">
        <v>22</v>
      </c>
      <c r="K187" t="s">
        <v>2924</v>
      </c>
      <c r="L187">
        <v>46287</v>
      </c>
      <c r="P187">
        <v>22</v>
      </c>
    </row>
    <row r="188" spans="1:16" x14ac:dyDescent="0.4">
      <c r="A188">
        <v>1202</v>
      </c>
      <c r="B188" t="s">
        <v>4576</v>
      </c>
      <c r="D188" t="s">
        <v>5152</v>
      </c>
      <c r="G188" t="s">
        <v>3791</v>
      </c>
      <c r="H188" t="s">
        <v>4919</v>
      </c>
      <c r="I188">
        <v>22</v>
      </c>
      <c r="K188" t="s">
        <v>4741</v>
      </c>
      <c r="L188">
        <v>46287</v>
      </c>
      <c r="P188">
        <v>22</v>
      </c>
    </row>
    <row r="189" spans="1:16" x14ac:dyDescent="0.4">
      <c r="A189">
        <v>1214</v>
      </c>
      <c r="B189" t="s">
        <v>4576</v>
      </c>
      <c r="D189" t="s">
        <v>5152</v>
      </c>
      <c r="G189" t="s">
        <v>4734</v>
      </c>
      <c r="H189">
        <v>0</v>
      </c>
      <c r="I189">
        <v>22</v>
      </c>
      <c r="K189" t="s">
        <v>3986</v>
      </c>
      <c r="L189">
        <v>46287</v>
      </c>
      <c r="P189">
        <v>22</v>
      </c>
    </row>
    <row r="190" spans="1:16" x14ac:dyDescent="0.4">
      <c r="A190">
        <v>1252</v>
      </c>
      <c r="B190" t="s">
        <v>4576</v>
      </c>
      <c r="D190" t="s">
        <v>5152</v>
      </c>
      <c r="G190" t="s">
        <v>3853</v>
      </c>
      <c r="H190" t="s">
        <v>3852</v>
      </c>
      <c r="I190">
        <v>22</v>
      </c>
      <c r="K190" t="s">
        <v>3854</v>
      </c>
      <c r="L190">
        <v>46287</v>
      </c>
      <c r="P190">
        <v>22</v>
      </c>
    </row>
    <row r="191" spans="1:16" x14ac:dyDescent="0.4">
      <c r="A191">
        <v>1255</v>
      </c>
      <c r="B191" t="s">
        <v>4576</v>
      </c>
      <c r="D191" t="s">
        <v>5152</v>
      </c>
      <c r="G191" t="s">
        <v>4004</v>
      </c>
      <c r="H191" t="s">
        <v>4003</v>
      </c>
      <c r="I191">
        <v>22</v>
      </c>
      <c r="K191" t="s">
        <v>4002</v>
      </c>
      <c r="L191">
        <v>46287</v>
      </c>
      <c r="P191">
        <v>22</v>
      </c>
    </row>
    <row r="192" spans="1:16" x14ac:dyDescent="0.4">
      <c r="A192">
        <v>1256</v>
      </c>
      <c r="B192" t="s">
        <v>4576</v>
      </c>
      <c r="D192" t="s">
        <v>5152</v>
      </c>
      <c r="G192" t="s">
        <v>3851</v>
      </c>
      <c r="H192" t="s">
        <v>3850</v>
      </c>
      <c r="I192">
        <v>22</v>
      </c>
      <c r="K192" t="s">
        <v>3839</v>
      </c>
      <c r="L192">
        <v>46287</v>
      </c>
      <c r="P192">
        <v>22</v>
      </c>
    </row>
    <row r="193" spans="1:16" x14ac:dyDescent="0.4">
      <c r="A193">
        <v>1257</v>
      </c>
      <c r="B193" t="s">
        <v>4576</v>
      </c>
      <c r="D193" t="s">
        <v>5152</v>
      </c>
      <c r="G193" t="s">
        <v>3801</v>
      </c>
      <c r="H193" t="s">
        <v>3800</v>
      </c>
      <c r="I193">
        <v>22</v>
      </c>
      <c r="K193" t="s">
        <v>4744</v>
      </c>
      <c r="L193">
        <v>46287</v>
      </c>
      <c r="P193">
        <v>22</v>
      </c>
    </row>
    <row r="194" spans="1:16" x14ac:dyDescent="0.4">
      <c r="A194">
        <v>1261</v>
      </c>
      <c r="B194" t="s">
        <v>4576</v>
      </c>
      <c r="D194" t="s">
        <v>5152</v>
      </c>
      <c r="G194" t="s">
        <v>3847</v>
      </c>
      <c r="H194" t="s">
        <v>3846</v>
      </c>
      <c r="I194">
        <v>22</v>
      </c>
      <c r="K194" t="s">
        <v>3839</v>
      </c>
      <c r="L194">
        <v>46287</v>
      </c>
      <c r="P194">
        <v>22</v>
      </c>
    </row>
    <row r="195" spans="1:16" x14ac:dyDescent="0.4">
      <c r="A195">
        <v>2320</v>
      </c>
      <c r="B195" t="s">
        <v>4576</v>
      </c>
      <c r="G195" t="s">
        <v>2696</v>
      </c>
      <c r="H195" t="s">
        <v>2695</v>
      </c>
      <c r="I195">
        <v>22</v>
      </c>
      <c r="K195" t="s">
        <v>4869</v>
      </c>
      <c r="L195">
        <v>46302</v>
      </c>
      <c r="P195">
        <v>22</v>
      </c>
    </row>
    <row r="196" spans="1:16" x14ac:dyDescent="0.4">
      <c r="A196">
        <v>253</v>
      </c>
      <c r="B196" t="s">
        <v>4576</v>
      </c>
      <c r="G196" t="s">
        <v>2383</v>
      </c>
      <c r="H196" t="s">
        <v>2382</v>
      </c>
      <c r="I196">
        <v>23</v>
      </c>
      <c r="K196" t="s">
        <v>4856</v>
      </c>
      <c r="L196">
        <v>46232</v>
      </c>
      <c r="P196">
        <v>23</v>
      </c>
    </row>
    <row r="197" spans="1:16" x14ac:dyDescent="0.4">
      <c r="A197">
        <v>905</v>
      </c>
      <c r="B197" t="s">
        <v>4576</v>
      </c>
      <c r="D197" t="s">
        <v>4916</v>
      </c>
      <c r="G197" t="s">
        <v>602</v>
      </c>
      <c r="H197" t="s">
        <v>601</v>
      </c>
      <c r="I197">
        <v>23</v>
      </c>
      <c r="K197" t="s">
        <v>5058</v>
      </c>
      <c r="L197">
        <v>46276</v>
      </c>
      <c r="P197">
        <v>23</v>
      </c>
    </row>
    <row r="198" spans="1:16" x14ac:dyDescent="0.4">
      <c r="A198">
        <v>906</v>
      </c>
      <c r="B198" t="s">
        <v>4576</v>
      </c>
      <c r="D198" t="s">
        <v>4916</v>
      </c>
      <c r="G198" t="s">
        <v>804</v>
      </c>
      <c r="H198" t="s">
        <v>803</v>
      </c>
      <c r="I198">
        <v>23</v>
      </c>
      <c r="K198" t="s">
        <v>5042</v>
      </c>
      <c r="L198">
        <v>46276</v>
      </c>
      <c r="P198">
        <v>23</v>
      </c>
    </row>
    <row r="199" spans="1:16" x14ac:dyDescent="0.4">
      <c r="A199">
        <v>907</v>
      </c>
      <c r="B199" t="s">
        <v>4576</v>
      </c>
      <c r="D199" t="s">
        <v>4916</v>
      </c>
      <c r="G199" t="s">
        <v>2720</v>
      </c>
      <c r="H199" t="s">
        <v>2719</v>
      </c>
      <c r="I199">
        <v>23</v>
      </c>
      <c r="K199" t="s">
        <v>5065</v>
      </c>
      <c r="L199">
        <v>46276</v>
      </c>
      <c r="P199">
        <v>23</v>
      </c>
    </row>
    <row r="200" spans="1:16" x14ac:dyDescent="0.4">
      <c r="A200">
        <v>1196</v>
      </c>
      <c r="B200" t="s">
        <v>4576</v>
      </c>
      <c r="D200" t="s">
        <v>5152</v>
      </c>
      <c r="G200" t="s">
        <v>3793</v>
      </c>
      <c r="H200" t="s">
        <v>3792</v>
      </c>
      <c r="I200">
        <v>23</v>
      </c>
      <c r="K200" t="s">
        <v>4740</v>
      </c>
      <c r="L200">
        <v>46287</v>
      </c>
      <c r="P200">
        <v>23</v>
      </c>
    </row>
    <row r="201" spans="1:16" x14ac:dyDescent="0.4">
      <c r="A201">
        <v>1209</v>
      </c>
      <c r="B201" t="s">
        <v>4576</v>
      </c>
      <c r="D201" t="s">
        <v>5152</v>
      </c>
      <c r="G201" t="s">
        <v>3788</v>
      </c>
      <c r="H201" t="s">
        <v>4921</v>
      </c>
      <c r="I201">
        <v>23</v>
      </c>
      <c r="K201" t="s">
        <v>4742</v>
      </c>
      <c r="L201">
        <v>46287</v>
      </c>
      <c r="P201">
        <v>23</v>
      </c>
    </row>
    <row r="202" spans="1:16" x14ac:dyDescent="0.4">
      <c r="A202">
        <v>1218</v>
      </c>
      <c r="B202" t="s">
        <v>4576</v>
      </c>
      <c r="D202" t="s">
        <v>5152</v>
      </c>
      <c r="G202" t="s">
        <v>3934</v>
      </c>
      <c r="H202" t="s">
        <v>3933</v>
      </c>
      <c r="I202">
        <v>23</v>
      </c>
      <c r="K202" t="s">
        <v>3935</v>
      </c>
      <c r="L202">
        <v>46287</v>
      </c>
      <c r="P202">
        <v>23</v>
      </c>
    </row>
    <row r="203" spans="1:16" x14ac:dyDescent="0.4">
      <c r="A203">
        <v>1260</v>
      </c>
      <c r="B203" t="s">
        <v>4576</v>
      </c>
      <c r="D203" t="s">
        <v>5152</v>
      </c>
      <c r="G203" t="s">
        <v>4008</v>
      </c>
      <c r="H203" t="s">
        <v>4007</v>
      </c>
      <c r="I203">
        <v>23</v>
      </c>
      <c r="K203" t="s">
        <v>4002</v>
      </c>
      <c r="L203">
        <v>46287</v>
      </c>
      <c r="P203">
        <v>23</v>
      </c>
    </row>
    <row r="204" spans="1:16" x14ac:dyDescent="0.4">
      <c r="A204">
        <v>2397</v>
      </c>
      <c r="B204" t="s">
        <v>4576</v>
      </c>
      <c r="G204" t="s">
        <v>2666</v>
      </c>
      <c r="H204" t="s">
        <v>2665</v>
      </c>
      <c r="I204">
        <v>23</v>
      </c>
      <c r="K204" t="s">
        <v>5096</v>
      </c>
      <c r="L204">
        <v>46301</v>
      </c>
      <c r="P204">
        <v>23</v>
      </c>
    </row>
    <row r="205" spans="1:16" x14ac:dyDescent="0.4">
      <c r="A205">
        <v>908</v>
      </c>
      <c r="B205" t="s">
        <v>4576</v>
      </c>
      <c r="D205" t="s">
        <v>4916</v>
      </c>
      <c r="G205" t="s">
        <v>593</v>
      </c>
      <c r="H205" t="s">
        <v>592</v>
      </c>
      <c r="I205">
        <v>24</v>
      </c>
      <c r="K205" t="s">
        <v>5058</v>
      </c>
      <c r="L205">
        <v>46276</v>
      </c>
      <c r="P205">
        <v>24</v>
      </c>
    </row>
    <row r="206" spans="1:16" x14ac:dyDescent="0.4">
      <c r="A206">
        <v>909</v>
      </c>
      <c r="B206" t="s">
        <v>4576</v>
      </c>
      <c r="D206" t="s">
        <v>4916</v>
      </c>
      <c r="G206" t="s">
        <v>1068</v>
      </c>
      <c r="H206" t="s">
        <v>1067</v>
      </c>
      <c r="I206">
        <v>24</v>
      </c>
      <c r="K206" t="s">
        <v>1069</v>
      </c>
      <c r="L206">
        <v>46276</v>
      </c>
      <c r="P206">
        <v>24</v>
      </c>
    </row>
    <row r="207" spans="1:16" x14ac:dyDescent="0.4">
      <c r="A207">
        <v>1964</v>
      </c>
      <c r="B207" t="s">
        <v>4576</v>
      </c>
      <c r="D207" t="s">
        <v>4901</v>
      </c>
      <c r="E207" t="s">
        <v>4936</v>
      </c>
      <c r="F207" t="s">
        <v>4939</v>
      </c>
      <c r="G207" t="s">
        <v>395</v>
      </c>
      <c r="H207" t="s">
        <v>394</v>
      </c>
      <c r="I207">
        <v>24</v>
      </c>
      <c r="K207" t="s">
        <v>5109</v>
      </c>
      <c r="L207">
        <v>46296</v>
      </c>
      <c r="P207">
        <v>24</v>
      </c>
    </row>
    <row r="208" spans="1:16" x14ac:dyDescent="0.4">
      <c r="A208">
        <v>910</v>
      </c>
      <c r="B208" t="s">
        <v>4576</v>
      </c>
      <c r="D208" t="s">
        <v>4916</v>
      </c>
      <c r="G208" t="s">
        <v>2533</v>
      </c>
      <c r="H208" t="s">
        <v>2532</v>
      </c>
      <c r="I208">
        <v>25</v>
      </c>
      <c r="K208" t="s">
        <v>5066</v>
      </c>
      <c r="L208">
        <v>46276</v>
      </c>
      <c r="P208">
        <v>25</v>
      </c>
    </row>
    <row r="209" spans="1:16" x14ac:dyDescent="0.4">
      <c r="A209">
        <v>911</v>
      </c>
      <c r="B209" t="s">
        <v>4576</v>
      </c>
      <c r="D209" t="s">
        <v>4916</v>
      </c>
      <c r="G209" t="s">
        <v>2535</v>
      </c>
      <c r="H209" t="s">
        <v>2534</v>
      </c>
      <c r="I209">
        <v>25</v>
      </c>
      <c r="K209" t="s">
        <v>5066</v>
      </c>
      <c r="L209">
        <v>46276</v>
      </c>
      <c r="P209">
        <v>25</v>
      </c>
    </row>
    <row r="210" spans="1:16" x14ac:dyDescent="0.4">
      <c r="A210">
        <v>1211</v>
      </c>
      <c r="B210" t="s">
        <v>4576</v>
      </c>
      <c r="D210" t="s">
        <v>5152</v>
      </c>
      <c r="G210" t="s">
        <v>4621</v>
      </c>
      <c r="H210">
        <v>0</v>
      </c>
      <c r="I210">
        <v>25</v>
      </c>
      <c r="K210" t="s">
        <v>4088</v>
      </c>
      <c r="L210">
        <v>46287</v>
      </c>
      <c r="P210">
        <v>25</v>
      </c>
    </row>
    <row r="211" spans="1:16" x14ac:dyDescent="0.4">
      <c r="A211">
        <v>2271</v>
      </c>
      <c r="B211" t="s">
        <v>4576</v>
      </c>
      <c r="G211" t="s">
        <v>3932</v>
      </c>
      <c r="H211" t="s">
        <v>3931</v>
      </c>
      <c r="I211">
        <v>25</v>
      </c>
      <c r="K211" t="s">
        <v>3585</v>
      </c>
      <c r="L211">
        <v>46301</v>
      </c>
      <c r="P211">
        <v>25</v>
      </c>
    </row>
    <row r="212" spans="1:16" x14ac:dyDescent="0.4">
      <c r="A212">
        <v>2516</v>
      </c>
      <c r="B212" t="s">
        <v>4576</v>
      </c>
      <c r="G212" t="s">
        <v>4971</v>
      </c>
      <c r="H212" t="s">
        <v>4972</v>
      </c>
      <c r="I212">
        <v>25</v>
      </c>
      <c r="K212" t="s">
        <v>4973</v>
      </c>
      <c r="L212">
        <v>46296</v>
      </c>
      <c r="P212">
        <v>25</v>
      </c>
    </row>
    <row r="213" spans="1:16" x14ac:dyDescent="0.4">
      <c r="A213">
        <v>244</v>
      </c>
      <c r="B213" t="s">
        <v>4576</v>
      </c>
      <c r="G213" t="s">
        <v>2305</v>
      </c>
      <c r="H213" t="s">
        <v>2304</v>
      </c>
      <c r="I213">
        <v>26</v>
      </c>
      <c r="K213" t="s">
        <v>4859</v>
      </c>
      <c r="L213">
        <v>46232</v>
      </c>
      <c r="P213">
        <v>26</v>
      </c>
    </row>
    <row r="214" spans="1:16" x14ac:dyDescent="0.4">
      <c r="A214">
        <v>912</v>
      </c>
      <c r="B214" t="s">
        <v>4576</v>
      </c>
      <c r="D214" t="s">
        <v>4916</v>
      </c>
      <c r="G214" t="s">
        <v>744</v>
      </c>
      <c r="H214" t="s">
        <v>743</v>
      </c>
      <c r="I214">
        <v>26</v>
      </c>
      <c r="K214" t="s">
        <v>252</v>
      </c>
      <c r="L214">
        <v>46276</v>
      </c>
      <c r="P214">
        <v>26</v>
      </c>
    </row>
    <row r="215" spans="1:16" x14ac:dyDescent="0.4">
      <c r="A215">
        <v>1208</v>
      </c>
      <c r="B215" t="s">
        <v>4576</v>
      </c>
      <c r="D215" t="s">
        <v>5152</v>
      </c>
      <c r="G215" t="s">
        <v>3953</v>
      </c>
      <c r="H215" t="s">
        <v>3952</v>
      </c>
      <c r="I215">
        <v>26</v>
      </c>
      <c r="K215" t="s">
        <v>4920</v>
      </c>
      <c r="L215">
        <v>46287</v>
      </c>
      <c r="P215">
        <v>26</v>
      </c>
    </row>
    <row r="216" spans="1:16" x14ac:dyDescent="0.4">
      <c r="A216">
        <v>2173</v>
      </c>
      <c r="B216" t="s">
        <v>4576</v>
      </c>
      <c r="G216" t="s">
        <v>4622</v>
      </c>
      <c r="H216">
        <v>0</v>
      </c>
      <c r="I216">
        <v>26</v>
      </c>
      <c r="K216" t="s">
        <v>4728</v>
      </c>
      <c r="L216">
        <v>46275</v>
      </c>
      <c r="P216">
        <v>26</v>
      </c>
    </row>
    <row r="217" spans="1:16" x14ac:dyDescent="0.4">
      <c r="A217">
        <v>2531</v>
      </c>
      <c r="B217" t="s">
        <v>4576</v>
      </c>
      <c r="G217" t="s">
        <v>847</v>
      </c>
      <c r="H217" t="s">
        <v>846</v>
      </c>
      <c r="I217">
        <v>27</v>
      </c>
      <c r="K217" t="s">
        <v>4958</v>
      </c>
      <c r="L217">
        <v>46308</v>
      </c>
      <c r="P217">
        <v>27</v>
      </c>
    </row>
    <row r="218" spans="1:16" x14ac:dyDescent="0.4">
      <c r="A218">
        <v>913</v>
      </c>
      <c r="B218" t="s">
        <v>4576</v>
      </c>
      <c r="D218" t="s">
        <v>4916</v>
      </c>
      <c r="G218" t="s">
        <v>1093</v>
      </c>
      <c r="H218" t="s">
        <v>1092</v>
      </c>
      <c r="I218">
        <v>28</v>
      </c>
      <c r="K218" t="s">
        <v>5059</v>
      </c>
      <c r="L218">
        <v>46276</v>
      </c>
      <c r="P218">
        <v>28</v>
      </c>
    </row>
    <row r="219" spans="1:16" x14ac:dyDescent="0.4">
      <c r="A219">
        <v>1227</v>
      </c>
      <c r="B219" t="s">
        <v>4576</v>
      </c>
      <c r="D219" t="s">
        <v>5152</v>
      </c>
      <c r="G219" t="s">
        <v>4034</v>
      </c>
      <c r="H219" t="s">
        <v>4924</v>
      </c>
      <c r="I219">
        <v>28</v>
      </c>
      <c r="K219" t="s">
        <v>4723</v>
      </c>
      <c r="L219">
        <v>46287</v>
      </c>
      <c r="P219">
        <v>28</v>
      </c>
    </row>
    <row r="220" spans="1:16" x14ac:dyDescent="0.4">
      <c r="A220">
        <v>914</v>
      </c>
      <c r="B220" t="s">
        <v>4576</v>
      </c>
      <c r="D220" t="s">
        <v>4916</v>
      </c>
      <c r="G220" t="s">
        <v>718</v>
      </c>
      <c r="H220" t="s">
        <v>717</v>
      </c>
      <c r="I220">
        <v>29</v>
      </c>
      <c r="K220" t="s">
        <v>5066</v>
      </c>
      <c r="L220">
        <v>46276</v>
      </c>
      <c r="P220">
        <v>29</v>
      </c>
    </row>
    <row r="221" spans="1:16" x14ac:dyDescent="0.4">
      <c r="A221">
        <v>1267</v>
      </c>
      <c r="B221" t="s">
        <v>4576</v>
      </c>
      <c r="D221" t="s">
        <v>5152</v>
      </c>
      <c r="G221" t="s">
        <v>4738</v>
      </c>
      <c r="H221">
        <v>0</v>
      </c>
      <c r="I221">
        <v>29</v>
      </c>
      <c r="K221" t="s">
        <v>3910</v>
      </c>
      <c r="L221">
        <v>46287</v>
      </c>
      <c r="P221">
        <v>29</v>
      </c>
    </row>
    <row r="222" spans="1:16" x14ac:dyDescent="0.4">
      <c r="A222">
        <v>2260</v>
      </c>
      <c r="B222" t="s">
        <v>4576</v>
      </c>
      <c r="G222" t="s">
        <v>3982</v>
      </c>
      <c r="H222" t="s">
        <v>3981</v>
      </c>
      <c r="I222">
        <v>29</v>
      </c>
      <c r="K222" t="s">
        <v>3983</v>
      </c>
      <c r="L222">
        <v>46301</v>
      </c>
      <c r="P222">
        <v>29</v>
      </c>
    </row>
    <row r="223" spans="1:16" x14ac:dyDescent="0.4">
      <c r="A223">
        <v>2017</v>
      </c>
      <c r="B223" t="s">
        <v>4576</v>
      </c>
      <c r="D223" t="s">
        <v>4901</v>
      </c>
      <c r="E223" t="s">
        <v>5149</v>
      </c>
      <c r="F223" t="s">
        <v>5147</v>
      </c>
      <c r="G223" t="s">
        <v>4997</v>
      </c>
      <c r="H223" t="s">
        <v>624</v>
      </c>
      <c r="I223">
        <v>30</v>
      </c>
      <c r="K223" t="s">
        <v>4998</v>
      </c>
      <c r="L223">
        <v>46296</v>
      </c>
      <c r="P223">
        <v>30</v>
      </c>
    </row>
    <row r="224" spans="1:16" x14ac:dyDescent="0.4">
      <c r="A224">
        <v>915</v>
      </c>
      <c r="B224" t="s">
        <v>4576</v>
      </c>
      <c r="D224" t="s">
        <v>4916</v>
      </c>
      <c r="G224" t="s">
        <v>383</v>
      </c>
      <c r="H224" t="s">
        <v>382</v>
      </c>
      <c r="I224">
        <v>30</v>
      </c>
      <c r="K224" t="s">
        <v>5055</v>
      </c>
      <c r="L224">
        <v>46276</v>
      </c>
      <c r="P224">
        <v>30</v>
      </c>
    </row>
    <row r="225" spans="1:16" x14ac:dyDescent="0.4">
      <c r="A225">
        <v>916</v>
      </c>
      <c r="B225" t="s">
        <v>4576</v>
      </c>
      <c r="D225" t="s">
        <v>4916</v>
      </c>
      <c r="G225" t="s">
        <v>590</v>
      </c>
      <c r="H225" t="s">
        <v>589</v>
      </c>
      <c r="I225">
        <v>30</v>
      </c>
      <c r="K225" t="s">
        <v>5067</v>
      </c>
      <c r="L225">
        <v>46276</v>
      </c>
      <c r="P225">
        <v>30</v>
      </c>
    </row>
    <row r="226" spans="1:16" x14ac:dyDescent="0.4">
      <c r="A226">
        <v>917</v>
      </c>
      <c r="B226" t="s">
        <v>4576</v>
      </c>
      <c r="D226" t="s">
        <v>4916</v>
      </c>
      <c r="G226" t="s">
        <v>595</v>
      </c>
      <c r="H226" t="s">
        <v>594</v>
      </c>
      <c r="I226">
        <v>30</v>
      </c>
      <c r="K226" t="s">
        <v>5068</v>
      </c>
      <c r="L226">
        <v>46276</v>
      </c>
      <c r="P226">
        <v>30</v>
      </c>
    </row>
    <row r="227" spans="1:16" x14ac:dyDescent="0.4">
      <c r="A227">
        <v>918</v>
      </c>
      <c r="B227" t="s">
        <v>4576</v>
      </c>
      <c r="D227" t="s">
        <v>4916</v>
      </c>
      <c r="G227" t="s">
        <v>816</v>
      </c>
      <c r="H227" t="s">
        <v>815</v>
      </c>
      <c r="I227">
        <v>30</v>
      </c>
      <c r="K227" t="s">
        <v>5059</v>
      </c>
      <c r="L227">
        <v>46276</v>
      </c>
      <c r="P227">
        <v>30</v>
      </c>
    </row>
    <row r="228" spans="1:16" x14ac:dyDescent="0.4">
      <c r="A228">
        <v>919</v>
      </c>
      <c r="B228" t="s">
        <v>4576</v>
      </c>
      <c r="D228" t="s">
        <v>4916</v>
      </c>
      <c r="G228" t="s">
        <v>5069</v>
      </c>
      <c r="H228">
        <v>0</v>
      </c>
      <c r="I228">
        <v>30</v>
      </c>
      <c r="K228" t="s">
        <v>5067</v>
      </c>
      <c r="L228">
        <v>46276</v>
      </c>
      <c r="P228">
        <v>30</v>
      </c>
    </row>
    <row r="229" spans="1:16" x14ac:dyDescent="0.4">
      <c r="A229">
        <v>920</v>
      </c>
      <c r="B229" t="s">
        <v>4576</v>
      </c>
      <c r="D229" t="s">
        <v>4916</v>
      </c>
      <c r="G229" t="s">
        <v>1546</v>
      </c>
      <c r="H229" t="s">
        <v>1545</v>
      </c>
      <c r="I229">
        <v>30</v>
      </c>
      <c r="K229" t="s">
        <v>5070</v>
      </c>
      <c r="L229">
        <v>46276</v>
      </c>
      <c r="P229">
        <v>30</v>
      </c>
    </row>
    <row r="230" spans="1:16" x14ac:dyDescent="0.4">
      <c r="A230">
        <v>1299</v>
      </c>
      <c r="B230" t="s">
        <v>4576</v>
      </c>
      <c r="G230" t="s">
        <v>3856</v>
      </c>
      <c r="H230" t="s">
        <v>3855</v>
      </c>
      <c r="I230">
        <v>30</v>
      </c>
      <c r="K230" t="s">
        <v>3854</v>
      </c>
      <c r="L230">
        <v>46287</v>
      </c>
      <c r="P230">
        <v>30</v>
      </c>
    </row>
    <row r="231" spans="1:16" x14ac:dyDescent="0.4">
      <c r="A231">
        <v>1307</v>
      </c>
      <c r="B231" t="s">
        <v>4576</v>
      </c>
      <c r="G231" t="s">
        <v>4060</v>
      </c>
      <c r="H231" t="s">
        <v>4059</v>
      </c>
      <c r="I231">
        <v>30</v>
      </c>
      <c r="K231" t="s">
        <v>4061</v>
      </c>
      <c r="L231">
        <v>46287</v>
      </c>
      <c r="P231">
        <v>30</v>
      </c>
    </row>
    <row r="232" spans="1:16" x14ac:dyDescent="0.4">
      <c r="A232">
        <v>921</v>
      </c>
      <c r="B232" t="s">
        <v>4576</v>
      </c>
      <c r="D232" t="s">
        <v>4916</v>
      </c>
      <c r="G232" t="s">
        <v>489</v>
      </c>
      <c r="H232" t="s">
        <v>488</v>
      </c>
      <c r="I232">
        <v>31</v>
      </c>
      <c r="K232" t="s">
        <v>252</v>
      </c>
      <c r="L232">
        <v>46276</v>
      </c>
      <c r="P232">
        <v>31</v>
      </c>
    </row>
    <row r="233" spans="1:16" x14ac:dyDescent="0.4">
      <c r="A233">
        <v>922</v>
      </c>
      <c r="B233" t="s">
        <v>4576</v>
      </c>
      <c r="D233" t="s">
        <v>4916</v>
      </c>
      <c r="G233" t="s">
        <v>1550</v>
      </c>
      <c r="H233" t="s">
        <v>5071</v>
      </c>
      <c r="I233">
        <v>31</v>
      </c>
      <c r="K233" t="s">
        <v>5070</v>
      </c>
      <c r="L233">
        <v>46276</v>
      </c>
      <c r="P233">
        <v>31</v>
      </c>
    </row>
    <row r="234" spans="1:16" x14ac:dyDescent="0.4">
      <c r="A234">
        <v>923</v>
      </c>
      <c r="B234" t="s">
        <v>4576</v>
      </c>
      <c r="D234" t="s">
        <v>4916</v>
      </c>
      <c r="G234" t="s">
        <v>740</v>
      </c>
      <c r="H234" t="s">
        <v>739</v>
      </c>
      <c r="I234">
        <v>32</v>
      </c>
      <c r="K234" t="s">
        <v>252</v>
      </c>
      <c r="L234">
        <v>46276</v>
      </c>
      <c r="P234">
        <v>32</v>
      </c>
    </row>
    <row r="235" spans="1:16" x14ac:dyDescent="0.4">
      <c r="A235">
        <v>924</v>
      </c>
      <c r="B235" t="s">
        <v>4576</v>
      </c>
      <c r="D235" t="s">
        <v>4916</v>
      </c>
      <c r="G235" t="s">
        <v>1795</v>
      </c>
      <c r="H235" t="s">
        <v>1794</v>
      </c>
      <c r="I235">
        <v>32</v>
      </c>
      <c r="K235" t="s">
        <v>5063</v>
      </c>
      <c r="L235">
        <v>46276</v>
      </c>
      <c r="P235">
        <v>32</v>
      </c>
    </row>
    <row r="236" spans="1:16" x14ac:dyDescent="0.4">
      <c r="A236">
        <v>1277</v>
      </c>
      <c r="B236" t="s">
        <v>4576</v>
      </c>
      <c r="D236" t="s">
        <v>4901</v>
      </c>
      <c r="E236" t="s">
        <v>4936</v>
      </c>
      <c r="F236" t="s">
        <v>4937</v>
      </c>
      <c r="G236" t="s">
        <v>4014</v>
      </c>
      <c r="H236" t="s">
        <v>4013</v>
      </c>
      <c r="I236">
        <v>32</v>
      </c>
      <c r="K236" t="s">
        <v>4015</v>
      </c>
      <c r="L236">
        <v>46273</v>
      </c>
      <c r="P236">
        <v>32</v>
      </c>
    </row>
    <row r="237" spans="1:16" x14ac:dyDescent="0.4">
      <c r="A237">
        <v>2523</v>
      </c>
      <c r="B237" t="s">
        <v>4576</v>
      </c>
      <c r="G237" t="s">
        <v>1043</v>
      </c>
      <c r="H237" t="s">
        <v>1042</v>
      </c>
      <c r="I237">
        <v>32</v>
      </c>
      <c r="K237" t="s">
        <v>4995</v>
      </c>
      <c r="L237">
        <v>46308</v>
      </c>
      <c r="P237">
        <v>32</v>
      </c>
    </row>
    <row r="238" spans="1:16" x14ac:dyDescent="0.4">
      <c r="A238">
        <v>925</v>
      </c>
      <c r="B238" t="s">
        <v>4576</v>
      </c>
      <c r="D238" t="s">
        <v>4916</v>
      </c>
      <c r="G238" t="s">
        <v>1576</v>
      </c>
      <c r="H238" t="s">
        <v>1575</v>
      </c>
      <c r="I238">
        <v>33</v>
      </c>
      <c r="K238" t="s">
        <v>252</v>
      </c>
      <c r="L238">
        <v>46276</v>
      </c>
      <c r="P238">
        <v>33</v>
      </c>
    </row>
    <row r="239" spans="1:16" x14ac:dyDescent="0.4">
      <c r="A239">
        <v>2448</v>
      </c>
      <c r="B239" t="s">
        <v>4576</v>
      </c>
      <c r="G239" t="s">
        <v>8</v>
      </c>
      <c r="H239" t="s">
        <v>2678</v>
      </c>
      <c r="I239">
        <v>33</v>
      </c>
      <c r="K239" t="s">
        <v>5092</v>
      </c>
      <c r="L239">
        <v>46301</v>
      </c>
      <c r="P239">
        <v>33</v>
      </c>
    </row>
    <row r="240" spans="1:16" x14ac:dyDescent="0.4">
      <c r="A240">
        <v>927</v>
      </c>
      <c r="B240" t="s">
        <v>4576</v>
      </c>
      <c r="D240" t="s">
        <v>4916</v>
      </c>
      <c r="G240" t="s">
        <v>1153</v>
      </c>
      <c r="H240" t="s">
        <v>1152</v>
      </c>
      <c r="I240">
        <v>35</v>
      </c>
      <c r="K240" t="s">
        <v>252</v>
      </c>
      <c r="L240">
        <v>46276</v>
      </c>
      <c r="P240">
        <v>35</v>
      </c>
    </row>
    <row r="241" spans="1:16" x14ac:dyDescent="0.4">
      <c r="A241">
        <v>2421</v>
      </c>
      <c r="B241" t="s">
        <v>4576</v>
      </c>
      <c r="G241" t="s">
        <v>1988</v>
      </c>
      <c r="H241" t="s">
        <v>1987</v>
      </c>
      <c r="I241">
        <v>35</v>
      </c>
      <c r="K241" t="s">
        <v>5109</v>
      </c>
      <c r="L241">
        <v>46301</v>
      </c>
      <c r="P241">
        <v>35</v>
      </c>
    </row>
    <row r="242" spans="1:16" x14ac:dyDescent="0.4">
      <c r="A242">
        <v>2524</v>
      </c>
      <c r="B242" t="s">
        <v>4576</v>
      </c>
      <c r="G242" t="s">
        <v>716</v>
      </c>
      <c r="H242" t="s">
        <v>4974</v>
      </c>
      <c r="I242">
        <v>35</v>
      </c>
      <c r="K242" t="s">
        <v>4975</v>
      </c>
      <c r="L242">
        <v>46308</v>
      </c>
      <c r="P242">
        <v>35</v>
      </c>
    </row>
    <row r="243" spans="1:16" x14ac:dyDescent="0.4">
      <c r="A243">
        <v>1217</v>
      </c>
      <c r="B243" t="s">
        <v>4576</v>
      </c>
      <c r="D243" t="s">
        <v>5152</v>
      </c>
      <c r="G243" t="s">
        <v>3889</v>
      </c>
      <c r="H243" t="s">
        <v>3888</v>
      </c>
      <c r="I243">
        <v>36</v>
      </c>
      <c r="K243" t="s">
        <v>3883</v>
      </c>
      <c r="L243">
        <v>46287</v>
      </c>
      <c r="P243">
        <v>36</v>
      </c>
    </row>
    <row r="244" spans="1:16" x14ac:dyDescent="0.4">
      <c r="A244">
        <v>2204</v>
      </c>
      <c r="B244" t="s">
        <v>4576</v>
      </c>
      <c r="G244" t="s">
        <v>1833</v>
      </c>
      <c r="H244" t="s">
        <v>5035</v>
      </c>
      <c r="I244">
        <v>36</v>
      </c>
      <c r="K244" t="s">
        <v>4979</v>
      </c>
      <c r="L244">
        <v>46294</v>
      </c>
      <c r="P244">
        <v>36</v>
      </c>
    </row>
    <row r="245" spans="1:16" x14ac:dyDescent="0.4">
      <c r="A245">
        <v>348</v>
      </c>
      <c r="B245" t="s">
        <v>4576</v>
      </c>
      <c r="D245" t="s">
        <v>4901</v>
      </c>
      <c r="G245" t="s">
        <v>4738</v>
      </c>
      <c r="H245">
        <v>0</v>
      </c>
      <c r="I245">
        <v>37</v>
      </c>
      <c r="K245" t="s">
        <v>3910</v>
      </c>
      <c r="L245">
        <v>46252</v>
      </c>
      <c r="P245">
        <v>37</v>
      </c>
    </row>
    <row r="246" spans="1:16" x14ac:dyDescent="0.4">
      <c r="A246">
        <v>929</v>
      </c>
      <c r="B246" t="s">
        <v>4576</v>
      </c>
      <c r="D246" t="s">
        <v>4916</v>
      </c>
      <c r="G246" t="s">
        <v>1944</v>
      </c>
      <c r="H246" t="s">
        <v>1943</v>
      </c>
      <c r="I246">
        <v>37</v>
      </c>
      <c r="K246" t="s">
        <v>252</v>
      </c>
      <c r="L246">
        <v>46276</v>
      </c>
      <c r="P246">
        <v>37</v>
      </c>
    </row>
    <row r="247" spans="1:16" x14ac:dyDescent="0.4">
      <c r="A247">
        <v>1300</v>
      </c>
      <c r="B247" t="s">
        <v>4576</v>
      </c>
      <c r="G247" t="s">
        <v>3860</v>
      </c>
      <c r="H247" t="s">
        <v>3859</v>
      </c>
      <c r="I247">
        <v>37</v>
      </c>
      <c r="K247" t="s">
        <v>3854</v>
      </c>
      <c r="L247">
        <v>46287</v>
      </c>
      <c r="P247">
        <v>37</v>
      </c>
    </row>
    <row r="248" spans="1:16" x14ac:dyDescent="0.4">
      <c r="A248">
        <v>1301</v>
      </c>
      <c r="B248" t="s">
        <v>4576</v>
      </c>
      <c r="G248" t="s">
        <v>3825</v>
      </c>
      <c r="H248" t="s">
        <v>3824</v>
      </c>
      <c r="I248">
        <v>37</v>
      </c>
      <c r="K248" t="s">
        <v>3823</v>
      </c>
      <c r="L248">
        <v>46287</v>
      </c>
      <c r="P248">
        <v>37</v>
      </c>
    </row>
    <row r="249" spans="1:16" x14ac:dyDescent="0.4">
      <c r="A249">
        <v>2347</v>
      </c>
      <c r="B249" t="s">
        <v>4576</v>
      </c>
      <c r="G249" t="s">
        <v>3927</v>
      </c>
      <c r="H249" t="s">
        <v>3926</v>
      </c>
      <c r="I249">
        <v>37</v>
      </c>
      <c r="K249" t="s">
        <v>3864</v>
      </c>
      <c r="L249">
        <v>46295</v>
      </c>
      <c r="P249">
        <v>37</v>
      </c>
    </row>
    <row r="250" spans="1:16" x14ac:dyDescent="0.4">
      <c r="A250">
        <v>930</v>
      </c>
      <c r="B250" t="s">
        <v>4576</v>
      </c>
      <c r="D250" t="s">
        <v>4916</v>
      </c>
      <c r="G250" t="s">
        <v>818</v>
      </c>
      <c r="H250" t="s">
        <v>817</v>
      </c>
      <c r="I250">
        <v>38</v>
      </c>
      <c r="K250" t="s">
        <v>5059</v>
      </c>
      <c r="L250">
        <v>46276</v>
      </c>
      <c r="P250">
        <v>38</v>
      </c>
    </row>
    <row r="251" spans="1:16" x14ac:dyDescent="0.4">
      <c r="A251">
        <v>1905</v>
      </c>
      <c r="B251" t="s">
        <v>4576</v>
      </c>
      <c r="G251" t="s">
        <v>1775</v>
      </c>
      <c r="H251" t="s">
        <v>1774</v>
      </c>
      <c r="I251">
        <v>38</v>
      </c>
      <c r="K251" t="s">
        <v>5027</v>
      </c>
      <c r="L251">
        <v>46295</v>
      </c>
      <c r="P251">
        <v>38</v>
      </c>
    </row>
    <row r="252" spans="1:16" x14ac:dyDescent="0.4">
      <c r="A252">
        <v>2349</v>
      </c>
      <c r="B252" t="s">
        <v>4576</v>
      </c>
      <c r="G252" t="s">
        <v>3939</v>
      </c>
      <c r="H252" t="s">
        <v>3938</v>
      </c>
      <c r="I252">
        <v>38</v>
      </c>
      <c r="K252" t="s">
        <v>3585</v>
      </c>
      <c r="L252">
        <v>46295</v>
      </c>
      <c r="P252">
        <v>38</v>
      </c>
    </row>
    <row r="253" spans="1:16" x14ac:dyDescent="0.4">
      <c r="A253">
        <v>932</v>
      </c>
      <c r="B253" t="s">
        <v>4576</v>
      </c>
      <c r="D253" t="s">
        <v>4916</v>
      </c>
      <c r="G253" t="s">
        <v>1784</v>
      </c>
      <c r="H253" t="s">
        <v>1783</v>
      </c>
      <c r="I253">
        <v>39</v>
      </c>
      <c r="K253" t="s">
        <v>5074</v>
      </c>
      <c r="L253">
        <v>46276</v>
      </c>
      <c r="P253">
        <v>39</v>
      </c>
    </row>
    <row r="254" spans="1:16" x14ac:dyDescent="0.4">
      <c r="A254">
        <v>933</v>
      </c>
      <c r="B254" t="s">
        <v>4576</v>
      </c>
      <c r="D254" t="s">
        <v>4916</v>
      </c>
      <c r="G254" t="s">
        <v>1942</v>
      </c>
      <c r="H254" t="s">
        <v>1941</v>
      </c>
      <c r="I254">
        <v>39</v>
      </c>
      <c r="K254" t="s">
        <v>252</v>
      </c>
      <c r="L254">
        <v>46276</v>
      </c>
      <c r="P254">
        <v>39</v>
      </c>
    </row>
    <row r="255" spans="1:16" x14ac:dyDescent="0.4">
      <c r="A255">
        <v>934</v>
      </c>
      <c r="B255" t="s">
        <v>4576</v>
      </c>
      <c r="D255" t="s">
        <v>4916</v>
      </c>
      <c r="G255" t="s">
        <v>491</v>
      </c>
      <c r="H255" t="s">
        <v>490</v>
      </c>
      <c r="I255">
        <v>40</v>
      </c>
      <c r="K255" t="s">
        <v>252</v>
      </c>
      <c r="L255">
        <v>46276</v>
      </c>
      <c r="P255">
        <v>40</v>
      </c>
    </row>
    <row r="256" spans="1:16" x14ac:dyDescent="0.4">
      <c r="A256">
        <v>1810</v>
      </c>
      <c r="B256" t="s">
        <v>4576</v>
      </c>
      <c r="G256" t="s">
        <v>779</v>
      </c>
      <c r="H256" t="s">
        <v>778</v>
      </c>
      <c r="I256">
        <v>40</v>
      </c>
      <c r="K256" t="s">
        <v>4987</v>
      </c>
      <c r="L256">
        <v>46294</v>
      </c>
      <c r="P256">
        <v>40</v>
      </c>
    </row>
    <row r="257" spans="1:16" x14ac:dyDescent="0.4">
      <c r="A257">
        <v>2263</v>
      </c>
      <c r="B257" t="s">
        <v>4576</v>
      </c>
      <c r="G257" t="s">
        <v>3912</v>
      </c>
      <c r="H257" t="s">
        <v>3911</v>
      </c>
      <c r="I257">
        <v>40</v>
      </c>
      <c r="K257" t="s">
        <v>3913</v>
      </c>
      <c r="L257">
        <v>46301</v>
      </c>
      <c r="P257">
        <v>40</v>
      </c>
    </row>
    <row r="258" spans="1:16" x14ac:dyDescent="0.4">
      <c r="A258">
        <v>2423</v>
      </c>
      <c r="B258" t="s">
        <v>4576</v>
      </c>
      <c r="G258" t="s">
        <v>2668</v>
      </c>
      <c r="H258" t="s">
        <v>2667</v>
      </c>
      <c r="I258">
        <v>40</v>
      </c>
      <c r="K258" t="s">
        <v>5093</v>
      </c>
      <c r="L258">
        <v>46301</v>
      </c>
      <c r="P258">
        <v>40</v>
      </c>
    </row>
    <row r="259" spans="1:16" x14ac:dyDescent="0.4">
      <c r="A259">
        <v>2520</v>
      </c>
      <c r="B259" t="s">
        <v>4576</v>
      </c>
      <c r="G259" t="s">
        <v>985</v>
      </c>
      <c r="H259" t="s">
        <v>984</v>
      </c>
      <c r="I259">
        <v>40</v>
      </c>
      <c r="K259" t="s">
        <v>4932</v>
      </c>
      <c r="L259">
        <v>46308</v>
      </c>
      <c r="P259">
        <v>40</v>
      </c>
    </row>
    <row r="260" spans="1:16" x14ac:dyDescent="0.4">
      <c r="A260">
        <v>936</v>
      </c>
      <c r="B260" t="s">
        <v>4576</v>
      </c>
      <c r="D260" t="s">
        <v>4916</v>
      </c>
      <c r="G260" t="s">
        <v>1039</v>
      </c>
      <c r="H260" t="s">
        <v>1038</v>
      </c>
      <c r="I260">
        <v>41</v>
      </c>
      <c r="K260" t="s">
        <v>252</v>
      </c>
      <c r="L260">
        <v>46276</v>
      </c>
      <c r="P260">
        <v>41</v>
      </c>
    </row>
    <row r="261" spans="1:16" x14ac:dyDescent="0.4">
      <c r="A261">
        <v>937</v>
      </c>
      <c r="B261" t="s">
        <v>4576</v>
      </c>
      <c r="D261" t="s">
        <v>4916</v>
      </c>
      <c r="G261" t="s">
        <v>2607</v>
      </c>
      <c r="H261" t="s">
        <v>2606</v>
      </c>
      <c r="I261">
        <v>41</v>
      </c>
      <c r="K261" t="s">
        <v>252</v>
      </c>
      <c r="L261">
        <v>46276</v>
      </c>
      <c r="P261">
        <v>41</v>
      </c>
    </row>
    <row r="262" spans="1:16" x14ac:dyDescent="0.4">
      <c r="A262">
        <v>2364</v>
      </c>
      <c r="B262" t="s">
        <v>4576</v>
      </c>
      <c r="G262" t="s">
        <v>2622</v>
      </c>
      <c r="H262" t="s">
        <v>2621</v>
      </c>
      <c r="I262">
        <v>41</v>
      </c>
      <c r="K262" t="s">
        <v>5036</v>
      </c>
      <c r="L262">
        <v>46302</v>
      </c>
      <c r="P262">
        <v>41</v>
      </c>
    </row>
    <row r="263" spans="1:16" x14ac:dyDescent="0.4">
      <c r="A263">
        <v>1328</v>
      </c>
      <c r="B263" t="s">
        <v>4576</v>
      </c>
      <c r="G263" t="s">
        <v>3795</v>
      </c>
      <c r="H263" t="s">
        <v>4926</v>
      </c>
      <c r="I263">
        <v>42</v>
      </c>
      <c r="K263" t="s">
        <v>4743</v>
      </c>
      <c r="L263">
        <v>46287</v>
      </c>
      <c r="P263">
        <v>42</v>
      </c>
    </row>
    <row r="264" spans="1:16" x14ac:dyDescent="0.4">
      <c r="A264">
        <v>938</v>
      </c>
      <c r="B264" t="s">
        <v>4576</v>
      </c>
      <c r="D264" t="s">
        <v>4916</v>
      </c>
      <c r="G264" t="s">
        <v>483</v>
      </c>
      <c r="H264" t="s">
        <v>482</v>
      </c>
      <c r="I264">
        <v>43</v>
      </c>
      <c r="K264" t="s">
        <v>252</v>
      </c>
      <c r="L264">
        <v>46276</v>
      </c>
      <c r="P264">
        <v>43</v>
      </c>
    </row>
    <row r="265" spans="1:16" x14ac:dyDescent="0.4">
      <c r="A265">
        <v>1265</v>
      </c>
      <c r="B265" t="s">
        <v>4576</v>
      </c>
      <c r="D265" t="s">
        <v>5152</v>
      </c>
      <c r="G265" t="s">
        <v>4032</v>
      </c>
      <c r="H265" t="s">
        <v>4031</v>
      </c>
      <c r="I265">
        <v>43</v>
      </c>
      <c r="K265" t="s">
        <v>2924</v>
      </c>
      <c r="L265">
        <v>46287</v>
      </c>
      <c r="P265">
        <v>43</v>
      </c>
    </row>
    <row r="266" spans="1:16" x14ac:dyDescent="0.4">
      <c r="A266">
        <v>2526</v>
      </c>
      <c r="B266" t="s">
        <v>4576</v>
      </c>
      <c r="G266" t="s">
        <v>1057</v>
      </c>
      <c r="H266" t="s">
        <v>1056</v>
      </c>
      <c r="I266">
        <v>43</v>
      </c>
      <c r="K266" t="s">
        <v>4991</v>
      </c>
      <c r="L266">
        <v>46308</v>
      </c>
      <c r="P266">
        <v>43</v>
      </c>
    </row>
    <row r="267" spans="1:16" x14ac:dyDescent="0.4">
      <c r="A267">
        <v>1249</v>
      </c>
      <c r="B267" t="s">
        <v>4576</v>
      </c>
      <c r="D267" t="s">
        <v>5152</v>
      </c>
      <c r="G267" t="s">
        <v>3966</v>
      </c>
      <c r="H267" t="s">
        <v>3965</v>
      </c>
      <c r="I267">
        <v>44</v>
      </c>
      <c r="K267" t="s">
        <v>3967</v>
      </c>
      <c r="L267">
        <v>46287</v>
      </c>
      <c r="P267">
        <v>44</v>
      </c>
    </row>
    <row r="268" spans="1:16" x14ac:dyDescent="0.4">
      <c r="A268">
        <v>2069</v>
      </c>
      <c r="B268" t="s">
        <v>4576</v>
      </c>
      <c r="D268" t="s">
        <v>4901</v>
      </c>
      <c r="E268" t="s">
        <v>5149</v>
      </c>
      <c r="F268" t="s">
        <v>5147</v>
      </c>
      <c r="G268" t="s">
        <v>1320</v>
      </c>
      <c r="H268" t="s">
        <v>1319</v>
      </c>
      <c r="I268">
        <v>44</v>
      </c>
      <c r="K268" t="s">
        <v>5054</v>
      </c>
      <c r="L268">
        <v>46301</v>
      </c>
      <c r="P268">
        <v>44</v>
      </c>
    </row>
    <row r="269" spans="1:16" x14ac:dyDescent="0.4">
      <c r="A269">
        <v>267</v>
      </c>
      <c r="B269" t="s">
        <v>4576</v>
      </c>
      <c r="G269" t="s">
        <v>51</v>
      </c>
      <c r="H269" t="s">
        <v>50</v>
      </c>
      <c r="I269">
        <v>45</v>
      </c>
      <c r="K269" t="s">
        <v>4861</v>
      </c>
      <c r="L269">
        <v>46232</v>
      </c>
      <c r="P269">
        <v>45</v>
      </c>
    </row>
    <row r="270" spans="1:16" x14ac:dyDescent="0.4">
      <c r="A270">
        <v>940</v>
      </c>
      <c r="B270" t="s">
        <v>4576</v>
      </c>
      <c r="D270" t="s">
        <v>4916</v>
      </c>
      <c r="G270" t="s">
        <v>691</v>
      </c>
      <c r="H270" t="s">
        <v>690</v>
      </c>
      <c r="I270">
        <v>45</v>
      </c>
      <c r="K270" t="s">
        <v>5066</v>
      </c>
      <c r="L270">
        <v>46276</v>
      </c>
      <c r="P270">
        <v>45</v>
      </c>
    </row>
    <row r="271" spans="1:16" x14ac:dyDescent="0.4">
      <c r="A271">
        <v>941</v>
      </c>
      <c r="B271" t="s">
        <v>4576</v>
      </c>
      <c r="D271" t="s">
        <v>4916</v>
      </c>
      <c r="G271" t="s">
        <v>1027</v>
      </c>
      <c r="H271" t="s">
        <v>1026</v>
      </c>
      <c r="I271">
        <v>45</v>
      </c>
      <c r="K271" t="s">
        <v>252</v>
      </c>
      <c r="L271">
        <v>46276</v>
      </c>
      <c r="P271">
        <v>45</v>
      </c>
    </row>
    <row r="272" spans="1:16" x14ac:dyDescent="0.4">
      <c r="A272">
        <v>942</v>
      </c>
      <c r="B272" t="s">
        <v>4576</v>
      </c>
      <c r="D272" t="s">
        <v>4916</v>
      </c>
      <c r="G272" t="s">
        <v>1155</v>
      </c>
      <c r="H272" t="s">
        <v>1154</v>
      </c>
      <c r="I272">
        <v>45</v>
      </c>
      <c r="K272" t="s">
        <v>252</v>
      </c>
      <c r="L272">
        <v>46276</v>
      </c>
      <c r="P272">
        <v>45</v>
      </c>
    </row>
    <row r="273" spans="1:16" x14ac:dyDescent="0.4">
      <c r="A273">
        <v>943</v>
      </c>
      <c r="B273" t="s">
        <v>4576</v>
      </c>
      <c r="D273" t="s">
        <v>4916</v>
      </c>
      <c r="G273" t="s">
        <v>1157</v>
      </c>
      <c r="H273" t="s">
        <v>1156</v>
      </c>
      <c r="I273">
        <v>45</v>
      </c>
      <c r="K273" t="s">
        <v>252</v>
      </c>
      <c r="L273">
        <v>46276</v>
      </c>
      <c r="P273">
        <v>45</v>
      </c>
    </row>
    <row r="274" spans="1:16" x14ac:dyDescent="0.4">
      <c r="A274">
        <v>944</v>
      </c>
      <c r="B274" t="s">
        <v>4576</v>
      </c>
      <c r="D274" t="s">
        <v>4916</v>
      </c>
      <c r="G274" t="s">
        <v>1826</v>
      </c>
      <c r="H274" t="s">
        <v>1825</v>
      </c>
      <c r="I274">
        <v>45</v>
      </c>
      <c r="K274" t="s">
        <v>4958</v>
      </c>
      <c r="L274">
        <v>46276</v>
      </c>
      <c r="P274">
        <v>45</v>
      </c>
    </row>
    <row r="275" spans="1:16" x14ac:dyDescent="0.4">
      <c r="A275">
        <v>945</v>
      </c>
      <c r="B275" t="s">
        <v>4576</v>
      </c>
      <c r="D275" t="s">
        <v>4916</v>
      </c>
      <c r="G275" t="s">
        <v>2605</v>
      </c>
      <c r="H275" t="s">
        <v>2604</v>
      </c>
      <c r="I275">
        <v>45</v>
      </c>
      <c r="K275" t="s">
        <v>252</v>
      </c>
      <c r="L275">
        <v>46276</v>
      </c>
      <c r="P275">
        <v>45</v>
      </c>
    </row>
    <row r="276" spans="1:16" x14ac:dyDescent="0.4">
      <c r="A276">
        <v>1374</v>
      </c>
      <c r="B276" t="s">
        <v>4576</v>
      </c>
      <c r="G276" t="s">
        <v>2831</v>
      </c>
      <c r="H276" t="s">
        <v>2830</v>
      </c>
      <c r="I276">
        <v>45</v>
      </c>
      <c r="K276" t="s">
        <v>4862</v>
      </c>
      <c r="L276">
        <v>46279</v>
      </c>
      <c r="P276">
        <v>45</v>
      </c>
    </row>
    <row r="277" spans="1:16" x14ac:dyDescent="0.4">
      <c r="A277">
        <v>2449</v>
      </c>
      <c r="B277" t="s">
        <v>4576</v>
      </c>
      <c r="G277" t="s">
        <v>2673</v>
      </c>
      <c r="H277" t="s">
        <v>2672</v>
      </c>
      <c r="I277">
        <v>45</v>
      </c>
      <c r="K277" t="s">
        <v>5096</v>
      </c>
      <c r="L277">
        <v>46301</v>
      </c>
      <c r="P277">
        <v>45</v>
      </c>
    </row>
    <row r="278" spans="1:16" x14ac:dyDescent="0.4">
      <c r="A278">
        <v>2538</v>
      </c>
      <c r="B278" t="s">
        <v>4576</v>
      </c>
      <c r="G278" t="s">
        <v>699</v>
      </c>
      <c r="H278" t="s">
        <v>4976</v>
      </c>
      <c r="I278">
        <v>45</v>
      </c>
      <c r="K278" t="s">
        <v>4975</v>
      </c>
      <c r="L278">
        <v>46308</v>
      </c>
      <c r="P278">
        <v>45</v>
      </c>
    </row>
    <row r="279" spans="1:16" x14ac:dyDescent="0.4">
      <c r="A279">
        <v>1236</v>
      </c>
      <c r="B279" t="s">
        <v>4576</v>
      </c>
      <c r="D279" t="s">
        <v>5152</v>
      </c>
      <c r="G279" t="s">
        <v>4045</v>
      </c>
      <c r="H279" t="s">
        <v>4044</v>
      </c>
      <c r="I279">
        <v>46</v>
      </c>
      <c r="K279" t="s">
        <v>4046</v>
      </c>
      <c r="L279">
        <v>46287</v>
      </c>
      <c r="P279">
        <v>46</v>
      </c>
    </row>
    <row r="280" spans="1:16" x14ac:dyDescent="0.4">
      <c r="A280">
        <v>1250</v>
      </c>
      <c r="B280" t="s">
        <v>4576</v>
      </c>
      <c r="D280" t="s">
        <v>5152</v>
      </c>
      <c r="G280" t="s">
        <v>4012</v>
      </c>
      <c r="H280" t="s">
        <v>4011</v>
      </c>
      <c r="I280">
        <v>46</v>
      </c>
      <c r="K280" t="s">
        <v>3871</v>
      </c>
      <c r="L280">
        <v>46287</v>
      </c>
      <c r="P280">
        <v>46</v>
      </c>
    </row>
    <row r="281" spans="1:16" x14ac:dyDescent="0.4">
      <c r="A281">
        <v>2123</v>
      </c>
      <c r="B281" t="s">
        <v>4576</v>
      </c>
      <c r="G281" t="s">
        <v>5031</v>
      </c>
      <c r="H281">
        <v>0</v>
      </c>
      <c r="I281">
        <v>46</v>
      </c>
      <c r="K281" t="s">
        <v>5032</v>
      </c>
      <c r="L281">
        <v>46282</v>
      </c>
      <c r="P281">
        <v>46</v>
      </c>
    </row>
    <row r="282" spans="1:16" x14ac:dyDescent="0.4">
      <c r="A282">
        <v>2327</v>
      </c>
      <c r="B282" t="s">
        <v>4576</v>
      </c>
      <c r="G282" t="s">
        <v>2813</v>
      </c>
      <c r="H282" t="s">
        <v>2812</v>
      </c>
      <c r="I282">
        <v>46</v>
      </c>
      <c r="K282" t="s">
        <v>4947</v>
      </c>
      <c r="L282">
        <v>46302</v>
      </c>
      <c r="P282">
        <v>46</v>
      </c>
    </row>
    <row r="283" spans="1:16" x14ac:dyDescent="0.4">
      <c r="A283">
        <v>278</v>
      </c>
      <c r="B283" t="s">
        <v>4576</v>
      </c>
      <c r="G283" t="s">
        <v>4644</v>
      </c>
      <c r="H283">
        <v>0</v>
      </c>
      <c r="I283">
        <v>47</v>
      </c>
      <c r="K283" t="s">
        <v>4860</v>
      </c>
      <c r="L283">
        <v>46232</v>
      </c>
      <c r="P283">
        <v>47</v>
      </c>
    </row>
    <row r="284" spans="1:16" x14ac:dyDescent="0.4">
      <c r="A284">
        <v>946</v>
      </c>
      <c r="B284" t="s">
        <v>4576</v>
      </c>
      <c r="D284" t="s">
        <v>4916</v>
      </c>
      <c r="G284" t="s">
        <v>736</v>
      </c>
      <c r="H284" t="s">
        <v>735</v>
      </c>
      <c r="I284">
        <v>47</v>
      </c>
      <c r="K284" t="s">
        <v>252</v>
      </c>
      <c r="L284">
        <v>46276</v>
      </c>
      <c r="P284">
        <v>47</v>
      </c>
    </row>
    <row r="285" spans="1:16" x14ac:dyDescent="0.4">
      <c r="A285">
        <v>1906</v>
      </c>
      <c r="B285" t="s">
        <v>4576</v>
      </c>
      <c r="G285" t="s">
        <v>1862</v>
      </c>
      <c r="H285" t="s">
        <v>1861</v>
      </c>
      <c r="I285">
        <v>47</v>
      </c>
      <c r="K285" t="s">
        <v>5081</v>
      </c>
      <c r="L285">
        <v>46295</v>
      </c>
      <c r="P285">
        <v>47</v>
      </c>
    </row>
    <row r="286" spans="1:16" x14ac:dyDescent="0.4">
      <c r="A286">
        <v>2431</v>
      </c>
      <c r="B286" t="s">
        <v>4576</v>
      </c>
      <c r="G286" t="s">
        <v>1305</v>
      </c>
      <c r="H286" t="s">
        <v>1304</v>
      </c>
      <c r="I286">
        <v>47</v>
      </c>
      <c r="K286" t="s">
        <v>5143</v>
      </c>
      <c r="L286">
        <v>46301</v>
      </c>
      <c r="P286">
        <v>47</v>
      </c>
    </row>
    <row r="287" spans="1:16" x14ac:dyDescent="0.4">
      <c r="A287">
        <v>2543</v>
      </c>
      <c r="B287" t="s">
        <v>4576</v>
      </c>
      <c r="G287" t="s">
        <v>696</v>
      </c>
      <c r="H287" t="s">
        <v>4980</v>
      </c>
      <c r="I287">
        <v>47</v>
      </c>
      <c r="K287" t="s">
        <v>4981</v>
      </c>
      <c r="L287">
        <v>46308</v>
      </c>
      <c r="P287">
        <v>47</v>
      </c>
    </row>
    <row r="288" spans="1:16" x14ac:dyDescent="0.4">
      <c r="A288">
        <v>947</v>
      </c>
      <c r="B288" t="s">
        <v>4576</v>
      </c>
      <c r="D288" t="s">
        <v>4916</v>
      </c>
      <c r="G288" t="s">
        <v>493</v>
      </c>
      <c r="H288" t="s">
        <v>492</v>
      </c>
      <c r="I288">
        <v>48</v>
      </c>
      <c r="K288" t="s">
        <v>252</v>
      </c>
      <c r="L288">
        <v>46276</v>
      </c>
      <c r="P288">
        <v>48</v>
      </c>
    </row>
    <row r="289" spans="1:16" x14ac:dyDescent="0.4">
      <c r="A289">
        <v>948</v>
      </c>
      <c r="B289" t="s">
        <v>4576</v>
      </c>
      <c r="D289" t="s">
        <v>4916</v>
      </c>
      <c r="G289" t="s">
        <v>810</v>
      </c>
      <c r="H289" t="s">
        <v>809</v>
      </c>
      <c r="I289">
        <v>48</v>
      </c>
      <c r="K289" t="s">
        <v>5059</v>
      </c>
      <c r="L289">
        <v>46276</v>
      </c>
      <c r="P289">
        <v>48</v>
      </c>
    </row>
    <row r="290" spans="1:16" x14ac:dyDescent="0.4">
      <c r="A290">
        <v>949</v>
      </c>
      <c r="B290" t="s">
        <v>4576</v>
      </c>
      <c r="D290" t="s">
        <v>4916</v>
      </c>
      <c r="G290" t="s">
        <v>1021</v>
      </c>
      <c r="H290" t="s">
        <v>1020</v>
      </c>
      <c r="I290">
        <v>49</v>
      </c>
      <c r="K290" t="s">
        <v>252</v>
      </c>
      <c r="L290">
        <v>46276</v>
      </c>
      <c r="P290">
        <v>49</v>
      </c>
    </row>
    <row r="291" spans="1:16" x14ac:dyDescent="0.4">
      <c r="A291">
        <v>950</v>
      </c>
      <c r="B291" t="s">
        <v>4576</v>
      </c>
      <c r="D291" t="s">
        <v>4916</v>
      </c>
      <c r="G291" t="s">
        <v>1023</v>
      </c>
      <c r="H291" t="s">
        <v>1022</v>
      </c>
      <c r="I291">
        <v>49</v>
      </c>
      <c r="K291" t="s">
        <v>252</v>
      </c>
      <c r="L291">
        <v>46276</v>
      </c>
      <c r="P291">
        <v>49</v>
      </c>
    </row>
    <row r="292" spans="1:16" x14ac:dyDescent="0.4">
      <c r="A292">
        <v>951</v>
      </c>
      <c r="B292" t="s">
        <v>4576</v>
      </c>
      <c r="D292" t="s">
        <v>4916</v>
      </c>
      <c r="G292" t="s">
        <v>1801</v>
      </c>
      <c r="H292" t="s">
        <v>1800</v>
      </c>
      <c r="I292">
        <v>49</v>
      </c>
      <c r="K292" t="s">
        <v>5063</v>
      </c>
      <c r="L292">
        <v>46276</v>
      </c>
      <c r="P292">
        <v>49</v>
      </c>
    </row>
    <row r="293" spans="1:16" x14ac:dyDescent="0.4">
      <c r="A293">
        <v>2272</v>
      </c>
      <c r="B293" t="s">
        <v>4576</v>
      </c>
      <c r="G293" t="s">
        <v>3939</v>
      </c>
      <c r="H293" t="s">
        <v>3938</v>
      </c>
      <c r="I293">
        <v>49</v>
      </c>
      <c r="K293" t="s">
        <v>3585</v>
      </c>
      <c r="L293">
        <v>46301</v>
      </c>
      <c r="P293">
        <v>49</v>
      </c>
    </row>
    <row r="294" spans="1:16" x14ac:dyDescent="0.4">
      <c r="A294">
        <v>2206</v>
      </c>
      <c r="B294" t="s">
        <v>4576</v>
      </c>
      <c r="D294" t="s">
        <v>4901</v>
      </c>
      <c r="E294" t="s">
        <v>5154</v>
      </c>
      <c r="F294" t="s">
        <v>5147</v>
      </c>
      <c r="G294" t="s">
        <v>842</v>
      </c>
      <c r="H294" t="s">
        <v>841</v>
      </c>
      <c r="I294">
        <v>50</v>
      </c>
      <c r="K294" t="s">
        <v>4998</v>
      </c>
      <c r="L294">
        <v>46294</v>
      </c>
      <c r="P294">
        <v>50</v>
      </c>
    </row>
    <row r="295" spans="1:16" x14ac:dyDescent="0.4">
      <c r="A295">
        <v>2067</v>
      </c>
      <c r="B295" t="s">
        <v>4576</v>
      </c>
      <c r="D295" t="s">
        <v>4901</v>
      </c>
      <c r="E295" t="s">
        <v>5155</v>
      </c>
      <c r="F295" t="s">
        <v>5147</v>
      </c>
      <c r="G295" t="s">
        <v>1895</v>
      </c>
      <c r="H295" t="s">
        <v>1894</v>
      </c>
      <c r="I295">
        <v>50</v>
      </c>
      <c r="K295" t="s">
        <v>5024</v>
      </c>
      <c r="L295">
        <v>46301</v>
      </c>
      <c r="P295">
        <v>50</v>
      </c>
    </row>
    <row r="296" spans="1:16" x14ac:dyDescent="0.4">
      <c r="A296">
        <v>449</v>
      </c>
      <c r="B296" t="s">
        <v>4576</v>
      </c>
      <c r="G296" t="s">
        <v>3898</v>
      </c>
      <c r="H296" t="s">
        <v>4925</v>
      </c>
      <c r="I296">
        <v>50</v>
      </c>
      <c r="K296" t="s">
        <v>3896</v>
      </c>
      <c r="L296">
        <v>46259</v>
      </c>
      <c r="P296">
        <v>50</v>
      </c>
    </row>
    <row r="297" spans="1:16" x14ac:dyDescent="0.4">
      <c r="A297">
        <v>952</v>
      </c>
      <c r="B297" t="s">
        <v>4576</v>
      </c>
      <c r="D297" t="s">
        <v>4916</v>
      </c>
      <c r="G297" t="s">
        <v>487</v>
      </c>
      <c r="H297" t="s">
        <v>486</v>
      </c>
      <c r="I297">
        <v>50</v>
      </c>
      <c r="K297" t="s">
        <v>252</v>
      </c>
      <c r="L297">
        <v>46276</v>
      </c>
      <c r="P297">
        <v>50</v>
      </c>
    </row>
    <row r="298" spans="1:16" x14ac:dyDescent="0.4">
      <c r="A298">
        <v>953</v>
      </c>
      <c r="B298" t="s">
        <v>4576</v>
      </c>
      <c r="D298" t="s">
        <v>4916</v>
      </c>
      <c r="G298" t="s">
        <v>1019</v>
      </c>
      <c r="H298" t="s">
        <v>1018</v>
      </c>
      <c r="I298">
        <v>50</v>
      </c>
      <c r="K298" t="s">
        <v>252</v>
      </c>
      <c r="L298">
        <v>46276</v>
      </c>
      <c r="P298">
        <v>50</v>
      </c>
    </row>
    <row r="299" spans="1:16" x14ac:dyDescent="0.4">
      <c r="A299">
        <v>954</v>
      </c>
      <c r="B299" t="s">
        <v>4576</v>
      </c>
      <c r="D299" t="s">
        <v>4916</v>
      </c>
      <c r="G299" t="s">
        <v>1035</v>
      </c>
      <c r="H299" t="s">
        <v>1034</v>
      </c>
      <c r="I299">
        <v>50</v>
      </c>
      <c r="K299" t="s">
        <v>252</v>
      </c>
      <c r="L299">
        <v>46276</v>
      </c>
      <c r="P299">
        <v>50</v>
      </c>
    </row>
    <row r="300" spans="1:16" x14ac:dyDescent="0.4">
      <c r="A300">
        <v>1283</v>
      </c>
      <c r="B300" t="s">
        <v>4576</v>
      </c>
      <c r="D300" t="s">
        <v>4901</v>
      </c>
      <c r="E300" t="s">
        <v>4936</v>
      </c>
      <c r="F300" t="s">
        <v>4937</v>
      </c>
      <c r="G300" t="s">
        <v>4019</v>
      </c>
      <c r="H300" t="s">
        <v>4018</v>
      </c>
      <c r="I300">
        <v>50</v>
      </c>
      <c r="K300" t="s">
        <v>3875</v>
      </c>
      <c r="L300">
        <v>46261</v>
      </c>
      <c r="P300">
        <v>50</v>
      </c>
    </row>
    <row r="301" spans="1:16" x14ac:dyDescent="0.4">
      <c r="A301">
        <v>1298</v>
      </c>
      <c r="B301" t="s">
        <v>4576</v>
      </c>
      <c r="G301" t="s">
        <v>3791</v>
      </c>
      <c r="H301" t="s">
        <v>4919</v>
      </c>
      <c r="I301">
        <v>50</v>
      </c>
      <c r="K301" t="s">
        <v>4741</v>
      </c>
      <c r="L301">
        <v>46287</v>
      </c>
      <c r="P301">
        <v>50</v>
      </c>
    </row>
    <row r="302" spans="1:16" x14ac:dyDescent="0.4">
      <c r="A302">
        <v>1308</v>
      </c>
      <c r="B302" t="s">
        <v>4576</v>
      </c>
      <c r="G302" t="s">
        <v>4734</v>
      </c>
      <c r="H302">
        <v>0</v>
      </c>
      <c r="I302">
        <v>50</v>
      </c>
      <c r="K302" t="s">
        <v>3986</v>
      </c>
      <c r="L302">
        <v>46287</v>
      </c>
      <c r="P302">
        <v>50</v>
      </c>
    </row>
    <row r="303" spans="1:16" x14ac:dyDescent="0.4">
      <c r="A303">
        <v>1315</v>
      </c>
      <c r="B303" t="s">
        <v>4576</v>
      </c>
      <c r="G303" t="s">
        <v>4014</v>
      </c>
      <c r="H303" t="s">
        <v>4013</v>
      </c>
      <c r="I303">
        <v>50</v>
      </c>
      <c r="K303" t="s">
        <v>4015</v>
      </c>
      <c r="L303">
        <v>46287</v>
      </c>
      <c r="P303">
        <v>50</v>
      </c>
    </row>
    <row r="304" spans="1:16" x14ac:dyDescent="0.4">
      <c r="A304">
        <v>1351</v>
      </c>
      <c r="B304" t="s">
        <v>4576</v>
      </c>
      <c r="D304" t="s">
        <v>4901</v>
      </c>
      <c r="E304" t="s">
        <v>4936</v>
      </c>
      <c r="F304" t="s">
        <v>4937</v>
      </c>
      <c r="G304" t="s">
        <v>3887</v>
      </c>
      <c r="H304" t="s">
        <v>3886</v>
      </c>
      <c r="I304">
        <v>50</v>
      </c>
      <c r="K304" t="s">
        <v>2541</v>
      </c>
      <c r="L304">
        <v>46261</v>
      </c>
      <c r="P304">
        <v>50</v>
      </c>
    </row>
    <row r="305" spans="1:16" x14ac:dyDescent="0.4">
      <c r="A305">
        <v>1975</v>
      </c>
      <c r="B305" t="s">
        <v>4576</v>
      </c>
      <c r="D305" t="s">
        <v>4901</v>
      </c>
      <c r="E305" t="s">
        <v>4936</v>
      </c>
      <c r="F305" t="s">
        <v>4939</v>
      </c>
      <c r="G305" t="s">
        <v>1826</v>
      </c>
      <c r="H305" t="s">
        <v>1825</v>
      </c>
      <c r="I305">
        <v>50</v>
      </c>
      <c r="K305" t="s">
        <v>4958</v>
      </c>
      <c r="L305">
        <v>46301</v>
      </c>
      <c r="P305">
        <v>50</v>
      </c>
    </row>
    <row r="306" spans="1:16" x14ac:dyDescent="0.4">
      <c r="A306">
        <v>2014</v>
      </c>
      <c r="B306" t="s">
        <v>4576</v>
      </c>
      <c r="D306" t="s">
        <v>4901</v>
      </c>
      <c r="E306" t="s">
        <v>5149</v>
      </c>
      <c r="F306" t="s">
        <v>5147</v>
      </c>
      <c r="G306" t="s">
        <v>1324</v>
      </c>
      <c r="H306" t="s">
        <v>1323</v>
      </c>
      <c r="I306">
        <v>50</v>
      </c>
      <c r="K306" t="s">
        <v>4999</v>
      </c>
      <c r="L306">
        <v>46296</v>
      </c>
      <c r="P306">
        <v>50</v>
      </c>
    </row>
    <row r="307" spans="1:16" x14ac:dyDescent="0.4">
      <c r="A307">
        <v>2049</v>
      </c>
      <c r="B307" t="s">
        <v>4576</v>
      </c>
      <c r="D307" t="s">
        <v>4901</v>
      </c>
      <c r="E307" t="s">
        <v>5146</v>
      </c>
      <c r="F307" t="s">
        <v>5147</v>
      </c>
      <c r="G307" t="s">
        <v>5117</v>
      </c>
      <c r="H307" t="s">
        <v>2659</v>
      </c>
      <c r="I307">
        <v>50</v>
      </c>
      <c r="K307" t="s">
        <v>5101</v>
      </c>
      <c r="L307">
        <v>46296</v>
      </c>
      <c r="P307">
        <v>50</v>
      </c>
    </row>
    <row r="308" spans="1:16" x14ac:dyDescent="0.4">
      <c r="A308">
        <v>2322</v>
      </c>
      <c r="B308" t="s">
        <v>4576</v>
      </c>
      <c r="G308" t="s">
        <v>1052</v>
      </c>
      <c r="H308" t="s">
        <v>1051</v>
      </c>
      <c r="I308">
        <v>50</v>
      </c>
      <c r="K308" t="s">
        <v>4943</v>
      </c>
      <c r="L308">
        <v>46302</v>
      </c>
      <c r="P308">
        <v>50</v>
      </c>
    </row>
    <row r="309" spans="1:16" x14ac:dyDescent="0.4">
      <c r="A309">
        <v>2323</v>
      </c>
      <c r="B309" t="s">
        <v>4576</v>
      </c>
      <c r="G309" t="s">
        <v>1050</v>
      </c>
      <c r="H309" t="s">
        <v>1049</v>
      </c>
      <c r="I309">
        <v>50</v>
      </c>
      <c r="K309" t="s">
        <v>4943</v>
      </c>
      <c r="L309">
        <v>46302</v>
      </c>
      <c r="P309">
        <v>50</v>
      </c>
    </row>
    <row r="310" spans="1:16" x14ac:dyDescent="0.4">
      <c r="A310">
        <v>2342</v>
      </c>
      <c r="B310" t="s">
        <v>4576</v>
      </c>
      <c r="D310" t="s">
        <v>4901</v>
      </c>
      <c r="E310" t="s">
        <v>4938</v>
      </c>
      <c r="F310" t="s">
        <v>4939</v>
      </c>
      <c r="G310" t="s">
        <v>3929</v>
      </c>
      <c r="H310" t="s">
        <v>3928</v>
      </c>
      <c r="I310">
        <v>50</v>
      </c>
      <c r="K310" t="s">
        <v>3930</v>
      </c>
      <c r="L310">
        <v>46293</v>
      </c>
      <c r="P310">
        <v>50</v>
      </c>
    </row>
    <row r="311" spans="1:16" x14ac:dyDescent="0.4">
      <c r="A311">
        <v>2405</v>
      </c>
      <c r="B311" t="s">
        <v>4576</v>
      </c>
      <c r="G311" t="s">
        <v>1887</v>
      </c>
      <c r="H311" t="s">
        <v>1886</v>
      </c>
      <c r="I311">
        <v>50</v>
      </c>
      <c r="K311" t="s">
        <v>5104</v>
      </c>
      <c r="L311">
        <v>46301</v>
      </c>
      <c r="P311">
        <v>50</v>
      </c>
    </row>
    <row r="312" spans="1:16" x14ac:dyDescent="0.4">
      <c r="A312">
        <v>955</v>
      </c>
      <c r="B312" t="s">
        <v>4576</v>
      </c>
      <c r="D312" t="s">
        <v>4916</v>
      </c>
      <c r="G312" t="s">
        <v>1037</v>
      </c>
      <c r="H312" t="s">
        <v>1036</v>
      </c>
      <c r="I312">
        <v>51</v>
      </c>
      <c r="K312" t="s">
        <v>252</v>
      </c>
      <c r="L312">
        <v>46276</v>
      </c>
      <c r="P312">
        <v>51</v>
      </c>
    </row>
    <row r="313" spans="1:16" x14ac:dyDescent="0.4">
      <c r="A313">
        <v>956</v>
      </c>
      <c r="B313" t="s">
        <v>4576</v>
      </c>
      <c r="D313" t="s">
        <v>4916</v>
      </c>
      <c r="G313" t="s">
        <v>1946</v>
      </c>
      <c r="H313" t="s">
        <v>1945</v>
      </c>
      <c r="I313">
        <v>51</v>
      </c>
      <c r="K313" t="s">
        <v>252</v>
      </c>
      <c r="L313">
        <v>46276</v>
      </c>
      <c r="P313">
        <v>51</v>
      </c>
    </row>
    <row r="314" spans="1:16" x14ac:dyDescent="0.4">
      <c r="A314">
        <v>957</v>
      </c>
      <c r="B314" t="s">
        <v>4576</v>
      </c>
      <c r="D314" t="s">
        <v>4916</v>
      </c>
      <c r="G314" t="s">
        <v>2603</v>
      </c>
      <c r="H314" t="s">
        <v>2602</v>
      </c>
      <c r="I314">
        <v>51</v>
      </c>
      <c r="K314" t="s">
        <v>252</v>
      </c>
      <c r="L314">
        <v>46276</v>
      </c>
      <c r="P314">
        <v>51</v>
      </c>
    </row>
    <row r="315" spans="1:16" x14ac:dyDescent="0.4">
      <c r="A315">
        <v>959</v>
      </c>
      <c r="B315" t="s">
        <v>4576</v>
      </c>
      <c r="D315" t="s">
        <v>4916</v>
      </c>
      <c r="G315" t="s">
        <v>1578</v>
      </c>
      <c r="H315" t="s">
        <v>1577</v>
      </c>
      <c r="I315">
        <v>52</v>
      </c>
      <c r="K315" t="s">
        <v>252</v>
      </c>
      <c r="L315">
        <v>46276</v>
      </c>
      <c r="P315">
        <v>52</v>
      </c>
    </row>
    <row r="316" spans="1:16" x14ac:dyDescent="0.4">
      <c r="A316">
        <v>960</v>
      </c>
      <c r="B316" t="s">
        <v>4576</v>
      </c>
      <c r="D316" t="s">
        <v>4916</v>
      </c>
      <c r="G316" t="s">
        <v>742</v>
      </c>
      <c r="H316" t="s">
        <v>741</v>
      </c>
      <c r="I316">
        <v>53</v>
      </c>
      <c r="K316" t="s">
        <v>252</v>
      </c>
      <c r="L316">
        <v>46276</v>
      </c>
      <c r="P316">
        <v>53</v>
      </c>
    </row>
    <row r="317" spans="1:16" x14ac:dyDescent="0.4">
      <c r="A317">
        <v>961</v>
      </c>
      <c r="B317" t="s">
        <v>4576</v>
      </c>
      <c r="D317" t="s">
        <v>4916</v>
      </c>
      <c r="G317" t="s">
        <v>935</v>
      </c>
      <c r="H317" t="s">
        <v>934</v>
      </c>
      <c r="I317">
        <v>54</v>
      </c>
      <c r="K317" t="s">
        <v>5064</v>
      </c>
      <c r="L317">
        <v>46276</v>
      </c>
      <c r="P317">
        <v>54</v>
      </c>
    </row>
    <row r="318" spans="1:16" x14ac:dyDescent="0.4">
      <c r="A318">
        <v>962</v>
      </c>
      <c r="B318" t="s">
        <v>4576</v>
      </c>
      <c r="D318" t="s">
        <v>4916</v>
      </c>
      <c r="G318" t="s">
        <v>1029</v>
      </c>
      <c r="H318" t="s">
        <v>1028</v>
      </c>
      <c r="I318">
        <v>54</v>
      </c>
      <c r="K318" t="s">
        <v>252</v>
      </c>
      <c r="L318">
        <v>46276</v>
      </c>
      <c r="P318">
        <v>54</v>
      </c>
    </row>
    <row r="319" spans="1:16" x14ac:dyDescent="0.4">
      <c r="A319">
        <v>1907</v>
      </c>
      <c r="B319" t="s">
        <v>4576</v>
      </c>
      <c r="G319" t="s">
        <v>1324</v>
      </c>
      <c r="H319" t="s">
        <v>1323</v>
      </c>
      <c r="I319">
        <v>54</v>
      </c>
      <c r="K319" t="s">
        <v>4999</v>
      </c>
      <c r="L319">
        <v>46295</v>
      </c>
      <c r="P319">
        <v>54</v>
      </c>
    </row>
    <row r="320" spans="1:16" x14ac:dyDescent="0.4">
      <c r="A320">
        <v>2328</v>
      </c>
      <c r="B320" t="s">
        <v>4576</v>
      </c>
      <c r="G320" t="s">
        <v>2762</v>
      </c>
      <c r="H320" t="s">
        <v>2761</v>
      </c>
      <c r="I320">
        <v>55</v>
      </c>
      <c r="K320" t="s">
        <v>4945</v>
      </c>
      <c r="L320">
        <v>46302</v>
      </c>
      <c r="P320">
        <v>55</v>
      </c>
    </row>
    <row r="321" spans="1:16" x14ac:dyDescent="0.4">
      <c r="A321">
        <v>963</v>
      </c>
      <c r="B321" t="s">
        <v>4576</v>
      </c>
      <c r="D321" t="s">
        <v>4916</v>
      </c>
      <c r="G321" t="s">
        <v>1948</v>
      </c>
      <c r="H321" t="s">
        <v>1947</v>
      </c>
      <c r="I321">
        <v>56</v>
      </c>
      <c r="K321" t="s">
        <v>252</v>
      </c>
      <c r="L321">
        <v>46276</v>
      </c>
      <c r="P321">
        <v>56</v>
      </c>
    </row>
    <row r="322" spans="1:16" x14ac:dyDescent="0.4">
      <c r="A322">
        <v>2341</v>
      </c>
      <c r="B322" t="s">
        <v>4576</v>
      </c>
      <c r="G322" t="s">
        <v>1328</v>
      </c>
      <c r="H322" t="s">
        <v>4941</v>
      </c>
      <c r="I322">
        <v>56</v>
      </c>
      <c r="K322" t="s">
        <v>4942</v>
      </c>
      <c r="L322">
        <v>46302</v>
      </c>
      <c r="P322">
        <v>56</v>
      </c>
    </row>
    <row r="323" spans="1:16" x14ac:dyDescent="0.4">
      <c r="A323">
        <v>2525</v>
      </c>
      <c r="B323" t="s">
        <v>4576</v>
      </c>
      <c r="G323" t="s">
        <v>842</v>
      </c>
      <c r="H323" t="s">
        <v>841</v>
      </c>
      <c r="I323">
        <v>56</v>
      </c>
      <c r="K323" t="s">
        <v>4998</v>
      </c>
      <c r="L323">
        <v>46308</v>
      </c>
      <c r="P323">
        <v>56</v>
      </c>
    </row>
    <row r="324" spans="1:16" x14ac:dyDescent="0.4">
      <c r="A324">
        <v>1839</v>
      </c>
      <c r="B324" t="s">
        <v>4576</v>
      </c>
      <c r="G324" t="s">
        <v>1580</v>
      </c>
      <c r="H324" t="s">
        <v>1579</v>
      </c>
      <c r="I324">
        <v>58</v>
      </c>
      <c r="K324" t="s">
        <v>5041</v>
      </c>
      <c r="L324">
        <v>46295</v>
      </c>
      <c r="P324">
        <v>58</v>
      </c>
    </row>
    <row r="325" spans="1:16" x14ac:dyDescent="0.4">
      <c r="A325">
        <v>965</v>
      </c>
      <c r="B325" t="s">
        <v>4576</v>
      </c>
      <c r="D325" t="s">
        <v>4916</v>
      </c>
      <c r="G325" t="s">
        <v>485</v>
      </c>
      <c r="H325" t="s">
        <v>484</v>
      </c>
      <c r="I325">
        <v>59</v>
      </c>
      <c r="K325" t="s">
        <v>252</v>
      </c>
      <c r="L325">
        <v>46276</v>
      </c>
      <c r="P325">
        <v>59</v>
      </c>
    </row>
    <row r="326" spans="1:16" x14ac:dyDescent="0.4">
      <c r="A326">
        <v>966</v>
      </c>
      <c r="B326" t="s">
        <v>4576</v>
      </c>
      <c r="D326" t="s">
        <v>4916</v>
      </c>
      <c r="G326" t="s">
        <v>5077</v>
      </c>
      <c r="H326">
        <v>0</v>
      </c>
      <c r="I326">
        <v>60</v>
      </c>
      <c r="K326" t="s">
        <v>5067</v>
      </c>
      <c r="L326">
        <v>46276</v>
      </c>
      <c r="P326">
        <v>60</v>
      </c>
    </row>
    <row r="327" spans="1:16" x14ac:dyDescent="0.4">
      <c r="A327">
        <v>967</v>
      </c>
      <c r="B327" t="s">
        <v>4576</v>
      </c>
      <c r="D327" t="s">
        <v>4916</v>
      </c>
      <c r="G327" t="s">
        <v>2733</v>
      </c>
      <c r="H327" t="s">
        <v>2732</v>
      </c>
      <c r="I327">
        <v>60</v>
      </c>
      <c r="K327" t="s">
        <v>5078</v>
      </c>
      <c r="L327">
        <v>46276</v>
      </c>
      <c r="P327">
        <v>60</v>
      </c>
    </row>
    <row r="328" spans="1:16" x14ac:dyDescent="0.4">
      <c r="A328">
        <v>1977</v>
      </c>
      <c r="B328" t="s">
        <v>4576</v>
      </c>
      <c r="D328" t="s">
        <v>4901</v>
      </c>
      <c r="E328" t="s">
        <v>4936</v>
      </c>
      <c r="F328" t="s">
        <v>4939</v>
      </c>
      <c r="G328" t="s">
        <v>1426</v>
      </c>
      <c r="H328" t="s">
        <v>1425</v>
      </c>
      <c r="I328">
        <v>60</v>
      </c>
      <c r="K328" t="s">
        <v>5073</v>
      </c>
      <c r="L328">
        <v>46301</v>
      </c>
      <c r="P328">
        <v>60</v>
      </c>
    </row>
    <row r="329" spans="1:16" x14ac:dyDescent="0.4">
      <c r="A329">
        <v>2278</v>
      </c>
      <c r="B329" t="s">
        <v>4576</v>
      </c>
      <c r="G329" t="s">
        <v>2462</v>
      </c>
      <c r="H329" t="s">
        <v>5029</v>
      </c>
      <c r="I329">
        <v>60</v>
      </c>
      <c r="K329" t="s">
        <v>5030</v>
      </c>
      <c r="L329">
        <v>46303</v>
      </c>
      <c r="P329">
        <v>60</v>
      </c>
    </row>
    <row r="330" spans="1:16" x14ac:dyDescent="0.4">
      <c r="A330">
        <v>2345</v>
      </c>
      <c r="B330" t="s">
        <v>4576</v>
      </c>
      <c r="D330" t="s">
        <v>4901</v>
      </c>
      <c r="E330" t="s">
        <v>4938</v>
      </c>
      <c r="F330" t="s">
        <v>4939</v>
      </c>
      <c r="G330" t="s">
        <v>3927</v>
      </c>
      <c r="H330" t="s">
        <v>3926</v>
      </c>
      <c r="I330">
        <v>60</v>
      </c>
      <c r="K330" t="s">
        <v>3864</v>
      </c>
      <c r="L330">
        <v>46293</v>
      </c>
      <c r="P330">
        <v>60</v>
      </c>
    </row>
    <row r="331" spans="1:16" x14ac:dyDescent="0.4">
      <c r="A331">
        <v>968</v>
      </c>
      <c r="B331" t="s">
        <v>4576</v>
      </c>
      <c r="D331" t="s">
        <v>4916</v>
      </c>
      <c r="G331" t="s">
        <v>738</v>
      </c>
      <c r="H331" t="s">
        <v>737</v>
      </c>
      <c r="I331">
        <v>61</v>
      </c>
      <c r="K331" t="s">
        <v>252</v>
      </c>
      <c r="L331">
        <v>46276</v>
      </c>
      <c r="P331">
        <v>61</v>
      </c>
    </row>
    <row r="332" spans="1:16" x14ac:dyDescent="0.4">
      <c r="A332">
        <v>969</v>
      </c>
      <c r="B332" t="s">
        <v>4576</v>
      </c>
      <c r="D332" t="s">
        <v>4916</v>
      </c>
      <c r="G332" t="s">
        <v>1574</v>
      </c>
      <c r="H332" t="s">
        <v>1573</v>
      </c>
      <c r="I332">
        <v>61</v>
      </c>
      <c r="K332" t="s">
        <v>252</v>
      </c>
      <c r="L332">
        <v>46276</v>
      </c>
      <c r="P332">
        <v>61</v>
      </c>
    </row>
    <row r="333" spans="1:16" x14ac:dyDescent="0.4">
      <c r="A333">
        <v>2527</v>
      </c>
      <c r="B333" t="s">
        <v>4576</v>
      </c>
      <c r="G333" t="s">
        <v>880</v>
      </c>
      <c r="H333" t="s">
        <v>879</v>
      </c>
      <c r="I333">
        <v>61</v>
      </c>
      <c r="K333" t="s">
        <v>4988</v>
      </c>
      <c r="L333">
        <v>46308</v>
      </c>
      <c r="P333">
        <v>61</v>
      </c>
    </row>
    <row r="334" spans="1:16" x14ac:dyDescent="0.4">
      <c r="A334">
        <v>439</v>
      </c>
      <c r="B334" t="s">
        <v>4576</v>
      </c>
      <c r="G334" t="s">
        <v>3831</v>
      </c>
      <c r="H334" t="s">
        <v>3830</v>
      </c>
      <c r="I334">
        <v>62</v>
      </c>
      <c r="K334" t="s">
        <v>3823</v>
      </c>
      <c r="L334">
        <v>46259</v>
      </c>
      <c r="P334">
        <v>62</v>
      </c>
    </row>
    <row r="335" spans="1:16" x14ac:dyDescent="0.4">
      <c r="A335">
        <v>971</v>
      </c>
      <c r="B335" t="s">
        <v>4576</v>
      </c>
      <c r="D335" t="s">
        <v>4916</v>
      </c>
      <c r="G335" t="s">
        <v>1210</v>
      </c>
      <c r="H335" t="s">
        <v>1209</v>
      </c>
      <c r="I335">
        <v>62</v>
      </c>
      <c r="K335" t="s">
        <v>5079</v>
      </c>
      <c r="L335">
        <v>46276</v>
      </c>
      <c r="P335">
        <v>62</v>
      </c>
    </row>
    <row r="336" spans="1:16" x14ac:dyDescent="0.4">
      <c r="A336">
        <v>1695</v>
      </c>
      <c r="B336" t="s">
        <v>4576</v>
      </c>
      <c r="G336" t="s">
        <v>1203</v>
      </c>
      <c r="H336" t="s">
        <v>1202</v>
      </c>
      <c r="I336">
        <v>62</v>
      </c>
      <c r="K336" t="s">
        <v>5033</v>
      </c>
      <c r="L336">
        <v>46279</v>
      </c>
      <c r="P336">
        <v>62</v>
      </c>
    </row>
    <row r="337" spans="1:16" x14ac:dyDescent="0.4">
      <c r="A337">
        <v>972</v>
      </c>
      <c r="B337" t="s">
        <v>4576</v>
      </c>
      <c r="D337" t="s">
        <v>4916</v>
      </c>
      <c r="G337" t="s">
        <v>2731</v>
      </c>
      <c r="H337" t="s">
        <v>2730</v>
      </c>
      <c r="I337">
        <v>63</v>
      </c>
      <c r="K337" t="s">
        <v>5078</v>
      </c>
      <c r="L337">
        <v>46276</v>
      </c>
      <c r="P337">
        <v>63</v>
      </c>
    </row>
    <row r="338" spans="1:16" x14ac:dyDescent="0.4">
      <c r="A338">
        <v>2330</v>
      </c>
      <c r="B338" t="s">
        <v>4576</v>
      </c>
      <c r="G338" t="s">
        <v>2879</v>
      </c>
      <c r="H338" t="s">
        <v>2878</v>
      </c>
      <c r="I338">
        <v>64</v>
      </c>
      <c r="K338" t="s">
        <v>4946</v>
      </c>
      <c r="L338">
        <v>46302</v>
      </c>
      <c r="P338">
        <v>64</v>
      </c>
    </row>
    <row r="339" spans="1:16" x14ac:dyDescent="0.4">
      <c r="A339">
        <v>1321</v>
      </c>
      <c r="B339" t="s">
        <v>4576</v>
      </c>
      <c r="G339" t="s">
        <v>4045</v>
      </c>
      <c r="H339" t="s">
        <v>4044</v>
      </c>
      <c r="I339">
        <v>65</v>
      </c>
      <c r="K339" t="s">
        <v>4046</v>
      </c>
      <c r="L339">
        <v>46287</v>
      </c>
      <c r="P339">
        <v>65</v>
      </c>
    </row>
    <row r="340" spans="1:16" x14ac:dyDescent="0.4">
      <c r="A340">
        <v>297</v>
      </c>
      <c r="B340" t="s">
        <v>4576</v>
      </c>
      <c r="G340" t="s">
        <v>2159</v>
      </c>
      <c r="H340" t="s">
        <v>2158</v>
      </c>
      <c r="I340">
        <v>66</v>
      </c>
      <c r="K340" t="s">
        <v>4863</v>
      </c>
      <c r="L340">
        <v>46232</v>
      </c>
      <c r="P340">
        <v>66</v>
      </c>
    </row>
    <row r="341" spans="1:16" x14ac:dyDescent="0.4">
      <c r="A341">
        <v>973</v>
      </c>
      <c r="B341" t="s">
        <v>4576</v>
      </c>
      <c r="D341" t="s">
        <v>4916</v>
      </c>
      <c r="G341" t="s">
        <v>1025</v>
      </c>
      <c r="H341" t="s">
        <v>1024</v>
      </c>
      <c r="I341">
        <v>66</v>
      </c>
      <c r="K341" t="s">
        <v>252</v>
      </c>
      <c r="L341">
        <v>46276</v>
      </c>
      <c r="P341">
        <v>66</v>
      </c>
    </row>
    <row r="342" spans="1:16" x14ac:dyDescent="0.4">
      <c r="A342">
        <v>1309</v>
      </c>
      <c r="B342" t="s">
        <v>4576</v>
      </c>
      <c r="G342" t="s">
        <v>4056</v>
      </c>
      <c r="H342" t="s">
        <v>4055</v>
      </c>
      <c r="I342">
        <v>66</v>
      </c>
      <c r="K342" t="s">
        <v>4015</v>
      </c>
      <c r="L342">
        <v>46287</v>
      </c>
      <c r="P342">
        <v>66</v>
      </c>
    </row>
    <row r="343" spans="1:16" x14ac:dyDescent="0.4">
      <c r="A343">
        <v>2407</v>
      </c>
      <c r="B343" t="s">
        <v>4576</v>
      </c>
      <c r="G343" t="s">
        <v>1973</v>
      </c>
      <c r="H343" t="s">
        <v>1972</v>
      </c>
      <c r="I343">
        <v>66</v>
      </c>
      <c r="K343" t="s">
        <v>5141</v>
      </c>
      <c r="L343">
        <v>46301</v>
      </c>
      <c r="P343">
        <v>66</v>
      </c>
    </row>
    <row r="344" spans="1:16" x14ac:dyDescent="0.4">
      <c r="A344">
        <v>2519</v>
      </c>
      <c r="B344" t="s">
        <v>4576</v>
      </c>
      <c r="G344" t="s">
        <v>4282</v>
      </c>
      <c r="H344" t="s">
        <v>4281</v>
      </c>
      <c r="I344">
        <v>66</v>
      </c>
      <c r="K344" t="s">
        <v>2992</v>
      </c>
      <c r="L344">
        <v>46301</v>
      </c>
      <c r="P344">
        <v>66</v>
      </c>
    </row>
    <row r="345" spans="1:16" x14ac:dyDescent="0.4">
      <c r="A345">
        <v>1951</v>
      </c>
      <c r="B345" t="s">
        <v>4576</v>
      </c>
      <c r="D345" t="s">
        <v>4901</v>
      </c>
      <c r="E345" t="s">
        <v>4936</v>
      </c>
      <c r="F345" t="s">
        <v>4939</v>
      </c>
      <c r="G345" t="s">
        <v>4063</v>
      </c>
      <c r="H345" t="s">
        <v>4062</v>
      </c>
      <c r="I345">
        <v>67</v>
      </c>
      <c r="K345" t="s">
        <v>4922</v>
      </c>
      <c r="L345">
        <v>46296</v>
      </c>
      <c r="P345">
        <v>67</v>
      </c>
    </row>
    <row r="346" spans="1:16" x14ac:dyDescent="0.4">
      <c r="A346">
        <v>2093</v>
      </c>
      <c r="B346" t="s">
        <v>4576</v>
      </c>
      <c r="G346" t="s">
        <v>1405</v>
      </c>
      <c r="H346" t="s">
        <v>1404</v>
      </c>
      <c r="I346">
        <v>67</v>
      </c>
      <c r="K346" t="s">
        <v>5064</v>
      </c>
      <c r="L346">
        <v>46283</v>
      </c>
      <c r="P346">
        <v>67</v>
      </c>
    </row>
    <row r="347" spans="1:16" x14ac:dyDescent="0.4">
      <c r="A347">
        <v>974</v>
      </c>
      <c r="B347" t="s">
        <v>4576</v>
      </c>
      <c r="D347" t="s">
        <v>4916</v>
      </c>
      <c r="G347" t="s">
        <v>686</v>
      </c>
      <c r="H347" t="s">
        <v>685</v>
      </c>
      <c r="I347">
        <v>68</v>
      </c>
      <c r="K347" t="s">
        <v>5066</v>
      </c>
      <c r="L347">
        <v>46276</v>
      </c>
      <c r="P347">
        <v>68</v>
      </c>
    </row>
    <row r="348" spans="1:16" x14ac:dyDescent="0.4">
      <c r="A348">
        <v>975</v>
      </c>
      <c r="B348" t="s">
        <v>4576</v>
      </c>
      <c r="D348" t="s">
        <v>4916</v>
      </c>
      <c r="G348" t="s">
        <v>731</v>
      </c>
      <c r="H348" t="s">
        <v>730</v>
      </c>
      <c r="I348">
        <v>68</v>
      </c>
      <c r="K348" t="s">
        <v>4985</v>
      </c>
      <c r="L348">
        <v>46276</v>
      </c>
      <c r="P348">
        <v>68</v>
      </c>
    </row>
    <row r="349" spans="1:16" x14ac:dyDescent="0.4">
      <c r="A349">
        <v>976</v>
      </c>
      <c r="B349" t="s">
        <v>4576</v>
      </c>
      <c r="D349" t="s">
        <v>4916</v>
      </c>
      <c r="G349" t="s">
        <v>814</v>
      </c>
      <c r="H349" t="s">
        <v>813</v>
      </c>
      <c r="I349">
        <v>68</v>
      </c>
      <c r="K349" t="s">
        <v>5059</v>
      </c>
      <c r="L349">
        <v>46276</v>
      </c>
      <c r="P349">
        <v>68</v>
      </c>
    </row>
    <row r="350" spans="1:16" x14ac:dyDescent="0.4">
      <c r="A350">
        <v>978</v>
      </c>
      <c r="B350" t="s">
        <v>4576</v>
      </c>
      <c r="D350" t="s">
        <v>4916</v>
      </c>
      <c r="G350" t="s">
        <v>1777</v>
      </c>
      <c r="H350" t="s">
        <v>1776</v>
      </c>
      <c r="I350">
        <v>68</v>
      </c>
      <c r="K350" t="s">
        <v>5080</v>
      </c>
      <c r="L350">
        <v>46276</v>
      </c>
      <c r="P350">
        <v>68</v>
      </c>
    </row>
    <row r="351" spans="1:16" x14ac:dyDescent="0.4">
      <c r="A351">
        <v>1690</v>
      </c>
      <c r="B351" t="s">
        <v>4576</v>
      </c>
      <c r="G351" t="s">
        <v>365</v>
      </c>
      <c r="H351" t="s">
        <v>364</v>
      </c>
      <c r="I351">
        <v>68</v>
      </c>
      <c r="K351" t="s">
        <v>4958</v>
      </c>
      <c r="L351">
        <v>46279</v>
      </c>
      <c r="P351">
        <v>68</v>
      </c>
    </row>
    <row r="352" spans="1:16" x14ac:dyDescent="0.4">
      <c r="A352">
        <v>1632</v>
      </c>
      <c r="B352" t="s">
        <v>4576</v>
      </c>
      <c r="G352" t="s">
        <v>1605</v>
      </c>
      <c r="H352" t="s">
        <v>1604</v>
      </c>
      <c r="I352">
        <v>70</v>
      </c>
      <c r="K352" t="s">
        <v>5027</v>
      </c>
      <c r="L352">
        <v>46280</v>
      </c>
      <c r="P352">
        <v>70</v>
      </c>
    </row>
    <row r="353" spans="1:16" x14ac:dyDescent="0.4">
      <c r="A353">
        <v>1224</v>
      </c>
      <c r="B353" t="s">
        <v>4576</v>
      </c>
      <c r="D353" t="s">
        <v>5152</v>
      </c>
      <c r="G353" t="s">
        <v>3831</v>
      </c>
      <c r="H353" t="s">
        <v>3830</v>
      </c>
      <c r="I353">
        <v>71</v>
      </c>
      <c r="K353" t="s">
        <v>3823</v>
      </c>
      <c r="L353">
        <v>46287</v>
      </c>
      <c r="P353">
        <v>71</v>
      </c>
    </row>
    <row r="354" spans="1:16" x14ac:dyDescent="0.4">
      <c r="A354">
        <v>979</v>
      </c>
      <c r="B354" t="s">
        <v>4576</v>
      </c>
      <c r="D354" t="s">
        <v>4916</v>
      </c>
      <c r="G354" t="s">
        <v>2708</v>
      </c>
      <c r="H354" t="s">
        <v>2707</v>
      </c>
      <c r="I354">
        <v>72</v>
      </c>
      <c r="K354" t="s">
        <v>5078</v>
      </c>
      <c r="L354">
        <v>46276</v>
      </c>
      <c r="P354">
        <v>72</v>
      </c>
    </row>
    <row r="355" spans="1:16" x14ac:dyDescent="0.4">
      <c r="A355">
        <v>1206</v>
      </c>
      <c r="B355" t="s">
        <v>4576</v>
      </c>
      <c r="D355" t="s">
        <v>5152</v>
      </c>
      <c r="G355" t="s">
        <v>3843</v>
      </c>
      <c r="H355" t="s">
        <v>3842</v>
      </c>
      <c r="I355">
        <v>72</v>
      </c>
      <c r="K355" t="s">
        <v>3839</v>
      </c>
      <c r="L355">
        <v>46287</v>
      </c>
      <c r="P355">
        <v>72</v>
      </c>
    </row>
    <row r="356" spans="1:16" x14ac:dyDescent="0.4">
      <c r="A356">
        <v>980</v>
      </c>
      <c r="B356" t="s">
        <v>4576</v>
      </c>
      <c r="D356" t="s">
        <v>4916</v>
      </c>
      <c r="G356" t="s">
        <v>1224</v>
      </c>
      <c r="H356" t="s">
        <v>1223</v>
      </c>
      <c r="I356">
        <v>73</v>
      </c>
      <c r="K356" t="s">
        <v>5063</v>
      </c>
      <c r="L356">
        <v>46276</v>
      </c>
      <c r="P356">
        <v>73</v>
      </c>
    </row>
    <row r="357" spans="1:16" x14ac:dyDescent="0.4">
      <c r="A357">
        <v>1254</v>
      </c>
      <c r="B357" t="s">
        <v>4576</v>
      </c>
      <c r="D357" t="s">
        <v>5152</v>
      </c>
      <c r="G357" t="s">
        <v>3798</v>
      </c>
      <c r="H357" t="s">
        <v>4927</v>
      </c>
      <c r="I357">
        <v>73</v>
      </c>
      <c r="K357" t="s">
        <v>4724</v>
      </c>
      <c r="L357">
        <v>46287</v>
      </c>
      <c r="P357">
        <v>73</v>
      </c>
    </row>
    <row r="358" spans="1:16" x14ac:dyDescent="0.4">
      <c r="A358">
        <v>2360</v>
      </c>
      <c r="B358" t="s">
        <v>4576</v>
      </c>
      <c r="G358" t="s">
        <v>1854</v>
      </c>
      <c r="H358" t="s">
        <v>1853</v>
      </c>
      <c r="I358">
        <v>74</v>
      </c>
      <c r="K358" t="s">
        <v>4866</v>
      </c>
      <c r="L358">
        <v>46302</v>
      </c>
      <c r="P358">
        <v>74</v>
      </c>
    </row>
    <row r="359" spans="1:16" x14ac:dyDescent="0.4">
      <c r="A359">
        <v>2528</v>
      </c>
      <c r="B359" t="s">
        <v>4576</v>
      </c>
      <c r="G359" t="s">
        <v>5156</v>
      </c>
      <c r="H359" t="s">
        <v>701</v>
      </c>
      <c r="I359">
        <v>76</v>
      </c>
      <c r="K359" t="s">
        <v>4985</v>
      </c>
      <c r="L359">
        <v>46308</v>
      </c>
      <c r="P359">
        <v>76</v>
      </c>
    </row>
    <row r="360" spans="1:16" x14ac:dyDescent="0.4">
      <c r="A360">
        <v>2529</v>
      </c>
      <c r="B360" t="s">
        <v>4576</v>
      </c>
      <c r="G360" t="s">
        <v>709</v>
      </c>
      <c r="H360" t="s">
        <v>708</v>
      </c>
      <c r="I360">
        <v>76</v>
      </c>
      <c r="K360" t="s">
        <v>4985</v>
      </c>
      <c r="L360">
        <v>46308</v>
      </c>
      <c r="P360">
        <v>76</v>
      </c>
    </row>
    <row r="361" spans="1:16" x14ac:dyDescent="0.4">
      <c r="A361">
        <v>1954</v>
      </c>
      <c r="B361" t="s">
        <v>4576</v>
      </c>
      <c r="D361" t="s">
        <v>4901</v>
      </c>
      <c r="E361" t="s">
        <v>4936</v>
      </c>
      <c r="F361" t="s">
        <v>4939</v>
      </c>
      <c r="G361" t="s">
        <v>4060</v>
      </c>
      <c r="H361" t="s">
        <v>4059</v>
      </c>
      <c r="I361">
        <v>80</v>
      </c>
      <c r="K361" t="s">
        <v>4061</v>
      </c>
      <c r="L361">
        <v>46296</v>
      </c>
      <c r="P361">
        <v>80</v>
      </c>
    </row>
    <row r="362" spans="1:16" x14ac:dyDescent="0.4">
      <c r="A362">
        <v>2319</v>
      </c>
      <c r="B362" t="s">
        <v>4576</v>
      </c>
      <c r="G362" t="s">
        <v>477</v>
      </c>
      <c r="H362" t="s">
        <v>476</v>
      </c>
      <c r="I362">
        <v>80</v>
      </c>
      <c r="K362" t="s">
        <v>4851</v>
      </c>
      <c r="L362">
        <v>46302</v>
      </c>
      <c r="P362">
        <v>80</v>
      </c>
    </row>
    <row r="363" spans="1:16" x14ac:dyDescent="0.4">
      <c r="A363">
        <v>983</v>
      </c>
      <c r="B363" t="s">
        <v>4576</v>
      </c>
      <c r="D363" t="s">
        <v>4916</v>
      </c>
      <c r="G363" t="s">
        <v>1033</v>
      </c>
      <c r="H363" t="s">
        <v>1032</v>
      </c>
      <c r="I363">
        <v>81</v>
      </c>
      <c r="K363" t="s">
        <v>252</v>
      </c>
      <c r="L363">
        <v>46276</v>
      </c>
      <c r="P363">
        <v>81</v>
      </c>
    </row>
    <row r="364" spans="1:16" x14ac:dyDescent="0.4">
      <c r="A364">
        <v>984</v>
      </c>
      <c r="B364" t="s">
        <v>4576</v>
      </c>
      <c r="D364" t="s">
        <v>4916</v>
      </c>
      <c r="G364" t="s">
        <v>1486</v>
      </c>
      <c r="H364" t="s">
        <v>1485</v>
      </c>
      <c r="I364">
        <v>81</v>
      </c>
      <c r="K364" t="s">
        <v>5082</v>
      </c>
      <c r="L364">
        <v>46276</v>
      </c>
      <c r="P364">
        <v>81</v>
      </c>
    </row>
    <row r="365" spans="1:16" x14ac:dyDescent="0.4">
      <c r="A365">
        <v>2331</v>
      </c>
      <c r="B365" t="s">
        <v>4576</v>
      </c>
      <c r="G365" t="s">
        <v>1148</v>
      </c>
      <c r="H365" t="s">
        <v>1147</v>
      </c>
      <c r="I365">
        <v>83</v>
      </c>
      <c r="K365" t="s">
        <v>4851</v>
      </c>
      <c r="L365">
        <v>46302</v>
      </c>
      <c r="P365">
        <v>83</v>
      </c>
    </row>
    <row r="366" spans="1:16" x14ac:dyDescent="0.4">
      <c r="A366">
        <v>985</v>
      </c>
      <c r="B366" t="s">
        <v>4576</v>
      </c>
      <c r="D366" t="s">
        <v>4916</v>
      </c>
      <c r="G366" t="s">
        <v>600</v>
      </c>
      <c r="H366" t="s">
        <v>599</v>
      </c>
      <c r="I366">
        <v>84</v>
      </c>
      <c r="K366" t="s">
        <v>5058</v>
      </c>
      <c r="L366">
        <v>46276</v>
      </c>
      <c r="P366">
        <v>84</v>
      </c>
    </row>
    <row r="367" spans="1:16" x14ac:dyDescent="0.4">
      <c r="A367">
        <v>987</v>
      </c>
      <c r="B367" t="s">
        <v>4576</v>
      </c>
      <c r="D367" t="s">
        <v>4916</v>
      </c>
      <c r="G367" t="s">
        <v>5083</v>
      </c>
      <c r="H367">
        <v>0</v>
      </c>
      <c r="I367">
        <v>84</v>
      </c>
      <c r="K367" t="s">
        <v>5084</v>
      </c>
      <c r="L367">
        <v>46276</v>
      </c>
      <c r="P367">
        <v>84</v>
      </c>
    </row>
    <row r="368" spans="1:16" x14ac:dyDescent="0.4">
      <c r="A368">
        <v>988</v>
      </c>
      <c r="B368" t="s">
        <v>4576</v>
      </c>
      <c r="D368" t="s">
        <v>4916</v>
      </c>
      <c r="G368" t="s">
        <v>5085</v>
      </c>
      <c r="H368">
        <v>0</v>
      </c>
      <c r="I368">
        <v>85</v>
      </c>
      <c r="K368" t="s">
        <v>5078</v>
      </c>
      <c r="L368">
        <v>46276</v>
      </c>
      <c r="P368">
        <v>85</v>
      </c>
    </row>
    <row r="369" spans="1:16" x14ac:dyDescent="0.4">
      <c r="A369">
        <v>2134</v>
      </c>
      <c r="B369" t="s">
        <v>4576</v>
      </c>
      <c r="G369" t="s">
        <v>374</v>
      </c>
      <c r="H369" t="s">
        <v>5087</v>
      </c>
      <c r="I369">
        <v>85</v>
      </c>
      <c r="K369" t="s">
        <v>5088</v>
      </c>
      <c r="L369">
        <v>46293</v>
      </c>
      <c r="P369">
        <v>85</v>
      </c>
    </row>
    <row r="370" spans="1:16" x14ac:dyDescent="0.4">
      <c r="A370">
        <v>280</v>
      </c>
      <c r="B370" t="s">
        <v>4576</v>
      </c>
      <c r="G370" t="s">
        <v>4845</v>
      </c>
      <c r="H370" t="s">
        <v>4934</v>
      </c>
      <c r="I370">
        <v>87</v>
      </c>
      <c r="K370" t="s">
        <v>4864</v>
      </c>
      <c r="L370">
        <v>46232</v>
      </c>
      <c r="P370">
        <v>87</v>
      </c>
    </row>
    <row r="371" spans="1:16" x14ac:dyDescent="0.4">
      <c r="A371">
        <v>1840</v>
      </c>
      <c r="B371" t="s">
        <v>4576</v>
      </c>
      <c r="G371" t="s">
        <v>1289</v>
      </c>
      <c r="H371" t="s">
        <v>1288</v>
      </c>
      <c r="I371">
        <v>87</v>
      </c>
      <c r="K371" t="s">
        <v>4999</v>
      </c>
      <c r="L371">
        <v>46295</v>
      </c>
      <c r="P371">
        <v>87</v>
      </c>
    </row>
    <row r="372" spans="1:16" x14ac:dyDescent="0.4">
      <c r="A372">
        <v>989</v>
      </c>
      <c r="B372" t="s">
        <v>4576</v>
      </c>
      <c r="D372" t="s">
        <v>4916</v>
      </c>
      <c r="G372" t="s">
        <v>1875</v>
      </c>
      <c r="H372" t="s">
        <v>1874</v>
      </c>
      <c r="I372">
        <v>88</v>
      </c>
      <c r="K372" t="s">
        <v>5082</v>
      </c>
      <c r="L372">
        <v>46276</v>
      </c>
      <c r="P372">
        <v>88</v>
      </c>
    </row>
    <row r="373" spans="1:16" x14ac:dyDescent="0.4">
      <c r="A373">
        <v>990</v>
      </c>
      <c r="B373" t="s">
        <v>4576</v>
      </c>
      <c r="D373" t="s">
        <v>4916</v>
      </c>
      <c r="G373" t="s">
        <v>1031</v>
      </c>
      <c r="H373" t="s">
        <v>1030</v>
      </c>
      <c r="I373">
        <v>89</v>
      </c>
      <c r="K373" t="s">
        <v>252</v>
      </c>
      <c r="L373">
        <v>46276</v>
      </c>
      <c r="P373">
        <v>89</v>
      </c>
    </row>
    <row r="374" spans="1:16" x14ac:dyDescent="0.4">
      <c r="A374">
        <v>1305</v>
      </c>
      <c r="B374" t="s">
        <v>4576</v>
      </c>
      <c r="G374" t="s">
        <v>3921</v>
      </c>
      <c r="H374" t="s">
        <v>3920</v>
      </c>
      <c r="I374">
        <v>89</v>
      </c>
      <c r="K374" t="s">
        <v>2992</v>
      </c>
      <c r="L374">
        <v>46287</v>
      </c>
      <c r="P374">
        <v>89</v>
      </c>
    </row>
    <row r="375" spans="1:16" x14ac:dyDescent="0.4">
      <c r="A375">
        <v>242</v>
      </c>
      <c r="B375" t="s">
        <v>4576</v>
      </c>
      <c r="G375" t="s">
        <v>2286</v>
      </c>
      <c r="H375" t="s">
        <v>2285</v>
      </c>
      <c r="I375">
        <v>90</v>
      </c>
      <c r="K375" t="s">
        <v>4865</v>
      </c>
      <c r="L375">
        <v>46232</v>
      </c>
      <c r="P375">
        <v>90</v>
      </c>
    </row>
    <row r="376" spans="1:16" x14ac:dyDescent="0.4">
      <c r="A376">
        <v>1680</v>
      </c>
      <c r="B376" t="s">
        <v>4576</v>
      </c>
      <c r="G376" t="s">
        <v>1982</v>
      </c>
      <c r="H376" t="s">
        <v>1981</v>
      </c>
      <c r="I376">
        <v>90</v>
      </c>
      <c r="K376" t="s">
        <v>5042</v>
      </c>
      <c r="L376">
        <v>46280</v>
      </c>
      <c r="P376">
        <v>90</v>
      </c>
    </row>
    <row r="377" spans="1:16" x14ac:dyDescent="0.4">
      <c r="A377">
        <v>1705</v>
      </c>
      <c r="B377" t="s">
        <v>4576</v>
      </c>
      <c r="G377" t="s">
        <v>2907</v>
      </c>
      <c r="H377" t="s">
        <v>2906</v>
      </c>
      <c r="I377">
        <v>90</v>
      </c>
      <c r="K377" t="s">
        <v>2992</v>
      </c>
      <c r="L377">
        <v>46287</v>
      </c>
      <c r="P377">
        <v>90</v>
      </c>
    </row>
    <row r="378" spans="1:16" x14ac:dyDescent="0.4">
      <c r="A378">
        <v>2294</v>
      </c>
      <c r="B378" t="s">
        <v>4576</v>
      </c>
      <c r="G378" t="s">
        <v>3598</v>
      </c>
      <c r="H378" t="s">
        <v>3597</v>
      </c>
      <c r="I378">
        <v>90</v>
      </c>
      <c r="K378" t="s">
        <v>5044</v>
      </c>
      <c r="L378">
        <v>46303</v>
      </c>
      <c r="P378">
        <v>90</v>
      </c>
    </row>
    <row r="379" spans="1:16" x14ac:dyDescent="0.4">
      <c r="A379">
        <v>1910</v>
      </c>
      <c r="B379" t="s">
        <v>4576</v>
      </c>
      <c r="G379" t="s">
        <v>2711</v>
      </c>
      <c r="H379" t="s">
        <v>2710</v>
      </c>
      <c r="I379">
        <v>92</v>
      </c>
      <c r="K379" t="s">
        <v>5061</v>
      </c>
      <c r="L379">
        <v>46295</v>
      </c>
      <c r="P379">
        <v>92</v>
      </c>
    </row>
    <row r="380" spans="1:16" x14ac:dyDescent="0.4">
      <c r="A380">
        <v>2432</v>
      </c>
      <c r="B380" t="s">
        <v>4576</v>
      </c>
      <c r="G380" t="s">
        <v>1308</v>
      </c>
      <c r="H380" t="s">
        <v>1307</v>
      </c>
      <c r="I380">
        <v>92</v>
      </c>
      <c r="K380" t="s">
        <v>4999</v>
      </c>
      <c r="L380">
        <v>46301</v>
      </c>
      <c r="P380">
        <v>92</v>
      </c>
    </row>
    <row r="381" spans="1:16" x14ac:dyDescent="0.4">
      <c r="A381">
        <v>991</v>
      </c>
      <c r="B381" t="s">
        <v>4576</v>
      </c>
      <c r="D381" t="s">
        <v>4916</v>
      </c>
      <c r="G381" t="s">
        <v>2650</v>
      </c>
      <c r="H381" t="s">
        <v>2649</v>
      </c>
      <c r="I381">
        <v>93</v>
      </c>
      <c r="K381" t="s">
        <v>5086</v>
      </c>
      <c r="L381">
        <v>46276</v>
      </c>
      <c r="P381">
        <v>93</v>
      </c>
    </row>
    <row r="382" spans="1:16" x14ac:dyDescent="0.4">
      <c r="A382">
        <v>2169</v>
      </c>
      <c r="B382" t="s">
        <v>4576</v>
      </c>
      <c r="G382" t="s">
        <v>2700</v>
      </c>
      <c r="H382" t="s">
        <v>2699</v>
      </c>
      <c r="I382">
        <v>93</v>
      </c>
      <c r="K382" t="s">
        <v>4869</v>
      </c>
      <c r="L382">
        <v>46293</v>
      </c>
      <c r="P382">
        <v>93</v>
      </c>
    </row>
    <row r="383" spans="1:16" x14ac:dyDescent="0.4">
      <c r="A383">
        <v>1841</v>
      </c>
      <c r="B383" t="s">
        <v>4576</v>
      </c>
      <c r="G383" t="s">
        <v>5157</v>
      </c>
      <c r="H383" t="s">
        <v>703</v>
      </c>
      <c r="I383">
        <v>94</v>
      </c>
      <c r="K383" t="s">
        <v>5036</v>
      </c>
      <c r="L383">
        <v>46295</v>
      </c>
      <c r="P383">
        <v>94</v>
      </c>
    </row>
    <row r="384" spans="1:16" x14ac:dyDescent="0.4">
      <c r="A384">
        <v>1911</v>
      </c>
      <c r="B384" t="s">
        <v>4576</v>
      </c>
      <c r="G384" t="s">
        <v>1426</v>
      </c>
      <c r="H384" t="s">
        <v>1425</v>
      </c>
      <c r="I384">
        <v>94</v>
      </c>
      <c r="K384" t="s">
        <v>5073</v>
      </c>
      <c r="L384">
        <v>46295</v>
      </c>
      <c r="P384">
        <v>94</v>
      </c>
    </row>
    <row r="385" spans="1:16" x14ac:dyDescent="0.4">
      <c r="A385">
        <v>298</v>
      </c>
      <c r="B385" t="s">
        <v>4576</v>
      </c>
      <c r="G385" t="s">
        <v>2290</v>
      </c>
      <c r="H385" t="s">
        <v>2289</v>
      </c>
      <c r="I385">
        <v>95</v>
      </c>
      <c r="K385" t="s">
        <v>4866</v>
      </c>
      <c r="L385">
        <v>46232</v>
      </c>
      <c r="P385">
        <v>95</v>
      </c>
    </row>
    <row r="386" spans="1:16" x14ac:dyDescent="0.4">
      <c r="A386">
        <v>992</v>
      </c>
      <c r="B386" t="s">
        <v>4576</v>
      </c>
      <c r="D386" t="s">
        <v>4916</v>
      </c>
      <c r="G386" t="s">
        <v>2647</v>
      </c>
      <c r="H386" t="s">
        <v>2646</v>
      </c>
      <c r="I386">
        <v>95</v>
      </c>
      <c r="K386" t="s">
        <v>5086</v>
      </c>
      <c r="L386">
        <v>46276</v>
      </c>
      <c r="P386">
        <v>95</v>
      </c>
    </row>
    <row r="387" spans="1:16" x14ac:dyDescent="0.4">
      <c r="A387">
        <v>1677</v>
      </c>
      <c r="B387" t="s">
        <v>4576</v>
      </c>
      <c r="G387" t="s">
        <v>1640</v>
      </c>
      <c r="H387" t="s">
        <v>1639</v>
      </c>
      <c r="I387">
        <v>95</v>
      </c>
      <c r="K387" t="s">
        <v>5038</v>
      </c>
      <c r="L387">
        <v>46280</v>
      </c>
      <c r="P387">
        <v>95</v>
      </c>
    </row>
    <row r="388" spans="1:16" x14ac:dyDescent="0.4">
      <c r="A388">
        <v>1894</v>
      </c>
      <c r="B388" t="s">
        <v>4576</v>
      </c>
      <c r="D388" t="s">
        <v>4901</v>
      </c>
      <c r="E388" t="s">
        <v>5158</v>
      </c>
      <c r="F388" t="s">
        <v>5147</v>
      </c>
      <c r="G388" t="s">
        <v>1138</v>
      </c>
      <c r="H388" t="s">
        <v>1137</v>
      </c>
      <c r="I388">
        <v>95</v>
      </c>
      <c r="K388" t="s">
        <v>5023</v>
      </c>
      <c r="L388">
        <v>46294</v>
      </c>
      <c r="P388">
        <v>95</v>
      </c>
    </row>
    <row r="389" spans="1:16" x14ac:dyDescent="0.4">
      <c r="A389">
        <v>2422</v>
      </c>
      <c r="B389" t="s">
        <v>4576</v>
      </c>
      <c r="G389" t="s">
        <v>2657</v>
      </c>
      <c r="H389" t="s">
        <v>2656</v>
      </c>
      <c r="I389">
        <v>95</v>
      </c>
      <c r="K389" t="s">
        <v>5101</v>
      </c>
      <c r="L389">
        <v>46301</v>
      </c>
      <c r="P389">
        <v>95</v>
      </c>
    </row>
    <row r="390" spans="1:16" x14ac:dyDescent="0.4">
      <c r="A390">
        <v>2544</v>
      </c>
      <c r="B390" t="s">
        <v>4576</v>
      </c>
      <c r="G390" t="s">
        <v>967</v>
      </c>
      <c r="H390" t="s">
        <v>966</v>
      </c>
      <c r="I390">
        <v>95</v>
      </c>
      <c r="K390" t="s">
        <v>4965</v>
      </c>
      <c r="L390">
        <v>46308</v>
      </c>
      <c r="P390">
        <v>95</v>
      </c>
    </row>
    <row r="391" spans="1:16" x14ac:dyDescent="0.4">
      <c r="A391">
        <v>993</v>
      </c>
      <c r="B391" t="s">
        <v>4576</v>
      </c>
      <c r="D391" t="s">
        <v>4916</v>
      </c>
      <c r="G391" t="s">
        <v>2723</v>
      </c>
      <c r="H391" t="s">
        <v>2722</v>
      </c>
      <c r="I391">
        <v>96</v>
      </c>
      <c r="K391" t="s">
        <v>5086</v>
      </c>
      <c r="L391">
        <v>46276</v>
      </c>
      <c r="P391">
        <v>96</v>
      </c>
    </row>
    <row r="392" spans="1:16" x14ac:dyDescent="0.4">
      <c r="A392">
        <v>2530</v>
      </c>
      <c r="B392" t="s">
        <v>4576</v>
      </c>
      <c r="G392" t="s">
        <v>840</v>
      </c>
      <c r="H392" t="s">
        <v>839</v>
      </c>
      <c r="I392">
        <v>96</v>
      </c>
      <c r="K392" t="s">
        <v>4740</v>
      </c>
      <c r="L392">
        <v>46308</v>
      </c>
      <c r="P392">
        <v>96</v>
      </c>
    </row>
    <row r="393" spans="1:16" x14ac:dyDescent="0.4">
      <c r="A393">
        <v>241</v>
      </c>
      <c r="B393" t="s">
        <v>4576</v>
      </c>
      <c r="G393" t="s">
        <v>2282</v>
      </c>
      <c r="H393" t="s">
        <v>2281</v>
      </c>
      <c r="I393">
        <v>97</v>
      </c>
      <c r="K393" t="s">
        <v>4865</v>
      </c>
      <c r="L393">
        <v>46232</v>
      </c>
      <c r="P393">
        <v>97</v>
      </c>
    </row>
    <row r="394" spans="1:16" x14ac:dyDescent="0.4">
      <c r="A394">
        <v>263</v>
      </c>
      <c r="B394" t="s">
        <v>4576</v>
      </c>
      <c r="G394" t="s">
        <v>1624</v>
      </c>
      <c r="H394" t="s">
        <v>1623</v>
      </c>
      <c r="I394">
        <v>97</v>
      </c>
      <c r="K394" t="s">
        <v>4867</v>
      </c>
      <c r="L394">
        <v>46232</v>
      </c>
      <c r="P394">
        <v>97</v>
      </c>
    </row>
    <row r="395" spans="1:16" x14ac:dyDescent="0.4">
      <c r="A395">
        <v>994</v>
      </c>
      <c r="B395" t="s">
        <v>4576</v>
      </c>
      <c r="D395" t="s">
        <v>4916</v>
      </c>
      <c r="G395" t="s">
        <v>2725</v>
      </c>
      <c r="H395" t="s">
        <v>2724</v>
      </c>
      <c r="I395">
        <v>97</v>
      </c>
      <c r="K395" t="s">
        <v>5086</v>
      </c>
      <c r="L395">
        <v>46276</v>
      </c>
      <c r="P395">
        <v>97</v>
      </c>
    </row>
    <row r="396" spans="1:16" x14ac:dyDescent="0.4">
      <c r="A396">
        <v>1350</v>
      </c>
      <c r="B396" t="s">
        <v>4576</v>
      </c>
      <c r="G396" t="s">
        <v>3917</v>
      </c>
      <c r="H396" t="s">
        <v>3916</v>
      </c>
      <c r="I396">
        <v>97</v>
      </c>
      <c r="K396" t="s">
        <v>3871</v>
      </c>
      <c r="L396">
        <v>46287</v>
      </c>
      <c r="P396">
        <v>97</v>
      </c>
    </row>
    <row r="397" spans="1:16" x14ac:dyDescent="0.4">
      <c r="A397">
        <v>2430</v>
      </c>
      <c r="B397" t="s">
        <v>4576</v>
      </c>
      <c r="G397" t="s">
        <v>1668</v>
      </c>
      <c r="H397" t="s">
        <v>1667</v>
      </c>
      <c r="I397">
        <v>98</v>
      </c>
      <c r="K397" t="s">
        <v>5041</v>
      </c>
      <c r="L397">
        <v>46301</v>
      </c>
      <c r="P397">
        <v>98</v>
      </c>
    </row>
    <row r="398" spans="1:16" x14ac:dyDescent="0.4">
      <c r="A398">
        <v>264</v>
      </c>
      <c r="B398" t="s">
        <v>4576</v>
      </c>
      <c r="G398" t="s">
        <v>2350</v>
      </c>
      <c r="H398" t="s">
        <v>2349</v>
      </c>
      <c r="I398">
        <v>99</v>
      </c>
      <c r="K398" t="s">
        <v>4868</v>
      </c>
      <c r="L398">
        <v>46232</v>
      </c>
      <c r="P398">
        <v>99</v>
      </c>
    </row>
    <row r="399" spans="1:16" x14ac:dyDescent="0.4">
      <c r="A399">
        <v>995</v>
      </c>
      <c r="B399" t="s">
        <v>4576</v>
      </c>
      <c r="D399" t="s">
        <v>4916</v>
      </c>
      <c r="G399" t="s">
        <v>2767</v>
      </c>
      <c r="H399" t="s">
        <v>2766</v>
      </c>
      <c r="I399">
        <v>99</v>
      </c>
      <c r="K399" t="s">
        <v>5086</v>
      </c>
      <c r="L399">
        <v>46276</v>
      </c>
      <c r="P399">
        <v>99</v>
      </c>
    </row>
    <row r="400" spans="1:16" x14ac:dyDescent="0.4">
      <c r="A400">
        <v>1334</v>
      </c>
      <c r="B400" t="s">
        <v>4576</v>
      </c>
      <c r="G400" t="s">
        <v>3801</v>
      </c>
      <c r="H400" t="s">
        <v>3800</v>
      </c>
      <c r="I400">
        <v>99</v>
      </c>
      <c r="K400" t="s">
        <v>4744</v>
      </c>
      <c r="L400">
        <v>46287</v>
      </c>
      <c r="P400">
        <v>99</v>
      </c>
    </row>
    <row r="401" spans="1:16" x14ac:dyDescent="0.4">
      <c r="A401">
        <v>1335</v>
      </c>
      <c r="B401" t="s">
        <v>4576</v>
      </c>
      <c r="G401" t="s">
        <v>4008</v>
      </c>
      <c r="H401" t="s">
        <v>4007</v>
      </c>
      <c r="I401">
        <v>99</v>
      </c>
      <c r="K401" t="s">
        <v>4002</v>
      </c>
      <c r="L401">
        <v>46287</v>
      </c>
      <c r="P401">
        <v>99</v>
      </c>
    </row>
    <row r="402" spans="1:16" x14ac:dyDescent="0.4">
      <c r="A402">
        <v>2047</v>
      </c>
      <c r="B402" t="s">
        <v>4576</v>
      </c>
      <c r="D402" t="s">
        <v>4901</v>
      </c>
      <c r="E402" t="s">
        <v>5146</v>
      </c>
      <c r="F402" t="s">
        <v>5147</v>
      </c>
      <c r="G402" t="s">
        <v>4950</v>
      </c>
      <c r="H402" t="s">
        <v>2691</v>
      </c>
      <c r="I402">
        <v>100</v>
      </c>
      <c r="K402" t="s">
        <v>4951</v>
      </c>
      <c r="L402">
        <v>46296</v>
      </c>
      <c r="P402">
        <v>100</v>
      </c>
    </row>
    <row r="403" spans="1:16" x14ac:dyDescent="0.4">
      <c r="A403">
        <v>1150</v>
      </c>
      <c r="B403" t="s">
        <v>4576</v>
      </c>
      <c r="D403" t="s">
        <v>4901</v>
      </c>
      <c r="E403" t="s">
        <v>4936</v>
      </c>
      <c r="F403" t="s">
        <v>4937</v>
      </c>
      <c r="G403" t="s">
        <v>4621</v>
      </c>
      <c r="H403">
        <v>0</v>
      </c>
      <c r="I403">
        <v>100</v>
      </c>
      <c r="K403" t="s">
        <v>4088</v>
      </c>
      <c r="L403">
        <v>46281</v>
      </c>
      <c r="P403">
        <v>100</v>
      </c>
    </row>
    <row r="404" spans="1:16" x14ac:dyDescent="0.4">
      <c r="A404">
        <v>1188</v>
      </c>
      <c r="B404" t="s">
        <v>4576</v>
      </c>
      <c r="G404" t="s">
        <v>3606</v>
      </c>
      <c r="H404" t="s">
        <v>3605</v>
      </c>
      <c r="I404">
        <v>100</v>
      </c>
      <c r="K404" t="s">
        <v>5045</v>
      </c>
      <c r="L404">
        <v>46276</v>
      </c>
      <c r="P404">
        <v>100</v>
      </c>
    </row>
    <row r="405" spans="1:16" x14ac:dyDescent="0.4">
      <c r="A405">
        <v>1280</v>
      </c>
      <c r="B405" t="s">
        <v>4576</v>
      </c>
      <c r="D405" t="s">
        <v>4901</v>
      </c>
      <c r="E405" t="s">
        <v>5159</v>
      </c>
      <c r="F405" t="s">
        <v>4939</v>
      </c>
      <c r="G405" t="s">
        <v>3795</v>
      </c>
      <c r="H405" t="s">
        <v>4926</v>
      </c>
      <c r="I405">
        <v>100</v>
      </c>
      <c r="K405" t="s">
        <v>4743</v>
      </c>
      <c r="L405">
        <v>46275</v>
      </c>
      <c r="P405">
        <v>100</v>
      </c>
    </row>
    <row r="406" spans="1:16" x14ac:dyDescent="0.4">
      <c r="A406">
        <v>1317</v>
      </c>
      <c r="B406" t="s">
        <v>4576</v>
      </c>
      <c r="G406" t="s">
        <v>4028</v>
      </c>
      <c r="H406" t="s">
        <v>4027</v>
      </c>
      <c r="I406">
        <v>100</v>
      </c>
      <c r="K406" t="s">
        <v>3875</v>
      </c>
      <c r="L406">
        <v>46287</v>
      </c>
      <c r="P406">
        <v>100</v>
      </c>
    </row>
    <row r="407" spans="1:16" x14ac:dyDescent="0.4">
      <c r="A407">
        <v>1327</v>
      </c>
      <c r="B407" t="s">
        <v>4576</v>
      </c>
      <c r="G407" t="s">
        <v>4010</v>
      </c>
      <c r="H407" t="s">
        <v>4009</v>
      </c>
      <c r="I407">
        <v>100</v>
      </c>
      <c r="K407" t="s">
        <v>4002</v>
      </c>
      <c r="L407">
        <v>46287</v>
      </c>
      <c r="P407">
        <v>100</v>
      </c>
    </row>
    <row r="408" spans="1:16" x14ac:dyDescent="0.4">
      <c r="A408">
        <v>1331</v>
      </c>
      <c r="B408" t="s">
        <v>4576</v>
      </c>
      <c r="G408" t="s">
        <v>4012</v>
      </c>
      <c r="H408" t="s">
        <v>4011</v>
      </c>
      <c r="I408">
        <v>100</v>
      </c>
      <c r="K408" t="s">
        <v>3871</v>
      </c>
      <c r="L408">
        <v>46287</v>
      </c>
      <c r="P408">
        <v>100</v>
      </c>
    </row>
    <row r="409" spans="1:16" x14ac:dyDescent="0.4">
      <c r="A409">
        <v>1913</v>
      </c>
      <c r="B409" t="s">
        <v>4576</v>
      </c>
      <c r="G409" t="s">
        <v>1435</v>
      </c>
      <c r="H409" t="s">
        <v>1434</v>
      </c>
      <c r="I409">
        <v>100</v>
      </c>
      <c r="K409" t="s">
        <v>5098</v>
      </c>
      <c r="L409">
        <v>46295</v>
      </c>
      <c r="P409">
        <v>100</v>
      </c>
    </row>
    <row r="410" spans="1:16" x14ac:dyDescent="0.4">
      <c r="A410">
        <v>1968</v>
      </c>
      <c r="B410" t="s">
        <v>4576</v>
      </c>
      <c r="D410" t="s">
        <v>4901</v>
      </c>
      <c r="E410" t="s">
        <v>4936</v>
      </c>
      <c r="F410" t="s">
        <v>4939</v>
      </c>
      <c r="G410" t="s">
        <v>4019</v>
      </c>
      <c r="H410" t="s">
        <v>4018</v>
      </c>
      <c r="I410">
        <v>100</v>
      </c>
      <c r="K410" t="s">
        <v>3875</v>
      </c>
      <c r="L410">
        <v>46301</v>
      </c>
      <c r="P410">
        <v>100</v>
      </c>
    </row>
    <row r="411" spans="1:16" x14ac:dyDescent="0.4">
      <c r="A411">
        <v>1972</v>
      </c>
      <c r="B411" t="s">
        <v>4576</v>
      </c>
      <c r="D411" t="s">
        <v>4901</v>
      </c>
      <c r="E411" t="s">
        <v>4936</v>
      </c>
      <c r="F411" t="s">
        <v>4939</v>
      </c>
      <c r="G411" t="s">
        <v>4048</v>
      </c>
      <c r="H411" t="s">
        <v>4047</v>
      </c>
      <c r="I411">
        <v>100</v>
      </c>
      <c r="K411" t="s">
        <v>4046</v>
      </c>
      <c r="L411">
        <v>46301</v>
      </c>
      <c r="P411">
        <v>100</v>
      </c>
    </row>
    <row r="412" spans="1:16" x14ac:dyDescent="0.4">
      <c r="A412">
        <v>2025</v>
      </c>
      <c r="B412" t="s">
        <v>4576</v>
      </c>
      <c r="D412" t="s">
        <v>4901</v>
      </c>
      <c r="E412" t="s">
        <v>5146</v>
      </c>
      <c r="F412" t="s">
        <v>5147</v>
      </c>
      <c r="G412" t="s">
        <v>2696</v>
      </c>
      <c r="H412" t="s">
        <v>2695</v>
      </c>
      <c r="I412">
        <v>100</v>
      </c>
      <c r="K412" t="s">
        <v>4869</v>
      </c>
      <c r="L412">
        <v>46296</v>
      </c>
      <c r="P412">
        <v>100</v>
      </c>
    </row>
    <row r="413" spans="1:16" x14ac:dyDescent="0.4">
      <c r="A413">
        <v>2036</v>
      </c>
      <c r="B413" t="s">
        <v>4576</v>
      </c>
      <c r="D413" t="s">
        <v>4901</v>
      </c>
      <c r="E413" t="s">
        <v>5146</v>
      </c>
      <c r="F413" t="s">
        <v>5147</v>
      </c>
      <c r="G413" t="s">
        <v>2748</v>
      </c>
      <c r="H413" t="s">
        <v>2747</v>
      </c>
      <c r="I413">
        <v>100</v>
      </c>
      <c r="K413" t="s">
        <v>4869</v>
      </c>
      <c r="L413">
        <v>46296</v>
      </c>
      <c r="P413">
        <v>100</v>
      </c>
    </row>
    <row r="414" spans="1:16" x14ac:dyDescent="0.4">
      <c r="A414">
        <v>2055</v>
      </c>
      <c r="B414" t="s">
        <v>4576</v>
      </c>
      <c r="D414" t="s">
        <v>4901</v>
      </c>
      <c r="E414" t="s">
        <v>5160</v>
      </c>
      <c r="F414" t="s">
        <v>5147</v>
      </c>
      <c r="G414" t="s">
        <v>31</v>
      </c>
      <c r="H414" t="s">
        <v>30</v>
      </c>
      <c r="I414">
        <v>100</v>
      </c>
      <c r="K414" t="s">
        <v>4861</v>
      </c>
      <c r="L414">
        <v>46297</v>
      </c>
      <c r="P414">
        <v>100</v>
      </c>
    </row>
    <row r="415" spans="1:16" x14ac:dyDescent="0.4">
      <c r="A415">
        <v>2064</v>
      </c>
      <c r="B415" t="s">
        <v>4576</v>
      </c>
      <c r="D415" t="s">
        <v>4901</v>
      </c>
      <c r="E415" t="s">
        <v>5153</v>
      </c>
      <c r="F415" t="s">
        <v>5147</v>
      </c>
      <c r="G415" t="s">
        <v>425</v>
      </c>
      <c r="H415" t="s">
        <v>424</v>
      </c>
      <c r="I415">
        <v>100</v>
      </c>
      <c r="K415" t="s">
        <v>5102</v>
      </c>
      <c r="L415">
        <v>46301</v>
      </c>
      <c r="P415">
        <v>100</v>
      </c>
    </row>
    <row r="416" spans="1:16" x14ac:dyDescent="0.4">
      <c r="A416">
        <v>2066</v>
      </c>
      <c r="B416" t="s">
        <v>4576</v>
      </c>
      <c r="D416" t="s">
        <v>4901</v>
      </c>
      <c r="E416" t="s">
        <v>5153</v>
      </c>
      <c r="F416" t="s">
        <v>5147</v>
      </c>
      <c r="G416" t="s">
        <v>351</v>
      </c>
      <c r="H416" t="s">
        <v>350</v>
      </c>
      <c r="I416">
        <v>100</v>
      </c>
      <c r="K416" t="s">
        <v>5102</v>
      </c>
      <c r="L416">
        <v>46301</v>
      </c>
      <c r="P416">
        <v>100</v>
      </c>
    </row>
    <row r="417" spans="1:16" x14ac:dyDescent="0.4">
      <c r="A417">
        <v>2351</v>
      </c>
      <c r="B417" t="s">
        <v>4576</v>
      </c>
      <c r="D417" t="s">
        <v>4901</v>
      </c>
      <c r="E417" t="s">
        <v>4938</v>
      </c>
      <c r="F417" t="s">
        <v>4939</v>
      </c>
      <c r="G417" t="s">
        <v>3925</v>
      </c>
      <c r="H417" t="s">
        <v>3924</v>
      </c>
      <c r="I417">
        <v>100</v>
      </c>
      <c r="K417" t="s">
        <v>3836</v>
      </c>
      <c r="L417">
        <v>46293</v>
      </c>
      <c r="P417">
        <v>100</v>
      </c>
    </row>
    <row r="418" spans="1:16" x14ac:dyDescent="0.4">
      <c r="A418">
        <v>2412</v>
      </c>
      <c r="B418" t="s">
        <v>4576</v>
      </c>
      <c r="G418" t="s">
        <v>1892</v>
      </c>
      <c r="H418" t="s">
        <v>5103</v>
      </c>
      <c r="I418">
        <v>100</v>
      </c>
      <c r="K418" t="s">
        <v>5104</v>
      </c>
      <c r="L418">
        <v>46301</v>
      </c>
      <c r="P418">
        <v>100</v>
      </c>
    </row>
    <row r="419" spans="1:16" x14ac:dyDescent="0.4">
      <c r="A419">
        <v>2414</v>
      </c>
      <c r="B419" t="s">
        <v>4576</v>
      </c>
      <c r="G419" t="s">
        <v>2005</v>
      </c>
      <c r="H419" t="s">
        <v>2004</v>
      </c>
      <c r="I419">
        <v>100</v>
      </c>
      <c r="K419" t="s">
        <v>5142</v>
      </c>
      <c r="L419">
        <v>46301</v>
      </c>
      <c r="P419">
        <v>100</v>
      </c>
    </row>
    <row r="420" spans="1:16" x14ac:dyDescent="0.4">
      <c r="A420">
        <v>2420</v>
      </c>
      <c r="B420" t="s">
        <v>4576</v>
      </c>
      <c r="G420" t="s">
        <v>2002</v>
      </c>
      <c r="H420" t="s">
        <v>2001</v>
      </c>
      <c r="I420">
        <v>100</v>
      </c>
      <c r="K420" t="s">
        <v>5142</v>
      </c>
      <c r="L420">
        <v>46301</v>
      </c>
      <c r="P420">
        <v>100</v>
      </c>
    </row>
    <row r="421" spans="1:16" x14ac:dyDescent="0.4">
      <c r="A421">
        <v>2453</v>
      </c>
      <c r="B421" t="s">
        <v>4576</v>
      </c>
      <c r="G421" t="s">
        <v>1844</v>
      </c>
      <c r="H421" t="s">
        <v>1843</v>
      </c>
      <c r="I421">
        <v>100</v>
      </c>
      <c r="K421" t="s">
        <v>5140</v>
      </c>
      <c r="L421">
        <v>46301</v>
      </c>
      <c r="P421">
        <v>100</v>
      </c>
    </row>
    <row r="422" spans="1:16" x14ac:dyDescent="0.4">
      <c r="A422">
        <v>2495</v>
      </c>
      <c r="B422" t="s">
        <v>4576</v>
      </c>
      <c r="G422" t="s">
        <v>2641</v>
      </c>
      <c r="H422" t="s">
        <v>2640</v>
      </c>
      <c r="I422">
        <v>100</v>
      </c>
      <c r="K422" t="s">
        <v>4869</v>
      </c>
      <c r="L422">
        <v>46303</v>
      </c>
      <c r="P422">
        <v>100</v>
      </c>
    </row>
    <row r="423" spans="1:16" x14ac:dyDescent="0.4">
      <c r="A423">
        <v>243</v>
      </c>
      <c r="B423" t="s">
        <v>4576</v>
      </c>
      <c r="G423" t="s">
        <v>2288</v>
      </c>
      <c r="H423" t="s">
        <v>2287</v>
      </c>
      <c r="I423">
        <v>101</v>
      </c>
      <c r="K423" t="s">
        <v>4865</v>
      </c>
      <c r="L423">
        <v>46232</v>
      </c>
      <c r="P423">
        <v>101</v>
      </c>
    </row>
    <row r="424" spans="1:16" x14ac:dyDescent="0.4">
      <c r="A424">
        <v>1332</v>
      </c>
      <c r="B424" t="s">
        <v>4576</v>
      </c>
      <c r="G424" t="s">
        <v>3997</v>
      </c>
      <c r="H424" t="s">
        <v>3996</v>
      </c>
      <c r="I424">
        <v>101</v>
      </c>
      <c r="K424" t="s">
        <v>3896</v>
      </c>
      <c r="L424">
        <v>46287</v>
      </c>
      <c r="P424">
        <v>101</v>
      </c>
    </row>
    <row r="425" spans="1:16" x14ac:dyDescent="0.4">
      <c r="A425">
        <v>2046</v>
      </c>
      <c r="B425" t="s">
        <v>4576</v>
      </c>
      <c r="D425" t="s">
        <v>4901</v>
      </c>
      <c r="E425" t="s">
        <v>5146</v>
      </c>
      <c r="F425" t="s">
        <v>5147</v>
      </c>
      <c r="G425" t="s">
        <v>2694</v>
      </c>
      <c r="H425" t="s">
        <v>2693</v>
      </c>
      <c r="I425">
        <v>101</v>
      </c>
      <c r="K425" t="s">
        <v>5114</v>
      </c>
      <c r="L425">
        <v>46296</v>
      </c>
      <c r="P425">
        <v>101</v>
      </c>
    </row>
    <row r="426" spans="1:16" x14ac:dyDescent="0.4">
      <c r="A426">
        <v>996</v>
      </c>
      <c r="B426" t="s">
        <v>4576</v>
      </c>
      <c r="D426" t="s">
        <v>4916</v>
      </c>
      <c r="G426" t="s">
        <v>1544</v>
      </c>
      <c r="H426" t="s">
        <v>1543</v>
      </c>
      <c r="I426">
        <v>102</v>
      </c>
      <c r="K426" t="s">
        <v>5070</v>
      </c>
      <c r="L426">
        <v>46276</v>
      </c>
      <c r="P426">
        <v>102</v>
      </c>
    </row>
    <row r="427" spans="1:16" x14ac:dyDescent="0.4">
      <c r="A427">
        <v>1620</v>
      </c>
      <c r="B427" t="s">
        <v>4576</v>
      </c>
      <c r="G427" t="s">
        <v>1197</v>
      </c>
      <c r="H427" t="s">
        <v>1196</v>
      </c>
      <c r="I427">
        <v>103</v>
      </c>
      <c r="K427" t="s">
        <v>4998</v>
      </c>
      <c r="L427">
        <v>46280</v>
      </c>
      <c r="P427">
        <v>103</v>
      </c>
    </row>
    <row r="428" spans="1:16" x14ac:dyDescent="0.4">
      <c r="A428">
        <v>1865</v>
      </c>
      <c r="B428" t="s">
        <v>4576</v>
      </c>
      <c r="G428" t="s">
        <v>1920</v>
      </c>
      <c r="H428" t="s">
        <v>1919</v>
      </c>
      <c r="I428">
        <v>104</v>
      </c>
      <c r="K428" t="s">
        <v>5066</v>
      </c>
      <c r="L428">
        <v>46295</v>
      </c>
      <c r="P428">
        <v>104</v>
      </c>
    </row>
    <row r="429" spans="1:16" x14ac:dyDescent="0.4">
      <c r="A429">
        <v>434</v>
      </c>
      <c r="B429" t="s">
        <v>4576</v>
      </c>
      <c r="G429" t="s">
        <v>3999</v>
      </c>
      <c r="H429" t="s">
        <v>3998</v>
      </c>
      <c r="I429">
        <v>105</v>
      </c>
      <c r="K429" t="s">
        <v>3782</v>
      </c>
      <c r="L429">
        <v>46259</v>
      </c>
      <c r="P429">
        <v>105</v>
      </c>
    </row>
    <row r="430" spans="1:16" x14ac:dyDescent="0.4">
      <c r="A430">
        <v>2135</v>
      </c>
      <c r="B430" t="s">
        <v>4576</v>
      </c>
      <c r="G430" t="s">
        <v>377</v>
      </c>
      <c r="H430" t="s">
        <v>5094</v>
      </c>
      <c r="I430">
        <v>105</v>
      </c>
      <c r="K430" t="s">
        <v>4979</v>
      </c>
      <c r="L430">
        <v>46293</v>
      </c>
      <c r="P430">
        <v>105</v>
      </c>
    </row>
    <row r="431" spans="1:16" x14ac:dyDescent="0.4">
      <c r="A431">
        <v>2398</v>
      </c>
      <c r="B431" t="s">
        <v>4576</v>
      </c>
      <c r="G431" t="s">
        <v>1813</v>
      </c>
      <c r="H431" t="s">
        <v>1812</v>
      </c>
      <c r="I431">
        <v>105</v>
      </c>
      <c r="K431" t="s">
        <v>5137</v>
      </c>
      <c r="L431">
        <v>46301</v>
      </c>
      <c r="P431">
        <v>105</v>
      </c>
    </row>
    <row r="432" spans="1:16" x14ac:dyDescent="0.4">
      <c r="A432">
        <v>1842</v>
      </c>
      <c r="B432" t="s">
        <v>4576</v>
      </c>
      <c r="G432" t="s">
        <v>1638</v>
      </c>
      <c r="H432" t="s">
        <v>1637</v>
      </c>
      <c r="I432">
        <v>106</v>
      </c>
      <c r="K432" t="s">
        <v>5038</v>
      </c>
      <c r="L432">
        <v>46295</v>
      </c>
      <c r="P432">
        <v>106</v>
      </c>
    </row>
    <row r="433" spans="1:16" x14ac:dyDescent="0.4">
      <c r="A433">
        <v>2532</v>
      </c>
      <c r="B433" t="s">
        <v>4576</v>
      </c>
      <c r="G433" t="s">
        <v>664</v>
      </c>
      <c r="H433" t="s">
        <v>663</v>
      </c>
      <c r="I433">
        <v>106</v>
      </c>
      <c r="K433" t="s">
        <v>4985</v>
      </c>
      <c r="L433">
        <v>46308</v>
      </c>
      <c r="P433">
        <v>106</v>
      </c>
    </row>
    <row r="434" spans="1:16" x14ac:dyDescent="0.4">
      <c r="A434">
        <v>2545</v>
      </c>
      <c r="B434" t="s">
        <v>4576</v>
      </c>
      <c r="G434" t="s">
        <v>1046</v>
      </c>
      <c r="H434" t="s">
        <v>1045</v>
      </c>
      <c r="I434">
        <v>106</v>
      </c>
      <c r="K434" t="s">
        <v>4990</v>
      </c>
      <c r="L434">
        <v>46308</v>
      </c>
      <c r="P434">
        <v>106</v>
      </c>
    </row>
    <row r="435" spans="1:16" x14ac:dyDescent="0.4">
      <c r="A435">
        <v>2127</v>
      </c>
      <c r="B435" t="s">
        <v>4576</v>
      </c>
      <c r="G435" t="s">
        <v>342</v>
      </c>
      <c r="H435" t="s">
        <v>341</v>
      </c>
      <c r="I435">
        <v>107</v>
      </c>
      <c r="K435" t="s">
        <v>5095</v>
      </c>
      <c r="L435">
        <v>46293</v>
      </c>
      <c r="P435">
        <v>107</v>
      </c>
    </row>
    <row r="436" spans="1:16" x14ac:dyDescent="0.4">
      <c r="A436">
        <v>2132</v>
      </c>
      <c r="B436" t="s">
        <v>4576</v>
      </c>
      <c r="G436" t="s">
        <v>357</v>
      </c>
      <c r="H436" t="s">
        <v>356</v>
      </c>
      <c r="I436">
        <v>108</v>
      </c>
      <c r="K436" t="s">
        <v>5097</v>
      </c>
      <c r="L436">
        <v>46293</v>
      </c>
      <c r="P436">
        <v>108</v>
      </c>
    </row>
    <row r="437" spans="1:16" x14ac:dyDescent="0.4">
      <c r="A437">
        <v>2533</v>
      </c>
      <c r="B437" t="s">
        <v>4576</v>
      </c>
      <c r="G437" t="s">
        <v>877</v>
      </c>
      <c r="H437" t="s">
        <v>876</v>
      </c>
      <c r="I437">
        <v>111</v>
      </c>
      <c r="K437" t="s">
        <v>4988</v>
      </c>
      <c r="L437">
        <v>46308</v>
      </c>
      <c r="P437">
        <v>111</v>
      </c>
    </row>
    <row r="438" spans="1:16" x14ac:dyDescent="0.4">
      <c r="A438">
        <v>2011</v>
      </c>
      <c r="B438" t="s">
        <v>4576</v>
      </c>
      <c r="G438" t="s">
        <v>393</v>
      </c>
      <c r="H438" t="s">
        <v>392</v>
      </c>
      <c r="I438">
        <v>112</v>
      </c>
      <c r="K438" t="s">
        <v>4958</v>
      </c>
      <c r="L438">
        <v>46293</v>
      </c>
      <c r="P438">
        <v>112</v>
      </c>
    </row>
    <row r="439" spans="1:16" x14ac:dyDescent="0.4">
      <c r="A439">
        <v>1978</v>
      </c>
      <c r="B439" t="s">
        <v>4576</v>
      </c>
      <c r="D439" t="s">
        <v>4901</v>
      </c>
      <c r="E439" t="s">
        <v>4936</v>
      </c>
      <c r="F439" t="s">
        <v>4939</v>
      </c>
      <c r="G439" t="s">
        <v>847</v>
      </c>
      <c r="H439" t="s">
        <v>846</v>
      </c>
      <c r="I439">
        <v>114</v>
      </c>
      <c r="K439" t="s">
        <v>4958</v>
      </c>
      <c r="L439">
        <v>46301</v>
      </c>
      <c r="P439">
        <v>114</v>
      </c>
    </row>
    <row r="440" spans="1:16" x14ac:dyDescent="0.4">
      <c r="A440">
        <v>2237</v>
      </c>
      <c r="B440" t="s">
        <v>4576</v>
      </c>
      <c r="G440" t="s">
        <v>777</v>
      </c>
      <c r="H440" t="s">
        <v>776</v>
      </c>
      <c r="I440">
        <v>114</v>
      </c>
      <c r="K440" t="s">
        <v>4986</v>
      </c>
      <c r="L440">
        <v>46295</v>
      </c>
      <c r="P440">
        <v>114</v>
      </c>
    </row>
    <row r="441" spans="1:16" x14ac:dyDescent="0.4">
      <c r="A441">
        <v>2410</v>
      </c>
      <c r="B441" t="s">
        <v>4576</v>
      </c>
      <c r="G441" t="s">
        <v>1849</v>
      </c>
      <c r="H441" t="s">
        <v>1848</v>
      </c>
      <c r="I441">
        <v>114</v>
      </c>
      <c r="K441" t="s">
        <v>5140</v>
      </c>
      <c r="L441">
        <v>46301</v>
      </c>
      <c r="P441">
        <v>114</v>
      </c>
    </row>
    <row r="442" spans="1:16" x14ac:dyDescent="0.4">
      <c r="A442">
        <v>1000</v>
      </c>
      <c r="B442" t="s">
        <v>4576</v>
      </c>
      <c r="D442" t="s">
        <v>4916</v>
      </c>
      <c r="G442" t="s">
        <v>5089</v>
      </c>
      <c r="H442" t="s">
        <v>5090</v>
      </c>
      <c r="I442">
        <v>115</v>
      </c>
      <c r="K442" t="s">
        <v>5091</v>
      </c>
      <c r="L442">
        <v>46276</v>
      </c>
      <c r="P442">
        <v>115</v>
      </c>
    </row>
    <row r="443" spans="1:16" x14ac:dyDescent="0.4">
      <c r="A443">
        <v>2400</v>
      </c>
      <c r="B443" t="s">
        <v>4576</v>
      </c>
      <c r="G443" t="s">
        <v>1990</v>
      </c>
      <c r="H443" t="s">
        <v>1989</v>
      </c>
      <c r="I443">
        <v>115</v>
      </c>
      <c r="K443" t="s">
        <v>5141</v>
      </c>
      <c r="L443">
        <v>46301</v>
      </c>
      <c r="P443">
        <v>115</v>
      </c>
    </row>
    <row r="444" spans="1:16" x14ac:dyDescent="0.4">
      <c r="A444">
        <v>2480</v>
      </c>
      <c r="B444" t="s">
        <v>4576</v>
      </c>
      <c r="G444" t="s">
        <v>782</v>
      </c>
      <c r="H444" t="s">
        <v>781</v>
      </c>
      <c r="I444">
        <v>115</v>
      </c>
      <c r="K444" t="s">
        <v>4987</v>
      </c>
      <c r="L444">
        <v>46301</v>
      </c>
      <c r="P444">
        <v>115</v>
      </c>
    </row>
    <row r="445" spans="1:16" x14ac:dyDescent="0.4">
      <c r="A445">
        <v>296</v>
      </c>
      <c r="B445" t="s">
        <v>4576</v>
      </c>
      <c r="G445" t="s">
        <v>2152</v>
      </c>
      <c r="H445" t="s">
        <v>2151</v>
      </c>
      <c r="I445">
        <v>117</v>
      </c>
      <c r="K445" t="s">
        <v>4850</v>
      </c>
      <c r="L445">
        <v>46232</v>
      </c>
      <c r="P445">
        <v>117</v>
      </c>
    </row>
    <row r="446" spans="1:16" x14ac:dyDescent="0.4">
      <c r="A446">
        <v>2128</v>
      </c>
      <c r="B446" t="s">
        <v>4576</v>
      </c>
      <c r="G446" t="s">
        <v>345</v>
      </c>
      <c r="H446" t="s">
        <v>344</v>
      </c>
      <c r="I446">
        <v>117</v>
      </c>
      <c r="K446" t="s">
        <v>5005</v>
      </c>
      <c r="L446">
        <v>46293</v>
      </c>
      <c r="P446">
        <v>117</v>
      </c>
    </row>
    <row r="447" spans="1:16" x14ac:dyDescent="0.4">
      <c r="A447">
        <v>1843</v>
      </c>
      <c r="B447" t="s">
        <v>4576</v>
      </c>
      <c r="G447" t="s">
        <v>1318</v>
      </c>
      <c r="H447" t="s">
        <v>1317</v>
      </c>
      <c r="I447">
        <v>118</v>
      </c>
      <c r="K447" t="s">
        <v>4999</v>
      </c>
      <c r="L447">
        <v>46295</v>
      </c>
      <c r="P447">
        <v>118</v>
      </c>
    </row>
    <row r="448" spans="1:16" x14ac:dyDescent="0.4">
      <c r="A448">
        <v>2133</v>
      </c>
      <c r="B448" t="s">
        <v>4576</v>
      </c>
      <c r="G448" t="s">
        <v>360</v>
      </c>
      <c r="H448" t="s">
        <v>359</v>
      </c>
      <c r="I448">
        <v>118</v>
      </c>
      <c r="K448" t="s">
        <v>5097</v>
      </c>
      <c r="L448">
        <v>46293</v>
      </c>
      <c r="P448">
        <v>118</v>
      </c>
    </row>
    <row r="449" spans="1:16" x14ac:dyDescent="0.4">
      <c r="A449">
        <v>1678</v>
      </c>
      <c r="B449" t="s">
        <v>4576</v>
      </c>
      <c r="G449" t="s">
        <v>1822</v>
      </c>
      <c r="H449" t="s">
        <v>1821</v>
      </c>
      <c r="I449">
        <v>119</v>
      </c>
      <c r="K449" t="s">
        <v>4958</v>
      </c>
      <c r="L449">
        <v>46280</v>
      </c>
      <c r="P449">
        <v>119</v>
      </c>
    </row>
    <row r="450" spans="1:16" x14ac:dyDescent="0.4">
      <c r="A450">
        <v>2130</v>
      </c>
      <c r="B450" t="s">
        <v>4576</v>
      </c>
      <c r="G450" t="s">
        <v>349</v>
      </c>
      <c r="H450" t="s">
        <v>348</v>
      </c>
      <c r="I450">
        <v>119</v>
      </c>
      <c r="K450" t="s">
        <v>4861</v>
      </c>
      <c r="L450">
        <v>46293</v>
      </c>
      <c r="P450">
        <v>119</v>
      </c>
    </row>
    <row r="451" spans="1:16" x14ac:dyDescent="0.4">
      <c r="A451">
        <v>2427</v>
      </c>
      <c r="B451" t="s">
        <v>4576</v>
      </c>
      <c r="G451" t="s">
        <v>1373</v>
      </c>
      <c r="H451" t="s">
        <v>1372</v>
      </c>
      <c r="I451">
        <v>119</v>
      </c>
      <c r="K451" t="s">
        <v>5123</v>
      </c>
      <c r="L451">
        <v>46301</v>
      </c>
      <c r="P451">
        <v>119</v>
      </c>
    </row>
    <row r="452" spans="1:16" x14ac:dyDescent="0.4">
      <c r="A452">
        <v>2534</v>
      </c>
      <c r="B452" t="s">
        <v>4576</v>
      </c>
      <c r="G452" t="s">
        <v>1054</v>
      </c>
      <c r="H452" t="s">
        <v>1053</v>
      </c>
      <c r="I452">
        <v>120</v>
      </c>
      <c r="K452" t="s">
        <v>4992</v>
      </c>
      <c r="L452">
        <v>46308</v>
      </c>
      <c r="P452">
        <v>120</v>
      </c>
    </row>
    <row r="453" spans="1:16" x14ac:dyDescent="0.4">
      <c r="A453">
        <v>1974</v>
      </c>
      <c r="B453" t="s">
        <v>4576</v>
      </c>
      <c r="D453" t="s">
        <v>4901</v>
      </c>
      <c r="E453" t="s">
        <v>4936</v>
      </c>
      <c r="F453" t="s">
        <v>4939</v>
      </c>
      <c r="G453" t="s">
        <v>844</v>
      </c>
      <c r="H453" t="s">
        <v>843</v>
      </c>
      <c r="I453">
        <v>123</v>
      </c>
      <c r="K453" t="s">
        <v>4957</v>
      </c>
      <c r="L453">
        <v>46301</v>
      </c>
      <c r="P453">
        <v>123</v>
      </c>
    </row>
    <row r="454" spans="1:16" x14ac:dyDescent="0.4">
      <c r="A454">
        <v>1005</v>
      </c>
      <c r="B454" t="s">
        <v>4576</v>
      </c>
      <c r="D454" t="s">
        <v>4916</v>
      </c>
      <c r="G454" t="s">
        <v>1799</v>
      </c>
      <c r="H454" t="s">
        <v>1798</v>
      </c>
      <c r="I454">
        <v>124</v>
      </c>
      <c r="K454" t="s">
        <v>5063</v>
      </c>
      <c r="L454">
        <v>46276</v>
      </c>
      <c r="P454">
        <v>124</v>
      </c>
    </row>
    <row r="455" spans="1:16" x14ac:dyDescent="0.4">
      <c r="A455">
        <v>1663</v>
      </c>
      <c r="B455" t="s">
        <v>4576</v>
      </c>
      <c r="G455" t="s">
        <v>1292</v>
      </c>
      <c r="H455" t="s">
        <v>1291</v>
      </c>
      <c r="I455">
        <v>124</v>
      </c>
      <c r="K455" t="s">
        <v>5040</v>
      </c>
      <c r="L455">
        <v>46280</v>
      </c>
      <c r="P455">
        <v>124</v>
      </c>
    </row>
    <row r="456" spans="1:16" x14ac:dyDescent="0.4">
      <c r="A456">
        <v>1008</v>
      </c>
      <c r="B456" t="s">
        <v>4576</v>
      </c>
      <c r="D456" t="s">
        <v>4916</v>
      </c>
      <c r="G456" t="s">
        <v>2505</v>
      </c>
      <c r="H456" t="s">
        <v>2504</v>
      </c>
      <c r="I456">
        <v>125</v>
      </c>
      <c r="K456" t="s">
        <v>4955</v>
      </c>
      <c r="L456">
        <v>46276</v>
      </c>
      <c r="P456">
        <v>125</v>
      </c>
    </row>
    <row r="457" spans="1:16" x14ac:dyDescent="0.4">
      <c r="A457">
        <v>2032</v>
      </c>
      <c r="B457" t="s">
        <v>4576</v>
      </c>
      <c r="D457" t="s">
        <v>4901</v>
      </c>
      <c r="E457" t="s">
        <v>5146</v>
      </c>
      <c r="F457" t="s">
        <v>5147</v>
      </c>
      <c r="G457" t="s">
        <v>2673</v>
      </c>
      <c r="H457" t="s">
        <v>2672</v>
      </c>
      <c r="I457">
        <v>126</v>
      </c>
      <c r="K457" t="s">
        <v>5096</v>
      </c>
      <c r="L457">
        <v>46296</v>
      </c>
      <c r="P457">
        <v>126</v>
      </c>
    </row>
    <row r="458" spans="1:16" x14ac:dyDescent="0.4">
      <c r="A458">
        <v>1914</v>
      </c>
      <c r="B458" t="s">
        <v>4576</v>
      </c>
      <c r="G458" t="s">
        <v>1428</v>
      </c>
      <c r="H458" t="s">
        <v>1427</v>
      </c>
      <c r="I458">
        <v>126</v>
      </c>
      <c r="K458" t="s">
        <v>5073</v>
      </c>
      <c r="L458">
        <v>46295</v>
      </c>
      <c r="P458">
        <v>126</v>
      </c>
    </row>
    <row r="459" spans="1:16" x14ac:dyDescent="0.4">
      <c r="A459">
        <v>2332</v>
      </c>
      <c r="B459" t="s">
        <v>4576</v>
      </c>
      <c r="G459" t="s">
        <v>2755</v>
      </c>
      <c r="H459" t="s">
        <v>2754</v>
      </c>
      <c r="I459">
        <v>127</v>
      </c>
      <c r="K459" t="s">
        <v>4869</v>
      </c>
      <c r="L459">
        <v>46302</v>
      </c>
      <c r="P459">
        <v>127</v>
      </c>
    </row>
    <row r="460" spans="1:16" x14ac:dyDescent="0.4">
      <c r="A460">
        <v>2447</v>
      </c>
      <c r="B460" t="s">
        <v>4576</v>
      </c>
      <c r="G460" t="s">
        <v>7</v>
      </c>
      <c r="H460" t="s">
        <v>2676</v>
      </c>
      <c r="I460">
        <v>127</v>
      </c>
      <c r="K460" t="s">
        <v>5092</v>
      </c>
      <c r="L460">
        <v>46301</v>
      </c>
      <c r="P460">
        <v>127</v>
      </c>
    </row>
    <row r="461" spans="1:16" x14ac:dyDescent="0.4">
      <c r="A461">
        <v>2367</v>
      </c>
      <c r="B461" t="s">
        <v>4576</v>
      </c>
      <c r="G461" t="s">
        <v>1562</v>
      </c>
      <c r="H461" t="s">
        <v>1561</v>
      </c>
      <c r="I461">
        <v>128</v>
      </c>
      <c r="K461" t="s">
        <v>4968</v>
      </c>
      <c r="L461">
        <v>46302</v>
      </c>
      <c r="P461">
        <v>128</v>
      </c>
    </row>
    <row r="462" spans="1:16" x14ac:dyDescent="0.4">
      <c r="A462">
        <v>1633</v>
      </c>
      <c r="B462" t="s">
        <v>4576</v>
      </c>
      <c r="G462" t="s">
        <v>1589</v>
      </c>
      <c r="H462" t="s">
        <v>1588</v>
      </c>
      <c r="I462">
        <v>130</v>
      </c>
      <c r="K462" t="s">
        <v>5026</v>
      </c>
      <c r="L462">
        <v>46280</v>
      </c>
      <c r="P462">
        <v>130</v>
      </c>
    </row>
    <row r="463" spans="1:16" x14ac:dyDescent="0.4">
      <c r="A463">
        <v>1965</v>
      </c>
      <c r="B463" t="s">
        <v>4576</v>
      </c>
      <c r="D463" t="s">
        <v>4901</v>
      </c>
      <c r="E463" t="s">
        <v>4936</v>
      </c>
      <c r="F463" t="s">
        <v>4939</v>
      </c>
      <c r="G463" t="s">
        <v>397</v>
      </c>
      <c r="H463" t="s">
        <v>396</v>
      </c>
      <c r="I463">
        <v>130</v>
      </c>
      <c r="K463" t="s">
        <v>5109</v>
      </c>
      <c r="L463">
        <v>46296</v>
      </c>
      <c r="P463">
        <v>130</v>
      </c>
    </row>
    <row r="464" spans="1:16" x14ac:dyDescent="0.4">
      <c r="A464">
        <v>2333</v>
      </c>
      <c r="B464" t="s">
        <v>4576</v>
      </c>
      <c r="G464" t="s">
        <v>2671</v>
      </c>
      <c r="H464" t="s">
        <v>2670</v>
      </c>
      <c r="I464">
        <v>130</v>
      </c>
      <c r="K464" t="s">
        <v>4872</v>
      </c>
      <c r="L464">
        <v>46302</v>
      </c>
      <c r="P464">
        <v>130</v>
      </c>
    </row>
    <row r="465" spans="1:16" x14ac:dyDescent="0.4">
      <c r="A465">
        <v>2022</v>
      </c>
      <c r="B465" t="s">
        <v>4576</v>
      </c>
      <c r="D465" t="s">
        <v>4901</v>
      </c>
      <c r="E465" t="s">
        <v>5146</v>
      </c>
      <c r="F465" t="s">
        <v>5147</v>
      </c>
      <c r="G465" t="s">
        <v>2675</v>
      </c>
      <c r="H465" t="s">
        <v>2674</v>
      </c>
      <c r="I465">
        <v>131</v>
      </c>
      <c r="K465" t="s">
        <v>5096</v>
      </c>
      <c r="L465">
        <v>46296</v>
      </c>
      <c r="P465">
        <v>131</v>
      </c>
    </row>
    <row r="466" spans="1:16" x14ac:dyDescent="0.4">
      <c r="A466">
        <v>271</v>
      </c>
      <c r="B466" t="s">
        <v>4576</v>
      </c>
      <c r="G466" t="s">
        <v>2826</v>
      </c>
      <c r="H466" t="s">
        <v>2825</v>
      </c>
      <c r="I466">
        <v>131</v>
      </c>
      <c r="K466" t="s">
        <v>4870</v>
      </c>
      <c r="L466">
        <v>46232</v>
      </c>
      <c r="P466">
        <v>131</v>
      </c>
    </row>
    <row r="467" spans="1:16" x14ac:dyDescent="0.4">
      <c r="A467">
        <v>2334</v>
      </c>
      <c r="B467" t="s">
        <v>4576</v>
      </c>
      <c r="G467" t="s">
        <v>2753</v>
      </c>
      <c r="H467" t="s">
        <v>2752</v>
      </c>
      <c r="I467">
        <v>132</v>
      </c>
      <c r="K467" t="s">
        <v>4872</v>
      </c>
      <c r="L467">
        <v>46302</v>
      </c>
      <c r="P467">
        <v>132</v>
      </c>
    </row>
    <row r="468" spans="1:16" x14ac:dyDescent="0.4">
      <c r="A468">
        <v>1014</v>
      </c>
      <c r="B468" t="s">
        <v>4576</v>
      </c>
      <c r="D468" t="s">
        <v>4916</v>
      </c>
      <c r="G468" t="s">
        <v>1479</v>
      </c>
      <c r="H468" t="s">
        <v>1478</v>
      </c>
      <c r="I468">
        <v>133</v>
      </c>
      <c r="K468" t="s">
        <v>5064</v>
      </c>
      <c r="L468">
        <v>46276</v>
      </c>
      <c r="P468">
        <v>133</v>
      </c>
    </row>
    <row r="469" spans="1:16" x14ac:dyDescent="0.4">
      <c r="A469">
        <v>1015</v>
      </c>
      <c r="B469" t="s">
        <v>4576</v>
      </c>
      <c r="D469" t="s">
        <v>4916</v>
      </c>
      <c r="G469" t="s">
        <v>1483</v>
      </c>
      <c r="H469" t="s">
        <v>1482</v>
      </c>
      <c r="I469">
        <v>133</v>
      </c>
      <c r="K469" t="s">
        <v>5082</v>
      </c>
      <c r="L469">
        <v>46276</v>
      </c>
      <c r="P469">
        <v>133</v>
      </c>
    </row>
    <row r="470" spans="1:16" x14ac:dyDescent="0.4">
      <c r="A470">
        <v>1016</v>
      </c>
      <c r="B470" t="s">
        <v>4576</v>
      </c>
      <c r="D470" t="s">
        <v>4916</v>
      </c>
      <c r="G470" t="s">
        <v>1481</v>
      </c>
      <c r="H470" t="s">
        <v>1480</v>
      </c>
      <c r="I470">
        <v>134</v>
      </c>
      <c r="K470" t="s">
        <v>5064</v>
      </c>
      <c r="L470">
        <v>46276</v>
      </c>
      <c r="P470">
        <v>134</v>
      </c>
    </row>
    <row r="471" spans="1:16" x14ac:dyDescent="0.4">
      <c r="A471">
        <v>1844</v>
      </c>
      <c r="B471" t="s">
        <v>4576</v>
      </c>
      <c r="G471" t="s">
        <v>1594</v>
      </c>
      <c r="H471" t="s">
        <v>1593</v>
      </c>
      <c r="I471">
        <v>134</v>
      </c>
      <c r="K471" t="s">
        <v>5037</v>
      </c>
      <c r="L471">
        <v>46295</v>
      </c>
      <c r="P471">
        <v>134</v>
      </c>
    </row>
    <row r="472" spans="1:16" x14ac:dyDescent="0.4">
      <c r="A472">
        <v>2359</v>
      </c>
      <c r="B472" t="s">
        <v>4576</v>
      </c>
      <c r="G472" t="s">
        <v>658</v>
      </c>
      <c r="H472" t="s">
        <v>657</v>
      </c>
      <c r="I472">
        <v>134</v>
      </c>
      <c r="K472" t="s">
        <v>4967</v>
      </c>
      <c r="L472">
        <v>46302</v>
      </c>
      <c r="P472">
        <v>134</v>
      </c>
    </row>
    <row r="473" spans="1:16" x14ac:dyDescent="0.4">
      <c r="A473">
        <v>2321</v>
      </c>
      <c r="B473" t="s">
        <v>4576</v>
      </c>
      <c r="G473" t="s">
        <v>2842</v>
      </c>
      <c r="H473" t="s">
        <v>2841</v>
      </c>
      <c r="I473">
        <v>135</v>
      </c>
      <c r="K473" t="s">
        <v>4869</v>
      </c>
      <c r="L473">
        <v>46302</v>
      </c>
      <c r="P473">
        <v>135</v>
      </c>
    </row>
    <row r="474" spans="1:16" x14ac:dyDescent="0.4">
      <c r="A474">
        <v>431</v>
      </c>
      <c r="B474" t="s">
        <v>4576</v>
      </c>
      <c r="G474" t="s">
        <v>3791</v>
      </c>
      <c r="H474" t="s">
        <v>4919</v>
      </c>
      <c r="I474">
        <v>137</v>
      </c>
      <c r="K474" t="s">
        <v>4741</v>
      </c>
      <c r="L474">
        <v>46259</v>
      </c>
      <c r="P474">
        <v>137</v>
      </c>
    </row>
    <row r="475" spans="1:16" x14ac:dyDescent="0.4">
      <c r="A475">
        <v>2442</v>
      </c>
      <c r="B475" t="s">
        <v>4576</v>
      </c>
      <c r="G475" t="s">
        <v>707</v>
      </c>
      <c r="H475" t="s">
        <v>706</v>
      </c>
      <c r="I475">
        <v>139</v>
      </c>
      <c r="K475" t="s">
        <v>4956</v>
      </c>
      <c r="L475">
        <v>46301</v>
      </c>
      <c r="P475">
        <v>139</v>
      </c>
    </row>
    <row r="476" spans="1:16" x14ac:dyDescent="0.4">
      <c r="A476">
        <v>1020</v>
      </c>
      <c r="B476" t="s">
        <v>4576</v>
      </c>
      <c r="D476" t="s">
        <v>4916</v>
      </c>
      <c r="G476" t="s">
        <v>1214</v>
      </c>
      <c r="H476" t="s">
        <v>1213</v>
      </c>
      <c r="I476">
        <v>140</v>
      </c>
      <c r="K476" t="s">
        <v>5059</v>
      </c>
      <c r="L476">
        <v>46276</v>
      </c>
      <c r="P476">
        <v>140</v>
      </c>
    </row>
    <row r="477" spans="1:16" x14ac:dyDescent="0.4">
      <c r="A477">
        <v>2535</v>
      </c>
      <c r="B477" t="s">
        <v>4576</v>
      </c>
      <c r="G477" t="s">
        <v>639</v>
      </c>
      <c r="H477" t="s">
        <v>638</v>
      </c>
      <c r="I477">
        <v>140</v>
      </c>
      <c r="K477" t="s">
        <v>4984</v>
      </c>
      <c r="L477">
        <v>46308</v>
      </c>
      <c r="P477">
        <v>140</v>
      </c>
    </row>
    <row r="478" spans="1:16" x14ac:dyDescent="0.4">
      <c r="A478">
        <v>1021</v>
      </c>
      <c r="B478" t="s">
        <v>4576</v>
      </c>
      <c r="D478" t="s">
        <v>4916</v>
      </c>
      <c r="G478" t="s">
        <v>932</v>
      </c>
      <c r="H478" t="s">
        <v>931</v>
      </c>
      <c r="I478">
        <v>142</v>
      </c>
      <c r="K478" t="s">
        <v>5079</v>
      </c>
      <c r="L478">
        <v>46276</v>
      </c>
      <c r="P478">
        <v>142</v>
      </c>
    </row>
    <row r="479" spans="1:16" x14ac:dyDescent="0.4">
      <c r="A479">
        <v>1845</v>
      </c>
      <c r="B479" t="s">
        <v>4576</v>
      </c>
      <c r="G479" t="s">
        <v>1618</v>
      </c>
      <c r="H479" t="s">
        <v>1617</v>
      </c>
      <c r="I479">
        <v>143</v>
      </c>
      <c r="K479" t="s">
        <v>4867</v>
      </c>
      <c r="L479">
        <v>46295</v>
      </c>
      <c r="P479">
        <v>143</v>
      </c>
    </row>
    <row r="480" spans="1:16" x14ac:dyDescent="0.4">
      <c r="A480">
        <v>1310</v>
      </c>
      <c r="B480" t="s">
        <v>4576</v>
      </c>
      <c r="G480" t="s">
        <v>3889</v>
      </c>
      <c r="H480" t="s">
        <v>3888</v>
      </c>
      <c r="I480">
        <v>144</v>
      </c>
      <c r="K480" t="s">
        <v>3883</v>
      </c>
      <c r="L480">
        <v>46287</v>
      </c>
      <c r="P480">
        <v>144</v>
      </c>
    </row>
    <row r="481" spans="1:16" x14ac:dyDescent="0.4">
      <c r="A481">
        <v>1948</v>
      </c>
      <c r="B481" t="s">
        <v>4576</v>
      </c>
      <c r="D481" t="s">
        <v>4901</v>
      </c>
      <c r="E481" t="s">
        <v>5148</v>
      </c>
      <c r="F481" t="s">
        <v>4939</v>
      </c>
      <c r="G481" t="s">
        <v>727</v>
      </c>
      <c r="H481" t="s">
        <v>4969</v>
      </c>
      <c r="I481">
        <v>144</v>
      </c>
      <c r="K481" t="s">
        <v>4851</v>
      </c>
      <c r="L481">
        <v>46297</v>
      </c>
      <c r="P481">
        <v>144</v>
      </c>
    </row>
    <row r="482" spans="1:16" x14ac:dyDescent="0.4">
      <c r="A482">
        <v>1917</v>
      </c>
      <c r="B482" t="s">
        <v>4576</v>
      </c>
      <c r="G482" t="s">
        <v>1316</v>
      </c>
      <c r="H482" t="s">
        <v>1315</v>
      </c>
      <c r="I482">
        <v>146</v>
      </c>
      <c r="K482" t="s">
        <v>4995</v>
      </c>
      <c r="L482">
        <v>46295</v>
      </c>
      <c r="P482">
        <v>146</v>
      </c>
    </row>
    <row r="483" spans="1:16" x14ac:dyDescent="0.4">
      <c r="A483">
        <v>2335</v>
      </c>
      <c r="B483" t="s">
        <v>4576</v>
      </c>
      <c r="G483" t="s">
        <v>2786</v>
      </c>
      <c r="H483" t="s">
        <v>2785</v>
      </c>
      <c r="I483">
        <v>146</v>
      </c>
      <c r="K483" t="s">
        <v>4949</v>
      </c>
      <c r="L483">
        <v>46302</v>
      </c>
      <c r="P483">
        <v>146</v>
      </c>
    </row>
    <row r="484" spans="1:16" x14ac:dyDescent="0.4">
      <c r="A484">
        <v>1333</v>
      </c>
      <c r="B484" t="s">
        <v>4576</v>
      </c>
      <c r="G484" t="s">
        <v>4004</v>
      </c>
      <c r="H484" t="s">
        <v>4003</v>
      </c>
      <c r="I484">
        <v>148</v>
      </c>
      <c r="K484" t="s">
        <v>4002</v>
      </c>
      <c r="L484">
        <v>46287</v>
      </c>
      <c r="P484">
        <v>148</v>
      </c>
    </row>
    <row r="485" spans="1:16" x14ac:dyDescent="0.4">
      <c r="A485">
        <v>2035</v>
      </c>
      <c r="B485" t="s">
        <v>4576</v>
      </c>
      <c r="D485" t="s">
        <v>4901</v>
      </c>
      <c r="E485" t="s">
        <v>5146</v>
      </c>
      <c r="F485" t="s">
        <v>5147</v>
      </c>
      <c r="G485" t="s">
        <v>2657</v>
      </c>
      <c r="H485" t="s">
        <v>2656</v>
      </c>
      <c r="I485">
        <v>150</v>
      </c>
      <c r="K485" t="s">
        <v>5101</v>
      </c>
      <c r="L485">
        <v>46296</v>
      </c>
      <c r="P485">
        <v>150</v>
      </c>
    </row>
    <row r="486" spans="1:16" x14ac:dyDescent="0.4">
      <c r="A486">
        <v>2024</v>
      </c>
      <c r="B486" t="s">
        <v>4576</v>
      </c>
      <c r="D486" t="s">
        <v>4901</v>
      </c>
      <c r="E486" t="s">
        <v>5146</v>
      </c>
      <c r="F486" t="s">
        <v>5147</v>
      </c>
      <c r="G486" t="s">
        <v>2666</v>
      </c>
      <c r="H486" t="s">
        <v>2665</v>
      </c>
      <c r="I486">
        <v>150</v>
      </c>
      <c r="K486" t="s">
        <v>5096</v>
      </c>
      <c r="L486">
        <v>46296</v>
      </c>
      <c r="P486">
        <v>150</v>
      </c>
    </row>
    <row r="487" spans="1:16" x14ac:dyDescent="0.4">
      <c r="A487">
        <v>1950</v>
      </c>
      <c r="B487" t="s">
        <v>4576</v>
      </c>
      <c r="D487" t="s">
        <v>4901</v>
      </c>
      <c r="E487" t="s">
        <v>4936</v>
      </c>
      <c r="F487" t="s">
        <v>4939</v>
      </c>
      <c r="G487" t="s">
        <v>1430</v>
      </c>
      <c r="H487" t="s">
        <v>1429</v>
      </c>
      <c r="I487">
        <v>150</v>
      </c>
      <c r="K487" t="s">
        <v>5073</v>
      </c>
      <c r="L487">
        <v>46296</v>
      </c>
      <c r="P487">
        <v>150</v>
      </c>
    </row>
    <row r="488" spans="1:16" x14ac:dyDescent="0.4">
      <c r="A488">
        <v>1963</v>
      </c>
      <c r="B488" t="s">
        <v>4576</v>
      </c>
      <c r="D488" t="s">
        <v>4901</v>
      </c>
      <c r="E488" t="s">
        <v>4936</v>
      </c>
      <c r="F488" t="s">
        <v>4939</v>
      </c>
      <c r="G488" t="s">
        <v>560</v>
      </c>
      <c r="H488" t="s">
        <v>559</v>
      </c>
      <c r="I488">
        <v>150</v>
      </c>
      <c r="K488" t="s">
        <v>5107</v>
      </c>
      <c r="L488">
        <v>46296</v>
      </c>
      <c r="P488">
        <v>150</v>
      </c>
    </row>
    <row r="489" spans="1:16" x14ac:dyDescent="0.4">
      <c r="A489">
        <v>2018</v>
      </c>
      <c r="B489" t="s">
        <v>4576</v>
      </c>
      <c r="D489" t="s">
        <v>4901</v>
      </c>
      <c r="E489" t="s">
        <v>5146</v>
      </c>
      <c r="F489" t="s">
        <v>5147</v>
      </c>
      <c r="G489" t="s">
        <v>2714</v>
      </c>
      <c r="H489" t="s">
        <v>2713</v>
      </c>
      <c r="I489">
        <v>150</v>
      </c>
      <c r="K489" t="s">
        <v>5061</v>
      </c>
      <c r="L489">
        <v>46296</v>
      </c>
      <c r="P489">
        <v>150</v>
      </c>
    </row>
    <row r="490" spans="1:16" x14ac:dyDescent="0.4">
      <c r="A490">
        <v>2019</v>
      </c>
      <c r="B490" t="s">
        <v>4576</v>
      </c>
      <c r="D490" t="s">
        <v>4901</v>
      </c>
      <c r="E490" t="s">
        <v>5146</v>
      </c>
      <c r="F490" t="s">
        <v>5147</v>
      </c>
      <c r="G490" t="s">
        <v>2742</v>
      </c>
      <c r="H490" t="s">
        <v>2741</v>
      </c>
      <c r="I490">
        <v>150</v>
      </c>
      <c r="K490" t="s">
        <v>5062</v>
      </c>
      <c r="L490">
        <v>46296</v>
      </c>
      <c r="P490">
        <v>150</v>
      </c>
    </row>
    <row r="491" spans="1:16" x14ac:dyDescent="0.4">
      <c r="A491">
        <v>2026</v>
      </c>
      <c r="B491" t="s">
        <v>4576</v>
      </c>
      <c r="D491" t="s">
        <v>4901</v>
      </c>
      <c r="E491" t="s">
        <v>5146</v>
      </c>
      <c r="F491" t="s">
        <v>5147</v>
      </c>
      <c r="G491" t="s">
        <v>2700</v>
      </c>
      <c r="H491" t="s">
        <v>2699</v>
      </c>
      <c r="I491">
        <v>150</v>
      </c>
      <c r="K491" t="s">
        <v>4869</v>
      </c>
      <c r="L491">
        <v>46296</v>
      </c>
      <c r="P491">
        <v>150</v>
      </c>
    </row>
    <row r="492" spans="1:16" x14ac:dyDescent="0.4">
      <c r="A492">
        <v>2029</v>
      </c>
      <c r="B492" t="s">
        <v>4576</v>
      </c>
      <c r="D492" t="s">
        <v>4901</v>
      </c>
      <c r="E492" t="s">
        <v>5146</v>
      </c>
      <c r="F492" t="s">
        <v>5147</v>
      </c>
      <c r="G492" t="s">
        <v>2711</v>
      </c>
      <c r="H492" t="s">
        <v>2710</v>
      </c>
      <c r="I492">
        <v>150</v>
      </c>
      <c r="K492" t="s">
        <v>5061</v>
      </c>
      <c r="L492">
        <v>46296</v>
      </c>
      <c r="P492">
        <v>150</v>
      </c>
    </row>
    <row r="493" spans="1:16" x14ac:dyDescent="0.4">
      <c r="A493">
        <v>2045</v>
      </c>
      <c r="B493" t="s">
        <v>4576</v>
      </c>
      <c r="D493" t="s">
        <v>4901</v>
      </c>
      <c r="E493" t="s">
        <v>5146</v>
      </c>
      <c r="F493" t="s">
        <v>5147</v>
      </c>
      <c r="G493" t="s">
        <v>5110</v>
      </c>
      <c r="H493" t="s">
        <v>2661</v>
      </c>
      <c r="I493">
        <v>150</v>
      </c>
      <c r="K493" t="s">
        <v>5101</v>
      </c>
      <c r="L493">
        <v>46296</v>
      </c>
      <c r="P493">
        <v>150</v>
      </c>
    </row>
    <row r="494" spans="1:16" x14ac:dyDescent="0.4">
      <c r="A494">
        <v>2054</v>
      </c>
      <c r="B494" t="s">
        <v>4576</v>
      </c>
      <c r="D494" t="s">
        <v>4901</v>
      </c>
      <c r="E494" t="s">
        <v>5146</v>
      </c>
      <c r="F494" t="s">
        <v>5147</v>
      </c>
      <c r="G494" t="s">
        <v>5132</v>
      </c>
      <c r="H494" t="s">
        <v>2789</v>
      </c>
      <c r="I494">
        <v>150</v>
      </c>
      <c r="K494" t="s">
        <v>4869</v>
      </c>
      <c r="L494">
        <v>46296</v>
      </c>
      <c r="P494">
        <v>150</v>
      </c>
    </row>
    <row r="495" spans="1:16" x14ac:dyDescent="0.4">
      <c r="A495">
        <v>2413</v>
      </c>
      <c r="B495" t="s">
        <v>4576</v>
      </c>
      <c r="G495" t="s">
        <v>1996</v>
      </c>
      <c r="H495" t="s">
        <v>1995</v>
      </c>
      <c r="I495">
        <v>150</v>
      </c>
      <c r="K495" t="s">
        <v>5141</v>
      </c>
      <c r="L495">
        <v>46301</v>
      </c>
      <c r="P495">
        <v>150</v>
      </c>
    </row>
    <row r="496" spans="1:16" x14ac:dyDescent="0.4">
      <c r="A496">
        <v>2416</v>
      </c>
      <c r="B496" t="s">
        <v>4576</v>
      </c>
      <c r="G496" t="s">
        <v>4541</v>
      </c>
      <c r="H496" t="s">
        <v>5139</v>
      </c>
      <c r="I496">
        <v>150</v>
      </c>
      <c r="K496" t="s">
        <v>5125</v>
      </c>
      <c r="L496">
        <v>46301</v>
      </c>
      <c r="P496">
        <v>150</v>
      </c>
    </row>
    <row r="497" spans="1:16" x14ac:dyDescent="0.4">
      <c r="A497">
        <v>2165</v>
      </c>
      <c r="B497" t="s">
        <v>4576</v>
      </c>
      <c r="G497" t="s">
        <v>1534</v>
      </c>
      <c r="H497" t="s">
        <v>1533</v>
      </c>
      <c r="I497">
        <v>154</v>
      </c>
      <c r="K497" t="s">
        <v>5024</v>
      </c>
      <c r="L497">
        <v>46293</v>
      </c>
      <c r="P497">
        <v>154</v>
      </c>
    </row>
    <row r="498" spans="1:16" x14ac:dyDescent="0.4">
      <c r="A498">
        <v>2329</v>
      </c>
      <c r="B498" t="s">
        <v>4576</v>
      </c>
      <c r="G498" t="s">
        <v>2750</v>
      </c>
      <c r="H498" t="s">
        <v>2749</v>
      </c>
      <c r="I498">
        <v>154</v>
      </c>
      <c r="K498" t="s">
        <v>4872</v>
      </c>
      <c r="L498">
        <v>46302</v>
      </c>
      <c r="P498">
        <v>154</v>
      </c>
    </row>
    <row r="499" spans="1:16" x14ac:dyDescent="0.4">
      <c r="A499">
        <v>2145</v>
      </c>
      <c r="B499" t="s">
        <v>4576</v>
      </c>
      <c r="G499" t="s">
        <v>425</v>
      </c>
      <c r="H499" t="s">
        <v>424</v>
      </c>
      <c r="I499">
        <v>156</v>
      </c>
      <c r="K499" t="s">
        <v>5102</v>
      </c>
      <c r="L499">
        <v>46293</v>
      </c>
      <c r="P499">
        <v>156</v>
      </c>
    </row>
    <row r="500" spans="1:16" x14ac:dyDescent="0.4">
      <c r="A500">
        <v>2065</v>
      </c>
      <c r="B500" t="s">
        <v>4576</v>
      </c>
      <c r="D500" t="s">
        <v>4901</v>
      </c>
      <c r="E500" t="s">
        <v>5153</v>
      </c>
      <c r="F500" t="s">
        <v>5147</v>
      </c>
      <c r="G500" t="s">
        <v>1813</v>
      </c>
      <c r="H500" t="s">
        <v>1812</v>
      </c>
      <c r="I500">
        <v>159</v>
      </c>
      <c r="K500" t="s">
        <v>5137</v>
      </c>
      <c r="L500">
        <v>46301</v>
      </c>
      <c r="P500">
        <v>159</v>
      </c>
    </row>
    <row r="501" spans="1:16" x14ac:dyDescent="0.4">
      <c r="A501">
        <v>2060</v>
      </c>
      <c r="B501" t="s">
        <v>4576</v>
      </c>
      <c r="D501" t="s">
        <v>4901</v>
      </c>
      <c r="E501" t="s">
        <v>5160</v>
      </c>
      <c r="F501" t="s">
        <v>5147</v>
      </c>
      <c r="G501" t="s">
        <v>2923</v>
      </c>
      <c r="H501" t="s">
        <v>2922</v>
      </c>
      <c r="I501">
        <v>160</v>
      </c>
      <c r="K501" t="s">
        <v>2924</v>
      </c>
      <c r="L501">
        <v>46297</v>
      </c>
      <c r="P501">
        <v>160</v>
      </c>
    </row>
    <row r="502" spans="1:16" x14ac:dyDescent="0.4">
      <c r="A502">
        <v>2404</v>
      </c>
      <c r="B502" t="s">
        <v>4576</v>
      </c>
      <c r="G502" t="s">
        <v>1890</v>
      </c>
      <c r="H502" t="s">
        <v>1889</v>
      </c>
      <c r="I502">
        <v>161</v>
      </c>
      <c r="K502" t="s">
        <v>5137</v>
      </c>
      <c r="L502">
        <v>46301</v>
      </c>
      <c r="P502">
        <v>161</v>
      </c>
    </row>
    <row r="503" spans="1:16" x14ac:dyDescent="0.4">
      <c r="A503">
        <v>2171</v>
      </c>
      <c r="B503" t="s">
        <v>4576</v>
      </c>
      <c r="G503" t="s">
        <v>2807</v>
      </c>
      <c r="H503" t="s">
        <v>2806</v>
      </c>
      <c r="I503">
        <v>162</v>
      </c>
      <c r="K503" t="s">
        <v>4947</v>
      </c>
      <c r="L503">
        <v>46293</v>
      </c>
      <c r="P503">
        <v>162</v>
      </c>
    </row>
    <row r="504" spans="1:16" x14ac:dyDescent="0.4">
      <c r="A504">
        <v>2443</v>
      </c>
      <c r="B504" t="s">
        <v>4576</v>
      </c>
      <c r="G504" t="s">
        <v>1662</v>
      </c>
      <c r="H504" t="s">
        <v>1661</v>
      </c>
      <c r="I504">
        <v>162</v>
      </c>
      <c r="K504" t="s">
        <v>5026</v>
      </c>
      <c r="L504">
        <v>46301</v>
      </c>
      <c r="P504">
        <v>162</v>
      </c>
    </row>
    <row r="505" spans="1:16" x14ac:dyDescent="0.4">
      <c r="A505">
        <v>2063</v>
      </c>
      <c r="B505" t="s">
        <v>4576</v>
      </c>
      <c r="D505" t="s">
        <v>4901</v>
      </c>
      <c r="E505" t="s">
        <v>5153</v>
      </c>
      <c r="F505" t="s">
        <v>5147</v>
      </c>
      <c r="G505" t="s">
        <v>1354</v>
      </c>
      <c r="H505" t="s">
        <v>1353</v>
      </c>
      <c r="I505">
        <v>163</v>
      </c>
      <c r="K505" t="s">
        <v>4957</v>
      </c>
      <c r="L505">
        <v>46301</v>
      </c>
      <c r="P505">
        <v>163</v>
      </c>
    </row>
    <row r="506" spans="1:16" x14ac:dyDescent="0.4">
      <c r="A506">
        <v>2353</v>
      </c>
      <c r="B506" t="s">
        <v>4576</v>
      </c>
      <c r="G506" t="s">
        <v>4001</v>
      </c>
      <c r="H506" t="s">
        <v>4000</v>
      </c>
      <c r="I506">
        <v>163</v>
      </c>
      <c r="K506" t="s">
        <v>4002</v>
      </c>
      <c r="L506">
        <v>46295</v>
      </c>
      <c r="P506">
        <v>163</v>
      </c>
    </row>
    <row r="507" spans="1:16" x14ac:dyDescent="0.4">
      <c r="A507">
        <v>2426</v>
      </c>
      <c r="B507" t="s">
        <v>4576</v>
      </c>
      <c r="G507" t="s">
        <v>1370</v>
      </c>
      <c r="H507" t="s">
        <v>1369</v>
      </c>
      <c r="I507">
        <v>164</v>
      </c>
      <c r="K507" t="s">
        <v>5123</v>
      </c>
      <c r="L507">
        <v>46301</v>
      </c>
      <c r="P507">
        <v>164</v>
      </c>
    </row>
    <row r="508" spans="1:16" x14ac:dyDescent="0.4">
      <c r="A508">
        <v>2496</v>
      </c>
      <c r="B508" t="s">
        <v>4576</v>
      </c>
      <c r="G508" t="s">
        <v>1190</v>
      </c>
      <c r="H508" t="s">
        <v>1189</v>
      </c>
      <c r="I508">
        <v>165</v>
      </c>
      <c r="K508" t="s">
        <v>4953</v>
      </c>
      <c r="L508">
        <v>46303</v>
      </c>
      <c r="P508">
        <v>165</v>
      </c>
    </row>
    <row r="509" spans="1:16" x14ac:dyDescent="0.4">
      <c r="A509">
        <v>1645</v>
      </c>
      <c r="B509" t="s">
        <v>4576</v>
      </c>
      <c r="G509" t="s">
        <v>2748</v>
      </c>
      <c r="H509" t="s">
        <v>2747</v>
      </c>
      <c r="I509">
        <v>167</v>
      </c>
      <c r="K509" t="s">
        <v>4869</v>
      </c>
      <c r="L509">
        <v>46280</v>
      </c>
      <c r="P509">
        <v>167</v>
      </c>
    </row>
    <row r="510" spans="1:16" x14ac:dyDescent="0.4">
      <c r="A510">
        <v>1919</v>
      </c>
      <c r="B510" t="s">
        <v>4576</v>
      </c>
      <c r="G510" t="s">
        <v>2046</v>
      </c>
      <c r="H510" t="s">
        <v>2045</v>
      </c>
      <c r="I510">
        <v>169</v>
      </c>
      <c r="K510" t="s">
        <v>5063</v>
      </c>
      <c r="L510">
        <v>46295</v>
      </c>
      <c r="P510">
        <v>169</v>
      </c>
    </row>
    <row r="511" spans="1:16" x14ac:dyDescent="0.4">
      <c r="A511">
        <v>1024</v>
      </c>
      <c r="B511" t="s">
        <v>4576</v>
      </c>
      <c r="D511" t="s">
        <v>4916</v>
      </c>
      <c r="G511" t="s">
        <v>1473</v>
      </c>
      <c r="H511" t="s">
        <v>1472</v>
      </c>
      <c r="I511">
        <v>170</v>
      </c>
      <c r="K511" t="s">
        <v>5064</v>
      </c>
      <c r="L511">
        <v>46276</v>
      </c>
      <c r="P511">
        <v>170</v>
      </c>
    </row>
    <row r="512" spans="1:16" x14ac:dyDescent="0.4">
      <c r="A512">
        <v>1025</v>
      </c>
      <c r="B512" t="s">
        <v>4576</v>
      </c>
      <c r="D512" t="s">
        <v>4916</v>
      </c>
      <c r="G512" t="s">
        <v>987</v>
      </c>
      <c r="H512" t="s">
        <v>5099</v>
      </c>
      <c r="I512">
        <v>171</v>
      </c>
      <c r="K512" t="s">
        <v>5100</v>
      </c>
      <c r="L512">
        <v>46276</v>
      </c>
      <c r="P512">
        <v>171</v>
      </c>
    </row>
    <row r="513" spans="1:16" x14ac:dyDescent="0.4">
      <c r="A513">
        <v>1302</v>
      </c>
      <c r="B513" t="s">
        <v>4576</v>
      </c>
      <c r="G513" t="s">
        <v>3945</v>
      </c>
      <c r="H513" t="s">
        <v>3944</v>
      </c>
      <c r="I513">
        <v>171</v>
      </c>
      <c r="K513" t="s">
        <v>3946</v>
      </c>
      <c r="L513">
        <v>46287</v>
      </c>
      <c r="P513">
        <v>171</v>
      </c>
    </row>
    <row r="514" spans="1:16" x14ac:dyDescent="0.4">
      <c r="A514">
        <v>2027</v>
      </c>
      <c r="B514" t="s">
        <v>4576</v>
      </c>
      <c r="D514" t="s">
        <v>4901</v>
      </c>
      <c r="E514" t="s">
        <v>5146</v>
      </c>
      <c r="F514" t="s">
        <v>5147</v>
      </c>
      <c r="G514" t="s">
        <v>8</v>
      </c>
      <c r="H514" t="s">
        <v>2678</v>
      </c>
      <c r="I514">
        <v>176</v>
      </c>
      <c r="K514" t="s">
        <v>5092</v>
      </c>
      <c r="L514">
        <v>46296</v>
      </c>
      <c r="P514">
        <v>176</v>
      </c>
    </row>
    <row r="515" spans="1:16" x14ac:dyDescent="0.4">
      <c r="A515">
        <v>281</v>
      </c>
      <c r="B515" t="s">
        <v>4576</v>
      </c>
      <c r="G515" t="s">
        <v>2256</v>
      </c>
      <c r="H515" t="s">
        <v>2255</v>
      </c>
      <c r="I515">
        <v>177</v>
      </c>
      <c r="K515" t="s">
        <v>4871</v>
      </c>
      <c r="L515">
        <v>46232</v>
      </c>
      <c r="P515">
        <v>177</v>
      </c>
    </row>
    <row r="516" spans="1:16" x14ac:dyDescent="0.4">
      <c r="A516">
        <v>1337</v>
      </c>
      <c r="B516" t="s">
        <v>4576</v>
      </c>
      <c r="G516" t="s">
        <v>3985</v>
      </c>
      <c r="H516" t="s">
        <v>3984</v>
      </c>
      <c r="I516">
        <v>177</v>
      </c>
      <c r="K516" t="s">
        <v>3986</v>
      </c>
      <c r="L516">
        <v>46287</v>
      </c>
      <c r="P516">
        <v>177</v>
      </c>
    </row>
    <row r="517" spans="1:16" x14ac:dyDescent="0.4">
      <c r="A517">
        <v>1898</v>
      </c>
      <c r="B517" t="s">
        <v>4576</v>
      </c>
      <c r="G517" t="s">
        <v>588</v>
      </c>
      <c r="H517" t="s">
        <v>587</v>
      </c>
      <c r="I517">
        <v>177</v>
      </c>
      <c r="K517" t="s">
        <v>5058</v>
      </c>
      <c r="L517">
        <v>46295</v>
      </c>
      <c r="P517">
        <v>177</v>
      </c>
    </row>
    <row r="518" spans="1:16" x14ac:dyDescent="0.4">
      <c r="A518">
        <v>2428</v>
      </c>
      <c r="B518" t="s">
        <v>4576</v>
      </c>
      <c r="G518" t="s">
        <v>1664</v>
      </c>
      <c r="H518" t="s">
        <v>1663</v>
      </c>
      <c r="I518">
        <v>177</v>
      </c>
      <c r="K518" t="s">
        <v>5038</v>
      </c>
      <c r="L518">
        <v>46301</v>
      </c>
      <c r="P518">
        <v>177</v>
      </c>
    </row>
    <row r="519" spans="1:16" x14ac:dyDescent="0.4">
      <c r="A519">
        <v>2508</v>
      </c>
      <c r="B519" t="s">
        <v>4576</v>
      </c>
      <c r="G519" t="s">
        <v>2638</v>
      </c>
      <c r="H519" t="s">
        <v>2637</v>
      </c>
      <c r="I519">
        <v>180</v>
      </c>
      <c r="K519" t="s">
        <v>4869</v>
      </c>
      <c r="L519">
        <v>46297</v>
      </c>
      <c r="P519">
        <v>180</v>
      </c>
    </row>
    <row r="520" spans="1:16" x14ac:dyDescent="0.4">
      <c r="A520">
        <v>1329</v>
      </c>
      <c r="B520" t="s">
        <v>4576</v>
      </c>
      <c r="G520" t="s">
        <v>3960</v>
      </c>
      <c r="H520" t="s">
        <v>3959</v>
      </c>
      <c r="I520">
        <v>182</v>
      </c>
      <c r="K520" t="s">
        <v>3961</v>
      </c>
      <c r="L520">
        <v>46287</v>
      </c>
      <c r="P520">
        <v>182</v>
      </c>
    </row>
    <row r="521" spans="1:16" x14ac:dyDescent="0.4">
      <c r="A521">
        <v>1846</v>
      </c>
      <c r="B521" t="s">
        <v>4576</v>
      </c>
      <c r="G521" t="s">
        <v>1598</v>
      </c>
      <c r="H521" t="s">
        <v>1597</v>
      </c>
      <c r="I521">
        <v>182</v>
      </c>
      <c r="K521" t="s">
        <v>5037</v>
      </c>
      <c r="L521">
        <v>46295</v>
      </c>
      <c r="P521">
        <v>182</v>
      </c>
    </row>
    <row r="522" spans="1:16" x14ac:dyDescent="0.4">
      <c r="A522">
        <v>2053</v>
      </c>
      <c r="B522" t="s">
        <v>4576</v>
      </c>
      <c r="D522" t="s">
        <v>4901</v>
      </c>
      <c r="E522" t="s">
        <v>5146</v>
      </c>
      <c r="F522" t="s">
        <v>5147</v>
      </c>
      <c r="G522" t="s">
        <v>2780</v>
      </c>
      <c r="H522" t="s">
        <v>2779</v>
      </c>
      <c r="I522">
        <v>183</v>
      </c>
      <c r="K522" t="s">
        <v>4949</v>
      </c>
      <c r="L522">
        <v>46296</v>
      </c>
      <c r="P522">
        <v>183</v>
      </c>
    </row>
    <row r="523" spans="1:16" x14ac:dyDescent="0.4">
      <c r="A523">
        <v>1032</v>
      </c>
      <c r="B523" t="s">
        <v>4576</v>
      </c>
      <c r="D523" t="s">
        <v>4916</v>
      </c>
      <c r="G523" t="s">
        <v>677</v>
      </c>
      <c r="H523" t="s">
        <v>676</v>
      </c>
      <c r="I523">
        <v>183</v>
      </c>
      <c r="K523" t="s">
        <v>5064</v>
      </c>
      <c r="L523">
        <v>46276</v>
      </c>
      <c r="P523">
        <v>183</v>
      </c>
    </row>
    <row r="524" spans="1:16" x14ac:dyDescent="0.4">
      <c r="A524">
        <v>1295</v>
      </c>
      <c r="B524" t="s">
        <v>4576</v>
      </c>
      <c r="G524" t="s">
        <v>4733</v>
      </c>
      <c r="H524" t="s">
        <v>3941</v>
      </c>
      <c r="I524">
        <v>185</v>
      </c>
      <c r="K524" t="s">
        <v>3943</v>
      </c>
      <c r="L524">
        <v>46287</v>
      </c>
      <c r="P524">
        <v>185</v>
      </c>
    </row>
    <row r="525" spans="1:16" x14ac:dyDescent="0.4">
      <c r="A525">
        <v>2536</v>
      </c>
      <c r="B525" t="s">
        <v>4576</v>
      </c>
      <c r="G525" t="s">
        <v>729</v>
      </c>
      <c r="H525" t="s">
        <v>728</v>
      </c>
      <c r="I525">
        <v>185</v>
      </c>
      <c r="K525" t="s">
        <v>4985</v>
      </c>
      <c r="L525">
        <v>46308</v>
      </c>
      <c r="P525">
        <v>185</v>
      </c>
    </row>
    <row r="526" spans="1:16" x14ac:dyDescent="0.4">
      <c r="A526">
        <v>2537</v>
      </c>
      <c r="B526" t="s">
        <v>4576</v>
      </c>
      <c r="G526" t="s">
        <v>645</v>
      </c>
      <c r="H526" t="s">
        <v>4982</v>
      </c>
      <c r="I526">
        <v>186</v>
      </c>
      <c r="K526" t="s">
        <v>4983</v>
      </c>
      <c r="L526">
        <v>46308</v>
      </c>
      <c r="P526">
        <v>186</v>
      </c>
    </row>
    <row r="527" spans="1:16" x14ac:dyDescent="0.4">
      <c r="A527">
        <v>1296</v>
      </c>
      <c r="B527" t="s">
        <v>4576</v>
      </c>
      <c r="G527" t="s">
        <v>3908</v>
      </c>
      <c r="H527" t="s">
        <v>3907</v>
      </c>
      <c r="I527">
        <v>189</v>
      </c>
      <c r="K527" t="s">
        <v>3867</v>
      </c>
      <c r="L527">
        <v>46287</v>
      </c>
      <c r="P527">
        <v>189</v>
      </c>
    </row>
    <row r="528" spans="1:16" x14ac:dyDescent="0.4">
      <c r="A528">
        <v>2371</v>
      </c>
      <c r="B528" t="s">
        <v>4576</v>
      </c>
      <c r="G528" t="s">
        <v>2501</v>
      </c>
      <c r="H528" t="s">
        <v>2500</v>
      </c>
      <c r="I528">
        <v>189</v>
      </c>
      <c r="K528" t="s">
        <v>4955</v>
      </c>
      <c r="L528">
        <v>46302</v>
      </c>
      <c r="P528">
        <v>189</v>
      </c>
    </row>
    <row r="529" spans="1:16" x14ac:dyDescent="0.4">
      <c r="A529">
        <v>1336</v>
      </c>
      <c r="B529" t="s">
        <v>4576</v>
      </c>
      <c r="G529" t="s">
        <v>3963</v>
      </c>
      <c r="H529" t="s">
        <v>3962</v>
      </c>
      <c r="I529">
        <v>190</v>
      </c>
      <c r="K529" t="s">
        <v>3964</v>
      </c>
      <c r="L529">
        <v>46287</v>
      </c>
      <c r="P529">
        <v>190</v>
      </c>
    </row>
    <row r="530" spans="1:16" x14ac:dyDescent="0.4">
      <c r="A530">
        <v>1303</v>
      </c>
      <c r="B530" t="s">
        <v>4576</v>
      </c>
      <c r="G530" t="s">
        <v>3953</v>
      </c>
      <c r="H530" t="s">
        <v>3952</v>
      </c>
      <c r="I530">
        <v>192</v>
      </c>
      <c r="K530" t="s">
        <v>4920</v>
      </c>
      <c r="L530">
        <v>46287</v>
      </c>
      <c r="P530">
        <v>192</v>
      </c>
    </row>
    <row r="531" spans="1:16" x14ac:dyDescent="0.4">
      <c r="A531">
        <v>2497</v>
      </c>
      <c r="B531" t="s">
        <v>4576</v>
      </c>
      <c r="G531" t="s">
        <v>1123</v>
      </c>
      <c r="H531" t="s">
        <v>4917</v>
      </c>
      <c r="I531">
        <v>192</v>
      </c>
      <c r="K531" t="s">
        <v>4918</v>
      </c>
      <c r="L531">
        <v>46303</v>
      </c>
      <c r="P531">
        <v>192</v>
      </c>
    </row>
    <row r="532" spans="1:16" x14ac:dyDescent="0.4">
      <c r="A532">
        <v>2406</v>
      </c>
      <c r="B532" t="s">
        <v>4576</v>
      </c>
      <c r="G532" t="s">
        <v>1992</v>
      </c>
      <c r="H532" t="s">
        <v>1991</v>
      </c>
      <c r="I532">
        <v>193</v>
      </c>
      <c r="K532" t="s">
        <v>5144</v>
      </c>
      <c r="L532">
        <v>46301</v>
      </c>
      <c r="P532">
        <v>193</v>
      </c>
    </row>
    <row r="533" spans="1:16" x14ac:dyDescent="0.4">
      <c r="A533">
        <v>1706</v>
      </c>
      <c r="B533" t="s">
        <v>4576</v>
      </c>
      <c r="G533" t="s">
        <v>4622</v>
      </c>
      <c r="H533">
        <v>0</v>
      </c>
      <c r="I533">
        <v>195</v>
      </c>
      <c r="K533" t="s">
        <v>4728</v>
      </c>
      <c r="L533">
        <v>46287</v>
      </c>
      <c r="P533">
        <v>195</v>
      </c>
    </row>
    <row r="534" spans="1:16" x14ac:dyDescent="0.4">
      <c r="A534">
        <v>2572</v>
      </c>
      <c r="B534" t="s">
        <v>4576</v>
      </c>
      <c r="G534" t="s">
        <v>3434</v>
      </c>
      <c r="H534" t="s">
        <v>3433</v>
      </c>
      <c r="I534">
        <v>197</v>
      </c>
      <c r="K534" t="s">
        <v>2026</v>
      </c>
      <c r="L534">
        <v>46307</v>
      </c>
      <c r="P534">
        <v>197</v>
      </c>
    </row>
    <row r="535" spans="1:16" x14ac:dyDescent="0.4">
      <c r="A535">
        <v>2058</v>
      </c>
      <c r="B535" t="s">
        <v>4576</v>
      </c>
      <c r="D535" t="s">
        <v>4901</v>
      </c>
      <c r="E535" t="s">
        <v>5160</v>
      </c>
      <c r="F535" t="s">
        <v>5147</v>
      </c>
      <c r="G535" t="s">
        <v>699</v>
      </c>
      <c r="H535" t="s">
        <v>4976</v>
      </c>
      <c r="I535">
        <v>200</v>
      </c>
      <c r="K535" t="s">
        <v>4975</v>
      </c>
      <c r="L535">
        <v>46297</v>
      </c>
      <c r="P535">
        <v>200</v>
      </c>
    </row>
    <row r="536" spans="1:16" x14ac:dyDescent="0.4">
      <c r="A536">
        <v>319</v>
      </c>
      <c r="B536" t="s">
        <v>4576</v>
      </c>
      <c r="D536" t="s">
        <v>4901</v>
      </c>
      <c r="G536" t="s">
        <v>3798</v>
      </c>
      <c r="H536" t="s">
        <v>4927</v>
      </c>
      <c r="I536">
        <v>200</v>
      </c>
      <c r="K536" t="s">
        <v>4724</v>
      </c>
      <c r="L536">
        <v>46254</v>
      </c>
      <c r="P536">
        <v>200</v>
      </c>
    </row>
    <row r="537" spans="1:16" x14ac:dyDescent="0.4">
      <c r="A537">
        <v>1879</v>
      </c>
      <c r="B537" t="s">
        <v>4576</v>
      </c>
      <c r="D537" t="s">
        <v>4901</v>
      </c>
      <c r="E537" t="s">
        <v>5148</v>
      </c>
      <c r="F537" t="s">
        <v>4939</v>
      </c>
      <c r="G537" t="s">
        <v>727</v>
      </c>
      <c r="H537" t="s">
        <v>4969</v>
      </c>
      <c r="I537">
        <v>200</v>
      </c>
      <c r="K537" t="s">
        <v>4851</v>
      </c>
      <c r="L537">
        <v>46293</v>
      </c>
      <c r="P537">
        <v>200</v>
      </c>
    </row>
    <row r="538" spans="1:16" x14ac:dyDescent="0.4">
      <c r="A538">
        <v>2369</v>
      </c>
      <c r="B538" t="s">
        <v>4576</v>
      </c>
      <c r="G538" t="s">
        <v>2503</v>
      </c>
      <c r="H538" t="s">
        <v>2502</v>
      </c>
      <c r="I538">
        <v>200</v>
      </c>
      <c r="K538" t="s">
        <v>4970</v>
      </c>
      <c r="L538">
        <v>46302</v>
      </c>
      <c r="P538">
        <v>200</v>
      </c>
    </row>
    <row r="539" spans="1:16" x14ac:dyDescent="0.4">
      <c r="A539">
        <v>2401</v>
      </c>
      <c r="B539" t="s">
        <v>4576</v>
      </c>
      <c r="G539" t="s">
        <v>1522</v>
      </c>
      <c r="H539" t="s">
        <v>1521</v>
      </c>
      <c r="I539">
        <v>201</v>
      </c>
      <c r="K539" t="s">
        <v>5074</v>
      </c>
      <c r="L539">
        <v>46301</v>
      </c>
      <c r="P539">
        <v>201</v>
      </c>
    </row>
    <row r="540" spans="1:16" x14ac:dyDescent="0.4">
      <c r="A540">
        <v>422</v>
      </c>
      <c r="B540" t="s">
        <v>4576</v>
      </c>
      <c r="G540" t="s">
        <v>3902</v>
      </c>
      <c r="H540" t="s">
        <v>3901</v>
      </c>
      <c r="I540">
        <v>205</v>
      </c>
      <c r="K540" t="s">
        <v>3896</v>
      </c>
      <c r="L540">
        <v>46259</v>
      </c>
      <c r="P540">
        <v>205</v>
      </c>
    </row>
    <row r="541" spans="1:16" x14ac:dyDescent="0.4">
      <c r="A541">
        <v>1668</v>
      </c>
      <c r="B541" t="s">
        <v>4576</v>
      </c>
      <c r="G541" t="s">
        <v>1366</v>
      </c>
      <c r="H541" t="s">
        <v>1365</v>
      </c>
      <c r="I541">
        <v>207</v>
      </c>
      <c r="K541" t="s">
        <v>5039</v>
      </c>
      <c r="L541">
        <v>46280</v>
      </c>
      <c r="P541">
        <v>207</v>
      </c>
    </row>
    <row r="542" spans="1:16" x14ac:dyDescent="0.4">
      <c r="A542">
        <v>1035</v>
      </c>
      <c r="B542" t="s">
        <v>4576</v>
      </c>
      <c r="D542" t="s">
        <v>4916</v>
      </c>
      <c r="G542" t="s">
        <v>1790</v>
      </c>
      <c r="H542" t="s">
        <v>5105</v>
      </c>
      <c r="I542">
        <v>211</v>
      </c>
      <c r="K542" t="s">
        <v>4954</v>
      </c>
      <c r="L542">
        <v>46276</v>
      </c>
      <c r="P542">
        <v>211</v>
      </c>
    </row>
    <row r="543" spans="1:16" x14ac:dyDescent="0.4">
      <c r="A543">
        <v>2522</v>
      </c>
      <c r="B543" t="s">
        <v>4576</v>
      </c>
      <c r="G543" t="s">
        <v>4997</v>
      </c>
      <c r="H543" t="s">
        <v>624</v>
      </c>
      <c r="I543">
        <v>214</v>
      </c>
      <c r="K543" t="s">
        <v>4998</v>
      </c>
      <c r="L543">
        <v>46308</v>
      </c>
      <c r="P543">
        <v>214</v>
      </c>
    </row>
    <row r="544" spans="1:16" x14ac:dyDescent="0.4">
      <c r="A544">
        <v>2050</v>
      </c>
      <c r="B544" t="s">
        <v>4576</v>
      </c>
      <c r="D544" t="s">
        <v>4901</v>
      </c>
      <c r="E544" t="s">
        <v>5146</v>
      </c>
      <c r="F544" t="s">
        <v>5147</v>
      </c>
      <c r="G544" t="s">
        <v>2746</v>
      </c>
      <c r="H544" t="s">
        <v>2745</v>
      </c>
      <c r="I544">
        <v>216</v>
      </c>
      <c r="K544" t="s">
        <v>4948</v>
      </c>
      <c r="L544">
        <v>46296</v>
      </c>
      <c r="P544">
        <v>216</v>
      </c>
    </row>
    <row r="545" spans="1:16" x14ac:dyDescent="0.4">
      <c r="A545">
        <v>2129</v>
      </c>
      <c r="B545" t="s">
        <v>4576</v>
      </c>
      <c r="G545" t="s">
        <v>347</v>
      </c>
      <c r="H545" t="s">
        <v>346</v>
      </c>
      <c r="I545">
        <v>217</v>
      </c>
      <c r="K545" t="s">
        <v>5095</v>
      </c>
      <c r="L545">
        <v>46293</v>
      </c>
      <c r="P545">
        <v>217</v>
      </c>
    </row>
    <row r="546" spans="1:16" x14ac:dyDescent="0.4">
      <c r="A546">
        <v>1201</v>
      </c>
      <c r="B546" t="s">
        <v>4576</v>
      </c>
      <c r="D546" t="s">
        <v>5152</v>
      </c>
      <c r="G546" t="s">
        <v>3811</v>
      </c>
      <c r="H546" t="s">
        <v>3810</v>
      </c>
      <c r="I546">
        <v>218</v>
      </c>
      <c r="K546" t="s">
        <v>2924</v>
      </c>
      <c r="L546">
        <v>46287</v>
      </c>
      <c r="P546">
        <v>218</v>
      </c>
    </row>
    <row r="547" spans="1:16" x14ac:dyDescent="0.4">
      <c r="A547">
        <v>2429</v>
      </c>
      <c r="B547" t="s">
        <v>4576</v>
      </c>
      <c r="G547" t="s">
        <v>1666</v>
      </c>
      <c r="H547" t="s">
        <v>1665</v>
      </c>
      <c r="I547">
        <v>220</v>
      </c>
      <c r="K547" t="s">
        <v>5038</v>
      </c>
      <c r="L547">
        <v>46301</v>
      </c>
      <c r="P547">
        <v>220</v>
      </c>
    </row>
    <row r="548" spans="1:16" x14ac:dyDescent="0.4">
      <c r="A548">
        <v>2411</v>
      </c>
      <c r="B548" t="s">
        <v>4576</v>
      </c>
      <c r="G548" t="s">
        <v>1867</v>
      </c>
      <c r="H548" t="s">
        <v>1866</v>
      </c>
      <c r="I548">
        <v>221</v>
      </c>
      <c r="K548" t="s">
        <v>5081</v>
      </c>
      <c r="L548">
        <v>46301</v>
      </c>
      <c r="P548">
        <v>221</v>
      </c>
    </row>
    <row r="549" spans="1:16" x14ac:dyDescent="0.4">
      <c r="A549">
        <v>663</v>
      </c>
      <c r="B549" t="s">
        <v>4576</v>
      </c>
      <c r="G549" t="s">
        <v>3985</v>
      </c>
      <c r="H549" t="s">
        <v>3984</v>
      </c>
      <c r="I549">
        <v>223</v>
      </c>
      <c r="K549" t="s">
        <v>3986</v>
      </c>
      <c r="L549">
        <v>46268</v>
      </c>
      <c r="P549">
        <v>223</v>
      </c>
    </row>
    <row r="550" spans="1:16" x14ac:dyDescent="0.4">
      <c r="A550">
        <v>2408</v>
      </c>
      <c r="B550" t="s">
        <v>4576</v>
      </c>
      <c r="G550" t="s">
        <v>1994</v>
      </c>
      <c r="H550" t="s">
        <v>1993</v>
      </c>
      <c r="I550">
        <v>223</v>
      </c>
      <c r="K550" t="s">
        <v>5144</v>
      </c>
      <c r="L550">
        <v>46301</v>
      </c>
      <c r="P550">
        <v>223</v>
      </c>
    </row>
    <row r="551" spans="1:16" x14ac:dyDescent="0.4">
      <c r="A551">
        <v>2275</v>
      </c>
      <c r="B551" t="s">
        <v>4576</v>
      </c>
      <c r="G551" t="s">
        <v>465</v>
      </c>
      <c r="H551" t="s">
        <v>464</v>
      </c>
      <c r="I551">
        <v>224</v>
      </c>
      <c r="K551" t="s">
        <v>4944</v>
      </c>
      <c r="L551">
        <v>46301</v>
      </c>
      <c r="P551">
        <v>224</v>
      </c>
    </row>
    <row r="552" spans="1:16" x14ac:dyDescent="0.4">
      <c r="A552">
        <v>2425</v>
      </c>
      <c r="B552" t="s">
        <v>4576</v>
      </c>
      <c r="G552" t="s">
        <v>1314</v>
      </c>
      <c r="H552" t="s">
        <v>1313</v>
      </c>
      <c r="I552">
        <v>224</v>
      </c>
      <c r="K552" t="s">
        <v>4995</v>
      </c>
      <c r="L552">
        <v>46301</v>
      </c>
      <c r="P552">
        <v>224</v>
      </c>
    </row>
    <row r="553" spans="1:16" x14ac:dyDescent="0.4">
      <c r="A553">
        <v>2146</v>
      </c>
      <c r="B553" t="s">
        <v>4576</v>
      </c>
      <c r="G553" t="s">
        <v>445</v>
      </c>
      <c r="H553" t="s">
        <v>444</v>
      </c>
      <c r="I553">
        <v>225</v>
      </c>
      <c r="K553" t="s">
        <v>4944</v>
      </c>
      <c r="L553">
        <v>46293</v>
      </c>
      <c r="P553">
        <v>225</v>
      </c>
    </row>
    <row r="554" spans="1:16" x14ac:dyDescent="0.4">
      <c r="A554">
        <v>2540</v>
      </c>
      <c r="B554" t="s">
        <v>4576</v>
      </c>
      <c r="G554" t="s">
        <v>884</v>
      </c>
      <c r="H554" t="s">
        <v>883</v>
      </c>
      <c r="I554">
        <v>228</v>
      </c>
      <c r="K554" t="s">
        <v>4943</v>
      </c>
      <c r="L554">
        <v>46308</v>
      </c>
      <c r="P554">
        <v>228</v>
      </c>
    </row>
    <row r="555" spans="1:16" x14ac:dyDescent="0.4">
      <c r="A555">
        <v>2336</v>
      </c>
      <c r="B555" t="s">
        <v>4576</v>
      </c>
      <c r="G555" t="s">
        <v>1167</v>
      </c>
      <c r="H555" t="s">
        <v>1166</v>
      </c>
      <c r="I555">
        <v>229</v>
      </c>
      <c r="K555" t="s">
        <v>4952</v>
      </c>
      <c r="L555">
        <v>46302</v>
      </c>
      <c r="P555">
        <v>229</v>
      </c>
    </row>
    <row r="556" spans="1:16" x14ac:dyDescent="0.4">
      <c r="A556">
        <v>2542</v>
      </c>
      <c r="B556" t="s">
        <v>4576</v>
      </c>
      <c r="G556" t="s">
        <v>4993</v>
      </c>
      <c r="H556" t="s">
        <v>2651</v>
      </c>
      <c r="I556">
        <v>229</v>
      </c>
      <c r="K556" t="s">
        <v>4948</v>
      </c>
      <c r="L556">
        <v>46308</v>
      </c>
      <c r="P556">
        <v>229</v>
      </c>
    </row>
    <row r="557" spans="1:16" x14ac:dyDescent="0.4">
      <c r="A557">
        <v>2162</v>
      </c>
      <c r="B557" t="s">
        <v>4576</v>
      </c>
      <c r="G557" t="s">
        <v>574</v>
      </c>
      <c r="H557" t="s">
        <v>573</v>
      </c>
      <c r="I557">
        <v>230</v>
      </c>
      <c r="K557" t="s">
        <v>5106</v>
      </c>
      <c r="L557">
        <v>46293</v>
      </c>
      <c r="P557">
        <v>230</v>
      </c>
    </row>
    <row r="558" spans="1:16" x14ac:dyDescent="0.4">
      <c r="A558">
        <v>272</v>
      </c>
      <c r="B558" t="s">
        <v>4576</v>
      </c>
      <c r="G558" t="s">
        <v>2828</v>
      </c>
      <c r="H558" t="s">
        <v>2827</v>
      </c>
      <c r="I558">
        <v>232</v>
      </c>
      <c r="K558" t="s">
        <v>4862</v>
      </c>
      <c r="L558">
        <v>46232</v>
      </c>
      <c r="P558">
        <v>232</v>
      </c>
    </row>
    <row r="559" spans="1:16" x14ac:dyDescent="0.4">
      <c r="A559">
        <v>1664</v>
      </c>
      <c r="B559" t="s">
        <v>4576</v>
      </c>
      <c r="G559" t="s">
        <v>1312</v>
      </c>
      <c r="H559" t="s">
        <v>1311</v>
      </c>
      <c r="I559">
        <v>232</v>
      </c>
      <c r="K559" t="s">
        <v>4995</v>
      </c>
      <c r="L559">
        <v>46280</v>
      </c>
      <c r="P559">
        <v>232</v>
      </c>
    </row>
    <row r="560" spans="1:16" x14ac:dyDescent="0.4">
      <c r="A560">
        <v>1039</v>
      </c>
      <c r="B560" t="s">
        <v>4576</v>
      </c>
      <c r="D560" t="s">
        <v>4916</v>
      </c>
      <c r="G560" t="s">
        <v>1212</v>
      </c>
      <c r="H560" t="s">
        <v>1211</v>
      </c>
      <c r="I560">
        <v>233</v>
      </c>
      <c r="K560" t="s">
        <v>5079</v>
      </c>
      <c r="L560">
        <v>46276</v>
      </c>
      <c r="P560">
        <v>233</v>
      </c>
    </row>
    <row r="561" spans="1:16" x14ac:dyDescent="0.4">
      <c r="A561">
        <v>2337</v>
      </c>
      <c r="B561" t="s">
        <v>4576</v>
      </c>
      <c r="G561" t="s">
        <v>1173</v>
      </c>
      <c r="H561" t="s">
        <v>1172</v>
      </c>
      <c r="I561">
        <v>234</v>
      </c>
      <c r="K561" t="s">
        <v>4952</v>
      </c>
      <c r="L561">
        <v>46302</v>
      </c>
      <c r="P561">
        <v>234</v>
      </c>
    </row>
    <row r="562" spans="1:16" x14ac:dyDescent="0.4">
      <c r="A562">
        <v>1297</v>
      </c>
      <c r="B562" t="s">
        <v>4576</v>
      </c>
      <c r="G562" t="s">
        <v>3811</v>
      </c>
      <c r="H562" t="s">
        <v>3810</v>
      </c>
      <c r="I562">
        <v>235</v>
      </c>
      <c r="K562" t="s">
        <v>2924</v>
      </c>
      <c r="L562">
        <v>46287</v>
      </c>
      <c r="P562">
        <v>235</v>
      </c>
    </row>
    <row r="563" spans="1:16" x14ac:dyDescent="0.4">
      <c r="A563">
        <v>2052</v>
      </c>
      <c r="B563" t="s">
        <v>4576</v>
      </c>
      <c r="D563" t="s">
        <v>4901</v>
      </c>
      <c r="E563" t="s">
        <v>5146</v>
      </c>
      <c r="F563" t="s">
        <v>5147</v>
      </c>
      <c r="G563" t="s">
        <v>4994</v>
      </c>
      <c r="H563" t="s">
        <v>2697</v>
      </c>
      <c r="I563">
        <v>237</v>
      </c>
      <c r="K563" t="s">
        <v>4948</v>
      </c>
      <c r="L563">
        <v>46296</v>
      </c>
      <c r="P563">
        <v>237</v>
      </c>
    </row>
    <row r="564" spans="1:16" x14ac:dyDescent="0.4">
      <c r="A564">
        <v>2148</v>
      </c>
      <c r="B564" t="s">
        <v>4576</v>
      </c>
      <c r="G564" t="s">
        <v>461</v>
      </c>
      <c r="H564" t="s">
        <v>460</v>
      </c>
      <c r="I564">
        <v>240</v>
      </c>
      <c r="K564" t="s">
        <v>4944</v>
      </c>
      <c r="L564">
        <v>46293</v>
      </c>
      <c r="P564">
        <v>240</v>
      </c>
    </row>
    <row r="565" spans="1:16" x14ac:dyDescent="0.4">
      <c r="A565">
        <v>2159</v>
      </c>
      <c r="B565" t="s">
        <v>4576</v>
      </c>
      <c r="G565" t="s">
        <v>560</v>
      </c>
      <c r="H565" t="s">
        <v>559</v>
      </c>
      <c r="I565">
        <v>244</v>
      </c>
      <c r="K565" t="s">
        <v>5107</v>
      </c>
      <c r="L565">
        <v>46293</v>
      </c>
      <c r="P565">
        <v>244</v>
      </c>
    </row>
    <row r="566" spans="1:16" x14ac:dyDescent="0.4">
      <c r="A566">
        <v>2402</v>
      </c>
      <c r="B566" t="s">
        <v>4576</v>
      </c>
      <c r="G566" t="s">
        <v>1856</v>
      </c>
      <c r="H566" t="s">
        <v>1855</v>
      </c>
      <c r="I566">
        <v>247</v>
      </c>
      <c r="K566" t="s">
        <v>5140</v>
      </c>
      <c r="L566">
        <v>46301</v>
      </c>
      <c r="P566">
        <v>247</v>
      </c>
    </row>
    <row r="567" spans="1:16" x14ac:dyDescent="0.4">
      <c r="A567">
        <v>2028</v>
      </c>
      <c r="B567" t="s">
        <v>4576</v>
      </c>
      <c r="D567" t="s">
        <v>4901</v>
      </c>
      <c r="E567" t="s">
        <v>5146</v>
      </c>
      <c r="F567" t="s">
        <v>5147</v>
      </c>
      <c r="G567" t="s">
        <v>2668</v>
      </c>
      <c r="H567" t="s">
        <v>2667</v>
      </c>
      <c r="I567">
        <v>250</v>
      </c>
      <c r="K567" t="s">
        <v>5093</v>
      </c>
      <c r="L567">
        <v>46296</v>
      </c>
      <c r="P567">
        <v>250</v>
      </c>
    </row>
    <row r="568" spans="1:16" x14ac:dyDescent="0.4">
      <c r="A568">
        <v>1319</v>
      </c>
      <c r="B568" t="s">
        <v>4576</v>
      </c>
      <c r="G568" t="s">
        <v>3902</v>
      </c>
      <c r="H568" t="s">
        <v>3901</v>
      </c>
      <c r="I568">
        <v>250</v>
      </c>
      <c r="K568" t="s">
        <v>3896</v>
      </c>
      <c r="L568">
        <v>46287</v>
      </c>
      <c r="P568">
        <v>250</v>
      </c>
    </row>
    <row r="569" spans="1:16" x14ac:dyDescent="0.4">
      <c r="A569">
        <v>2039</v>
      </c>
      <c r="B569" t="s">
        <v>4576</v>
      </c>
      <c r="D569" t="s">
        <v>4901</v>
      </c>
      <c r="E569" t="s">
        <v>5146</v>
      </c>
      <c r="F569" t="s">
        <v>5147</v>
      </c>
      <c r="G569" t="s">
        <v>2755</v>
      </c>
      <c r="H569" t="s">
        <v>2754</v>
      </c>
      <c r="I569">
        <v>250</v>
      </c>
      <c r="K569" t="s">
        <v>4869</v>
      </c>
      <c r="L569">
        <v>46296</v>
      </c>
      <c r="P569">
        <v>250</v>
      </c>
    </row>
    <row r="570" spans="1:16" x14ac:dyDescent="0.4">
      <c r="A570">
        <v>2042</v>
      </c>
      <c r="B570" t="s">
        <v>4576</v>
      </c>
      <c r="D570" t="s">
        <v>4901</v>
      </c>
      <c r="E570" t="s">
        <v>5146</v>
      </c>
      <c r="F570" t="s">
        <v>5147</v>
      </c>
      <c r="G570" t="s">
        <v>2753</v>
      </c>
      <c r="H570" t="s">
        <v>2752</v>
      </c>
      <c r="I570">
        <v>250</v>
      </c>
      <c r="K570" t="s">
        <v>4872</v>
      </c>
      <c r="L570">
        <v>46296</v>
      </c>
      <c r="P570">
        <v>250</v>
      </c>
    </row>
    <row r="571" spans="1:16" x14ac:dyDescent="0.4">
      <c r="A571">
        <v>2450</v>
      </c>
      <c r="B571" t="s">
        <v>4576</v>
      </c>
      <c r="G571" t="s">
        <v>2746</v>
      </c>
      <c r="H571" t="s">
        <v>2745</v>
      </c>
      <c r="I571">
        <v>252</v>
      </c>
      <c r="K571" t="s">
        <v>4948</v>
      </c>
      <c r="L571">
        <v>46301</v>
      </c>
      <c r="P571">
        <v>252</v>
      </c>
    </row>
    <row r="572" spans="1:16" x14ac:dyDescent="0.4">
      <c r="A572">
        <v>2338</v>
      </c>
      <c r="B572" t="s">
        <v>4576</v>
      </c>
      <c r="G572" t="s">
        <v>2774</v>
      </c>
      <c r="H572" t="s">
        <v>2773</v>
      </c>
      <c r="I572">
        <v>255</v>
      </c>
      <c r="K572" t="s">
        <v>4949</v>
      </c>
      <c r="L572">
        <v>46302</v>
      </c>
      <c r="P572">
        <v>255</v>
      </c>
    </row>
    <row r="573" spans="1:16" x14ac:dyDescent="0.4">
      <c r="A573">
        <v>2155</v>
      </c>
      <c r="B573" t="s">
        <v>4576</v>
      </c>
      <c r="G573" t="s">
        <v>547</v>
      </c>
      <c r="H573" t="s">
        <v>546</v>
      </c>
      <c r="I573">
        <v>261</v>
      </c>
      <c r="K573" t="s">
        <v>5108</v>
      </c>
      <c r="L573">
        <v>46293</v>
      </c>
      <c r="P573">
        <v>261</v>
      </c>
    </row>
    <row r="574" spans="1:16" x14ac:dyDescent="0.4">
      <c r="A574">
        <v>2415</v>
      </c>
      <c r="B574" t="s">
        <v>4576</v>
      </c>
      <c r="G574" t="s">
        <v>1980</v>
      </c>
      <c r="H574" t="s">
        <v>1979</v>
      </c>
      <c r="I574">
        <v>263</v>
      </c>
      <c r="K574" t="s">
        <v>5141</v>
      </c>
      <c r="L574">
        <v>46301</v>
      </c>
      <c r="P574">
        <v>263</v>
      </c>
    </row>
    <row r="575" spans="1:16" x14ac:dyDescent="0.4">
      <c r="A575">
        <v>2137</v>
      </c>
      <c r="B575" t="s">
        <v>4576</v>
      </c>
      <c r="G575" t="s">
        <v>395</v>
      </c>
      <c r="H575" t="s">
        <v>394</v>
      </c>
      <c r="I575">
        <v>265</v>
      </c>
      <c r="K575" t="s">
        <v>5109</v>
      </c>
      <c r="L575">
        <v>46293</v>
      </c>
      <c r="P575">
        <v>265</v>
      </c>
    </row>
    <row r="576" spans="1:16" x14ac:dyDescent="0.4">
      <c r="A576">
        <v>1921</v>
      </c>
      <c r="B576" t="s">
        <v>4576</v>
      </c>
      <c r="G576" t="s">
        <v>2716</v>
      </c>
      <c r="H576" t="s">
        <v>2715</v>
      </c>
      <c r="I576">
        <v>271</v>
      </c>
      <c r="K576" t="s">
        <v>5061</v>
      </c>
      <c r="L576">
        <v>46295</v>
      </c>
      <c r="P576">
        <v>271</v>
      </c>
    </row>
    <row r="577" spans="1:16" x14ac:dyDescent="0.4">
      <c r="A577">
        <v>2366</v>
      </c>
      <c r="B577" t="s">
        <v>4576</v>
      </c>
      <c r="G577" t="s">
        <v>1389</v>
      </c>
      <c r="H577" t="s">
        <v>1388</v>
      </c>
      <c r="I577">
        <v>274</v>
      </c>
      <c r="K577" t="s">
        <v>4968</v>
      </c>
      <c r="L577">
        <v>46302</v>
      </c>
      <c r="P577">
        <v>274</v>
      </c>
    </row>
    <row r="578" spans="1:16" x14ac:dyDescent="0.4">
      <c r="A578">
        <v>2444</v>
      </c>
      <c r="B578" t="s">
        <v>4576</v>
      </c>
      <c r="G578" t="s">
        <v>1334</v>
      </c>
      <c r="H578" t="s">
        <v>5112</v>
      </c>
      <c r="I578">
        <v>276</v>
      </c>
      <c r="K578" t="s">
        <v>5113</v>
      </c>
      <c r="L578">
        <v>46301</v>
      </c>
      <c r="P578">
        <v>276</v>
      </c>
    </row>
    <row r="579" spans="1:16" x14ac:dyDescent="0.4">
      <c r="A579">
        <v>1847</v>
      </c>
      <c r="B579" t="s">
        <v>4576</v>
      </c>
      <c r="G579" t="s">
        <v>1596</v>
      </c>
      <c r="H579" t="s">
        <v>1595</v>
      </c>
      <c r="I579">
        <v>277</v>
      </c>
      <c r="K579" t="s">
        <v>5037</v>
      </c>
      <c r="L579">
        <v>46295</v>
      </c>
      <c r="P579">
        <v>277</v>
      </c>
    </row>
    <row r="580" spans="1:16" x14ac:dyDescent="0.4">
      <c r="A580">
        <v>2409</v>
      </c>
      <c r="B580" t="s">
        <v>4576</v>
      </c>
      <c r="G580" t="s">
        <v>969</v>
      </c>
      <c r="H580" t="s">
        <v>4931</v>
      </c>
      <c r="I580">
        <v>279</v>
      </c>
      <c r="K580" t="s">
        <v>4932</v>
      </c>
      <c r="L580">
        <v>46301</v>
      </c>
      <c r="P580">
        <v>279</v>
      </c>
    </row>
    <row r="581" spans="1:16" x14ac:dyDescent="0.4">
      <c r="A581">
        <v>2499</v>
      </c>
      <c r="B581" t="s">
        <v>4576</v>
      </c>
      <c r="G581" t="s">
        <v>4950</v>
      </c>
      <c r="H581" t="s">
        <v>2691</v>
      </c>
      <c r="I581">
        <v>282</v>
      </c>
      <c r="K581" t="s">
        <v>4951</v>
      </c>
      <c r="L581">
        <v>46303</v>
      </c>
      <c r="P581">
        <v>282</v>
      </c>
    </row>
    <row r="582" spans="1:16" x14ac:dyDescent="0.4">
      <c r="A582">
        <v>1049</v>
      </c>
      <c r="B582" t="s">
        <v>4576</v>
      </c>
      <c r="D582" t="s">
        <v>4916</v>
      </c>
      <c r="G582" t="s">
        <v>1071</v>
      </c>
      <c r="H582" t="s">
        <v>1070</v>
      </c>
      <c r="I582">
        <v>288</v>
      </c>
      <c r="K582" t="s">
        <v>1072</v>
      </c>
      <c r="L582">
        <v>46276</v>
      </c>
      <c r="P582">
        <v>288</v>
      </c>
    </row>
    <row r="583" spans="1:16" x14ac:dyDescent="0.4">
      <c r="A583">
        <v>2277</v>
      </c>
      <c r="B583" t="s">
        <v>4576</v>
      </c>
      <c r="G583" t="s">
        <v>2786</v>
      </c>
      <c r="H583" t="s">
        <v>2785</v>
      </c>
      <c r="I583">
        <v>295</v>
      </c>
      <c r="K583" t="s">
        <v>4949</v>
      </c>
      <c r="L583">
        <v>46301</v>
      </c>
      <c r="P583">
        <v>295</v>
      </c>
    </row>
    <row r="584" spans="1:16" x14ac:dyDescent="0.4">
      <c r="A584">
        <v>1980</v>
      </c>
      <c r="B584" t="s">
        <v>4576</v>
      </c>
      <c r="D584" t="s">
        <v>4901</v>
      </c>
      <c r="E584" t="s">
        <v>4936</v>
      </c>
      <c r="F584" t="s">
        <v>4939</v>
      </c>
      <c r="G584" t="s">
        <v>2477</v>
      </c>
      <c r="H584" t="s">
        <v>2476</v>
      </c>
      <c r="I584">
        <v>300</v>
      </c>
      <c r="K584" t="s">
        <v>4943</v>
      </c>
      <c r="L584">
        <v>46301</v>
      </c>
      <c r="P584">
        <v>300</v>
      </c>
    </row>
    <row r="585" spans="1:16" x14ac:dyDescent="0.4">
      <c r="A585">
        <v>2034</v>
      </c>
      <c r="B585" t="s">
        <v>4576</v>
      </c>
      <c r="D585" t="s">
        <v>4901</v>
      </c>
      <c r="E585" t="s">
        <v>5146</v>
      </c>
      <c r="F585" t="s">
        <v>5147</v>
      </c>
      <c r="G585" t="s">
        <v>2778</v>
      </c>
      <c r="H585" t="s">
        <v>2777</v>
      </c>
      <c r="I585">
        <v>300</v>
      </c>
      <c r="K585" t="s">
        <v>4949</v>
      </c>
      <c r="L585">
        <v>46296</v>
      </c>
      <c r="P585">
        <v>300</v>
      </c>
    </row>
    <row r="586" spans="1:16" x14ac:dyDescent="0.4">
      <c r="A586">
        <v>2059</v>
      </c>
      <c r="B586" t="s">
        <v>4576</v>
      </c>
      <c r="D586" t="s">
        <v>4901</v>
      </c>
      <c r="E586" t="s">
        <v>5160</v>
      </c>
      <c r="F586" t="s">
        <v>5147</v>
      </c>
      <c r="G586" t="s">
        <v>4541</v>
      </c>
      <c r="H586" t="s">
        <v>5139</v>
      </c>
      <c r="I586">
        <v>300</v>
      </c>
      <c r="K586" t="s">
        <v>5125</v>
      </c>
      <c r="L586">
        <v>46297</v>
      </c>
      <c r="P586">
        <v>300</v>
      </c>
    </row>
    <row r="587" spans="1:16" x14ac:dyDescent="0.4">
      <c r="A587">
        <v>1326</v>
      </c>
      <c r="B587" t="s">
        <v>4576</v>
      </c>
      <c r="G587" t="s">
        <v>4006</v>
      </c>
      <c r="H587" t="s">
        <v>4005</v>
      </c>
      <c r="I587">
        <v>300</v>
      </c>
      <c r="K587" t="s">
        <v>4002</v>
      </c>
      <c r="L587">
        <v>46287</v>
      </c>
      <c r="P587">
        <v>300</v>
      </c>
    </row>
    <row r="588" spans="1:16" x14ac:dyDescent="0.4">
      <c r="A588">
        <v>2038</v>
      </c>
      <c r="B588" t="s">
        <v>4576</v>
      </c>
      <c r="D588" t="s">
        <v>4901</v>
      </c>
      <c r="E588" t="s">
        <v>5146</v>
      </c>
      <c r="F588" t="s">
        <v>5147</v>
      </c>
      <c r="G588" t="s">
        <v>2879</v>
      </c>
      <c r="H588" t="s">
        <v>2878</v>
      </c>
      <c r="I588">
        <v>300</v>
      </c>
      <c r="K588" t="s">
        <v>4946</v>
      </c>
      <c r="L588">
        <v>46296</v>
      </c>
      <c r="P588">
        <v>300</v>
      </c>
    </row>
    <row r="589" spans="1:16" x14ac:dyDescent="0.4">
      <c r="A589">
        <v>2041</v>
      </c>
      <c r="B589" t="s">
        <v>4576</v>
      </c>
      <c r="D589" t="s">
        <v>4901</v>
      </c>
      <c r="E589" t="s">
        <v>5146</v>
      </c>
      <c r="F589" t="s">
        <v>5147</v>
      </c>
      <c r="G589" t="s">
        <v>2671</v>
      </c>
      <c r="H589" t="s">
        <v>2670</v>
      </c>
      <c r="I589">
        <v>300</v>
      </c>
      <c r="K589" t="s">
        <v>4872</v>
      </c>
      <c r="L589">
        <v>46296</v>
      </c>
      <c r="P589">
        <v>300</v>
      </c>
    </row>
    <row r="590" spans="1:16" x14ac:dyDescent="0.4">
      <c r="A590">
        <v>2048</v>
      </c>
      <c r="B590" t="s">
        <v>4576</v>
      </c>
      <c r="D590" t="s">
        <v>4901</v>
      </c>
      <c r="E590" t="s">
        <v>5146</v>
      </c>
      <c r="F590" t="s">
        <v>5147</v>
      </c>
      <c r="G590" t="s">
        <v>2774</v>
      </c>
      <c r="H590" t="s">
        <v>2773</v>
      </c>
      <c r="I590">
        <v>300</v>
      </c>
      <c r="K590" t="s">
        <v>4949</v>
      </c>
      <c r="L590">
        <v>46296</v>
      </c>
      <c r="P590">
        <v>300</v>
      </c>
    </row>
    <row r="591" spans="1:16" x14ac:dyDescent="0.4">
      <c r="A591">
        <v>2541</v>
      </c>
      <c r="B591" t="s">
        <v>4576</v>
      </c>
      <c r="G591" t="s">
        <v>4977</v>
      </c>
      <c r="H591" t="s">
        <v>4978</v>
      </c>
      <c r="I591">
        <v>304</v>
      </c>
      <c r="K591" t="s">
        <v>4979</v>
      </c>
      <c r="L591">
        <v>46308</v>
      </c>
      <c r="P591">
        <v>304</v>
      </c>
    </row>
    <row r="592" spans="1:16" x14ac:dyDescent="0.4">
      <c r="A592">
        <v>2474</v>
      </c>
      <c r="B592" t="s">
        <v>4576</v>
      </c>
      <c r="G592" t="s">
        <v>2477</v>
      </c>
      <c r="H592" t="s">
        <v>2476</v>
      </c>
      <c r="I592">
        <v>309</v>
      </c>
      <c r="K592" t="s">
        <v>4943</v>
      </c>
      <c r="L592">
        <v>46301</v>
      </c>
      <c r="P592">
        <v>309</v>
      </c>
    </row>
    <row r="593" spans="1:16" x14ac:dyDescent="0.4">
      <c r="A593">
        <v>1292</v>
      </c>
      <c r="B593" t="s">
        <v>4576</v>
      </c>
      <c r="G593" t="s">
        <v>3793</v>
      </c>
      <c r="H593" t="s">
        <v>3792</v>
      </c>
      <c r="I593">
        <v>312</v>
      </c>
      <c r="K593" t="s">
        <v>4740</v>
      </c>
      <c r="L593">
        <v>46287</v>
      </c>
      <c r="P593">
        <v>312</v>
      </c>
    </row>
    <row r="594" spans="1:16" x14ac:dyDescent="0.4">
      <c r="A594">
        <v>2131</v>
      </c>
      <c r="B594" t="s">
        <v>4576</v>
      </c>
      <c r="G594" t="s">
        <v>351</v>
      </c>
      <c r="H594" t="s">
        <v>350</v>
      </c>
      <c r="I594">
        <v>323</v>
      </c>
      <c r="K594" t="s">
        <v>5102</v>
      </c>
      <c r="L594">
        <v>46293</v>
      </c>
      <c r="P594">
        <v>323</v>
      </c>
    </row>
    <row r="595" spans="1:16" x14ac:dyDescent="0.4">
      <c r="A595">
        <v>2167</v>
      </c>
      <c r="B595" t="s">
        <v>4576</v>
      </c>
      <c r="G595" t="s">
        <v>5110</v>
      </c>
      <c r="H595" t="s">
        <v>2661</v>
      </c>
      <c r="I595">
        <v>331</v>
      </c>
      <c r="K595" t="s">
        <v>5101</v>
      </c>
      <c r="L595">
        <v>46293</v>
      </c>
      <c r="P595">
        <v>331</v>
      </c>
    </row>
    <row r="596" spans="1:16" x14ac:dyDescent="0.4">
      <c r="A596">
        <v>2168</v>
      </c>
      <c r="B596" t="s">
        <v>4576</v>
      </c>
      <c r="G596" t="s">
        <v>2694</v>
      </c>
      <c r="H596" t="s">
        <v>2693</v>
      </c>
      <c r="I596">
        <v>340</v>
      </c>
      <c r="K596" t="s">
        <v>5114</v>
      </c>
      <c r="L596">
        <v>46293</v>
      </c>
      <c r="P596">
        <v>340</v>
      </c>
    </row>
    <row r="597" spans="1:16" x14ac:dyDescent="0.4">
      <c r="A597">
        <v>2325</v>
      </c>
      <c r="B597" t="s">
        <v>4576</v>
      </c>
      <c r="G597" t="s">
        <v>2706</v>
      </c>
      <c r="H597" t="s">
        <v>2705</v>
      </c>
      <c r="I597">
        <v>340</v>
      </c>
      <c r="K597" t="s">
        <v>4948</v>
      </c>
      <c r="L597">
        <v>46302</v>
      </c>
      <c r="P597">
        <v>340</v>
      </c>
    </row>
    <row r="598" spans="1:16" x14ac:dyDescent="0.4">
      <c r="A598">
        <v>1850</v>
      </c>
      <c r="B598" t="s">
        <v>4576</v>
      </c>
      <c r="G598" t="s">
        <v>1342</v>
      </c>
      <c r="H598" t="s">
        <v>1341</v>
      </c>
      <c r="I598">
        <v>344</v>
      </c>
      <c r="K598" t="s">
        <v>5039</v>
      </c>
      <c r="L598">
        <v>46295</v>
      </c>
      <c r="P598">
        <v>344</v>
      </c>
    </row>
    <row r="599" spans="1:16" x14ac:dyDescent="0.4">
      <c r="A599">
        <v>2037</v>
      </c>
      <c r="B599" t="s">
        <v>4576</v>
      </c>
      <c r="D599" t="s">
        <v>4901</v>
      </c>
      <c r="E599" t="s">
        <v>5146</v>
      </c>
      <c r="F599" t="s">
        <v>5147</v>
      </c>
      <c r="G599" t="s">
        <v>2762</v>
      </c>
      <c r="H599" t="s">
        <v>2761</v>
      </c>
      <c r="I599">
        <v>350</v>
      </c>
      <c r="K599" t="s">
        <v>4945</v>
      </c>
      <c r="L599">
        <v>46296</v>
      </c>
      <c r="P599">
        <v>350</v>
      </c>
    </row>
    <row r="600" spans="1:16" x14ac:dyDescent="0.4">
      <c r="A600">
        <v>1054</v>
      </c>
      <c r="B600" t="s">
        <v>4576</v>
      </c>
      <c r="D600" t="s">
        <v>4916</v>
      </c>
      <c r="G600" t="s">
        <v>1714</v>
      </c>
      <c r="H600" t="s">
        <v>1713</v>
      </c>
      <c r="I600">
        <v>355</v>
      </c>
      <c r="K600" t="s">
        <v>5111</v>
      </c>
      <c r="L600">
        <v>46276</v>
      </c>
      <c r="P600">
        <v>355</v>
      </c>
    </row>
    <row r="601" spans="1:16" x14ac:dyDescent="0.4">
      <c r="A601">
        <v>2365</v>
      </c>
      <c r="B601" t="s">
        <v>4576</v>
      </c>
      <c r="G601" t="s">
        <v>1387</v>
      </c>
      <c r="H601" t="s">
        <v>1386</v>
      </c>
      <c r="I601">
        <v>358</v>
      </c>
      <c r="K601" t="s">
        <v>4968</v>
      </c>
      <c r="L601">
        <v>46302</v>
      </c>
      <c r="P601">
        <v>358</v>
      </c>
    </row>
    <row r="602" spans="1:16" x14ac:dyDescent="0.4">
      <c r="A602">
        <v>1057</v>
      </c>
      <c r="B602" t="s">
        <v>4576</v>
      </c>
      <c r="D602" t="s">
        <v>4916</v>
      </c>
      <c r="G602" t="s">
        <v>254</v>
      </c>
      <c r="H602" t="s">
        <v>253</v>
      </c>
      <c r="I602">
        <v>360</v>
      </c>
      <c r="K602" t="s">
        <v>5066</v>
      </c>
      <c r="L602">
        <v>46276</v>
      </c>
      <c r="P602">
        <v>360</v>
      </c>
    </row>
    <row r="603" spans="1:16" x14ac:dyDescent="0.4">
      <c r="A603">
        <v>1058</v>
      </c>
      <c r="B603" t="s">
        <v>4576</v>
      </c>
      <c r="D603" t="s">
        <v>4916</v>
      </c>
      <c r="G603" t="s">
        <v>2273</v>
      </c>
      <c r="H603" t="s">
        <v>2272</v>
      </c>
      <c r="I603">
        <v>360</v>
      </c>
      <c r="K603" t="s">
        <v>252</v>
      </c>
      <c r="L603">
        <v>46276</v>
      </c>
      <c r="P603">
        <v>360</v>
      </c>
    </row>
    <row r="604" spans="1:16" x14ac:dyDescent="0.4">
      <c r="A604">
        <v>1304</v>
      </c>
      <c r="B604" t="s">
        <v>4576</v>
      </c>
      <c r="G604" t="s">
        <v>3788</v>
      </c>
      <c r="H604" t="s">
        <v>4921</v>
      </c>
      <c r="I604">
        <v>363</v>
      </c>
      <c r="K604" t="s">
        <v>4742</v>
      </c>
      <c r="L604">
        <v>46287</v>
      </c>
      <c r="P604">
        <v>363</v>
      </c>
    </row>
    <row r="605" spans="1:16" x14ac:dyDescent="0.4">
      <c r="A605">
        <v>740</v>
      </c>
      <c r="B605" t="s">
        <v>4576</v>
      </c>
      <c r="G605" t="s">
        <v>771</v>
      </c>
      <c r="H605" t="s">
        <v>770</v>
      </c>
      <c r="I605">
        <v>369</v>
      </c>
      <c r="K605" t="s">
        <v>4986</v>
      </c>
      <c r="L605">
        <v>46275</v>
      </c>
      <c r="P605">
        <v>369</v>
      </c>
    </row>
    <row r="606" spans="1:16" x14ac:dyDescent="0.4">
      <c r="A606">
        <v>2324</v>
      </c>
      <c r="B606" t="s">
        <v>4576</v>
      </c>
      <c r="G606" t="s">
        <v>2765</v>
      </c>
      <c r="H606" t="s">
        <v>2764</v>
      </c>
      <c r="I606">
        <v>380</v>
      </c>
      <c r="K606" t="s">
        <v>4945</v>
      </c>
      <c r="L606">
        <v>46302</v>
      </c>
      <c r="P606">
        <v>380</v>
      </c>
    </row>
    <row r="607" spans="1:16" x14ac:dyDescent="0.4">
      <c r="A607">
        <v>2393</v>
      </c>
      <c r="B607" t="s">
        <v>4576</v>
      </c>
      <c r="G607" t="s">
        <v>2848</v>
      </c>
      <c r="H607" t="s">
        <v>2847</v>
      </c>
      <c r="I607">
        <v>380</v>
      </c>
      <c r="K607" t="s">
        <v>4869</v>
      </c>
      <c r="L607">
        <v>46296</v>
      </c>
      <c r="P607">
        <v>380</v>
      </c>
    </row>
    <row r="608" spans="1:16" x14ac:dyDescent="0.4">
      <c r="A608">
        <v>2452</v>
      </c>
      <c r="B608" t="s">
        <v>4576</v>
      </c>
      <c r="G608" t="s">
        <v>2780</v>
      </c>
      <c r="H608" t="s">
        <v>2779</v>
      </c>
      <c r="I608">
        <v>386</v>
      </c>
      <c r="K608" t="s">
        <v>4949</v>
      </c>
      <c r="L608">
        <v>46301</v>
      </c>
      <c r="P608">
        <v>386</v>
      </c>
    </row>
    <row r="609" spans="1:16" x14ac:dyDescent="0.4">
      <c r="A609">
        <v>1642</v>
      </c>
      <c r="B609" t="s">
        <v>4576</v>
      </c>
      <c r="G609" t="s">
        <v>2689</v>
      </c>
      <c r="H609" t="s">
        <v>2688</v>
      </c>
      <c r="I609">
        <v>387</v>
      </c>
      <c r="K609" t="s">
        <v>4951</v>
      </c>
      <c r="L609">
        <v>46280</v>
      </c>
      <c r="P609">
        <v>387</v>
      </c>
    </row>
    <row r="610" spans="1:16" x14ac:dyDescent="0.4">
      <c r="A610">
        <v>2138</v>
      </c>
      <c r="B610" t="s">
        <v>4576</v>
      </c>
      <c r="G610" t="s">
        <v>397</v>
      </c>
      <c r="H610" t="s">
        <v>396</v>
      </c>
      <c r="I610">
        <v>390</v>
      </c>
      <c r="K610" t="s">
        <v>5109</v>
      </c>
      <c r="L610">
        <v>46293</v>
      </c>
      <c r="P610">
        <v>390</v>
      </c>
    </row>
    <row r="611" spans="1:16" x14ac:dyDescent="0.4">
      <c r="A611">
        <v>2152</v>
      </c>
      <c r="B611" t="s">
        <v>4576</v>
      </c>
      <c r="G611" t="s">
        <v>540</v>
      </c>
      <c r="H611" t="s">
        <v>539</v>
      </c>
      <c r="I611">
        <v>392</v>
      </c>
      <c r="K611" t="s">
        <v>5108</v>
      </c>
      <c r="L611">
        <v>46293</v>
      </c>
      <c r="P611">
        <v>392</v>
      </c>
    </row>
    <row r="612" spans="1:16" x14ac:dyDescent="0.4">
      <c r="A612">
        <v>2156</v>
      </c>
      <c r="B612" t="s">
        <v>4576</v>
      </c>
      <c r="G612" t="s">
        <v>551</v>
      </c>
      <c r="H612" t="s">
        <v>550</v>
      </c>
      <c r="I612">
        <v>393</v>
      </c>
      <c r="K612" t="s">
        <v>5108</v>
      </c>
      <c r="L612">
        <v>46293</v>
      </c>
      <c r="P612">
        <v>393</v>
      </c>
    </row>
    <row r="613" spans="1:16" x14ac:dyDescent="0.4">
      <c r="A613">
        <v>2256</v>
      </c>
      <c r="B613" t="s">
        <v>4576</v>
      </c>
      <c r="G613" t="s">
        <v>339</v>
      </c>
      <c r="H613" t="s">
        <v>338</v>
      </c>
      <c r="I613">
        <v>396</v>
      </c>
      <c r="K613" t="s">
        <v>5109</v>
      </c>
      <c r="L613">
        <v>46303</v>
      </c>
      <c r="P613">
        <v>396</v>
      </c>
    </row>
    <row r="614" spans="1:16" x14ac:dyDescent="0.4">
      <c r="A614">
        <v>2166</v>
      </c>
      <c r="B614" t="s">
        <v>4576</v>
      </c>
      <c r="G614" t="s">
        <v>5117</v>
      </c>
      <c r="H614" t="s">
        <v>2659</v>
      </c>
      <c r="I614">
        <v>399</v>
      </c>
      <c r="K614" t="s">
        <v>5101</v>
      </c>
      <c r="L614">
        <v>46293</v>
      </c>
      <c r="P614">
        <v>399</v>
      </c>
    </row>
    <row r="615" spans="1:16" x14ac:dyDescent="0.4">
      <c r="A615">
        <v>2158</v>
      </c>
      <c r="B615" t="s">
        <v>4576</v>
      </c>
      <c r="G615" t="s">
        <v>558</v>
      </c>
      <c r="H615" t="s">
        <v>557</v>
      </c>
      <c r="I615">
        <v>403</v>
      </c>
      <c r="K615" t="s">
        <v>5107</v>
      </c>
      <c r="L615">
        <v>46293</v>
      </c>
      <c r="P615">
        <v>403</v>
      </c>
    </row>
    <row r="616" spans="1:16" x14ac:dyDescent="0.4">
      <c r="A616">
        <v>2044</v>
      </c>
      <c r="B616" t="s">
        <v>4576</v>
      </c>
      <c r="D616" t="s">
        <v>4901</v>
      </c>
      <c r="E616" t="s">
        <v>5146</v>
      </c>
      <c r="F616" t="s">
        <v>5147</v>
      </c>
      <c r="G616" t="s">
        <v>4993</v>
      </c>
      <c r="H616" t="s">
        <v>2651</v>
      </c>
      <c r="I616">
        <v>407</v>
      </c>
      <c r="K616" t="s">
        <v>4948</v>
      </c>
      <c r="L616">
        <v>46296</v>
      </c>
      <c r="P616">
        <v>407</v>
      </c>
    </row>
    <row r="617" spans="1:16" x14ac:dyDescent="0.4">
      <c r="A617">
        <v>2372</v>
      </c>
      <c r="B617" t="s">
        <v>4576</v>
      </c>
      <c r="G617" t="s">
        <v>2566</v>
      </c>
      <c r="H617" t="s">
        <v>2565</v>
      </c>
      <c r="I617">
        <v>409</v>
      </c>
      <c r="K617" t="s">
        <v>4851</v>
      </c>
      <c r="L617">
        <v>46302</v>
      </c>
      <c r="P617">
        <v>409</v>
      </c>
    </row>
    <row r="618" spans="1:16" x14ac:dyDescent="0.4">
      <c r="A618">
        <v>2161</v>
      </c>
      <c r="B618" t="s">
        <v>4576</v>
      </c>
      <c r="G618" t="s">
        <v>569</v>
      </c>
      <c r="H618" t="s">
        <v>568</v>
      </c>
      <c r="I618">
        <v>410</v>
      </c>
      <c r="K618" t="s">
        <v>5107</v>
      </c>
      <c r="L618">
        <v>46293</v>
      </c>
      <c r="P618">
        <v>410</v>
      </c>
    </row>
    <row r="619" spans="1:16" x14ac:dyDescent="0.4">
      <c r="A619">
        <v>2368</v>
      </c>
      <c r="B619" t="s">
        <v>4576</v>
      </c>
      <c r="G619" t="s">
        <v>1587</v>
      </c>
      <c r="H619" t="s">
        <v>1586</v>
      </c>
      <c r="I619">
        <v>410</v>
      </c>
      <c r="K619" t="s">
        <v>4970</v>
      </c>
      <c r="L619">
        <v>46302</v>
      </c>
      <c r="P619">
        <v>410</v>
      </c>
    </row>
    <row r="620" spans="1:16" x14ac:dyDescent="0.4">
      <c r="A620">
        <v>2141</v>
      </c>
      <c r="B620" t="s">
        <v>4576</v>
      </c>
      <c r="G620" t="s">
        <v>404</v>
      </c>
      <c r="H620" t="s">
        <v>403</v>
      </c>
      <c r="I620">
        <v>412</v>
      </c>
      <c r="K620" t="s">
        <v>5118</v>
      </c>
      <c r="L620">
        <v>46293</v>
      </c>
      <c r="P620">
        <v>412</v>
      </c>
    </row>
    <row r="621" spans="1:16" x14ac:dyDescent="0.4">
      <c r="A621">
        <v>2160</v>
      </c>
      <c r="B621" t="s">
        <v>4576</v>
      </c>
      <c r="G621" t="s">
        <v>566</v>
      </c>
      <c r="H621" t="s">
        <v>565</v>
      </c>
      <c r="I621">
        <v>413</v>
      </c>
      <c r="K621" t="s">
        <v>5119</v>
      </c>
      <c r="L621">
        <v>46293</v>
      </c>
      <c r="P621">
        <v>413</v>
      </c>
    </row>
    <row r="622" spans="1:16" x14ac:dyDescent="0.4">
      <c r="A622">
        <v>1065</v>
      </c>
      <c r="B622" t="s">
        <v>4576</v>
      </c>
      <c r="D622" t="s">
        <v>4916</v>
      </c>
      <c r="G622" t="s">
        <v>5115</v>
      </c>
      <c r="H622" t="s">
        <v>5116</v>
      </c>
      <c r="I622">
        <v>415</v>
      </c>
      <c r="K622" t="s">
        <v>5058</v>
      </c>
      <c r="L622">
        <v>46276</v>
      </c>
      <c r="P622">
        <v>415</v>
      </c>
    </row>
    <row r="623" spans="1:16" x14ac:dyDescent="0.4">
      <c r="A623">
        <v>2403</v>
      </c>
      <c r="B623" t="s">
        <v>4576</v>
      </c>
      <c r="G623" t="s">
        <v>1895</v>
      </c>
      <c r="H623" t="s">
        <v>1894</v>
      </c>
      <c r="I623">
        <v>419</v>
      </c>
      <c r="K623" t="s">
        <v>5024</v>
      </c>
      <c r="L623">
        <v>46301</v>
      </c>
      <c r="P623">
        <v>419</v>
      </c>
    </row>
    <row r="624" spans="1:16" x14ac:dyDescent="0.4">
      <c r="A624">
        <v>2164</v>
      </c>
      <c r="B624" t="s">
        <v>4576</v>
      </c>
      <c r="G624" t="s">
        <v>579</v>
      </c>
      <c r="H624" t="s">
        <v>578</v>
      </c>
      <c r="I624">
        <v>434</v>
      </c>
      <c r="K624" t="s">
        <v>5122</v>
      </c>
      <c r="L624">
        <v>46293</v>
      </c>
      <c r="P624">
        <v>434</v>
      </c>
    </row>
    <row r="625" spans="1:16" x14ac:dyDescent="0.4">
      <c r="A625">
        <v>2057</v>
      </c>
      <c r="B625" t="s">
        <v>4576</v>
      </c>
      <c r="D625" t="s">
        <v>4901</v>
      </c>
      <c r="E625" t="s">
        <v>5160</v>
      </c>
      <c r="F625" t="s">
        <v>5147</v>
      </c>
      <c r="G625" t="s">
        <v>696</v>
      </c>
      <c r="H625" t="s">
        <v>4980</v>
      </c>
      <c r="I625">
        <v>450</v>
      </c>
      <c r="K625" t="s">
        <v>4981</v>
      </c>
      <c r="L625">
        <v>46297</v>
      </c>
      <c r="P625">
        <v>450</v>
      </c>
    </row>
    <row r="626" spans="1:16" x14ac:dyDescent="0.4">
      <c r="A626">
        <v>2339</v>
      </c>
      <c r="B626" t="s">
        <v>4576</v>
      </c>
      <c r="G626" t="s">
        <v>1009</v>
      </c>
      <c r="H626" t="s">
        <v>1008</v>
      </c>
      <c r="I626">
        <v>454</v>
      </c>
      <c r="K626" t="s">
        <v>4851</v>
      </c>
      <c r="L626">
        <v>46302</v>
      </c>
      <c r="P626">
        <v>454</v>
      </c>
    </row>
    <row r="627" spans="1:16" x14ac:dyDescent="0.4">
      <c r="A627">
        <v>2154</v>
      </c>
      <c r="B627" t="s">
        <v>4576</v>
      </c>
      <c r="G627" t="s">
        <v>545</v>
      </c>
      <c r="H627" t="s">
        <v>544</v>
      </c>
      <c r="I627">
        <v>456</v>
      </c>
      <c r="K627" t="s">
        <v>5108</v>
      </c>
      <c r="L627">
        <v>46293</v>
      </c>
      <c r="P627">
        <v>456</v>
      </c>
    </row>
    <row r="628" spans="1:16" x14ac:dyDescent="0.4">
      <c r="A628">
        <v>2163</v>
      </c>
      <c r="B628" t="s">
        <v>4576</v>
      </c>
      <c r="G628" t="s">
        <v>577</v>
      </c>
      <c r="H628" t="s">
        <v>576</v>
      </c>
      <c r="I628">
        <v>457</v>
      </c>
      <c r="K628" t="s">
        <v>5121</v>
      </c>
      <c r="L628">
        <v>46293</v>
      </c>
      <c r="P628">
        <v>457</v>
      </c>
    </row>
    <row r="629" spans="1:16" x14ac:dyDescent="0.4">
      <c r="A629">
        <v>2139</v>
      </c>
      <c r="B629" t="s">
        <v>4576</v>
      </c>
      <c r="G629" t="s">
        <v>399</v>
      </c>
      <c r="H629" t="s">
        <v>398</v>
      </c>
      <c r="I629">
        <v>459</v>
      </c>
      <c r="K629" t="s">
        <v>4944</v>
      </c>
      <c r="L629">
        <v>46293</v>
      </c>
      <c r="P629">
        <v>459</v>
      </c>
    </row>
    <row r="630" spans="1:16" x14ac:dyDescent="0.4">
      <c r="A630">
        <v>2153</v>
      </c>
      <c r="B630" t="s">
        <v>4576</v>
      </c>
      <c r="G630" t="s">
        <v>542</v>
      </c>
      <c r="H630" t="s">
        <v>541</v>
      </c>
      <c r="I630">
        <v>474</v>
      </c>
      <c r="K630" t="s">
        <v>5121</v>
      </c>
      <c r="L630">
        <v>46293</v>
      </c>
      <c r="P630">
        <v>474</v>
      </c>
    </row>
    <row r="631" spans="1:16" x14ac:dyDescent="0.4">
      <c r="A631">
        <v>1074</v>
      </c>
      <c r="B631" t="s">
        <v>4576</v>
      </c>
      <c r="D631" t="s">
        <v>4916</v>
      </c>
      <c r="G631" t="s">
        <v>1063</v>
      </c>
      <c r="H631" t="s">
        <v>1062</v>
      </c>
      <c r="I631">
        <v>475</v>
      </c>
      <c r="K631" t="s">
        <v>5120</v>
      </c>
      <c r="L631">
        <v>46276</v>
      </c>
      <c r="P631">
        <v>475</v>
      </c>
    </row>
    <row r="632" spans="1:16" x14ac:dyDescent="0.4">
      <c r="A632">
        <v>1079</v>
      </c>
      <c r="B632" t="s">
        <v>4576</v>
      </c>
      <c r="D632" t="s">
        <v>4916</v>
      </c>
      <c r="G632" t="s">
        <v>2035</v>
      </c>
      <c r="H632" t="s">
        <v>2034</v>
      </c>
      <c r="I632">
        <v>486</v>
      </c>
      <c r="K632" t="s">
        <v>5042</v>
      </c>
      <c r="L632">
        <v>46276</v>
      </c>
      <c r="P632">
        <v>486</v>
      </c>
    </row>
    <row r="633" spans="1:16" x14ac:dyDescent="0.4">
      <c r="A633">
        <v>2539</v>
      </c>
      <c r="B633" t="s">
        <v>4576</v>
      </c>
      <c r="G633" t="s">
        <v>4994</v>
      </c>
      <c r="H633" t="s">
        <v>2697</v>
      </c>
      <c r="I633">
        <v>490</v>
      </c>
      <c r="K633" t="s">
        <v>4948</v>
      </c>
      <c r="L633">
        <v>46308</v>
      </c>
      <c r="P633">
        <v>490</v>
      </c>
    </row>
    <row r="634" spans="1:16" x14ac:dyDescent="0.4">
      <c r="A634">
        <v>1357</v>
      </c>
      <c r="B634" t="s">
        <v>4576</v>
      </c>
      <c r="D634" t="s">
        <v>4901</v>
      </c>
      <c r="E634" t="s">
        <v>5148</v>
      </c>
      <c r="F634" t="s">
        <v>4939</v>
      </c>
      <c r="G634" t="s">
        <v>3434</v>
      </c>
      <c r="H634" t="s">
        <v>3433</v>
      </c>
      <c r="I634">
        <v>500</v>
      </c>
      <c r="K634" t="s">
        <v>2026</v>
      </c>
      <c r="L634">
        <v>46286</v>
      </c>
      <c r="P634">
        <v>500</v>
      </c>
    </row>
    <row r="635" spans="1:16" x14ac:dyDescent="0.4">
      <c r="A635">
        <v>2157</v>
      </c>
      <c r="B635" t="s">
        <v>4576</v>
      </c>
      <c r="G635" t="s">
        <v>556</v>
      </c>
      <c r="H635" t="s">
        <v>555</v>
      </c>
      <c r="I635">
        <v>500</v>
      </c>
      <c r="K635" t="s">
        <v>5107</v>
      </c>
      <c r="L635">
        <v>46293</v>
      </c>
      <c r="P635">
        <v>500</v>
      </c>
    </row>
    <row r="636" spans="1:16" x14ac:dyDescent="0.4">
      <c r="A636">
        <v>1084</v>
      </c>
      <c r="B636" t="s">
        <v>4576</v>
      </c>
      <c r="D636" t="s">
        <v>4916</v>
      </c>
      <c r="G636" t="s">
        <v>2624</v>
      </c>
      <c r="H636" t="s">
        <v>2623</v>
      </c>
      <c r="I636">
        <v>510</v>
      </c>
      <c r="K636" t="s">
        <v>4955</v>
      </c>
      <c r="L636">
        <v>46276</v>
      </c>
      <c r="P636">
        <v>510</v>
      </c>
    </row>
    <row r="637" spans="1:16" x14ac:dyDescent="0.4">
      <c r="A637">
        <v>2144</v>
      </c>
      <c r="B637" t="s">
        <v>4576</v>
      </c>
      <c r="G637" t="s">
        <v>423</v>
      </c>
      <c r="H637" t="s">
        <v>422</v>
      </c>
      <c r="I637">
        <v>513</v>
      </c>
      <c r="K637" t="s">
        <v>5126</v>
      </c>
      <c r="L637">
        <v>46293</v>
      </c>
      <c r="P637">
        <v>513</v>
      </c>
    </row>
    <row r="638" spans="1:16" x14ac:dyDescent="0.4">
      <c r="A638">
        <v>2492</v>
      </c>
      <c r="B638" t="s">
        <v>4576</v>
      </c>
      <c r="G638" t="s">
        <v>795</v>
      </c>
      <c r="H638" t="s">
        <v>794</v>
      </c>
      <c r="I638">
        <v>526</v>
      </c>
      <c r="K638" t="s">
        <v>4989</v>
      </c>
      <c r="L638">
        <v>46301</v>
      </c>
      <c r="P638">
        <v>526</v>
      </c>
    </row>
    <row r="639" spans="1:16" x14ac:dyDescent="0.4">
      <c r="A639">
        <v>2399</v>
      </c>
      <c r="B639" t="s">
        <v>4576</v>
      </c>
      <c r="G639" t="s">
        <v>1847</v>
      </c>
      <c r="H639" t="s">
        <v>1846</v>
      </c>
      <c r="I639">
        <v>530</v>
      </c>
      <c r="K639" t="s">
        <v>5140</v>
      </c>
      <c r="L639">
        <v>46301</v>
      </c>
      <c r="P639">
        <v>530</v>
      </c>
    </row>
    <row r="640" spans="1:16" x14ac:dyDescent="0.4">
      <c r="A640">
        <v>2091</v>
      </c>
      <c r="B640" t="s">
        <v>4576</v>
      </c>
      <c r="G640" t="s">
        <v>2645</v>
      </c>
      <c r="H640" t="s">
        <v>2644</v>
      </c>
      <c r="I640">
        <v>540</v>
      </c>
      <c r="K640" t="s">
        <v>4869</v>
      </c>
      <c r="L640">
        <v>46283</v>
      </c>
      <c r="P640">
        <v>540</v>
      </c>
    </row>
    <row r="641" spans="1:16" x14ac:dyDescent="0.4">
      <c r="A641">
        <v>1109</v>
      </c>
      <c r="B641" t="s">
        <v>4576</v>
      </c>
      <c r="D641" t="s">
        <v>4916</v>
      </c>
      <c r="G641" t="s">
        <v>2759</v>
      </c>
      <c r="H641" t="s">
        <v>2758</v>
      </c>
      <c r="I641">
        <v>579</v>
      </c>
      <c r="K641" t="s">
        <v>4947</v>
      </c>
      <c r="L641">
        <v>46276</v>
      </c>
      <c r="P641">
        <v>579</v>
      </c>
    </row>
    <row r="642" spans="1:16" x14ac:dyDescent="0.4">
      <c r="A642">
        <v>2151</v>
      </c>
      <c r="B642" t="s">
        <v>4576</v>
      </c>
      <c r="G642" t="s">
        <v>538</v>
      </c>
      <c r="H642" t="s">
        <v>537</v>
      </c>
      <c r="I642">
        <v>579</v>
      </c>
      <c r="K642" t="s">
        <v>5108</v>
      </c>
      <c r="L642">
        <v>46293</v>
      </c>
      <c r="P642">
        <v>579</v>
      </c>
    </row>
    <row r="643" spans="1:16" x14ac:dyDescent="0.4">
      <c r="A643">
        <v>1089</v>
      </c>
      <c r="B643" t="s">
        <v>4576</v>
      </c>
      <c r="D643" t="s">
        <v>4916</v>
      </c>
      <c r="G643" t="s">
        <v>854</v>
      </c>
      <c r="H643" t="s">
        <v>5127</v>
      </c>
      <c r="I643">
        <v>619</v>
      </c>
      <c r="K643" t="s">
        <v>5128</v>
      </c>
      <c r="L643">
        <v>46276</v>
      </c>
      <c r="P643">
        <v>619</v>
      </c>
    </row>
    <row r="644" spans="1:16" x14ac:dyDescent="0.4">
      <c r="A644">
        <v>1330</v>
      </c>
      <c r="B644" t="s">
        <v>4576</v>
      </c>
      <c r="G644" t="s">
        <v>3966</v>
      </c>
      <c r="H644" t="s">
        <v>3965</v>
      </c>
      <c r="I644">
        <v>619</v>
      </c>
      <c r="K644" t="s">
        <v>3967</v>
      </c>
      <c r="L644">
        <v>46287</v>
      </c>
      <c r="P644">
        <v>619</v>
      </c>
    </row>
    <row r="645" spans="1:16" x14ac:dyDescent="0.4">
      <c r="A645">
        <v>2546</v>
      </c>
      <c r="B645" t="s">
        <v>4576</v>
      </c>
      <c r="G645" t="s">
        <v>650</v>
      </c>
      <c r="H645" t="s">
        <v>649</v>
      </c>
      <c r="I645">
        <v>622</v>
      </c>
      <c r="K645" t="s">
        <v>4986</v>
      </c>
      <c r="L645">
        <v>46308</v>
      </c>
      <c r="P645">
        <v>622</v>
      </c>
    </row>
    <row r="646" spans="1:16" x14ac:dyDescent="0.4">
      <c r="A646">
        <v>2476</v>
      </c>
      <c r="B646" t="s">
        <v>4576</v>
      </c>
      <c r="G646" t="s">
        <v>661</v>
      </c>
      <c r="H646" t="s">
        <v>660</v>
      </c>
      <c r="I646">
        <v>646</v>
      </c>
      <c r="K646" t="s">
        <v>5130</v>
      </c>
      <c r="L646">
        <v>46301</v>
      </c>
      <c r="P646">
        <v>646</v>
      </c>
    </row>
    <row r="647" spans="1:16" x14ac:dyDescent="0.4">
      <c r="A647">
        <v>1675</v>
      </c>
      <c r="B647" t="s">
        <v>4576</v>
      </c>
      <c r="G647" t="s">
        <v>1633</v>
      </c>
      <c r="H647" t="s">
        <v>1632</v>
      </c>
      <c r="I647">
        <v>665</v>
      </c>
      <c r="K647" t="s">
        <v>5038</v>
      </c>
      <c r="L647">
        <v>46280</v>
      </c>
      <c r="P647">
        <v>665</v>
      </c>
    </row>
    <row r="648" spans="1:16" x14ac:dyDescent="0.4">
      <c r="A648">
        <v>1643</v>
      </c>
      <c r="B648" t="s">
        <v>4576</v>
      </c>
      <c r="G648" t="s">
        <v>1819</v>
      </c>
      <c r="H648" t="s">
        <v>1818</v>
      </c>
      <c r="I648">
        <v>675</v>
      </c>
      <c r="K648" t="s">
        <v>5028</v>
      </c>
      <c r="L648">
        <v>46280</v>
      </c>
      <c r="P648">
        <v>675</v>
      </c>
    </row>
    <row r="649" spans="1:16" x14ac:dyDescent="0.4">
      <c r="A649">
        <v>1644</v>
      </c>
      <c r="B649" t="s">
        <v>4576</v>
      </c>
      <c r="G649" t="s">
        <v>1816</v>
      </c>
      <c r="H649" t="s">
        <v>1815</v>
      </c>
      <c r="I649">
        <v>678</v>
      </c>
      <c r="K649" t="s">
        <v>5028</v>
      </c>
      <c r="L649">
        <v>46280</v>
      </c>
      <c r="P649">
        <v>678</v>
      </c>
    </row>
    <row r="650" spans="1:16" x14ac:dyDescent="0.4">
      <c r="A650">
        <v>2143</v>
      </c>
      <c r="B650" t="s">
        <v>4576</v>
      </c>
      <c r="G650" t="s">
        <v>412</v>
      </c>
      <c r="H650" t="s">
        <v>411</v>
      </c>
      <c r="I650">
        <v>680</v>
      </c>
      <c r="K650" t="s">
        <v>5118</v>
      </c>
      <c r="L650">
        <v>46293</v>
      </c>
      <c r="P650">
        <v>680</v>
      </c>
    </row>
    <row r="651" spans="1:16" x14ac:dyDescent="0.4">
      <c r="A651">
        <v>2140</v>
      </c>
      <c r="B651" t="s">
        <v>4576</v>
      </c>
      <c r="G651" t="s">
        <v>401</v>
      </c>
      <c r="H651" t="s">
        <v>400</v>
      </c>
      <c r="I651">
        <v>736</v>
      </c>
      <c r="K651" t="s">
        <v>5131</v>
      </c>
      <c r="L651">
        <v>46293</v>
      </c>
      <c r="P651">
        <v>736</v>
      </c>
    </row>
    <row r="652" spans="1:16" x14ac:dyDescent="0.4">
      <c r="A652">
        <v>2170</v>
      </c>
      <c r="B652" t="s">
        <v>4576</v>
      </c>
      <c r="G652" t="s">
        <v>5132</v>
      </c>
      <c r="H652" t="s">
        <v>2789</v>
      </c>
      <c r="I652">
        <v>741</v>
      </c>
      <c r="K652" t="s">
        <v>4869</v>
      </c>
      <c r="L652">
        <v>46293</v>
      </c>
      <c r="P652">
        <v>741</v>
      </c>
    </row>
    <row r="653" spans="1:16" x14ac:dyDescent="0.4">
      <c r="A653">
        <v>1631</v>
      </c>
      <c r="B653" t="s">
        <v>4576</v>
      </c>
      <c r="G653" t="s">
        <v>999</v>
      </c>
      <c r="H653" t="s">
        <v>998</v>
      </c>
      <c r="I653">
        <v>778</v>
      </c>
      <c r="K653" t="s">
        <v>4851</v>
      </c>
      <c r="L653">
        <v>46280</v>
      </c>
      <c r="P653">
        <v>778</v>
      </c>
    </row>
    <row r="654" spans="1:16" x14ac:dyDescent="0.4">
      <c r="A654">
        <v>2150</v>
      </c>
      <c r="B654" t="s">
        <v>4576</v>
      </c>
      <c r="G654" t="s">
        <v>5135</v>
      </c>
      <c r="H654" t="s">
        <v>5136</v>
      </c>
      <c r="I654">
        <v>797</v>
      </c>
      <c r="K654" t="s">
        <v>5125</v>
      </c>
      <c r="L654">
        <v>46293</v>
      </c>
      <c r="P654">
        <v>797</v>
      </c>
    </row>
    <row r="655" spans="1:16" x14ac:dyDescent="0.4">
      <c r="A655">
        <v>321</v>
      </c>
      <c r="B655" t="s">
        <v>4576</v>
      </c>
      <c r="D655" t="s">
        <v>4901</v>
      </c>
      <c r="G655" t="s">
        <v>3813</v>
      </c>
      <c r="H655" t="s">
        <v>3812</v>
      </c>
      <c r="I655">
        <v>800</v>
      </c>
      <c r="K655" t="s">
        <v>2924</v>
      </c>
      <c r="L655">
        <v>46236</v>
      </c>
      <c r="P655">
        <v>800</v>
      </c>
    </row>
    <row r="656" spans="1:16" x14ac:dyDescent="0.4">
      <c r="A656">
        <v>1854</v>
      </c>
      <c r="B656" t="s">
        <v>4576</v>
      </c>
      <c r="G656" t="s">
        <v>2792</v>
      </c>
      <c r="H656" t="s">
        <v>2791</v>
      </c>
      <c r="I656">
        <v>880</v>
      </c>
      <c r="K656" t="s">
        <v>4869</v>
      </c>
      <c r="L656">
        <v>46295</v>
      </c>
      <c r="P656">
        <v>880</v>
      </c>
    </row>
    <row r="657" spans="1:16" x14ac:dyDescent="0.4">
      <c r="A657">
        <v>2092</v>
      </c>
      <c r="B657" t="s">
        <v>4576</v>
      </c>
      <c r="G657" t="s">
        <v>1556</v>
      </c>
      <c r="H657" t="s">
        <v>1555</v>
      </c>
      <c r="I657">
        <v>897</v>
      </c>
      <c r="K657" t="s">
        <v>4851</v>
      </c>
      <c r="L657">
        <v>46283</v>
      </c>
      <c r="P657">
        <v>897</v>
      </c>
    </row>
    <row r="658" spans="1:16" x14ac:dyDescent="0.4">
      <c r="A658">
        <v>1294</v>
      </c>
      <c r="B658" t="s">
        <v>4576</v>
      </c>
      <c r="G658" t="s">
        <v>3813</v>
      </c>
      <c r="H658" t="s">
        <v>3812</v>
      </c>
      <c r="I658">
        <v>921</v>
      </c>
      <c r="K658" t="s">
        <v>2924</v>
      </c>
      <c r="L658">
        <v>46287</v>
      </c>
      <c r="P658">
        <v>921</v>
      </c>
    </row>
    <row r="659" spans="1:16" x14ac:dyDescent="0.4">
      <c r="A659">
        <v>266</v>
      </c>
      <c r="B659" t="s">
        <v>4576</v>
      </c>
      <c r="G659" t="s">
        <v>29</v>
      </c>
      <c r="H659" t="s">
        <v>28</v>
      </c>
      <c r="I659">
        <v>981</v>
      </c>
      <c r="K659" t="s">
        <v>4861</v>
      </c>
      <c r="L659">
        <v>46232</v>
      </c>
      <c r="P659">
        <v>981</v>
      </c>
    </row>
    <row r="660" spans="1:16" x14ac:dyDescent="0.4">
      <c r="A660">
        <v>1938</v>
      </c>
      <c r="B660" t="s">
        <v>4576</v>
      </c>
      <c r="G660" t="s">
        <v>1041</v>
      </c>
      <c r="H660" t="s">
        <v>1040</v>
      </c>
      <c r="I660">
        <v>1071</v>
      </c>
      <c r="K660" t="s">
        <v>4970</v>
      </c>
      <c r="L660">
        <v>46288</v>
      </c>
      <c r="P660">
        <v>1071</v>
      </c>
    </row>
    <row r="661" spans="1:16" x14ac:dyDescent="0.4">
      <c r="A661">
        <v>2061</v>
      </c>
      <c r="B661" t="s">
        <v>4576</v>
      </c>
      <c r="D661" t="s">
        <v>4901</v>
      </c>
      <c r="E661" t="s">
        <v>5160</v>
      </c>
      <c r="F661" t="s">
        <v>5147</v>
      </c>
      <c r="G661" t="s">
        <v>5135</v>
      </c>
      <c r="H661" t="s">
        <v>5136</v>
      </c>
      <c r="I661">
        <v>1200</v>
      </c>
      <c r="K661" t="s">
        <v>5125</v>
      </c>
      <c r="L661">
        <v>46297</v>
      </c>
      <c r="P661">
        <v>1200</v>
      </c>
    </row>
    <row r="662" spans="1:16" x14ac:dyDescent="0.4">
      <c r="A662">
        <v>2142</v>
      </c>
      <c r="B662" t="s">
        <v>4576</v>
      </c>
      <c r="G662" t="s">
        <v>410</v>
      </c>
      <c r="H662" t="s">
        <v>409</v>
      </c>
      <c r="I662">
        <v>1423</v>
      </c>
      <c r="K662" t="s">
        <v>5126</v>
      </c>
      <c r="L662">
        <v>46293</v>
      </c>
      <c r="P662">
        <v>1423</v>
      </c>
    </row>
    <row r="663" spans="1:16" x14ac:dyDescent="0.4">
      <c r="A663">
        <v>1338</v>
      </c>
      <c r="B663" t="s">
        <v>4576</v>
      </c>
      <c r="G663" t="s">
        <v>4032</v>
      </c>
      <c r="H663" t="s">
        <v>4031</v>
      </c>
      <c r="I663">
        <v>1453</v>
      </c>
      <c r="K663" t="s">
        <v>2924</v>
      </c>
      <c r="L663">
        <v>46287</v>
      </c>
      <c r="P663">
        <v>1453</v>
      </c>
    </row>
    <row r="664" spans="1:16" x14ac:dyDescent="0.4">
      <c r="A664">
        <v>2574</v>
      </c>
      <c r="B664" t="s">
        <v>4576</v>
      </c>
      <c r="G664" t="s">
        <v>3432</v>
      </c>
      <c r="H664" t="s">
        <v>3431</v>
      </c>
      <c r="I664">
        <v>242</v>
      </c>
      <c r="K664" t="s">
        <v>2026</v>
      </c>
      <c r="L664">
        <v>46307</v>
      </c>
      <c r="P664">
        <v>242</v>
      </c>
    </row>
    <row r="665" spans="1:16" x14ac:dyDescent="0.4">
      <c r="A665">
        <v>2575</v>
      </c>
      <c r="B665" t="s">
        <v>4576</v>
      </c>
      <c r="G665" t="s">
        <v>3766</v>
      </c>
      <c r="H665" t="s">
        <v>3765</v>
      </c>
      <c r="I665">
        <v>44</v>
      </c>
      <c r="K665" t="s">
        <v>3426</v>
      </c>
      <c r="L665">
        <v>46307</v>
      </c>
      <c r="P665">
        <v>44</v>
      </c>
    </row>
    <row r="666" spans="1:16" x14ac:dyDescent="0.4">
      <c r="A666">
        <v>2576</v>
      </c>
      <c r="B666" t="s">
        <v>4576</v>
      </c>
      <c r="G666" t="s">
        <v>3768</v>
      </c>
      <c r="H666" t="s">
        <v>3767</v>
      </c>
      <c r="I666">
        <v>9</v>
      </c>
      <c r="K666" t="s">
        <v>3426</v>
      </c>
      <c r="L666">
        <v>46307</v>
      </c>
      <c r="P666">
        <v>9</v>
      </c>
    </row>
    <row r="667" spans="1:16" x14ac:dyDescent="0.4">
      <c r="A667">
        <v>2577</v>
      </c>
      <c r="B667" t="s">
        <v>4576</v>
      </c>
      <c r="G667" t="s">
        <v>3417</v>
      </c>
      <c r="H667" t="s">
        <v>3416</v>
      </c>
      <c r="I667">
        <v>28</v>
      </c>
      <c r="K667" t="s">
        <v>3415</v>
      </c>
      <c r="L667">
        <v>46307</v>
      </c>
      <c r="P667">
        <v>28</v>
      </c>
    </row>
    <row r="668" spans="1:16" x14ac:dyDescent="0.4">
      <c r="A668">
        <v>2578</v>
      </c>
      <c r="B668" t="s">
        <v>4576</v>
      </c>
      <c r="G668" t="s">
        <v>3414</v>
      </c>
      <c r="H668" t="s">
        <v>3413</v>
      </c>
      <c r="I668">
        <v>28</v>
      </c>
      <c r="K668" t="s">
        <v>3415</v>
      </c>
      <c r="L668">
        <v>46307</v>
      </c>
      <c r="P668">
        <v>28</v>
      </c>
    </row>
    <row r="669" spans="1:16" x14ac:dyDescent="0.4">
      <c r="A669">
        <v>2579</v>
      </c>
      <c r="B669" t="s">
        <v>4576</v>
      </c>
      <c r="G669" t="s">
        <v>3446</v>
      </c>
      <c r="H669" t="s">
        <v>3445</v>
      </c>
      <c r="I669">
        <v>192</v>
      </c>
      <c r="K669" t="s">
        <v>3239</v>
      </c>
      <c r="L669">
        <v>46307</v>
      </c>
      <c r="P669">
        <v>192</v>
      </c>
    </row>
    <row r="670" spans="1:16" x14ac:dyDescent="0.4">
      <c r="A670">
        <v>2580</v>
      </c>
      <c r="B670" t="s">
        <v>4576</v>
      </c>
      <c r="G670" t="s">
        <v>3444</v>
      </c>
      <c r="H670" t="s">
        <v>3443</v>
      </c>
      <c r="I670">
        <v>192</v>
      </c>
      <c r="K670" t="s">
        <v>3239</v>
      </c>
      <c r="L670">
        <v>46307</v>
      </c>
      <c r="P670">
        <v>192</v>
      </c>
    </row>
    <row r="671" spans="1:16" x14ac:dyDescent="0.4">
      <c r="A671">
        <v>2582</v>
      </c>
      <c r="B671" t="s">
        <v>4576</v>
      </c>
      <c r="G671" t="s">
        <v>3764</v>
      </c>
      <c r="H671" t="s">
        <v>3763</v>
      </c>
      <c r="I671">
        <v>35</v>
      </c>
      <c r="K671" t="s">
        <v>3426</v>
      </c>
      <c r="L671">
        <v>46307</v>
      </c>
      <c r="P671">
        <v>35</v>
      </c>
    </row>
    <row r="672" spans="1:16" x14ac:dyDescent="0.4">
      <c r="A672">
        <v>2583</v>
      </c>
      <c r="B672" t="s">
        <v>4576</v>
      </c>
      <c r="G672" t="s">
        <v>2513</v>
      </c>
      <c r="H672" t="s">
        <v>2512</v>
      </c>
      <c r="I672">
        <v>44</v>
      </c>
      <c r="K672" t="s">
        <v>4955</v>
      </c>
      <c r="L672">
        <v>46307</v>
      </c>
      <c r="P672">
        <v>44</v>
      </c>
    </row>
    <row r="673" spans="1:16" x14ac:dyDescent="0.4">
      <c r="A673">
        <v>2584</v>
      </c>
      <c r="B673" t="s">
        <v>4576</v>
      </c>
      <c r="G673" t="s">
        <v>3758</v>
      </c>
      <c r="H673" t="s">
        <v>3757</v>
      </c>
      <c r="I673">
        <v>147</v>
      </c>
      <c r="K673" t="s">
        <v>5002</v>
      </c>
      <c r="L673">
        <v>46307</v>
      </c>
      <c r="P673">
        <v>147</v>
      </c>
    </row>
    <row r="674" spans="1:16" x14ac:dyDescent="0.4">
      <c r="A674">
        <v>2585</v>
      </c>
      <c r="B674" t="s">
        <v>4576</v>
      </c>
      <c r="G674" t="s">
        <v>3770</v>
      </c>
      <c r="H674" t="s">
        <v>3769</v>
      </c>
      <c r="I674">
        <v>38</v>
      </c>
      <c r="K674" t="s">
        <v>3426</v>
      </c>
      <c r="L674">
        <v>46307</v>
      </c>
      <c r="P674">
        <v>38</v>
      </c>
    </row>
    <row r="675" spans="1:16" x14ac:dyDescent="0.4">
      <c r="A675">
        <v>2586</v>
      </c>
      <c r="B675" t="s">
        <v>4576</v>
      </c>
      <c r="G675" t="s">
        <v>3760</v>
      </c>
      <c r="H675" t="s">
        <v>3759</v>
      </c>
      <c r="I675">
        <v>142</v>
      </c>
      <c r="K675" t="s">
        <v>5002</v>
      </c>
      <c r="L675">
        <v>46307</v>
      </c>
      <c r="P675">
        <v>142</v>
      </c>
    </row>
    <row r="676" spans="1:16" x14ac:dyDescent="0.4">
      <c r="A676">
        <v>2587</v>
      </c>
      <c r="B676" t="s">
        <v>4576</v>
      </c>
      <c r="G676" t="s">
        <v>3772</v>
      </c>
      <c r="H676" t="s">
        <v>3771</v>
      </c>
      <c r="I676">
        <v>37</v>
      </c>
      <c r="K676" t="s">
        <v>3426</v>
      </c>
      <c r="L676">
        <v>46307</v>
      </c>
      <c r="P676">
        <v>37</v>
      </c>
    </row>
    <row r="677" spans="1:16" x14ac:dyDescent="0.4">
      <c r="A677">
        <v>2590</v>
      </c>
      <c r="B677" t="s">
        <v>4576</v>
      </c>
      <c r="G677" t="s">
        <v>5000</v>
      </c>
      <c r="H677">
        <v>0</v>
      </c>
      <c r="I677">
        <v>65</v>
      </c>
      <c r="K677" t="s">
        <v>3271</v>
      </c>
      <c r="L677">
        <v>46307</v>
      </c>
      <c r="P677">
        <v>65</v>
      </c>
    </row>
    <row r="678" spans="1:16" x14ac:dyDescent="0.4">
      <c r="A678">
        <v>2591</v>
      </c>
      <c r="B678" t="s">
        <v>4576</v>
      </c>
      <c r="G678" t="s">
        <v>2561</v>
      </c>
      <c r="H678" t="s">
        <v>2560</v>
      </c>
      <c r="I678">
        <v>198</v>
      </c>
      <c r="K678" t="s">
        <v>2564</v>
      </c>
      <c r="L678">
        <v>46307</v>
      </c>
      <c r="P678">
        <v>198</v>
      </c>
    </row>
    <row r="679" spans="1:16" x14ac:dyDescent="0.4">
      <c r="A679">
        <v>2593</v>
      </c>
      <c r="B679" t="s">
        <v>4576</v>
      </c>
      <c r="G679" t="s">
        <v>3278</v>
      </c>
      <c r="H679" t="s">
        <v>3277</v>
      </c>
      <c r="I679">
        <v>38</v>
      </c>
      <c r="K679" t="s">
        <v>3271</v>
      </c>
      <c r="L679">
        <v>46307</v>
      </c>
      <c r="P679">
        <v>38</v>
      </c>
    </row>
    <row r="680" spans="1:16" x14ac:dyDescent="0.4">
      <c r="A680">
        <v>2595</v>
      </c>
      <c r="B680" t="s">
        <v>4576</v>
      </c>
      <c r="G680" t="s">
        <v>3752</v>
      </c>
      <c r="H680" t="s">
        <v>3751</v>
      </c>
      <c r="I680">
        <v>94</v>
      </c>
      <c r="K680" t="s">
        <v>5001</v>
      </c>
      <c r="L680">
        <v>46307</v>
      </c>
      <c r="P680">
        <v>94</v>
      </c>
    </row>
    <row r="681" spans="1:16" x14ac:dyDescent="0.4">
      <c r="A681">
        <v>2596</v>
      </c>
      <c r="B681" t="s">
        <v>4576</v>
      </c>
      <c r="G681" t="s">
        <v>3436</v>
      </c>
      <c r="H681" t="s">
        <v>3435</v>
      </c>
      <c r="I681">
        <v>507</v>
      </c>
      <c r="K681" t="s">
        <v>2026</v>
      </c>
      <c r="L681">
        <v>46307</v>
      </c>
      <c r="P681">
        <v>507</v>
      </c>
    </row>
    <row r="682" spans="1:16" x14ac:dyDescent="0.4">
      <c r="A682">
        <v>2602</v>
      </c>
      <c r="B682" t="s">
        <v>4576</v>
      </c>
      <c r="G682" t="s">
        <v>2563</v>
      </c>
      <c r="H682" t="s">
        <v>2562</v>
      </c>
      <c r="I682">
        <v>99</v>
      </c>
      <c r="K682" t="s">
        <v>2564</v>
      </c>
      <c r="L682">
        <v>46307</v>
      </c>
      <c r="P682">
        <v>99</v>
      </c>
    </row>
    <row r="683" spans="1:16" x14ac:dyDescent="0.4">
      <c r="A683">
        <v>2604</v>
      </c>
      <c r="B683" t="s">
        <v>4576</v>
      </c>
      <c r="G683" t="s">
        <v>3202</v>
      </c>
      <c r="H683" t="s">
        <v>3201</v>
      </c>
      <c r="I683">
        <v>720</v>
      </c>
      <c r="K683" t="s">
        <v>4970</v>
      </c>
      <c r="L683">
        <v>46307</v>
      </c>
      <c r="P683">
        <v>720</v>
      </c>
    </row>
    <row r="684" spans="1:16" x14ac:dyDescent="0.4">
      <c r="A684">
        <v>2609</v>
      </c>
      <c r="B684" t="s">
        <v>4576</v>
      </c>
      <c r="G684" t="s">
        <v>3396</v>
      </c>
      <c r="H684" t="s">
        <v>3395</v>
      </c>
      <c r="I684">
        <v>53</v>
      </c>
      <c r="K684" t="s">
        <v>5052</v>
      </c>
      <c r="L684">
        <v>46307</v>
      </c>
      <c r="P684">
        <v>53</v>
      </c>
    </row>
    <row r="685" spans="1:16" x14ac:dyDescent="0.4">
      <c r="A685">
        <v>2614</v>
      </c>
      <c r="B685" t="s">
        <v>4576</v>
      </c>
      <c r="G685" t="s">
        <v>5016</v>
      </c>
      <c r="H685" t="s">
        <v>5017</v>
      </c>
      <c r="I685">
        <v>57</v>
      </c>
      <c r="K685" t="s">
        <v>5018</v>
      </c>
      <c r="L685">
        <v>46307</v>
      </c>
      <c r="P685">
        <v>57</v>
      </c>
    </row>
    <row r="686" spans="1:16" x14ac:dyDescent="0.4">
      <c r="A686">
        <v>2617</v>
      </c>
      <c r="B686" t="s">
        <v>4576</v>
      </c>
      <c r="G686" t="s">
        <v>3275</v>
      </c>
      <c r="H686" t="s">
        <v>3274</v>
      </c>
      <c r="I686">
        <v>184</v>
      </c>
      <c r="K686" t="s">
        <v>3276</v>
      </c>
      <c r="L686">
        <v>46307</v>
      </c>
      <c r="P686">
        <v>184</v>
      </c>
    </row>
    <row r="687" spans="1:16" x14ac:dyDescent="0.4">
      <c r="A687">
        <v>2618</v>
      </c>
      <c r="B687" t="s">
        <v>4576</v>
      </c>
      <c r="G687" t="s">
        <v>385</v>
      </c>
      <c r="H687" t="s">
        <v>384</v>
      </c>
      <c r="I687">
        <v>110</v>
      </c>
      <c r="K687" t="s">
        <v>4944</v>
      </c>
      <c r="L687">
        <v>46307</v>
      </c>
      <c r="P687">
        <v>110</v>
      </c>
    </row>
    <row r="688" spans="1:16" x14ac:dyDescent="0.4">
      <c r="A688">
        <v>2619</v>
      </c>
      <c r="B688" t="s">
        <v>4576</v>
      </c>
      <c r="G688" t="s">
        <v>3425</v>
      </c>
      <c r="H688" t="s">
        <v>3424</v>
      </c>
      <c r="I688">
        <v>7</v>
      </c>
      <c r="K688" t="s">
        <v>3426</v>
      </c>
      <c r="L688">
        <v>46307</v>
      </c>
      <c r="P688">
        <v>7</v>
      </c>
    </row>
    <row r="689" spans="1:16" x14ac:dyDescent="0.4">
      <c r="A689">
        <v>2620</v>
      </c>
      <c r="B689" t="s">
        <v>4576</v>
      </c>
      <c r="G689" t="s">
        <v>3452</v>
      </c>
      <c r="H689" t="s">
        <v>3451</v>
      </c>
      <c r="I689">
        <v>20</v>
      </c>
      <c r="K689" t="s">
        <v>3239</v>
      </c>
      <c r="L689">
        <v>46307</v>
      </c>
      <c r="P689">
        <v>20</v>
      </c>
    </row>
    <row r="690" spans="1:16" x14ac:dyDescent="0.4">
      <c r="A690">
        <v>2621</v>
      </c>
      <c r="B690" t="s">
        <v>4576</v>
      </c>
      <c r="G690" t="s">
        <v>5013</v>
      </c>
      <c r="H690" t="s">
        <v>5014</v>
      </c>
      <c r="I690">
        <v>66</v>
      </c>
      <c r="K690" t="s">
        <v>5015</v>
      </c>
      <c r="L690">
        <v>46307</v>
      </c>
      <c r="P690">
        <v>66</v>
      </c>
    </row>
    <row r="691" spans="1:16" x14ac:dyDescent="0.4">
      <c r="A691">
        <v>2622</v>
      </c>
      <c r="B691" t="s">
        <v>4576</v>
      </c>
      <c r="G691" t="s">
        <v>5011</v>
      </c>
      <c r="H691" t="s">
        <v>5012</v>
      </c>
      <c r="I691">
        <v>110</v>
      </c>
      <c r="K691" t="s">
        <v>5008</v>
      </c>
      <c r="L691">
        <v>46307</v>
      </c>
      <c r="P691">
        <v>110</v>
      </c>
    </row>
    <row r="692" spans="1:16" x14ac:dyDescent="0.4">
      <c r="A692">
        <v>2623</v>
      </c>
      <c r="B692" t="s">
        <v>4576</v>
      </c>
      <c r="G692" t="s">
        <v>3419</v>
      </c>
      <c r="H692" t="s">
        <v>3418</v>
      </c>
      <c r="I692">
        <v>170</v>
      </c>
      <c r="K692" t="s">
        <v>3420</v>
      </c>
      <c r="L692">
        <v>46307</v>
      </c>
      <c r="P692">
        <v>170</v>
      </c>
    </row>
    <row r="693" spans="1:16" x14ac:dyDescent="0.4">
      <c r="A693">
        <v>2626</v>
      </c>
      <c r="B693" t="s">
        <v>4576</v>
      </c>
      <c r="G693" t="s">
        <v>3213</v>
      </c>
      <c r="H693" t="s">
        <v>3212</v>
      </c>
      <c r="I693">
        <v>20</v>
      </c>
      <c r="K693" t="s">
        <v>5021</v>
      </c>
      <c r="L693">
        <v>46307</v>
      </c>
      <c r="P693">
        <v>20</v>
      </c>
    </row>
    <row r="694" spans="1:16" x14ac:dyDescent="0.4">
      <c r="A694">
        <v>2629</v>
      </c>
      <c r="B694" t="s">
        <v>4576</v>
      </c>
      <c r="D694" t="s">
        <v>4901</v>
      </c>
      <c r="E694" t="s">
        <v>4936</v>
      </c>
      <c r="F694" t="s">
        <v>4939</v>
      </c>
      <c r="G694" t="s">
        <v>3303</v>
      </c>
      <c r="H694" t="s">
        <v>3302</v>
      </c>
      <c r="I694">
        <v>16</v>
      </c>
      <c r="K694" t="s">
        <v>5005</v>
      </c>
      <c r="L694">
        <v>46294</v>
      </c>
      <c r="P694">
        <v>16</v>
      </c>
    </row>
    <row r="695" spans="1:16" x14ac:dyDescent="0.4">
      <c r="A695">
        <v>2632</v>
      </c>
      <c r="B695" t="s">
        <v>4576</v>
      </c>
      <c r="G695" t="s">
        <v>3303</v>
      </c>
      <c r="H695" t="s">
        <v>3302</v>
      </c>
      <c r="I695">
        <v>3</v>
      </c>
      <c r="K695" t="s">
        <v>5005</v>
      </c>
      <c r="L695">
        <v>46301</v>
      </c>
      <c r="P695">
        <v>3</v>
      </c>
    </row>
    <row r="696" spans="1:16" x14ac:dyDescent="0.4">
      <c r="A696">
        <v>2633</v>
      </c>
      <c r="B696" t="s">
        <v>4576</v>
      </c>
      <c r="G696" t="s">
        <v>2132</v>
      </c>
      <c r="H696" t="s">
        <v>2131</v>
      </c>
      <c r="I696">
        <v>0</v>
      </c>
      <c r="K696" t="s">
        <v>4852</v>
      </c>
      <c r="L696">
        <v>46296</v>
      </c>
      <c r="P696">
        <v>0</v>
      </c>
    </row>
    <row r="697" spans="1:16" x14ac:dyDescent="0.4">
      <c r="A697">
        <v>2634</v>
      </c>
      <c r="B697" t="s">
        <v>4576</v>
      </c>
      <c r="G697" t="s">
        <v>2150</v>
      </c>
      <c r="H697" t="s">
        <v>2149</v>
      </c>
      <c r="I697">
        <v>171</v>
      </c>
      <c r="K697" t="s">
        <v>4850</v>
      </c>
      <c r="L697">
        <v>46296</v>
      </c>
      <c r="P697">
        <v>171</v>
      </c>
    </row>
    <row r="698" spans="1:16" x14ac:dyDescent="0.4">
      <c r="A698">
        <v>2635</v>
      </c>
      <c r="B698" t="s">
        <v>4576</v>
      </c>
      <c r="G698" t="s">
        <v>2125</v>
      </c>
      <c r="H698" t="s">
        <v>2124</v>
      </c>
      <c r="I698">
        <v>215</v>
      </c>
      <c r="K698" t="s">
        <v>4852</v>
      </c>
      <c r="L698">
        <v>46296</v>
      </c>
      <c r="P698">
        <v>215</v>
      </c>
    </row>
    <row r="699" spans="1:16" x14ac:dyDescent="0.4">
      <c r="A699">
        <v>2636</v>
      </c>
      <c r="B699" t="s">
        <v>4576</v>
      </c>
      <c r="G699" t="s">
        <v>2128</v>
      </c>
      <c r="H699" t="s">
        <v>2127</v>
      </c>
      <c r="I699">
        <v>93</v>
      </c>
      <c r="K699" t="s">
        <v>4852</v>
      </c>
      <c r="L699">
        <v>46296</v>
      </c>
      <c r="P699">
        <v>93</v>
      </c>
    </row>
    <row r="700" spans="1:16" x14ac:dyDescent="0.4">
      <c r="A700">
        <v>2637</v>
      </c>
      <c r="B700" t="s">
        <v>4576</v>
      </c>
      <c r="G700" t="s">
        <v>2307</v>
      </c>
      <c r="H700" t="s">
        <v>2306</v>
      </c>
      <c r="I700">
        <v>21</v>
      </c>
      <c r="K700" t="s">
        <v>4859</v>
      </c>
      <c r="L700">
        <v>46296</v>
      </c>
      <c r="P700">
        <v>21</v>
      </c>
    </row>
    <row r="701" spans="1:16" x14ac:dyDescent="0.4">
      <c r="A701">
        <v>2638</v>
      </c>
      <c r="B701" t="s">
        <v>4576</v>
      </c>
      <c r="G701" t="s">
        <v>2236</v>
      </c>
      <c r="H701" t="s">
        <v>2235</v>
      </c>
      <c r="I701">
        <v>302</v>
      </c>
      <c r="K701" t="s">
        <v>4851</v>
      </c>
      <c r="L701">
        <v>46296</v>
      </c>
      <c r="P701">
        <v>302</v>
      </c>
    </row>
    <row r="702" spans="1:16" x14ac:dyDescent="0.4">
      <c r="A702">
        <v>2639</v>
      </c>
      <c r="B702" t="s">
        <v>4576</v>
      </c>
      <c r="G702" t="s">
        <v>2155</v>
      </c>
      <c r="H702" t="s">
        <v>2154</v>
      </c>
      <c r="I702">
        <v>242</v>
      </c>
      <c r="K702" t="s">
        <v>4863</v>
      </c>
      <c r="L702">
        <v>46296</v>
      </c>
      <c r="P702">
        <v>242</v>
      </c>
    </row>
    <row r="703" spans="1:16" x14ac:dyDescent="0.4">
      <c r="A703">
        <v>2640</v>
      </c>
      <c r="B703" t="s">
        <v>4576</v>
      </c>
      <c r="G703" t="s">
        <v>2134</v>
      </c>
      <c r="H703" t="s">
        <v>2133</v>
      </c>
      <c r="I703">
        <v>294</v>
      </c>
      <c r="K703" t="s">
        <v>4852</v>
      </c>
      <c r="L703">
        <v>46296</v>
      </c>
      <c r="P703">
        <v>294</v>
      </c>
    </row>
    <row r="704" spans="1:16" x14ac:dyDescent="0.4">
      <c r="A704">
        <v>2641</v>
      </c>
      <c r="B704" t="s">
        <v>4576</v>
      </c>
      <c r="G704" t="s">
        <v>2136</v>
      </c>
      <c r="H704" t="s">
        <v>2135</v>
      </c>
      <c r="I704">
        <v>1012</v>
      </c>
      <c r="K704" t="s">
        <v>4852</v>
      </c>
      <c r="L704">
        <v>46296</v>
      </c>
      <c r="P704">
        <v>1012</v>
      </c>
    </row>
    <row r="705" spans="1:16" x14ac:dyDescent="0.4">
      <c r="A705">
        <v>2642</v>
      </c>
      <c r="B705" t="s">
        <v>4576</v>
      </c>
      <c r="G705" t="s">
        <v>2130</v>
      </c>
      <c r="H705" t="s">
        <v>2129</v>
      </c>
      <c r="I705">
        <v>220</v>
      </c>
      <c r="K705" t="s">
        <v>4852</v>
      </c>
      <c r="L705">
        <v>46296</v>
      </c>
      <c r="P705">
        <v>220</v>
      </c>
    </row>
    <row r="706" spans="1:16" x14ac:dyDescent="0.4">
      <c r="A706">
        <v>2644</v>
      </c>
      <c r="B706" t="s">
        <v>4576</v>
      </c>
      <c r="G706" t="s">
        <v>1199</v>
      </c>
      <c r="H706" t="s">
        <v>1198</v>
      </c>
      <c r="I706">
        <v>50</v>
      </c>
      <c r="K706" t="s">
        <v>4966</v>
      </c>
      <c r="L706">
        <v>46296</v>
      </c>
      <c r="P706">
        <v>50</v>
      </c>
    </row>
    <row r="707" spans="1:16" x14ac:dyDescent="0.4">
      <c r="A707">
        <v>2645</v>
      </c>
      <c r="B707" t="s">
        <v>4576</v>
      </c>
      <c r="G707" t="s">
        <v>2626</v>
      </c>
      <c r="H707" t="s">
        <v>2625</v>
      </c>
      <c r="I707">
        <v>24</v>
      </c>
      <c r="K707" t="s">
        <v>5076</v>
      </c>
      <c r="L707">
        <v>46296</v>
      </c>
      <c r="P707">
        <v>24</v>
      </c>
    </row>
    <row r="708" spans="1:16" x14ac:dyDescent="0.4">
      <c r="A708">
        <v>2646</v>
      </c>
      <c r="B708" t="s">
        <v>4576</v>
      </c>
      <c r="G708" t="s">
        <v>628</v>
      </c>
      <c r="H708" t="s">
        <v>627</v>
      </c>
      <c r="I708">
        <v>28</v>
      </c>
      <c r="K708" t="s">
        <v>4965</v>
      </c>
      <c r="L708">
        <v>46296</v>
      </c>
      <c r="P708">
        <v>28</v>
      </c>
    </row>
    <row r="709" spans="1:16" x14ac:dyDescent="0.4">
      <c r="A709">
        <v>2647</v>
      </c>
      <c r="B709" t="s">
        <v>4576</v>
      </c>
      <c r="G709" t="s">
        <v>2809</v>
      </c>
      <c r="H709" t="s">
        <v>2808</v>
      </c>
      <c r="I709">
        <v>71</v>
      </c>
      <c r="K709" t="s">
        <v>4869</v>
      </c>
      <c r="L709">
        <v>46296</v>
      </c>
      <c r="P709">
        <v>71</v>
      </c>
    </row>
    <row r="710" spans="1:16" x14ac:dyDescent="0.4">
      <c r="A710">
        <v>2648</v>
      </c>
      <c r="B710" t="s">
        <v>4576</v>
      </c>
      <c r="G710" t="s">
        <v>1001</v>
      </c>
      <c r="H710" t="s">
        <v>1000</v>
      </c>
      <c r="I710">
        <v>206</v>
      </c>
      <c r="K710" t="s">
        <v>4851</v>
      </c>
      <c r="L710">
        <v>46296</v>
      </c>
      <c r="P710">
        <v>206</v>
      </c>
    </row>
    <row r="711" spans="1:16" x14ac:dyDescent="0.4">
      <c r="A711">
        <v>2649</v>
      </c>
      <c r="B711" t="s">
        <v>4576</v>
      </c>
      <c r="G711" t="s">
        <v>1146</v>
      </c>
      <c r="H711" t="s">
        <v>1145</v>
      </c>
      <c r="I711">
        <v>358</v>
      </c>
      <c r="K711" t="s">
        <v>4871</v>
      </c>
      <c r="L711">
        <v>46296</v>
      </c>
      <c r="P711">
        <v>358</v>
      </c>
    </row>
    <row r="712" spans="1:16" x14ac:dyDescent="0.4">
      <c r="A712">
        <v>2654</v>
      </c>
      <c r="B712" t="s">
        <v>4576</v>
      </c>
      <c r="G712" t="s">
        <v>1119</v>
      </c>
      <c r="H712" t="s">
        <v>1118</v>
      </c>
      <c r="I712">
        <v>90</v>
      </c>
      <c r="K712" t="s">
        <v>4958</v>
      </c>
      <c r="L712">
        <v>46296</v>
      </c>
      <c r="P712">
        <v>90</v>
      </c>
    </row>
    <row r="713" spans="1:16" x14ac:dyDescent="0.4">
      <c r="A713">
        <v>2655</v>
      </c>
      <c r="B713" t="s">
        <v>4576</v>
      </c>
      <c r="G713" t="s">
        <v>2479</v>
      </c>
      <c r="H713" t="s">
        <v>5138</v>
      </c>
      <c r="I713">
        <v>84</v>
      </c>
      <c r="K713" t="s">
        <v>5109</v>
      </c>
      <c r="L713">
        <v>46296</v>
      </c>
      <c r="P713">
        <v>84</v>
      </c>
    </row>
    <row r="714" spans="1:16" x14ac:dyDescent="0.4">
      <c r="A714">
        <v>2656</v>
      </c>
      <c r="B714" t="s">
        <v>4576</v>
      </c>
      <c r="G714" t="s">
        <v>2507</v>
      </c>
      <c r="H714" t="s">
        <v>2506</v>
      </c>
      <c r="I714">
        <v>195</v>
      </c>
      <c r="K714" t="s">
        <v>5060</v>
      </c>
      <c r="L714">
        <v>46296</v>
      </c>
      <c r="P714">
        <v>195</v>
      </c>
    </row>
    <row r="715" spans="1:16" x14ac:dyDescent="0.4">
      <c r="A715">
        <v>2657</v>
      </c>
      <c r="B715" t="s">
        <v>4576</v>
      </c>
      <c r="G715" t="s">
        <v>2609</v>
      </c>
      <c r="H715" t="s">
        <v>2608</v>
      </c>
      <c r="I715">
        <v>10</v>
      </c>
      <c r="K715" t="s">
        <v>5060</v>
      </c>
      <c r="L715">
        <v>46296</v>
      </c>
      <c r="P715">
        <v>10</v>
      </c>
    </row>
    <row r="716" spans="1:16" x14ac:dyDescent="0.4">
      <c r="A716">
        <v>2658</v>
      </c>
      <c r="B716" t="s">
        <v>4576</v>
      </c>
      <c r="G716" t="s">
        <v>2473</v>
      </c>
      <c r="H716" t="s">
        <v>2472</v>
      </c>
      <c r="I716">
        <v>45</v>
      </c>
      <c r="K716" t="s">
        <v>4958</v>
      </c>
      <c r="L716">
        <v>46296</v>
      </c>
      <c r="P716">
        <v>45</v>
      </c>
    </row>
    <row r="717" spans="1:16" x14ac:dyDescent="0.4">
      <c r="A717">
        <v>2659</v>
      </c>
      <c r="B717" t="s">
        <v>4576</v>
      </c>
      <c r="G717" t="s">
        <v>2475</v>
      </c>
      <c r="H717" t="s">
        <v>2474</v>
      </c>
      <c r="I717">
        <v>123</v>
      </c>
      <c r="K717" t="s">
        <v>4958</v>
      </c>
      <c r="L717">
        <v>46296</v>
      </c>
      <c r="P717">
        <v>123</v>
      </c>
    </row>
    <row r="718" spans="1:16" x14ac:dyDescent="0.4">
      <c r="A718">
        <v>2660</v>
      </c>
      <c r="B718" t="s">
        <v>4576</v>
      </c>
      <c r="G718" t="s">
        <v>2457</v>
      </c>
      <c r="H718" t="s">
        <v>2456</v>
      </c>
      <c r="I718">
        <v>200</v>
      </c>
      <c r="K718" t="s">
        <v>4954</v>
      </c>
      <c r="L718">
        <v>46296</v>
      </c>
      <c r="P718">
        <v>200</v>
      </c>
    </row>
    <row r="719" spans="1:16" x14ac:dyDescent="0.4">
      <c r="A719">
        <v>2661</v>
      </c>
      <c r="B719" t="s">
        <v>4576</v>
      </c>
      <c r="G719" t="s">
        <v>2555</v>
      </c>
      <c r="H719" t="s">
        <v>2554</v>
      </c>
      <c r="I719">
        <v>557</v>
      </c>
      <c r="K719" t="s">
        <v>4871</v>
      </c>
      <c r="L719">
        <v>46296</v>
      </c>
      <c r="P719">
        <v>557</v>
      </c>
    </row>
    <row r="720" spans="1:16" x14ac:dyDescent="0.4">
      <c r="A720">
        <v>2662</v>
      </c>
      <c r="B720" t="s">
        <v>4576</v>
      </c>
      <c r="G720" t="s">
        <v>2454</v>
      </c>
      <c r="H720" t="s">
        <v>2453</v>
      </c>
      <c r="I720">
        <v>103</v>
      </c>
      <c r="K720" t="s">
        <v>4955</v>
      </c>
      <c r="L720">
        <v>46296</v>
      </c>
      <c r="P720">
        <v>103</v>
      </c>
    </row>
    <row r="721" spans="1:16" x14ac:dyDescent="0.4">
      <c r="A721">
        <v>2663</v>
      </c>
      <c r="B721" t="s">
        <v>4576</v>
      </c>
      <c r="G721" t="s">
        <v>246</v>
      </c>
      <c r="H721" t="s">
        <v>4960</v>
      </c>
      <c r="I721">
        <v>348</v>
      </c>
      <c r="K721" t="s">
        <v>4864</v>
      </c>
      <c r="L721">
        <v>46296</v>
      </c>
      <c r="P721">
        <v>348</v>
      </c>
    </row>
    <row r="722" spans="1:16" x14ac:dyDescent="0.4">
      <c r="A722">
        <v>2664</v>
      </c>
      <c r="B722" t="s">
        <v>4576</v>
      </c>
      <c r="G722" t="s">
        <v>243</v>
      </c>
      <c r="H722" t="s">
        <v>4961</v>
      </c>
      <c r="I722">
        <v>220</v>
      </c>
      <c r="K722" t="s">
        <v>4864</v>
      </c>
      <c r="L722">
        <v>46296</v>
      </c>
      <c r="P722">
        <v>220</v>
      </c>
    </row>
    <row r="723" spans="1:16" x14ac:dyDescent="0.4">
      <c r="A723">
        <v>2665</v>
      </c>
      <c r="B723" t="s">
        <v>4576</v>
      </c>
      <c r="G723" t="s">
        <v>723</v>
      </c>
      <c r="H723" t="s">
        <v>4962</v>
      </c>
      <c r="I723">
        <v>496</v>
      </c>
      <c r="K723" t="s">
        <v>4864</v>
      </c>
      <c r="L723">
        <v>46296</v>
      </c>
      <c r="P723">
        <v>496</v>
      </c>
    </row>
    <row r="724" spans="1:16" x14ac:dyDescent="0.4">
      <c r="A724">
        <v>2666</v>
      </c>
      <c r="B724" t="s">
        <v>4576</v>
      </c>
      <c r="G724" t="s">
        <v>633</v>
      </c>
      <c r="H724" t="s">
        <v>4963</v>
      </c>
      <c r="I724">
        <v>149</v>
      </c>
      <c r="K724" t="s">
        <v>4864</v>
      </c>
      <c r="L724">
        <v>46296</v>
      </c>
      <c r="P724">
        <v>149</v>
      </c>
    </row>
    <row r="725" spans="1:16" x14ac:dyDescent="0.4">
      <c r="A725">
        <v>2667</v>
      </c>
      <c r="B725" t="s">
        <v>4576</v>
      </c>
      <c r="G725" t="s">
        <v>631</v>
      </c>
      <c r="H725" t="s">
        <v>4964</v>
      </c>
      <c r="I725">
        <v>37</v>
      </c>
      <c r="K725" t="s">
        <v>4864</v>
      </c>
      <c r="L725">
        <v>46296</v>
      </c>
      <c r="P725">
        <v>37</v>
      </c>
    </row>
    <row r="726" spans="1:16" x14ac:dyDescent="0.4">
      <c r="A726">
        <v>2668</v>
      </c>
      <c r="B726" t="s">
        <v>4576</v>
      </c>
      <c r="G726" t="s">
        <v>750</v>
      </c>
      <c r="H726" t="s">
        <v>749</v>
      </c>
      <c r="I726">
        <v>28</v>
      </c>
      <c r="K726" t="s">
        <v>4956</v>
      </c>
      <c r="L726">
        <v>46296</v>
      </c>
      <c r="P726">
        <v>28</v>
      </c>
    </row>
    <row r="727" spans="1:16" x14ac:dyDescent="0.4">
      <c r="A727">
        <v>2669</v>
      </c>
      <c r="B727" t="s">
        <v>4576</v>
      </c>
      <c r="G727" t="s">
        <v>748</v>
      </c>
      <c r="H727" t="s">
        <v>747</v>
      </c>
      <c r="I727">
        <v>75</v>
      </c>
      <c r="K727" t="s">
        <v>4956</v>
      </c>
      <c r="L727">
        <v>46296</v>
      </c>
      <c r="P727">
        <v>75</v>
      </c>
    </row>
    <row r="728" spans="1:16" x14ac:dyDescent="0.4">
      <c r="A728">
        <v>2670</v>
      </c>
      <c r="B728" t="s">
        <v>4576</v>
      </c>
      <c r="G728" t="s">
        <v>1005</v>
      </c>
      <c r="H728" t="s">
        <v>1004</v>
      </c>
      <c r="I728">
        <v>186</v>
      </c>
      <c r="K728" t="s">
        <v>4871</v>
      </c>
      <c r="L728">
        <v>46296</v>
      </c>
      <c r="P728">
        <v>186</v>
      </c>
    </row>
    <row r="729" spans="1:16" x14ac:dyDescent="0.4">
      <c r="A729">
        <v>2671</v>
      </c>
      <c r="B729" t="s">
        <v>4576</v>
      </c>
      <c r="G729" t="s">
        <v>479</v>
      </c>
      <c r="H729" t="s">
        <v>4959</v>
      </c>
      <c r="I729">
        <v>78</v>
      </c>
      <c r="K729" t="s">
        <v>4864</v>
      </c>
      <c r="L729">
        <v>46296</v>
      </c>
      <c r="P729">
        <v>78</v>
      </c>
    </row>
    <row r="730" spans="1:16" x14ac:dyDescent="0.4">
      <c r="A730">
        <v>2672</v>
      </c>
      <c r="B730" t="s">
        <v>4576</v>
      </c>
      <c r="G730" t="s">
        <v>2784</v>
      </c>
      <c r="H730" t="s">
        <v>2783</v>
      </c>
      <c r="I730">
        <v>150</v>
      </c>
      <c r="K730" t="s">
        <v>4869</v>
      </c>
      <c r="L730">
        <v>46296</v>
      </c>
      <c r="P730">
        <v>150</v>
      </c>
    </row>
    <row r="731" spans="1:16" x14ac:dyDescent="0.4">
      <c r="A731">
        <v>2673</v>
      </c>
      <c r="B731" t="s">
        <v>4576</v>
      </c>
      <c r="G731" t="s">
        <v>2782</v>
      </c>
      <c r="H731" t="s">
        <v>2781</v>
      </c>
      <c r="I731">
        <v>159</v>
      </c>
      <c r="K731" t="s">
        <v>4869</v>
      </c>
      <c r="L731">
        <v>46296</v>
      </c>
      <c r="P731">
        <v>159</v>
      </c>
    </row>
    <row r="732" spans="1:16" x14ac:dyDescent="0.4">
      <c r="A732">
        <v>2674</v>
      </c>
      <c r="B732" t="s">
        <v>4576</v>
      </c>
      <c r="G732" t="s">
        <v>2601</v>
      </c>
      <c r="H732" t="s">
        <v>2600</v>
      </c>
      <c r="I732">
        <v>15</v>
      </c>
      <c r="K732" t="s">
        <v>4851</v>
      </c>
      <c r="L732">
        <v>46296</v>
      </c>
      <c r="P732">
        <v>15</v>
      </c>
    </row>
    <row r="733" spans="1:16" x14ac:dyDescent="0.4">
      <c r="A733">
        <v>2675</v>
      </c>
      <c r="B733" t="s">
        <v>4576</v>
      </c>
      <c r="G733" t="s">
        <v>2553</v>
      </c>
      <c r="H733" t="s">
        <v>2552</v>
      </c>
      <c r="I733">
        <v>132</v>
      </c>
      <c r="K733" t="s">
        <v>4871</v>
      </c>
      <c r="L733">
        <v>46296</v>
      </c>
      <c r="P733">
        <v>132</v>
      </c>
    </row>
    <row r="734" spans="1:16" x14ac:dyDescent="0.4">
      <c r="A734">
        <v>2676</v>
      </c>
      <c r="B734" t="s">
        <v>4576</v>
      </c>
      <c r="G734" t="s">
        <v>2509</v>
      </c>
      <c r="H734" t="s">
        <v>2508</v>
      </c>
      <c r="I734">
        <v>298</v>
      </c>
      <c r="K734" t="s">
        <v>5060</v>
      </c>
      <c r="L734">
        <v>46296</v>
      </c>
      <c r="P734">
        <v>298</v>
      </c>
    </row>
    <row r="735" spans="1:16" x14ac:dyDescent="0.4">
      <c r="A735">
        <v>2677</v>
      </c>
      <c r="B735" t="s">
        <v>4576</v>
      </c>
      <c r="G735" t="s">
        <v>3337</v>
      </c>
      <c r="H735" t="s">
        <v>3336</v>
      </c>
      <c r="I735">
        <v>106</v>
      </c>
      <c r="K735" t="s">
        <v>3338</v>
      </c>
      <c r="L735">
        <v>46297</v>
      </c>
      <c r="P735">
        <v>106</v>
      </c>
    </row>
    <row r="736" spans="1:16" x14ac:dyDescent="0.4">
      <c r="A736">
        <v>2678</v>
      </c>
      <c r="B736" t="s">
        <v>4576</v>
      </c>
      <c r="G736" t="s">
        <v>3340</v>
      </c>
      <c r="H736" t="s">
        <v>3339</v>
      </c>
      <c r="I736">
        <v>20</v>
      </c>
      <c r="K736" t="s">
        <v>3338</v>
      </c>
      <c r="L736">
        <v>46297</v>
      </c>
      <c r="P736">
        <v>20</v>
      </c>
    </row>
    <row r="737" spans="1:16" x14ac:dyDescent="0.4">
      <c r="A737">
        <v>2679</v>
      </c>
      <c r="B737" t="s">
        <v>4576</v>
      </c>
      <c r="G737" t="s">
        <v>2857</v>
      </c>
      <c r="H737" t="s">
        <v>2856</v>
      </c>
      <c r="I737">
        <v>46</v>
      </c>
      <c r="K737" t="s">
        <v>4933</v>
      </c>
      <c r="L737">
        <v>46301</v>
      </c>
      <c r="P737">
        <v>46</v>
      </c>
    </row>
    <row r="738" spans="1:16" x14ac:dyDescent="0.4">
      <c r="A738">
        <v>2680</v>
      </c>
      <c r="B738" t="s">
        <v>4576</v>
      </c>
      <c r="G738" t="s">
        <v>4843</v>
      </c>
      <c r="H738" t="s">
        <v>2775</v>
      </c>
      <c r="I738">
        <v>91</v>
      </c>
      <c r="K738" t="s">
        <v>4869</v>
      </c>
      <c r="L738">
        <v>46301</v>
      </c>
      <c r="P738">
        <v>91</v>
      </c>
    </row>
    <row r="739" spans="1:16" x14ac:dyDescent="0.4">
      <c r="A739">
        <v>2681</v>
      </c>
      <c r="B739" t="s">
        <v>4576</v>
      </c>
      <c r="G739" t="s">
        <v>2148</v>
      </c>
      <c r="H739" t="s">
        <v>2147</v>
      </c>
      <c r="I739">
        <v>562</v>
      </c>
      <c r="K739" t="s">
        <v>4863</v>
      </c>
      <c r="L739">
        <v>46301</v>
      </c>
      <c r="P739">
        <v>562</v>
      </c>
    </row>
    <row r="740" spans="1:16" x14ac:dyDescent="0.4">
      <c r="A740">
        <v>2682</v>
      </c>
      <c r="B740" t="s">
        <v>4576</v>
      </c>
      <c r="G740" t="s">
        <v>2145</v>
      </c>
      <c r="H740" t="s">
        <v>2144</v>
      </c>
      <c r="I740">
        <v>678</v>
      </c>
      <c r="K740" t="s">
        <v>4863</v>
      </c>
      <c r="L740">
        <v>46301</v>
      </c>
      <c r="P740">
        <v>678</v>
      </c>
    </row>
    <row r="741" spans="1:16" x14ac:dyDescent="0.4">
      <c r="A741">
        <v>2683</v>
      </c>
      <c r="B741" t="s">
        <v>4576</v>
      </c>
      <c r="G741" t="s">
        <v>2254</v>
      </c>
      <c r="H741" t="s">
        <v>2253</v>
      </c>
      <c r="I741">
        <v>265</v>
      </c>
      <c r="K741" t="s">
        <v>4851</v>
      </c>
      <c r="L741">
        <v>46301</v>
      </c>
      <c r="P741">
        <v>265</v>
      </c>
    </row>
    <row r="742" spans="1:16" x14ac:dyDescent="0.4">
      <c r="A742">
        <v>2685</v>
      </c>
      <c r="B742" t="s">
        <v>4576</v>
      </c>
      <c r="G742" t="s">
        <v>3412</v>
      </c>
      <c r="H742" t="s">
        <v>3411</v>
      </c>
      <c r="I742">
        <v>14</v>
      </c>
      <c r="K742" t="s">
        <v>1829</v>
      </c>
      <c r="L742">
        <v>46302</v>
      </c>
      <c r="P742">
        <v>14</v>
      </c>
    </row>
    <row r="743" spans="1:16" x14ac:dyDescent="0.4">
      <c r="A743">
        <v>1969</v>
      </c>
      <c r="B743" t="s">
        <v>4915</v>
      </c>
      <c r="D743" t="s">
        <v>4901</v>
      </c>
      <c r="E743" t="s">
        <v>4936</v>
      </c>
      <c r="F743" t="s">
        <v>4939</v>
      </c>
      <c r="G743" t="s">
        <v>3369</v>
      </c>
      <c r="H743" t="s">
        <v>3368</v>
      </c>
      <c r="I743">
        <v>1</v>
      </c>
      <c r="K743" t="s">
        <v>5005</v>
      </c>
      <c r="L743">
        <v>46301</v>
      </c>
      <c r="M743">
        <v>103216</v>
      </c>
      <c r="N743">
        <v>1</v>
      </c>
      <c r="O743">
        <v>46302</v>
      </c>
      <c r="P743">
        <v>0</v>
      </c>
    </row>
    <row r="744" spans="1:16" x14ac:dyDescent="0.4">
      <c r="A744">
        <v>1986</v>
      </c>
      <c r="B744" t="s">
        <v>4915</v>
      </c>
      <c r="D744" t="s">
        <v>4901</v>
      </c>
      <c r="E744" t="s">
        <v>4936</v>
      </c>
      <c r="F744" t="s">
        <v>4939</v>
      </c>
      <c r="G744" t="s">
        <v>3369</v>
      </c>
      <c r="H744" t="s">
        <v>3368</v>
      </c>
      <c r="I744">
        <v>3</v>
      </c>
      <c r="K744" t="s">
        <v>5005</v>
      </c>
      <c r="L744">
        <v>46295</v>
      </c>
      <c r="M744">
        <v>103216</v>
      </c>
      <c r="N744">
        <v>3</v>
      </c>
      <c r="O744">
        <v>46302</v>
      </c>
      <c r="P744">
        <v>0</v>
      </c>
    </row>
    <row r="745" spans="1:16" x14ac:dyDescent="0.4">
      <c r="A745">
        <v>2684</v>
      </c>
      <c r="B745" t="s">
        <v>4915</v>
      </c>
      <c r="D745" t="s">
        <v>4901</v>
      </c>
      <c r="E745" t="s">
        <v>4936</v>
      </c>
      <c r="F745" t="s">
        <v>4939</v>
      </c>
      <c r="G745" t="s">
        <v>3369</v>
      </c>
      <c r="H745" t="s">
        <v>3368</v>
      </c>
      <c r="I745">
        <v>21</v>
      </c>
      <c r="K745" t="s">
        <v>5005</v>
      </c>
      <c r="L745">
        <v>46302</v>
      </c>
      <c r="M745">
        <v>103216</v>
      </c>
      <c r="N745">
        <v>21</v>
      </c>
      <c r="O745">
        <v>46302</v>
      </c>
      <c r="P745">
        <v>0</v>
      </c>
    </row>
    <row r="746" spans="1:16" x14ac:dyDescent="0.4">
      <c r="A746">
        <v>2628</v>
      </c>
      <c r="B746" t="s">
        <v>4915</v>
      </c>
      <c r="D746" t="s">
        <v>4901</v>
      </c>
      <c r="E746" t="s">
        <v>4936</v>
      </c>
      <c r="F746" t="s">
        <v>4939</v>
      </c>
      <c r="G746" t="s">
        <v>3303</v>
      </c>
      <c r="H746" t="s">
        <v>3302</v>
      </c>
      <c r="I746">
        <v>18</v>
      </c>
      <c r="K746" t="s">
        <v>5005</v>
      </c>
      <c r="L746">
        <v>46295</v>
      </c>
      <c r="M746">
        <v>103216</v>
      </c>
      <c r="N746">
        <v>18</v>
      </c>
      <c r="O746">
        <v>46302</v>
      </c>
      <c r="P746">
        <v>0</v>
      </c>
    </row>
    <row r="747" spans="1:16" x14ac:dyDescent="0.4">
      <c r="A747">
        <v>1703</v>
      </c>
      <c r="B747" t="s">
        <v>4915</v>
      </c>
      <c r="G747" t="s">
        <v>3412</v>
      </c>
      <c r="H747" t="s">
        <v>3411</v>
      </c>
      <c r="I747">
        <v>54</v>
      </c>
      <c r="K747" t="s">
        <v>1829</v>
      </c>
      <c r="L747">
        <v>46288</v>
      </c>
      <c r="M747">
        <v>103216</v>
      </c>
      <c r="N747">
        <v>40</v>
      </c>
      <c r="O747">
        <v>46302</v>
      </c>
      <c r="P747">
        <v>14</v>
      </c>
    </row>
    <row r="748" spans="1:16" x14ac:dyDescent="0.4">
      <c r="A748">
        <v>139</v>
      </c>
      <c r="B748" t="s">
        <v>4915</v>
      </c>
      <c r="G748" t="s">
        <v>3963</v>
      </c>
      <c r="H748" t="s">
        <v>3962</v>
      </c>
      <c r="I748">
        <v>49</v>
      </c>
      <c r="K748" t="s">
        <v>3964</v>
      </c>
      <c r="L748">
        <v>46224</v>
      </c>
      <c r="M748">
        <v>69253</v>
      </c>
      <c r="N748">
        <v>2</v>
      </c>
      <c r="O748">
        <v>46227</v>
      </c>
      <c r="P748">
        <v>47</v>
      </c>
    </row>
    <row r="749" spans="1:16" x14ac:dyDescent="0.4">
      <c r="A749">
        <v>140</v>
      </c>
      <c r="B749" t="s">
        <v>4915</v>
      </c>
      <c r="G749" t="s">
        <v>3988</v>
      </c>
      <c r="H749" t="s">
        <v>3987</v>
      </c>
      <c r="I749">
        <v>73</v>
      </c>
      <c r="K749" t="s">
        <v>3989</v>
      </c>
      <c r="L749">
        <v>46224</v>
      </c>
      <c r="M749">
        <v>69253</v>
      </c>
      <c r="N749">
        <v>2</v>
      </c>
      <c r="O749">
        <v>46227</v>
      </c>
      <c r="P749">
        <v>71</v>
      </c>
    </row>
    <row r="750" spans="1:16" x14ac:dyDescent="0.4">
      <c r="A750">
        <v>85</v>
      </c>
      <c r="B750" t="s">
        <v>4915</v>
      </c>
      <c r="G750" t="s">
        <v>3982</v>
      </c>
      <c r="H750" t="s">
        <v>3981</v>
      </c>
      <c r="I750">
        <v>91</v>
      </c>
      <c r="K750" t="s">
        <v>3983</v>
      </c>
      <c r="L750">
        <v>46224</v>
      </c>
      <c r="M750">
        <v>69253</v>
      </c>
      <c r="N750">
        <v>2</v>
      </c>
      <c r="O750">
        <v>46227</v>
      </c>
      <c r="P750">
        <v>89</v>
      </c>
    </row>
    <row r="751" spans="1:16" x14ac:dyDescent="0.4">
      <c r="A751">
        <v>387</v>
      </c>
      <c r="B751" t="s">
        <v>4915</v>
      </c>
      <c r="G751" t="s">
        <v>3991</v>
      </c>
      <c r="H751" t="s">
        <v>3990</v>
      </c>
      <c r="I751">
        <v>109</v>
      </c>
      <c r="K751" t="s">
        <v>3782</v>
      </c>
      <c r="L751">
        <v>46225</v>
      </c>
      <c r="M751">
        <v>69253</v>
      </c>
      <c r="N751">
        <v>2</v>
      </c>
      <c r="O751">
        <v>46227</v>
      </c>
      <c r="P751">
        <v>107</v>
      </c>
    </row>
    <row r="752" spans="1:16" x14ac:dyDescent="0.4">
      <c r="A752">
        <v>86</v>
      </c>
      <c r="B752" t="s">
        <v>4915</v>
      </c>
      <c r="G752" t="s">
        <v>3999</v>
      </c>
      <c r="H752" t="s">
        <v>3998</v>
      </c>
      <c r="I752">
        <v>159</v>
      </c>
      <c r="K752" t="s">
        <v>3782</v>
      </c>
      <c r="L752">
        <v>46224</v>
      </c>
      <c r="M752">
        <v>69253</v>
      </c>
      <c r="N752">
        <v>2</v>
      </c>
      <c r="O752">
        <v>46227</v>
      </c>
      <c r="P752">
        <v>157</v>
      </c>
    </row>
    <row r="753" spans="1:16" x14ac:dyDescent="0.4">
      <c r="A753">
        <v>314</v>
      </c>
      <c r="B753" t="s">
        <v>4915</v>
      </c>
      <c r="G753" t="s">
        <v>3985</v>
      </c>
      <c r="H753" t="s">
        <v>3984</v>
      </c>
      <c r="I753">
        <v>231</v>
      </c>
      <c r="K753" t="s">
        <v>3986</v>
      </c>
      <c r="L753">
        <v>46233</v>
      </c>
      <c r="M753">
        <v>69253</v>
      </c>
      <c r="N753">
        <v>2</v>
      </c>
      <c r="O753">
        <v>46227</v>
      </c>
      <c r="P753">
        <v>229</v>
      </c>
    </row>
    <row r="754" spans="1:16" x14ac:dyDescent="0.4">
      <c r="A754">
        <v>388</v>
      </c>
      <c r="B754" t="s">
        <v>4915</v>
      </c>
      <c r="G754" t="s">
        <v>3991</v>
      </c>
      <c r="H754" t="s">
        <v>3990</v>
      </c>
      <c r="I754">
        <v>107</v>
      </c>
      <c r="K754" t="s">
        <v>3782</v>
      </c>
      <c r="L754">
        <v>46227</v>
      </c>
      <c r="M754">
        <v>71394</v>
      </c>
      <c r="N754">
        <v>41</v>
      </c>
      <c r="O754">
        <v>46227</v>
      </c>
      <c r="P754">
        <v>66</v>
      </c>
    </row>
    <row r="755" spans="1:16" x14ac:dyDescent="0.4">
      <c r="A755">
        <v>160</v>
      </c>
      <c r="B755" t="s">
        <v>4915</v>
      </c>
      <c r="D755" t="s">
        <v>4901</v>
      </c>
      <c r="G755" t="s">
        <v>3831</v>
      </c>
      <c r="H755" t="s">
        <v>3830</v>
      </c>
      <c r="I755">
        <v>16</v>
      </c>
      <c r="K755" t="s">
        <v>3823</v>
      </c>
      <c r="L755">
        <v>46227</v>
      </c>
      <c r="M755">
        <v>73781</v>
      </c>
      <c r="N755">
        <v>10</v>
      </c>
      <c r="O755">
        <v>46230</v>
      </c>
      <c r="P755">
        <v>6</v>
      </c>
    </row>
    <row r="756" spans="1:16" x14ac:dyDescent="0.4">
      <c r="A756">
        <v>330</v>
      </c>
      <c r="B756" t="s">
        <v>4915</v>
      </c>
      <c r="D756" t="s">
        <v>4901</v>
      </c>
      <c r="G756" t="s">
        <v>3831</v>
      </c>
      <c r="H756" t="s">
        <v>3830</v>
      </c>
      <c r="I756">
        <v>16</v>
      </c>
      <c r="K756" t="s">
        <v>3823</v>
      </c>
      <c r="L756">
        <v>46227</v>
      </c>
      <c r="M756">
        <v>73781</v>
      </c>
      <c r="N756">
        <v>10</v>
      </c>
      <c r="O756">
        <v>46230</v>
      </c>
      <c r="P756">
        <v>6</v>
      </c>
    </row>
    <row r="757" spans="1:16" x14ac:dyDescent="0.4">
      <c r="A757">
        <v>351</v>
      </c>
      <c r="B757" t="s">
        <v>4915</v>
      </c>
      <c r="D757" t="s">
        <v>4901</v>
      </c>
      <c r="G757" t="s">
        <v>3921</v>
      </c>
      <c r="H757" t="s">
        <v>3920</v>
      </c>
      <c r="I757">
        <v>100</v>
      </c>
      <c r="K757" t="s">
        <v>2992</v>
      </c>
      <c r="L757">
        <v>46232</v>
      </c>
      <c r="M757">
        <v>73781</v>
      </c>
      <c r="N757">
        <v>33</v>
      </c>
      <c r="O757">
        <v>46232</v>
      </c>
      <c r="P757">
        <v>67</v>
      </c>
    </row>
    <row r="758" spans="1:16" x14ac:dyDescent="0.4">
      <c r="A758">
        <v>152</v>
      </c>
      <c r="B758" t="s">
        <v>4915</v>
      </c>
      <c r="G758" t="s">
        <v>3966</v>
      </c>
      <c r="H758" t="s">
        <v>3965</v>
      </c>
      <c r="I758">
        <v>140</v>
      </c>
      <c r="K758" t="s">
        <v>3967</v>
      </c>
      <c r="L758">
        <v>46226</v>
      </c>
      <c r="M758">
        <v>73781</v>
      </c>
      <c r="N758">
        <v>89</v>
      </c>
      <c r="O758">
        <v>46225</v>
      </c>
      <c r="P758">
        <v>51</v>
      </c>
    </row>
    <row r="759" spans="1:16" x14ac:dyDescent="0.4">
      <c r="A759">
        <v>87</v>
      </c>
      <c r="B759" t="s">
        <v>4915</v>
      </c>
      <c r="G759" t="s">
        <v>3991</v>
      </c>
      <c r="H759" t="s">
        <v>3990</v>
      </c>
      <c r="I759">
        <v>159</v>
      </c>
      <c r="K759" t="s">
        <v>3782</v>
      </c>
      <c r="L759">
        <v>46224</v>
      </c>
      <c r="M759">
        <v>73781</v>
      </c>
      <c r="N759">
        <v>50</v>
      </c>
      <c r="O759">
        <v>46225</v>
      </c>
      <c r="P759">
        <v>109</v>
      </c>
    </row>
    <row r="760" spans="1:16" x14ac:dyDescent="0.4">
      <c r="A760">
        <v>130</v>
      </c>
      <c r="B760" t="s">
        <v>4915</v>
      </c>
      <c r="G760" t="s">
        <v>3997</v>
      </c>
      <c r="H760" t="s">
        <v>3996</v>
      </c>
      <c r="I760">
        <v>244</v>
      </c>
      <c r="K760" t="s">
        <v>3896</v>
      </c>
      <c r="L760">
        <v>46224</v>
      </c>
      <c r="M760">
        <v>73781</v>
      </c>
      <c r="N760">
        <v>43</v>
      </c>
      <c r="O760">
        <v>46225</v>
      </c>
      <c r="P760">
        <v>201</v>
      </c>
    </row>
    <row r="761" spans="1:16" x14ac:dyDescent="0.4">
      <c r="A761">
        <v>312</v>
      </c>
      <c r="B761" t="s">
        <v>4915</v>
      </c>
      <c r="D761" t="s">
        <v>4901</v>
      </c>
      <c r="G761" t="s">
        <v>3985</v>
      </c>
      <c r="H761" t="s">
        <v>3984</v>
      </c>
      <c r="I761">
        <v>288</v>
      </c>
      <c r="K761" t="s">
        <v>3986</v>
      </c>
      <c r="L761">
        <v>46233</v>
      </c>
      <c r="M761">
        <v>73781</v>
      </c>
      <c r="N761">
        <v>7</v>
      </c>
      <c r="O761">
        <v>46233</v>
      </c>
      <c r="P761">
        <v>281</v>
      </c>
    </row>
    <row r="762" spans="1:16" x14ac:dyDescent="0.4">
      <c r="A762">
        <v>356</v>
      </c>
      <c r="B762" t="s">
        <v>4915</v>
      </c>
      <c r="D762" t="s">
        <v>4901</v>
      </c>
      <c r="G762" t="s">
        <v>3985</v>
      </c>
      <c r="H762" t="s">
        <v>3984</v>
      </c>
      <c r="I762">
        <v>288</v>
      </c>
      <c r="K762" t="s">
        <v>3986</v>
      </c>
      <c r="L762">
        <v>46233</v>
      </c>
      <c r="M762">
        <v>73781</v>
      </c>
      <c r="N762">
        <v>7</v>
      </c>
      <c r="O762">
        <v>46233</v>
      </c>
      <c r="P762">
        <v>281</v>
      </c>
    </row>
    <row r="763" spans="1:16" x14ac:dyDescent="0.4">
      <c r="A763">
        <v>355</v>
      </c>
      <c r="B763" t="s">
        <v>4915</v>
      </c>
      <c r="D763" t="s">
        <v>4901</v>
      </c>
      <c r="G763" t="s">
        <v>3953</v>
      </c>
      <c r="H763" t="s">
        <v>3952</v>
      </c>
      <c r="I763">
        <v>300</v>
      </c>
      <c r="K763" t="s">
        <v>4920</v>
      </c>
      <c r="L763">
        <v>46226</v>
      </c>
      <c r="M763">
        <v>73781</v>
      </c>
      <c r="N763">
        <v>8</v>
      </c>
      <c r="O763">
        <v>46227</v>
      </c>
      <c r="P763">
        <v>292</v>
      </c>
    </row>
    <row r="764" spans="1:16" x14ac:dyDescent="0.4">
      <c r="A764">
        <v>106</v>
      </c>
      <c r="B764" t="s">
        <v>4915</v>
      </c>
      <c r="G764" t="s">
        <v>3927</v>
      </c>
      <c r="H764" t="s">
        <v>3926</v>
      </c>
      <c r="I764">
        <v>48</v>
      </c>
      <c r="K764" t="s">
        <v>3864</v>
      </c>
      <c r="L764">
        <v>46224</v>
      </c>
      <c r="M764">
        <v>74131</v>
      </c>
      <c r="N764">
        <v>2</v>
      </c>
      <c r="O764">
        <v>46230</v>
      </c>
      <c r="P764">
        <v>46</v>
      </c>
    </row>
    <row r="765" spans="1:16" x14ac:dyDescent="0.4">
      <c r="A765">
        <v>105</v>
      </c>
      <c r="B765" t="s">
        <v>4915</v>
      </c>
      <c r="G765" t="s">
        <v>3934</v>
      </c>
      <c r="H765" t="s">
        <v>3933</v>
      </c>
      <c r="I765">
        <v>108</v>
      </c>
      <c r="K765" t="s">
        <v>3935</v>
      </c>
      <c r="L765">
        <v>46224</v>
      </c>
      <c r="M765">
        <v>74131</v>
      </c>
      <c r="N765">
        <v>2</v>
      </c>
      <c r="O765">
        <v>46230</v>
      </c>
      <c r="P765">
        <v>106</v>
      </c>
    </row>
    <row r="766" spans="1:16" x14ac:dyDescent="0.4">
      <c r="A766">
        <v>502</v>
      </c>
      <c r="B766" t="s">
        <v>4915</v>
      </c>
      <c r="D766" t="s">
        <v>4901</v>
      </c>
      <c r="E766" t="s">
        <v>4938</v>
      </c>
      <c r="F766" t="s">
        <v>4939</v>
      </c>
      <c r="G766" t="s">
        <v>4826</v>
      </c>
      <c r="H766">
        <v>0</v>
      </c>
      <c r="I766">
        <v>50</v>
      </c>
      <c r="K766" t="s">
        <v>3585</v>
      </c>
      <c r="L766">
        <v>46265</v>
      </c>
      <c r="M766">
        <v>76974</v>
      </c>
      <c r="N766">
        <v>3</v>
      </c>
      <c r="O766">
        <v>46268</v>
      </c>
      <c r="P766">
        <v>47</v>
      </c>
    </row>
    <row r="767" spans="1:16" x14ac:dyDescent="0.4">
      <c r="A767">
        <v>490</v>
      </c>
      <c r="B767" t="s">
        <v>4915</v>
      </c>
      <c r="G767" t="s">
        <v>3985</v>
      </c>
      <c r="H767" t="s">
        <v>3984</v>
      </c>
      <c r="I767">
        <v>225</v>
      </c>
      <c r="K767" t="s">
        <v>3986</v>
      </c>
      <c r="L767">
        <v>46268</v>
      </c>
      <c r="M767">
        <v>76974</v>
      </c>
      <c r="N767">
        <v>1</v>
      </c>
      <c r="O767">
        <v>46268</v>
      </c>
      <c r="P767">
        <v>224</v>
      </c>
    </row>
    <row r="768" spans="1:16" x14ac:dyDescent="0.4">
      <c r="A768">
        <v>734</v>
      </c>
      <c r="B768" t="s">
        <v>4915</v>
      </c>
      <c r="G768" t="s">
        <v>2857</v>
      </c>
      <c r="H768" t="s">
        <v>2856</v>
      </c>
      <c r="I768">
        <v>80</v>
      </c>
      <c r="K768" t="s">
        <v>4933</v>
      </c>
      <c r="L768">
        <v>46261</v>
      </c>
      <c r="M768">
        <v>80923</v>
      </c>
      <c r="N768">
        <v>2</v>
      </c>
      <c r="O768">
        <v>46261</v>
      </c>
      <c r="P768">
        <v>78</v>
      </c>
    </row>
    <row r="769" spans="1:16" x14ac:dyDescent="0.4">
      <c r="A769">
        <v>481</v>
      </c>
      <c r="B769" t="s">
        <v>4915</v>
      </c>
      <c r="G769" t="s">
        <v>1123</v>
      </c>
      <c r="H769" t="s">
        <v>4917</v>
      </c>
      <c r="I769">
        <v>279</v>
      </c>
      <c r="K769" t="s">
        <v>4918</v>
      </c>
      <c r="L769">
        <v>46254</v>
      </c>
      <c r="M769">
        <v>80923</v>
      </c>
      <c r="N769">
        <v>1</v>
      </c>
      <c r="O769">
        <v>46261</v>
      </c>
      <c r="P769">
        <v>278</v>
      </c>
    </row>
    <row r="770" spans="1:16" x14ac:dyDescent="0.4">
      <c r="A770">
        <v>20</v>
      </c>
      <c r="B770" t="s">
        <v>4915</v>
      </c>
      <c r="D770" t="s">
        <v>4916</v>
      </c>
      <c r="G770" t="s">
        <v>3953</v>
      </c>
      <c r="H770" t="s">
        <v>3952</v>
      </c>
      <c r="I770">
        <v>0</v>
      </c>
      <c r="K770" t="s">
        <v>4920</v>
      </c>
      <c r="L770">
        <v>46224</v>
      </c>
      <c r="M770">
        <v>84393</v>
      </c>
      <c r="N770">
        <v>0</v>
      </c>
      <c r="O770">
        <v>46224</v>
      </c>
      <c r="P770">
        <v>0</v>
      </c>
    </row>
    <row r="771" spans="1:16" x14ac:dyDescent="0.4">
      <c r="A771">
        <v>22</v>
      </c>
      <c r="B771" t="s">
        <v>4915</v>
      </c>
      <c r="D771" t="s">
        <v>4916</v>
      </c>
      <c r="G771" t="s">
        <v>3921</v>
      </c>
      <c r="H771" t="s">
        <v>3920</v>
      </c>
      <c r="I771">
        <v>0</v>
      </c>
      <c r="K771" t="s">
        <v>2992</v>
      </c>
      <c r="L771">
        <v>46224</v>
      </c>
      <c r="M771">
        <v>84393</v>
      </c>
      <c r="N771">
        <v>0</v>
      </c>
      <c r="O771">
        <v>46224</v>
      </c>
      <c r="P771">
        <v>0</v>
      </c>
    </row>
    <row r="772" spans="1:16" x14ac:dyDescent="0.4">
      <c r="A772">
        <v>35</v>
      </c>
      <c r="B772" t="s">
        <v>4915</v>
      </c>
      <c r="D772" t="s">
        <v>4916</v>
      </c>
      <c r="G772" t="s">
        <v>3806</v>
      </c>
      <c r="H772" t="s">
        <v>4923</v>
      </c>
      <c r="I772">
        <v>0</v>
      </c>
      <c r="K772" t="s">
        <v>4832</v>
      </c>
      <c r="L772">
        <v>46224</v>
      </c>
      <c r="M772">
        <v>84393</v>
      </c>
      <c r="N772">
        <v>0</v>
      </c>
      <c r="O772">
        <v>46224</v>
      </c>
      <c r="P772">
        <v>0</v>
      </c>
    </row>
    <row r="773" spans="1:16" x14ac:dyDescent="0.4">
      <c r="A773">
        <v>37</v>
      </c>
      <c r="B773" t="s">
        <v>4915</v>
      </c>
      <c r="D773" t="s">
        <v>4916</v>
      </c>
      <c r="G773" t="s">
        <v>3831</v>
      </c>
      <c r="H773" t="s">
        <v>3830</v>
      </c>
      <c r="I773">
        <v>0</v>
      </c>
      <c r="K773" t="s">
        <v>3823</v>
      </c>
      <c r="L773">
        <v>46224</v>
      </c>
      <c r="M773">
        <v>84393</v>
      </c>
      <c r="N773">
        <v>0</v>
      </c>
      <c r="O773">
        <v>46224</v>
      </c>
      <c r="P773">
        <v>0</v>
      </c>
    </row>
    <row r="774" spans="1:16" x14ac:dyDescent="0.4">
      <c r="A774">
        <v>77</v>
      </c>
      <c r="B774" t="s">
        <v>4915</v>
      </c>
      <c r="D774" t="s">
        <v>4916</v>
      </c>
      <c r="G774" t="s">
        <v>3985</v>
      </c>
      <c r="H774" t="s">
        <v>3984</v>
      </c>
      <c r="I774">
        <v>0</v>
      </c>
      <c r="K774" t="s">
        <v>3986</v>
      </c>
      <c r="L774">
        <v>46224</v>
      </c>
      <c r="M774">
        <v>84393</v>
      </c>
      <c r="N774">
        <v>0</v>
      </c>
      <c r="O774">
        <v>46224</v>
      </c>
      <c r="P774">
        <v>0</v>
      </c>
    </row>
    <row r="775" spans="1:16" x14ac:dyDescent="0.4">
      <c r="A775">
        <v>23</v>
      </c>
      <c r="B775" t="s">
        <v>4915</v>
      </c>
      <c r="D775" t="s">
        <v>4916</v>
      </c>
      <c r="G775" t="s">
        <v>4621</v>
      </c>
      <c r="H775">
        <v>0</v>
      </c>
      <c r="I775">
        <v>1</v>
      </c>
      <c r="K775" t="s">
        <v>4088</v>
      </c>
      <c r="L775">
        <v>46224</v>
      </c>
      <c r="M775">
        <v>84393</v>
      </c>
      <c r="N775">
        <v>1</v>
      </c>
      <c r="O775">
        <v>46224</v>
      </c>
      <c r="P775">
        <v>0</v>
      </c>
    </row>
    <row r="776" spans="1:16" x14ac:dyDescent="0.4">
      <c r="A776">
        <v>50</v>
      </c>
      <c r="B776" t="s">
        <v>4915</v>
      </c>
      <c r="D776" t="s">
        <v>4916</v>
      </c>
      <c r="G776" t="s">
        <v>4048</v>
      </c>
      <c r="H776" t="s">
        <v>4047</v>
      </c>
      <c r="I776">
        <v>1</v>
      </c>
      <c r="K776" t="s">
        <v>4046</v>
      </c>
      <c r="L776">
        <v>46224</v>
      </c>
      <c r="M776">
        <v>84393</v>
      </c>
      <c r="N776">
        <v>1</v>
      </c>
      <c r="O776">
        <v>46224</v>
      </c>
      <c r="P776">
        <v>0</v>
      </c>
    </row>
    <row r="777" spans="1:16" x14ac:dyDescent="0.4">
      <c r="A777">
        <v>498</v>
      </c>
      <c r="B777" t="s">
        <v>4915</v>
      </c>
      <c r="G777" t="s">
        <v>4736</v>
      </c>
      <c r="H777">
        <v>0</v>
      </c>
      <c r="I777">
        <v>3</v>
      </c>
      <c r="K777" t="s">
        <v>4046</v>
      </c>
      <c r="L777">
        <v>46268</v>
      </c>
      <c r="M777">
        <v>84393</v>
      </c>
      <c r="N777">
        <v>1</v>
      </c>
      <c r="O777">
        <v>46268</v>
      </c>
      <c r="P777">
        <v>2</v>
      </c>
    </row>
    <row r="778" spans="1:16" x14ac:dyDescent="0.4">
      <c r="A778">
        <v>156</v>
      </c>
      <c r="B778" t="s">
        <v>4915</v>
      </c>
      <c r="D778" t="s">
        <v>4901</v>
      </c>
      <c r="G778" t="s">
        <v>3822</v>
      </c>
      <c r="H778" t="s">
        <v>3821</v>
      </c>
      <c r="I778">
        <v>7</v>
      </c>
      <c r="K778" t="s">
        <v>3823</v>
      </c>
      <c r="L778">
        <v>46227</v>
      </c>
      <c r="M778">
        <v>84393</v>
      </c>
      <c r="N778">
        <v>5</v>
      </c>
      <c r="O778">
        <v>46230</v>
      </c>
      <c r="P778">
        <v>2</v>
      </c>
    </row>
    <row r="779" spans="1:16" x14ac:dyDescent="0.4">
      <c r="A779">
        <v>359</v>
      </c>
      <c r="B779" t="s">
        <v>4915</v>
      </c>
      <c r="D779" t="s">
        <v>4901</v>
      </c>
      <c r="G779" t="s">
        <v>4014</v>
      </c>
      <c r="H779" t="s">
        <v>4013</v>
      </c>
      <c r="I779">
        <v>8</v>
      </c>
      <c r="K779" t="s">
        <v>4015</v>
      </c>
      <c r="L779">
        <v>46233</v>
      </c>
      <c r="M779">
        <v>84393</v>
      </c>
      <c r="N779">
        <v>8</v>
      </c>
      <c r="O779">
        <v>46253</v>
      </c>
      <c r="P779">
        <v>0</v>
      </c>
    </row>
    <row r="780" spans="1:16" x14ac:dyDescent="0.4">
      <c r="A780">
        <v>358</v>
      </c>
      <c r="B780" t="s">
        <v>4915</v>
      </c>
      <c r="D780" t="s">
        <v>4901</v>
      </c>
      <c r="G780" t="s">
        <v>4014</v>
      </c>
      <c r="H780" t="s">
        <v>4013</v>
      </c>
      <c r="I780">
        <v>10</v>
      </c>
      <c r="K780" t="s">
        <v>4015</v>
      </c>
      <c r="L780">
        <v>46233</v>
      </c>
      <c r="M780">
        <v>84393</v>
      </c>
      <c r="N780">
        <v>10</v>
      </c>
      <c r="O780">
        <v>46253</v>
      </c>
      <c r="P780">
        <v>0</v>
      </c>
    </row>
    <row r="781" spans="1:16" x14ac:dyDescent="0.4">
      <c r="A781">
        <v>157</v>
      </c>
      <c r="B781" t="s">
        <v>4915</v>
      </c>
      <c r="D781" t="s">
        <v>4901</v>
      </c>
      <c r="G781" t="s">
        <v>3825</v>
      </c>
      <c r="H781" t="s">
        <v>3824</v>
      </c>
      <c r="I781">
        <v>11</v>
      </c>
      <c r="K781" t="s">
        <v>3823</v>
      </c>
      <c r="L781">
        <v>46227</v>
      </c>
      <c r="M781">
        <v>84393</v>
      </c>
      <c r="N781">
        <v>6</v>
      </c>
      <c r="O781">
        <v>46230</v>
      </c>
      <c r="P781">
        <v>5</v>
      </c>
    </row>
    <row r="782" spans="1:16" x14ac:dyDescent="0.4">
      <c r="A782">
        <v>162</v>
      </c>
      <c r="B782" t="s">
        <v>4915</v>
      </c>
      <c r="D782" t="s">
        <v>4901</v>
      </c>
      <c r="G782" t="s">
        <v>3860</v>
      </c>
      <c r="H782" t="s">
        <v>3859</v>
      </c>
      <c r="I782">
        <v>12</v>
      </c>
      <c r="K782" t="s">
        <v>3854</v>
      </c>
      <c r="L782">
        <v>46227</v>
      </c>
      <c r="M782">
        <v>84393</v>
      </c>
      <c r="N782">
        <v>7</v>
      </c>
      <c r="O782">
        <v>46230</v>
      </c>
      <c r="P782">
        <v>5</v>
      </c>
    </row>
    <row r="783" spans="1:16" x14ac:dyDescent="0.4">
      <c r="A783">
        <v>158</v>
      </c>
      <c r="B783" t="s">
        <v>4915</v>
      </c>
      <c r="D783" t="s">
        <v>4901</v>
      </c>
      <c r="G783" t="s">
        <v>3827</v>
      </c>
      <c r="H783" t="s">
        <v>3826</v>
      </c>
      <c r="I783">
        <v>14</v>
      </c>
      <c r="K783" t="s">
        <v>3823</v>
      </c>
      <c r="L783">
        <v>46227</v>
      </c>
      <c r="M783">
        <v>84393</v>
      </c>
      <c r="N783">
        <v>12</v>
      </c>
      <c r="O783">
        <v>46230</v>
      </c>
      <c r="P783">
        <v>2</v>
      </c>
    </row>
    <row r="784" spans="1:16" x14ac:dyDescent="0.4">
      <c r="A784">
        <v>514</v>
      </c>
      <c r="B784" t="s">
        <v>4915</v>
      </c>
      <c r="G784" t="s">
        <v>4604</v>
      </c>
      <c r="H784">
        <v>0</v>
      </c>
      <c r="I784">
        <v>14</v>
      </c>
      <c r="K784" t="s">
        <v>4061</v>
      </c>
      <c r="L784">
        <v>46268</v>
      </c>
      <c r="M784">
        <v>84393</v>
      </c>
      <c r="N784">
        <v>14</v>
      </c>
      <c r="O784">
        <v>46268</v>
      </c>
      <c r="P784">
        <v>0</v>
      </c>
    </row>
    <row r="785" spans="1:16" x14ac:dyDescent="0.4">
      <c r="A785">
        <v>161</v>
      </c>
      <c r="B785" t="s">
        <v>4915</v>
      </c>
      <c r="D785" t="s">
        <v>4901</v>
      </c>
      <c r="G785" t="s">
        <v>3847</v>
      </c>
      <c r="H785" t="s">
        <v>3846</v>
      </c>
      <c r="I785">
        <v>15</v>
      </c>
      <c r="K785" t="s">
        <v>3839</v>
      </c>
      <c r="L785">
        <v>46227</v>
      </c>
      <c r="M785">
        <v>84393</v>
      </c>
      <c r="N785">
        <v>10</v>
      </c>
      <c r="O785">
        <v>46230</v>
      </c>
      <c r="P785">
        <v>5</v>
      </c>
    </row>
    <row r="786" spans="1:16" x14ac:dyDescent="0.4">
      <c r="A786">
        <v>25</v>
      </c>
      <c r="B786" t="s">
        <v>4915</v>
      </c>
      <c r="D786" t="s">
        <v>4916</v>
      </c>
      <c r="G786" t="s">
        <v>4604</v>
      </c>
      <c r="H786">
        <v>0</v>
      </c>
      <c r="I786">
        <v>16</v>
      </c>
      <c r="K786" t="s">
        <v>4061</v>
      </c>
      <c r="L786">
        <v>46224</v>
      </c>
      <c r="M786">
        <v>84393</v>
      </c>
      <c r="N786">
        <v>16</v>
      </c>
      <c r="O786">
        <v>46224</v>
      </c>
      <c r="P786">
        <v>0</v>
      </c>
    </row>
    <row r="787" spans="1:16" x14ac:dyDescent="0.4">
      <c r="A787">
        <v>159</v>
      </c>
      <c r="B787" t="s">
        <v>4915</v>
      </c>
      <c r="D787" t="s">
        <v>4901</v>
      </c>
      <c r="G787" t="s">
        <v>3829</v>
      </c>
      <c r="H787" t="s">
        <v>3828</v>
      </c>
      <c r="I787">
        <v>18</v>
      </c>
      <c r="K787" t="s">
        <v>3823</v>
      </c>
      <c r="L787">
        <v>46227</v>
      </c>
      <c r="M787">
        <v>84393</v>
      </c>
      <c r="N787">
        <v>15</v>
      </c>
      <c r="O787">
        <v>46230</v>
      </c>
      <c r="P787">
        <v>3</v>
      </c>
    </row>
    <row r="788" spans="1:16" x14ac:dyDescent="0.4">
      <c r="A788">
        <v>519</v>
      </c>
      <c r="B788" t="s">
        <v>4915</v>
      </c>
      <c r="D788" t="s">
        <v>4928</v>
      </c>
      <c r="G788" t="s">
        <v>4604</v>
      </c>
      <c r="H788">
        <v>0</v>
      </c>
      <c r="I788">
        <v>21</v>
      </c>
      <c r="K788" t="s">
        <v>4061</v>
      </c>
      <c r="L788">
        <v>46268</v>
      </c>
      <c r="M788">
        <v>84393</v>
      </c>
      <c r="N788">
        <v>21</v>
      </c>
      <c r="O788">
        <v>46268</v>
      </c>
      <c r="P788">
        <v>0</v>
      </c>
    </row>
    <row r="789" spans="1:16" x14ac:dyDescent="0.4">
      <c r="A789">
        <v>38</v>
      </c>
      <c r="B789" t="s">
        <v>4915</v>
      </c>
      <c r="D789" t="s">
        <v>4916</v>
      </c>
      <c r="G789" t="s">
        <v>4014</v>
      </c>
      <c r="H789" t="s">
        <v>4013</v>
      </c>
      <c r="I789">
        <v>31</v>
      </c>
      <c r="K789" t="s">
        <v>4015</v>
      </c>
      <c r="L789">
        <v>46224</v>
      </c>
      <c r="M789">
        <v>84393</v>
      </c>
      <c r="N789">
        <v>31</v>
      </c>
      <c r="O789">
        <v>46224</v>
      </c>
      <c r="P789">
        <v>0</v>
      </c>
    </row>
    <row r="790" spans="1:16" x14ac:dyDescent="0.4">
      <c r="A790">
        <v>66</v>
      </c>
      <c r="B790" t="s">
        <v>4915</v>
      </c>
      <c r="D790" t="s">
        <v>4916</v>
      </c>
      <c r="G790" t="s">
        <v>3853</v>
      </c>
      <c r="H790" t="s">
        <v>3852</v>
      </c>
      <c r="I790">
        <v>33</v>
      </c>
      <c r="K790" t="s">
        <v>3854</v>
      </c>
      <c r="L790">
        <v>46224</v>
      </c>
      <c r="M790">
        <v>84393</v>
      </c>
      <c r="N790">
        <v>33</v>
      </c>
      <c r="O790">
        <v>46224</v>
      </c>
      <c r="P790">
        <v>0</v>
      </c>
    </row>
    <row r="791" spans="1:16" x14ac:dyDescent="0.4">
      <c r="A791">
        <v>43</v>
      </c>
      <c r="B791" t="s">
        <v>4915</v>
      </c>
      <c r="D791" t="s">
        <v>4916</v>
      </c>
      <c r="G791" t="s">
        <v>3829</v>
      </c>
      <c r="H791" t="s">
        <v>3828</v>
      </c>
      <c r="I791">
        <v>35</v>
      </c>
      <c r="K791" t="s">
        <v>3823</v>
      </c>
      <c r="L791">
        <v>46224</v>
      </c>
      <c r="M791">
        <v>84393</v>
      </c>
      <c r="N791">
        <v>35</v>
      </c>
      <c r="O791">
        <v>46224</v>
      </c>
      <c r="P791">
        <v>0</v>
      </c>
    </row>
    <row r="792" spans="1:16" x14ac:dyDescent="0.4">
      <c r="A792">
        <v>364</v>
      </c>
      <c r="B792" t="s">
        <v>4915</v>
      </c>
      <c r="D792" t="s">
        <v>4901</v>
      </c>
      <c r="G792" t="s">
        <v>4621</v>
      </c>
      <c r="H792">
        <v>0</v>
      </c>
      <c r="I792">
        <v>36</v>
      </c>
      <c r="K792" t="s">
        <v>4088</v>
      </c>
      <c r="L792">
        <v>46237</v>
      </c>
      <c r="M792">
        <v>84393</v>
      </c>
      <c r="N792">
        <v>33</v>
      </c>
      <c r="O792">
        <v>46253</v>
      </c>
      <c r="P792">
        <v>3</v>
      </c>
    </row>
    <row r="793" spans="1:16" x14ac:dyDescent="0.4">
      <c r="A793">
        <v>36</v>
      </c>
      <c r="B793" t="s">
        <v>4915</v>
      </c>
      <c r="D793" t="s">
        <v>4916</v>
      </c>
      <c r="G793" t="s">
        <v>3827</v>
      </c>
      <c r="H793" t="s">
        <v>3826</v>
      </c>
      <c r="I793">
        <v>38</v>
      </c>
      <c r="K793" t="s">
        <v>3823</v>
      </c>
      <c r="L793">
        <v>46224</v>
      </c>
      <c r="M793">
        <v>84393</v>
      </c>
      <c r="N793">
        <v>38</v>
      </c>
      <c r="O793">
        <v>46224</v>
      </c>
      <c r="P793">
        <v>0</v>
      </c>
    </row>
    <row r="794" spans="1:16" x14ac:dyDescent="0.4">
      <c r="A794">
        <v>75</v>
      </c>
      <c r="B794" t="s">
        <v>4915</v>
      </c>
      <c r="D794" t="s">
        <v>4916</v>
      </c>
      <c r="G794" t="s">
        <v>3847</v>
      </c>
      <c r="H794" t="s">
        <v>3846</v>
      </c>
      <c r="I794">
        <v>40</v>
      </c>
      <c r="K794" t="s">
        <v>3839</v>
      </c>
      <c r="L794">
        <v>46224</v>
      </c>
      <c r="M794">
        <v>84393</v>
      </c>
      <c r="N794">
        <v>40</v>
      </c>
      <c r="O794">
        <v>46224</v>
      </c>
      <c r="P794">
        <v>0</v>
      </c>
    </row>
    <row r="795" spans="1:16" x14ac:dyDescent="0.4">
      <c r="A795">
        <v>18</v>
      </c>
      <c r="B795" t="s">
        <v>4915</v>
      </c>
      <c r="D795" t="s">
        <v>4916</v>
      </c>
      <c r="G795" t="s">
        <v>3843</v>
      </c>
      <c r="H795" t="s">
        <v>3842</v>
      </c>
      <c r="I795">
        <v>42</v>
      </c>
      <c r="K795" t="s">
        <v>3839</v>
      </c>
      <c r="L795">
        <v>46224</v>
      </c>
      <c r="M795">
        <v>84393</v>
      </c>
      <c r="N795">
        <v>42</v>
      </c>
      <c r="O795">
        <v>46224</v>
      </c>
      <c r="P795">
        <v>0</v>
      </c>
    </row>
    <row r="796" spans="1:16" x14ac:dyDescent="0.4">
      <c r="A796">
        <v>12</v>
      </c>
      <c r="B796" t="s">
        <v>4915</v>
      </c>
      <c r="D796" t="s">
        <v>4916</v>
      </c>
      <c r="G796" t="s">
        <v>3908</v>
      </c>
      <c r="H796" t="s">
        <v>3907</v>
      </c>
      <c r="I796">
        <v>43</v>
      </c>
      <c r="K796" t="s">
        <v>3867</v>
      </c>
      <c r="L796">
        <v>46224</v>
      </c>
      <c r="M796">
        <v>84393</v>
      </c>
      <c r="N796">
        <v>43</v>
      </c>
      <c r="O796">
        <v>46224</v>
      </c>
      <c r="P796">
        <v>0</v>
      </c>
    </row>
    <row r="797" spans="1:16" x14ac:dyDescent="0.4">
      <c r="A797">
        <v>16</v>
      </c>
      <c r="B797" t="s">
        <v>4915</v>
      </c>
      <c r="D797" t="s">
        <v>4916</v>
      </c>
      <c r="G797" t="s">
        <v>3860</v>
      </c>
      <c r="H797" t="s">
        <v>3859</v>
      </c>
      <c r="I797">
        <v>43</v>
      </c>
      <c r="K797" t="s">
        <v>3854</v>
      </c>
      <c r="L797">
        <v>46224</v>
      </c>
      <c r="M797">
        <v>84393</v>
      </c>
      <c r="N797">
        <v>43</v>
      </c>
      <c r="O797">
        <v>46224</v>
      </c>
      <c r="P797">
        <v>0</v>
      </c>
    </row>
    <row r="798" spans="1:16" x14ac:dyDescent="0.4">
      <c r="A798">
        <v>17</v>
      </c>
      <c r="B798" t="s">
        <v>4915</v>
      </c>
      <c r="D798" t="s">
        <v>4916</v>
      </c>
      <c r="G798" t="s">
        <v>3825</v>
      </c>
      <c r="H798" t="s">
        <v>3824</v>
      </c>
      <c r="I798">
        <v>44</v>
      </c>
      <c r="K798" t="s">
        <v>3823</v>
      </c>
      <c r="L798">
        <v>46224</v>
      </c>
      <c r="M798">
        <v>84393</v>
      </c>
      <c r="N798">
        <v>44</v>
      </c>
      <c r="O798">
        <v>46224</v>
      </c>
      <c r="P798">
        <v>0</v>
      </c>
    </row>
    <row r="799" spans="1:16" x14ac:dyDescent="0.4">
      <c r="A799">
        <v>42</v>
      </c>
      <c r="B799" t="s">
        <v>4915</v>
      </c>
      <c r="D799" t="s">
        <v>4916</v>
      </c>
      <c r="G799" t="s">
        <v>3822</v>
      </c>
      <c r="H799" t="s">
        <v>3821</v>
      </c>
      <c r="I799">
        <v>45</v>
      </c>
      <c r="K799" t="s">
        <v>3823</v>
      </c>
      <c r="L799">
        <v>46224</v>
      </c>
      <c r="M799">
        <v>84393</v>
      </c>
      <c r="N799">
        <v>45</v>
      </c>
      <c r="O799">
        <v>46224</v>
      </c>
      <c r="P799">
        <v>0</v>
      </c>
    </row>
    <row r="800" spans="1:16" x14ac:dyDescent="0.4">
      <c r="A800">
        <v>53</v>
      </c>
      <c r="B800" t="s">
        <v>4915</v>
      </c>
      <c r="D800" t="s">
        <v>4916</v>
      </c>
      <c r="G800" t="s">
        <v>4737</v>
      </c>
      <c r="H800">
        <v>0</v>
      </c>
      <c r="I800">
        <v>49</v>
      </c>
      <c r="K800" t="s">
        <v>3935</v>
      </c>
      <c r="L800">
        <v>46224</v>
      </c>
      <c r="M800">
        <v>84393</v>
      </c>
      <c r="N800">
        <v>49</v>
      </c>
      <c r="O800">
        <v>46224</v>
      </c>
      <c r="P800">
        <v>0</v>
      </c>
    </row>
    <row r="801" spans="1:16" x14ac:dyDescent="0.4">
      <c r="A801">
        <v>121</v>
      </c>
      <c r="B801" t="s">
        <v>4915</v>
      </c>
      <c r="G801" t="s">
        <v>3887</v>
      </c>
      <c r="H801" t="s">
        <v>3886</v>
      </c>
      <c r="I801">
        <v>50</v>
      </c>
      <c r="K801" t="s">
        <v>2541</v>
      </c>
      <c r="L801">
        <v>46224</v>
      </c>
      <c r="M801">
        <v>84393</v>
      </c>
      <c r="N801">
        <v>50</v>
      </c>
      <c r="O801">
        <v>46226</v>
      </c>
      <c r="P801">
        <v>0</v>
      </c>
    </row>
    <row r="802" spans="1:16" x14ac:dyDescent="0.4">
      <c r="A802">
        <v>146</v>
      </c>
      <c r="B802" t="s">
        <v>4915</v>
      </c>
      <c r="D802" t="s">
        <v>4916</v>
      </c>
      <c r="G802" t="s">
        <v>4826</v>
      </c>
      <c r="H802">
        <v>0</v>
      </c>
      <c r="I802">
        <v>50</v>
      </c>
      <c r="K802" t="s">
        <v>3585</v>
      </c>
      <c r="L802">
        <v>46226</v>
      </c>
      <c r="M802">
        <v>84393</v>
      </c>
      <c r="N802">
        <v>50</v>
      </c>
      <c r="O802">
        <v>46226</v>
      </c>
      <c r="P802">
        <v>0</v>
      </c>
    </row>
    <row r="803" spans="1:16" x14ac:dyDescent="0.4">
      <c r="A803">
        <v>500</v>
      </c>
      <c r="B803" t="s">
        <v>4915</v>
      </c>
      <c r="D803" t="s">
        <v>4901</v>
      </c>
      <c r="E803" t="s">
        <v>4938</v>
      </c>
      <c r="F803" t="s">
        <v>4939</v>
      </c>
      <c r="G803" t="s">
        <v>4737</v>
      </c>
      <c r="H803">
        <v>0</v>
      </c>
      <c r="I803">
        <v>50</v>
      </c>
      <c r="K803" t="s">
        <v>3935</v>
      </c>
      <c r="L803">
        <v>46265</v>
      </c>
      <c r="M803">
        <v>84393</v>
      </c>
      <c r="N803">
        <v>1</v>
      </c>
      <c r="O803">
        <v>46268</v>
      </c>
      <c r="P803">
        <v>49</v>
      </c>
    </row>
    <row r="804" spans="1:16" x14ac:dyDescent="0.4">
      <c r="A804">
        <v>145</v>
      </c>
      <c r="B804" t="s">
        <v>4915</v>
      </c>
      <c r="D804" t="s">
        <v>4928</v>
      </c>
      <c r="G804" t="s">
        <v>3806</v>
      </c>
      <c r="H804" t="s">
        <v>4923</v>
      </c>
      <c r="I804">
        <v>51</v>
      </c>
      <c r="K804" t="s">
        <v>4832</v>
      </c>
      <c r="L804">
        <v>46226</v>
      </c>
      <c r="M804">
        <v>84393</v>
      </c>
      <c r="N804">
        <v>50</v>
      </c>
      <c r="O804">
        <v>46226</v>
      </c>
      <c r="P804">
        <v>1</v>
      </c>
    </row>
    <row r="805" spans="1:16" x14ac:dyDescent="0.4">
      <c r="A805">
        <v>70</v>
      </c>
      <c r="B805" t="s">
        <v>4915</v>
      </c>
      <c r="D805" t="s">
        <v>4916</v>
      </c>
      <c r="G805" t="s">
        <v>3851</v>
      </c>
      <c r="H805" t="s">
        <v>3850</v>
      </c>
      <c r="I805">
        <v>53</v>
      </c>
      <c r="K805" t="s">
        <v>3839</v>
      </c>
      <c r="L805">
        <v>46224</v>
      </c>
      <c r="M805">
        <v>84393</v>
      </c>
      <c r="N805">
        <v>50</v>
      </c>
      <c r="O805">
        <v>46224</v>
      </c>
      <c r="P805">
        <v>3</v>
      </c>
    </row>
    <row r="806" spans="1:16" x14ac:dyDescent="0.4">
      <c r="A806">
        <v>74</v>
      </c>
      <c r="B806" t="s">
        <v>4915</v>
      </c>
      <c r="D806" t="s">
        <v>4916</v>
      </c>
      <c r="G806" t="s">
        <v>4008</v>
      </c>
      <c r="H806" t="s">
        <v>4007</v>
      </c>
      <c r="I806">
        <v>54</v>
      </c>
      <c r="K806" t="s">
        <v>4002</v>
      </c>
      <c r="L806">
        <v>46224</v>
      </c>
      <c r="M806">
        <v>84393</v>
      </c>
      <c r="N806">
        <v>50</v>
      </c>
      <c r="O806">
        <v>46224</v>
      </c>
      <c r="P806">
        <v>4</v>
      </c>
    </row>
    <row r="807" spans="1:16" x14ac:dyDescent="0.4">
      <c r="A807">
        <v>34</v>
      </c>
      <c r="B807" t="s">
        <v>4915</v>
      </c>
      <c r="D807" t="s">
        <v>4916</v>
      </c>
      <c r="G807" t="s">
        <v>3804</v>
      </c>
      <c r="H807" t="s">
        <v>3803</v>
      </c>
      <c r="I807">
        <v>56</v>
      </c>
      <c r="K807" t="s">
        <v>4743</v>
      </c>
      <c r="L807">
        <v>46224</v>
      </c>
      <c r="M807">
        <v>84393</v>
      </c>
      <c r="N807">
        <v>50</v>
      </c>
      <c r="O807">
        <v>46224</v>
      </c>
      <c r="P807">
        <v>6</v>
      </c>
    </row>
    <row r="808" spans="1:16" x14ac:dyDescent="0.4">
      <c r="A808">
        <v>15</v>
      </c>
      <c r="B808" t="s">
        <v>4915</v>
      </c>
      <c r="D808" t="s">
        <v>4916</v>
      </c>
      <c r="G808" t="s">
        <v>3856</v>
      </c>
      <c r="H808" t="s">
        <v>3855</v>
      </c>
      <c r="I808">
        <v>58</v>
      </c>
      <c r="K808" t="s">
        <v>3854</v>
      </c>
      <c r="L808">
        <v>46224</v>
      </c>
      <c r="M808">
        <v>84393</v>
      </c>
      <c r="N808">
        <v>50</v>
      </c>
      <c r="O808">
        <v>46224</v>
      </c>
      <c r="P808">
        <v>8</v>
      </c>
    </row>
    <row r="809" spans="1:16" x14ac:dyDescent="0.4">
      <c r="A809">
        <v>488</v>
      </c>
      <c r="B809" t="s">
        <v>4915</v>
      </c>
      <c r="G809" t="s">
        <v>4621</v>
      </c>
      <c r="H809">
        <v>0</v>
      </c>
      <c r="I809">
        <v>58</v>
      </c>
      <c r="K809" t="s">
        <v>4088</v>
      </c>
      <c r="L809">
        <v>46268</v>
      </c>
      <c r="M809">
        <v>84393</v>
      </c>
      <c r="N809">
        <v>16</v>
      </c>
      <c r="O809">
        <v>46268</v>
      </c>
      <c r="P809">
        <v>42</v>
      </c>
    </row>
    <row r="810" spans="1:16" x14ac:dyDescent="0.4">
      <c r="A810">
        <v>40</v>
      </c>
      <c r="B810" t="s">
        <v>4915</v>
      </c>
      <c r="D810" t="s">
        <v>4916</v>
      </c>
      <c r="G810" t="s">
        <v>4034</v>
      </c>
      <c r="H810" t="s">
        <v>4924</v>
      </c>
      <c r="I810">
        <v>59</v>
      </c>
      <c r="K810" t="s">
        <v>4723</v>
      </c>
      <c r="L810">
        <v>46224</v>
      </c>
      <c r="M810">
        <v>84393</v>
      </c>
      <c r="N810">
        <v>50</v>
      </c>
      <c r="O810">
        <v>46224</v>
      </c>
      <c r="P810">
        <v>9</v>
      </c>
    </row>
    <row r="811" spans="1:16" x14ac:dyDescent="0.4">
      <c r="A811">
        <v>80</v>
      </c>
      <c r="B811" t="s">
        <v>4915</v>
      </c>
      <c r="D811" t="s">
        <v>4916</v>
      </c>
      <c r="G811" t="s">
        <v>4282</v>
      </c>
      <c r="H811" t="s">
        <v>4281</v>
      </c>
      <c r="I811">
        <v>59</v>
      </c>
      <c r="K811" t="s">
        <v>2992</v>
      </c>
      <c r="L811">
        <v>46224</v>
      </c>
      <c r="M811">
        <v>84393</v>
      </c>
      <c r="N811">
        <v>59</v>
      </c>
      <c r="O811">
        <v>46224</v>
      </c>
      <c r="P811">
        <v>0</v>
      </c>
    </row>
    <row r="812" spans="1:16" x14ac:dyDescent="0.4">
      <c r="A812">
        <v>119</v>
      </c>
      <c r="B812" t="s">
        <v>4915</v>
      </c>
      <c r="G812" t="s">
        <v>4736</v>
      </c>
      <c r="H812">
        <v>0</v>
      </c>
      <c r="I812">
        <v>59</v>
      </c>
      <c r="K812" t="s">
        <v>4046</v>
      </c>
      <c r="L812">
        <v>46224</v>
      </c>
      <c r="M812">
        <v>84393</v>
      </c>
      <c r="N812">
        <v>59</v>
      </c>
      <c r="O812">
        <v>46226</v>
      </c>
      <c r="P812">
        <v>0</v>
      </c>
    </row>
    <row r="813" spans="1:16" x14ac:dyDescent="0.4">
      <c r="A813">
        <v>51</v>
      </c>
      <c r="B813" t="s">
        <v>4915</v>
      </c>
      <c r="D813" t="s">
        <v>4916</v>
      </c>
      <c r="G813" t="s">
        <v>4735</v>
      </c>
      <c r="H813">
        <v>0</v>
      </c>
      <c r="I813">
        <v>60</v>
      </c>
      <c r="K813" t="s">
        <v>3585</v>
      </c>
      <c r="L813">
        <v>46224</v>
      </c>
      <c r="M813">
        <v>84393</v>
      </c>
      <c r="N813">
        <v>50</v>
      </c>
      <c r="O813">
        <v>46224</v>
      </c>
      <c r="P813">
        <v>10</v>
      </c>
    </row>
    <row r="814" spans="1:16" x14ac:dyDescent="0.4">
      <c r="A814">
        <v>60</v>
      </c>
      <c r="B814" t="s">
        <v>4915</v>
      </c>
      <c r="D814" t="s">
        <v>4916</v>
      </c>
      <c r="G814" t="s">
        <v>4010</v>
      </c>
      <c r="H814" t="s">
        <v>4009</v>
      </c>
      <c r="I814">
        <v>63</v>
      </c>
      <c r="K814" t="s">
        <v>4002</v>
      </c>
      <c r="L814">
        <v>46224</v>
      </c>
      <c r="M814">
        <v>84393</v>
      </c>
      <c r="N814">
        <v>50</v>
      </c>
      <c r="O814">
        <v>46224</v>
      </c>
      <c r="P814">
        <v>13</v>
      </c>
    </row>
    <row r="815" spans="1:16" x14ac:dyDescent="0.4">
      <c r="A815">
        <v>124</v>
      </c>
      <c r="B815" t="s">
        <v>4915</v>
      </c>
      <c r="G815" t="s">
        <v>4006</v>
      </c>
      <c r="H815" t="s">
        <v>4005</v>
      </c>
      <c r="I815">
        <v>75</v>
      </c>
      <c r="K815" t="s">
        <v>4002</v>
      </c>
      <c r="L815">
        <v>46224</v>
      </c>
      <c r="M815">
        <v>84393</v>
      </c>
      <c r="N815">
        <v>50</v>
      </c>
      <c r="O815">
        <v>46226</v>
      </c>
      <c r="P815">
        <v>25</v>
      </c>
    </row>
    <row r="816" spans="1:16" x14ac:dyDescent="0.4">
      <c r="A816">
        <v>33</v>
      </c>
      <c r="B816" t="s">
        <v>4915</v>
      </c>
      <c r="D816" t="s">
        <v>4916</v>
      </c>
      <c r="G816" t="s">
        <v>3912</v>
      </c>
      <c r="H816" t="s">
        <v>3911</v>
      </c>
      <c r="I816">
        <v>76</v>
      </c>
      <c r="K816" t="s">
        <v>3913</v>
      </c>
      <c r="L816">
        <v>46224</v>
      </c>
      <c r="M816">
        <v>84393</v>
      </c>
      <c r="N816">
        <v>50</v>
      </c>
      <c r="O816">
        <v>46224</v>
      </c>
      <c r="P816">
        <v>26</v>
      </c>
    </row>
    <row r="817" spans="1:16" x14ac:dyDescent="0.4">
      <c r="A817">
        <v>62</v>
      </c>
      <c r="B817" t="s">
        <v>4915</v>
      </c>
      <c r="D817" t="s">
        <v>4916</v>
      </c>
      <c r="G817" t="s">
        <v>3960</v>
      </c>
      <c r="H817" t="s">
        <v>3959</v>
      </c>
      <c r="I817">
        <v>83</v>
      </c>
      <c r="K817" t="s">
        <v>3961</v>
      </c>
      <c r="L817">
        <v>46224</v>
      </c>
      <c r="M817">
        <v>84393</v>
      </c>
      <c r="N817">
        <v>50</v>
      </c>
      <c r="O817">
        <v>46224</v>
      </c>
      <c r="P817">
        <v>33</v>
      </c>
    </row>
    <row r="818" spans="1:16" x14ac:dyDescent="0.4">
      <c r="A818">
        <v>29</v>
      </c>
      <c r="B818" t="s">
        <v>4915</v>
      </c>
      <c r="D818" t="s">
        <v>4916</v>
      </c>
      <c r="G818" t="s">
        <v>3915</v>
      </c>
      <c r="H818" t="s">
        <v>3914</v>
      </c>
      <c r="I818">
        <v>90</v>
      </c>
      <c r="K818" t="s">
        <v>3871</v>
      </c>
      <c r="L818">
        <v>46224</v>
      </c>
      <c r="M818">
        <v>84393</v>
      </c>
      <c r="N818">
        <v>50</v>
      </c>
      <c r="O818">
        <v>46224</v>
      </c>
      <c r="P818">
        <v>40</v>
      </c>
    </row>
    <row r="819" spans="1:16" x14ac:dyDescent="0.4">
      <c r="A819">
        <v>11</v>
      </c>
      <c r="B819" t="s">
        <v>4915</v>
      </c>
      <c r="D819" t="s">
        <v>4916</v>
      </c>
      <c r="G819" t="s">
        <v>4733</v>
      </c>
      <c r="H819" t="s">
        <v>3941</v>
      </c>
      <c r="I819">
        <v>95</v>
      </c>
      <c r="K819" t="s">
        <v>3943</v>
      </c>
      <c r="L819">
        <v>46224</v>
      </c>
      <c r="M819">
        <v>84393</v>
      </c>
      <c r="N819">
        <v>50</v>
      </c>
      <c r="O819">
        <v>46224</v>
      </c>
      <c r="P819">
        <v>45</v>
      </c>
    </row>
    <row r="820" spans="1:16" x14ac:dyDescent="0.4">
      <c r="A820">
        <v>26</v>
      </c>
      <c r="B820" t="s">
        <v>4915</v>
      </c>
      <c r="D820" t="s">
        <v>4916</v>
      </c>
      <c r="G820" t="s">
        <v>4060</v>
      </c>
      <c r="H820" t="s">
        <v>4059</v>
      </c>
      <c r="I820">
        <v>95</v>
      </c>
      <c r="K820" t="s">
        <v>4061</v>
      </c>
      <c r="L820">
        <v>46224</v>
      </c>
      <c r="M820">
        <v>84393</v>
      </c>
      <c r="N820">
        <v>50</v>
      </c>
      <c r="O820">
        <v>46224</v>
      </c>
      <c r="P820">
        <v>45</v>
      </c>
    </row>
    <row r="821" spans="1:16" x14ac:dyDescent="0.4">
      <c r="A821">
        <v>48</v>
      </c>
      <c r="B821" t="s">
        <v>4915</v>
      </c>
      <c r="D821" t="s">
        <v>4916</v>
      </c>
      <c r="G821" t="s">
        <v>3849</v>
      </c>
      <c r="H821" t="s">
        <v>3848</v>
      </c>
      <c r="I821">
        <v>95</v>
      </c>
      <c r="K821" t="s">
        <v>3839</v>
      </c>
      <c r="L821">
        <v>46224</v>
      </c>
      <c r="M821">
        <v>84393</v>
      </c>
      <c r="N821">
        <v>50</v>
      </c>
      <c r="O821">
        <v>46224</v>
      </c>
      <c r="P821">
        <v>45</v>
      </c>
    </row>
    <row r="822" spans="1:16" x14ac:dyDescent="0.4">
      <c r="A822">
        <v>57</v>
      </c>
      <c r="B822" t="s">
        <v>4915</v>
      </c>
      <c r="D822" t="s">
        <v>4916</v>
      </c>
      <c r="G822" t="s">
        <v>3939</v>
      </c>
      <c r="H822" t="s">
        <v>3938</v>
      </c>
      <c r="I822">
        <v>95</v>
      </c>
      <c r="K822" t="s">
        <v>3585</v>
      </c>
      <c r="L822">
        <v>46224</v>
      </c>
      <c r="M822">
        <v>84393</v>
      </c>
      <c r="N822">
        <v>50</v>
      </c>
      <c r="O822">
        <v>46224</v>
      </c>
      <c r="P822">
        <v>45</v>
      </c>
    </row>
    <row r="823" spans="1:16" x14ac:dyDescent="0.4">
      <c r="A823">
        <v>32</v>
      </c>
      <c r="B823" t="s">
        <v>4915</v>
      </c>
      <c r="D823" t="s">
        <v>4916</v>
      </c>
      <c r="G823" t="s">
        <v>3927</v>
      </c>
      <c r="H823" t="s">
        <v>3926</v>
      </c>
      <c r="I823">
        <v>98</v>
      </c>
      <c r="K823" t="s">
        <v>3864</v>
      </c>
      <c r="L823">
        <v>46224</v>
      </c>
      <c r="M823">
        <v>84393</v>
      </c>
      <c r="N823">
        <v>50</v>
      </c>
      <c r="O823">
        <v>46224</v>
      </c>
      <c r="P823">
        <v>48</v>
      </c>
    </row>
    <row r="824" spans="1:16" x14ac:dyDescent="0.4">
      <c r="A824">
        <v>45</v>
      </c>
      <c r="B824" t="s">
        <v>4915</v>
      </c>
      <c r="D824" t="s">
        <v>4916</v>
      </c>
      <c r="G824" t="s">
        <v>3900</v>
      </c>
      <c r="H824" t="s">
        <v>3899</v>
      </c>
      <c r="I824">
        <v>99</v>
      </c>
      <c r="K824" t="s">
        <v>4739</v>
      </c>
      <c r="L824">
        <v>46224</v>
      </c>
      <c r="M824">
        <v>84393</v>
      </c>
      <c r="N824">
        <v>50</v>
      </c>
      <c r="O824">
        <v>46224</v>
      </c>
      <c r="P824">
        <v>49</v>
      </c>
    </row>
    <row r="825" spans="1:16" x14ac:dyDescent="0.4">
      <c r="A825">
        <v>76</v>
      </c>
      <c r="B825" t="s">
        <v>4915</v>
      </c>
      <c r="D825" t="s">
        <v>4916</v>
      </c>
      <c r="G825" t="s">
        <v>3963</v>
      </c>
      <c r="H825" t="s">
        <v>3962</v>
      </c>
      <c r="I825">
        <v>99</v>
      </c>
      <c r="K825" t="s">
        <v>3964</v>
      </c>
      <c r="L825">
        <v>46224</v>
      </c>
      <c r="M825">
        <v>84393</v>
      </c>
      <c r="N825">
        <v>50</v>
      </c>
      <c r="O825">
        <v>46224</v>
      </c>
      <c r="P825">
        <v>49</v>
      </c>
    </row>
    <row r="826" spans="1:16" x14ac:dyDescent="0.4">
      <c r="A826">
        <v>2</v>
      </c>
      <c r="B826" t="s">
        <v>4915</v>
      </c>
      <c r="D826" t="s">
        <v>4916</v>
      </c>
      <c r="G826" t="s">
        <v>4030</v>
      </c>
      <c r="H826" t="s">
        <v>4029</v>
      </c>
      <c r="I826">
        <v>100</v>
      </c>
      <c r="K826" t="s">
        <v>3875</v>
      </c>
      <c r="L826">
        <v>46224</v>
      </c>
      <c r="M826">
        <v>84393</v>
      </c>
      <c r="N826">
        <v>100</v>
      </c>
      <c r="O826">
        <v>46224</v>
      </c>
      <c r="P826">
        <v>0</v>
      </c>
    </row>
    <row r="827" spans="1:16" x14ac:dyDescent="0.4">
      <c r="A827">
        <v>27</v>
      </c>
      <c r="B827" t="s">
        <v>4915</v>
      </c>
      <c r="D827" t="s">
        <v>4916</v>
      </c>
      <c r="G827" t="s">
        <v>4734</v>
      </c>
      <c r="H827">
        <v>0</v>
      </c>
      <c r="I827">
        <v>100</v>
      </c>
      <c r="K827" t="s">
        <v>3986</v>
      </c>
      <c r="L827">
        <v>46224</v>
      </c>
      <c r="M827">
        <v>84393</v>
      </c>
      <c r="N827">
        <v>50</v>
      </c>
      <c r="O827">
        <v>46224</v>
      </c>
      <c r="P827">
        <v>50</v>
      </c>
    </row>
    <row r="828" spans="1:16" x14ac:dyDescent="0.4">
      <c r="A828">
        <v>56</v>
      </c>
      <c r="B828" t="s">
        <v>4915</v>
      </c>
      <c r="D828" t="s">
        <v>4916</v>
      </c>
      <c r="G828" t="s">
        <v>3887</v>
      </c>
      <c r="H828" t="s">
        <v>3886</v>
      </c>
      <c r="I828">
        <v>100</v>
      </c>
      <c r="K828" t="s">
        <v>2541</v>
      </c>
      <c r="L828">
        <v>46224</v>
      </c>
      <c r="M828">
        <v>84393</v>
      </c>
      <c r="N828">
        <v>50</v>
      </c>
      <c r="O828">
        <v>46224</v>
      </c>
      <c r="P828">
        <v>50</v>
      </c>
    </row>
    <row r="829" spans="1:16" x14ac:dyDescent="0.4">
      <c r="A829">
        <v>154</v>
      </c>
      <c r="B829" t="s">
        <v>4915</v>
      </c>
      <c r="D829" t="s">
        <v>4928</v>
      </c>
      <c r="G829" t="s">
        <v>4048</v>
      </c>
      <c r="H829" t="s">
        <v>4047</v>
      </c>
      <c r="I829">
        <v>100</v>
      </c>
      <c r="K829" t="s">
        <v>4046</v>
      </c>
      <c r="L829">
        <v>46227</v>
      </c>
      <c r="M829">
        <v>84393</v>
      </c>
      <c r="N829">
        <v>50</v>
      </c>
      <c r="O829">
        <v>46227</v>
      </c>
      <c r="P829">
        <v>50</v>
      </c>
    </row>
    <row r="830" spans="1:16" x14ac:dyDescent="0.4">
      <c r="A830">
        <v>505</v>
      </c>
      <c r="B830" t="s">
        <v>4915</v>
      </c>
      <c r="D830" t="s">
        <v>4901</v>
      </c>
      <c r="E830" t="s">
        <v>4938</v>
      </c>
      <c r="F830" t="s">
        <v>4939</v>
      </c>
      <c r="G830" t="s">
        <v>3932</v>
      </c>
      <c r="H830" t="s">
        <v>3931</v>
      </c>
      <c r="I830">
        <v>100</v>
      </c>
      <c r="K830" t="s">
        <v>3585</v>
      </c>
      <c r="L830">
        <v>46265</v>
      </c>
      <c r="M830">
        <v>84393</v>
      </c>
      <c r="N830">
        <v>12</v>
      </c>
      <c r="O830">
        <v>46268</v>
      </c>
      <c r="P830">
        <v>88</v>
      </c>
    </row>
    <row r="831" spans="1:16" x14ac:dyDescent="0.4">
      <c r="A831">
        <v>47</v>
      </c>
      <c r="B831" t="s">
        <v>4915</v>
      </c>
      <c r="D831" t="s">
        <v>4916</v>
      </c>
      <c r="G831" t="s">
        <v>3904</v>
      </c>
      <c r="H831" t="s">
        <v>3903</v>
      </c>
      <c r="I831">
        <v>102</v>
      </c>
      <c r="K831" t="s">
        <v>3896</v>
      </c>
      <c r="L831">
        <v>46224</v>
      </c>
      <c r="M831">
        <v>84393</v>
      </c>
      <c r="N831">
        <v>50</v>
      </c>
      <c r="O831">
        <v>46224</v>
      </c>
      <c r="P831">
        <v>52</v>
      </c>
    </row>
    <row r="832" spans="1:16" x14ac:dyDescent="0.4">
      <c r="A832">
        <v>72</v>
      </c>
      <c r="B832" t="s">
        <v>4915</v>
      </c>
      <c r="D832" t="s">
        <v>4916</v>
      </c>
      <c r="G832" t="s">
        <v>4019</v>
      </c>
      <c r="H832" t="s">
        <v>4018</v>
      </c>
      <c r="I832">
        <v>105</v>
      </c>
      <c r="K832" t="s">
        <v>3875</v>
      </c>
      <c r="L832">
        <v>46224</v>
      </c>
      <c r="M832">
        <v>84393</v>
      </c>
      <c r="N832">
        <v>50</v>
      </c>
      <c r="O832">
        <v>46224</v>
      </c>
      <c r="P832">
        <v>55</v>
      </c>
    </row>
    <row r="833" spans="1:16" x14ac:dyDescent="0.4">
      <c r="A833">
        <v>73</v>
      </c>
      <c r="B833" t="s">
        <v>4915</v>
      </c>
      <c r="D833" t="s">
        <v>4916</v>
      </c>
      <c r="G833" t="s">
        <v>3937</v>
      </c>
      <c r="H833" t="s">
        <v>3936</v>
      </c>
      <c r="I833">
        <v>106</v>
      </c>
      <c r="K833" t="s">
        <v>3585</v>
      </c>
      <c r="L833">
        <v>46224</v>
      </c>
      <c r="M833">
        <v>84393</v>
      </c>
      <c r="N833">
        <v>50</v>
      </c>
      <c r="O833">
        <v>46224</v>
      </c>
      <c r="P833">
        <v>56</v>
      </c>
    </row>
    <row r="834" spans="1:16" x14ac:dyDescent="0.4">
      <c r="A834">
        <v>10</v>
      </c>
      <c r="B834" t="s">
        <v>4915</v>
      </c>
      <c r="D834" t="s">
        <v>4916</v>
      </c>
      <c r="G834" t="s">
        <v>3929</v>
      </c>
      <c r="H834" t="s">
        <v>3928</v>
      </c>
      <c r="I834">
        <v>107</v>
      </c>
      <c r="K834" t="s">
        <v>3930</v>
      </c>
      <c r="L834">
        <v>46224</v>
      </c>
      <c r="M834">
        <v>84393</v>
      </c>
      <c r="N834">
        <v>50</v>
      </c>
      <c r="O834">
        <v>46224</v>
      </c>
      <c r="P834">
        <v>57</v>
      </c>
    </row>
    <row r="835" spans="1:16" x14ac:dyDescent="0.4">
      <c r="A835">
        <v>52</v>
      </c>
      <c r="B835" t="s">
        <v>4915</v>
      </c>
      <c r="D835" t="s">
        <v>4916</v>
      </c>
      <c r="G835" t="s">
        <v>4736</v>
      </c>
      <c r="H835">
        <v>0</v>
      </c>
      <c r="I835">
        <v>109</v>
      </c>
      <c r="K835" t="s">
        <v>4046</v>
      </c>
      <c r="L835">
        <v>46224</v>
      </c>
      <c r="M835">
        <v>84393</v>
      </c>
      <c r="N835">
        <v>50</v>
      </c>
      <c r="O835">
        <v>46224</v>
      </c>
      <c r="P835">
        <v>59</v>
      </c>
    </row>
    <row r="836" spans="1:16" x14ac:dyDescent="0.4">
      <c r="A836">
        <v>8</v>
      </c>
      <c r="B836" t="s">
        <v>4915</v>
      </c>
      <c r="D836" t="s">
        <v>4916</v>
      </c>
      <c r="G836" t="s">
        <v>3873</v>
      </c>
      <c r="H836" t="s">
        <v>3872</v>
      </c>
      <c r="I836">
        <v>110</v>
      </c>
      <c r="K836" t="s">
        <v>3867</v>
      </c>
      <c r="L836">
        <v>46224</v>
      </c>
      <c r="M836">
        <v>84393</v>
      </c>
      <c r="N836">
        <v>50</v>
      </c>
      <c r="O836">
        <v>46224</v>
      </c>
      <c r="P836">
        <v>60</v>
      </c>
    </row>
    <row r="837" spans="1:16" x14ac:dyDescent="0.4">
      <c r="A837">
        <v>67</v>
      </c>
      <c r="B837" t="s">
        <v>4915</v>
      </c>
      <c r="D837" t="s">
        <v>4916</v>
      </c>
      <c r="G837" t="s">
        <v>4001</v>
      </c>
      <c r="H837" t="s">
        <v>4000</v>
      </c>
      <c r="I837">
        <v>112</v>
      </c>
      <c r="K837" t="s">
        <v>4002</v>
      </c>
      <c r="L837">
        <v>46224</v>
      </c>
      <c r="M837">
        <v>84393</v>
      </c>
      <c r="N837">
        <v>50</v>
      </c>
      <c r="O837">
        <v>46224</v>
      </c>
      <c r="P837">
        <v>62</v>
      </c>
    </row>
    <row r="838" spans="1:16" x14ac:dyDescent="0.4">
      <c r="A838">
        <v>69</v>
      </c>
      <c r="B838" t="s">
        <v>4915</v>
      </c>
      <c r="D838" t="s">
        <v>4916</v>
      </c>
      <c r="G838" t="s">
        <v>4004</v>
      </c>
      <c r="H838" t="s">
        <v>4003</v>
      </c>
      <c r="I838">
        <v>115</v>
      </c>
      <c r="K838" t="s">
        <v>4002</v>
      </c>
      <c r="L838">
        <v>46224</v>
      </c>
      <c r="M838">
        <v>84393</v>
      </c>
      <c r="N838">
        <v>50</v>
      </c>
      <c r="O838">
        <v>46224</v>
      </c>
      <c r="P838">
        <v>65</v>
      </c>
    </row>
    <row r="839" spans="1:16" x14ac:dyDescent="0.4">
      <c r="A839">
        <v>78</v>
      </c>
      <c r="B839" t="s">
        <v>4915</v>
      </c>
      <c r="D839" t="s">
        <v>4916</v>
      </c>
      <c r="G839" t="s">
        <v>3988</v>
      </c>
      <c r="H839" t="s">
        <v>3987</v>
      </c>
      <c r="I839">
        <v>123</v>
      </c>
      <c r="K839" t="s">
        <v>3989</v>
      </c>
      <c r="L839">
        <v>46224</v>
      </c>
      <c r="M839">
        <v>84393</v>
      </c>
      <c r="N839">
        <v>50</v>
      </c>
      <c r="O839">
        <v>46224</v>
      </c>
      <c r="P839">
        <v>73</v>
      </c>
    </row>
    <row r="840" spans="1:16" x14ac:dyDescent="0.4">
      <c r="A840">
        <v>120</v>
      </c>
      <c r="B840" t="s">
        <v>4915</v>
      </c>
      <c r="G840" t="s">
        <v>3917</v>
      </c>
      <c r="H840" t="s">
        <v>3916</v>
      </c>
      <c r="I840">
        <v>123</v>
      </c>
      <c r="K840" t="s">
        <v>3871</v>
      </c>
      <c r="L840">
        <v>46224</v>
      </c>
      <c r="M840">
        <v>84393</v>
      </c>
      <c r="N840">
        <v>50</v>
      </c>
      <c r="O840">
        <v>46226</v>
      </c>
      <c r="P840">
        <v>73</v>
      </c>
    </row>
    <row r="841" spans="1:16" x14ac:dyDescent="0.4">
      <c r="A841">
        <v>59</v>
      </c>
      <c r="B841" t="s">
        <v>4915</v>
      </c>
      <c r="D841" t="s">
        <v>4916</v>
      </c>
      <c r="G841" t="s">
        <v>4006</v>
      </c>
      <c r="H841" t="s">
        <v>4005</v>
      </c>
      <c r="I841">
        <v>125</v>
      </c>
      <c r="K841" t="s">
        <v>4002</v>
      </c>
      <c r="L841">
        <v>46224</v>
      </c>
      <c r="M841">
        <v>84393</v>
      </c>
      <c r="N841">
        <v>50</v>
      </c>
      <c r="O841">
        <v>46224</v>
      </c>
      <c r="P841">
        <v>75</v>
      </c>
    </row>
    <row r="842" spans="1:16" x14ac:dyDescent="0.4">
      <c r="A842">
        <v>3</v>
      </c>
      <c r="B842" t="s">
        <v>4915</v>
      </c>
      <c r="D842" t="s">
        <v>4916</v>
      </c>
      <c r="G842" t="s">
        <v>3982</v>
      </c>
      <c r="H842" t="s">
        <v>3981</v>
      </c>
      <c r="I842">
        <v>141</v>
      </c>
      <c r="K842" t="s">
        <v>3983</v>
      </c>
      <c r="L842">
        <v>46224</v>
      </c>
      <c r="M842">
        <v>84393</v>
      </c>
      <c r="N842">
        <v>50</v>
      </c>
      <c r="O842">
        <v>46224</v>
      </c>
      <c r="P842">
        <v>91</v>
      </c>
    </row>
    <row r="843" spans="1:16" x14ac:dyDescent="0.4">
      <c r="A843">
        <v>24</v>
      </c>
      <c r="B843" t="s">
        <v>4915</v>
      </c>
      <c r="D843" t="s">
        <v>4916</v>
      </c>
      <c r="G843" t="s">
        <v>4063</v>
      </c>
      <c r="H843" t="s">
        <v>4062</v>
      </c>
      <c r="I843">
        <v>143</v>
      </c>
      <c r="K843" t="s">
        <v>4922</v>
      </c>
      <c r="L843">
        <v>46224</v>
      </c>
      <c r="M843">
        <v>84393</v>
      </c>
      <c r="N843">
        <v>50</v>
      </c>
      <c r="O843">
        <v>46224</v>
      </c>
      <c r="P843">
        <v>93</v>
      </c>
    </row>
    <row r="844" spans="1:16" x14ac:dyDescent="0.4">
      <c r="A844">
        <v>44</v>
      </c>
      <c r="B844" t="s">
        <v>4915</v>
      </c>
      <c r="D844" t="s">
        <v>4916</v>
      </c>
      <c r="G844" t="s">
        <v>3898</v>
      </c>
      <c r="H844" t="s">
        <v>4925</v>
      </c>
      <c r="I844">
        <v>150</v>
      </c>
      <c r="K844" t="s">
        <v>3896</v>
      </c>
      <c r="L844">
        <v>46224</v>
      </c>
      <c r="M844">
        <v>84393</v>
      </c>
      <c r="N844">
        <v>50</v>
      </c>
      <c r="O844">
        <v>46224</v>
      </c>
      <c r="P844">
        <v>100</v>
      </c>
    </row>
    <row r="845" spans="1:16" x14ac:dyDescent="0.4">
      <c r="A845">
        <v>68</v>
      </c>
      <c r="B845" t="s">
        <v>4915</v>
      </c>
      <c r="D845" t="s">
        <v>4916</v>
      </c>
      <c r="G845" t="s">
        <v>3798</v>
      </c>
      <c r="H845" t="s">
        <v>4927</v>
      </c>
      <c r="I845">
        <v>150</v>
      </c>
      <c r="K845" t="s">
        <v>4724</v>
      </c>
      <c r="L845">
        <v>46224</v>
      </c>
      <c r="M845">
        <v>84393</v>
      </c>
      <c r="N845">
        <v>50</v>
      </c>
      <c r="O845">
        <v>46224</v>
      </c>
      <c r="P845">
        <v>100</v>
      </c>
    </row>
    <row r="846" spans="1:16" x14ac:dyDescent="0.4">
      <c r="A846">
        <v>6</v>
      </c>
      <c r="B846" t="s">
        <v>4915</v>
      </c>
      <c r="D846" t="s">
        <v>4916</v>
      </c>
      <c r="G846" t="s">
        <v>4017</v>
      </c>
      <c r="H846" t="s">
        <v>4016</v>
      </c>
      <c r="I846">
        <v>151</v>
      </c>
      <c r="K846" t="s">
        <v>4739</v>
      </c>
      <c r="L846">
        <v>46224</v>
      </c>
      <c r="M846">
        <v>84393</v>
      </c>
      <c r="N846">
        <v>50</v>
      </c>
      <c r="O846">
        <v>46224</v>
      </c>
      <c r="P846">
        <v>101</v>
      </c>
    </row>
    <row r="847" spans="1:16" x14ac:dyDescent="0.4">
      <c r="A847">
        <v>31</v>
      </c>
      <c r="B847" t="s">
        <v>4915</v>
      </c>
      <c r="D847" t="s">
        <v>4916</v>
      </c>
      <c r="G847" t="s">
        <v>3934</v>
      </c>
      <c r="H847" t="s">
        <v>3933</v>
      </c>
      <c r="I847">
        <v>158</v>
      </c>
      <c r="K847" t="s">
        <v>3935</v>
      </c>
      <c r="L847">
        <v>46224</v>
      </c>
      <c r="M847">
        <v>84393</v>
      </c>
      <c r="N847">
        <v>50</v>
      </c>
      <c r="O847">
        <v>46224</v>
      </c>
      <c r="P847">
        <v>108</v>
      </c>
    </row>
    <row r="848" spans="1:16" x14ac:dyDescent="0.4">
      <c r="A848">
        <v>123</v>
      </c>
      <c r="B848" t="s">
        <v>4915</v>
      </c>
      <c r="G848" t="s">
        <v>3925</v>
      </c>
      <c r="H848" t="s">
        <v>3924</v>
      </c>
      <c r="I848">
        <v>158</v>
      </c>
      <c r="K848" t="s">
        <v>3836</v>
      </c>
      <c r="L848">
        <v>46224</v>
      </c>
      <c r="M848">
        <v>84393</v>
      </c>
      <c r="N848">
        <v>50</v>
      </c>
      <c r="O848">
        <v>46226</v>
      </c>
      <c r="P848">
        <v>108</v>
      </c>
    </row>
    <row r="849" spans="1:16" x14ac:dyDescent="0.4">
      <c r="A849">
        <v>129</v>
      </c>
      <c r="B849" t="s">
        <v>4915</v>
      </c>
      <c r="G849" t="s">
        <v>4012</v>
      </c>
      <c r="H849" t="s">
        <v>4011</v>
      </c>
      <c r="I849">
        <v>159</v>
      </c>
      <c r="K849" t="s">
        <v>3871</v>
      </c>
      <c r="L849">
        <v>46224</v>
      </c>
      <c r="M849">
        <v>84393</v>
      </c>
      <c r="N849">
        <v>50</v>
      </c>
      <c r="O849">
        <v>46226</v>
      </c>
      <c r="P849">
        <v>109</v>
      </c>
    </row>
    <row r="850" spans="1:16" x14ac:dyDescent="0.4">
      <c r="A850">
        <v>81</v>
      </c>
      <c r="B850" t="s">
        <v>4915</v>
      </c>
      <c r="D850" t="s">
        <v>4916</v>
      </c>
      <c r="G850" t="s">
        <v>4738</v>
      </c>
      <c r="H850">
        <v>0</v>
      </c>
      <c r="I850">
        <v>161</v>
      </c>
      <c r="K850" t="s">
        <v>3910</v>
      </c>
      <c r="L850">
        <v>46224</v>
      </c>
      <c r="M850">
        <v>84393</v>
      </c>
      <c r="N850">
        <v>50</v>
      </c>
      <c r="O850">
        <v>46224</v>
      </c>
      <c r="P850">
        <v>111</v>
      </c>
    </row>
    <row r="851" spans="1:16" x14ac:dyDescent="0.4">
      <c r="A851">
        <v>82</v>
      </c>
      <c r="B851" t="s">
        <v>4915</v>
      </c>
      <c r="D851" t="s">
        <v>4916</v>
      </c>
      <c r="G851" t="s">
        <v>2907</v>
      </c>
      <c r="H851" t="s">
        <v>2906</v>
      </c>
      <c r="I851">
        <v>170</v>
      </c>
      <c r="K851" t="s">
        <v>2992</v>
      </c>
      <c r="L851">
        <v>46224</v>
      </c>
      <c r="M851">
        <v>84393</v>
      </c>
      <c r="N851">
        <v>50</v>
      </c>
      <c r="O851">
        <v>46224</v>
      </c>
      <c r="P851">
        <v>120</v>
      </c>
    </row>
    <row r="852" spans="1:16" x14ac:dyDescent="0.4">
      <c r="A852">
        <v>1</v>
      </c>
      <c r="B852" t="s">
        <v>4915</v>
      </c>
      <c r="D852" t="s">
        <v>4916</v>
      </c>
      <c r="G852" t="s">
        <v>3885</v>
      </c>
      <c r="H852" t="s">
        <v>3884</v>
      </c>
      <c r="I852">
        <v>172</v>
      </c>
      <c r="K852" t="s">
        <v>3883</v>
      </c>
      <c r="L852">
        <v>46224</v>
      </c>
      <c r="M852">
        <v>84393</v>
      </c>
      <c r="N852">
        <v>100</v>
      </c>
      <c r="O852">
        <v>46224</v>
      </c>
      <c r="P852">
        <v>72</v>
      </c>
    </row>
    <row r="853" spans="1:16" x14ac:dyDescent="0.4">
      <c r="A853">
        <v>55</v>
      </c>
      <c r="B853" t="s">
        <v>4915</v>
      </c>
      <c r="D853" t="s">
        <v>4916</v>
      </c>
      <c r="G853" t="s">
        <v>3917</v>
      </c>
      <c r="H853" t="s">
        <v>3916</v>
      </c>
      <c r="I853">
        <v>173</v>
      </c>
      <c r="K853" t="s">
        <v>3871</v>
      </c>
      <c r="L853">
        <v>46224</v>
      </c>
      <c r="M853">
        <v>84393</v>
      </c>
      <c r="N853">
        <v>50</v>
      </c>
      <c r="O853">
        <v>46224</v>
      </c>
      <c r="P853">
        <v>123</v>
      </c>
    </row>
    <row r="854" spans="1:16" x14ac:dyDescent="0.4">
      <c r="A854">
        <v>54</v>
      </c>
      <c r="B854" t="s">
        <v>4915</v>
      </c>
      <c r="D854" t="s">
        <v>4916</v>
      </c>
      <c r="G854" t="s">
        <v>3932</v>
      </c>
      <c r="H854" t="s">
        <v>3931</v>
      </c>
      <c r="I854">
        <v>188</v>
      </c>
      <c r="K854" t="s">
        <v>3585</v>
      </c>
      <c r="L854">
        <v>46224</v>
      </c>
      <c r="M854">
        <v>84393</v>
      </c>
      <c r="N854">
        <v>188</v>
      </c>
      <c r="O854">
        <v>46224</v>
      </c>
      <c r="P854">
        <v>0</v>
      </c>
    </row>
    <row r="855" spans="1:16" x14ac:dyDescent="0.4">
      <c r="A855">
        <v>128</v>
      </c>
      <c r="B855" t="s">
        <v>4915</v>
      </c>
      <c r="G855" t="s">
        <v>3966</v>
      </c>
      <c r="H855" t="s">
        <v>3965</v>
      </c>
      <c r="I855">
        <v>190</v>
      </c>
      <c r="K855" t="s">
        <v>3967</v>
      </c>
      <c r="L855">
        <v>46224</v>
      </c>
      <c r="M855">
        <v>84393</v>
      </c>
      <c r="N855">
        <v>50</v>
      </c>
      <c r="O855">
        <v>46226</v>
      </c>
      <c r="P855">
        <v>140</v>
      </c>
    </row>
    <row r="856" spans="1:16" x14ac:dyDescent="0.4">
      <c r="A856">
        <v>58</v>
      </c>
      <c r="B856" t="s">
        <v>4915</v>
      </c>
      <c r="D856" t="s">
        <v>4916</v>
      </c>
      <c r="G856" t="s">
        <v>3925</v>
      </c>
      <c r="H856" t="s">
        <v>3924</v>
      </c>
      <c r="I856">
        <v>208</v>
      </c>
      <c r="K856" t="s">
        <v>3836</v>
      </c>
      <c r="L856">
        <v>46224</v>
      </c>
      <c r="M856">
        <v>84393</v>
      </c>
      <c r="N856">
        <v>50</v>
      </c>
      <c r="O856">
        <v>46224</v>
      </c>
      <c r="P856">
        <v>158</v>
      </c>
    </row>
    <row r="857" spans="1:16" x14ac:dyDescent="0.4">
      <c r="A857">
        <v>126</v>
      </c>
      <c r="B857" t="s">
        <v>4915</v>
      </c>
      <c r="G857" t="s">
        <v>3795</v>
      </c>
      <c r="H857" t="s">
        <v>4926</v>
      </c>
      <c r="I857">
        <v>208</v>
      </c>
      <c r="K857" t="s">
        <v>4743</v>
      </c>
      <c r="L857">
        <v>46224</v>
      </c>
      <c r="M857">
        <v>84393</v>
      </c>
      <c r="N857">
        <v>50</v>
      </c>
      <c r="O857">
        <v>46226</v>
      </c>
      <c r="P857">
        <v>158</v>
      </c>
    </row>
    <row r="858" spans="1:16" x14ac:dyDescent="0.4">
      <c r="A858">
        <v>4</v>
      </c>
      <c r="B858" t="s">
        <v>4915</v>
      </c>
      <c r="D858" t="s">
        <v>4916</v>
      </c>
      <c r="G858" t="s">
        <v>3999</v>
      </c>
      <c r="H858" t="s">
        <v>3998</v>
      </c>
      <c r="I858">
        <v>209</v>
      </c>
      <c r="K858" t="s">
        <v>3782</v>
      </c>
      <c r="L858">
        <v>46224</v>
      </c>
      <c r="M858">
        <v>84393</v>
      </c>
      <c r="N858">
        <v>50</v>
      </c>
      <c r="O858">
        <v>46224</v>
      </c>
      <c r="P858">
        <v>159</v>
      </c>
    </row>
    <row r="859" spans="1:16" x14ac:dyDescent="0.4">
      <c r="A859">
        <v>5</v>
      </c>
      <c r="B859" t="s">
        <v>4915</v>
      </c>
      <c r="D859" t="s">
        <v>4916</v>
      </c>
      <c r="G859" t="s">
        <v>3991</v>
      </c>
      <c r="H859" t="s">
        <v>3990</v>
      </c>
      <c r="I859">
        <v>209</v>
      </c>
      <c r="K859" t="s">
        <v>3782</v>
      </c>
      <c r="L859">
        <v>46224</v>
      </c>
      <c r="M859">
        <v>84393</v>
      </c>
      <c r="N859">
        <v>50</v>
      </c>
      <c r="O859">
        <v>46224</v>
      </c>
      <c r="P859">
        <v>159</v>
      </c>
    </row>
    <row r="860" spans="1:16" x14ac:dyDescent="0.4">
      <c r="A860">
        <v>64</v>
      </c>
      <c r="B860" t="s">
        <v>4915</v>
      </c>
      <c r="D860" t="s">
        <v>4916</v>
      </c>
      <c r="G860" t="s">
        <v>4012</v>
      </c>
      <c r="H860" t="s">
        <v>4011</v>
      </c>
      <c r="I860">
        <v>209</v>
      </c>
      <c r="K860" t="s">
        <v>3871</v>
      </c>
      <c r="L860">
        <v>46224</v>
      </c>
      <c r="M860">
        <v>84393</v>
      </c>
      <c r="N860">
        <v>50</v>
      </c>
      <c r="O860">
        <v>46224</v>
      </c>
      <c r="P860">
        <v>159</v>
      </c>
    </row>
    <row r="861" spans="1:16" x14ac:dyDescent="0.4">
      <c r="A861">
        <v>49</v>
      </c>
      <c r="B861" t="s">
        <v>4915</v>
      </c>
      <c r="D861" t="s">
        <v>4916</v>
      </c>
      <c r="G861" t="s">
        <v>4045</v>
      </c>
      <c r="H861" t="s">
        <v>4044</v>
      </c>
      <c r="I861">
        <v>215</v>
      </c>
      <c r="K861" t="s">
        <v>4046</v>
      </c>
      <c r="L861">
        <v>46224</v>
      </c>
      <c r="M861">
        <v>84393</v>
      </c>
      <c r="N861">
        <v>50</v>
      </c>
      <c r="O861">
        <v>46224</v>
      </c>
      <c r="P861">
        <v>165</v>
      </c>
    </row>
    <row r="862" spans="1:16" x14ac:dyDescent="0.4">
      <c r="A862">
        <v>28</v>
      </c>
      <c r="B862" t="s">
        <v>4915</v>
      </c>
      <c r="D862" t="s">
        <v>4916</v>
      </c>
      <c r="G862" t="s">
        <v>4056</v>
      </c>
      <c r="H862" t="s">
        <v>4055</v>
      </c>
      <c r="I862">
        <v>216</v>
      </c>
      <c r="K862" t="s">
        <v>4015</v>
      </c>
      <c r="L862">
        <v>46224</v>
      </c>
      <c r="M862">
        <v>84393</v>
      </c>
      <c r="N862">
        <v>50</v>
      </c>
      <c r="O862">
        <v>46224</v>
      </c>
      <c r="P862">
        <v>166</v>
      </c>
    </row>
    <row r="863" spans="1:16" x14ac:dyDescent="0.4">
      <c r="A863">
        <v>14</v>
      </c>
      <c r="B863" t="s">
        <v>4915</v>
      </c>
      <c r="D863" t="s">
        <v>4916</v>
      </c>
      <c r="G863" t="s">
        <v>3791</v>
      </c>
      <c r="H863" t="s">
        <v>4919</v>
      </c>
      <c r="I863">
        <v>237</v>
      </c>
      <c r="K863" t="s">
        <v>4741</v>
      </c>
      <c r="L863">
        <v>46224</v>
      </c>
      <c r="M863">
        <v>84393</v>
      </c>
      <c r="N863">
        <v>50</v>
      </c>
      <c r="O863">
        <v>46224</v>
      </c>
      <c r="P863">
        <v>187</v>
      </c>
    </row>
    <row r="864" spans="1:16" x14ac:dyDescent="0.4">
      <c r="A864">
        <v>63</v>
      </c>
      <c r="B864" t="s">
        <v>4915</v>
      </c>
      <c r="D864" t="s">
        <v>4916</v>
      </c>
      <c r="G864" t="s">
        <v>3966</v>
      </c>
      <c r="H864" t="s">
        <v>3965</v>
      </c>
      <c r="I864">
        <v>240</v>
      </c>
      <c r="K864" t="s">
        <v>3967</v>
      </c>
      <c r="L864">
        <v>46224</v>
      </c>
      <c r="M864">
        <v>84393</v>
      </c>
      <c r="N864">
        <v>50</v>
      </c>
      <c r="O864">
        <v>46224</v>
      </c>
      <c r="P864">
        <v>190</v>
      </c>
    </row>
    <row r="865" spans="1:16" x14ac:dyDescent="0.4">
      <c r="A865">
        <v>41</v>
      </c>
      <c r="B865" t="s">
        <v>4915</v>
      </c>
      <c r="D865" t="s">
        <v>4916</v>
      </c>
      <c r="G865" t="s">
        <v>4028</v>
      </c>
      <c r="H865" t="s">
        <v>4027</v>
      </c>
      <c r="I865">
        <v>250</v>
      </c>
      <c r="K865" t="s">
        <v>3875</v>
      </c>
      <c r="L865">
        <v>46224</v>
      </c>
      <c r="M865">
        <v>84393</v>
      </c>
      <c r="N865">
        <v>50</v>
      </c>
      <c r="O865">
        <v>46224</v>
      </c>
      <c r="P865">
        <v>200</v>
      </c>
    </row>
    <row r="866" spans="1:16" x14ac:dyDescent="0.4">
      <c r="A866">
        <v>71</v>
      </c>
      <c r="B866" t="s">
        <v>4915</v>
      </c>
      <c r="D866" t="s">
        <v>4916</v>
      </c>
      <c r="G866" t="s">
        <v>3801</v>
      </c>
      <c r="H866" t="s">
        <v>3800</v>
      </c>
      <c r="I866">
        <v>250</v>
      </c>
      <c r="K866" t="s">
        <v>4744</v>
      </c>
      <c r="L866">
        <v>46224</v>
      </c>
      <c r="M866">
        <v>84393</v>
      </c>
      <c r="N866">
        <v>50</v>
      </c>
      <c r="O866">
        <v>46224</v>
      </c>
      <c r="P866">
        <v>200</v>
      </c>
    </row>
    <row r="867" spans="1:16" x14ac:dyDescent="0.4">
      <c r="A867">
        <v>61</v>
      </c>
      <c r="B867" t="s">
        <v>4915</v>
      </c>
      <c r="D867" t="s">
        <v>4916</v>
      </c>
      <c r="G867" t="s">
        <v>3795</v>
      </c>
      <c r="H867" t="s">
        <v>4926</v>
      </c>
      <c r="I867">
        <v>258</v>
      </c>
      <c r="K867" t="s">
        <v>4743</v>
      </c>
      <c r="L867">
        <v>46224</v>
      </c>
      <c r="M867">
        <v>84393</v>
      </c>
      <c r="N867">
        <v>50</v>
      </c>
      <c r="O867">
        <v>46224</v>
      </c>
      <c r="P867">
        <v>208</v>
      </c>
    </row>
    <row r="868" spans="1:16" x14ac:dyDescent="0.4">
      <c r="A868">
        <v>39</v>
      </c>
      <c r="B868" t="s">
        <v>4915</v>
      </c>
      <c r="D868" t="s">
        <v>4916</v>
      </c>
      <c r="G868" t="s">
        <v>2923</v>
      </c>
      <c r="H868" t="s">
        <v>2922</v>
      </c>
      <c r="I868">
        <v>277</v>
      </c>
      <c r="K868" t="s">
        <v>2924</v>
      </c>
      <c r="L868">
        <v>46224</v>
      </c>
      <c r="M868">
        <v>84393</v>
      </c>
      <c r="N868">
        <v>100</v>
      </c>
      <c r="O868">
        <v>46224</v>
      </c>
      <c r="P868">
        <v>177</v>
      </c>
    </row>
    <row r="869" spans="1:16" x14ac:dyDescent="0.4">
      <c r="A869">
        <v>313</v>
      </c>
      <c r="B869" t="s">
        <v>4915</v>
      </c>
      <c r="G869" t="s">
        <v>3985</v>
      </c>
      <c r="H869" t="s">
        <v>3984</v>
      </c>
      <c r="I869">
        <v>281</v>
      </c>
      <c r="K869" t="s">
        <v>3986</v>
      </c>
      <c r="L869">
        <v>46233</v>
      </c>
      <c r="M869">
        <v>84393</v>
      </c>
      <c r="N869">
        <v>50</v>
      </c>
      <c r="O869">
        <v>46233</v>
      </c>
      <c r="P869">
        <v>231</v>
      </c>
    </row>
    <row r="870" spans="1:16" x14ac:dyDescent="0.4">
      <c r="A870">
        <v>30</v>
      </c>
      <c r="B870" t="s">
        <v>4915</v>
      </c>
      <c r="D870" t="s">
        <v>4916</v>
      </c>
      <c r="G870" t="s">
        <v>3889</v>
      </c>
      <c r="H870" t="s">
        <v>3888</v>
      </c>
      <c r="I870">
        <v>294</v>
      </c>
      <c r="K870" t="s">
        <v>3883</v>
      </c>
      <c r="L870">
        <v>46224</v>
      </c>
      <c r="M870">
        <v>84393</v>
      </c>
      <c r="N870">
        <v>50</v>
      </c>
      <c r="O870">
        <v>46224</v>
      </c>
      <c r="P870">
        <v>244</v>
      </c>
    </row>
    <row r="871" spans="1:16" x14ac:dyDescent="0.4">
      <c r="A871">
        <v>65</v>
      </c>
      <c r="B871" t="s">
        <v>4915</v>
      </c>
      <c r="D871" t="s">
        <v>4916</v>
      </c>
      <c r="G871" t="s">
        <v>3997</v>
      </c>
      <c r="H871" t="s">
        <v>3996</v>
      </c>
      <c r="I871">
        <v>294</v>
      </c>
      <c r="K871" t="s">
        <v>3896</v>
      </c>
      <c r="L871">
        <v>46224</v>
      </c>
      <c r="M871">
        <v>84393</v>
      </c>
      <c r="N871">
        <v>50</v>
      </c>
      <c r="O871">
        <v>46224</v>
      </c>
      <c r="P871">
        <v>244</v>
      </c>
    </row>
    <row r="872" spans="1:16" x14ac:dyDescent="0.4">
      <c r="A872">
        <v>19</v>
      </c>
      <c r="B872" t="s">
        <v>4915</v>
      </c>
      <c r="D872" t="s">
        <v>4916</v>
      </c>
      <c r="G872" t="s">
        <v>3945</v>
      </c>
      <c r="H872" t="s">
        <v>3944</v>
      </c>
      <c r="I872">
        <v>300</v>
      </c>
      <c r="K872" t="s">
        <v>3946</v>
      </c>
      <c r="L872">
        <v>46224</v>
      </c>
      <c r="M872">
        <v>84393</v>
      </c>
      <c r="N872">
        <v>50</v>
      </c>
      <c r="O872">
        <v>46224</v>
      </c>
      <c r="P872">
        <v>250</v>
      </c>
    </row>
    <row r="873" spans="1:16" x14ac:dyDescent="0.4">
      <c r="A873">
        <v>46</v>
      </c>
      <c r="B873" t="s">
        <v>4915</v>
      </c>
      <c r="D873" t="s">
        <v>4916</v>
      </c>
      <c r="G873" t="s">
        <v>3902</v>
      </c>
      <c r="H873" t="s">
        <v>3901</v>
      </c>
      <c r="I873">
        <v>305</v>
      </c>
      <c r="K873" t="s">
        <v>3896</v>
      </c>
      <c r="L873">
        <v>46224</v>
      </c>
      <c r="M873">
        <v>84393</v>
      </c>
      <c r="N873">
        <v>50</v>
      </c>
      <c r="O873">
        <v>46224</v>
      </c>
      <c r="P873">
        <v>255</v>
      </c>
    </row>
    <row r="874" spans="1:16" x14ac:dyDescent="0.4">
      <c r="A874">
        <v>83</v>
      </c>
      <c r="B874" t="s">
        <v>4915</v>
      </c>
      <c r="D874" t="s">
        <v>4916</v>
      </c>
      <c r="G874" t="s">
        <v>4622</v>
      </c>
      <c r="H874">
        <v>0</v>
      </c>
      <c r="I874">
        <v>355</v>
      </c>
      <c r="K874" t="s">
        <v>4728</v>
      </c>
      <c r="L874">
        <v>46224</v>
      </c>
      <c r="M874">
        <v>84393</v>
      </c>
      <c r="N874">
        <v>50</v>
      </c>
      <c r="O874">
        <v>46224</v>
      </c>
      <c r="P874">
        <v>305</v>
      </c>
    </row>
    <row r="875" spans="1:16" x14ac:dyDescent="0.4">
      <c r="A875">
        <v>7</v>
      </c>
      <c r="B875" t="s">
        <v>4915</v>
      </c>
      <c r="D875" t="s">
        <v>4916</v>
      </c>
      <c r="G875" t="s">
        <v>3793</v>
      </c>
      <c r="H875" t="s">
        <v>3792</v>
      </c>
      <c r="I875">
        <v>467</v>
      </c>
      <c r="K875" t="s">
        <v>4740</v>
      </c>
      <c r="L875">
        <v>46224</v>
      </c>
      <c r="M875">
        <v>84393</v>
      </c>
      <c r="N875">
        <v>50</v>
      </c>
      <c r="O875">
        <v>46224</v>
      </c>
      <c r="P875">
        <v>417</v>
      </c>
    </row>
    <row r="876" spans="1:16" x14ac:dyDescent="0.4">
      <c r="A876">
        <v>21</v>
      </c>
      <c r="B876" t="s">
        <v>4915</v>
      </c>
      <c r="D876" t="s">
        <v>4916</v>
      </c>
      <c r="G876" t="s">
        <v>3788</v>
      </c>
      <c r="H876" t="s">
        <v>4921</v>
      </c>
      <c r="I876">
        <v>513</v>
      </c>
      <c r="K876" t="s">
        <v>4742</v>
      </c>
      <c r="L876">
        <v>46224</v>
      </c>
      <c r="M876">
        <v>84393</v>
      </c>
      <c r="N876">
        <v>50</v>
      </c>
      <c r="O876">
        <v>46224</v>
      </c>
      <c r="P876">
        <v>463</v>
      </c>
    </row>
    <row r="877" spans="1:16" x14ac:dyDescent="0.4">
      <c r="A877">
        <v>13</v>
      </c>
      <c r="B877" t="s">
        <v>4915</v>
      </c>
      <c r="D877" t="s">
        <v>4916</v>
      </c>
      <c r="G877" t="s">
        <v>3811</v>
      </c>
      <c r="H877" t="s">
        <v>3810</v>
      </c>
      <c r="I877">
        <v>535</v>
      </c>
      <c r="K877" t="s">
        <v>2924</v>
      </c>
      <c r="L877">
        <v>46224</v>
      </c>
      <c r="M877">
        <v>84393</v>
      </c>
      <c r="N877">
        <v>300</v>
      </c>
      <c r="O877">
        <v>46224</v>
      </c>
      <c r="P877">
        <v>235</v>
      </c>
    </row>
    <row r="878" spans="1:16" x14ac:dyDescent="0.4">
      <c r="A878">
        <v>9</v>
      </c>
      <c r="B878" t="s">
        <v>4915</v>
      </c>
      <c r="D878" t="s">
        <v>4916</v>
      </c>
      <c r="G878" t="s">
        <v>3813</v>
      </c>
      <c r="H878" t="s">
        <v>3812</v>
      </c>
      <c r="I878">
        <v>1071</v>
      </c>
      <c r="K878" t="s">
        <v>2924</v>
      </c>
      <c r="L878">
        <v>46224</v>
      </c>
      <c r="M878">
        <v>84393</v>
      </c>
      <c r="N878">
        <v>50</v>
      </c>
      <c r="O878">
        <v>46224</v>
      </c>
      <c r="P878">
        <v>1021</v>
      </c>
    </row>
    <row r="879" spans="1:16" x14ac:dyDescent="0.4">
      <c r="A879">
        <v>79</v>
      </c>
      <c r="B879" t="s">
        <v>4915</v>
      </c>
      <c r="D879" t="s">
        <v>4916</v>
      </c>
      <c r="G879" t="s">
        <v>4032</v>
      </c>
      <c r="H879" t="s">
        <v>4031</v>
      </c>
      <c r="I879">
        <v>1603</v>
      </c>
      <c r="K879" t="s">
        <v>2924</v>
      </c>
      <c r="L879">
        <v>46224</v>
      </c>
      <c r="M879">
        <v>84393</v>
      </c>
      <c r="N879">
        <v>50</v>
      </c>
      <c r="O879">
        <v>46224</v>
      </c>
      <c r="P879">
        <v>1553</v>
      </c>
    </row>
    <row r="880" spans="1:16" x14ac:dyDescent="0.4">
      <c r="A880">
        <v>1339</v>
      </c>
      <c r="B880" t="s">
        <v>4915</v>
      </c>
      <c r="G880" t="s">
        <v>4282</v>
      </c>
      <c r="H880" t="s">
        <v>4281</v>
      </c>
      <c r="I880">
        <v>10</v>
      </c>
      <c r="K880" t="s">
        <v>2992</v>
      </c>
      <c r="L880">
        <v>46287</v>
      </c>
      <c r="M880">
        <v>84394</v>
      </c>
      <c r="N880">
        <v>10</v>
      </c>
      <c r="O880">
        <v>46301</v>
      </c>
      <c r="P880">
        <v>0</v>
      </c>
    </row>
    <row r="881" spans="1:16" x14ac:dyDescent="0.4">
      <c r="A881">
        <v>1266</v>
      </c>
      <c r="B881" t="s">
        <v>4915</v>
      </c>
      <c r="D881" t="s">
        <v>5152</v>
      </c>
      <c r="G881" t="s">
        <v>4282</v>
      </c>
      <c r="H881" t="s">
        <v>4281</v>
      </c>
      <c r="I881">
        <v>106</v>
      </c>
      <c r="K881" t="s">
        <v>2992</v>
      </c>
      <c r="L881">
        <v>46287</v>
      </c>
      <c r="M881">
        <v>84394</v>
      </c>
      <c r="N881">
        <v>40</v>
      </c>
      <c r="O881">
        <v>46301</v>
      </c>
      <c r="P881">
        <v>66</v>
      </c>
    </row>
    <row r="882" spans="1:16" x14ac:dyDescent="0.4">
      <c r="A882">
        <v>144</v>
      </c>
      <c r="B882" t="s">
        <v>4915</v>
      </c>
      <c r="G882" t="s">
        <v>4622</v>
      </c>
      <c r="H882">
        <v>0</v>
      </c>
      <c r="I882">
        <v>305</v>
      </c>
      <c r="K882" t="s">
        <v>4728</v>
      </c>
      <c r="L882">
        <v>46224</v>
      </c>
      <c r="M882">
        <v>84394</v>
      </c>
      <c r="N882">
        <v>50</v>
      </c>
      <c r="O882">
        <v>46253</v>
      </c>
      <c r="P882">
        <v>255</v>
      </c>
    </row>
    <row r="883" spans="1:16" x14ac:dyDescent="0.4">
      <c r="A883">
        <v>730</v>
      </c>
      <c r="B883" t="s">
        <v>4915</v>
      </c>
      <c r="G883" t="s">
        <v>2857</v>
      </c>
      <c r="H883" t="s">
        <v>2856</v>
      </c>
      <c r="I883">
        <v>9</v>
      </c>
      <c r="K883" t="s">
        <v>4933</v>
      </c>
      <c r="L883">
        <v>46238</v>
      </c>
      <c r="M883">
        <v>85052</v>
      </c>
      <c r="N883">
        <v>9</v>
      </c>
      <c r="O883">
        <v>46240</v>
      </c>
      <c r="P883">
        <v>0</v>
      </c>
    </row>
    <row r="884" spans="1:16" x14ac:dyDescent="0.4">
      <c r="A884">
        <v>202</v>
      </c>
      <c r="B884" t="s">
        <v>4915</v>
      </c>
      <c r="D884" t="s">
        <v>4916</v>
      </c>
      <c r="G884" t="s">
        <v>2229</v>
      </c>
      <c r="H884" t="s">
        <v>4929</v>
      </c>
      <c r="I884">
        <v>1</v>
      </c>
      <c r="K884" t="s">
        <v>4930</v>
      </c>
      <c r="L884">
        <v>46232</v>
      </c>
      <c r="M884">
        <v>87119</v>
      </c>
      <c r="N884">
        <v>1</v>
      </c>
      <c r="O884">
        <v>46232</v>
      </c>
      <c r="P884">
        <v>0</v>
      </c>
    </row>
    <row r="885" spans="1:16" x14ac:dyDescent="0.4">
      <c r="A885">
        <v>215</v>
      </c>
      <c r="B885" t="s">
        <v>4915</v>
      </c>
      <c r="D885" t="s">
        <v>4916</v>
      </c>
      <c r="G885" t="s">
        <v>2087</v>
      </c>
      <c r="H885" t="s">
        <v>2086</v>
      </c>
      <c r="I885">
        <v>1</v>
      </c>
      <c r="K885" t="s">
        <v>4853</v>
      </c>
      <c r="L885">
        <v>46232</v>
      </c>
      <c r="M885">
        <v>87119</v>
      </c>
      <c r="N885">
        <v>1</v>
      </c>
      <c r="O885">
        <v>46232</v>
      </c>
      <c r="P885">
        <v>0</v>
      </c>
    </row>
    <row r="886" spans="1:16" x14ac:dyDescent="0.4">
      <c r="A886">
        <v>220</v>
      </c>
      <c r="B886" t="s">
        <v>4915</v>
      </c>
      <c r="D886" t="s">
        <v>4916</v>
      </c>
      <c r="G886" t="s">
        <v>4646</v>
      </c>
      <c r="H886">
        <v>0</v>
      </c>
      <c r="I886">
        <v>2</v>
      </c>
      <c r="K886" t="s">
        <v>4851</v>
      </c>
      <c r="L886">
        <v>46232</v>
      </c>
      <c r="M886">
        <v>87119</v>
      </c>
      <c r="N886">
        <v>1</v>
      </c>
      <c r="O886">
        <v>46232</v>
      </c>
      <c r="P886">
        <v>1</v>
      </c>
    </row>
    <row r="887" spans="1:16" x14ac:dyDescent="0.4">
      <c r="A887">
        <v>227</v>
      </c>
      <c r="B887" t="s">
        <v>4915</v>
      </c>
      <c r="D887" t="s">
        <v>4916</v>
      </c>
      <c r="G887" t="s">
        <v>2132</v>
      </c>
      <c r="H887" t="s">
        <v>2131</v>
      </c>
      <c r="I887">
        <v>2</v>
      </c>
      <c r="K887" t="s">
        <v>4852</v>
      </c>
      <c r="L887">
        <v>46232</v>
      </c>
      <c r="M887">
        <v>87119</v>
      </c>
      <c r="N887">
        <v>1</v>
      </c>
      <c r="O887">
        <v>46232</v>
      </c>
      <c r="P887">
        <v>1</v>
      </c>
    </row>
    <row r="888" spans="1:16" x14ac:dyDescent="0.4">
      <c r="A888">
        <v>307</v>
      </c>
      <c r="B888" t="s">
        <v>4915</v>
      </c>
      <c r="D888" t="s">
        <v>4935</v>
      </c>
      <c r="G888" t="s">
        <v>2178</v>
      </c>
      <c r="H888" t="s">
        <v>2177</v>
      </c>
      <c r="I888">
        <v>3</v>
      </c>
      <c r="K888" t="s">
        <v>4848</v>
      </c>
      <c r="L888">
        <v>46233</v>
      </c>
      <c r="M888">
        <v>87119</v>
      </c>
      <c r="N888">
        <v>1</v>
      </c>
      <c r="O888">
        <v>46233</v>
      </c>
      <c r="P888">
        <v>2</v>
      </c>
    </row>
    <row r="889" spans="1:16" x14ac:dyDescent="0.4">
      <c r="A889">
        <v>214</v>
      </c>
      <c r="B889" t="s">
        <v>4915</v>
      </c>
      <c r="D889" t="s">
        <v>4916</v>
      </c>
      <c r="G889" t="s">
        <v>2084</v>
      </c>
      <c r="H889" t="s">
        <v>2083</v>
      </c>
      <c r="I889">
        <v>4</v>
      </c>
      <c r="K889" t="s">
        <v>4853</v>
      </c>
      <c r="L889">
        <v>46232</v>
      </c>
      <c r="M889">
        <v>87119</v>
      </c>
      <c r="N889">
        <v>1</v>
      </c>
      <c r="O889">
        <v>46232</v>
      </c>
      <c r="P889">
        <v>3</v>
      </c>
    </row>
    <row r="890" spans="1:16" x14ac:dyDescent="0.4">
      <c r="A890">
        <v>304</v>
      </c>
      <c r="B890" t="s">
        <v>4915</v>
      </c>
      <c r="D890" t="s">
        <v>4901</v>
      </c>
      <c r="G890" t="s">
        <v>2197</v>
      </c>
      <c r="H890" t="s">
        <v>2196</v>
      </c>
      <c r="I890">
        <v>5</v>
      </c>
      <c r="K890" t="s">
        <v>4850</v>
      </c>
      <c r="L890">
        <v>46233</v>
      </c>
      <c r="M890">
        <v>87119</v>
      </c>
      <c r="N890">
        <v>1</v>
      </c>
      <c r="O890">
        <v>46233</v>
      </c>
      <c r="P890">
        <v>4</v>
      </c>
    </row>
    <row r="891" spans="1:16" x14ac:dyDescent="0.4">
      <c r="A891">
        <v>305</v>
      </c>
      <c r="B891" t="s">
        <v>4915</v>
      </c>
      <c r="D891" t="s">
        <v>4901</v>
      </c>
      <c r="G891" t="s">
        <v>2199</v>
      </c>
      <c r="H891" t="s">
        <v>2198</v>
      </c>
      <c r="I891">
        <v>5</v>
      </c>
      <c r="K891" t="s">
        <v>4850</v>
      </c>
      <c r="L891">
        <v>46233</v>
      </c>
      <c r="M891">
        <v>87119</v>
      </c>
      <c r="N891">
        <v>1</v>
      </c>
      <c r="O891">
        <v>46233</v>
      </c>
      <c r="P891">
        <v>4</v>
      </c>
    </row>
    <row r="892" spans="1:16" x14ac:dyDescent="0.4">
      <c r="A892">
        <v>306</v>
      </c>
      <c r="B892" t="s">
        <v>4915</v>
      </c>
      <c r="D892" t="s">
        <v>4901</v>
      </c>
      <c r="G892" t="s">
        <v>2203</v>
      </c>
      <c r="H892" t="s">
        <v>2202</v>
      </c>
      <c r="I892">
        <v>5</v>
      </c>
      <c r="K892" t="s">
        <v>4850</v>
      </c>
      <c r="L892">
        <v>46233</v>
      </c>
      <c r="M892">
        <v>87119</v>
      </c>
      <c r="N892">
        <v>1</v>
      </c>
      <c r="O892">
        <v>46233</v>
      </c>
      <c r="P892">
        <v>4</v>
      </c>
    </row>
    <row r="893" spans="1:16" x14ac:dyDescent="0.4">
      <c r="A893">
        <v>173</v>
      </c>
      <c r="B893" t="s">
        <v>4915</v>
      </c>
      <c r="D893" t="s">
        <v>4916</v>
      </c>
      <c r="G893" t="s">
        <v>2201</v>
      </c>
      <c r="H893" t="s">
        <v>2200</v>
      </c>
      <c r="I893">
        <v>7</v>
      </c>
      <c r="K893" t="s">
        <v>4850</v>
      </c>
      <c r="L893">
        <v>46232</v>
      </c>
      <c r="M893">
        <v>87119</v>
      </c>
      <c r="N893">
        <v>1</v>
      </c>
      <c r="O893">
        <v>46232</v>
      </c>
      <c r="P893">
        <v>6</v>
      </c>
    </row>
    <row r="894" spans="1:16" x14ac:dyDescent="0.4">
      <c r="A894">
        <v>175</v>
      </c>
      <c r="B894" t="s">
        <v>4915</v>
      </c>
      <c r="D894" t="s">
        <v>4916</v>
      </c>
      <c r="G894" t="s">
        <v>2205</v>
      </c>
      <c r="H894" t="s">
        <v>2204</v>
      </c>
      <c r="I894">
        <v>7</v>
      </c>
      <c r="K894" t="s">
        <v>4850</v>
      </c>
      <c r="L894">
        <v>46232</v>
      </c>
      <c r="M894">
        <v>87119</v>
      </c>
      <c r="N894">
        <v>1</v>
      </c>
      <c r="O894">
        <v>46232</v>
      </c>
      <c r="P894">
        <v>6</v>
      </c>
    </row>
    <row r="895" spans="1:16" x14ac:dyDescent="0.4">
      <c r="A895">
        <v>196</v>
      </c>
      <c r="B895" t="s">
        <v>4915</v>
      </c>
      <c r="D895" t="s">
        <v>4916</v>
      </c>
      <c r="G895" t="s">
        <v>2395</v>
      </c>
      <c r="H895" t="s">
        <v>2394</v>
      </c>
      <c r="I895">
        <v>8</v>
      </c>
      <c r="K895" t="s">
        <v>4854</v>
      </c>
      <c r="L895">
        <v>46232</v>
      </c>
      <c r="M895">
        <v>87119</v>
      </c>
      <c r="N895">
        <v>1</v>
      </c>
      <c r="O895">
        <v>46232</v>
      </c>
      <c r="P895">
        <v>7</v>
      </c>
    </row>
    <row r="896" spans="1:16" x14ac:dyDescent="0.4">
      <c r="A896">
        <v>237</v>
      </c>
      <c r="B896" t="s">
        <v>4915</v>
      </c>
      <c r="D896" t="s">
        <v>4916</v>
      </c>
      <c r="G896" t="s">
        <v>2190</v>
      </c>
      <c r="H896" t="s">
        <v>2189</v>
      </c>
      <c r="I896">
        <v>8</v>
      </c>
      <c r="K896" t="s">
        <v>4855</v>
      </c>
      <c r="L896">
        <v>46232</v>
      </c>
      <c r="M896">
        <v>87119</v>
      </c>
      <c r="N896">
        <v>1</v>
      </c>
      <c r="O896">
        <v>46232</v>
      </c>
      <c r="P896">
        <v>7</v>
      </c>
    </row>
    <row r="897" spans="1:16" x14ac:dyDescent="0.4">
      <c r="A897">
        <v>216</v>
      </c>
      <c r="B897" t="s">
        <v>4915</v>
      </c>
      <c r="D897" t="s">
        <v>4916</v>
      </c>
      <c r="G897" t="s">
        <v>4844</v>
      </c>
      <c r="H897">
        <v>0</v>
      </c>
      <c r="I897">
        <v>9</v>
      </c>
      <c r="K897">
        <v>0</v>
      </c>
      <c r="L897">
        <v>46232</v>
      </c>
      <c r="M897">
        <v>87119</v>
      </c>
      <c r="N897">
        <v>1</v>
      </c>
      <c r="O897">
        <v>46232</v>
      </c>
      <c r="P897">
        <v>8</v>
      </c>
    </row>
    <row r="898" spans="1:16" x14ac:dyDescent="0.4">
      <c r="A898">
        <v>217</v>
      </c>
      <c r="B898" t="s">
        <v>4915</v>
      </c>
      <c r="D898" t="s">
        <v>4916</v>
      </c>
      <c r="G898" t="s">
        <v>2089</v>
      </c>
      <c r="H898" t="s">
        <v>2088</v>
      </c>
      <c r="I898">
        <v>9</v>
      </c>
      <c r="K898" t="s">
        <v>4853</v>
      </c>
      <c r="L898">
        <v>46232</v>
      </c>
      <c r="M898">
        <v>87119</v>
      </c>
      <c r="N898">
        <v>1</v>
      </c>
      <c r="O898">
        <v>46232</v>
      </c>
      <c r="P898">
        <v>8</v>
      </c>
    </row>
    <row r="899" spans="1:16" x14ac:dyDescent="0.4">
      <c r="A899">
        <v>204</v>
      </c>
      <c r="B899" t="s">
        <v>4915</v>
      </c>
      <c r="D899" t="s">
        <v>4916</v>
      </c>
      <c r="G899" t="s">
        <v>40</v>
      </c>
      <c r="H899" t="s">
        <v>39</v>
      </c>
      <c r="I899">
        <v>12</v>
      </c>
      <c r="K899" t="s">
        <v>36</v>
      </c>
      <c r="L899">
        <v>46232</v>
      </c>
      <c r="M899">
        <v>87119</v>
      </c>
      <c r="N899">
        <v>2</v>
      </c>
      <c r="O899">
        <v>46232</v>
      </c>
      <c r="P899">
        <v>10</v>
      </c>
    </row>
    <row r="900" spans="1:16" x14ac:dyDescent="0.4">
      <c r="A900">
        <v>187</v>
      </c>
      <c r="B900" t="s">
        <v>4915</v>
      </c>
      <c r="D900" t="s">
        <v>4916</v>
      </c>
      <c r="G900" t="s">
        <v>2377</v>
      </c>
      <c r="H900" t="s">
        <v>2376</v>
      </c>
      <c r="I900">
        <v>16</v>
      </c>
      <c r="K900" t="s">
        <v>4856</v>
      </c>
      <c r="L900">
        <v>46232</v>
      </c>
      <c r="M900">
        <v>87119</v>
      </c>
      <c r="N900">
        <v>1</v>
      </c>
      <c r="O900">
        <v>46232</v>
      </c>
      <c r="P900">
        <v>15</v>
      </c>
    </row>
    <row r="901" spans="1:16" x14ac:dyDescent="0.4">
      <c r="A901">
        <v>197</v>
      </c>
      <c r="B901" t="s">
        <v>4915</v>
      </c>
      <c r="D901" t="s">
        <v>4916</v>
      </c>
      <c r="G901" t="s">
        <v>2397</v>
      </c>
      <c r="H901" t="s">
        <v>2396</v>
      </c>
      <c r="I901">
        <v>16</v>
      </c>
      <c r="K901" t="s">
        <v>4854</v>
      </c>
      <c r="L901">
        <v>46232</v>
      </c>
      <c r="M901">
        <v>87119</v>
      </c>
      <c r="N901">
        <v>1</v>
      </c>
      <c r="O901">
        <v>46232</v>
      </c>
      <c r="P901">
        <v>15</v>
      </c>
    </row>
    <row r="902" spans="1:16" x14ac:dyDescent="0.4">
      <c r="A902">
        <v>189</v>
      </c>
      <c r="B902" t="s">
        <v>4915</v>
      </c>
      <c r="D902" t="s">
        <v>4916</v>
      </c>
      <c r="G902" t="s">
        <v>2381</v>
      </c>
      <c r="H902" t="s">
        <v>2380</v>
      </c>
      <c r="I902">
        <v>17</v>
      </c>
      <c r="K902" t="s">
        <v>4856</v>
      </c>
      <c r="L902">
        <v>46232</v>
      </c>
      <c r="M902">
        <v>87119</v>
      </c>
      <c r="N902">
        <v>1</v>
      </c>
      <c r="O902">
        <v>46232</v>
      </c>
      <c r="P902">
        <v>16</v>
      </c>
    </row>
    <row r="903" spans="1:16" x14ac:dyDescent="0.4">
      <c r="A903">
        <v>193</v>
      </c>
      <c r="B903" t="s">
        <v>4915</v>
      </c>
      <c r="D903" t="s">
        <v>4916</v>
      </c>
      <c r="G903" t="s">
        <v>2389</v>
      </c>
      <c r="H903" t="s">
        <v>2388</v>
      </c>
      <c r="I903">
        <v>17</v>
      </c>
      <c r="K903" t="s">
        <v>4854</v>
      </c>
      <c r="L903">
        <v>46232</v>
      </c>
      <c r="M903">
        <v>87119</v>
      </c>
      <c r="N903">
        <v>1</v>
      </c>
      <c r="O903">
        <v>46232</v>
      </c>
      <c r="P903">
        <v>16</v>
      </c>
    </row>
    <row r="904" spans="1:16" x14ac:dyDescent="0.4">
      <c r="A904">
        <v>195</v>
      </c>
      <c r="B904" t="s">
        <v>4915</v>
      </c>
      <c r="D904" t="s">
        <v>4916</v>
      </c>
      <c r="G904" t="s">
        <v>2393</v>
      </c>
      <c r="H904" t="s">
        <v>2392</v>
      </c>
      <c r="I904">
        <v>17</v>
      </c>
      <c r="K904" t="s">
        <v>4854</v>
      </c>
      <c r="L904">
        <v>46232</v>
      </c>
      <c r="M904">
        <v>87119</v>
      </c>
      <c r="N904">
        <v>1</v>
      </c>
      <c r="O904">
        <v>46232</v>
      </c>
      <c r="P904">
        <v>16</v>
      </c>
    </row>
    <row r="905" spans="1:16" x14ac:dyDescent="0.4">
      <c r="A905">
        <v>200</v>
      </c>
      <c r="B905" t="s">
        <v>4915</v>
      </c>
      <c r="D905" t="s">
        <v>4916</v>
      </c>
      <c r="G905" t="s">
        <v>2404</v>
      </c>
      <c r="H905" t="s">
        <v>2403</v>
      </c>
      <c r="I905">
        <v>17</v>
      </c>
      <c r="K905" t="s">
        <v>4857</v>
      </c>
      <c r="L905">
        <v>46232</v>
      </c>
      <c r="M905">
        <v>87119</v>
      </c>
      <c r="N905">
        <v>1</v>
      </c>
      <c r="O905">
        <v>46232</v>
      </c>
      <c r="P905">
        <v>16</v>
      </c>
    </row>
    <row r="906" spans="1:16" x14ac:dyDescent="0.4">
      <c r="A906">
        <v>185</v>
      </c>
      <c r="B906" t="s">
        <v>4915</v>
      </c>
      <c r="D906" t="s">
        <v>4916</v>
      </c>
      <c r="G906" t="s">
        <v>2369</v>
      </c>
      <c r="H906" t="s">
        <v>2368</v>
      </c>
      <c r="I906">
        <v>18</v>
      </c>
      <c r="K906" t="s">
        <v>4856</v>
      </c>
      <c r="L906">
        <v>46232</v>
      </c>
      <c r="M906">
        <v>87119</v>
      </c>
      <c r="N906">
        <v>1</v>
      </c>
      <c r="O906">
        <v>46232</v>
      </c>
      <c r="P906">
        <v>17</v>
      </c>
    </row>
    <row r="907" spans="1:16" x14ac:dyDescent="0.4">
      <c r="A907">
        <v>199</v>
      </c>
      <c r="B907" t="s">
        <v>4915</v>
      </c>
      <c r="D907" t="s">
        <v>4916</v>
      </c>
      <c r="G907" t="s">
        <v>2402</v>
      </c>
      <c r="H907" t="s">
        <v>2401</v>
      </c>
      <c r="I907">
        <v>19</v>
      </c>
      <c r="K907" t="s">
        <v>4857</v>
      </c>
      <c r="L907">
        <v>46232</v>
      </c>
      <c r="M907">
        <v>87119</v>
      </c>
      <c r="N907">
        <v>1</v>
      </c>
      <c r="O907">
        <v>46232</v>
      </c>
      <c r="P907">
        <v>18</v>
      </c>
    </row>
    <row r="908" spans="1:16" x14ac:dyDescent="0.4">
      <c r="A908">
        <v>183</v>
      </c>
      <c r="B908" t="s">
        <v>4915</v>
      </c>
      <c r="D908" t="s">
        <v>4916</v>
      </c>
      <c r="G908" t="s">
        <v>2318</v>
      </c>
      <c r="H908" t="s">
        <v>2317</v>
      </c>
      <c r="I908">
        <v>20</v>
      </c>
      <c r="K908" t="s">
        <v>4858</v>
      </c>
      <c r="L908">
        <v>46232</v>
      </c>
      <c r="M908">
        <v>87119</v>
      </c>
      <c r="N908">
        <v>1</v>
      </c>
      <c r="O908">
        <v>46232</v>
      </c>
      <c r="P908">
        <v>19</v>
      </c>
    </row>
    <row r="909" spans="1:16" x14ac:dyDescent="0.4">
      <c r="A909">
        <v>186</v>
      </c>
      <c r="B909" t="s">
        <v>4915</v>
      </c>
      <c r="D909" t="s">
        <v>4916</v>
      </c>
      <c r="G909" t="s">
        <v>2375</v>
      </c>
      <c r="H909" t="s">
        <v>2374</v>
      </c>
      <c r="I909">
        <v>20</v>
      </c>
      <c r="K909" t="s">
        <v>4856</v>
      </c>
      <c r="L909">
        <v>46232</v>
      </c>
      <c r="M909">
        <v>87119</v>
      </c>
      <c r="N909">
        <v>1</v>
      </c>
      <c r="O909">
        <v>46232</v>
      </c>
      <c r="P909">
        <v>19</v>
      </c>
    </row>
    <row r="910" spans="1:16" x14ac:dyDescent="0.4">
      <c r="A910">
        <v>191</v>
      </c>
      <c r="B910" t="s">
        <v>4915</v>
      </c>
      <c r="D910" t="s">
        <v>4916</v>
      </c>
      <c r="G910" t="s">
        <v>2385</v>
      </c>
      <c r="H910" t="s">
        <v>2384</v>
      </c>
      <c r="I910">
        <v>20</v>
      </c>
      <c r="K910" t="s">
        <v>4854</v>
      </c>
      <c r="L910">
        <v>46232</v>
      </c>
      <c r="M910">
        <v>87119</v>
      </c>
      <c r="N910">
        <v>1</v>
      </c>
      <c r="O910">
        <v>46232</v>
      </c>
      <c r="P910">
        <v>19</v>
      </c>
    </row>
    <row r="911" spans="1:16" x14ac:dyDescent="0.4">
      <c r="A911">
        <v>192</v>
      </c>
      <c r="B911" t="s">
        <v>4915</v>
      </c>
      <c r="D911" t="s">
        <v>4916</v>
      </c>
      <c r="G911" t="s">
        <v>2387</v>
      </c>
      <c r="H911" t="s">
        <v>2386</v>
      </c>
      <c r="I911">
        <v>20</v>
      </c>
      <c r="K911" t="s">
        <v>4854</v>
      </c>
      <c r="L911">
        <v>46232</v>
      </c>
      <c r="M911">
        <v>87119</v>
      </c>
      <c r="N911">
        <v>7</v>
      </c>
      <c r="O911">
        <v>46232</v>
      </c>
      <c r="P911">
        <v>13</v>
      </c>
    </row>
    <row r="912" spans="1:16" x14ac:dyDescent="0.4">
      <c r="A912">
        <v>198</v>
      </c>
      <c r="B912" t="s">
        <v>4915</v>
      </c>
      <c r="D912" t="s">
        <v>4916</v>
      </c>
      <c r="G912" t="s">
        <v>2399</v>
      </c>
      <c r="H912" t="s">
        <v>2398</v>
      </c>
      <c r="I912">
        <v>20</v>
      </c>
      <c r="K912" t="s">
        <v>4857</v>
      </c>
      <c r="L912">
        <v>46232</v>
      </c>
      <c r="M912">
        <v>87119</v>
      </c>
      <c r="N912">
        <v>1</v>
      </c>
      <c r="O912">
        <v>46232</v>
      </c>
      <c r="P912">
        <v>19</v>
      </c>
    </row>
    <row r="913" spans="1:16" x14ac:dyDescent="0.4">
      <c r="A913">
        <v>210</v>
      </c>
      <c r="B913" t="s">
        <v>4915</v>
      </c>
      <c r="D913" t="s">
        <v>4916</v>
      </c>
      <c r="G913" t="s">
        <v>2857</v>
      </c>
      <c r="H913" t="s">
        <v>2856</v>
      </c>
      <c r="I913">
        <v>20</v>
      </c>
      <c r="K913" t="s">
        <v>4933</v>
      </c>
      <c r="L913">
        <v>46232</v>
      </c>
      <c r="M913">
        <v>87119</v>
      </c>
      <c r="N913">
        <v>1</v>
      </c>
      <c r="O913">
        <v>46232</v>
      </c>
      <c r="P913">
        <v>19</v>
      </c>
    </row>
    <row r="914" spans="1:16" x14ac:dyDescent="0.4">
      <c r="A914">
        <v>184</v>
      </c>
      <c r="B914" t="s">
        <v>4915</v>
      </c>
      <c r="D914" t="s">
        <v>4916</v>
      </c>
      <c r="G914" t="s">
        <v>2322</v>
      </c>
      <c r="H914" t="s">
        <v>2321</v>
      </c>
      <c r="I914">
        <v>21</v>
      </c>
      <c r="K914" t="s">
        <v>4859</v>
      </c>
      <c r="L914">
        <v>46232</v>
      </c>
      <c r="M914">
        <v>87119</v>
      </c>
      <c r="N914">
        <v>1</v>
      </c>
      <c r="O914">
        <v>46232</v>
      </c>
      <c r="P914">
        <v>20</v>
      </c>
    </row>
    <row r="915" spans="1:16" x14ac:dyDescent="0.4">
      <c r="A915">
        <v>194</v>
      </c>
      <c r="B915" t="s">
        <v>4915</v>
      </c>
      <c r="D915" t="s">
        <v>4916</v>
      </c>
      <c r="G915" t="s">
        <v>2391</v>
      </c>
      <c r="H915" t="s">
        <v>2390</v>
      </c>
      <c r="I915">
        <v>22</v>
      </c>
      <c r="K915" t="s">
        <v>4854</v>
      </c>
      <c r="L915">
        <v>46232</v>
      </c>
      <c r="M915">
        <v>87119</v>
      </c>
      <c r="N915">
        <v>1</v>
      </c>
      <c r="O915">
        <v>46232</v>
      </c>
      <c r="P915">
        <v>21</v>
      </c>
    </row>
    <row r="916" spans="1:16" x14ac:dyDescent="0.4">
      <c r="A916">
        <v>224</v>
      </c>
      <c r="B916" t="s">
        <v>4915</v>
      </c>
      <c r="D916" t="s">
        <v>4916</v>
      </c>
      <c r="G916" t="s">
        <v>4648</v>
      </c>
      <c r="H916">
        <v>0</v>
      </c>
      <c r="I916">
        <v>23</v>
      </c>
      <c r="K916" t="s">
        <v>4860</v>
      </c>
      <c r="L916">
        <v>46232</v>
      </c>
      <c r="M916">
        <v>87119</v>
      </c>
      <c r="N916">
        <v>1</v>
      </c>
      <c r="O916">
        <v>46232</v>
      </c>
      <c r="P916">
        <v>22</v>
      </c>
    </row>
    <row r="917" spans="1:16" x14ac:dyDescent="0.4">
      <c r="A917">
        <v>188</v>
      </c>
      <c r="B917" t="s">
        <v>4915</v>
      </c>
      <c r="D917" t="s">
        <v>4916</v>
      </c>
      <c r="G917" t="s">
        <v>2379</v>
      </c>
      <c r="H917" t="s">
        <v>2378</v>
      </c>
      <c r="I917">
        <v>24</v>
      </c>
      <c r="K917" t="s">
        <v>4856</v>
      </c>
      <c r="L917">
        <v>46232</v>
      </c>
      <c r="M917">
        <v>87119</v>
      </c>
      <c r="N917">
        <v>2</v>
      </c>
      <c r="O917">
        <v>46232</v>
      </c>
      <c r="P917">
        <v>22</v>
      </c>
    </row>
    <row r="918" spans="1:16" x14ac:dyDescent="0.4">
      <c r="A918">
        <v>190</v>
      </c>
      <c r="B918" t="s">
        <v>4915</v>
      </c>
      <c r="D918" t="s">
        <v>4916</v>
      </c>
      <c r="G918" t="s">
        <v>2383</v>
      </c>
      <c r="H918" t="s">
        <v>2382</v>
      </c>
      <c r="I918">
        <v>24</v>
      </c>
      <c r="K918" t="s">
        <v>4856</v>
      </c>
      <c r="L918">
        <v>46232</v>
      </c>
      <c r="M918">
        <v>87119</v>
      </c>
      <c r="N918">
        <v>1</v>
      </c>
      <c r="O918">
        <v>46232</v>
      </c>
      <c r="P918">
        <v>23</v>
      </c>
    </row>
    <row r="919" spans="1:16" x14ac:dyDescent="0.4">
      <c r="A919">
        <v>180</v>
      </c>
      <c r="B919" t="s">
        <v>4915</v>
      </c>
      <c r="D919" t="s">
        <v>4916</v>
      </c>
      <c r="G919" t="s">
        <v>2305</v>
      </c>
      <c r="H919" t="s">
        <v>2304</v>
      </c>
      <c r="I919">
        <v>27</v>
      </c>
      <c r="K919" t="s">
        <v>4859</v>
      </c>
      <c r="L919">
        <v>46232</v>
      </c>
      <c r="M919">
        <v>87119</v>
      </c>
      <c r="N919">
        <v>1</v>
      </c>
      <c r="O919">
        <v>46232</v>
      </c>
      <c r="P919">
        <v>26</v>
      </c>
    </row>
    <row r="920" spans="1:16" x14ac:dyDescent="0.4">
      <c r="A920">
        <v>182</v>
      </c>
      <c r="B920" t="s">
        <v>4915</v>
      </c>
      <c r="D920" t="s">
        <v>4916</v>
      </c>
      <c r="G920" t="s">
        <v>2307</v>
      </c>
      <c r="H920" t="s">
        <v>2306</v>
      </c>
      <c r="I920">
        <v>27</v>
      </c>
      <c r="K920" t="s">
        <v>4859</v>
      </c>
      <c r="L920">
        <v>46232</v>
      </c>
      <c r="M920">
        <v>87119</v>
      </c>
      <c r="N920">
        <v>1</v>
      </c>
      <c r="O920">
        <v>46232</v>
      </c>
      <c r="P920">
        <v>26</v>
      </c>
    </row>
    <row r="921" spans="1:16" x14ac:dyDescent="0.4">
      <c r="A921">
        <v>207</v>
      </c>
      <c r="B921" t="s">
        <v>4915</v>
      </c>
      <c r="D921" t="s">
        <v>4916</v>
      </c>
      <c r="G921" t="s">
        <v>51</v>
      </c>
      <c r="H921" t="s">
        <v>50</v>
      </c>
      <c r="I921">
        <v>46</v>
      </c>
      <c r="K921" t="s">
        <v>4861</v>
      </c>
      <c r="L921">
        <v>46232</v>
      </c>
      <c r="M921">
        <v>87119</v>
      </c>
      <c r="N921">
        <v>1</v>
      </c>
      <c r="O921">
        <v>46232</v>
      </c>
      <c r="P921">
        <v>45</v>
      </c>
    </row>
    <row r="922" spans="1:16" x14ac:dyDescent="0.4">
      <c r="A922">
        <v>219</v>
      </c>
      <c r="B922" t="s">
        <v>4915</v>
      </c>
      <c r="D922" t="s">
        <v>4916</v>
      </c>
      <c r="G922" t="s">
        <v>4644</v>
      </c>
      <c r="H922">
        <v>0</v>
      </c>
      <c r="I922">
        <v>48</v>
      </c>
      <c r="K922" t="s">
        <v>4860</v>
      </c>
      <c r="L922">
        <v>46232</v>
      </c>
      <c r="M922">
        <v>87119</v>
      </c>
      <c r="N922">
        <v>1</v>
      </c>
      <c r="O922">
        <v>46232</v>
      </c>
      <c r="P922">
        <v>47</v>
      </c>
    </row>
    <row r="923" spans="1:16" x14ac:dyDescent="0.4">
      <c r="A923">
        <v>213</v>
      </c>
      <c r="B923" t="s">
        <v>4915</v>
      </c>
      <c r="D923" t="s">
        <v>4916</v>
      </c>
      <c r="G923" t="s">
        <v>2831</v>
      </c>
      <c r="H923" t="s">
        <v>2830</v>
      </c>
      <c r="I923">
        <v>49</v>
      </c>
      <c r="K923" t="s">
        <v>4862</v>
      </c>
      <c r="L923">
        <v>46232</v>
      </c>
      <c r="M923">
        <v>87119</v>
      </c>
      <c r="N923">
        <v>1</v>
      </c>
      <c r="O923">
        <v>46232</v>
      </c>
      <c r="P923">
        <v>48</v>
      </c>
    </row>
    <row r="924" spans="1:16" x14ac:dyDescent="0.4">
      <c r="A924">
        <v>235</v>
      </c>
      <c r="B924" t="s">
        <v>4915</v>
      </c>
      <c r="D924" t="s">
        <v>4916</v>
      </c>
      <c r="G924" t="s">
        <v>2159</v>
      </c>
      <c r="H924" t="s">
        <v>2158</v>
      </c>
      <c r="I924">
        <v>68</v>
      </c>
      <c r="K924" t="s">
        <v>4863</v>
      </c>
      <c r="L924">
        <v>46232</v>
      </c>
      <c r="M924">
        <v>87119</v>
      </c>
      <c r="N924">
        <v>2</v>
      </c>
      <c r="O924">
        <v>46232</v>
      </c>
      <c r="P924">
        <v>66</v>
      </c>
    </row>
    <row r="925" spans="1:16" x14ac:dyDescent="0.4">
      <c r="A925">
        <v>221</v>
      </c>
      <c r="B925" t="s">
        <v>4915</v>
      </c>
      <c r="D925" t="s">
        <v>4916</v>
      </c>
      <c r="G925" t="s">
        <v>4845</v>
      </c>
      <c r="H925" t="s">
        <v>4934</v>
      </c>
      <c r="I925">
        <v>88</v>
      </c>
      <c r="K925" t="s">
        <v>4864</v>
      </c>
      <c r="L925">
        <v>46232</v>
      </c>
      <c r="M925">
        <v>87119</v>
      </c>
      <c r="N925">
        <v>1</v>
      </c>
      <c r="O925">
        <v>46232</v>
      </c>
      <c r="P925">
        <v>87</v>
      </c>
    </row>
    <row r="926" spans="1:16" x14ac:dyDescent="0.4">
      <c r="A926">
        <v>177</v>
      </c>
      <c r="B926" t="s">
        <v>4915</v>
      </c>
      <c r="D926" t="s">
        <v>4916</v>
      </c>
      <c r="G926" t="s">
        <v>2286</v>
      </c>
      <c r="H926" t="s">
        <v>2285</v>
      </c>
      <c r="I926">
        <v>91</v>
      </c>
      <c r="K926" t="s">
        <v>4865</v>
      </c>
      <c r="L926">
        <v>46232</v>
      </c>
      <c r="M926">
        <v>87119</v>
      </c>
      <c r="N926">
        <v>1</v>
      </c>
      <c r="O926">
        <v>46232</v>
      </c>
      <c r="P926">
        <v>90</v>
      </c>
    </row>
    <row r="927" spans="1:16" x14ac:dyDescent="0.4">
      <c r="A927">
        <v>176</v>
      </c>
      <c r="B927" t="s">
        <v>4915</v>
      </c>
      <c r="D927" t="s">
        <v>4916</v>
      </c>
      <c r="G927" t="s">
        <v>2282</v>
      </c>
      <c r="H927" t="s">
        <v>2281</v>
      </c>
      <c r="I927">
        <v>98</v>
      </c>
      <c r="K927" t="s">
        <v>4865</v>
      </c>
      <c r="L927">
        <v>46232</v>
      </c>
      <c r="M927">
        <v>87119</v>
      </c>
      <c r="N927">
        <v>1</v>
      </c>
      <c r="O927">
        <v>46232</v>
      </c>
      <c r="P927">
        <v>97</v>
      </c>
    </row>
    <row r="928" spans="1:16" x14ac:dyDescent="0.4">
      <c r="A928">
        <v>179</v>
      </c>
      <c r="B928" t="s">
        <v>4915</v>
      </c>
      <c r="D928" t="s">
        <v>4916</v>
      </c>
      <c r="G928" t="s">
        <v>2290</v>
      </c>
      <c r="H928" t="s">
        <v>2289</v>
      </c>
      <c r="I928">
        <v>98</v>
      </c>
      <c r="K928" t="s">
        <v>4866</v>
      </c>
      <c r="L928">
        <v>46232</v>
      </c>
      <c r="M928">
        <v>87119</v>
      </c>
      <c r="N928">
        <v>3</v>
      </c>
      <c r="O928">
        <v>46232</v>
      </c>
      <c r="P928">
        <v>95</v>
      </c>
    </row>
    <row r="929" spans="1:16" x14ac:dyDescent="0.4">
      <c r="A929">
        <v>201</v>
      </c>
      <c r="B929" t="s">
        <v>4915</v>
      </c>
      <c r="D929" t="s">
        <v>4916</v>
      </c>
      <c r="G929" t="s">
        <v>1624</v>
      </c>
      <c r="H929" t="s">
        <v>1623</v>
      </c>
      <c r="I929">
        <v>98</v>
      </c>
      <c r="K929" t="s">
        <v>4867</v>
      </c>
      <c r="L929">
        <v>46232</v>
      </c>
      <c r="M929">
        <v>87119</v>
      </c>
      <c r="N929">
        <v>1</v>
      </c>
      <c r="O929">
        <v>46232</v>
      </c>
      <c r="P929">
        <v>97</v>
      </c>
    </row>
    <row r="930" spans="1:16" x14ac:dyDescent="0.4">
      <c r="A930">
        <v>181</v>
      </c>
      <c r="B930" t="s">
        <v>4915</v>
      </c>
      <c r="D930" t="s">
        <v>4916</v>
      </c>
      <c r="G930" t="s">
        <v>2128</v>
      </c>
      <c r="H930" t="s">
        <v>2127</v>
      </c>
      <c r="I930">
        <v>99</v>
      </c>
      <c r="K930" t="s">
        <v>4852</v>
      </c>
      <c r="L930">
        <v>46232</v>
      </c>
      <c r="M930">
        <v>87119</v>
      </c>
      <c r="N930">
        <v>1</v>
      </c>
      <c r="O930">
        <v>46232</v>
      </c>
      <c r="P930">
        <v>98</v>
      </c>
    </row>
    <row r="931" spans="1:16" x14ac:dyDescent="0.4">
      <c r="A931">
        <v>203</v>
      </c>
      <c r="B931" t="s">
        <v>4915</v>
      </c>
      <c r="D931" t="s">
        <v>4916</v>
      </c>
      <c r="G931" t="s">
        <v>2350</v>
      </c>
      <c r="H931" t="s">
        <v>2349</v>
      </c>
      <c r="I931">
        <v>100</v>
      </c>
      <c r="K931" t="s">
        <v>4868</v>
      </c>
      <c r="L931">
        <v>46232</v>
      </c>
      <c r="M931">
        <v>87119</v>
      </c>
      <c r="N931">
        <v>1</v>
      </c>
      <c r="O931">
        <v>46232</v>
      </c>
      <c r="P931">
        <v>99</v>
      </c>
    </row>
    <row r="932" spans="1:16" x14ac:dyDescent="0.4">
      <c r="A932">
        <v>178</v>
      </c>
      <c r="B932" t="s">
        <v>4915</v>
      </c>
      <c r="D932" t="s">
        <v>4916</v>
      </c>
      <c r="G932" t="s">
        <v>2288</v>
      </c>
      <c r="H932" t="s">
        <v>2287</v>
      </c>
      <c r="I932">
        <v>102</v>
      </c>
      <c r="K932" t="s">
        <v>4865</v>
      </c>
      <c r="L932">
        <v>46232</v>
      </c>
      <c r="M932">
        <v>87119</v>
      </c>
      <c r="N932">
        <v>1</v>
      </c>
      <c r="O932">
        <v>46232</v>
      </c>
      <c r="P932">
        <v>101</v>
      </c>
    </row>
    <row r="933" spans="1:16" x14ac:dyDescent="0.4">
      <c r="A933">
        <v>233</v>
      </c>
      <c r="B933" t="s">
        <v>4915</v>
      </c>
      <c r="D933" t="s">
        <v>4916</v>
      </c>
      <c r="G933" t="s">
        <v>2152</v>
      </c>
      <c r="H933" t="s">
        <v>2151</v>
      </c>
      <c r="I933">
        <v>119</v>
      </c>
      <c r="K933" t="s">
        <v>4850</v>
      </c>
      <c r="L933">
        <v>46232</v>
      </c>
      <c r="M933">
        <v>87119</v>
      </c>
      <c r="N933">
        <v>2</v>
      </c>
      <c r="O933">
        <v>46232</v>
      </c>
      <c r="P933">
        <v>117</v>
      </c>
    </row>
    <row r="934" spans="1:16" x14ac:dyDescent="0.4">
      <c r="A934">
        <v>209</v>
      </c>
      <c r="B934" t="s">
        <v>4915</v>
      </c>
      <c r="D934" t="s">
        <v>4916</v>
      </c>
      <c r="G934" t="s">
        <v>4843</v>
      </c>
      <c r="H934" t="s">
        <v>2775</v>
      </c>
      <c r="I934">
        <v>125</v>
      </c>
      <c r="K934" t="s">
        <v>4869</v>
      </c>
      <c r="L934">
        <v>46232</v>
      </c>
      <c r="M934">
        <v>87119</v>
      </c>
      <c r="N934">
        <v>1</v>
      </c>
      <c r="O934">
        <v>46232</v>
      </c>
      <c r="P934">
        <v>124</v>
      </c>
    </row>
    <row r="935" spans="1:16" x14ac:dyDescent="0.4">
      <c r="A935">
        <v>211</v>
      </c>
      <c r="B935" t="s">
        <v>4915</v>
      </c>
      <c r="D935" t="s">
        <v>4916</v>
      </c>
      <c r="G935" t="s">
        <v>2826</v>
      </c>
      <c r="H935" t="s">
        <v>2825</v>
      </c>
      <c r="I935">
        <v>132</v>
      </c>
      <c r="K935" t="s">
        <v>4870</v>
      </c>
      <c r="L935">
        <v>46232</v>
      </c>
      <c r="M935">
        <v>87119</v>
      </c>
      <c r="N935">
        <v>1</v>
      </c>
      <c r="O935">
        <v>46232</v>
      </c>
      <c r="P935">
        <v>131</v>
      </c>
    </row>
    <row r="936" spans="1:16" x14ac:dyDescent="0.4">
      <c r="A936">
        <v>232</v>
      </c>
      <c r="B936" t="s">
        <v>4915</v>
      </c>
      <c r="D936" t="s">
        <v>4916</v>
      </c>
      <c r="G936" t="s">
        <v>2150</v>
      </c>
      <c r="H936" t="s">
        <v>2149</v>
      </c>
      <c r="I936">
        <v>177</v>
      </c>
      <c r="K936" t="s">
        <v>4850</v>
      </c>
      <c r="L936">
        <v>46232</v>
      </c>
      <c r="M936">
        <v>87119</v>
      </c>
      <c r="N936">
        <v>1</v>
      </c>
      <c r="O936">
        <v>46232</v>
      </c>
      <c r="P936">
        <v>176</v>
      </c>
    </row>
    <row r="937" spans="1:16" x14ac:dyDescent="0.4">
      <c r="A937">
        <v>223</v>
      </c>
      <c r="B937" t="s">
        <v>4915</v>
      </c>
      <c r="D937" t="s">
        <v>4916</v>
      </c>
      <c r="G937" t="s">
        <v>2256</v>
      </c>
      <c r="H937" t="s">
        <v>2255</v>
      </c>
      <c r="I937">
        <v>178</v>
      </c>
      <c r="K937" t="s">
        <v>4871</v>
      </c>
      <c r="L937">
        <v>46232</v>
      </c>
      <c r="M937">
        <v>87119</v>
      </c>
      <c r="N937">
        <v>1</v>
      </c>
      <c r="O937">
        <v>46232</v>
      </c>
      <c r="P937">
        <v>177</v>
      </c>
    </row>
    <row r="938" spans="1:16" x14ac:dyDescent="0.4">
      <c r="A938">
        <v>225</v>
      </c>
      <c r="B938" t="s">
        <v>4915</v>
      </c>
      <c r="D938" t="s">
        <v>4916</v>
      </c>
      <c r="G938" t="s">
        <v>2125</v>
      </c>
      <c r="H938" t="s">
        <v>2124</v>
      </c>
      <c r="I938">
        <v>221</v>
      </c>
      <c r="K938" t="s">
        <v>4852</v>
      </c>
      <c r="L938">
        <v>46232</v>
      </c>
      <c r="M938">
        <v>87119</v>
      </c>
      <c r="N938">
        <v>1</v>
      </c>
      <c r="O938">
        <v>46232</v>
      </c>
      <c r="P938">
        <v>220</v>
      </c>
    </row>
    <row r="939" spans="1:16" x14ac:dyDescent="0.4">
      <c r="A939">
        <v>226</v>
      </c>
      <c r="B939" t="s">
        <v>4915</v>
      </c>
      <c r="D939" t="s">
        <v>4916</v>
      </c>
      <c r="G939" t="s">
        <v>2130</v>
      </c>
      <c r="H939" t="s">
        <v>2129</v>
      </c>
      <c r="I939">
        <v>232</v>
      </c>
      <c r="K939" t="s">
        <v>4852</v>
      </c>
      <c r="L939">
        <v>46232</v>
      </c>
      <c r="M939">
        <v>87119</v>
      </c>
      <c r="N939">
        <v>2</v>
      </c>
      <c r="O939">
        <v>46232</v>
      </c>
      <c r="P939">
        <v>230</v>
      </c>
    </row>
    <row r="940" spans="1:16" x14ac:dyDescent="0.4">
      <c r="A940">
        <v>212</v>
      </c>
      <c r="B940" t="s">
        <v>4915</v>
      </c>
      <c r="D940" t="s">
        <v>4916</v>
      </c>
      <c r="G940" t="s">
        <v>2828</v>
      </c>
      <c r="H940" t="s">
        <v>2827</v>
      </c>
      <c r="I940">
        <v>233</v>
      </c>
      <c r="K940" t="s">
        <v>4862</v>
      </c>
      <c r="L940">
        <v>46232</v>
      </c>
      <c r="M940">
        <v>87119</v>
      </c>
      <c r="N940">
        <v>1</v>
      </c>
      <c r="O940">
        <v>46232</v>
      </c>
      <c r="P940">
        <v>232</v>
      </c>
    </row>
    <row r="941" spans="1:16" x14ac:dyDescent="0.4">
      <c r="A941">
        <v>234</v>
      </c>
      <c r="B941" t="s">
        <v>4915</v>
      </c>
      <c r="D941" t="s">
        <v>4916</v>
      </c>
      <c r="G941" t="s">
        <v>2155</v>
      </c>
      <c r="H941" t="s">
        <v>2154</v>
      </c>
      <c r="I941">
        <v>248</v>
      </c>
      <c r="K941" t="s">
        <v>4863</v>
      </c>
      <c r="L941">
        <v>46232</v>
      </c>
      <c r="M941">
        <v>87119</v>
      </c>
      <c r="N941">
        <v>1</v>
      </c>
      <c r="O941">
        <v>46232</v>
      </c>
      <c r="P941">
        <v>247</v>
      </c>
    </row>
    <row r="942" spans="1:16" x14ac:dyDescent="0.4">
      <c r="A942">
        <v>228</v>
      </c>
      <c r="B942" t="s">
        <v>4915</v>
      </c>
      <c r="D942" t="s">
        <v>4916</v>
      </c>
      <c r="G942" t="s">
        <v>2134</v>
      </c>
      <c r="H942" t="s">
        <v>2133</v>
      </c>
      <c r="I942">
        <v>300</v>
      </c>
      <c r="K942" t="s">
        <v>4852</v>
      </c>
      <c r="L942">
        <v>46232</v>
      </c>
      <c r="M942">
        <v>87119</v>
      </c>
      <c r="N942">
        <v>1</v>
      </c>
      <c r="O942">
        <v>46232</v>
      </c>
      <c r="P942">
        <v>299</v>
      </c>
    </row>
    <row r="943" spans="1:16" x14ac:dyDescent="0.4">
      <c r="A943">
        <v>218</v>
      </c>
      <c r="B943" t="s">
        <v>4915</v>
      </c>
      <c r="D943" t="s">
        <v>4916</v>
      </c>
      <c r="G943" t="s">
        <v>2236</v>
      </c>
      <c r="H943" t="s">
        <v>2235</v>
      </c>
      <c r="I943">
        <v>308</v>
      </c>
      <c r="K943" t="s">
        <v>4851</v>
      </c>
      <c r="L943">
        <v>46232</v>
      </c>
      <c r="M943">
        <v>87119</v>
      </c>
      <c r="N943">
        <v>1</v>
      </c>
      <c r="O943">
        <v>46232</v>
      </c>
      <c r="P943">
        <v>307</v>
      </c>
    </row>
    <row r="944" spans="1:16" x14ac:dyDescent="0.4">
      <c r="A944">
        <v>222</v>
      </c>
      <c r="B944" t="s">
        <v>4915</v>
      </c>
      <c r="D944" t="s">
        <v>4916</v>
      </c>
      <c r="G944" t="s">
        <v>2254</v>
      </c>
      <c r="H944" t="s">
        <v>2253</v>
      </c>
      <c r="I944">
        <v>335</v>
      </c>
      <c r="K944" t="s">
        <v>4851</v>
      </c>
      <c r="L944">
        <v>46232</v>
      </c>
      <c r="M944">
        <v>87119</v>
      </c>
      <c r="N944">
        <v>2</v>
      </c>
      <c r="O944">
        <v>46232</v>
      </c>
      <c r="P944">
        <v>333</v>
      </c>
    </row>
    <row r="945" spans="1:16" x14ac:dyDescent="0.4">
      <c r="A945">
        <v>205</v>
      </c>
      <c r="B945" t="s">
        <v>4915</v>
      </c>
      <c r="D945" t="s">
        <v>4916</v>
      </c>
      <c r="G945" t="s">
        <v>969</v>
      </c>
      <c r="H945" t="s">
        <v>4931</v>
      </c>
      <c r="I945">
        <v>400</v>
      </c>
      <c r="K945" t="s">
        <v>4932</v>
      </c>
      <c r="L945">
        <v>46232</v>
      </c>
      <c r="M945">
        <v>87119</v>
      </c>
      <c r="N945">
        <v>1</v>
      </c>
      <c r="O945">
        <v>46232</v>
      </c>
      <c r="P945">
        <v>399</v>
      </c>
    </row>
    <row r="946" spans="1:16" x14ac:dyDescent="0.4">
      <c r="A946">
        <v>208</v>
      </c>
      <c r="B946" t="s">
        <v>4915</v>
      </c>
      <c r="D946" t="s">
        <v>4916</v>
      </c>
      <c r="G946" t="s">
        <v>2757</v>
      </c>
      <c r="H946" t="s">
        <v>2756</v>
      </c>
      <c r="I946">
        <v>583</v>
      </c>
      <c r="K946" t="s">
        <v>4872</v>
      </c>
      <c r="L946">
        <v>46232</v>
      </c>
      <c r="M946">
        <v>87119</v>
      </c>
      <c r="N946">
        <v>1</v>
      </c>
      <c r="O946">
        <v>46232</v>
      </c>
      <c r="P946">
        <v>582</v>
      </c>
    </row>
    <row r="947" spans="1:16" x14ac:dyDescent="0.4">
      <c r="A947">
        <v>231</v>
      </c>
      <c r="B947" t="s">
        <v>4915</v>
      </c>
      <c r="D947" t="s">
        <v>4916</v>
      </c>
      <c r="G947" t="s">
        <v>2148</v>
      </c>
      <c r="H947" t="s">
        <v>2147</v>
      </c>
      <c r="I947">
        <v>597</v>
      </c>
      <c r="K947" t="s">
        <v>4863</v>
      </c>
      <c r="L947">
        <v>46232</v>
      </c>
      <c r="M947">
        <v>87119</v>
      </c>
      <c r="N947">
        <v>1</v>
      </c>
      <c r="O947">
        <v>46232</v>
      </c>
      <c r="P947">
        <v>596</v>
      </c>
    </row>
    <row r="948" spans="1:16" x14ac:dyDescent="0.4">
      <c r="A948">
        <v>230</v>
      </c>
      <c r="B948" t="s">
        <v>4915</v>
      </c>
      <c r="D948" t="s">
        <v>4916</v>
      </c>
      <c r="G948" t="s">
        <v>2145</v>
      </c>
      <c r="H948" t="s">
        <v>2144</v>
      </c>
      <c r="I948">
        <v>713</v>
      </c>
      <c r="K948" t="s">
        <v>4863</v>
      </c>
      <c r="L948">
        <v>46232</v>
      </c>
      <c r="M948">
        <v>87119</v>
      </c>
      <c r="N948">
        <v>1</v>
      </c>
      <c r="O948">
        <v>46232</v>
      </c>
      <c r="P948">
        <v>712</v>
      </c>
    </row>
    <row r="949" spans="1:16" x14ac:dyDescent="0.4">
      <c r="A949">
        <v>206</v>
      </c>
      <c r="B949" t="s">
        <v>4915</v>
      </c>
      <c r="D949" t="s">
        <v>4916</v>
      </c>
      <c r="G949" t="s">
        <v>29</v>
      </c>
      <c r="H949" t="s">
        <v>28</v>
      </c>
      <c r="I949">
        <v>982</v>
      </c>
      <c r="K949" t="s">
        <v>4861</v>
      </c>
      <c r="L949">
        <v>46232</v>
      </c>
      <c r="M949">
        <v>87119</v>
      </c>
      <c r="N949">
        <v>1</v>
      </c>
      <c r="O949">
        <v>46232</v>
      </c>
      <c r="P949">
        <v>981</v>
      </c>
    </row>
    <row r="950" spans="1:16" x14ac:dyDescent="0.4">
      <c r="A950">
        <v>229</v>
      </c>
      <c r="B950" t="s">
        <v>4915</v>
      </c>
      <c r="D950" t="s">
        <v>4916</v>
      </c>
      <c r="G950" t="s">
        <v>2136</v>
      </c>
      <c r="H950" t="s">
        <v>2135</v>
      </c>
      <c r="I950">
        <v>1018</v>
      </c>
      <c r="K950" t="s">
        <v>4852</v>
      </c>
      <c r="L950">
        <v>46232</v>
      </c>
      <c r="M950">
        <v>87119</v>
      </c>
      <c r="N950">
        <v>1</v>
      </c>
      <c r="O950">
        <v>46232</v>
      </c>
      <c r="P950">
        <v>1017</v>
      </c>
    </row>
    <row r="951" spans="1:16" x14ac:dyDescent="0.4">
      <c r="A951">
        <v>2314</v>
      </c>
      <c r="B951" t="s">
        <v>4915</v>
      </c>
      <c r="G951" t="s">
        <v>3459</v>
      </c>
      <c r="H951" t="s">
        <v>3458</v>
      </c>
      <c r="I951">
        <v>10</v>
      </c>
      <c r="K951" t="s">
        <v>5050</v>
      </c>
      <c r="L951">
        <v>46302</v>
      </c>
      <c r="M951">
        <v>87808</v>
      </c>
      <c r="N951">
        <v>8</v>
      </c>
      <c r="O951">
        <v>46296</v>
      </c>
      <c r="P951">
        <v>2</v>
      </c>
    </row>
    <row r="952" spans="1:16" x14ac:dyDescent="0.4">
      <c r="A952">
        <v>89</v>
      </c>
      <c r="B952" t="s">
        <v>4915</v>
      </c>
      <c r="G952" t="s">
        <v>3793</v>
      </c>
      <c r="H952" t="s">
        <v>3792</v>
      </c>
      <c r="I952">
        <v>417</v>
      </c>
      <c r="K952" t="s">
        <v>4740</v>
      </c>
      <c r="L952">
        <v>46224</v>
      </c>
      <c r="M952">
        <v>87813</v>
      </c>
      <c r="N952">
        <v>5</v>
      </c>
      <c r="O952">
        <v>46234</v>
      </c>
      <c r="P952">
        <v>412</v>
      </c>
    </row>
    <row r="953" spans="1:16" x14ac:dyDescent="0.4">
      <c r="A953">
        <v>270</v>
      </c>
      <c r="B953" t="s">
        <v>4915</v>
      </c>
      <c r="G953" t="s">
        <v>2857</v>
      </c>
      <c r="H953" t="s">
        <v>2856</v>
      </c>
      <c r="I953">
        <v>19</v>
      </c>
      <c r="K953" t="s">
        <v>4933</v>
      </c>
      <c r="L953">
        <v>46232</v>
      </c>
      <c r="M953">
        <v>89084</v>
      </c>
      <c r="N953">
        <v>10</v>
      </c>
      <c r="O953">
        <v>46238</v>
      </c>
      <c r="P953">
        <v>9</v>
      </c>
    </row>
    <row r="954" spans="1:16" x14ac:dyDescent="0.4">
      <c r="A954">
        <v>731</v>
      </c>
      <c r="B954" t="s">
        <v>4915</v>
      </c>
      <c r="D954" t="s">
        <v>4901</v>
      </c>
      <c r="G954" t="s">
        <v>2857</v>
      </c>
      <c r="H954" t="s">
        <v>2856</v>
      </c>
      <c r="I954">
        <v>150</v>
      </c>
      <c r="K954" t="s">
        <v>4933</v>
      </c>
      <c r="L954">
        <v>46240</v>
      </c>
      <c r="M954">
        <v>89084</v>
      </c>
      <c r="N954">
        <v>20</v>
      </c>
      <c r="O954">
        <v>46240</v>
      </c>
      <c r="P954">
        <v>130</v>
      </c>
    </row>
    <row r="955" spans="1:16" x14ac:dyDescent="0.4">
      <c r="A955">
        <v>138</v>
      </c>
      <c r="B955" t="s">
        <v>4915</v>
      </c>
      <c r="G955" t="s">
        <v>4008</v>
      </c>
      <c r="H955" t="s">
        <v>4007</v>
      </c>
      <c r="I955">
        <v>4</v>
      </c>
      <c r="K955" t="s">
        <v>4002</v>
      </c>
      <c r="L955">
        <v>46224</v>
      </c>
      <c r="M955">
        <v>90249</v>
      </c>
      <c r="N955">
        <v>4</v>
      </c>
      <c r="O955">
        <v>46253</v>
      </c>
      <c r="P955">
        <v>0</v>
      </c>
    </row>
    <row r="956" spans="1:16" x14ac:dyDescent="0.4">
      <c r="A956">
        <v>147</v>
      </c>
      <c r="B956" t="s">
        <v>4915</v>
      </c>
      <c r="G956" t="s">
        <v>3806</v>
      </c>
      <c r="H956" t="s">
        <v>4923</v>
      </c>
      <c r="I956">
        <v>4</v>
      </c>
      <c r="K956" t="s">
        <v>4832</v>
      </c>
      <c r="L956">
        <v>46226</v>
      </c>
      <c r="M956">
        <v>90249</v>
      </c>
      <c r="N956">
        <v>4</v>
      </c>
      <c r="O956">
        <v>46253</v>
      </c>
      <c r="P956">
        <v>0</v>
      </c>
    </row>
    <row r="957" spans="1:16" x14ac:dyDescent="0.4">
      <c r="A957">
        <v>125</v>
      </c>
      <c r="B957" t="s">
        <v>4915</v>
      </c>
      <c r="G957" t="s">
        <v>4010</v>
      </c>
      <c r="H957" t="s">
        <v>4009</v>
      </c>
      <c r="I957">
        <v>13</v>
      </c>
      <c r="K957" t="s">
        <v>4002</v>
      </c>
      <c r="L957">
        <v>46224</v>
      </c>
      <c r="M957">
        <v>90249</v>
      </c>
      <c r="N957">
        <v>3</v>
      </c>
      <c r="O957">
        <v>46253</v>
      </c>
      <c r="P957">
        <v>10</v>
      </c>
    </row>
    <row r="958" spans="1:16" x14ac:dyDescent="0.4">
      <c r="A958">
        <v>363</v>
      </c>
      <c r="B958" t="s">
        <v>4915</v>
      </c>
      <c r="D958" t="s">
        <v>4901</v>
      </c>
      <c r="G958" t="s">
        <v>4621</v>
      </c>
      <c r="H958">
        <v>0</v>
      </c>
      <c r="I958">
        <v>14</v>
      </c>
      <c r="K958" t="s">
        <v>4088</v>
      </c>
      <c r="L958">
        <v>46233</v>
      </c>
      <c r="M958">
        <v>90249</v>
      </c>
      <c r="N958">
        <v>3</v>
      </c>
      <c r="O958">
        <v>46253</v>
      </c>
      <c r="P958">
        <v>11</v>
      </c>
    </row>
    <row r="959" spans="1:16" x14ac:dyDescent="0.4">
      <c r="A959">
        <v>503</v>
      </c>
      <c r="B959" t="s">
        <v>4915</v>
      </c>
      <c r="D959" t="s">
        <v>4901</v>
      </c>
      <c r="E959" t="s">
        <v>4936</v>
      </c>
      <c r="F959" t="s">
        <v>4937</v>
      </c>
      <c r="G959" t="s">
        <v>4604</v>
      </c>
      <c r="H959">
        <v>0</v>
      </c>
      <c r="I959">
        <v>18</v>
      </c>
      <c r="K959" t="s">
        <v>4061</v>
      </c>
      <c r="L959">
        <v>46261</v>
      </c>
      <c r="M959">
        <v>90249</v>
      </c>
      <c r="N959">
        <v>4</v>
      </c>
      <c r="O959">
        <v>46268</v>
      </c>
      <c r="P959">
        <v>14</v>
      </c>
    </row>
    <row r="960" spans="1:16" x14ac:dyDescent="0.4">
      <c r="A960">
        <v>107</v>
      </c>
      <c r="B960" t="s">
        <v>4915</v>
      </c>
      <c r="G960" t="s">
        <v>3912</v>
      </c>
      <c r="H960" t="s">
        <v>3911</v>
      </c>
      <c r="I960">
        <v>26</v>
      </c>
      <c r="K960" t="s">
        <v>3913</v>
      </c>
      <c r="L960">
        <v>46224</v>
      </c>
      <c r="M960">
        <v>90249</v>
      </c>
      <c r="N960">
        <v>2</v>
      </c>
      <c r="O960">
        <v>46253</v>
      </c>
      <c r="P960">
        <v>24</v>
      </c>
    </row>
    <row r="961" spans="1:16" x14ac:dyDescent="0.4">
      <c r="A961">
        <v>127</v>
      </c>
      <c r="B961" t="s">
        <v>4915</v>
      </c>
      <c r="G961" t="s">
        <v>3960</v>
      </c>
      <c r="H961" t="s">
        <v>3959</v>
      </c>
      <c r="I961">
        <v>33</v>
      </c>
      <c r="K961" t="s">
        <v>3961</v>
      </c>
      <c r="L961">
        <v>46224</v>
      </c>
      <c r="M961">
        <v>90249</v>
      </c>
      <c r="N961">
        <v>8</v>
      </c>
      <c r="O961">
        <v>46253</v>
      </c>
      <c r="P961">
        <v>25</v>
      </c>
    </row>
    <row r="962" spans="1:16" x14ac:dyDescent="0.4">
      <c r="A962">
        <v>113</v>
      </c>
      <c r="B962" t="s">
        <v>4915</v>
      </c>
      <c r="G962" t="s">
        <v>3900</v>
      </c>
      <c r="H962" t="s">
        <v>3899</v>
      </c>
      <c r="I962">
        <v>49</v>
      </c>
      <c r="K962" t="s">
        <v>4739</v>
      </c>
      <c r="L962">
        <v>46224</v>
      </c>
      <c r="M962">
        <v>90249</v>
      </c>
      <c r="N962">
        <v>2</v>
      </c>
      <c r="O962">
        <v>46253</v>
      </c>
      <c r="P962">
        <v>47</v>
      </c>
    </row>
    <row r="963" spans="1:16" x14ac:dyDescent="0.4">
      <c r="A963">
        <v>378</v>
      </c>
      <c r="B963" t="s">
        <v>4915</v>
      </c>
      <c r="G963" t="s">
        <v>3966</v>
      </c>
      <c r="H963" t="s">
        <v>3965</v>
      </c>
      <c r="I963">
        <v>51</v>
      </c>
      <c r="K963" t="s">
        <v>3967</v>
      </c>
      <c r="L963">
        <v>46225</v>
      </c>
      <c r="M963">
        <v>90249</v>
      </c>
      <c r="N963">
        <v>2</v>
      </c>
      <c r="O963">
        <v>46253</v>
      </c>
      <c r="P963">
        <v>49</v>
      </c>
    </row>
    <row r="964" spans="1:16" x14ac:dyDescent="0.4">
      <c r="A964">
        <v>133</v>
      </c>
      <c r="B964" t="s">
        <v>4915</v>
      </c>
      <c r="G964" t="s">
        <v>4004</v>
      </c>
      <c r="H964" t="s">
        <v>4003</v>
      </c>
      <c r="I964">
        <v>65</v>
      </c>
      <c r="K964" t="s">
        <v>4002</v>
      </c>
      <c r="L964">
        <v>46224</v>
      </c>
      <c r="M964">
        <v>90249</v>
      </c>
      <c r="N964">
        <v>3</v>
      </c>
      <c r="O964">
        <v>46253</v>
      </c>
      <c r="P964">
        <v>62</v>
      </c>
    </row>
    <row r="965" spans="1:16" x14ac:dyDescent="0.4">
      <c r="A965">
        <v>385</v>
      </c>
      <c r="B965" t="s">
        <v>4915</v>
      </c>
      <c r="G965" t="s">
        <v>3988</v>
      </c>
      <c r="H965" t="s">
        <v>3987</v>
      </c>
      <c r="I965">
        <v>71</v>
      </c>
      <c r="K965" t="s">
        <v>3989</v>
      </c>
      <c r="L965">
        <v>46227</v>
      </c>
      <c r="M965">
        <v>90249</v>
      </c>
      <c r="N965">
        <v>4</v>
      </c>
      <c r="O965">
        <v>46253</v>
      </c>
      <c r="P965">
        <v>67</v>
      </c>
    </row>
    <row r="966" spans="1:16" x14ac:dyDescent="0.4">
      <c r="A966">
        <v>380</v>
      </c>
      <c r="B966" t="s">
        <v>4915</v>
      </c>
      <c r="G966" t="s">
        <v>3982</v>
      </c>
      <c r="H966" t="s">
        <v>3981</v>
      </c>
      <c r="I966">
        <v>89</v>
      </c>
      <c r="K966" t="s">
        <v>3983</v>
      </c>
      <c r="L966">
        <v>46227</v>
      </c>
      <c r="M966">
        <v>90249</v>
      </c>
      <c r="N966">
        <v>14</v>
      </c>
      <c r="O966">
        <v>46253</v>
      </c>
      <c r="P966">
        <v>75</v>
      </c>
    </row>
    <row r="967" spans="1:16" x14ac:dyDescent="0.4">
      <c r="A967">
        <v>391</v>
      </c>
      <c r="B967" t="s">
        <v>4915</v>
      </c>
      <c r="G967" t="s">
        <v>3999</v>
      </c>
      <c r="H967" t="s">
        <v>3998</v>
      </c>
      <c r="I967">
        <v>157</v>
      </c>
      <c r="K967" t="s">
        <v>3782</v>
      </c>
      <c r="L967">
        <v>46227</v>
      </c>
      <c r="M967">
        <v>90249</v>
      </c>
      <c r="N967">
        <v>2</v>
      </c>
      <c r="O967">
        <v>46253</v>
      </c>
      <c r="P967">
        <v>155</v>
      </c>
    </row>
    <row r="968" spans="1:16" x14ac:dyDescent="0.4">
      <c r="A968">
        <v>135</v>
      </c>
      <c r="B968" t="s">
        <v>4915</v>
      </c>
      <c r="G968" t="s">
        <v>3801</v>
      </c>
      <c r="H968" t="s">
        <v>3800</v>
      </c>
      <c r="I968">
        <v>200</v>
      </c>
      <c r="K968" t="s">
        <v>4744</v>
      </c>
      <c r="L968">
        <v>46224</v>
      </c>
      <c r="M968">
        <v>90249</v>
      </c>
      <c r="N968">
        <v>1</v>
      </c>
      <c r="O968">
        <v>46253</v>
      </c>
      <c r="P968">
        <v>199</v>
      </c>
    </row>
    <row r="969" spans="1:16" x14ac:dyDescent="0.4">
      <c r="A969">
        <v>382</v>
      </c>
      <c r="B969" t="s">
        <v>4915</v>
      </c>
      <c r="G969" t="s">
        <v>3985</v>
      </c>
      <c r="H969" t="s">
        <v>3984</v>
      </c>
      <c r="I969">
        <v>229</v>
      </c>
      <c r="K969" t="s">
        <v>3986</v>
      </c>
      <c r="L969">
        <v>46227</v>
      </c>
      <c r="M969">
        <v>90249</v>
      </c>
      <c r="N969">
        <v>3</v>
      </c>
      <c r="O969">
        <v>46253</v>
      </c>
      <c r="P969">
        <v>226</v>
      </c>
    </row>
    <row r="970" spans="1:16" x14ac:dyDescent="0.4">
      <c r="A970">
        <v>97</v>
      </c>
      <c r="B970" t="s">
        <v>4915</v>
      </c>
      <c r="G970" t="s">
        <v>3945</v>
      </c>
      <c r="H970" t="s">
        <v>3944</v>
      </c>
      <c r="I970">
        <v>250</v>
      </c>
      <c r="K970" t="s">
        <v>3946</v>
      </c>
      <c r="L970">
        <v>46224</v>
      </c>
      <c r="M970">
        <v>90249</v>
      </c>
      <c r="N970">
        <v>2</v>
      </c>
      <c r="O970">
        <v>46253</v>
      </c>
      <c r="P970">
        <v>248</v>
      </c>
    </row>
    <row r="971" spans="1:16" x14ac:dyDescent="0.4">
      <c r="A971">
        <v>1902</v>
      </c>
      <c r="B971" t="s">
        <v>4915</v>
      </c>
      <c r="G971" t="s">
        <v>1320</v>
      </c>
      <c r="H971" t="s">
        <v>1319</v>
      </c>
      <c r="I971">
        <v>35</v>
      </c>
      <c r="K971" t="s">
        <v>5054</v>
      </c>
      <c r="L971">
        <v>46295</v>
      </c>
      <c r="M971">
        <v>92543</v>
      </c>
      <c r="N971">
        <v>30</v>
      </c>
      <c r="O971">
        <v>46287</v>
      </c>
      <c r="P971">
        <v>5</v>
      </c>
    </row>
    <row r="972" spans="1:16" x14ac:dyDescent="0.4">
      <c r="A972">
        <v>775</v>
      </c>
      <c r="B972" t="s">
        <v>4915</v>
      </c>
      <c r="D972" t="s">
        <v>4901</v>
      </c>
      <c r="G972" t="s">
        <v>362</v>
      </c>
      <c r="H972" t="s">
        <v>5022</v>
      </c>
      <c r="I972">
        <v>15</v>
      </c>
      <c r="K972" t="s">
        <v>5023</v>
      </c>
      <c r="L972">
        <v>46260</v>
      </c>
      <c r="M972">
        <v>92546</v>
      </c>
      <c r="N972">
        <v>15</v>
      </c>
      <c r="O972">
        <v>46265</v>
      </c>
      <c r="P972">
        <v>0</v>
      </c>
    </row>
    <row r="973" spans="1:16" x14ac:dyDescent="0.4">
      <c r="A973">
        <v>315</v>
      </c>
      <c r="B973" t="s">
        <v>4915</v>
      </c>
      <c r="D973" t="s">
        <v>4916</v>
      </c>
      <c r="G973" t="s">
        <v>1123</v>
      </c>
      <c r="H973" t="s">
        <v>4917</v>
      </c>
      <c r="I973">
        <v>19</v>
      </c>
      <c r="K973" t="s">
        <v>4918</v>
      </c>
      <c r="L973">
        <v>46253</v>
      </c>
      <c r="M973">
        <v>92546</v>
      </c>
      <c r="N973">
        <v>19</v>
      </c>
      <c r="O973">
        <v>46253</v>
      </c>
      <c r="P973">
        <v>0</v>
      </c>
    </row>
    <row r="974" spans="1:16" x14ac:dyDescent="0.4">
      <c r="A974">
        <v>776</v>
      </c>
      <c r="B974" t="s">
        <v>4915</v>
      </c>
      <c r="G974" t="s">
        <v>362</v>
      </c>
      <c r="H974" t="s">
        <v>5022</v>
      </c>
      <c r="I974">
        <v>25</v>
      </c>
      <c r="K974" t="s">
        <v>5023</v>
      </c>
      <c r="L974">
        <v>46265</v>
      </c>
      <c r="M974">
        <v>92546</v>
      </c>
      <c r="N974">
        <v>25</v>
      </c>
      <c r="O974">
        <v>46265</v>
      </c>
      <c r="P974">
        <v>0</v>
      </c>
    </row>
    <row r="975" spans="1:16" x14ac:dyDescent="0.4">
      <c r="A975">
        <v>479</v>
      </c>
      <c r="B975" t="s">
        <v>4915</v>
      </c>
      <c r="D975" t="s">
        <v>4901</v>
      </c>
      <c r="G975" t="s">
        <v>1123</v>
      </c>
      <c r="H975" t="s">
        <v>4917</v>
      </c>
      <c r="I975">
        <v>300</v>
      </c>
      <c r="K975" t="s">
        <v>4918</v>
      </c>
      <c r="L975">
        <v>46254</v>
      </c>
      <c r="M975">
        <v>92546</v>
      </c>
      <c r="N975">
        <v>21</v>
      </c>
      <c r="O975">
        <v>46254</v>
      </c>
      <c r="P975">
        <v>279</v>
      </c>
    </row>
    <row r="976" spans="1:16" x14ac:dyDescent="0.4">
      <c r="A976">
        <v>1104</v>
      </c>
      <c r="B976" t="s">
        <v>4915</v>
      </c>
      <c r="D976" t="s">
        <v>4916</v>
      </c>
      <c r="G976" t="s">
        <v>1858</v>
      </c>
      <c r="H976" t="s">
        <v>1857</v>
      </c>
      <c r="I976">
        <v>164</v>
      </c>
      <c r="K976" t="s">
        <v>5137</v>
      </c>
      <c r="L976">
        <v>46276</v>
      </c>
      <c r="M976">
        <v>92548</v>
      </c>
      <c r="N976">
        <v>14</v>
      </c>
      <c r="O976">
        <v>46283</v>
      </c>
      <c r="P976">
        <v>150</v>
      </c>
    </row>
    <row r="977" spans="1:16" x14ac:dyDescent="0.4">
      <c r="A977">
        <v>774</v>
      </c>
      <c r="B977" t="s">
        <v>4915</v>
      </c>
      <c r="D977" t="s">
        <v>4901</v>
      </c>
      <c r="G977" t="s">
        <v>362</v>
      </c>
      <c r="H977" t="s">
        <v>5022</v>
      </c>
      <c r="I977">
        <v>15</v>
      </c>
      <c r="K977" t="s">
        <v>5023</v>
      </c>
      <c r="L977">
        <v>46261</v>
      </c>
      <c r="M977">
        <v>92568</v>
      </c>
      <c r="N977">
        <v>15</v>
      </c>
      <c r="O977">
        <v>46262</v>
      </c>
      <c r="P977">
        <v>0</v>
      </c>
    </row>
    <row r="978" spans="1:16" x14ac:dyDescent="0.4">
      <c r="A978">
        <v>773</v>
      </c>
      <c r="B978" t="s">
        <v>4915</v>
      </c>
      <c r="D978" t="s">
        <v>4901</v>
      </c>
      <c r="G978" t="s">
        <v>362</v>
      </c>
      <c r="H978" t="s">
        <v>5022</v>
      </c>
      <c r="I978">
        <v>30</v>
      </c>
      <c r="K978" t="s">
        <v>5023</v>
      </c>
      <c r="L978">
        <v>46261</v>
      </c>
      <c r="M978">
        <v>92568</v>
      </c>
      <c r="N978">
        <v>5</v>
      </c>
      <c r="O978">
        <v>46265</v>
      </c>
      <c r="P978">
        <v>25</v>
      </c>
    </row>
    <row r="979" spans="1:16" x14ac:dyDescent="0.4">
      <c r="A979">
        <v>779</v>
      </c>
      <c r="B979" t="s">
        <v>4915</v>
      </c>
      <c r="G979" t="s">
        <v>362</v>
      </c>
      <c r="H979" t="s">
        <v>5022</v>
      </c>
      <c r="I979">
        <v>30</v>
      </c>
      <c r="K979" t="s">
        <v>5023</v>
      </c>
      <c r="L979">
        <v>46274</v>
      </c>
      <c r="M979">
        <v>92568</v>
      </c>
      <c r="N979">
        <v>10</v>
      </c>
      <c r="O979">
        <v>46274</v>
      </c>
      <c r="P979">
        <v>20</v>
      </c>
    </row>
    <row r="980" spans="1:16" x14ac:dyDescent="0.4">
      <c r="A980">
        <v>1170</v>
      </c>
      <c r="B980" t="s">
        <v>4915</v>
      </c>
      <c r="D980" t="s">
        <v>4901</v>
      </c>
      <c r="G980" t="s">
        <v>1138</v>
      </c>
      <c r="H980" t="s">
        <v>1137</v>
      </c>
      <c r="I980">
        <v>70</v>
      </c>
      <c r="K980" t="s">
        <v>5023</v>
      </c>
      <c r="L980">
        <v>46280</v>
      </c>
      <c r="M980">
        <v>92568</v>
      </c>
      <c r="N980">
        <v>1</v>
      </c>
      <c r="O980">
        <v>46280</v>
      </c>
      <c r="P980">
        <v>69</v>
      </c>
    </row>
    <row r="981" spans="1:16" x14ac:dyDescent="0.4">
      <c r="A981">
        <v>482</v>
      </c>
      <c r="B981" t="s">
        <v>4915</v>
      </c>
      <c r="G981" t="s">
        <v>1123</v>
      </c>
      <c r="H981" t="s">
        <v>4917</v>
      </c>
      <c r="I981">
        <v>278</v>
      </c>
      <c r="K981" t="s">
        <v>4918</v>
      </c>
      <c r="L981">
        <v>46261</v>
      </c>
      <c r="M981">
        <v>92568</v>
      </c>
      <c r="N981">
        <v>30</v>
      </c>
      <c r="O981">
        <v>46262</v>
      </c>
      <c r="P981">
        <v>248</v>
      </c>
    </row>
    <row r="982" spans="1:16" x14ac:dyDescent="0.4">
      <c r="A982">
        <v>1146</v>
      </c>
      <c r="B982" t="s">
        <v>4915</v>
      </c>
      <c r="G982" t="s">
        <v>2601</v>
      </c>
      <c r="H982" t="s">
        <v>2600</v>
      </c>
      <c r="I982">
        <v>216</v>
      </c>
      <c r="K982" t="s">
        <v>4851</v>
      </c>
      <c r="L982">
        <v>46276</v>
      </c>
      <c r="M982">
        <v>92571</v>
      </c>
      <c r="N982">
        <v>45</v>
      </c>
      <c r="O982">
        <v>46281</v>
      </c>
      <c r="P982">
        <v>171</v>
      </c>
    </row>
    <row r="983" spans="1:16" x14ac:dyDescent="0.4">
      <c r="A983">
        <v>410</v>
      </c>
      <c r="B983" t="s">
        <v>4915</v>
      </c>
      <c r="D983" t="s">
        <v>4928</v>
      </c>
      <c r="G983" t="s">
        <v>3939</v>
      </c>
      <c r="H983" t="s">
        <v>3938</v>
      </c>
      <c r="I983">
        <v>1</v>
      </c>
      <c r="K983" t="s">
        <v>3585</v>
      </c>
      <c r="L983">
        <v>46224</v>
      </c>
      <c r="M983">
        <v>92574</v>
      </c>
      <c r="N983">
        <v>1</v>
      </c>
      <c r="O983">
        <v>46259</v>
      </c>
      <c r="P983">
        <v>0</v>
      </c>
    </row>
    <row r="984" spans="1:16" x14ac:dyDescent="0.4">
      <c r="A984">
        <v>411</v>
      </c>
      <c r="B984" t="s">
        <v>4915</v>
      </c>
      <c r="D984" t="s">
        <v>4928</v>
      </c>
      <c r="G984" t="s">
        <v>3966</v>
      </c>
      <c r="H984" t="s">
        <v>3965</v>
      </c>
      <c r="I984">
        <v>1</v>
      </c>
      <c r="K984" t="s">
        <v>3967</v>
      </c>
      <c r="L984">
        <v>46253</v>
      </c>
      <c r="M984">
        <v>92574</v>
      </c>
      <c r="N984">
        <v>1</v>
      </c>
      <c r="O984">
        <v>46259</v>
      </c>
      <c r="P984">
        <v>0</v>
      </c>
    </row>
    <row r="985" spans="1:16" x14ac:dyDescent="0.4">
      <c r="A985">
        <v>163</v>
      </c>
      <c r="B985" t="s">
        <v>4915</v>
      </c>
      <c r="G985" t="s">
        <v>3822</v>
      </c>
      <c r="H985" t="s">
        <v>3821</v>
      </c>
      <c r="I985">
        <v>2</v>
      </c>
      <c r="K985" t="s">
        <v>3823</v>
      </c>
      <c r="L985">
        <v>46230</v>
      </c>
      <c r="M985">
        <v>92574</v>
      </c>
      <c r="N985">
        <v>2</v>
      </c>
      <c r="O985">
        <v>46259</v>
      </c>
      <c r="P985">
        <v>0</v>
      </c>
    </row>
    <row r="986" spans="1:16" x14ac:dyDescent="0.4">
      <c r="A986">
        <v>165</v>
      </c>
      <c r="B986" t="s">
        <v>4915</v>
      </c>
      <c r="G986" t="s">
        <v>3827</v>
      </c>
      <c r="H986" t="s">
        <v>3826</v>
      </c>
      <c r="I986">
        <v>2</v>
      </c>
      <c r="K986" t="s">
        <v>3823</v>
      </c>
      <c r="L986">
        <v>46230</v>
      </c>
      <c r="M986">
        <v>92574</v>
      </c>
      <c r="N986">
        <v>2</v>
      </c>
      <c r="O986">
        <v>46259</v>
      </c>
      <c r="P986">
        <v>0</v>
      </c>
    </row>
    <row r="987" spans="1:16" x14ac:dyDescent="0.4">
      <c r="A987">
        <v>407</v>
      </c>
      <c r="B987" t="s">
        <v>4915</v>
      </c>
      <c r="D987" t="s">
        <v>4928</v>
      </c>
      <c r="G987" t="s">
        <v>3927</v>
      </c>
      <c r="H987" t="s">
        <v>3926</v>
      </c>
      <c r="I987">
        <v>2</v>
      </c>
      <c r="K987" t="s">
        <v>3864</v>
      </c>
      <c r="L987">
        <v>46259</v>
      </c>
      <c r="M987">
        <v>92574</v>
      </c>
      <c r="N987">
        <v>2</v>
      </c>
      <c r="O987">
        <v>46259</v>
      </c>
      <c r="P987">
        <v>0</v>
      </c>
    </row>
    <row r="988" spans="1:16" x14ac:dyDescent="0.4">
      <c r="A988">
        <v>412</v>
      </c>
      <c r="B988" t="s">
        <v>4915</v>
      </c>
      <c r="D988" t="s">
        <v>4928</v>
      </c>
      <c r="G988" t="s">
        <v>3963</v>
      </c>
      <c r="H988" t="s">
        <v>3962</v>
      </c>
      <c r="I988">
        <v>2</v>
      </c>
      <c r="K988" t="s">
        <v>3964</v>
      </c>
      <c r="L988">
        <v>46259</v>
      </c>
      <c r="M988">
        <v>92574</v>
      </c>
      <c r="N988">
        <v>2</v>
      </c>
      <c r="O988">
        <v>46259</v>
      </c>
      <c r="P988">
        <v>0</v>
      </c>
    </row>
    <row r="989" spans="1:16" x14ac:dyDescent="0.4">
      <c r="A989">
        <v>134</v>
      </c>
      <c r="B989" t="s">
        <v>4915</v>
      </c>
      <c r="G989" t="s">
        <v>3851</v>
      </c>
      <c r="H989" t="s">
        <v>3850</v>
      </c>
      <c r="I989">
        <v>3</v>
      </c>
      <c r="K989" t="s">
        <v>3839</v>
      </c>
      <c r="L989">
        <v>46224</v>
      </c>
      <c r="M989">
        <v>92574</v>
      </c>
      <c r="N989">
        <v>3</v>
      </c>
      <c r="O989">
        <v>46259</v>
      </c>
      <c r="P989">
        <v>0</v>
      </c>
    </row>
    <row r="990" spans="1:16" x14ac:dyDescent="0.4">
      <c r="A990">
        <v>166</v>
      </c>
      <c r="B990" t="s">
        <v>4915</v>
      </c>
      <c r="G990" t="s">
        <v>3829</v>
      </c>
      <c r="H990" t="s">
        <v>3828</v>
      </c>
      <c r="I990">
        <v>3</v>
      </c>
      <c r="K990" t="s">
        <v>3823</v>
      </c>
      <c r="L990">
        <v>46230</v>
      </c>
      <c r="M990">
        <v>92574</v>
      </c>
      <c r="N990">
        <v>3</v>
      </c>
      <c r="O990">
        <v>46259</v>
      </c>
      <c r="P990">
        <v>0</v>
      </c>
    </row>
    <row r="991" spans="1:16" x14ac:dyDescent="0.4">
      <c r="A991">
        <v>397</v>
      </c>
      <c r="B991" t="s">
        <v>4915</v>
      </c>
      <c r="G991" t="s">
        <v>4621</v>
      </c>
      <c r="H991">
        <v>0</v>
      </c>
      <c r="I991">
        <v>3</v>
      </c>
      <c r="K991" t="s">
        <v>4088</v>
      </c>
      <c r="L991">
        <v>46253</v>
      </c>
      <c r="M991">
        <v>92574</v>
      </c>
      <c r="N991">
        <v>3</v>
      </c>
      <c r="O991">
        <v>46259</v>
      </c>
      <c r="P991">
        <v>0</v>
      </c>
    </row>
    <row r="992" spans="1:16" x14ac:dyDescent="0.4">
      <c r="A992">
        <v>164</v>
      </c>
      <c r="B992" t="s">
        <v>4915</v>
      </c>
      <c r="G992" t="s">
        <v>3825</v>
      </c>
      <c r="H992" t="s">
        <v>3824</v>
      </c>
      <c r="I992">
        <v>5</v>
      </c>
      <c r="K992" t="s">
        <v>3823</v>
      </c>
      <c r="L992">
        <v>46230</v>
      </c>
      <c r="M992">
        <v>92574</v>
      </c>
      <c r="N992">
        <v>5</v>
      </c>
      <c r="O992">
        <v>46259</v>
      </c>
      <c r="P992">
        <v>0</v>
      </c>
    </row>
    <row r="993" spans="1:16" x14ac:dyDescent="0.4">
      <c r="A993">
        <v>168</v>
      </c>
      <c r="B993" t="s">
        <v>4915</v>
      </c>
      <c r="G993" t="s">
        <v>3847</v>
      </c>
      <c r="H993" t="s">
        <v>3846</v>
      </c>
      <c r="I993">
        <v>5</v>
      </c>
      <c r="K993" t="s">
        <v>3839</v>
      </c>
      <c r="L993">
        <v>46230</v>
      </c>
      <c r="M993">
        <v>92574</v>
      </c>
      <c r="N993">
        <v>5</v>
      </c>
      <c r="O993">
        <v>46259</v>
      </c>
      <c r="P993">
        <v>0</v>
      </c>
    </row>
    <row r="994" spans="1:16" x14ac:dyDescent="0.4">
      <c r="A994">
        <v>169</v>
      </c>
      <c r="B994" t="s">
        <v>4915</v>
      </c>
      <c r="G994" t="s">
        <v>3860</v>
      </c>
      <c r="H994" t="s">
        <v>3859</v>
      </c>
      <c r="I994">
        <v>5</v>
      </c>
      <c r="K994" t="s">
        <v>3854</v>
      </c>
      <c r="L994">
        <v>46230</v>
      </c>
      <c r="M994">
        <v>92574</v>
      </c>
      <c r="N994">
        <v>5</v>
      </c>
      <c r="O994">
        <v>46259</v>
      </c>
      <c r="P994">
        <v>0</v>
      </c>
    </row>
    <row r="995" spans="1:16" x14ac:dyDescent="0.4">
      <c r="A995">
        <v>108</v>
      </c>
      <c r="B995" t="s">
        <v>4915</v>
      </c>
      <c r="G995" t="s">
        <v>3804</v>
      </c>
      <c r="H995" t="s">
        <v>3803</v>
      </c>
      <c r="I995">
        <v>6</v>
      </c>
      <c r="K995" t="s">
        <v>4743</v>
      </c>
      <c r="L995">
        <v>46224</v>
      </c>
      <c r="M995">
        <v>92574</v>
      </c>
      <c r="N995">
        <v>6</v>
      </c>
      <c r="O995">
        <v>46259</v>
      </c>
      <c r="P995">
        <v>0</v>
      </c>
    </row>
    <row r="996" spans="1:16" x14ac:dyDescent="0.4">
      <c r="A996">
        <v>167</v>
      </c>
      <c r="B996" t="s">
        <v>4915</v>
      </c>
      <c r="G996" t="s">
        <v>3831</v>
      </c>
      <c r="H996" t="s">
        <v>3830</v>
      </c>
      <c r="I996">
        <v>6</v>
      </c>
      <c r="K996" t="s">
        <v>3823</v>
      </c>
      <c r="L996">
        <v>46230</v>
      </c>
      <c r="M996">
        <v>92574</v>
      </c>
      <c r="N996">
        <v>6</v>
      </c>
      <c r="O996">
        <v>46259</v>
      </c>
      <c r="P996">
        <v>0</v>
      </c>
    </row>
    <row r="997" spans="1:16" x14ac:dyDescent="0.4">
      <c r="A997">
        <v>368</v>
      </c>
      <c r="B997" t="s">
        <v>4915</v>
      </c>
      <c r="G997" t="s">
        <v>3831</v>
      </c>
      <c r="H997" t="s">
        <v>3830</v>
      </c>
      <c r="I997">
        <v>6</v>
      </c>
      <c r="K997" t="s">
        <v>3823</v>
      </c>
      <c r="L997">
        <v>46230</v>
      </c>
      <c r="M997">
        <v>92574</v>
      </c>
      <c r="N997">
        <v>6</v>
      </c>
      <c r="O997">
        <v>46259</v>
      </c>
      <c r="P997">
        <v>0</v>
      </c>
    </row>
    <row r="998" spans="1:16" x14ac:dyDescent="0.4">
      <c r="A998">
        <v>322</v>
      </c>
      <c r="B998" t="s">
        <v>4915</v>
      </c>
      <c r="D998" t="s">
        <v>4901</v>
      </c>
      <c r="G998" t="s">
        <v>3822</v>
      </c>
      <c r="H998" t="s">
        <v>3821</v>
      </c>
      <c r="I998">
        <v>7</v>
      </c>
      <c r="K998" t="s">
        <v>3823</v>
      </c>
      <c r="L998">
        <v>46227</v>
      </c>
      <c r="M998">
        <v>92574</v>
      </c>
      <c r="N998">
        <v>7</v>
      </c>
      <c r="O998">
        <v>46259</v>
      </c>
      <c r="P998">
        <v>0</v>
      </c>
    </row>
    <row r="999" spans="1:16" x14ac:dyDescent="0.4">
      <c r="A999">
        <v>96</v>
      </c>
      <c r="B999" t="s">
        <v>4915</v>
      </c>
      <c r="G999" t="s">
        <v>3856</v>
      </c>
      <c r="H999" t="s">
        <v>3855</v>
      </c>
      <c r="I999">
        <v>8</v>
      </c>
      <c r="K999" t="s">
        <v>3854</v>
      </c>
      <c r="L999">
        <v>46224</v>
      </c>
      <c r="M999">
        <v>92574</v>
      </c>
      <c r="N999">
        <v>8</v>
      </c>
      <c r="O999">
        <v>46259</v>
      </c>
      <c r="P999">
        <v>0</v>
      </c>
    </row>
    <row r="1000" spans="1:16" x14ac:dyDescent="0.4">
      <c r="A1000">
        <v>110</v>
      </c>
      <c r="B1000" t="s">
        <v>4915</v>
      </c>
      <c r="G1000" t="s">
        <v>4034</v>
      </c>
      <c r="H1000" t="s">
        <v>4924</v>
      </c>
      <c r="I1000">
        <v>9</v>
      </c>
      <c r="K1000" t="s">
        <v>4723</v>
      </c>
      <c r="L1000">
        <v>46224</v>
      </c>
      <c r="M1000">
        <v>92574</v>
      </c>
      <c r="N1000">
        <v>9</v>
      </c>
      <c r="O1000">
        <v>46259</v>
      </c>
      <c r="P1000">
        <v>0</v>
      </c>
    </row>
    <row r="1001" spans="1:16" x14ac:dyDescent="0.4">
      <c r="A1001">
        <v>118</v>
      </c>
      <c r="B1001" t="s">
        <v>4915</v>
      </c>
      <c r="G1001" t="s">
        <v>4735</v>
      </c>
      <c r="H1001">
        <v>0</v>
      </c>
      <c r="I1001">
        <v>10</v>
      </c>
      <c r="K1001" t="s">
        <v>3585</v>
      </c>
      <c r="L1001">
        <v>46224</v>
      </c>
      <c r="M1001">
        <v>92574</v>
      </c>
      <c r="N1001">
        <v>10</v>
      </c>
      <c r="O1001">
        <v>46259</v>
      </c>
      <c r="P1001">
        <v>0</v>
      </c>
    </row>
    <row r="1002" spans="1:16" x14ac:dyDescent="0.4">
      <c r="A1002">
        <v>336</v>
      </c>
      <c r="B1002" t="s">
        <v>4915</v>
      </c>
      <c r="D1002" t="s">
        <v>4901</v>
      </c>
      <c r="G1002" t="s">
        <v>3851</v>
      </c>
      <c r="H1002" t="s">
        <v>3850</v>
      </c>
      <c r="I1002">
        <v>10</v>
      </c>
      <c r="K1002" t="s">
        <v>3839</v>
      </c>
      <c r="L1002">
        <v>46227</v>
      </c>
      <c r="M1002">
        <v>92574</v>
      </c>
      <c r="N1002">
        <v>10</v>
      </c>
      <c r="O1002">
        <v>46259</v>
      </c>
      <c r="P1002">
        <v>0</v>
      </c>
    </row>
    <row r="1003" spans="1:16" x14ac:dyDescent="0.4">
      <c r="A1003">
        <v>501</v>
      </c>
      <c r="B1003" t="s">
        <v>4915</v>
      </c>
      <c r="D1003" t="s">
        <v>4901</v>
      </c>
      <c r="E1003" t="s">
        <v>4938</v>
      </c>
      <c r="F1003" t="s">
        <v>4939</v>
      </c>
      <c r="G1003" t="s">
        <v>3927</v>
      </c>
      <c r="H1003" t="s">
        <v>3926</v>
      </c>
      <c r="I1003">
        <v>10</v>
      </c>
      <c r="K1003" t="s">
        <v>3864</v>
      </c>
      <c r="L1003">
        <v>46265</v>
      </c>
      <c r="M1003">
        <v>92574</v>
      </c>
      <c r="N1003">
        <v>2</v>
      </c>
      <c r="O1003">
        <v>46268</v>
      </c>
      <c r="P1003">
        <v>8</v>
      </c>
    </row>
    <row r="1004" spans="1:16" x14ac:dyDescent="0.4">
      <c r="A1004">
        <v>504</v>
      </c>
      <c r="B1004" t="s">
        <v>4915</v>
      </c>
      <c r="D1004" t="s">
        <v>4901</v>
      </c>
      <c r="E1004" t="s">
        <v>4938</v>
      </c>
      <c r="F1004" t="s">
        <v>4939</v>
      </c>
      <c r="G1004" t="s">
        <v>3939</v>
      </c>
      <c r="H1004" t="s">
        <v>3938</v>
      </c>
      <c r="I1004">
        <v>10</v>
      </c>
      <c r="K1004" t="s">
        <v>3585</v>
      </c>
      <c r="L1004">
        <v>46265</v>
      </c>
      <c r="M1004">
        <v>92574</v>
      </c>
      <c r="N1004">
        <v>4</v>
      </c>
      <c r="O1004">
        <v>46268</v>
      </c>
      <c r="P1004">
        <v>6</v>
      </c>
    </row>
    <row r="1005" spans="1:16" x14ac:dyDescent="0.4">
      <c r="A1005">
        <v>324</v>
      </c>
      <c r="B1005" t="s">
        <v>4915</v>
      </c>
      <c r="D1005" t="s">
        <v>4901</v>
      </c>
      <c r="G1005" t="s">
        <v>3825</v>
      </c>
      <c r="H1005" t="s">
        <v>3824</v>
      </c>
      <c r="I1005">
        <v>11</v>
      </c>
      <c r="K1005" t="s">
        <v>3823</v>
      </c>
      <c r="L1005">
        <v>46227</v>
      </c>
      <c r="M1005">
        <v>92574</v>
      </c>
      <c r="N1005">
        <v>11</v>
      </c>
      <c r="O1005">
        <v>46259</v>
      </c>
      <c r="P1005">
        <v>0</v>
      </c>
    </row>
    <row r="1006" spans="1:16" x14ac:dyDescent="0.4">
      <c r="A1006">
        <v>395</v>
      </c>
      <c r="B1006" t="s">
        <v>4915</v>
      </c>
      <c r="G1006" t="s">
        <v>4621</v>
      </c>
      <c r="H1006">
        <v>0</v>
      </c>
      <c r="I1006">
        <v>11</v>
      </c>
      <c r="K1006" t="s">
        <v>4088</v>
      </c>
      <c r="L1006">
        <v>46253</v>
      </c>
      <c r="M1006">
        <v>92574</v>
      </c>
      <c r="N1006">
        <v>11</v>
      </c>
      <c r="O1006">
        <v>46259</v>
      </c>
      <c r="P1006">
        <v>0</v>
      </c>
    </row>
    <row r="1007" spans="1:16" x14ac:dyDescent="0.4">
      <c r="A1007">
        <v>341</v>
      </c>
      <c r="B1007" t="s">
        <v>4915</v>
      </c>
      <c r="D1007" t="s">
        <v>4901</v>
      </c>
      <c r="G1007" t="s">
        <v>3860</v>
      </c>
      <c r="H1007" t="s">
        <v>3859</v>
      </c>
      <c r="I1007">
        <v>12</v>
      </c>
      <c r="K1007" t="s">
        <v>3854</v>
      </c>
      <c r="L1007">
        <v>46227</v>
      </c>
      <c r="M1007">
        <v>92574</v>
      </c>
      <c r="N1007">
        <v>12</v>
      </c>
      <c r="O1007">
        <v>46259</v>
      </c>
      <c r="P1007">
        <v>0</v>
      </c>
    </row>
    <row r="1008" spans="1:16" x14ac:dyDescent="0.4">
      <c r="A1008">
        <v>489</v>
      </c>
      <c r="B1008" t="s">
        <v>4915</v>
      </c>
      <c r="G1008" t="s">
        <v>3900</v>
      </c>
      <c r="H1008" t="s">
        <v>3899</v>
      </c>
      <c r="I1008">
        <v>12</v>
      </c>
      <c r="K1008" t="s">
        <v>4739</v>
      </c>
      <c r="L1008">
        <v>46268</v>
      </c>
      <c r="M1008">
        <v>92574</v>
      </c>
      <c r="N1008">
        <v>3</v>
      </c>
      <c r="O1008">
        <v>46268</v>
      </c>
      <c r="P1008">
        <v>9</v>
      </c>
    </row>
    <row r="1009" spans="1:16" x14ac:dyDescent="0.4">
      <c r="A1009">
        <v>326</v>
      </c>
      <c r="B1009" t="s">
        <v>4915</v>
      </c>
      <c r="D1009" t="s">
        <v>4901</v>
      </c>
      <c r="G1009" t="s">
        <v>3827</v>
      </c>
      <c r="H1009" t="s">
        <v>3826</v>
      </c>
      <c r="I1009">
        <v>14</v>
      </c>
      <c r="K1009" t="s">
        <v>3823</v>
      </c>
      <c r="L1009">
        <v>46227</v>
      </c>
      <c r="M1009">
        <v>92574</v>
      </c>
      <c r="N1009">
        <v>14</v>
      </c>
      <c r="O1009">
        <v>46259</v>
      </c>
      <c r="P1009">
        <v>0</v>
      </c>
    </row>
    <row r="1010" spans="1:16" x14ac:dyDescent="0.4">
      <c r="A1010">
        <v>333</v>
      </c>
      <c r="B1010" t="s">
        <v>4915</v>
      </c>
      <c r="D1010" t="s">
        <v>4901</v>
      </c>
      <c r="G1010" t="s">
        <v>3847</v>
      </c>
      <c r="H1010" t="s">
        <v>3846</v>
      </c>
      <c r="I1010">
        <v>15</v>
      </c>
      <c r="K1010" t="s">
        <v>3839</v>
      </c>
      <c r="L1010">
        <v>46227</v>
      </c>
      <c r="M1010">
        <v>92574</v>
      </c>
      <c r="N1010">
        <v>15</v>
      </c>
      <c r="O1010">
        <v>46259</v>
      </c>
      <c r="P1010">
        <v>0</v>
      </c>
    </row>
    <row r="1011" spans="1:16" x14ac:dyDescent="0.4">
      <c r="A1011">
        <v>413</v>
      </c>
      <c r="B1011" t="s">
        <v>4915</v>
      </c>
      <c r="D1011" t="s">
        <v>4928</v>
      </c>
      <c r="G1011" t="s">
        <v>3887</v>
      </c>
      <c r="H1011" t="s">
        <v>3886</v>
      </c>
      <c r="I1011">
        <v>16</v>
      </c>
      <c r="K1011" t="s">
        <v>2541</v>
      </c>
      <c r="L1011">
        <v>46259</v>
      </c>
      <c r="M1011">
        <v>92574</v>
      </c>
      <c r="N1011">
        <v>16</v>
      </c>
      <c r="O1011">
        <v>46259</v>
      </c>
      <c r="P1011">
        <v>0</v>
      </c>
    </row>
    <row r="1012" spans="1:16" x14ac:dyDescent="0.4">
      <c r="A1012">
        <v>328</v>
      </c>
      <c r="B1012" t="s">
        <v>4915</v>
      </c>
      <c r="D1012" t="s">
        <v>4901</v>
      </c>
      <c r="G1012" t="s">
        <v>3829</v>
      </c>
      <c r="H1012" t="s">
        <v>3828</v>
      </c>
      <c r="I1012">
        <v>18</v>
      </c>
      <c r="K1012" t="s">
        <v>3823</v>
      </c>
      <c r="L1012">
        <v>46227</v>
      </c>
      <c r="M1012">
        <v>92574</v>
      </c>
      <c r="N1012">
        <v>18</v>
      </c>
      <c r="O1012">
        <v>46259</v>
      </c>
      <c r="P1012">
        <v>0</v>
      </c>
    </row>
    <row r="1013" spans="1:16" x14ac:dyDescent="0.4">
      <c r="A1013">
        <v>370</v>
      </c>
      <c r="B1013" t="s">
        <v>4915</v>
      </c>
      <c r="G1013" t="s">
        <v>3912</v>
      </c>
      <c r="H1013" t="s">
        <v>3911</v>
      </c>
      <c r="I1013">
        <v>24</v>
      </c>
      <c r="K1013" t="s">
        <v>3913</v>
      </c>
      <c r="L1013">
        <v>46253</v>
      </c>
      <c r="M1013">
        <v>92574</v>
      </c>
      <c r="N1013">
        <v>24</v>
      </c>
      <c r="O1013">
        <v>46259</v>
      </c>
      <c r="P1013">
        <v>0</v>
      </c>
    </row>
    <row r="1014" spans="1:16" x14ac:dyDescent="0.4">
      <c r="A1014">
        <v>150</v>
      </c>
      <c r="B1014" t="s">
        <v>4915</v>
      </c>
      <c r="G1014" t="s">
        <v>4006</v>
      </c>
      <c r="H1014" t="s">
        <v>4005</v>
      </c>
      <c r="I1014">
        <v>25</v>
      </c>
      <c r="K1014" t="s">
        <v>4002</v>
      </c>
      <c r="L1014">
        <v>46226</v>
      </c>
      <c r="M1014">
        <v>92574</v>
      </c>
      <c r="N1014">
        <v>25</v>
      </c>
      <c r="O1014">
        <v>46259</v>
      </c>
      <c r="P1014">
        <v>0</v>
      </c>
    </row>
    <row r="1015" spans="1:16" x14ac:dyDescent="0.4">
      <c r="A1015">
        <v>376</v>
      </c>
      <c r="B1015" t="s">
        <v>4915</v>
      </c>
      <c r="G1015" t="s">
        <v>3960</v>
      </c>
      <c r="H1015" t="s">
        <v>3959</v>
      </c>
      <c r="I1015">
        <v>25</v>
      </c>
      <c r="K1015" t="s">
        <v>3961</v>
      </c>
      <c r="L1015">
        <v>46253</v>
      </c>
      <c r="M1015">
        <v>92574</v>
      </c>
      <c r="N1015">
        <v>25</v>
      </c>
      <c r="O1015">
        <v>46259</v>
      </c>
      <c r="P1015">
        <v>0</v>
      </c>
    </row>
    <row r="1016" spans="1:16" x14ac:dyDescent="0.4">
      <c r="A1016">
        <v>103</v>
      </c>
      <c r="B1016" t="s">
        <v>4915</v>
      </c>
      <c r="G1016" t="s">
        <v>3915</v>
      </c>
      <c r="H1016" t="s">
        <v>3914</v>
      </c>
      <c r="I1016">
        <v>40</v>
      </c>
      <c r="K1016" t="s">
        <v>3871</v>
      </c>
      <c r="L1016">
        <v>46224</v>
      </c>
      <c r="M1016">
        <v>92574</v>
      </c>
      <c r="N1016">
        <v>40</v>
      </c>
      <c r="O1016">
        <v>46259</v>
      </c>
      <c r="P1016">
        <v>0</v>
      </c>
    </row>
    <row r="1017" spans="1:16" x14ac:dyDescent="0.4">
      <c r="A1017">
        <v>93</v>
      </c>
      <c r="B1017" t="s">
        <v>4915</v>
      </c>
      <c r="G1017" t="s">
        <v>4733</v>
      </c>
      <c r="H1017" t="s">
        <v>3941</v>
      </c>
      <c r="I1017">
        <v>45</v>
      </c>
      <c r="K1017" t="s">
        <v>3943</v>
      </c>
      <c r="L1017">
        <v>46224</v>
      </c>
      <c r="M1017">
        <v>92574</v>
      </c>
      <c r="N1017">
        <v>45</v>
      </c>
      <c r="O1017">
        <v>46259</v>
      </c>
      <c r="P1017">
        <v>0</v>
      </c>
    </row>
    <row r="1018" spans="1:16" x14ac:dyDescent="0.4">
      <c r="A1018">
        <v>100</v>
      </c>
      <c r="B1018" t="s">
        <v>4915</v>
      </c>
      <c r="G1018" t="s">
        <v>4060</v>
      </c>
      <c r="H1018" t="s">
        <v>4059</v>
      </c>
      <c r="I1018">
        <v>45</v>
      </c>
      <c r="K1018" t="s">
        <v>4061</v>
      </c>
      <c r="L1018">
        <v>46224</v>
      </c>
      <c r="M1018">
        <v>92574</v>
      </c>
      <c r="N1018">
        <v>45</v>
      </c>
      <c r="O1018">
        <v>46259</v>
      </c>
      <c r="P1018">
        <v>0</v>
      </c>
    </row>
    <row r="1019" spans="1:16" x14ac:dyDescent="0.4">
      <c r="A1019">
        <v>116</v>
      </c>
      <c r="B1019" t="s">
        <v>4915</v>
      </c>
      <c r="G1019" t="s">
        <v>3849</v>
      </c>
      <c r="H1019" t="s">
        <v>3848</v>
      </c>
      <c r="I1019">
        <v>45</v>
      </c>
      <c r="K1019" t="s">
        <v>3839</v>
      </c>
      <c r="L1019">
        <v>46224</v>
      </c>
      <c r="M1019">
        <v>92574</v>
      </c>
      <c r="N1019">
        <v>45</v>
      </c>
      <c r="O1019">
        <v>46259</v>
      </c>
      <c r="P1019">
        <v>0</v>
      </c>
    </row>
    <row r="1020" spans="1:16" x14ac:dyDescent="0.4">
      <c r="A1020">
        <v>122</v>
      </c>
      <c r="B1020" t="s">
        <v>4915</v>
      </c>
      <c r="G1020" t="s">
        <v>3939</v>
      </c>
      <c r="H1020" t="s">
        <v>3938</v>
      </c>
      <c r="I1020">
        <v>45</v>
      </c>
      <c r="K1020" t="s">
        <v>3585</v>
      </c>
      <c r="L1020">
        <v>46224</v>
      </c>
      <c r="M1020">
        <v>92574</v>
      </c>
      <c r="N1020">
        <v>45</v>
      </c>
      <c r="O1020">
        <v>46259</v>
      </c>
      <c r="P1020">
        <v>0</v>
      </c>
    </row>
    <row r="1021" spans="1:16" x14ac:dyDescent="0.4">
      <c r="A1021">
        <v>372</v>
      </c>
      <c r="B1021" t="s">
        <v>4915</v>
      </c>
      <c r="G1021" t="s">
        <v>3927</v>
      </c>
      <c r="H1021" t="s">
        <v>3926</v>
      </c>
      <c r="I1021">
        <v>46</v>
      </c>
      <c r="K1021" t="s">
        <v>3864</v>
      </c>
      <c r="L1021">
        <v>46230</v>
      </c>
      <c r="M1021">
        <v>92574</v>
      </c>
      <c r="N1021">
        <v>46</v>
      </c>
      <c r="O1021">
        <v>46259</v>
      </c>
      <c r="P1021">
        <v>0</v>
      </c>
    </row>
    <row r="1022" spans="1:16" x14ac:dyDescent="0.4">
      <c r="A1022">
        <v>369</v>
      </c>
      <c r="B1022" t="s">
        <v>4915</v>
      </c>
      <c r="G1022" t="s">
        <v>3900</v>
      </c>
      <c r="H1022" t="s">
        <v>3899</v>
      </c>
      <c r="I1022">
        <v>47</v>
      </c>
      <c r="K1022" t="s">
        <v>4739</v>
      </c>
      <c r="L1022">
        <v>46253</v>
      </c>
      <c r="M1022">
        <v>92574</v>
      </c>
      <c r="N1022">
        <v>47</v>
      </c>
      <c r="O1022">
        <v>46259</v>
      </c>
      <c r="P1022">
        <v>0</v>
      </c>
    </row>
    <row r="1023" spans="1:16" x14ac:dyDescent="0.4">
      <c r="A1023">
        <v>377</v>
      </c>
      <c r="B1023" t="s">
        <v>4915</v>
      </c>
      <c r="G1023" t="s">
        <v>3963</v>
      </c>
      <c r="H1023" t="s">
        <v>3962</v>
      </c>
      <c r="I1023">
        <v>47</v>
      </c>
      <c r="K1023" t="s">
        <v>3964</v>
      </c>
      <c r="L1023">
        <v>46227</v>
      </c>
      <c r="M1023">
        <v>92574</v>
      </c>
      <c r="N1023">
        <v>47</v>
      </c>
      <c r="O1023">
        <v>46259</v>
      </c>
      <c r="P1023">
        <v>0</v>
      </c>
    </row>
    <row r="1024" spans="1:16" x14ac:dyDescent="0.4">
      <c r="A1024">
        <v>379</v>
      </c>
      <c r="B1024" t="s">
        <v>4915</v>
      </c>
      <c r="G1024" t="s">
        <v>3966</v>
      </c>
      <c r="H1024" t="s">
        <v>3965</v>
      </c>
      <c r="I1024">
        <v>49</v>
      </c>
      <c r="K1024" t="s">
        <v>3967</v>
      </c>
      <c r="L1024">
        <v>46253</v>
      </c>
      <c r="M1024">
        <v>92574</v>
      </c>
      <c r="N1024">
        <v>49</v>
      </c>
      <c r="O1024">
        <v>46259</v>
      </c>
      <c r="P1024">
        <v>0</v>
      </c>
    </row>
    <row r="1025" spans="1:16" x14ac:dyDescent="0.4">
      <c r="A1025">
        <v>101</v>
      </c>
      <c r="B1025" t="s">
        <v>4915</v>
      </c>
      <c r="G1025" t="s">
        <v>4734</v>
      </c>
      <c r="H1025">
        <v>0</v>
      </c>
      <c r="I1025">
        <v>50</v>
      </c>
      <c r="K1025" t="s">
        <v>3986</v>
      </c>
      <c r="L1025">
        <v>46224</v>
      </c>
      <c r="M1025">
        <v>92574</v>
      </c>
      <c r="N1025">
        <v>50</v>
      </c>
      <c r="O1025">
        <v>46259</v>
      </c>
      <c r="P1025">
        <v>0</v>
      </c>
    </row>
    <row r="1026" spans="1:16" x14ac:dyDescent="0.4">
      <c r="A1026">
        <v>155</v>
      </c>
      <c r="B1026" t="s">
        <v>4915</v>
      </c>
      <c r="G1026" t="s">
        <v>4048</v>
      </c>
      <c r="H1026" t="s">
        <v>4047</v>
      </c>
      <c r="I1026">
        <v>50</v>
      </c>
      <c r="K1026" t="s">
        <v>4046</v>
      </c>
      <c r="L1026">
        <v>46227</v>
      </c>
      <c r="M1026">
        <v>92574</v>
      </c>
      <c r="N1026">
        <v>50</v>
      </c>
      <c r="O1026">
        <v>46259</v>
      </c>
      <c r="P1026">
        <v>0</v>
      </c>
    </row>
    <row r="1027" spans="1:16" x14ac:dyDescent="0.4">
      <c r="A1027">
        <v>323</v>
      </c>
      <c r="B1027" t="s">
        <v>4915</v>
      </c>
      <c r="D1027" t="s">
        <v>4901</v>
      </c>
      <c r="G1027" t="s">
        <v>3822</v>
      </c>
      <c r="H1027" t="s">
        <v>3821</v>
      </c>
      <c r="I1027">
        <v>50</v>
      </c>
      <c r="K1027" t="s">
        <v>3823</v>
      </c>
      <c r="L1027">
        <v>46253</v>
      </c>
      <c r="M1027">
        <v>92574</v>
      </c>
      <c r="N1027">
        <v>41</v>
      </c>
      <c r="O1027">
        <v>46259</v>
      </c>
      <c r="P1027">
        <v>9</v>
      </c>
    </row>
    <row r="1028" spans="1:16" x14ac:dyDescent="0.4">
      <c r="A1028">
        <v>325</v>
      </c>
      <c r="B1028" t="s">
        <v>4915</v>
      </c>
      <c r="D1028" t="s">
        <v>4901</v>
      </c>
      <c r="G1028" t="s">
        <v>3825</v>
      </c>
      <c r="H1028" t="s">
        <v>3824</v>
      </c>
      <c r="I1028">
        <v>50</v>
      </c>
      <c r="K1028" t="s">
        <v>3823</v>
      </c>
      <c r="L1028">
        <v>46253</v>
      </c>
      <c r="M1028">
        <v>92574</v>
      </c>
      <c r="N1028">
        <v>34</v>
      </c>
      <c r="O1028">
        <v>46259</v>
      </c>
      <c r="P1028">
        <v>16</v>
      </c>
    </row>
    <row r="1029" spans="1:16" x14ac:dyDescent="0.4">
      <c r="A1029">
        <v>327</v>
      </c>
      <c r="B1029" t="s">
        <v>4915</v>
      </c>
      <c r="D1029" t="s">
        <v>4901</v>
      </c>
      <c r="G1029" t="s">
        <v>3827</v>
      </c>
      <c r="H1029" t="s">
        <v>3826</v>
      </c>
      <c r="I1029">
        <v>50</v>
      </c>
      <c r="K1029" t="s">
        <v>3823</v>
      </c>
      <c r="L1029">
        <v>46253</v>
      </c>
      <c r="M1029">
        <v>92574</v>
      </c>
      <c r="N1029">
        <v>34</v>
      </c>
      <c r="O1029">
        <v>46259</v>
      </c>
      <c r="P1029">
        <v>16</v>
      </c>
    </row>
    <row r="1030" spans="1:16" x14ac:dyDescent="0.4">
      <c r="A1030">
        <v>329</v>
      </c>
      <c r="B1030" t="s">
        <v>4915</v>
      </c>
      <c r="D1030" t="s">
        <v>4901</v>
      </c>
      <c r="G1030" t="s">
        <v>3829</v>
      </c>
      <c r="H1030" t="s">
        <v>3828</v>
      </c>
      <c r="I1030">
        <v>50</v>
      </c>
      <c r="K1030" t="s">
        <v>3823</v>
      </c>
      <c r="L1030">
        <v>46253</v>
      </c>
      <c r="M1030">
        <v>92574</v>
      </c>
      <c r="N1030">
        <v>29</v>
      </c>
      <c r="O1030">
        <v>46259</v>
      </c>
      <c r="P1030">
        <v>21</v>
      </c>
    </row>
    <row r="1031" spans="1:16" x14ac:dyDescent="0.4">
      <c r="A1031">
        <v>334</v>
      </c>
      <c r="B1031" t="s">
        <v>4915</v>
      </c>
      <c r="D1031" t="s">
        <v>4901</v>
      </c>
      <c r="G1031" t="s">
        <v>3847</v>
      </c>
      <c r="H1031" t="s">
        <v>3846</v>
      </c>
      <c r="I1031">
        <v>50</v>
      </c>
      <c r="K1031" t="s">
        <v>3839</v>
      </c>
      <c r="L1031">
        <v>46253</v>
      </c>
      <c r="M1031">
        <v>92574</v>
      </c>
      <c r="N1031">
        <v>30</v>
      </c>
      <c r="O1031">
        <v>46259</v>
      </c>
      <c r="P1031">
        <v>20</v>
      </c>
    </row>
    <row r="1032" spans="1:16" x14ac:dyDescent="0.4">
      <c r="A1032">
        <v>335</v>
      </c>
      <c r="B1032" t="s">
        <v>4915</v>
      </c>
      <c r="D1032" t="s">
        <v>4901</v>
      </c>
      <c r="G1032" t="s">
        <v>3849</v>
      </c>
      <c r="H1032" t="s">
        <v>3848</v>
      </c>
      <c r="I1032">
        <v>50</v>
      </c>
      <c r="K1032" t="s">
        <v>3839</v>
      </c>
      <c r="L1032">
        <v>46253</v>
      </c>
      <c r="M1032">
        <v>92574</v>
      </c>
      <c r="N1032">
        <v>5</v>
      </c>
      <c r="O1032">
        <v>46259</v>
      </c>
      <c r="P1032">
        <v>45</v>
      </c>
    </row>
    <row r="1033" spans="1:16" x14ac:dyDescent="0.4">
      <c r="A1033">
        <v>337</v>
      </c>
      <c r="B1033" t="s">
        <v>4915</v>
      </c>
      <c r="D1033" t="s">
        <v>4901</v>
      </c>
      <c r="G1033" t="s">
        <v>3851</v>
      </c>
      <c r="H1033" t="s">
        <v>3850</v>
      </c>
      <c r="I1033">
        <v>50</v>
      </c>
      <c r="K1033" t="s">
        <v>3839</v>
      </c>
      <c r="L1033">
        <v>46253</v>
      </c>
      <c r="M1033">
        <v>92574</v>
      </c>
      <c r="N1033">
        <v>37</v>
      </c>
      <c r="O1033">
        <v>46259</v>
      </c>
      <c r="P1033">
        <v>13</v>
      </c>
    </row>
    <row r="1034" spans="1:16" x14ac:dyDescent="0.4">
      <c r="A1034">
        <v>340</v>
      </c>
      <c r="B1034" t="s">
        <v>4915</v>
      </c>
      <c r="D1034" t="s">
        <v>4901</v>
      </c>
      <c r="G1034" t="s">
        <v>3856</v>
      </c>
      <c r="H1034" t="s">
        <v>3855</v>
      </c>
      <c r="I1034">
        <v>50</v>
      </c>
      <c r="K1034" t="s">
        <v>3854</v>
      </c>
      <c r="L1034">
        <v>46253</v>
      </c>
      <c r="M1034">
        <v>92574</v>
      </c>
      <c r="N1034">
        <v>42</v>
      </c>
      <c r="O1034">
        <v>46259</v>
      </c>
      <c r="P1034">
        <v>8</v>
      </c>
    </row>
    <row r="1035" spans="1:16" x14ac:dyDescent="0.4">
      <c r="A1035">
        <v>342</v>
      </c>
      <c r="B1035" t="s">
        <v>4915</v>
      </c>
      <c r="D1035" t="s">
        <v>4901</v>
      </c>
      <c r="G1035" t="s">
        <v>3860</v>
      </c>
      <c r="H1035" t="s">
        <v>3859</v>
      </c>
      <c r="I1035">
        <v>50</v>
      </c>
      <c r="K1035" t="s">
        <v>3854</v>
      </c>
      <c r="L1035">
        <v>46253</v>
      </c>
      <c r="M1035">
        <v>92574</v>
      </c>
      <c r="N1035">
        <v>33</v>
      </c>
      <c r="O1035">
        <v>46259</v>
      </c>
      <c r="P1035">
        <v>17</v>
      </c>
    </row>
    <row r="1036" spans="1:16" x14ac:dyDescent="0.4">
      <c r="A1036">
        <v>349</v>
      </c>
      <c r="B1036" t="s">
        <v>4915</v>
      </c>
      <c r="D1036" t="s">
        <v>4901</v>
      </c>
      <c r="G1036" t="s">
        <v>3915</v>
      </c>
      <c r="H1036" t="s">
        <v>3914</v>
      </c>
      <c r="I1036">
        <v>50</v>
      </c>
      <c r="K1036" t="s">
        <v>3871</v>
      </c>
      <c r="L1036">
        <v>46253</v>
      </c>
      <c r="M1036">
        <v>92574</v>
      </c>
      <c r="N1036">
        <v>10</v>
      </c>
      <c r="O1036">
        <v>46259</v>
      </c>
      <c r="P1036">
        <v>40</v>
      </c>
    </row>
    <row r="1037" spans="1:16" x14ac:dyDescent="0.4">
      <c r="A1037">
        <v>362</v>
      </c>
      <c r="B1037" t="s">
        <v>4915</v>
      </c>
      <c r="D1037" t="s">
        <v>4901</v>
      </c>
      <c r="G1037" t="s">
        <v>4604</v>
      </c>
      <c r="H1037">
        <v>0</v>
      </c>
      <c r="I1037">
        <v>50</v>
      </c>
      <c r="K1037" t="s">
        <v>4061</v>
      </c>
      <c r="L1037">
        <v>46237</v>
      </c>
      <c r="M1037">
        <v>92574</v>
      </c>
      <c r="N1037">
        <v>50</v>
      </c>
      <c r="O1037">
        <v>46259</v>
      </c>
      <c r="P1037">
        <v>0</v>
      </c>
    </row>
    <row r="1038" spans="1:16" x14ac:dyDescent="0.4">
      <c r="A1038">
        <v>400</v>
      </c>
      <c r="B1038" t="s">
        <v>4915</v>
      </c>
      <c r="D1038" t="s">
        <v>4901</v>
      </c>
      <c r="G1038" t="s">
        <v>4826</v>
      </c>
      <c r="H1038">
        <v>0</v>
      </c>
      <c r="I1038">
        <v>50</v>
      </c>
      <c r="K1038" t="s">
        <v>3585</v>
      </c>
      <c r="L1038">
        <v>46255</v>
      </c>
      <c r="M1038">
        <v>92574</v>
      </c>
      <c r="N1038">
        <v>50</v>
      </c>
      <c r="O1038">
        <v>46259</v>
      </c>
      <c r="P1038">
        <v>0</v>
      </c>
    </row>
    <row r="1039" spans="1:16" x14ac:dyDescent="0.4">
      <c r="A1039">
        <v>401</v>
      </c>
      <c r="B1039" t="s">
        <v>4915</v>
      </c>
      <c r="D1039" t="s">
        <v>4901</v>
      </c>
      <c r="G1039" t="s">
        <v>4735</v>
      </c>
      <c r="H1039">
        <v>0</v>
      </c>
      <c r="I1039">
        <v>50</v>
      </c>
      <c r="K1039" t="s">
        <v>3585</v>
      </c>
      <c r="L1039">
        <v>46255</v>
      </c>
      <c r="M1039">
        <v>92574</v>
      </c>
      <c r="N1039">
        <v>40</v>
      </c>
      <c r="O1039">
        <v>46259</v>
      </c>
      <c r="P1039">
        <v>10</v>
      </c>
    </row>
    <row r="1040" spans="1:16" x14ac:dyDescent="0.4">
      <c r="A1040">
        <v>402</v>
      </c>
      <c r="B1040" t="s">
        <v>4915</v>
      </c>
      <c r="D1040" t="s">
        <v>4901</v>
      </c>
      <c r="G1040" t="s">
        <v>4737</v>
      </c>
      <c r="H1040">
        <v>0</v>
      </c>
      <c r="I1040">
        <v>50</v>
      </c>
      <c r="K1040" t="s">
        <v>3935</v>
      </c>
      <c r="L1040">
        <v>46255</v>
      </c>
      <c r="M1040">
        <v>92574</v>
      </c>
      <c r="N1040">
        <v>50</v>
      </c>
      <c r="O1040">
        <v>46259</v>
      </c>
      <c r="P1040">
        <v>0</v>
      </c>
    </row>
    <row r="1041" spans="1:16" x14ac:dyDescent="0.4">
      <c r="A1041">
        <v>408</v>
      </c>
      <c r="B1041" t="s">
        <v>4915</v>
      </c>
      <c r="D1041" t="s">
        <v>4901</v>
      </c>
      <c r="G1041" t="s">
        <v>3912</v>
      </c>
      <c r="H1041" t="s">
        <v>3911</v>
      </c>
      <c r="I1041">
        <v>50</v>
      </c>
      <c r="K1041" t="s">
        <v>3913</v>
      </c>
      <c r="L1041">
        <v>46254</v>
      </c>
      <c r="M1041">
        <v>92574</v>
      </c>
      <c r="N1041">
        <v>26</v>
      </c>
      <c r="O1041">
        <v>46259</v>
      </c>
      <c r="P1041">
        <v>24</v>
      </c>
    </row>
    <row r="1042" spans="1:16" x14ac:dyDescent="0.4">
      <c r="A1042">
        <v>506</v>
      </c>
      <c r="B1042" t="s">
        <v>4915</v>
      </c>
      <c r="D1042" t="s">
        <v>4901</v>
      </c>
      <c r="E1042" t="s">
        <v>4936</v>
      </c>
      <c r="F1042" t="s">
        <v>4937</v>
      </c>
      <c r="G1042" t="s">
        <v>4014</v>
      </c>
      <c r="H1042" t="s">
        <v>4013</v>
      </c>
      <c r="I1042">
        <v>50</v>
      </c>
      <c r="K1042" t="s">
        <v>4015</v>
      </c>
      <c r="L1042">
        <v>46266</v>
      </c>
      <c r="M1042">
        <v>92574</v>
      </c>
      <c r="N1042">
        <v>50</v>
      </c>
      <c r="O1042">
        <v>46268</v>
      </c>
      <c r="P1042">
        <v>0</v>
      </c>
    </row>
    <row r="1043" spans="1:16" x14ac:dyDescent="0.4">
      <c r="A1043">
        <v>115</v>
      </c>
      <c r="B1043" t="s">
        <v>4915</v>
      </c>
      <c r="G1043" t="s">
        <v>3904</v>
      </c>
      <c r="H1043" t="s">
        <v>3903</v>
      </c>
      <c r="I1043">
        <v>52</v>
      </c>
      <c r="K1043" t="s">
        <v>3896</v>
      </c>
      <c r="L1043">
        <v>46224</v>
      </c>
      <c r="M1043">
        <v>92574</v>
      </c>
      <c r="N1043">
        <v>50</v>
      </c>
      <c r="O1043">
        <v>46259</v>
      </c>
      <c r="P1043">
        <v>2</v>
      </c>
    </row>
    <row r="1044" spans="1:16" x14ac:dyDescent="0.4">
      <c r="A1044">
        <v>136</v>
      </c>
      <c r="B1044" t="s">
        <v>4915</v>
      </c>
      <c r="G1044" t="s">
        <v>4019</v>
      </c>
      <c r="H1044" t="s">
        <v>4018</v>
      </c>
      <c r="I1044">
        <v>55</v>
      </c>
      <c r="K1044" t="s">
        <v>3875</v>
      </c>
      <c r="L1044">
        <v>46224</v>
      </c>
      <c r="M1044">
        <v>92574</v>
      </c>
      <c r="N1044">
        <v>50</v>
      </c>
      <c r="O1044">
        <v>46259</v>
      </c>
      <c r="P1044">
        <v>5</v>
      </c>
    </row>
    <row r="1045" spans="1:16" x14ac:dyDescent="0.4">
      <c r="A1045">
        <v>137</v>
      </c>
      <c r="B1045" t="s">
        <v>4915</v>
      </c>
      <c r="G1045" t="s">
        <v>3937</v>
      </c>
      <c r="H1045" t="s">
        <v>3936</v>
      </c>
      <c r="I1045">
        <v>56</v>
      </c>
      <c r="K1045" t="s">
        <v>3585</v>
      </c>
      <c r="L1045">
        <v>46224</v>
      </c>
      <c r="M1045">
        <v>92574</v>
      </c>
      <c r="N1045">
        <v>50</v>
      </c>
      <c r="O1045">
        <v>46259</v>
      </c>
      <c r="P1045">
        <v>6</v>
      </c>
    </row>
    <row r="1046" spans="1:16" x14ac:dyDescent="0.4">
      <c r="A1046">
        <v>92</v>
      </c>
      <c r="B1046" t="s">
        <v>4915</v>
      </c>
      <c r="G1046" t="s">
        <v>3929</v>
      </c>
      <c r="H1046" t="s">
        <v>3928</v>
      </c>
      <c r="I1046">
        <v>57</v>
      </c>
      <c r="K1046" t="s">
        <v>3930</v>
      </c>
      <c r="L1046">
        <v>46224</v>
      </c>
      <c r="M1046">
        <v>92574</v>
      </c>
      <c r="N1046">
        <v>50</v>
      </c>
      <c r="O1046">
        <v>46259</v>
      </c>
      <c r="P1046">
        <v>7</v>
      </c>
    </row>
    <row r="1047" spans="1:16" x14ac:dyDescent="0.4">
      <c r="A1047">
        <v>90</v>
      </c>
      <c r="B1047" t="s">
        <v>4915</v>
      </c>
      <c r="G1047" t="s">
        <v>3873</v>
      </c>
      <c r="H1047" t="s">
        <v>3872</v>
      </c>
      <c r="I1047">
        <v>60</v>
      </c>
      <c r="K1047" t="s">
        <v>3867</v>
      </c>
      <c r="L1047">
        <v>46224</v>
      </c>
      <c r="M1047">
        <v>92574</v>
      </c>
      <c r="N1047">
        <v>50</v>
      </c>
      <c r="O1047">
        <v>46259</v>
      </c>
      <c r="P1047">
        <v>10</v>
      </c>
    </row>
    <row r="1048" spans="1:16" x14ac:dyDescent="0.4">
      <c r="A1048">
        <v>131</v>
      </c>
      <c r="B1048" t="s">
        <v>4915</v>
      </c>
      <c r="G1048" t="s">
        <v>4001</v>
      </c>
      <c r="H1048" t="s">
        <v>4000</v>
      </c>
      <c r="I1048">
        <v>62</v>
      </c>
      <c r="K1048" t="s">
        <v>4002</v>
      </c>
      <c r="L1048">
        <v>46224</v>
      </c>
      <c r="M1048">
        <v>92574</v>
      </c>
      <c r="N1048">
        <v>50</v>
      </c>
      <c r="O1048">
        <v>46259</v>
      </c>
      <c r="P1048">
        <v>12</v>
      </c>
    </row>
    <row r="1049" spans="1:16" x14ac:dyDescent="0.4">
      <c r="A1049">
        <v>393</v>
      </c>
      <c r="B1049" t="s">
        <v>4915</v>
      </c>
      <c r="G1049" t="s">
        <v>4004</v>
      </c>
      <c r="H1049" t="s">
        <v>4003</v>
      </c>
      <c r="I1049">
        <v>62</v>
      </c>
      <c r="K1049" t="s">
        <v>4002</v>
      </c>
      <c r="L1049">
        <v>46253</v>
      </c>
      <c r="M1049">
        <v>92574</v>
      </c>
      <c r="N1049">
        <v>50</v>
      </c>
      <c r="O1049">
        <v>46259</v>
      </c>
      <c r="P1049">
        <v>12</v>
      </c>
    </row>
    <row r="1050" spans="1:16" x14ac:dyDescent="0.4">
      <c r="A1050">
        <v>389</v>
      </c>
      <c r="B1050" t="s">
        <v>4915</v>
      </c>
      <c r="G1050" t="s">
        <v>3991</v>
      </c>
      <c r="H1050" t="s">
        <v>3990</v>
      </c>
      <c r="I1050">
        <v>66</v>
      </c>
      <c r="K1050" t="s">
        <v>3782</v>
      </c>
      <c r="L1050">
        <v>46227</v>
      </c>
      <c r="M1050">
        <v>92574</v>
      </c>
      <c r="N1050">
        <v>50</v>
      </c>
      <c r="O1050">
        <v>46259</v>
      </c>
      <c r="P1050">
        <v>16</v>
      </c>
    </row>
    <row r="1051" spans="1:16" x14ac:dyDescent="0.4">
      <c r="A1051">
        <v>371</v>
      </c>
      <c r="B1051" t="s">
        <v>4915</v>
      </c>
      <c r="G1051" t="s">
        <v>3921</v>
      </c>
      <c r="H1051" t="s">
        <v>3920</v>
      </c>
      <c r="I1051">
        <v>67</v>
      </c>
      <c r="K1051" t="s">
        <v>2992</v>
      </c>
      <c r="L1051">
        <v>46232</v>
      </c>
      <c r="M1051">
        <v>92574</v>
      </c>
      <c r="N1051">
        <v>50</v>
      </c>
      <c r="O1051">
        <v>46259</v>
      </c>
      <c r="P1051">
        <v>17</v>
      </c>
    </row>
    <row r="1052" spans="1:16" x14ac:dyDescent="0.4">
      <c r="A1052">
        <v>386</v>
      </c>
      <c r="B1052" t="s">
        <v>4915</v>
      </c>
      <c r="G1052" t="s">
        <v>3988</v>
      </c>
      <c r="H1052" t="s">
        <v>3987</v>
      </c>
      <c r="I1052">
        <v>67</v>
      </c>
      <c r="K1052" t="s">
        <v>3989</v>
      </c>
      <c r="L1052">
        <v>46253</v>
      </c>
      <c r="M1052">
        <v>92574</v>
      </c>
      <c r="N1052">
        <v>50</v>
      </c>
      <c r="O1052">
        <v>46259</v>
      </c>
      <c r="P1052">
        <v>17</v>
      </c>
    </row>
    <row r="1053" spans="1:16" x14ac:dyDescent="0.4">
      <c r="A1053">
        <v>84</v>
      </c>
      <c r="B1053" t="s">
        <v>4915</v>
      </c>
      <c r="G1053" t="s">
        <v>3885</v>
      </c>
      <c r="H1053" t="s">
        <v>3884</v>
      </c>
      <c r="I1053">
        <v>72</v>
      </c>
      <c r="K1053" t="s">
        <v>3883</v>
      </c>
      <c r="L1053">
        <v>46224</v>
      </c>
      <c r="M1053">
        <v>92574</v>
      </c>
      <c r="N1053">
        <v>72</v>
      </c>
      <c r="O1053">
        <v>46259</v>
      </c>
      <c r="P1053">
        <v>0</v>
      </c>
    </row>
    <row r="1054" spans="1:16" x14ac:dyDescent="0.4">
      <c r="A1054">
        <v>148</v>
      </c>
      <c r="B1054" t="s">
        <v>4915</v>
      </c>
      <c r="G1054" t="s">
        <v>3917</v>
      </c>
      <c r="H1054" t="s">
        <v>3916</v>
      </c>
      <c r="I1054">
        <v>73</v>
      </c>
      <c r="K1054" t="s">
        <v>3871</v>
      </c>
      <c r="L1054">
        <v>46226</v>
      </c>
      <c r="M1054">
        <v>92574</v>
      </c>
      <c r="N1054">
        <v>73</v>
      </c>
      <c r="O1054">
        <v>46259</v>
      </c>
      <c r="P1054">
        <v>0</v>
      </c>
    </row>
    <row r="1055" spans="1:16" x14ac:dyDescent="0.4">
      <c r="A1055">
        <v>381</v>
      </c>
      <c r="B1055" t="s">
        <v>4915</v>
      </c>
      <c r="G1055" t="s">
        <v>3982</v>
      </c>
      <c r="H1055" t="s">
        <v>3981</v>
      </c>
      <c r="I1055">
        <v>75</v>
      </c>
      <c r="K1055" t="s">
        <v>3983</v>
      </c>
      <c r="L1055">
        <v>46253</v>
      </c>
      <c r="M1055">
        <v>92574</v>
      </c>
      <c r="N1055">
        <v>50</v>
      </c>
      <c r="O1055">
        <v>46259</v>
      </c>
      <c r="P1055">
        <v>25</v>
      </c>
    </row>
    <row r="1056" spans="1:16" x14ac:dyDescent="0.4">
      <c r="A1056">
        <v>516</v>
      </c>
      <c r="B1056" t="s">
        <v>4915</v>
      </c>
      <c r="G1056" t="s">
        <v>3932</v>
      </c>
      <c r="H1056" t="s">
        <v>3931</v>
      </c>
      <c r="I1056">
        <v>88</v>
      </c>
      <c r="K1056" t="s">
        <v>3585</v>
      </c>
      <c r="L1056">
        <v>46268</v>
      </c>
      <c r="M1056">
        <v>92574</v>
      </c>
      <c r="N1056">
        <v>88</v>
      </c>
      <c r="O1056">
        <v>46268</v>
      </c>
      <c r="P1056">
        <v>0</v>
      </c>
    </row>
    <row r="1057" spans="1:16" x14ac:dyDescent="0.4">
      <c r="A1057">
        <v>99</v>
      </c>
      <c r="B1057" t="s">
        <v>4915</v>
      </c>
      <c r="G1057" t="s">
        <v>4063</v>
      </c>
      <c r="H1057" t="s">
        <v>4062</v>
      </c>
      <c r="I1057">
        <v>93</v>
      </c>
      <c r="K1057" t="s">
        <v>4922</v>
      </c>
      <c r="L1057">
        <v>46224</v>
      </c>
      <c r="M1057">
        <v>92574</v>
      </c>
      <c r="N1057">
        <v>50</v>
      </c>
      <c r="O1057">
        <v>46259</v>
      </c>
      <c r="P1057">
        <v>43</v>
      </c>
    </row>
    <row r="1058" spans="1:16" x14ac:dyDescent="0.4">
      <c r="A1058">
        <v>112</v>
      </c>
      <c r="B1058" t="s">
        <v>4915</v>
      </c>
      <c r="G1058" t="s">
        <v>3898</v>
      </c>
      <c r="H1058" t="s">
        <v>4925</v>
      </c>
      <c r="I1058">
        <v>100</v>
      </c>
      <c r="K1058" t="s">
        <v>3896</v>
      </c>
      <c r="L1058">
        <v>46224</v>
      </c>
      <c r="M1058">
        <v>92574</v>
      </c>
      <c r="N1058">
        <v>50</v>
      </c>
      <c r="O1058">
        <v>46259</v>
      </c>
      <c r="P1058">
        <v>50</v>
      </c>
    </row>
    <row r="1059" spans="1:16" x14ac:dyDescent="0.4">
      <c r="A1059">
        <v>132</v>
      </c>
      <c r="B1059" t="s">
        <v>4915</v>
      </c>
      <c r="G1059" t="s">
        <v>3798</v>
      </c>
      <c r="H1059" t="s">
        <v>4927</v>
      </c>
      <c r="I1059">
        <v>100</v>
      </c>
      <c r="K1059" t="s">
        <v>4724</v>
      </c>
      <c r="L1059">
        <v>46224</v>
      </c>
      <c r="M1059">
        <v>92574</v>
      </c>
      <c r="N1059">
        <v>50</v>
      </c>
      <c r="O1059">
        <v>46259</v>
      </c>
      <c r="P1059">
        <v>50</v>
      </c>
    </row>
    <row r="1060" spans="1:16" x14ac:dyDescent="0.4">
      <c r="A1060">
        <v>300</v>
      </c>
      <c r="B1060" t="s">
        <v>4915</v>
      </c>
      <c r="D1060" t="s">
        <v>4901</v>
      </c>
      <c r="G1060" t="s">
        <v>3831</v>
      </c>
      <c r="H1060" t="s">
        <v>3830</v>
      </c>
      <c r="I1060">
        <v>100</v>
      </c>
      <c r="K1060" t="s">
        <v>3823</v>
      </c>
      <c r="L1060">
        <v>46232</v>
      </c>
      <c r="M1060">
        <v>92574</v>
      </c>
      <c r="N1060">
        <v>38</v>
      </c>
      <c r="O1060">
        <v>46259</v>
      </c>
      <c r="P1060">
        <v>62</v>
      </c>
    </row>
    <row r="1061" spans="1:16" x14ac:dyDescent="0.4">
      <c r="A1061">
        <v>320</v>
      </c>
      <c r="B1061" t="s">
        <v>4915</v>
      </c>
      <c r="D1061" t="s">
        <v>4901</v>
      </c>
      <c r="G1061" t="s">
        <v>3804</v>
      </c>
      <c r="H1061" t="s">
        <v>3803</v>
      </c>
      <c r="I1061">
        <v>100</v>
      </c>
      <c r="K1061" t="s">
        <v>4743</v>
      </c>
      <c r="L1061">
        <v>46254</v>
      </c>
      <c r="M1061">
        <v>92574</v>
      </c>
      <c r="N1061">
        <v>44</v>
      </c>
      <c r="O1061">
        <v>46259</v>
      </c>
      <c r="P1061">
        <v>56</v>
      </c>
    </row>
    <row r="1062" spans="1:16" x14ac:dyDescent="0.4">
      <c r="A1062">
        <v>332</v>
      </c>
      <c r="B1062" t="s">
        <v>4915</v>
      </c>
      <c r="D1062" t="s">
        <v>4901</v>
      </c>
      <c r="G1062" t="s">
        <v>3843</v>
      </c>
      <c r="H1062" t="s">
        <v>3842</v>
      </c>
      <c r="I1062">
        <v>100</v>
      </c>
      <c r="K1062" t="s">
        <v>3839</v>
      </c>
      <c r="L1062">
        <v>46232</v>
      </c>
      <c r="M1062">
        <v>92574</v>
      </c>
      <c r="N1062">
        <v>50</v>
      </c>
      <c r="O1062">
        <v>46259</v>
      </c>
      <c r="P1062">
        <v>50</v>
      </c>
    </row>
    <row r="1063" spans="1:16" x14ac:dyDescent="0.4">
      <c r="A1063">
        <v>338</v>
      </c>
      <c r="B1063" t="s">
        <v>4915</v>
      </c>
      <c r="D1063" t="s">
        <v>4901</v>
      </c>
      <c r="G1063" t="s">
        <v>3853</v>
      </c>
      <c r="H1063" t="s">
        <v>3852</v>
      </c>
      <c r="I1063">
        <v>100</v>
      </c>
      <c r="K1063" t="s">
        <v>3854</v>
      </c>
      <c r="L1063">
        <v>46232</v>
      </c>
      <c r="M1063">
        <v>92574</v>
      </c>
      <c r="N1063">
        <v>50</v>
      </c>
      <c r="O1063">
        <v>46259</v>
      </c>
      <c r="P1063">
        <v>50</v>
      </c>
    </row>
    <row r="1064" spans="1:16" x14ac:dyDescent="0.4">
      <c r="A1064">
        <v>350</v>
      </c>
      <c r="B1064" t="s">
        <v>4915</v>
      </c>
      <c r="D1064" t="s">
        <v>4901</v>
      </c>
      <c r="G1064" t="s">
        <v>3917</v>
      </c>
      <c r="H1064" t="s">
        <v>3916</v>
      </c>
      <c r="I1064">
        <v>100</v>
      </c>
      <c r="K1064" t="s">
        <v>3871</v>
      </c>
      <c r="L1064">
        <v>46253</v>
      </c>
      <c r="M1064">
        <v>92574</v>
      </c>
      <c r="N1064">
        <v>27</v>
      </c>
      <c r="O1064">
        <v>46259</v>
      </c>
      <c r="P1064">
        <v>73</v>
      </c>
    </row>
    <row r="1065" spans="1:16" x14ac:dyDescent="0.4">
      <c r="A1065">
        <v>360</v>
      </c>
      <c r="B1065" t="s">
        <v>4915</v>
      </c>
      <c r="D1065" t="s">
        <v>4901</v>
      </c>
      <c r="G1065" t="s">
        <v>4034</v>
      </c>
      <c r="H1065" t="s">
        <v>4924</v>
      </c>
      <c r="I1065">
        <v>100</v>
      </c>
      <c r="K1065" t="s">
        <v>4723</v>
      </c>
      <c r="L1065">
        <v>46253</v>
      </c>
      <c r="M1065">
        <v>92574</v>
      </c>
      <c r="N1065">
        <v>41</v>
      </c>
      <c r="O1065">
        <v>46259</v>
      </c>
      <c r="P1065">
        <v>59</v>
      </c>
    </row>
    <row r="1066" spans="1:16" x14ac:dyDescent="0.4">
      <c r="A1066">
        <v>405</v>
      </c>
      <c r="B1066" t="s">
        <v>4915</v>
      </c>
      <c r="D1066" t="s">
        <v>4901</v>
      </c>
      <c r="G1066" t="s">
        <v>4030</v>
      </c>
      <c r="H1066" t="s">
        <v>4029</v>
      </c>
      <c r="I1066">
        <v>100</v>
      </c>
      <c r="K1066" t="s">
        <v>3875</v>
      </c>
      <c r="L1066">
        <v>46259</v>
      </c>
      <c r="M1066">
        <v>92574</v>
      </c>
      <c r="N1066">
        <v>100</v>
      </c>
      <c r="O1066">
        <v>46259</v>
      </c>
      <c r="P1066">
        <v>0</v>
      </c>
    </row>
    <row r="1067" spans="1:16" x14ac:dyDescent="0.4">
      <c r="A1067">
        <v>406</v>
      </c>
      <c r="B1067" t="s">
        <v>4915</v>
      </c>
      <c r="D1067" t="s">
        <v>4901</v>
      </c>
      <c r="G1067" t="s">
        <v>4621</v>
      </c>
      <c r="H1067">
        <v>0</v>
      </c>
      <c r="I1067">
        <v>100</v>
      </c>
      <c r="K1067" t="s">
        <v>4088</v>
      </c>
      <c r="L1067">
        <v>46259</v>
      </c>
      <c r="M1067">
        <v>92574</v>
      </c>
      <c r="N1067">
        <v>36</v>
      </c>
      <c r="O1067">
        <v>46259</v>
      </c>
      <c r="P1067">
        <v>64</v>
      </c>
    </row>
    <row r="1068" spans="1:16" x14ac:dyDescent="0.4">
      <c r="A1068">
        <v>409</v>
      </c>
      <c r="B1068" t="s">
        <v>4915</v>
      </c>
      <c r="D1068" t="s">
        <v>4901</v>
      </c>
      <c r="G1068" t="s">
        <v>3806</v>
      </c>
      <c r="H1068" t="s">
        <v>4923</v>
      </c>
      <c r="I1068">
        <v>100</v>
      </c>
      <c r="K1068" t="s">
        <v>4832</v>
      </c>
      <c r="L1068">
        <v>46223</v>
      </c>
      <c r="M1068">
        <v>92574</v>
      </c>
      <c r="N1068">
        <v>50</v>
      </c>
      <c r="O1068">
        <v>46259</v>
      </c>
      <c r="P1068">
        <v>50</v>
      </c>
    </row>
    <row r="1069" spans="1:16" x14ac:dyDescent="0.4">
      <c r="A1069">
        <v>88</v>
      </c>
      <c r="B1069" t="s">
        <v>4915</v>
      </c>
      <c r="G1069" t="s">
        <v>4017</v>
      </c>
      <c r="H1069" t="s">
        <v>4016</v>
      </c>
      <c r="I1069">
        <v>101</v>
      </c>
      <c r="K1069" t="s">
        <v>4739</v>
      </c>
      <c r="L1069">
        <v>46224</v>
      </c>
      <c r="M1069">
        <v>92574</v>
      </c>
      <c r="N1069">
        <v>50</v>
      </c>
      <c r="O1069">
        <v>46259</v>
      </c>
      <c r="P1069">
        <v>51</v>
      </c>
    </row>
    <row r="1070" spans="1:16" x14ac:dyDescent="0.4">
      <c r="A1070">
        <v>373</v>
      </c>
      <c r="B1070" t="s">
        <v>4915</v>
      </c>
      <c r="G1070" t="s">
        <v>3934</v>
      </c>
      <c r="H1070" t="s">
        <v>3933</v>
      </c>
      <c r="I1070">
        <v>106</v>
      </c>
      <c r="K1070" t="s">
        <v>3935</v>
      </c>
      <c r="L1070">
        <v>46230</v>
      </c>
      <c r="M1070">
        <v>92574</v>
      </c>
      <c r="N1070">
        <v>50</v>
      </c>
      <c r="O1070">
        <v>46259</v>
      </c>
      <c r="P1070">
        <v>56</v>
      </c>
    </row>
    <row r="1071" spans="1:16" x14ac:dyDescent="0.4">
      <c r="A1071">
        <v>149</v>
      </c>
      <c r="B1071" t="s">
        <v>4915</v>
      </c>
      <c r="G1071" t="s">
        <v>3925</v>
      </c>
      <c r="H1071" t="s">
        <v>3924</v>
      </c>
      <c r="I1071">
        <v>108</v>
      </c>
      <c r="K1071" t="s">
        <v>3836</v>
      </c>
      <c r="L1071">
        <v>46226</v>
      </c>
      <c r="M1071">
        <v>92574</v>
      </c>
      <c r="N1071">
        <v>100</v>
      </c>
      <c r="O1071">
        <v>46259</v>
      </c>
      <c r="P1071">
        <v>8</v>
      </c>
    </row>
    <row r="1072" spans="1:16" x14ac:dyDescent="0.4">
      <c r="A1072">
        <v>153</v>
      </c>
      <c r="B1072" t="s">
        <v>4915</v>
      </c>
      <c r="G1072" t="s">
        <v>4012</v>
      </c>
      <c r="H1072" t="s">
        <v>4011</v>
      </c>
      <c r="I1072">
        <v>109</v>
      </c>
      <c r="K1072" t="s">
        <v>3871</v>
      </c>
      <c r="L1072">
        <v>46226</v>
      </c>
      <c r="M1072">
        <v>92574</v>
      </c>
      <c r="N1072">
        <v>100</v>
      </c>
      <c r="O1072">
        <v>46259</v>
      </c>
      <c r="P1072">
        <v>9</v>
      </c>
    </row>
    <row r="1073" spans="1:16" x14ac:dyDescent="0.4">
      <c r="A1073">
        <v>366</v>
      </c>
      <c r="B1073" t="s">
        <v>4915</v>
      </c>
      <c r="D1073" t="s">
        <v>4901</v>
      </c>
      <c r="G1073" t="s">
        <v>4282</v>
      </c>
      <c r="H1073" t="s">
        <v>4281</v>
      </c>
      <c r="I1073">
        <v>110</v>
      </c>
      <c r="K1073" t="s">
        <v>2992</v>
      </c>
      <c r="L1073">
        <v>46252</v>
      </c>
      <c r="M1073">
        <v>92574</v>
      </c>
      <c r="N1073">
        <v>50</v>
      </c>
      <c r="O1073">
        <v>46259</v>
      </c>
      <c r="P1073">
        <v>60</v>
      </c>
    </row>
    <row r="1074" spans="1:16" x14ac:dyDescent="0.4">
      <c r="A1074">
        <v>142</v>
      </c>
      <c r="B1074" t="s">
        <v>4915</v>
      </c>
      <c r="G1074" t="s">
        <v>4738</v>
      </c>
      <c r="H1074">
        <v>0</v>
      </c>
      <c r="I1074">
        <v>111</v>
      </c>
      <c r="K1074" t="s">
        <v>3910</v>
      </c>
      <c r="L1074">
        <v>46224</v>
      </c>
      <c r="M1074">
        <v>92574</v>
      </c>
      <c r="N1074">
        <v>50</v>
      </c>
      <c r="O1074">
        <v>46259</v>
      </c>
      <c r="P1074">
        <v>61</v>
      </c>
    </row>
    <row r="1075" spans="1:16" x14ac:dyDescent="0.4">
      <c r="A1075">
        <v>143</v>
      </c>
      <c r="B1075" t="s">
        <v>4915</v>
      </c>
      <c r="G1075" t="s">
        <v>2907</v>
      </c>
      <c r="H1075" t="s">
        <v>2906</v>
      </c>
      <c r="I1075">
        <v>120</v>
      </c>
      <c r="K1075" t="s">
        <v>2992</v>
      </c>
      <c r="L1075">
        <v>46224</v>
      </c>
      <c r="M1075">
        <v>92574</v>
      </c>
      <c r="N1075">
        <v>50</v>
      </c>
      <c r="O1075">
        <v>46259</v>
      </c>
      <c r="P1075">
        <v>70</v>
      </c>
    </row>
    <row r="1076" spans="1:16" x14ac:dyDescent="0.4">
      <c r="A1076">
        <v>392</v>
      </c>
      <c r="B1076" t="s">
        <v>4915</v>
      </c>
      <c r="G1076" t="s">
        <v>3999</v>
      </c>
      <c r="H1076" t="s">
        <v>3998</v>
      </c>
      <c r="I1076">
        <v>155</v>
      </c>
      <c r="K1076" t="s">
        <v>3782</v>
      </c>
      <c r="L1076">
        <v>46253</v>
      </c>
      <c r="M1076">
        <v>92574</v>
      </c>
      <c r="N1076">
        <v>50</v>
      </c>
      <c r="O1076">
        <v>46259</v>
      </c>
      <c r="P1076">
        <v>105</v>
      </c>
    </row>
    <row r="1077" spans="1:16" x14ac:dyDescent="0.4">
      <c r="A1077">
        <v>403</v>
      </c>
      <c r="B1077" t="s">
        <v>4915</v>
      </c>
      <c r="D1077" t="s">
        <v>4901</v>
      </c>
      <c r="G1077" t="s">
        <v>4736</v>
      </c>
      <c r="H1077">
        <v>0</v>
      </c>
      <c r="I1077">
        <v>155</v>
      </c>
      <c r="K1077" t="s">
        <v>4046</v>
      </c>
      <c r="L1077">
        <v>46255</v>
      </c>
      <c r="M1077">
        <v>92574</v>
      </c>
      <c r="N1077">
        <v>150</v>
      </c>
      <c r="O1077">
        <v>46259</v>
      </c>
      <c r="P1077">
        <v>5</v>
      </c>
    </row>
    <row r="1078" spans="1:16" x14ac:dyDescent="0.4">
      <c r="A1078">
        <v>151</v>
      </c>
      <c r="B1078" t="s">
        <v>4915</v>
      </c>
      <c r="G1078" t="s">
        <v>3795</v>
      </c>
      <c r="H1078" t="s">
        <v>4926</v>
      </c>
      <c r="I1078">
        <v>158</v>
      </c>
      <c r="K1078" t="s">
        <v>4743</v>
      </c>
      <c r="L1078">
        <v>46226</v>
      </c>
      <c r="M1078">
        <v>92574</v>
      </c>
      <c r="N1078">
        <v>100</v>
      </c>
      <c r="O1078">
        <v>46259</v>
      </c>
      <c r="P1078">
        <v>58</v>
      </c>
    </row>
    <row r="1079" spans="1:16" x14ac:dyDescent="0.4">
      <c r="A1079">
        <v>117</v>
      </c>
      <c r="B1079" t="s">
        <v>4915</v>
      </c>
      <c r="G1079" t="s">
        <v>4045</v>
      </c>
      <c r="H1079" t="s">
        <v>4044</v>
      </c>
      <c r="I1079">
        <v>165</v>
      </c>
      <c r="K1079" t="s">
        <v>4046</v>
      </c>
      <c r="L1079">
        <v>46224</v>
      </c>
      <c r="M1079">
        <v>92574</v>
      </c>
      <c r="N1079">
        <v>50</v>
      </c>
      <c r="O1079">
        <v>46259</v>
      </c>
      <c r="P1079">
        <v>115</v>
      </c>
    </row>
    <row r="1080" spans="1:16" x14ac:dyDescent="0.4">
      <c r="A1080">
        <v>102</v>
      </c>
      <c r="B1080" t="s">
        <v>4915</v>
      </c>
      <c r="G1080" t="s">
        <v>4056</v>
      </c>
      <c r="H1080" t="s">
        <v>4055</v>
      </c>
      <c r="I1080">
        <v>166</v>
      </c>
      <c r="K1080" t="s">
        <v>4015</v>
      </c>
      <c r="L1080">
        <v>46224</v>
      </c>
      <c r="M1080">
        <v>92574</v>
      </c>
      <c r="N1080">
        <v>50</v>
      </c>
      <c r="O1080">
        <v>46259</v>
      </c>
      <c r="P1080">
        <v>116</v>
      </c>
    </row>
    <row r="1081" spans="1:16" x14ac:dyDescent="0.4">
      <c r="A1081">
        <v>109</v>
      </c>
      <c r="B1081" t="s">
        <v>4915</v>
      </c>
      <c r="G1081" t="s">
        <v>2923</v>
      </c>
      <c r="H1081" t="s">
        <v>2922</v>
      </c>
      <c r="I1081">
        <v>177</v>
      </c>
      <c r="K1081" t="s">
        <v>2924</v>
      </c>
      <c r="L1081">
        <v>46224</v>
      </c>
      <c r="M1081">
        <v>92574</v>
      </c>
      <c r="N1081">
        <v>100</v>
      </c>
      <c r="O1081">
        <v>46259</v>
      </c>
      <c r="P1081">
        <v>77</v>
      </c>
    </row>
    <row r="1082" spans="1:16" x14ac:dyDescent="0.4">
      <c r="A1082">
        <v>95</v>
      </c>
      <c r="B1082" t="s">
        <v>4915</v>
      </c>
      <c r="G1082" t="s">
        <v>3791</v>
      </c>
      <c r="H1082" t="s">
        <v>4919</v>
      </c>
      <c r="I1082">
        <v>187</v>
      </c>
      <c r="K1082" t="s">
        <v>4741</v>
      </c>
      <c r="L1082">
        <v>46224</v>
      </c>
      <c r="M1082">
        <v>92574</v>
      </c>
      <c r="N1082">
        <v>50</v>
      </c>
      <c r="O1082">
        <v>46259</v>
      </c>
      <c r="P1082">
        <v>137</v>
      </c>
    </row>
    <row r="1083" spans="1:16" x14ac:dyDescent="0.4">
      <c r="A1083">
        <v>367</v>
      </c>
      <c r="B1083" t="s">
        <v>4915</v>
      </c>
      <c r="G1083" t="s">
        <v>3801</v>
      </c>
      <c r="H1083" t="s">
        <v>3800</v>
      </c>
      <c r="I1083">
        <v>199</v>
      </c>
      <c r="K1083" t="s">
        <v>4744</v>
      </c>
      <c r="L1083">
        <v>46253</v>
      </c>
      <c r="M1083">
        <v>92574</v>
      </c>
      <c r="N1083">
        <v>50</v>
      </c>
      <c r="O1083">
        <v>46259</v>
      </c>
      <c r="P1083">
        <v>149</v>
      </c>
    </row>
    <row r="1084" spans="1:16" x14ac:dyDescent="0.4">
      <c r="A1084">
        <v>111</v>
      </c>
      <c r="B1084" t="s">
        <v>4915</v>
      </c>
      <c r="G1084" t="s">
        <v>4028</v>
      </c>
      <c r="H1084" t="s">
        <v>4027</v>
      </c>
      <c r="I1084">
        <v>200</v>
      </c>
      <c r="K1084" t="s">
        <v>3875</v>
      </c>
      <c r="L1084">
        <v>46224</v>
      </c>
      <c r="M1084">
        <v>92574</v>
      </c>
      <c r="N1084">
        <v>50</v>
      </c>
      <c r="O1084">
        <v>46259</v>
      </c>
      <c r="P1084">
        <v>150</v>
      </c>
    </row>
    <row r="1085" spans="1:16" x14ac:dyDescent="0.4">
      <c r="A1085">
        <v>301</v>
      </c>
      <c r="B1085" t="s">
        <v>4915</v>
      </c>
      <c r="D1085" t="s">
        <v>4901</v>
      </c>
      <c r="G1085" t="s">
        <v>4010</v>
      </c>
      <c r="H1085" t="s">
        <v>4009</v>
      </c>
      <c r="I1085">
        <v>200</v>
      </c>
      <c r="K1085" t="s">
        <v>4002</v>
      </c>
      <c r="L1085">
        <v>46230</v>
      </c>
      <c r="M1085">
        <v>92574</v>
      </c>
      <c r="N1085">
        <v>50</v>
      </c>
      <c r="O1085">
        <v>46259</v>
      </c>
      <c r="P1085">
        <v>150</v>
      </c>
    </row>
    <row r="1086" spans="1:16" x14ac:dyDescent="0.4">
      <c r="A1086">
        <v>303</v>
      </c>
      <c r="B1086" t="s">
        <v>4915</v>
      </c>
      <c r="D1086" t="s">
        <v>4901</v>
      </c>
      <c r="G1086" t="s">
        <v>4008</v>
      </c>
      <c r="H1086" t="s">
        <v>4007</v>
      </c>
      <c r="I1086">
        <v>200</v>
      </c>
      <c r="K1086" t="s">
        <v>4002</v>
      </c>
      <c r="L1086">
        <v>46230</v>
      </c>
      <c r="M1086">
        <v>92574</v>
      </c>
      <c r="N1086">
        <v>50</v>
      </c>
      <c r="O1086">
        <v>46259</v>
      </c>
      <c r="P1086">
        <v>150</v>
      </c>
    </row>
    <row r="1087" spans="1:16" x14ac:dyDescent="0.4">
      <c r="A1087">
        <v>390</v>
      </c>
      <c r="B1087" t="s">
        <v>4915</v>
      </c>
      <c r="G1087" t="s">
        <v>3997</v>
      </c>
      <c r="H1087" t="s">
        <v>3996</v>
      </c>
      <c r="I1087">
        <v>201</v>
      </c>
      <c r="K1087" t="s">
        <v>3896</v>
      </c>
      <c r="L1087">
        <v>46225</v>
      </c>
      <c r="M1087">
        <v>92574</v>
      </c>
      <c r="N1087">
        <v>50</v>
      </c>
      <c r="O1087">
        <v>46259</v>
      </c>
      <c r="P1087">
        <v>151</v>
      </c>
    </row>
    <row r="1088" spans="1:16" x14ac:dyDescent="0.4">
      <c r="A1088">
        <v>94</v>
      </c>
      <c r="B1088" t="s">
        <v>4915</v>
      </c>
      <c r="G1088" t="s">
        <v>3811</v>
      </c>
      <c r="H1088" t="s">
        <v>3810</v>
      </c>
      <c r="I1088">
        <v>235</v>
      </c>
      <c r="K1088" t="s">
        <v>2924</v>
      </c>
      <c r="L1088">
        <v>46224</v>
      </c>
      <c r="M1088">
        <v>92574</v>
      </c>
      <c r="N1088">
        <v>235</v>
      </c>
      <c r="O1088">
        <v>46259</v>
      </c>
      <c r="P1088">
        <v>0</v>
      </c>
    </row>
    <row r="1089" spans="1:16" x14ac:dyDescent="0.4">
      <c r="A1089">
        <v>104</v>
      </c>
      <c r="B1089" t="s">
        <v>4915</v>
      </c>
      <c r="G1089" t="s">
        <v>3889</v>
      </c>
      <c r="H1089" t="s">
        <v>3888</v>
      </c>
      <c r="I1089">
        <v>244</v>
      </c>
      <c r="K1089" t="s">
        <v>3883</v>
      </c>
      <c r="L1089">
        <v>46224</v>
      </c>
      <c r="M1089">
        <v>92574</v>
      </c>
      <c r="N1089">
        <v>50</v>
      </c>
      <c r="O1089">
        <v>46259</v>
      </c>
      <c r="P1089">
        <v>194</v>
      </c>
    </row>
    <row r="1090" spans="1:16" x14ac:dyDescent="0.4">
      <c r="A1090">
        <v>374</v>
      </c>
      <c r="B1090" t="s">
        <v>4915</v>
      </c>
      <c r="G1090" t="s">
        <v>3945</v>
      </c>
      <c r="H1090" t="s">
        <v>3944</v>
      </c>
      <c r="I1090">
        <v>248</v>
      </c>
      <c r="K1090" t="s">
        <v>3946</v>
      </c>
      <c r="L1090">
        <v>46253</v>
      </c>
      <c r="M1090">
        <v>92574</v>
      </c>
      <c r="N1090">
        <v>50</v>
      </c>
      <c r="O1090">
        <v>46259</v>
      </c>
      <c r="P1090">
        <v>198</v>
      </c>
    </row>
    <row r="1091" spans="1:16" x14ac:dyDescent="0.4">
      <c r="A1091">
        <v>114</v>
      </c>
      <c r="B1091" t="s">
        <v>4915</v>
      </c>
      <c r="G1091" t="s">
        <v>3902</v>
      </c>
      <c r="H1091" t="s">
        <v>3901</v>
      </c>
      <c r="I1091">
        <v>255</v>
      </c>
      <c r="K1091" t="s">
        <v>3896</v>
      </c>
      <c r="L1091">
        <v>46224</v>
      </c>
      <c r="M1091">
        <v>92574</v>
      </c>
      <c r="N1091">
        <v>50</v>
      </c>
      <c r="O1091">
        <v>46259</v>
      </c>
      <c r="P1091">
        <v>205</v>
      </c>
    </row>
    <row r="1092" spans="1:16" x14ac:dyDescent="0.4">
      <c r="A1092">
        <v>396</v>
      </c>
      <c r="B1092" t="s">
        <v>4915</v>
      </c>
      <c r="G1092" t="s">
        <v>4622</v>
      </c>
      <c r="H1092">
        <v>0</v>
      </c>
      <c r="I1092">
        <v>255</v>
      </c>
      <c r="K1092" t="s">
        <v>4728</v>
      </c>
      <c r="L1092">
        <v>46253</v>
      </c>
      <c r="M1092">
        <v>92574</v>
      </c>
      <c r="N1092">
        <v>50</v>
      </c>
      <c r="O1092">
        <v>46259</v>
      </c>
      <c r="P1092">
        <v>205</v>
      </c>
    </row>
    <row r="1093" spans="1:16" x14ac:dyDescent="0.4">
      <c r="A1093">
        <v>383</v>
      </c>
      <c r="B1093" t="s">
        <v>4915</v>
      </c>
      <c r="G1093" t="s">
        <v>3985</v>
      </c>
      <c r="H1093" t="s">
        <v>3984</v>
      </c>
      <c r="I1093">
        <v>281</v>
      </c>
      <c r="K1093" t="s">
        <v>3986</v>
      </c>
      <c r="L1093">
        <v>46233</v>
      </c>
      <c r="M1093">
        <v>92574</v>
      </c>
      <c r="N1093">
        <v>50</v>
      </c>
      <c r="O1093">
        <v>46259</v>
      </c>
      <c r="P1093">
        <v>231</v>
      </c>
    </row>
    <row r="1094" spans="1:16" x14ac:dyDescent="0.4">
      <c r="A1094">
        <v>375</v>
      </c>
      <c r="B1094" t="s">
        <v>4915</v>
      </c>
      <c r="G1094" t="s">
        <v>3953</v>
      </c>
      <c r="H1094" t="s">
        <v>3952</v>
      </c>
      <c r="I1094">
        <v>292</v>
      </c>
      <c r="K1094" t="s">
        <v>4920</v>
      </c>
      <c r="L1094">
        <v>46227</v>
      </c>
      <c r="M1094">
        <v>92574</v>
      </c>
      <c r="N1094">
        <v>50</v>
      </c>
      <c r="O1094">
        <v>46259</v>
      </c>
      <c r="P1094">
        <v>242</v>
      </c>
    </row>
    <row r="1095" spans="1:16" x14ac:dyDescent="0.4">
      <c r="A1095">
        <v>318</v>
      </c>
      <c r="B1095" t="s">
        <v>4915</v>
      </c>
      <c r="G1095" t="s">
        <v>3793</v>
      </c>
      <c r="H1095" t="s">
        <v>3792</v>
      </c>
      <c r="I1095">
        <v>412</v>
      </c>
      <c r="K1095" t="s">
        <v>4740</v>
      </c>
      <c r="L1095">
        <v>46234</v>
      </c>
      <c r="M1095">
        <v>92574</v>
      </c>
      <c r="N1095">
        <v>50</v>
      </c>
      <c r="O1095">
        <v>46259</v>
      </c>
      <c r="P1095">
        <v>362</v>
      </c>
    </row>
    <row r="1096" spans="1:16" x14ac:dyDescent="0.4">
      <c r="A1096">
        <v>98</v>
      </c>
      <c r="B1096" t="s">
        <v>4915</v>
      </c>
      <c r="G1096" t="s">
        <v>3788</v>
      </c>
      <c r="H1096" t="s">
        <v>4921</v>
      </c>
      <c r="I1096">
        <v>463</v>
      </c>
      <c r="K1096" t="s">
        <v>4742</v>
      </c>
      <c r="L1096">
        <v>46224</v>
      </c>
      <c r="M1096">
        <v>92574</v>
      </c>
      <c r="N1096">
        <v>50</v>
      </c>
      <c r="O1096">
        <v>46259</v>
      </c>
      <c r="P1096">
        <v>413</v>
      </c>
    </row>
    <row r="1097" spans="1:16" x14ac:dyDescent="0.4">
      <c r="A1097">
        <v>347</v>
      </c>
      <c r="B1097" t="s">
        <v>4915</v>
      </c>
      <c r="D1097" t="s">
        <v>4901</v>
      </c>
      <c r="G1097" t="s">
        <v>3908</v>
      </c>
      <c r="H1097" t="s">
        <v>3907</v>
      </c>
      <c r="I1097">
        <v>500</v>
      </c>
      <c r="K1097" t="s">
        <v>3867</v>
      </c>
      <c r="L1097">
        <v>46248</v>
      </c>
      <c r="M1097">
        <v>92574</v>
      </c>
      <c r="N1097">
        <v>200</v>
      </c>
      <c r="O1097">
        <v>46259</v>
      </c>
      <c r="P1097">
        <v>300</v>
      </c>
    </row>
    <row r="1098" spans="1:16" x14ac:dyDescent="0.4">
      <c r="A1098">
        <v>404</v>
      </c>
      <c r="B1098" t="s">
        <v>4915</v>
      </c>
      <c r="D1098" t="s">
        <v>4901</v>
      </c>
      <c r="G1098" t="s">
        <v>3811</v>
      </c>
      <c r="H1098" t="s">
        <v>3810</v>
      </c>
      <c r="I1098">
        <v>600</v>
      </c>
      <c r="K1098" t="s">
        <v>2924</v>
      </c>
      <c r="L1098">
        <v>46254</v>
      </c>
      <c r="M1098">
        <v>92574</v>
      </c>
      <c r="N1098">
        <v>65</v>
      </c>
      <c r="O1098">
        <v>46259</v>
      </c>
      <c r="P1098">
        <v>535</v>
      </c>
    </row>
    <row r="1099" spans="1:16" x14ac:dyDescent="0.4">
      <c r="A1099">
        <v>507</v>
      </c>
      <c r="B1099" t="s">
        <v>4915</v>
      </c>
      <c r="D1099" t="s">
        <v>4901</v>
      </c>
      <c r="E1099" t="s">
        <v>4940</v>
      </c>
      <c r="F1099" t="s">
        <v>4937</v>
      </c>
      <c r="G1099" t="s">
        <v>3966</v>
      </c>
      <c r="H1099" t="s">
        <v>3965</v>
      </c>
      <c r="I1099">
        <v>770</v>
      </c>
      <c r="K1099" t="s">
        <v>3967</v>
      </c>
      <c r="L1099">
        <v>46259</v>
      </c>
      <c r="M1099">
        <v>92574</v>
      </c>
      <c r="N1099">
        <v>50</v>
      </c>
      <c r="O1099">
        <v>46268</v>
      </c>
      <c r="P1099">
        <v>720</v>
      </c>
    </row>
    <row r="1100" spans="1:16" x14ac:dyDescent="0.4">
      <c r="A1100">
        <v>91</v>
      </c>
      <c r="B1100" t="s">
        <v>4915</v>
      </c>
      <c r="G1100" t="s">
        <v>3813</v>
      </c>
      <c r="H1100" t="s">
        <v>3812</v>
      </c>
      <c r="I1100">
        <v>1021</v>
      </c>
      <c r="K1100" t="s">
        <v>2924</v>
      </c>
      <c r="L1100">
        <v>46224</v>
      </c>
      <c r="M1100">
        <v>92574</v>
      </c>
      <c r="N1100">
        <v>50</v>
      </c>
      <c r="O1100">
        <v>46259</v>
      </c>
      <c r="P1100">
        <v>971</v>
      </c>
    </row>
    <row r="1101" spans="1:16" x14ac:dyDescent="0.4">
      <c r="A1101">
        <v>141</v>
      </c>
      <c r="B1101" t="s">
        <v>4915</v>
      </c>
      <c r="G1101" t="s">
        <v>4032</v>
      </c>
      <c r="H1101" t="s">
        <v>4031</v>
      </c>
      <c r="I1101">
        <v>1553</v>
      </c>
      <c r="K1101" t="s">
        <v>2924</v>
      </c>
      <c r="L1101">
        <v>46224</v>
      </c>
      <c r="M1101">
        <v>92574</v>
      </c>
      <c r="N1101">
        <v>50</v>
      </c>
      <c r="O1101">
        <v>46259</v>
      </c>
      <c r="P1101">
        <v>1503</v>
      </c>
    </row>
    <row r="1102" spans="1:16" x14ac:dyDescent="0.4">
      <c r="A1102">
        <v>480</v>
      </c>
      <c r="B1102" t="s">
        <v>4915</v>
      </c>
      <c r="D1102" t="s">
        <v>4901</v>
      </c>
      <c r="G1102" t="s">
        <v>1123</v>
      </c>
      <c r="H1102" t="s">
        <v>4917</v>
      </c>
      <c r="I1102">
        <v>99</v>
      </c>
      <c r="K1102" t="s">
        <v>4918</v>
      </c>
      <c r="L1102">
        <v>46261</v>
      </c>
      <c r="M1102">
        <v>92575</v>
      </c>
      <c r="N1102">
        <v>3</v>
      </c>
      <c r="O1102">
        <v>46274</v>
      </c>
      <c r="P1102">
        <v>96</v>
      </c>
    </row>
    <row r="1103" spans="1:16" x14ac:dyDescent="0.4">
      <c r="A1103">
        <v>732</v>
      </c>
      <c r="B1103" t="s">
        <v>4915</v>
      </c>
      <c r="G1103" t="s">
        <v>2857</v>
      </c>
      <c r="H1103" t="s">
        <v>2856</v>
      </c>
      <c r="I1103">
        <v>130</v>
      </c>
      <c r="K1103" t="s">
        <v>4933</v>
      </c>
      <c r="L1103">
        <v>46240</v>
      </c>
      <c r="M1103">
        <v>92893</v>
      </c>
      <c r="N1103">
        <v>30</v>
      </c>
      <c r="O1103">
        <v>46261</v>
      </c>
      <c r="P1103">
        <v>100</v>
      </c>
    </row>
    <row r="1104" spans="1:16" x14ac:dyDescent="0.4">
      <c r="A1104">
        <v>2087</v>
      </c>
      <c r="B1104" t="s">
        <v>4915</v>
      </c>
      <c r="G1104" t="s">
        <v>1320</v>
      </c>
      <c r="H1104" t="s">
        <v>1319</v>
      </c>
      <c r="I1104">
        <v>5</v>
      </c>
      <c r="K1104" t="s">
        <v>5054</v>
      </c>
      <c r="L1104">
        <v>46287</v>
      </c>
      <c r="M1104">
        <v>92897</v>
      </c>
      <c r="N1104">
        <v>2</v>
      </c>
      <c r="O1104">
        <v>46287</v>
      </c>
      <c r="P1104">
        <v>3</v>
      </c>
    </row>
    <row r="1105" spans="1:16" x14ac:dyDescent="0.4">
      <c r="A1105">
        <v>1155</v>
      </c>
      <c r="B1105" t="s">
        <v>4915</v>
      </c>
      <c r="D1105" t="s">
        <v>4901</v>
      </c>
      <c r="E1105" t="s">
        <v>5158</v>
      </c>
      <c r="F1105" t="s">
        <v>5147</v>
      </c>
      <c r="G1105" t="s">
        <v>1320</v>
      </c>
      <c r="H1105" t="s">
        <v>1319</v>
      </c>
      <c r="I1105">
        <v>11</v>
      </c>
      <c r="K1105" t="s">
        <v>5054</v>
      </c>
      <c r="L1105">
        <v>46281</v>
      </c>
      <c r="M1105">
        <v>92897</v>
      </c>
      <c r="N1105">
        <v>1</v>
      </c>
      <c r="O1105">
        <v>46281</v>
      </c>
      <c r="P1105">
        <v>10</v>
      </c>
    </row>
    <row r="1106" spans="1:16" x14ac:dyDescent="0.4">
      <c r="A1106">
        <v>1863</v>
      </c>
      <c r="B1106" t="s">
        <v>4915</v>
      </c>
      <c r="G1106" t="s">
        <v>2655</v>
      </c>
      <c r="H1106" t="s">
        <v>2654</v>
      </c>
      <c r="I1106">
        <v>105</v>
      </c>
      <c r="K1106" t="s">
        <v>4948</v>
      </c>
      <c r="L1106">
        <v>46295</v>
      </c>
      <c r="M1106">
        <v>93204</v>
      </c>
      <c r="N1106">
        <v>22</v>
      </c>
      <c r="O1106">
        <v>46283</v>
      </c>
      <c r="P1106">
        <v>83</v>
      </c>
    </row>
    <row r="1107" spans="1:16" x14ac:dyDescent="0.4">
      <c r="A1107">
        <v>509</v>
      </c>
      <c r="B1107" t="s">
        <v>4915</v>
      </c>
      <c r="G1107" t="s">
        <v>4736</v>
      </c>
      <c r="H1107">
        <v>0</v>
      </c>
      <c r="I1107">
        <v>2</v>
      </c>
      <c r="K1107" t="s">
        <v>4046</v>
      </c>
      <c r="L1107">
        <v>46268</v>
      </c>
      <c r="M1107">
        <v>93215</v>
      </c>
      <c r="N1107">
        <v>1</v>
      </c>
      <c r="O1107">
        <v>46268</v>
      </c>
      <c r="P1107">
        <v>1</v>
      </c>
    </row>
    <row r="1108" spans="1:16" x14ac:dyDescent="0.4">
      <c r="A1108">
        <v>492</v>
      </c>
      <c r="B1108" t="s">
        <v>4915</v>
      </c>
      <c r="G1108" t="s">
        <v>4736</v>
      </c>
      <c r="H1108">
        <v>0</v>
      </c>
      <c r="I1108">
        <v>4</v>
      </c>
      <c r="K1108" t="s">
        <v>4046</v>
      </c>
      <c r="L1108">
        <v>46268</v>
      </c>
      <c r="M1108">
        <v>93215</v>
      </c>
      <c r="N1108">
        <v>1</v>
      </c>
      <c r="O1108">
        <v>46268</v>
      </c>
      <c r="P1108">
        <v>3</v>
      </c>
    </row>
    <row r="1109" spans="1:16" x14ac:dyDescent="0.4">
      <c r="A1109">
        <v>655</v>
      </c>
      <c r="B1109" t="s">
        <v>4915</v>
      </c>
      <c r="G1109" t="s">
        <v>3900</v>
      </c>
      <c r="H1109" t="s">
        <v>3899</v>
      </c>
      <c r="I1109">
        <v>6</v>
      </c>
      <c r="K1109" t="s">
        <v>4739</v>
      </c>
      <c r="L1109">
        <v>46272</v>
      </c>
      <c r="M1109">
        <v>93215</v>
      </c>
      <c r="N1109">
        <v>1</v>
      </c>
      <c r="O1109">
        <v>46268</v>
      </c>
      <c r="P1109">
        <v>5</v>
      </c>
    </row>
    <row r="1110" spans="1:16" x14ac:dyDescent="0.4">
      <c r="A1110">
        <v>468</v>
      </c>
      <c r="B1110" t="s">
        <v>4915</v>
      </c>
      <c r="G1110" t="s">
        <v>3873</v>
      </c>
      <c r="H1110" t="s">
        <v>3872</v>
      </c>
      <c r="I1110">
        <v>10</v>
      </c>
      <c r="K1110" t="s">
        <v>3867</v>
      </c>
      <c r="L1110">
        <v>46259</v>
      </c>
      <c r="M1110">
        <v>93215</v>
      </c>
      <c r="N1110">
        <v>10</v>
      </c>
      <c r="O1110">
        <v>46268</v>
      </c>
      <c r="P1110">
        <v>0</v>
      </c>
    </row>
    <row r="1111" spans="1:16" x14ac:dyDescent="0.4">
      <c r="A1111">
        <v>653</v>
      </c>
      <c r="B1111" t="s">
        <v>4915</v>
      </c>
      <c r="G1111" t="s">
        <v>3988</v>
      </c>
      <c r="H1111" t="s">
        <v>3987</v>
      </c>
      <c r="I1111">
        <v>10</v>
      </c>
      <c r="K1111" t="s">
        <v>3989</v>
      </c>
      <c r="L1111">
        <v>46272</v>
      </c>
      <c r="M1111">
        <v>93215</v>
      </c>
      <c r="N1111">
        <v>5</v>
      </c>
      <c r="O1111">
        <v>46268</v>
      </c>
      <c r="P1111">
        <v>5</v>
      </c>
    </row>
    <row r="1112" spans="1:16" x14ac:dyDescent="0.4">
      <c r="A1112">
        <v>491</v>
      </c>
      <c r="B1112" t="s">
        <v>4915</v>
      </c>
      <c r="G1112" t="s">
        <v>3988</v>
      </c>
      <c r="H1112" t="s">
        <v>3987</v>
      </c>
      <c r="I1112">
        <v>16</v>
      </c>
      <c r="K1112" t="s">
        <v>3989</v>
      </c>
      <c r="L1112">
        <v>46268</v>
      </c>
      <c r="M1112">
        <v>93215</v>
      </c>
      <c r="N1112">
        <v>5</v>
      </c>
      <c r="O1112">
        <v>46268</v>
      </c>
      <c r="P1112">
        <v>11</v>
      </c>
    </row>
    <row r="1113" spans="1:16" x14ac:dyDescent="0.4">
      <c r="A1113">
        <v>486</v>
      </c>
      <c r="B1113" t="s">
        <v>4915</v>
      </c>
      <c r="D1113" t="s">
        <v>4901</v>
      </c>
      <c r="E1113" t="s">
        <v>4936</v>
      </c>
      <c r="F1113" t="s">
        <v>4937</v>
      </c>
      <c r="G1113" t="s">
        <v>3900</v>
      </c>
      <c r="H1113" t="s">
        <v>3899</v>
      </c>
      <c r="I1113">
        <v>30</v>
      </c>
      <c r="K1113" t="s">
        <v>4739</v>
      </c>
      <c r="L1113">
        <v>46261</v>
      </c>
      <c r="M1113">
        <v>93215</v>
      </c>
      <c r="N1113">
        <v>1</v>
      </c>
      <c r="O1113">
        <v>46268</v>
      </c>
      <c r="P1113">
        <v>29</v>
      </c>
    </row>
    <row r="1114" spans="1:16" x14ac:dyDescent="0.4">
      <c r="A1114">
        <v>497</v>
      </c>
      <c r="B1114" t="s">
        <v>4915</v>
      </c>
      <c r="G1114" t="s">
        <v>3873</v>
      </c>
      <c r="H1114" t="s">
        <v>3872</v>
      </c>
      <c r="I1114">
        <v>76</v>
      </c>
      <c r="K1114" t="s">
        <v>3867</v>
      </c>
      <c r="L1114">
        <v>46268</v>
      </c>
      <c r="M1114">
        <v>93215</v>
      </c>
      <c r="N1114">
        <v>4</v>
      </c>
      <c r="O1114">
        <v>46268</v>
      </c>
      <c r="P1114">
        <v>72</v>
      </c>
    </row>
    <row r="1115" spans="1:16" x14ac:dyDescent="0.4">
      <c r="A1115">
        <v>343</v>
      </c>
      <c r="B1115" t="s">
        <v>4915</v>
      </c>
      <c r="D1115" t="s">
        <v>4901</v>
      </c>
      <c r="G1115" t="s">
        <v>3873</v>
      </c>
      <c r="H1115" t="s">
        <v>3872</v>
      </c>
      <c r="I1115">
        <v>90</v>
      </c>
      <c r="K1115" t="s">
        <v>3867</v>
      </c>
      <c r="L1115">
        <v>46252</v>
      </c>
      <c r="M1115">
        <v>93215</v>
      </c>
      <c r="N1115">
        <v>14</v>
      </c>
      <c r="O1115">
        <v>46268</v>
      </c>
      <c r="P1115">
        <v>76</v>
      </c>
    </row>
    <row r="1116" spans="1:16" x14ac:dyDescent="0.4">
      <c r="A1116">
        <v>666</v>
      </c>
      <c r="B1116" t="s">
        <v>4915</v>
      </c>
      <c r="D1116" t="s">
        <v>4901</v>
      </c>
      <c r="G1116" t="s">
        <v>4004</v>
      </c>
      <c r="H1116" t="s">
        <v>4003</v>
      </c>
      <c r="I1116">
        <v>200</v>
      </c>
      <c r="K1116" t="s">
        <v>4002</v>
      </c>
      <c r="L1116">
        <v>46230</v>
      </c>
      <c r="M1116">
        <v>93215</v>
      </c>
      <c r="N1116">
        <v>2</v>
      </c>
      <c r="O1116">
        <v>46268</v>
      </c>
      <c r="P1116">
        <v>198</v>
      </c>
    </row>
    <row r="1117" spans="1:16" x14ac:dyDescent="0.4">
      <c r="A1117">
        <v>494</v>
      </c>
      <c r="B1117" t="s">
        <v>4915</v>
      </c>
      <c r="G1117" t="s">
        <v>3985</v>
      </c>
      <c r="H1117" t="s">
        <v>3984</v>
      </c>
      <c r="I1117">
        <v>229</v>
      </c>
      <c r="K1117" t="s">
        <v>3986</v>
      </c>
      <c r="L1117">
        <v>46268</v>
      </c>
      <c r="M1117">
        <v>93215</v>
      </c>
      <c r="N1117">
        <v>2</v>
      </c>
      <c r="O1117">
        <v>46268</v>
      </c>
      <c r="P1117">
        <v>227</v>
      </c>
    </row>
    <row r="1118" spans="1:16" x14ac:dyDescent="0.4">
      <c r="A1118">
        <v>421</v>
      </c>
      <c r="B1118" t="s">
        <v>4915</v>
      </c>
      <c r="G1118" t="s">
        <v>3985</v>
      </c>
      <c r="H1118" t="s">
        <v>3984</v>
      </c>
      <c r="I1118">
        <v>231</v>
      </c>
      <c r="K1118" t="s">
        <v>3986</v>
      </c>
      <c r="L1118">
        <v>46259</v>
      </c>
      <c r="M1118">
        <v>93215</v>
      </c>
      <c r="N1118">
        <v>2</v>
      </c>
      <c r="O1118">
        <v>46268</v>
      </c>
      <c r="P1118">
        <v>229</v>
      </c>
    </row>
    <row r="1119" spans="1:16" x14ac:dyDescent="0.4">
      <c r="A1119">
        <v>777</v>
      </c>
      <c r="B1119" t="s">
        <v>4915</v>
      </c>
      <c r="D1119" t="s">
        <v>4901</v>
      </c>
      <c r="G1119" t="s">
        <v>362</v>
      </c>
      <c r="H1119" t="s">
        <v>5022</v>
      </c>
      <c r="I1119">
        <v>45</v>
      </c>
      <c r="K1119" t="s">
        <v>5023</v>
      </c>
      <c r="L1119">
        <v>46266</v>
      </c>
      <c r="M1119">
        <v>93218</v>
      </c>
      <c r="N1119">
        <v>2</v>
      </c>
      <c r="O1119">
        <v>46274</v>
      </c>
      <c r="P1119">
        <v>43</v>
      </c>
    </row>
    <row r="1120" spans="1:16" x14ac:dyDescent="0.4">
      <c r="A1120">
        <v>483</v>
      </c>
      <c r="B1120" t="s">
        <v>4915</v>
      </c>
      <c r="G1120" t="s">
        <v>1123</v>
      </c>
      <c r="H1120" t="s">
        <v>4917</v>
      </c>
      <c r="I1120">
        <v>248</v>
      </c>
      <c r="K1120" t="s">
        <v>4918</v>
      </c>
      <c r="L1120">
        <v>46262</v>
      </c>
      <c r="M1120">
        <v>93218</v>
      </c>
      <c r="N1120">
        <v>2</v>
      </c>
      <c r="O1120">
        <v>46265</v>
      </c>
      <c r="P1120">
        <v>246</v>
      </c>
    </row>
    <row r="1121" spans="1:16" x14ac:dyDescent="0.4">
      <c r="A1121">
        <v>1171</v>
      </c>
      <c r="B1121" t="s">
        <v>4915</v>
      </c>
      <c r="D1121" t="s">
        <v>4901</v>
      </c>
      <c r="E1121" t="s">
        <v>5153</v>
      </c>
      <c r="F1121" t="s">
        <v>5147</v>
      </c>
      <c r="G1121" t="s">
        <v>1135</v>
      </c>
      <c r="H1121" t="s">
        <v>1134</v>
      </c>
      <c r="I1121">
        <v>48</v>
      </c>
      <c r="K1121" t="s">
        <v>5034</v>
      </c>
      <c r="L1121">
        <v>46280</v>
      </c>
      <c r="M1121">
        <v>93222</v>
      </c>
      <c r="N1121">
        <v>25</v>
      </c>
      <c r="O1121">
        <v>46280</v>
      </c>
      <c r="P1121">
        <v>23</v>
      </c>
    </row>
    <row r="1122" spans="1:16" x14ac:dyDescent="0.4">
      <c r="A1122">
        <v>733</v>
      </c>
      <c r="B1122" t="s">
        <v>4915</v>
      </c>
      <c r="G1122" t="s">
        <v>2857</v>
      </c>
      <c r="H1122" t="s">
        <v>2856</v>
      </c>
      <c r="I1122">
        <v>100</v>
      </c>
      <c r="K1122" t="s">
        <v>4933</v>
      </c>
      <c r="L1122">
        <v>46261</v>
      </c>
      <c r="M1122">
        <v>94129</v>
      </c>
      <c r="N1122">
        <v>20</v>
      </c>
      <c r="O1122">
        <v>46261</v>
      </c>
      <c r="P1122">
        <v>80</v>
      </c>
    </row>
    <row r="1123" spans="1:16" x14ac:dyDescent="0.4">
      <c r="A1123">
        <v>2281</v>
      </c>
      <c r="B1123" t="s">
        <v>4915</v>
      </c>
      <c r="D1123" t="s">
        <v>4901</v>
      </c>
      <c r="E1123" t="s">
        <v>5161</v>
      </c>
      <c r="F1123" t="s">
        <v>5147</v>
      </c>
      <c r="G1123" t="s">
        <v>5013</v>
      </c>
      <c r="H1123" t="s">
        <v>5014</v>
      </c>
      <c r="I1123">
        <v>150</v>
      </c>
      <c r="K1123" t="s">
        <v>5015</v>
      </c>
      <c r="L1123">
        <v>46303</v>
      </c>
      <c r="M1123">
        <v>94139</v>
      </c>
      <c r="N1123">
        <v>6</v>
      </c>
      <c r="O1123">
        <v>46303</v>
      </c>
      <c r="P1123">
        <v>144</v>
      </c>
    </row>
    <row r="1124" spans="1:16" x14ac:dyDescent="0.4">
      <c r="A1124">
        <v>780</v>
      </c>
      <c r="B1124" t="s">
        <v>4915</v>
      </c>
      <c r="G1124" t="s">
        <v>362</v>
      </c>
      <c r="H1124" t="s">
        <v>5022</v>
      </c>
      <c r="I1124">
        <v>20</v>
      </c>
      <c r="K1124" t="s">
        <v>5023</v>
      </c>
      <c r="L1124">
        <v>46274</v>
      </c>
      <c r="M1124">
        <v>94740</v>
      </c>
      <c r="N1124">
        <v>20</v>
      </c>
      <c r="O1124">
        <v>46274</v>
      </c>
      <c r="P1124">
        <v>0</v>
      </c>
    </row>
    <row r="1125" spans="1:16" x14ac:dyDescent="0.4">
      <c r="A1125">
        <v>484</v>
      </c>
      <c r="B1125" t="s">
        <v>4915</v>
      </c>
      <c r="G1125" t="s">
        <v>1123</v>
      </c>
      <c r="H1125" t="s">
        <v>4917</v>
      </c>
      <c r="I1125">
        <v>246</v>
      </c>
      <c r="K1125" t="s">
        <v>4918</v>
      </c>
      <c r="L1125">
        <v>46265</v>
      </c>
      <c r="M1125">
        <v>94740</v>
      </c>
      <c r="N1125">
        <v>20</v>
      </c>
      <c r="O1125">
        <v>46265</v>
      </c>
      <c r="P1125">
        <v>226</v>
      </c>
    </row>
    <row r="1126" spans="1:16" x14ac:dyDescent="0.4">
      <c r="A1126">
        <v>1743</v>
      </c>
      <c r="B1126" t="s">
        <v>4915</v>
      </c>
      <c r="G1126" t="s">
        <v>1813</v>
      </c>
      <c r="H1126" t="s">
        <v>1812</v>
      </c>
      <c r="I1126">
        <v>170</v>
      </c>
      <c r="K1126" t="s">
        <v>5137</v>
      </c>
      <c r="L1126">
        <v>46294</v>
      </c>
      <c r="M1126">
        <v>94741</v>
      </c>
      <c r="N1126">
        <v>5</v>
      </c>
      <c r="O1126">
        <v>46287</v>
      </c>
      <c r="P1126">
        <v>165</v>
      </c>
    </row>
    <row r="1127" spans="1:16" x14ac:dyDescent="0.4">
      <c r="A1127">
        <v>852</v>
      </c>
      <c r="B1127" t="s">
        <v>4915</v>
      </c>
      <c r="G1127" t="s">
        <v>243</v>
      </c>
      <c r="H1127" t="s">
        <v>4961</v>
      </c>
      <c r="I1127">
        <v>50</v>
      </c>
      <c r="K1127" t="s">
        <v>4864</v>
      </c>
      <c r="L1127">
        <v>46275</v>
      </c>
      <c r="M1127">
        <v>94743</v>
      </c>
      <c r="N1127">
        <v>20</v>
      </c>
      <c r="O1127">
        <v>46281</v>
      </c>
      <c r="P1127">
        <v>30</v>
      </c>
    </row>
    <row r="1128" spans="1:16" x14ac:dyDescent="0.4">
      <c r="A1128">
        <v>862</v>
      </c>
      <c r="B1128" t="s">
        <v>4915</v>
      </c>
      <c r="G1128" t="s">
        <v>844</v>
      </c>
      <c r="H1128" t="s">
        <v>843</v>
      </c>
      <c r="I1128">
        <v>75</v>
      </c>
      <c r="K1128" t="s">
        <v>4957</v>
      </c>
      <c r="L1128">
        <v>46275</v>
      </c>
      <c r="M1128">
        <v>94743</v>
      </c>
      <c r="N1128">
        <v>14</v>
      </c>
      <c r="O1128">
        <v>46281</v>
      </c>
      <c r="P1128">
        <v>61</v>
      </c>
    </row>
    <row r="1129" spans="1:16" x14ac:dyDescent="0.4">
      <c r="A1129">
        <v>1159</v>
      </c>
      <c r="B1129" t="s">
        <v>4915</v>
      </c>
      <c r="G1129" t="s">
        <v>2601</v>
      </c>
      <c r="H1129" t="s">
        <v>2600</v>
      </c>
      <c r="I1129">
        <v>151</v>
      </c>
      <c r="K1129" t="s">
        <v>4851</v>
      </c>
      <c r="L1129">
        <v>46281</v>
      </c>
      <c r="M1129">
        <v>94743</v>
      </c>
      <c r="N1129">
        <v>40</v>
      </c>
      <c r="O1129">
        <v>46281</v>
      </c>
      <c r="P1129">
        <v>111</v>
      </c>
    </row>
    <row r="1130" spans="1:16" x14ac:dyDescent="0.4">
      <c r="A1130">
        <v>735</v>
      </c>
      <c r="B1130" t="s">
        <v>4915</v>
      </c>
      <c r="G1130" t="s">
        <v>2857</v>
      </c>
      <c r="H1130" t="s">
        <v>2856</v>
      </c>
      <c r="I1130">
        <v>78</v>
      </c>
      <c r="K1130" t="s">
        <v>4933</v>
      </c>
      <c r="L1130">
        <v>46261</v>
      </c>
      <c r="M1130">
        <v>94744</v>
      </c>
      <c r="N1130">
        <v>30</v>
      </c>
      <c r="O1130">
        <v>46265</v>
      </c>
      <c r="P1130">
        <v>48</v>
      </c>
    </row>
    <row r="1131" spans="1:16" x14ac:dyDescent="0.4">
      <c r="A1131">
        <v>1156</v>
      </c>
      <c r="B1131" t="s">
        <v>4915</v>
      </c>
      <c r="G1131" t="s">
        <v>1320</v>
      </c>
      <c r="H1131" t="s">
        <v>1319</v>
      </c>
      <c r="I1131">
        <v>10</v>
      </c>
      <c r="K1131" t="s">
        <v>5054</v>
      </c>
      <c r="L1131">
        <v>46281</v>
      </c>
      <c r="M1131">
        <v>94746</v>
      </c>
      <c r="N1131">
        <v>10</v>
      </c>
      <c r="O1131">
        <v>46281</v>
      </c>
      <c r="P1131">
        <v>0</v>
      </c>
    </row>
    <row r="1132" spans="1:16" x14ac:dyDescent="0.4">
      <c r="A1132">
        <v>1157</v>
      </c>
      <c r="B1132" t="s">
        <v>4915</v>
      </c>
      <c r="G1132" t="s">
        <v>2601</v>
      </c>
      <c r="H1132" t="s">
        <v>2600</v>
      </c>
      <c r="I1132">
        <v>171</v>
      </c>
      <c r="K1132" t="s">
        <v>4851</v>
      </c>
      <c r="L1132">
        <v>46281</v>
      </c>
      <c r="M1132">
        <v>94748</v>
      </c>
      <c r="N1132">
        <v>20</v>
      </c>
      <c r="O1132">
        <v>46281</v>
      </c>
      <c r="P1132">
        <v>151</v>
      </c>
    </row>
    <row r="1133" spans="1:16" x14ac:dyDescent="0.4">
      <c r="A1133">
        <v>658</v>
      </c>
      <c r="B1133" t="s">
        <v>4915</v>
      </c>
      <c r="G1133" t="s">
        <v>4736</v>
      </c>
      <c r="H1133">
        <v>0</v>
      </c>
      <c r="I1133">
        <v>1</v>
      </c>
      <c r="K1133" t="s">
        <v>4046</v>
      </c>
      <c r="L1133">
        <v>46268</v>
      </c>
      <c r="M1133">
        <v>94753</v>
      </c>
      <c r="N1133">
        <v>1</v>
      </c>
      <c r="O1133">
        <v>46268</v>
      </c>
      <c r="P1133">
        <v>0</v>
      </c>
    </row>
    <row r="1134" spans="1:16" x14ac:dyDescent="0.4">
      <c r="A1134">
        <v>476</v>
      </c>
      <c r="B1134" t="s">
        <v>4915</v>
      </c>
      <c r="G1134" t="s">
        <v>4736</v>
      </c>
      <c r="H1134">
        <v>0</v>
      </c>
      <c r="I1134">
        <v>5</v>
      </c>
      <c r="K1134" t="s">
        <v>4046</v>
      </c>
      <c r="L1134">
        <v>46259</v>
      </c>
      <c r="M1134">
        <v>94753</v>
      </c>
      <c r="N1134">
        <v>1</v>
      </c>
      <c r="O1134">
        <v>46268</v>
      </c>
      <c r="P1134">
        <v>4</v>
      </c>
    </row>
    <row r="1135" spans="1:16" x14ac:dyDescent="0.4">
      <c r="A1135">
        <v>657</v>
      </c>
      <c r="B1135" t="s">
        <v>4915</v>
      </c>
      <c r="G1135" t="s">
        <v>3900</v>
      </c>
      <c r="H1135" t="s">
        <v>3899</v>
      </c>
      <c r="I1135">
        <v>5</v>
      </c>
      <c r="K1135" t="s">
        <v>4739</v>
      </c>
      <c r="L1135">
        <v>46268</v>
      </c>
      <c r="M1135">
        <v>94753</v>
      </c>
      <c r="N1135">
        <v>2</v>
      </c>
      <c r="O1135">
        <v>46268</v>
      </c>
      <c r="P1135">
        <v>3</v>
      </c>
    </row>
    <row r="1136" spans="1:16" x14ac:dyDescent="0.4">
      <c r="A1136">
        <v>661</v>
      </c>
      <c r="B1136" t="s">
        <v>4915</v>
      </c>
      <c r="G1136" t="s">
        <v>3988</v>
      </c>
      <c r="H1136" t="s">
        <v>3987</v>
      </c>
      <c r="I1136">
        <v>5</v>
      </c>
      <c r="K1136" t="s">
        <v>3989</v>
      </c>
      <c r="L1136">
        <v>46268</v>
      </c>
      <c r="M1136">
        <v>94753</v>
      </c>
      <c r="N1136">
        <v>1</v>
      </c>
      <c r="O1136">
        <v>46268</v>
      </c>
      <c r="P1136">
        <v>4</v>
      </c>
    </row>
    <row r="1137" spans="1:16" x14ac:dyDescent="0.4">
      <c r="A1137">
        <v>487</v>
      </c>
      <c r="B1137" t="s">
        <v>4915</v>
      </c>
      <c r="D1137" t="s">
        <v>4901</v>
      </c>
      <c r="E1137" t="s">
        <v>4936</v>
      </c>
      <c r="F1137" t="s">
        <v>4937</v>
      </c>
      <c r="G1137" t="s">
        <v>3900</v>
      </c>
      <c r="H1137" t="s">
        <v>3899</v>
      </c>
      <c r="I1137">
        <v>14</v>
      </c>
      <c r="K1137" t="s">
        <v>4739</v>
      </c>
      <c r="L1137">
        <v>46261</v>
      </c>
      <c r="M1137">
        <v>94753</v>
      </c>
      <c r="N1137">
        <v>2</v>
      </c>
      <c r="O1137">
        <v>46268</v>
      </c>
      <c r="P1137">
        <v>12</v>
      </c>
    </row>
    <row r="1138" spans="1:16" x14ac:dyDescent="0.4">
      <c r="A1138">
        <v>461</v>
      </c>
      <c r="B1138" t="s">
        <v>4915</v>
      </c>
      <c r="G1138" t="s">
        <v>3988</v>
      </c>
      <c r="H1138" t="s">
        <v>3987</v>
      </c>
      <c r="I1138">
        <v>17</v>
      </c>
      <c r="K1138" t="s">
        <v>3989</v>
      </c>
      <c r="L1138">
        <v>46259</v>
      </c>
      <c r="M1138">
        <v>94753</v>
      </c>
      <c r="N1138">
        <v>1</v>
      </c>
      <c r="O1138">
        <v>46268</v>
      </c>
      <c r="P1138">
        <v>16</v>
      </c>
    </row>
    <row r="1139" spans="1:16" x14ac:dyDescent="0.4">
      <c r="A1139">
        <v>493</v>
      </c>
      <c r="B1139" t="s">
        <v>4915</v>
      </c>
      <c r="G1139" t="s">
        <v>3912</v>
      </c>
      <c r="H1139" t="s">
        <v>3911</v>
      </c>
      <c r="I1139">
        <v>23</v>
      </c>
      <c r="K1139" t="s">
        <v>3913</v>
      </c>
      <c r="L1139">
        <v>46268</v>
      </c>
      <c r="M1139">
        <v>94753</v>
      </c>
      <c r="N1139">
        <v>1</v>
      </c>
      <c r="O1139">
        <v>46268</v>
      </c>
      <c r="P1139">
        <v>22</v>
      </c>
    </row>
    <row r="1140" spans="1:16" x14ac:dyDescent="0.4">
      <c r="A1140">
        <v>456</v>
      </c>
      <c r="B1140" t="s">
        <v>4915</v>
      </c>
      <c r="G1140" t="s">
        <v>3912</v>
      </c>
      <c r="H1140" t="s">
        <v>3911</v>
      </c>
      <c r="I1140">
        <v>24</v>
      </c>
      <c r="K1140" t="s">
        <v>3913</v>
      </c>
      <c r="L1140">
        <v>46259</v>
      </c>
      <c r="M1140">
        <v>94753</v>
      </c>
      <c r="N1140">
        <v>1</v>
      </c>
      <c r="O1140">
        <v>46268</v>
      </c>
      <c r="P1140">
        <v>23</v>
      </c>
    </row>
    <row r="1141" spans="1:16" x14ac:dyDescent="0.4">
      <c r="A1141">
        <v>438</v>
      </c>
      <c r="B1141" t="s">
        <v>4915</v>
      </c>
      <c r="G1141" t="s">
        <v>4621</v>
      </c>
      <c r="H1141">
        <v>0</v>
      </c>
      <c r="I1141">
        <v>64</v>
      </c>
      <c r="K1141" t="s">
        <v>4088</v>
      </c>
      <c r="L1141">
        <v>46259</v>
      </c>
      <c r="M1141">
        <v>94753</v>
      </c>
      <c r="N1141">
        <v>6</v>
      </c>
      <c r="O1141">
        <v>46268</v>
      </c>
      <c r="P1141">
        <v>58</v>
      </c>
    </row>
    <row r="1142" spans="1:16" x14ac:dyDescent="0.4">
      <c r="A1142">
        <v>508</v>
      </c>
      <c r="B1142" t="s">
        <v>4915</v>
      </c>
      <c r="G1142" t="s">
        <v>3985</v>
      </c>
      <c r="H1142" t="s">
        <v>3984</v>
      </c>
      <c r="I1142">
        <v>224</v>
      </c>
      <c r="K1142" t="s">
        <v>3986</v>
      </c>
      <c r="L1142">
        <v>46268</v>
      </c>
      <c r="M1142">
        <v>94753</v>
      </c>
      <c r="N1142">
        <v>1</v>
      </c>
      <c r="O1142">
        <v>46268</v>
      </c>
      <c r="P1142">
        <v>223</v>
      </c>
    </row>
    <row r="1143" spans="1:16" x14ac:dyDescent="0.4">
      <c r="A1143">
        <v>384</v>
      </c>
      <c r="B1143" t="s">
        <v>4915</v>
      </c>
      <c r="G1143" t="s">
        <v>3985</v>
      </c>
      <c r="H1143" t="s">
        <v>3984</v>
      </c>
      <c r="I1143">
        <v>226</v>
      </c>
      <c r="K1143" t="s">
        <v>3986</v>
      </c>
      <c r="L1143">
        <v>46253</v>
      </c>
      <c r="M1143">
        <v>94753</v>
      </c>
      <c r="N1143">
        <v>1</v>
      </c>
      <c r="O1143">
        <v>46268</v>
      </c>
      <c r="P1143">
        <v>225</v>
      </c>
    </row>
    <row r="1144" spans="1:16" x14ac:dyDescent="0.4">
      <c r="A1144">
        <v>2099</v>
      </c>
      <c r="B1144" t="s">
        <v>4915</v>
      </c>
      <c r="G1144" t="s">
        <v>2655</v>
      </c>
      <c r="H1144" t="s">
        <v>2654</v>
      </c>
      <c r="I1144">
        <v>83</v>
      </c>
      <c r="K1144" t="s">
        <v>4948</v>
      </c>
      <c r="L1144">
        <v>46283</v>
      </c>
      <c r="M1144">
        <v>94756</v>
      </c>
      <c r="N1144">
        <v>20</v>
      </c>
      <c r="O1144">
        <v>46283</v>
      </c>
      <c r="P1144">
        <v>63</v>
      </c>
    </row>
    <row r="1145" spans="1:16" x14ac:dyDescent="0.4">
      <c r="A1145">
        <v>2098</v>
      </c>
      <c r="B1145" t="s">
        <v>4915</v>
      </c>
      <c r="G1145" t="s">
        <v>1858</v>
      </c>
      <c r="H1145" t="s">
        <v>1857</v>
      </c>
      <c r="I1145">
        <v>150</v>
      </c>
      <c r="K1145" t="s">
        <v>5137</v>
      </c>
      <c r="L1145">
        <v>46283</v>
      </c>
      <c r="M1145">
        <v>94756</v>
      </c>
      <c r="N1145">
        <v>40</v>
      </c>
      <c r="O1145">
        <v>46283</v>
      </c>
      <c r="P1145">
        <v>110</v>
      </c>
    </row>
    <row r="1146" spans="1:16" x14ac:dyDescent="0.4">
      <c r="A1146">
        <v>2510</v>
      </c>
      <c r="B1146" t="s">
        <v>4915</v>
      </c>
      <c r="G1146" t="s">
        <v>4971</v>
      </c>
      <c r="H1146" t="s">
        <v>4972</v>
      </c>
      <c r="I1146">
        <v>12</v>
      </c>
      <c r="K1146" t="s">
        <v>4973</v>
      </c>
      <c r="L1146">
        <v>46296</v>
      </c>
      <c r="M1146">
        <v>94759</v>
      </c>
      <c r="N1146">
        <v>10</v>
      </c>
      <c r="O1146">
        <v>46296</v>
      </c>
      <c r="P1146">
        <v>2</v>
      </c>
    </row>
    <row r="1147" spans="1:16" x14ac:dyDescent="0.4">
      <c r="A1147">
        <v>778</v>
      </c>
      <c r="B1147" t="s">
        <v>4915</v>
      </c>
      <c r="G1147" t="s">
        <v>362</v>
      </c>
      <c r="H1147" t="s">
        <v>5022</v>
      </c>
      <c r="I1147">
        <v>43</v>
      </c>
      <c r="K1147" t="s">
        <v>5023</v>
      </c>
      <c r="L1147">
        <v>46274</v>
      </c>
      <c r="M1147">
        <v>94760</v>
      </c>
      <c r="N1147">
        <v>13</v>
      </c>
      <c r="O1147">
        <v>46274</v>
      </c>
      <c r="P1147">
        <v>30</v>
      </c>
    </row>
    <row r="1148" spans="1:16" x14ac:dyDescent="0.4">
      <c r="A1148">
        <v>781</v>
      </c>
      <c r="B1148" t="s">
        <v>4915</v>
      </c>
      <c r="G1148" t="s">
        <v>1123</v>
      </c>
      <c r="H1148" t="s">
        <v>4917</v>
      </c>
      <c r="I1148">
        <v>96</v>
      </c>
      <c r="K1148" t="s">
        <v>4918</v>
      </c>
      <c r="L1148">
        <v>46274</v>
      </c>
      <c r="M1148">
        <v>94760</v>
      </c>
      <c r="N1148">
        <v>10</v>
      </c>
      <c r="O1148">
        <v>46274</v>
      </c>
      <c r="P1148">
        <v>86</v>
      </c>
    </row>
    <row r="1149" spans="1:16" x14ac:dyDescent="0.4">
      <c r="A1149">
        <v>2100</v>
      </c>
      <c r="B1149" t="s">
        <v>4915</v>
      </c>
      <c r="G1149" t="s">
        <v>2655</v>
      </c>
      <c r="H1149" t="s">
        <v>2654</v>
      </c>
      <c r="I1149">
        <v>63</v>
      </c>
      <c r="K1149" t="s">
        <v>4948</v>
      </c>
      <c r="L1149">
        <v>46283</v>
      </c>
      <c r="M1149">
        <v>94763</v>
      </c>
      <c r="N1149">
        <v>10</v>
      </c>
      <c r="O1149">
        <v>46283</v>
      </c>
      <c r="P1149">
        <v>53</v>
      </c>
    </row>
    <row r="1150" spans="1:16" x14ac:dyDescent="0.4">
      <c r="A1150">
        <v>1860</v>
      </c>
      <c r="B1150" t="s">
        <v>4915</v>
      </c>
      <c r="G1150" t="s">
        <v>2696</v>
      </c>
      <c r="H1150" t="s">
        <v>2695</v>
      </c>
      <c r="I1150">
        <v>74</v>
      </c>
      <c r="K1150" t="s">
        <v>4869</v>
      </c>
      <c r="L1150">
        <v>46295</v>
      </c>
      <c r="M1150">
        <v>94763</v>
      </c>
      <c r="N1150">
        <v>2</v>
      </c>
      <c r="O1150">
        <v>46283</v>
      </c>
      <c r="P1150">
        <v>72</v>
      </c>
    </row>
    <row r="1151" spans="1:16" x14ac:dyDescent="0.4">
      <c r="A1151">
        <v>1811</v>
      </c>
      <c r="B1151" t="s">
        <v>4915</v>
      </c>
      <c r="G1151" t="s">
        <v>847</v>
      </c>
      <c r="H1151" t="s">
        <v>846</v>
      </c>
      <c r="I1151">
        <v>110</v>
      </c>
      <c r="K1151" t="s">
        <v>4958</v>
      </c>
      <c r="L1151">
        <v>46294</v>
      </c>
      <c r="M1151">
        <v>95066</v>
      </c>
      <c r="N1151">
        <v>5</v>
      </c>
      <c r="O1151">
        <v>46294</v>
      </c>
      <c r="P1151">
        <v>105</v>
      </c>
    </row>
    <row r="1152" spans="1:16" x14ac:dyDescent="0.4">
      <c r="A1152">
        <v>2101</v>
      </c>
      <c r="B1152" t="s">
        <v>4915</v>
      </c>
      <c r="G1152" t="s">
        <v>2655</v>
      </c>
      <c r="H1152" t="s">
        <v>2654</v>
      </c>
      <c r="I1152">
        <v>53</v>
      </c>
      <c r="K1152" t="s">
        <v>4948</v>
      </c>
      <c r="L1152">
        <v>46283</v>
      </c>
      <c r="M1152">
        <v>95088</v>
      </c>
      <c r="N1152">
        <v>20</v>
      </c>
      <c r="O1152">
        <v>46283</v>
      </c>
      <c r="P1152">
        <v>33</v>
      </c>
    </row>
    <row r="1153" spans="1:16" x14ac:dyDescent="0.4">
      <c r="A1153">
        <v>1483</v>
      </c>
      <c r="B1153" t="s">
        <v>4915</v>
      </c>
      <c r="G1153" t="s">
        <v>1005</v>
      </c>
      <c r="H1153" t="s">
        <v>1004</v>
      </c>
      <c r="I1153">
        <v>300</v>
      </c>
      <c r="K1153" t="s">
        <v>4871</v>
      </c>
      <c r="L1153">
        <v>46282</v>
      </c>
      <c r="M1153">
        <v>95090</v>
      </c>
      <c r="N1153">
        <v>2</v>
      </c>
      <c r="O1153">
        <v>46283</v>
      </c>
      <c r="P1153">
        <v>298</v>
      </c>
    </row>
    <row r="1154" spans="1:16" x14ac:dyDescent="0.4">
      <c r="A1154">
        <v>1342</v>
      </c>
      <c r="B1154" t="s">
        <v>4915</v>
      </c>
      <c r="G1154" t="s">
        <v>4622</v>
      </c>
      <c r="H1154">
        <v>0</v>
      </c>
      <c r="I1154">
        <v>30</v>
      </c>
      <c r="K1154" t="s">
        <v>4728</v>
      </c>
      <c r="L1154">
        <v>46287</v>
      </c>
      <c r="M1154">
        <v>96191</v>
      </c>
      <c r="N1154">
        <v>4</v>
      </c>
      <c r="O1154">
        <v>46275</v>
      </c>
      <c r="P1154">
        <v>26</v>
      </c>
    </row>
    <row r="1155" spans="1:16" x14ac:dyDescent="0.4">
      <c r="A1155">
        <v>1805</v>
      </c>
      <c r="B1155" t="s">
        <v>4915</v>
      </c>
      <c r="G1155" t="s">
        <v>716</v>
      </c>
      <c r="H1155" t="s">
        <v>4974</v>
      </c>
      <c r="I1155">
        <v>79</v>
      </c>
      <c r="K1155" t="s">
        <v>4975</v>
      </c>
      <c r="L1155">
        <v>46294</v>
      </c>
      <c r="M1155">
        <v>96191</v>
      </c>
      <c r="N1155">
        <v>4</v>
      </c>
      <c r="O1155">
        <v>46275</v>
      </c>
      <c r="P1155">
        <v>75</v>
      </c>
    </row>
    <row r="1156" spans="1:16" x14ac:dyDescent="0.4">
      <c r="A1156">
        <v>1873</v>
      </c>
      <c r="B1156" t="s">
        <v>4915</v>
      </c>
      <c r="G1156" t="s">
        <v>2750</v>
      </c>
      <c r="H1156" t="s">
        <v>2749</v>
      </c>
      <c r="I1156">
        <v>208</v>
      </c>
      <c r="K1156" t="s">
        <v>4872</v>
      </c>
      <c r="L1156">
        <v>46295</v>
      </c>
      <c r="M1156">
        <v>96191</v>
      </c>
      <c r="N1156">
        <v>4</v>
      </c>
      <c r="O1156">
        <v>46275</v>
      </c>
      <c r="P1156">
        <v>204</v>
      </c>
    </row>
    <row r="1157" spans="1:16" x14ac:dyDescent="0.4">
      <c r="A1157">
        <v>2461</v>
      </c>
      <c r="B1157" t="s">
        <v>4915</v>
      </c>
      <c r="G1157" t="s">
        <v>4971</v>
      </c>
      <c r="H1157" t="s">
        <v>4972</v>
      </c>
      <c r="I1157">
        <v>16</v>
      </c>
      <c r="K1157" t="s">
        <v>4973</v>
      </c>
      <c r="L1157">
        <v>46301</v>
      </c>
      <c r="M1157">
        <v>96704</v>
      </c>
      <c r="N1157">
        <v>4</v>
      </c>
      <c r="O1157">
        <v>46296</v>
      </c>
      <c r="P1157">
        <v>12</v>
      </c>
    </row>
    <row r="1158" spans="1:16" x14ac:dyDescent="0.4">
      <c r="A1158">
        <v>598</v>
      </c>
      <c r="B1158" t="s">
        <v>4915</v>
      </c>
      <c r="D1158" t="s">
        <v>4916</v>
      </c>
      <c r="G1158" t="s">
        <v>840</v>
      </c>
      <c r="H1158" t="s">
        <v>839</v>
      </c>
      <c r="I1158">
        <v>43</v>
      </c>
      <c r="K1158" t="s">
        <v>4740</v>
      </c>
      <c r="L1158">
        <v>46273</v>
      </c>
      <c r="M1158">
        <v>96710</v>
      </c>
      <c r="N1158">
        <v>40</v>
      </c>
      <c r="O1158">
        <v>46274</v>
      </c>
      <c r="P1158">
        <v>3</v>
      </c>
    </row>
    <row r="1159" spans="1:16" x14ac:dyDescent="0.4">
      <c r="A1159">
        <v>623</v>
      </c>
      <c r="B1159" t="s">
        <v>4915</v>
      </c>
      <c r="D1159" t="s">
        <v>4916</v>
      </c>
      <c r="G1159" t="s">
        <v>773</v>
      </c>
      <c r="H1159" t="s">
        <v>772</v>
      </c>
      <c r="I1159">
        <v>48</v>
      </c>
      <c r="K1159" t="s">
        <v>4996</v>
      </c>
      <c r="L1159">
        <v>46273</v>
      </c>
      <c r="M1159">
        <v>96710</v>
      </c>
      <c r="N1159">
        <v>40</v>
      </c>
      <c r="O1159">
        <v>46274</v>
      </c>
      <c r="P1159">
        <v>8</v>
      </c>
    </row>
    <row r="1160" spans="1:16" x14ac:dyDescent="0.4">
      <c r="A1160">
        <v>594</v>
      </c>
      <c r="B1160" t="s">
        <v>4915</v>
      </c>
      <c r="D1160" t="s">
        <v>4916</v>
      </c>
      <c r="G1160" t="s">
        <v>716</v>
      </c>
      <c r="H1160" t="s">
        <v>4974</v>
      </c>
      <c r="I1160">
        <v>59</v>
      </c>
      <c r="K1160" t="s">
        <v>4975</v>
      </c>
      <c r="L1160">
        <v>46273</v>
      </c>
      <c r="M1160">
        <v>96710</v>
      </c>
      <c r="N1160">
        <v>40</v>
      </c>
      <c r="O1160">
        <v>46274</v>
      </c>
      <c r="P1160">
        <v>19</v>
      </c>
    </row>
    <row r="1161" spans="1:16" x14ac:dyDescent="0.4">
      <c r="A1161">
        <v>600</v>
      </c>
      <c r="B1161" t="s">
        <v>4915</v>
      </c>
      <c r="D1161" t="s">
        <v>4916</v>
      </c>
      <c r="G1161" t="s">
        <v>639</v>
      </c>
      <c r="H1161" t="s">
        <v>638</v>
      </c>
      <c r="I1161">
        <v>60</v>
      </c>
      <c r="K1161" t="s">
        <v>4984</v>
      </c>
      <c r="L1161">
        <v>46273</v>
      </c>
      <c r="M1161">
        <v>96710</v>
      </c>
      <c r="N1161">
        <v>40</v>
      </c>
      <c r="O1161">
        <v>46274</v>
      </c>
      <c r="P1161">
        <v>20</v>
      </c>
    </row>
    <row r="1162" spans="1:16" x14ac:dyDescent="0.4">
      <c r="A1162">
        <v>609</v>
      </c>
      <c r="B1162" t="s">
        <v>4915</v>
      </c>
      <c r="D1162" t="s">
        <v>4916</v>
      </c>
      <c r="G1162" t="s">
        <v>791</v>
      </c>
      <c r="H1162" t="s">
        <v>790</v>
      </c>
      <c r="I1162">
        <v>62</v>
      </c>
      <c r="K1162" t="s">
        <v>4987</v>
      </c>
      <c r="L1162">
        <v>46273</v>
      </c>
      <c r="M1162">
        <v>96710</v>
      </c>
      <c r="N1162">
        <v>40</v>
      </c>
      <c r="O1162">
        <v>46274</v>
      </c>
      <c r="P1162">
        <v>22</v>
      </c>
    </row>
    <row r="1163" spans="1:16" x14ac:dyDescent="0.4">
      <c r="A1163">
        <v>593</v>
      </c>
      <c r="B1163" t="s">
        <v>4915</v>
      </c>
      <c r="D1163" t="s">
        <v>4916</v>
      </c>
      <c r="G1163" t="s">
        <v>4971</v>
      </c>
      <c r="H1163" t="s">
        <v>4972</v>
      </c>
      <c r="I1163">
        <v>80</v>
      </c>
      <c r="K1163" t="s">
        <v>4973</v>
      </c>
      <c r="L1163">
        <v>46273</v>
      </c>
      <c r="M1163">
        <v>96710</v>
      </c>
      <c r="N1163">
        <v>40</v>
      </c>
      <c r="O1163">
        <v>46274</v>
      </c>
      <c r="P1163">
        <v>40</v>
      </c>
    </row>
    <row r="1164" spans="1:16" x14ac:dyDescent="0.4">
      <c r="A1164">
        <v>619</v>
      </c>
      <c r="B1164" t="s">
        <v>4915</v>
      </c>
      <c r="D1164" t="s">
        <v>4916</v>
      </c>
      <c r="G1164" t="s">
        <v>1054</v>
      </c>
      <c r="H1164" t="s">
        <v>1053</v>
      </c>
      <c r="I1164">
        <v>98</v>
      </c>
      <c r="K1164" t="s">
        <v>4992</v>
      </c>
      <c r="L1164">
        <v>46273</v>
      </c>
      <c r="M1164">
        <v>96710</v>
      </c>
      <c r="N1164">
        <v>40</v>
      </c>
      <c r="O1164">
        <v>46274</v>
      </c>
      <c r="P1164">
        <v>58</v>
      </c>
    </row>
    <row r="1165" spans="1:16" x14ac:dyDescent="0.4">
      <c r="A1165">
        <v>617</v>
      </c>
      <c r="B1165" t="s">
        <v>4915</v>
      </c>
      <c r="D1165" t="s">
        <v>4916</v>
      </c>
      <c r="G1165" t="s">
        <v>1046</v>
      </c>
      <c r="H1165" t="s">
        <v>1045</v>
      </c>
      <c r="I1165">
        <v>99</v>
      </c>
      <c r="K1165" t="s">
        <v>4990</v>
      </c>
      <c r="L1165">
        <v>46273</v>
      </c>
      <c r="M1165">
        <v>96710</v>
      </c>
      <c r="N1165">
        <v>79</v>
      </c>
      <c r="O1165">
        <v>46274</v>
      </c>
      <c r="P1165">
        <v>20</v>
      </c>
    </row>
    <row r="1166" spans="1:16" x14ac:dyDescent="0.4">
      <c r="A1166">
        <v>2004</v>
      </c>
      <c r="B1166" t="s">
        <v>4915</v>
      </c>
      <c r="G1166" t="s">
        <v>847</v>
      </c>
      <c r="H1166" t="s">
        <v>846</v>
      </c>
      <c r="I1166">
        <v>105</v>
      </c>
      <c r="K1166" t="s">
        <v>4958</v>
      </c>
      <c r="L1166">
        <v>46294</v>
      </c>
      <c r="M1166">
        <v>96710</v>
      </c>
      <c r="N1166">
        <v>40</v>
      </c>
      <c r="O1166">
        <v>46294</v>
      </c>
      <c r="P1166">
        <v>65</v>
      </c>
    </row>
    <row r="1167" spans="1:16" x14ac:dyDescent="0.4">
      <c r="A1167">
        <v>608</v>
      </c>
      <c r="B1167" t="s">
        <v>4915</v>
      </c>
      <c r="D1167" t="s">
        <v>4916</v>
      </c>
      <c r="G1167" t="s">
        <v>779</v>
      </c>
      <c r="H1167" t="s">
        <v>778</v>
      </c>
      <c r="I1167">
        <v>109</v>
      </c>
      <c r="K1167" t="s">
        <v>4987</v>
      </c>
      <c r="L1167">
        <v>46273</v>
      </c>
      <c r="M1167">
        <v>96710</v>
      </c>
      <c r="N1167">
        <v>40</v>
      </c>
      <c r="O1167">
        <v>46274</v>
      </c>
      <c r="P1167">
        <v>69</v>
      </c>
    </row>
    <row r="1168" spans="1:16" x14ac:dyDescent="0.4">
      <c r="A1168">
        <v>534</v>
      </c>
      <c r="B1168" t="s">
        <v>4915</v>
      </c>
      <c r="D1168" t="s">
        <v>4916</v>
      </c>
      <c r="G1168" t="s">
        <v>2771</v>
      </c>
      <c r="H1168" t="s">
        <v>2770</v>
      </c>
      <c r="I1168">
        <v>150</v>
      </c>
      <c r="K1168" t="s">
        <v>4949</v>
      </c>
      <c r="L1168">
        <v>46273</v>
      </c>
      <c r="M1168">
        <v>96710</v>
      </c>
      <c r="N1168">
        <v>40</v>
      </c>
      <c r="O1168">
        <v>46274</v>
      </c>
      <c r="P1168">
        <v>110</v>
      </c>
    </row>
    <row r="1169" spans="1:16" x14ac:dyDescent="0.4">
      <c r="A1169">
        <v>622</v>
      </c>
      <c r="B1169" t="s">
        <v>4915</v>
      </c>
      <c r="D1169" t="s">
        <v>4916</v>
      </c>
      <c r="G1169" t="s">
        <v>1043</v>
      </c>
      <c r="H1169" t="s">
        <v>1042</v>
      </c>
      <c r="I1169">
        <v>152</v>
      </c>
      <c r="K1169" t="s">
        <v>4995</v>
      </c>
      <c r="L1169">
        <v>46273</v>
      </c>
      <c r="M1169">
        <v>96710</v>
      </c>
      <c r="N1169">
        <v>40</v>
      </c>
      <c r="O1169">
        <v>46274</v>
      </c>
      <c r="P1169">
        <v>112</v>
      </c>
    </row>
    <row r="1170" spans="1:16" x14ac:dyDescent="0.4">
      <c r="A1170">
        <v>597</v>
      </c>
      <c r="B1170" t="s">
        <v>4915</v>
      </c>
      <c r="D1170" t="s">
        <v>4916</v>
      </c>
      <c r="G1170" t="s">
        <v>696</v>
      </c>
      <c r="H1170" t="s">
        <v>4980</v>
      </c>
      <c r="I1170">
        <v>167</v>
      </c>
      <c r="K1170" t="s">
        <v>4981</v>
      </c>
      <c r="L1170">
        <v>46273</v>
      </c>
      <c r="M1170">
        <v>96710</v>
      </c>
      <c r="N1170">
        <v>40</v>
      </c>
      <c r="O1170">
        <v>46274</v>
      </c>
      <c r="P1170">
        <v>127</v>
      </c>
    </row>
    <row r="1171" spans="1:16" x14ac:dyDescent="0.4">
      <c r="A1171">
        <v>603</v>
      </c>
      <c r="B1171" t="s">
        <v>4915</v>
      </c>
      <c r="D1171" t="s">
        <v>4916</v>
      </c>
      <c r="G1171" t="s">
        <v>709</v>
      </c>
      <c r="H1171" t="s">
        <v>708</v>
      </c>
      <c r="I1171">
        <v>169</v>
      </c>
      <c r="K1171" t="s">
        <v>4985</v>
      </c>
      <c r="L1171">
        <v>46273</v>
      </c>
      <c r="M1171">
        <v>96710</v>
      </c>
      <c r="N1171">
        <v>13</v>
      </c>
      <c r="O1171">
        <v>46274</v>
      </c>
      <c r="P1171">
        <v>156</v>
      </c>
    </row>
    <row r="1172" spans="1:16" x14ac:dyDescent="0.4">
      <c r="A1172">
        <v>616</v>
      </c>
      <c r="B1172" t="s">
        <v>4915</v>
      </c>
      <c r="D1172" t="s">
        <v>4916</v>
      </c>
      <c r="G1172" t="s">
        <v>985</v>
      </c>
      <c r="H1172" t="s">
        <v>984</v>
      </c>
      <c r="I1172">
        <v>169</v>
      </c>
      <c r="K1172" t="s">
        <v>4932</v>
      </c>
      <c r="L1172">
        <v>46273</v>
      </c>
      <c r="M1172">
        <v>96710</v>
      </c>
      <c r="N1172">
        <v>40</v>
      </c>
      <c r="O1172">
        <v>46274</v>
      </c>
      <c r="P1172">
        <v>129</v>
      </c>
    </row>
    <row r="1173" spans="1:16" x14ac:dyDescent="0.4">
      <c r="A1173">
        <v>618</v>
      </c>
      <c r="B1173" t="s">
        <v>4915</v>
      </c>
      <c r="D1173" t="s">
        <v>4916</v>
      </c>
      <c r="G1173" t="s">
        <v>1057</v>
      </c>
      <c r="H1173" t="s">
        <v>1056</v>
      </c>
      <c r="I1173">
        <v>175</v>
      </c>
      <c r="K1173" t="s">
        <v>4991</v>
      </c>
      <c r="L1173">
        <v>46273</v>
      </c>
      <c r="M1173">
        <v>96710</v>
      </c>
      <c r="N1173">
        <v>40</v>
      </c>
      <c r="O1173">
        <v>46274</v>
      </c>
      <c r="P1173">
        <v>135</v>
      </c>
    </row>
    <row r="1174" spans="1:16" x14ac:dyDescent="0.4">
      <c r="A1174">
        <v>595</v>
      </c>
      <c r="B1174" t="s">
        <v>4915</v>
      </c>
      <c r="D1174" t="s">
        <v>4916</v>
      </c>
      <c r="G1174" t="s">
        <v>699</v>
      </c>
      <c r="H1174" t="s">
        <v>4976</v>
      </c>
      <c r="I1174">
        <v>179</v>
      </c>
      <c r="K1174" t="s">
        <v>4975</v>
      </c>
      <c r="L1174">
        <v>46273</v>
      </c>
      <c r="M1174">
        <v>96710</v>
      </c>
      <c r="N1174">
        <v>40</v>
      </c>
      <c r="O1174">
        <v>46274</v>
      </c>
      <c r="P1174">
        <v>139</v>
      </c>
    </row>
    <row r="1175" spans="1:16" x14ac:dyDescent="0.4">
      <c r="A1175">
        <v>607</v>
      </c>
      <c r="B1175" t="s">
        <v>4915</v>
      </c>
      <c r="D1175" t="s">
        <v>4916</v>
      </c>
      <c r="G1175" t="s">
        <v>777</v>
      </c>
      <c r="H1175" t="s">
        <v>776</v>
      </c>
      <c r="I1175">
        <v>194</v>
      </c>
      <c r="K1175" t="s">
        <v>4986</v>
      </c>
      <c r="L1175">
        <v>46273</v>
      </c>
      <c r="M1175">
        <v>96710</v>
      </c>
      <c r="N1175">
        <v>40</v>
      </c>
      <c r="O1175">
        <v>46274</v>
      </c>
      <c r="P1175">
        <v>154</v>
      </c>
    </row>
    <row r="1176" spans="1:16" x14ac:dyDescent="0.4">
      <c r="A1176">
        <v>602</v>
      </c>
      <c r="B1176" t="s">
        <v>4915</v>
      </c>
      <c r="D1176" t="s">
        <v>4916</v>
      </c>
      <c r="G1176" t="s">
        <v>5156</v>
      </c>
      <c r="H1176" t="s">
        <v>701</v>
      </c>
      <c r="I1176">
        <v>196</v>
      </c>
      <c r="K1176" t="s">
        <v>4985</v>
      </c>
      <c r="L1176">
        <v>46273</v>
      </c>
      <c r="M1176">
        <v>96710</v>
      </c>
      <c r="N1176">
        <v>40</v>
      </c>
      <c r="O1176">
        <v>46274</v>
      </c>
      <c r="P1176">
        <v>156</v>
      </c>
    </row>
    <row r="1177" spans="1:16" x14ac:dyDescent="0.4">
      <c r="A1177">
        <v>612</v>
      </c>
      <c r="B1177" t="s">
        <v>4915</v>
      </c>
      <c r="D1177" t="s">
        <v>4916</v>
      </c>
      <c r="G1177" t="s">
        <v>880</v>
      </c>
      <c r="H1177" t="s">
        <v>879</v>
      </c>
      <c r="I1177">
        <v>200</v>
      </c>
      <c r="K1177" t="s">
        <v>4988</v>
      </c>
      <c r="L1177">
        <v>46273</v>
      </c>
      <c r="M1177">
        <v>96710</v>
      </c>
      <c r="N1177">
        <v>40</v>
      </c>
      <c r="O1177">
        <v>46274</v>
      </c>
      <c r="P1177">
        <v>160</v>
      </c>
    </row>
    <row r="1178" spans="1:16" x14ac:dyDescent="0.4">
      <c r="A1178">
        <v>610</v>
      </c>
      <c r="B1178" t="s">
        <v>4915</v>
      </c>
      <c r="D1178" t="s">
        <v>4916</v>
      </c>
      <c r="G1178" t="s">
        <v>782</v>
      </c>
      <c r="H1178" t="s">
        <v>781</v>
      </c>
      <c r="I1178">
        <v>215</v>
      </c>
      <c r="K1178" t="s">
        <v>4987</v>
      </c>
      <c r="L1178">
        <v>46273</v>
      </c>
      <c r="M1178">
        <v>96710</v>
      </c>
      <c r="N1178">
        <v>40</v>
      </c>
      <c r="O1178">
        <v>46274</v>
      </c>
      <c r="P1178">
        <v>175</v>
      </c>
    </row>
    <row r="1179" spans="1:16" x14ac:dyDescent="0.4">
      <c r="A1179">
        <v>601</v>
      </c>
      <c r="B1179" t="s">
        <v>4915</v>
      </c>
      <c r="D1179" t="s">
        <v>4916</v>
      </c>
      <c r="G1179" t="s">
        <v>664</v>
      </c>
      <c r="H1179" t="s">
        <v>663</v>
      </c>
      <c r="I1179">
        <v>226</v>
      </c>
      <c r="K1179" t="s">
        <v>4985</v>
      </c>
      <c r="L1179">
        <v>46273</v>
      </c>
      <c r="M1179">
        <v>96710</v>
      </c>
      <c r="N1179">
        <v>40</v>
      </c>
      <c r="O1179">
        <v>46274</v>
      </c>
      <c r="P1179">
        <v>186</v>
      </c>
    </row>
    <row r="1180" spans="1:16" x14ac:dyDescent="0.4">
      <c r="A1180">
        <v>613</v>
      </c>
      <c r="B1180" t="s">
        <v>4915</v>
      </c>
      <c r="D1180" t="s">
        <v>4916</v>
      </c>
      <c r="G1180" t="s">
        <v>877</v>
      </c>
      <c r="H1180" t="s">
        <v>876</v>
      </c>
      <c r="I1180">
        <v>250</v>
      </c>
      <c r="K1180" t="s">
        <v>4988</v>
      </c>
      <c r="L1180">
        <v>46273</v>
      </c>
      <c r="M1180">
        <v>96710</v>
      </c>
      <c r="N1180">
        <v>40</v>
      </c>
      <c r="O1180">
        <v>46274</v>
      </c>
      <c r="P1180">
        <v>210</v>
      </c>
    </row>
    <row r="1181" spans="1:16" x14ac:dyDescent="0.4">
      <c r="A1181">
        <v>604</v>
      </c>
      <c r="B1181" t="s">
        <v>4915</v>
      </c>
      <c r="D1181" t="s">
        <v>4916</v>
      </c>
      <c r="G1181" t="s">
        <v>729</v>
      </c>
      <c r="H1181" t="s">
        <v>728</v>
      </c>
      <c r="I1181">
        <v>305</v>
      </c>
      <c r="K1181" t="s">
        <v>4985</v>
      </c>
      <c r="L1181">
        <v>46273</v>
      </c>
      <c r="M1181">
        <v>96710</v>
      </c>
      <c r="N1181">
        <v>40</v>
      </c>
      <c r="O1181">
        <v>46274</v>
      </c>
      <c r="P1181">
        <v>265</v>
      </c>
    </row>
    <row r="1182" spans="1:16" x14ac:dyDescent="0.4">
      <c r="A1182">
        <v>599</v>
      </c>
      <c r="B1182" t="s">
        <v>4915</v>
      </c>
      <c r="D1182" t="s">
        <v>4916</v>
      </c>
      <c r="G1182" t="s">
        <v>645</v>
      </c>
      <c r="H1182" t="s">
        <v>4982</v>
      </c>
      <c r="I1182">
        <v>320</v>
      </c>
      <c r="K1182" t="s">
        <v>4983</v>
      </c>
      <c r="L1182">
        <v>46273</v>
      </c>
      <c r="M1182">
        <v>96710</v>
      </c>
      <c r="N1182">
        <v>40</v>
      </c>
      <c r="O1182">
        <v>46274</v>
      </c>
      <c r="P1182">
        <v>280</v>
      </c>
    </row>
    <row r="1183" spans="1:16" x14ac:dyDescent="0.4">
      <c r="A1183">
        <v>625</v>
      </c>
      <c r="B1183" t="s">
        <v>4915</v>
      </c>
      <c r="D1183" t="s">
        <v>4916</v>
      </c>
      <c r="G1183" t="s">
        <v>4997</v>
      </c>
      <c r="H1183" t="s">
        <v>624</v>
      </c>
      <c r="I1183">
        <v>334</v>
      </c>
      <c r="K1183" t="s">
        <v>4998</v>
      </c>
      <c r="L1183">
        <v>46273</v>
      </c>
      <c r="M1183">
        <v>96710</v>
      </c>
      <c r="N1183">
        <v>40</v>
      </c>
      <c r="O1183">
        <v>46274</v>
      </c>
      <c r="P1183">
        <v>294</v>
      </c>
    </row>
    <row r="1184" spans="1:16" x14ac:dyDescent="0.4">
      <c r="A1184">
        <v>620</v>
      </c>
      <c r="B1184" t="s">
        <v>4915</v>
      </c>
      <c r="D1184" t="s">
        <v>4916</v>
      </c>
      <c r="G1184" t="s">
        <v>4993</v>
      </c>
      <c r="H1184" t="s">
        <v>2651</v>
      </c>
      <c r="I1184">
        <v>349</v>
      </c>
      <c r="K1184" t="s">
        <v>4948</v>
      </c>
      <c r="L1184">
        <v>46273</v>
      </c>
      <c r="M1184">
        <v>96710</v>
      </c>
      <c r="N1184">
        <v>40</v>
      </c>
      <c r="O1184">
        <v>46274</v>
      </c>
      <c r="P1184">
        <v>309</v>
      </c>
    </row>
    <row r="1185" spans="1:16" x14ac:dyDescent="0.4">
      <c r="A1185">
        <v>614</v>
      </c>
      <c r="B1185" t="s">
        <v>4915</v>
      </c>
      <c r="D1185" t="s">
        <v>4916</v>
      </c>
      <c r="G1185" t="s">
        <v>884</v>
      </c>
      <c r="H1185" t="s">
        <v>883</v>
      </c>
      <c r="I1185">
        <v>367</v>
      </c>
      <c r="K1185" t="s">
        <v>4943</v>
      </c>
      <c r="L1185">
        <v>46273</v>
      </c>
      <c r="M1185">
        <v>96710</v>
      </c>
      <c r="N1185">
        <v>40</v>
      </c>
      <c r="O1185">
        <v>46274</v>
      </c>
      <c r="P1185">
        <v>327</v>
      </c>
    </row>
    <row r="1186" spans="1:16" x14ac:dyDescent="0.4">
      <c r="A1186">
        <v>596</v>
      </c>
      <c r="B1186" t="s">
        <v>4915</v>
      </c>
      <c r="D1186" t="s">
        <v>4916</v>
      </c>
      <c r="G1186" t="s">
        <v>4977</v>
      </c>
      <c r="H1186" t="s">
        <v>4978</v>
      </c>
      <c r="I1186">
        <v>424</v>
      </c>
      <c r="K1186" t="s">
        <v>4979</v>
      </c>
      <c r="L1186">
        <v>46273</v>
      </c>
      <c r="M1186">
        <v>96710</v>
      </c>
      <c r="N1186">
        <v>40</v>
      </c>
      <c r="O1186">
        <v>46274</v>
      </c>
      <c r="P1186">
        <v>384</v>
      </c>
    </row>
    <row r="1187" spans="1:16" x14ac:dyDescent="0.4">
      <c r="A1187">
        <v>621</v>
      </c>
      <c r="B1187" t="s">
        <v>4915</v>
      </c>
      <c r="D1187" t="s">
        <v>4916</v>
      </c>
      <c r="G1187" t="s">
        <v>4994</v>
      </c>
      <c r="H1187" t="s">
        <v>2697</v>
      </c>
      <c r="I1187">
        <v>610</v>
      </c>
      <c r="K1187" t="s">
        <v>4948</v>
      </c>
      <c r="L1187">
        <v>46273</v>
      </c>
      <c r="M1187">
        <v>96710</v>
      </c>
      <c r="N1187">
        <v>40</v>
      </c>
      <c r="O1187">
        <v>46274</v>
      </c>
      <c r="P1187">
        <v>570</v>
      </c>
    </row>
    <row r="1188" spans="1:16" x14ac:dyDescent="0.4">
      <c r="A1188">
        <v>615</v>
      </c>
      <c r="B1188" t="s">
        <v>4915</v>
      </c>
      <c r="D1188" t="s">
        <v>4916</v>
      </c>
      <c r="G1188" t="s">
        <v>795</v>
      </c>
      <c r="H1188" t="s">
        <v>794</v>
      </c>
      <c r="I1188">
        <v>726</v>
      </c>
      <c r="K1188" t="s">
        <v>4989</v>
      </c>
      <c r="L1188">
        <v>46273</v>
      </c>
      <c r="M1188">
        <v>96710</v>
      </c>
      <c r="N1188">
        <v>80</v>
      </c>
      <c r="O1188">
        <v>46274</v>
      </c>
      <c r="P1188">
        <v>646</v>
      </c>
    </row>
    <row r="1189" spans="1:16" x14ac:dyDescent="0.4">
      <c r="A1189">
        <v>605</v>
      </c>
      <c r="B1189" t="s">
        <v>4915</v>
      </c>
      <c r="D1189" t="s">
        <v>4916</v>
      </c>
      <c r="G1189" t="s">
        <v>650</v>
      </c>
      <c r="H1189" t="s">
        <v>649</v>
      </c>
      <c r="I1189">
        <v>862</v>
      </c>
      <c r="K1189" t="s">
        <v>4986</v>
      </c>
      <c r="L1189">
        <v>46273</v>
      </c>
      <c r="M1189">
        <v>96710</v>
      </c>
      <c r="N1189">
        <v>80</v>
      </c>
      <c r="O1189">
        <v>46274</v>
      </c>
      <c r="P1189">
        <v>782</v>
      </c>
    </row>
    <row r="1190" spans="1:16" x14ac:dyDescent="0.4">
      <c r="A1190">
        <v>1577</v>
      </c>
      <c r="B1190" t="s">
        <v>4915</v>
      </c>
      <c r="G1190" t="s">
        <v>362</v>
      </c>
      <c r="H1190" t="s">
        <v>5022</v>
      </c>
      <c r="I1190">
        <v>30</v>
      </c>
      <c r="K1190" t="s">
        <v>5023</v>
      </c>
      <c r="L1190">
        <v>46282</v>
      </c>
      <c r="M1190">
        <v>96711</v>
      </c>
      <c r="N1190">
        <v>30</v>
      </c>
      <c r="O1190">
        <v>46280</v>
      </c>
      <c r="P1190">
        <v>0</v>
      </c>
    </row>
    <row r="1191" spans="1:16" x14ac:dyDescent="0.4">
      <c r="A1191">
        <v>782</v>
      </c>
      <c r="B1191" t="s">
        <v>4915</v>
      </c>
      <c r="G1191" t="s">
        <v>1123</v>
      </c>
      <c r="H1191" t="s">
        <v>4917</v>
      </c>
      <c r="I1191">
        <v>86</v>
      </c>
      <c r="K1191" t="s">
        <v>4918</v>
      </c>
      <c r="L1191">
        <v>46274</v>
      </c>
      <c r="M1191">
        <v>96711</v>
      </c>
      <c r="N1191">
        <v>40</v>
      </c>
      <c r="O1191">
        <v>46274</v>
      </c>
      <c r="P1191">
        <v>46</v>
      </c>
    </row>
    <row r="1192" spans="1:16" x14ac:dyDescent="0.4">
      <c r="A1192">
        <v>592</v>
      </c>
      <c r="B1192" t="s">
        <v>4915</v>
      </c>
      <c r="D1192" t="s">
        <v>4916</v>
      </c>
      <c r="G1192" t="s">
        <v>1186</v>
      </c>
      <c r="H1192" t="s">
        <v>1185</v>
      </c>
      <c r="I1192">
        <v>201</v>
      </c>
      <c r="K1192" t="s">
        <v>4970</v>
      </c>
      <c r="L1192">
        <v>46273</v>
      </c>
      <c r="M1192">
        <v>96711</v>
      </c>
      <c r="N1192">
        <v>80</v>
      </c>
      <c r="O1192">
        <v>46273</v>
      </c>
      <c r="P1192">
        <v>121</v>
      </c>
    </row>
    <row r="1193" spans="1:16" x14ac:dyDescent="0.4">
      <c r="A1193">
        <v>587</v>
      </c>
      <c r="B1193" t="s">
        <v>4915</v>
      </c>
      <c r="D1193" t="s">
        <v>4916</v>
      </c>
      <c r="G1193" t="s">
        <v>1190</v>
      </c>
      <c r="H1193" t="s">
        <v>1189</v>
      </c>
      <c r="I1193">
        <v>315</v>
      </c>
      <c r="K1193" t="s">
        <v>4953</v>
      </c>
      <c r="L1193">
        <v>46273</v>
      </c>
      <c r="M1193">
        <v>96711</v>
      </c>
      <c r="N1193">
        <v>40</v>
      </c>
      <c r="O1193">
        <v>46273</v>
      </c>
      <c r="P1193">
        <v>275</v>
      </c>
    </row>
    <row r="1194" spans="1:16" x14ac:dyDescent="0.4">
      <c r="A1194">
        <v>537</v>
      </c>
      <c r="B1194" t="s">
        <v>4915</v>
      </c>
      <c r="D1194" t="s">
        <v>4916</v>
      </c>
      <c r="G1194" t="s">
        <v>4950</v>
      </c>
      <c r="H1194" t="s">
        <v>2691</v>
      </c>
      <c r="I1194">
        <v>392</v>
      </c>
      <c r="K1194" t="s">
        <v>4951</v>
      </c>
      <c r="L1194">
        <v>46273</v>
      </c>
      <c r="M1194">
        <v>96711</v>
      </c>
      <c r="N1194">
        <v>40</v>
      </c>
      <c r="O1194">
        <v>46273</v>
      </c>
      <c r="P1194">
        <v>352</v>
      </c>
    </row>
    <row r="1195" spans="1:16" x14ac:dyDescent="0.4">
      <c r="A1195">
        <v>647</v>
      </c>
      <c r="B1195" t="s">
        <v>4915</v>
      </c>
      <c r="D1195" t="s">
        <v>4916</v>
      </c>
      <c r="G1195" t="s">
        <v>1354</v>
      </c>
      <c r="H1195" t="s">
        <v>1353</v>
      </c>
      <c r="I1195">
        <v>160</v>
      </c>
      <c r="K1195" t="s">
        <v>4957</v>
      </c>
      <c r="L1195">
        <v>46273</v>
      </c>
      <c r="M1195">
        <v>96712</v>
      </c>
      <c r="N1195">
        <v>40</v>
      </c>
      <c r="O1195">
        <v>46274</v>
      </c>
      <c r="P1195">
        <v>120</v>
      </c>
    </row>
    <row r="1196" spans="1:16" x14ac:dyDescent="0.4">
      <c r="A1196">
        <v>2095</v>
      </c>
      <c r="B1196" t="s">
        <v>4915</v>
      </c>
      <c r="G1196" t="s">
        <v>1813</v>
      </c>
      <c r="H1196" t="s">
        <v>1812</v>
      </c>
      <c r="I1196">
        <v>165</v>
      </c>
      <c r="K1196" t="s">
        <v>5137</v>
      </c>
      <c r="L1196">
        <v>46287</v>
      </c>
      <c r="M1196">
        <v>96712</v>
      </c>
      <c r="N1196">
        <v>40</v>
      </c>
      <c r="O1196">
        <v>46287</v>
      </c>
      <c r="P1196">
        <v>125</v>
      </c>
    </row>
    <row r="1197" spans="1:16" x14ac:dyDescent="0.4">
      <c r="A1197">
        <v>630</v>
      </c>
      <c r="B1197" t="s">
        <v>4915</v>
      </c>
      <c r="D1197" t="s">
        <v>4916</v>
      </c>
      <c r="G1197" t="s">
        <v>2778</v>
      </c>
      <c r="H1197" t="s">
        <v>2777</v>
      </c>
      <c r="I1197">
        <v>166</v>
      </c>
      <c r="K1197" t="s">
        <v>4949</v>
      </c>
      <c r="L1197">
        <v>46273</v>
      </c>
      <c r="M1197">
        <v>96712</v>
      </c>
      <c r="N1197">
        <v>40</v>
      </c>
      <c r="O1197">
        <v>46274</v>
      </c>
      <c r="P1197">
        <v>126</v>
      </c>
    </row>
    <row r="1198" spans="1:16" x14ac:dyDescent="0.4">
      <c r="A1198">
        <v>265</v>
      </c>
      <c r="B1198" t="s">
        <v>4915</v>
      </c>
      <c r="G1198" t="s">
        <v>969</v>
      </c>
      <c r="H1198" t="s">
        <v>4931</v>
      </c>
      <c r="I1198">
        <v>399</v>
      </c>
      <c r="K1198" t="s">
        <v>4932</v>
      </c>
      <c r="L1198">
        <v>46232</v>
      </c>
      <c r="M1198">
        <v>96712</v>
      </c>
      <c r="N1198">
        <v>40</v>
      </c>
      <c r="O1198">
        <v>46274</v>
      </c>
      <c r="P1198">
        <v>359</v>
      </c>
    </row>
    <row r="1199" spans="1:16" x14ac:dyDescent="0.4">
      <c r="A1199">
        <v>628</v>
      </c>
      <c r="B1199" t="s">
        <v>4915</v>
      </c>
      <c r="D1199" t="s">
        <v>4916</v>
      </c>
      <c r="G1199" t="s">
        <v>2746</v>
      </c>
      <c r="H1199" t="s">
        <v>2745</v>
      </c>
      <c r="I1199">
        <v>527</v>
      </c>
      <c r="K1199" t="s">
        <v>4948</v>
      </c>
      <c r="L1199">
        <v>46273</v>
      </c>
      <c r="M1199">
        <v>96712</v>
      </c>
      <c r="N1199">
        <v>80</v>
      </c>
      <c r="O1199">
        <v>46274</v>
      </c>
      <c r="P1199">
        <v>447</v>
      </c>
    </row>
    <row r="1200" spans="1:16" x14ac:dyDescent="0.4">
      <c r="A1200">
        <v>268</v>
      </c>
      <c r="B1200" t="s">
        <v>4915</v>
      </c>
      <c r="G1200" t="s">
        <v>2757</v>
      </c>
      <c r="H1200" t="s">
        <v>2756</v>
      </c>
      <c r="I1200">
        <v>582</v>
      </c>
      <c r="K1200" t="s">
        <v>4872</v>
      </c>
      <c r="L1200">
        <v>46232</v>
      </c>
      <c r="M1200">
        <v>96712</v>
      </c>
      <c r="N1200">
        <v>40</v>
      </c>
      <c r="O1200">
        <v>46274</v>
      </c>
      <c r="P1200">
        <v>542</v>
      </c>
    </row>
    <row r="1201" spans="1:16" x14ac:dyDescent="0.4">
      <c r="A1201">
        <v>629</v>
      </c>
      <c r="B1201" t="s">
        <v>4915</v>
      </c>
      <c r="D1201" t="s">
        <v>4916</v>
      </c>
      <c r="G1201" t="s">
        <v>2780</v>
      </c>
      <c r="H1201" t="s">
        <v>2779</v>
      </c>
      <c r="I1201">
        <v>621</v>
      </c>
      <c r="K1201" t="s">
        <v>4949</v>
      </c>
      <c r="L1201">
        <v>46273</v>
      </c>
      <c r="M1201">
        <v>96712</v>
      </c>
      <c r="N1201">
        <v>40</v>
      </c>
      <c r="O1201">
        <v>46274</v>
      </c>
      <c r="P1201">
        <v>581</v>
      </c>
    </row>
    <row r="1202" spans="1:16" x14ac:dyDescent="0.4">
      <c r="A1202">
        <v>541</v>
      </c>
      <c r="B1202" t="s">
        <v>4915</v>
      </c>
      <c r="D1202" t="s">
        <v>4916</v>
      </c>
      <c r="G1202" t="s">
        <v>2638</v>
      </c>
      <c r="H1202" t="s">
        <v>2637</v>
      </c>
      <c r="I1202">
        <v>30</v>
      </c>
      <c r="K1202" t="s">
        <v>4869</v>
      </c>
      <c r="L1202">
        <v>46273</v>
      </c>
      <c r="M1202">
        <v>96713</v>
      </c>
      <c r="N1202">
        <v>30</v>
      </c>
      <c r="O1202">
        <v>46275</v>
      </c>
      <c r="P1202">
        <v>0</v>
      </c>
    </row>
    <row r="1203" spans="1:16" x14ac:dyDescent="0.4">
      <c r="A1203">
        <v>551</v>
      </c>
      <c r="B1203" t="s">
        <v>4915</v>
      </c>
      <c r="D1203" t="s">
        <v>4916</v>
      </c>
      <c r="G1203" t="s">
        <v>477</v>
      </c>
      <c r="H1203" t="s">
        <v>476</v>
      </c>
      <c r="I1203">
        <v>32</v>
      </c>
      <c r="K1203" t="s">
        <v>4851</v>
      </c>
      <c r="L1203">
        <v>46273</v>
      </c>
      <c r="M1203">
        <v>96713</v>
      </c>
      <c r="N1203">
        <v>32</v>
      </c>
      <c r="O1203">
        <v>46275</v>
      </c>
      <c r="P1203">
        <v>0</v>
      </c>
    </row>
    <row r="1204" spans="1:16" x14ac:dyDescent="0.4">
      <c r="A1204">
        <v>540</v>
      </c>
      <c r="B1204" t="s">
        <v>4915</v>
      </c>
      <c r="D1204" t="s">
        <v>4916</v>
      </c>
      <c r="G1204" t="s">
        <v>2842</v>
      </c>
      <c r="H1204" t="s">
        <v>2841</v>
      </c>
      <c r="I1204">
        <v>78</v>
      </c>
      <c r="K1204" t="s">
        <v>4869</v>
      </c>
      <c r="L1204">
        <v>46273</v>
      </c>
      <c r="M1204">
        <v>96713</v>
      </c>
      <c r="N1204">
        <v>40</v>
      </c>
      <c r="O1204">
        <v>46275</v>
      </c>
      <c r="P1204">
        <v>38</v>
      </c>
    </row>
    <row r="1205" spans="1:16" x14ac:dyDescent="0.4">
      <c r="A1205">
        <v>548</v>
      </c>
      <c r="B1205" t="s">
        <v>4915</v>
      </c>
      <c r="D1205" t="s">
        <v>4916</v>
      </c>
      <c r="G1205" t="s">
        <v>1207</v>
      </c>
      <c r="H1205" t="s">
        <v>1206</v>
      </c>
      <c r="I1205">
        <v>79</v>
      </c>
      <c r="K1205" t="s">
        <v>4953</v>
      </c>
      <c r="L1205">
        <v>46273</v>
      </c>
      <c r="M1205">
        <v>96713</v>
      </c>
      <c r="N1205">
        <v>40</v>
      </c>
      <c r="O1205">
        <v>46275</v>
      </c>
      <c r="P1205">
        <v>39</v>
      </c>
    </row>
    <row r="1206" spans="1:16" x14ac:dyDescent="0.4">
      <c r="A1206">
        <v>521</v>
      </c>
      <c r="B1206" t="s">
        <v>4915</v>
      </c>
      <c r="D1206" t="s">
        <v>4916</v>
      </c>
      <c r="G1206" t="s">
        <v>1052</v>
      </c>
      <c r="H1206" t="s">
        <v>1051</v>
      </c>
      <c r="I1206">
        <v>100</v>
      </c>
      <c r="K1206" t="s">
        <v>4943</v>
      </c>
      <c r="L1206">
        <v>46273</v>
      </c>
      <c r="M1206">
        <v>96713</v>
      </c>
      <c r="N1206">
        <v>40</v>
      </c>
      <c r="O1206">
        <v>46275</v>
      </c>
      <c r="P1206">
        <v>60</v>
      </c>
    </row>
    <row r="1207" spans="1:16" x14ac:dyDescent="0.4">
      <c r="A1207">
        <v>522</v>
      </c>
      <c r="B1207" t="s">
        <v>4915</v>
      </c>
      <c r="D1207" t="s">
        <v>4916</v>
      </c>
      <c r="G1207" t="s">
        <v>1050</v>
      </c>
      <c r="H1207" t="s">
        <v>1049</v>
      </c>
      <c r="I1207">
        <v>100</v>
      </c>
      <c r="K1207" t="s">
        <v>4943</v>
      </c>
      <c r="L1207">
        <v>46273</v>
      </c>
      <c r="M1207">
        <v>96713</v>
      </c>
      <c r="N1207">
        <v>40</v>
      </c>
      <c r="O1207">
        <v>46275</v>
      </c>
      <c r="P1207">
        <v>60</v>
      </c>
    </row>
    <row r="1208" spans="1:16" x14ac:dyDescent="0.4">
      <c r="A1208">
        <v>2081</v>
      </c>
      <c r="B1208" t="s">
        <v>4915</v>
      </c>
      <c r="G1208" t="s">
        <v>477</v>
      </c>
      <c r="H1208" t="s">
        <v>476</v>
      </c>
      <c r="I1208">
        <v>108</v>
      </c>
      <c r="K1208" t="s">
        <v>4851</v>
      </c>
      <c r="L1208">
        <v>46288</v>
      </c>
      <c r="M1208">
        <v>96713</v>
      </c>
      <c r="N1208">
        <v>8</v>
      </c>
      <c r="O1208">
        <v>46283</v>
      </c>
      <c r="P1208">
        <v>100</v>
      </c>
    </row>
    <row r="1209" spans="1:16" x14ac:dyDescent="0.4">
      <c r="A1209">
        <v>524</v>
      </c>
      <c r="B1209" t="s">
        <v>4915</v>
      </c>
      <c r="D1209" t="s">
        <v>4916</v>
      </c>
      <c r="G1209" t="s">
        <v>2765</v>
      </c>
      <c r="H1209" t="s">
        <v>2764</v>
      </c>
      <c r="I1209">
        <v>126</v>
      </c>
      <c r="K1209" t="s">
        <v>4945</v>
      </c>
      <c r="L1209">
        <v>46273</v>
      </c>
      <c r="M1209">
        <v>96713</v>
      </c>
      <c r="N1209">
        <v>40</v>
      </c>
      <c r="O1209">
        <v>46275</v>
      </c>
      <c r="P1209">
        <v>86</v>
      </c>
    </row>
    <row r="1210" spans="1:16" x14ac:dyDescent="0.4">
      <c r="A1210">
        <v>533</v>
      </c>
      <c r="B1210" t="s">
        <v>4915</v>
      </c>
      <c r="D1210" t="s">
        <v>4916</v>
      </c>
      <c r="G1210" t="s">
        <v>2706</v>
      </c>
      <c r="H1210" t="s">
        <v>2705</v>
      </c>
      <c r="I1210">
        <v>140</v>
      </c>
      <c r="K1210" t="s">
        <v>4948</v>
      </c>
      <c r="L1210">
        <v>46273</v>
      </c>
      <c r="M1210">
        <v>96713</v>
      </c>
      <c r="N1210">
        <v>40</v>
      </c>
      <c r="O1210">
        <v>46275</v>
      </c>
      <c r="P1210">
        <v>100</v>
      </c>
    </row>
    <row r="1211" spans="1:16" x14ac:dyDescent="0.4">
      <c r="A1211">
        <v>531</v>
      </c>
      <c r="B1211" t="s">
        <v>4915</v>
      </c>
      <c r="D1211" t="s">
        <v>4916</v>
      </c>
      <c r="G1211" t="s">
        <v>2813</v>
      </c>
      <c r="H1211" t="s">
        <v>2812</v>
      </c>
      <c r="I1211">
        <v>196</v>
      </c>
      <c r="K1211" t="s">
        <v>4947</v>
      </c>
      <c r="L1211">
        <v>46273</v>
      </c>
      <c r="M1211">
        <v>96713</v>
      </c>
      <c r="N1211">
        <v>40</v>
      </c>
      <c r="O1211">
        <v>46275</v>
      </c>
      <c r="P1211">
        <v>156</v>
      </c>
    </row>
    <row r="1212" spans="1:16" x14ac:dyDescent="0.4">
      <c r="A1212">
        <v>525</v>
      </c>
      <c r="B1212" t="s">
        <v>4915</v>
      </c>
      <c r="D1212" t="s">
        <v>4916</v>
      </c>
      <c r="G1212" t="s">
        <v>2762</v>
      </c>
      <c r="H1212" t="s">
        <v>2761</v>
      </c>
      <c r="I1212">
        <v>205</v>
      </c>
      <c r="K1212" t="s">
        <v>4945</v>
      </c>
      <c r="L1212">
        <v>46273</v>
      </c>
      <c r="M1212">
        <v>96713</v>
      </c>
      <c r="N1212">
        <v>40</v>
      </c>
      <c r="O1212">
        <v>46275</v>
      </c>
      <c r="P1212">
        <v>165</v>
      </c>
    </row>
    <row r="1213" spans="1:16" x14ac:dyDescent="0.4">
      <c r="A1213">
        <v>532</v>
      </c>
      <c r="B1213" t="s">
        <v>4915</v>
      </c>
      <c r="D1213" t="s">
        <v>4916</v>
      </c>
      <c r="G1213" t="s">
        <v>2655</v>
      </c>
      <c r="H1213" t="s">
        <v>2654</v>
      </c>
      <c r="I1213">
        <v>205</v>
      </c>
      <c r="K1213" t="s">
        <v>4948</v>
      </c>
      <c r="L1213">
        <v>46273</v>
      </c>
      <c r="M1213">
        <v>96713</v>
      </c>
      <c r="N1213">
        <v>40</v>
      </c>
      <c r="O1213">
        <v>46275</v>
      </c>
      <c r="P1213">
        <v>165</v>
      </c>
    </row>
    <row r="1214" spans="1:16" x14ac:dyDescent="0.4">
      <c r="A1214">
        <v>527</v>
      </c>
      <c r="B1214" t="s">
        <v>4915</v>
      </c>
      <c r="D1214" t="s">
        <v>4916</v>
      </c>
      <c r="G1214" t="s">
        <v>2879</v>
      </c>
      <c r="H1214" t="s">
        <v>2878</v>
      </c>
      <c r="I1214">
        <v>214</v>
      </c>
      <c r="K1214" t="s">
        <v>4946</v>
      </c>
      <c r="L1214">
        <v>46273</v>
      </c>
      <c r="M1214">
        <v>96713</v>
      </c>
      <c r="N1214">
        <v>40</v>
      </c>
      <c r="O1214">
        <v>46275</v>
      </c>
      <c r="P1214">
        <v>174</v>
      </c>
    </row>
    <row r="1215" spans="1:16" x14ac:dyDescent="0.4">
      <c r="A1215">
        <v>520</v>
      </c>
      <c r="B1215" t="s">
        <v>4915</v>
      </c>
      <c r="D1215" t="s">
        <v>4916</v>
      </c>
      <c r="G1215" t="s">
        <v>1328</v>
      </c>
      <c r="H1215" t="s">
        <v>4941</v>
      </c>
      <c r="I1215">
        <v>218</v>
      </c>
      <c r="K1215" t="s">
        <v>4942</v>
      </c>
      <c r="L1215">
        <v>46273</v>
      </c>
      <c r="M1215">
        <v>96713</v>
      </c>
      <c r="N1215">
        <v>80</v>
      </c>
      <c r="O1215">
        <v>46275</v>
      </c>
      <c r="P1215">
        <v>138</v>
      </c>
    </row>
    <row r="1216" spans="1:16" x14ac:dyDescent="0.4">
      <c r="A1216">
        <v>550</v>
      </c>
      <c r="B1216" t="s">
        <v>4915</v>
      </c>
      <c r="D1216" t="s">
        <v>4916</v>
      </c>
      <c r="G1216" t="s">
        <v>1148</v>
      </c>
      <c r="H1216" t="s">
        <v>1147</v>
      </c>
      <c r="I1216">
        <v>233</v>
      </c>
      <c r="K1216" t="s">
        <v>4851</v>
      </c>
      <c r="L1216">
        <v>46273</v>
      </c>
      <c r="M1216">
        <v>96713</v>
      </c>
      <c r="N1216">
        <v>40</v>
      </c>
      <c r="O1216">
        <v>46275</v>
      </c>
      <c r="P1216">
        <v>193</v>
      </c>
    </row>
    <row r="1217" spans="1:16" x14ac:dyDescent="0.4">
      <c r="A1217">
        <v>633</v>
      </c>
      <c r="B1217" t="s">
        <v>4915</v>
      </c>
      <c r="D1217" t="s">
        <v>4916</v>
      </c>
      <c r="G1217" t="s">
        <v>2755</v>
      </c>
      <c r="H1217" t="s">
        <v>2754</v>
      </c>
      <c r="I1217">
        <v>277</v>
      </c>
      <c r="K1217" t="s">
        <v>4869</v>
      </c>
      <c r="L1217">
        <v>46273</v>
      </c>
      <c r="M1217">
        <v>96713</v>
      </c>
      <c r="N1217">
        <v>40</v>
      </c>
      <c r="O1217">
        <v>46275</v>
      </c>
      <c r="P1217">
        <v>237</v>
      </c>
    </row>
    <row r="1218" spans="1:16" x14ac:dyDescent="0.4">
      <c r="A1218">
        <v>2318</v>
      </c>
      <c r="B1218" t="s">
        <v>4915</v>
      </c>
      <c r="G1218" t="s">
        <v>2638</v>
      </c>
      <c r="H1218" t="s">
        <v>2637</v>
      </c>
      <c r="I1218">
        <v>280</v>
      </c>
      <c r="K1218" t="s">
        <v>4869</v>
      </c>
      <c r="L1218">
        <v>46302</v>
      </c>
      <c r="M1218">
        <v>96713</v>
      </c>
      <c r="N1218">
        <v>10</v>
      </c>
      <c r="O1218">
        <v>46297</v>
      </c>
      <c r="P1218">
        <v>270</v>
      </c>
    </row>
    <row r="1219" spans="1:16" x14ac:dyDescent="0.4">
      <c r="A1219">
        <v>529</v>
      </c>
      <c r="B1219" t="s">
        <v>4915</v>
      </c>
      <c r="D1219" t="s">
        <v>4916</v>
      </c>
      <c r="G1219" t="s">
        <v>2671</v>
      </c>
      <c r="H1219" t="s">
        <v>2670</v>
      </c>
      <c r="I1219">
        <v>280</v>
      </c>
      <c r="K1219" t="s">
        <v>4872</v>
      </c>
      <c r="L1219">
        <v>46273</v>
      </c>
      <c r="M1219">
        <v>96713</v>
      </c>
      <c r="N1219">
        <v>40</v>
      </c>
      <c r="O1219">
        <v>46275</v>
      </c>
      <c r="P1219">
        <v>240</v>
      </c>
    </row>
    <row r="1220" spans="1:16" x14ac:dyDescent="0.4">
      <c r="A1220">
        <v>528</v>
      </c>
      <c r="B1220" t="s">
        <v>4915</v>
      </c>
      <c r="D1220" t="s">
        <v>4916</v>
      </c>
      <c r="G1220" t="s">
        <v>2753</v>
      </c>
      <c r="H1220" t="s">
        <v>2752</v>
      </c>
      <c r="I1220">
        <v>282</v>
      </c>
      <c r="K1220" t="s">
        <v>4872</v>
      </c>
      <c r="L1220">
        <v>46273</v>
      </c>
      <c r="M1220">
        <v>96713</v>
      </c>
      <c r="N1220">
        <v>40</v>
      </c>
      <c r="O1220">
        <v>46275</v>
      </c>
      <c r="P1220">
        <v>242</v>
      </c>
    </row>
    <row r="1221" spans="1:16" x14ac:dyDescent="0.4">
      <c r="A1221">
        <v>536</v>
      </c>
      <c r="B1221" t="s">
        <v>4915</v>
      </c>
      <c r="D1221" t="s">
        <v>4916</v>
      </c>
      <c r="G1221" t="s">
        <v>2786</v>
      </c>
      <c r="H1221" t="s">
        <v>2785</v>
      </c>
      <c r="I1221">
        <v>296</v>
      </c>
      <c r="K1221" t="s">
        <v>4949</v>
      </c>
      <c r="L1221">
        <v>46273</v>
      </c>
      <c r="M1221">
        <v>96713</v>
      </c>
      <c r="N1221">
        <v>40</v>
      </c>
      <c r="O1221">
        <v>46275</v>
      </c>
      <c r="P1221">
        <v>256</v>
      </c>
    </row>
    <row r="1222" spans="1:16" x14ac:dyDescent="0.4">
      <c r="A1222">
        <v>790</v>
      </c>
      <c r="B1222" t="s">
        <v>4915</v>
      </c>
      <c r="G1222" t="s">
        <v>385</v>
      </c>
      <c r="H1222" t="s">
        <v>384</v>
      </c>
      <c r="I1222">
        <v>326</v>
      </c>
      <c r="K1222" t="s">
        <v>4944</v>
      </c>
      <c r="L1222">
        <v>46276</v>
      </c>
      <c r="M1222">
        <v>96713</v>
      </c>
      <c r="N1222">
        <v>80</v>
      </c>
      <c r="O1222">
        <v>46275</v>
      </c>
      <c r="P1222">
        <v>246</v>
      </c>
    </row>
    <row r="1223" spans="1:16" x14ac:dyDescent="0.4">
      <c r="A1223">
        <v>530</v>
      </c>
      <c r="B1223" t="s">
        <v>4915</v>
      </c>
      <c r="D1223" t="s">
        <v>4916</v>
      </c>
      <c r="G1223" t="s">
        <v>2750</v>
      </c>
      <c r="H1223" t="s">
        <v>2749</v>
      </c>
      <c r="I1223">
        <v>348</v>
      </c>
      <c r="K1223" t="s">
        <v>4872</v>
      </c>
      <c r="L1223">
        <v>46273</v>
      </c>
      <c r="M1223">
        <v>96713</v>
      </c>
      <c r="N1223">
        <v>80</v>
      </c>
      <c r="O1223">
        <v>46275</v>
      </c>
      <c r="P1223">
        <v>268</v>
      </c>
    </row>
    <row r="1224" spans="1:16" x14ac:dyDescent="0.4">
      <c r="A1224">
        <v>543</v>
      </c>
      <c r="B1224" t="s">
        <v>4915</v>
      </c>
      <c r="D1224" t="s">
        <v>4916</v>
      </c>
      <c r="G1224" t="s">
        <v>1167</v>
      </c>
      <c r="H1224" t="s">
        <v>1166</v>
      </c>
      <c r="I1224">
        <v>394</v>
      </c>
      <c r="K1224" t="s">
        <v>4952</v>
      </c>
      <c r="L1224">
        <v>46273</v>
      </c>
      <c r="M1224">
        <v>96713</v>
      </c>
      <c r="N1224">
        <v>40</v>
      </c>
      <c r="O1224">
        <v>46275</v>
      </c>
      <c r="P1224">
        <v>354</v>
      </c>
    </row>
    <row r="1225" spans="1:16" x14ac:dyDescent="0.4">
      <c r="A1225">
        <v>542</v>
      </c>
      <c r="B1225" t="s">
        <v>4915</v>
      </c>
      <c r="D1225" t="s">
        <v>4916</v>
      </c>
      <c r="G1225" t="s">
        <v>1173</v>
      </c>
      <c r="H1225" t="s">
        <v>1172</v>
      </c>
      <c r="I1225">
        <v>399</v>
      </c>
      <c r="K1225" t="s">
        <v>4952</v>
      </c>
      <c r="L1225">
        <v>46273</v>
      </c>
      <c r="M1225">
        <v>96713</v>
      </c>
      <c r="N1225">
        <v>40</v>
      </c>
      <c r="O1225">
        <v>46275</v>
      </c>
      <c r="P1225">
        <v>359</v>
      </c>
    </row>
    <row r="1226" spans="1:16" x14ac:dyDescent="0.4">
      <c r="A1226">
        <v>535</v>
      </c>
      <c r="B1226" t="s">
        <v>4915</v>
      </c>
      <c r="D1226" t="s">
        <v>4916</v>
      </c>
      <c r="G1226" t="s">
        <v>2774</v>
      </c>
      <c r="H1226" t="s">
        <v>2773</v>
      </c>
      <c r="I1226">
        <v>405</v>
      </c>
      <c r="K1226" t="s">
        <v>4949</v>
      </c>
      <c r="L1226">
        <v>46273</v>
      </c>
      <c r="M1226">
        <v>96713</v>
      </c>
      <c r="N1226">
        <v>40</v>
      </c>
      <c r="O1226">
        <v>46275</v>
      </c>
      <c r="P1226">
        <v>365</v>
      </c>
    </row>
    <row r="1227" spans="1:16" x14ac:dyDescent="0.4">
      <c r="A1227">
        <v>573</v>
      </c>
      <c r="B1227" t="s">
        <v>4915</v>
      </c>
      <c r="D1227" t="s">
        <v>4916</v>
      </c>
      <c r="G1227" t="s">
        <v>1199</v>
      </c>
      <c r="H1227" t="s">
        <v>1198</v>
      </c>
      <c r="I1227">
        <v>9</v>
      </c>
      <c r="K1227" t="s">
        <v>4966</v>
      </c>
      <c r="L1227">
        <v>46273</v>
      </c>
      <c r="M1227">
        <v>96714</v>
      </c>
      <c r="N1227">
        <v>9</v>
      </c>
      <c r="O1227">
        <v>46275</v>
      </c>
      <c r="P1227">
        <v>0</v>
      </c>
    </row>
    <row r="1228" spans="1:16" x14ac:dyDescent="0.4">
      <c r="A1228">
        <v>571</v>
      </c>
      <c r="B1228" t="s">
        <v>4915</v>
      </c>
      <c r="D1228" t="s">
        <v>4916</v>
      </c>
      <c r="G1228" t="s">
        <v>628</v>
      </c>
      <c r="H1228" t="s">
        <v>627</v>
      </c>
      <c r="I1228">
        <v>178</v>
      </c>
      <c r="K1228" t="s">
        <v>4965</v>
      </c>
      <c r="L1228">
        <v>46273</v>
      </c>
      <c r="M1228">
        <v>96714</v>
      </c>
      <c r="N1228">
        <v>40</v>
      </c>
      <c r="O1228">
        <v>46275</v>
      </c>
      <c r="P1228">
        <v>138</v>
      </c>
    </row>
    <row r="1229" spans="1:16" x14ac:dyDescent="0.4">
      <c r="A1229">
        <v>578</v>
      </c>
      <c r="B1229" t="s">
        <v>4915</v>
      </c>
      <c r="D1229" t="s">
        <v>4916</v>
      </c>
      <c r="G1229" t="s">
        <v>1854</v>
      </c>
      <c r="H1229" t="s">
        <v>1853</v>
      </c>
      <c r="I1229">
        <v>184</v>
      </c>
      <c r="K1229" t="s">
        <v>4866</v>
      </c>
      <c r="L1229">
        <v>46273</v>
      </c>
      <c r="M1229">
        <v>96714</v>
      </c>
      <c r="N1229">
        <v>40</v>
      </c>
      <c r="O1229">
        <v>46275</v>
      </c>
      <c r="P1229">
        <v>144</v>
      </c>
    </row>
    <row r="1230" spans="1:16" x14ac:dyDescent="0.4">
      <c r="A1230">
        <v>582</v>
      </c>
      <c r="B1230" t="s">
        <v>4915</v>
      </c>
      <c r="D1230" t="s">
        <v>4916</v>
      </c>
      <c r="G1230" t="s">
        <v>727</v>
      </c>
      <c r="H1230" t="s">
        <v>4969</v>
      </c>
      <c r="I1230">
        <v>189</v>
      </c>
      <c r="K1230" t="s">
        <v>4851</v>
      </c>
      <c r="L1230">
        <v>46273</v>
      </c>
      <c r="M1230">
        <v>96714</v>
      </c>
      <c r="N1230">
        <v>104</v>
      </c>
      <c r="O1230">
        <v>46275</v>
      </c>
      <c r="P1230">
        <v>85</v>
      </c>
    </row>
    <row r="1231" spans="1:16" x14ac:dyDescent="0.4">
      <c r="A1231">
        <v>574</v>
      </c>
      <c r="B1231" t="s">
        <v>4915</v>
      </c>
      <c r="D1231" t="s">
        <v>4916</v>
      </c>
      <c r="G1231" t="s">
        <v>658</v>
      </c>
      <c r="H1231" t="s">
        <v>657</v>
      </c>
      <c r="I1231">
        <v>254</v>
      </c>
      <c r="K1231" t="s">
        <v>4967</v>
      </c>
      <c r="L1231">
        <v>46273</v>
      </c>
      <c r="M1231">
        <v>96714</v>
      </c>
      <c r="N1231">
        <v>40</v>
      </c>
      <c r="O1231">
        <v>46275</v>
      </c>
      <c r="P1231">
        <v>214</v>
      </c>
    </row>
    <row r="1232" spans="1:16" x14ac:dyDescent="0.4">
      <c r="A1232">
        <v>572</v>
      </c>
      <c r="B1232" t="s">
        <v>4915</v>
      </c>
      <c r="D1232" t="s">
        <v>4916</v>
      </c>
      <c r="G1232" t="s">
        <v>2809</v>
      </c>
      <c r="H1232" t="s">
        <v>2808</v>
      </c>
      <c r="I1232">
        <v>311</v>
      </c>
      <c r="K1232" t="s">
        <v>4869</v>
      </c>
      <c r="L1232">
        <v>46273</v>
      </c>
      <c r="M1232">
        <v>96714</v>
      </c>
      <c r="N1232">
        <v>40</v>
      </c>
      <c r="O1232">
        <v>46275</v>
      </c>
      <c r="P1232">
        <v>271</v>
      </c>
    </row>
    <row r="1233" spans="1:16" x14ac:dyDescent="0.4">
      <c r="A1233">
        <v>741</v>
      </c>
      <c r="B1233" t="s">
        <v>4915</v>
      </c>
      <c r="G1233" t="s">
        <v>1001</v>
      </c>
      <c r="H1233" t="s">
        <v>1000</v>
      </c>
      <c r="I1233">
        <v>356</v>
      </c>
      <c r="K1233" t="s">
        <v>4851</v>
      </c>
      <c r="L1233">
        <v>46274</v>
      </c>
      <c r="M1233">
        <v>96714</v>
      </c>
      <c r="N1233">
        <v>40</v>
      </c>
      <c r="O1233">
        <v>46275</v>
      </c>
      <c r="P1233">
        <v>316</v>
      </c>
    </row>
    <row r="1234" spans="1:16" x14ac:dyDescent="0.4">
      <c r="A1234">
        <v>576</v>
      </c>
      <c r="B1234" t="s">
        <v>4915</v>
      </c>
      <c r="D1234" t="s">
        <v>4916</v>
      </c>
      <c r="G1234" t="s">
        <v>1389</v>
      </c>
      <c r="H1234" t="s">
        <v>1388</v>
      </c>
      <c r="I1234">
        <v>394</v>
      </c>
      <c r="K1234" t="s">
        <v>4968</v>
      </c>
      <c r="L1234">
        <v>46273</v>
      </c>
      <c r="M1234">
        <v>96714</v>
      </c>
      <c r="N1234">
        <v>40</v>
      </c>
      <c r="O1234">
        <v>46275</v>
      </c>
      <c r="P1234">
        <v>354</v>
      </c>
    </row>
    <row r="1235" spans="1:16" x14ac:dyDescent="0.4">
      <c r="A1235">
        <v>575</v>
      </c>
      <c r="B1235" t="s">
        <v>4915</v>
      </c>
      <c r="D1235" t="s">
        <v>4916</v>
      </c>
      <c r="G1235" t="s">
        <v>1387</v>
      </c>
      <c r="H1235" t="s">
        <v>1386</v>
      </c>
      <c r="I1235">
        <v>478</v>
      </c>
      <c r="K1235" t="s">
        <v>4968</v>
      </c>
      <c r="L1235">
        <v>46273</v>
      </c>
      <c r="M1235">
        <v>96714</v>
      </c>
      <c r="N1235">
        <v>40</v>
      </c>
      <c r="O1235">
        <v>46275</v>
      </c>
      <c r="P1235">
        <v>438</v>
      </c>
    </row>
    <row r="1236" spans="1:16" x14ac:dyDescent="0.4">
      <c r="A1236">
        <v>580</v>
      </c>
      <c r="B1236" t="s">
        <v>4915</v>
      </c>
      <c r="D1236" t="s">
        <v>4916</v>
      </c>
      <c r="G1236" t="s">
        <v>1146</v>
      </c>
      <c r="H1236" t="s">
        <v>1145</v>
      </c>
      <c r="I1236">
        <v>508</v>
      </c>
      <c r="K1236" t="s">
        <v>4871</v>
      </c>
      <c r="L1236">
        <v>46273</v>
      </c>
      <c r="M1236">
        <v>96714</v>
      </c>
      <c r="N1236">
        <v>40</v>
      </c>
      <c r="O1236">
        <v>46275</v>
      </c>
      <c r="P1236">
        <v>468</v>
      </c>
    </row>
    <row r="1237" spans="1:16" x14ac:dyDescent="0.4">
      <c r="A1237">
        <v>583</v>
      </c>
      <c r="B1237" t="s">
        <v>4915</v>
      </c>
      <c r="D1237" t="s">
        <v>4916</v>
      </c>
      <c r="G1237" t="s">
        <v>1587</v>
      </c>
      <c r="H1237" t="s">
        <v>1586</v>
      </c>
      <c r="I1237">
        <v>650</v>
      </c>
      <c r="K1237" t="s">
        <v>4970</v>
      </c>
      <c r="L1237">
        <v>46273</v>
      </c>
      <c r="M1237">
        <v>96714</v>
      </c>
      <c r="N1237">
        <v>80</v>
      </c>
      <c r="O1237">
        <v>46275</v>
      </c>
      <c r="P1237">
        <v>570</v>
      </c>
    </row>
    <row r="1238" spans="1:16" x14ac:dyDescent="0.4">
      <c r="A1238">
        <v>563</v>
      </c>
      <c r="B1238" t="s">
        <v>4915</v>
      </c>
      <c r="D1238" t="s">
        <v>4916</v>
      </c>
      <c r="G1238" t="s">
        <v>2475</v>
      </c>
      <c r="H1238" t="s">
        <v>2474</v>
      </c>
      <c r="I1238">
        <v>43</v>
      </c>
      <c r="K1238" t="s">
        <v>4958</v>
      </c>
      <c r="L1238">
        <v>46273</v>
      </c>
      <c r="M1238">
        <v>96728</v>
      </c>
      <c r="N1238">
        <v>40</v>
      </c>
      <c r="O1238">
        <v>46275</v>
      </c>
      <c r="P1238">
        <v>3</v>
      </c>
    </row>
    <row r="1239" spans="1:16" x14ac:dyDescent="0.4">
      <c r="A1239">
        <v>558</v>
      </c>
      <c r="B1239" t="s">
        <v>4915</v>
      </c>
      <c r="D1239" t="s">
        <v>4916</v>
      </c>
      <c r="G1239" t="s">
        <v>750</v>
      </c>
      <c r="H1239" t="s">
        <v>749</v>
      </c>
      <c r="I1239">
        <v>48</v>
      </c>
      <c r="K1239" t="s">
        <v>4956</v>
      </c>
      <c r="L1239">
        <v>46273</v>
      </c>
      <c r="M1239">
        <v>96728</v>
      </c>
      <c r="N1239">
        <v>40</v>
      </c>
      <c r="O1239">
        <v>46275</v>
      </c>
      <c r="P1239">
        <v>8</v>
      </c>
    </row>
    <row r="1240" spans="1:16" x14ac:dyDescent="0.4">
      <c r="A1240">
        <v>557</v>
      </c>
      <c r="B1240" t="s">
        <v>4915</v>
      </c>
      <c r="D1240" t="s">
        <v>4916</v>
      </c>
      <c r="G1240" t="s">
        <v>2454</v>
      </c>
      <c r="H1240" t="s">
        <v>2453</v>
      </c>
      <c r="I1240">
        <v>73</v>
      </c>
      <c r="K1240" t="s">
        <v>4955</v>
      </c>
      <c r="L1240">
        <v>46273</v>
      </c>
      <c r="M1240">
        <v>96728</v>
      </c>
      <c r="N1240">
        <v>40</v>
      </c>
      <c r="O1240">
        <v>46275</v>
      </c>
      <c r="P1240">
        <v>33</v>
      </c>
    </row>
    <row r="1241" spans="1:16" x14ac:dyDescent="0.4">
      <c r="A1241">
        <v>564</v>
      </c>
      <c r="B1241" t="s">
        <v>4915</v>
      </c>
      <c r="D1241" t="s">
        <v>4916</v>
      </c>
      <c r="G1241" t="s">
        <v>479</v>
      </c>
      <c r="H1241" t="s">
        <v>4959</v>
      </c>
      <c r="I1241">
        <v>88</v>
      </c>
      <c r="K1241" t="s">
        <v>4864</v>
      </c>
      <c r="L1241">
        <v>46273</v>
      </c>
      <c r="M1241">
        <v>96728</v>
      </c>
      <c r="N1241">
        <v>40</v>
      </c>
      <c r="O1241">
        <v>46275</v>
      </c>
      <c r="P1241">
        <v>48</v>
      </c>
    </row>
    <row r="1242" spans="1:16" x14ac:dyDescent="0.4">
      <c r="A1242">
        <v>566</v>
      </c>
      <c r="B1242" t="s">
        <v>4915</v>
      </c>
      <c r="D1242" t="s">
        <v>4916</v>
      </c>
      <c r="G1242" t="s">
        <v>243</v>
      </c>
      <c r="H1242" t="s">
        <v>4961</v>
      </c>
      <c r="I1242">
        <v>90</v>
      </c>
      <c r="K1242" t="s">
        <v>4864</v>
      </c>
      <c r="L1242">
        <v>46273</v>
      </c>
      <c r="M1242">
        <v>96728</v>
      </c>
      <c r="N1242">
        <v>40</v>
      </c>
      <c r="O1242">
        <v>46275</v>
      </c>
      <c r="P1242">
        <v>50</v>
      </c>
    </row>
    <row r="1243" spans="1:16" x14ac:dyDescent="0.4">
      <c r="A1243">
        <v>559</v>
      </c>
      <c r="B1243" t="s">
        <v>4915</v>
      </c>
      <c r="D1243" t="s">
        <v>4916</v>
      </c>
      <c r="G1243" t="s">
        <v>748</v>
      </c>
      <c r="H1243" t="s">
        <v>747</v>
      </c>
      <c r="I1243">
        <v>95</v>
      </c>
      <c r="K1243" t="s">
        <v>4956</v>
      </c>
      <c r="L1243">
        <v>46273</v>
      </c>
      <c r="M1243">
        <v>96728</v>
      </c>
      <c r="N1243">
        <v>40</v>
      </c>
      <c r="O1243">
        <v>46275</v>
      </c>
      <c r="P1243">
        <v>55</v>
      </c>
    </row>
    <row r="1244" spans="1:16" x14ac:dyDescent="0.4">
      <c r="A1244">
        <v>560</v>
      </c>
      <c r="B1244" t="s">
        <v>4915</v>
      </c>
      <c r="D1244" t="s">
        <v>4916</v>
      </c>
      <c r="G1244" t="s">
        <v>844</v>
      </c>
      <c r="H1244" t="s">
        <v>843</v>
      </c>
      <c r="I1244">
        <v>115</v>
      </c>
      <c r="K1244" t="s">
        <v>4957</v>
      </c>
      <c r="L1244">
        <v>46273</v>
      </c>
      <c r="M1244">
        <v>96728</v>
      </c>
      <c r="N1244">
        <v>40</v>
      </c>
      <c r="O1244">
        <v>46275</v>
      </c>
      <c r="P1244">
        <v>75</v>
      </c>
    </row>
    <row r="1245" spans="1:16" x14ac:dyDescent="0.4">
      <c r="A1245">
        <v>569</v>
      </c>
      <c r="B1245" t="s">
        <v>4915</v>
      </c>
      <c r="D1245" t="s">
        <v>4916</v>
      </c>
      <c r="G1245" t="s">
        <v>631</v>
      </c>
      <c r="H1245" t="s">
        <v>4964</v>
      </c>
      <c r="I1245">
        <v>157</v>
      </c>
      <c r="K1245" t="s">
        <v>4864</v>
      </c>
      <c r="L1245">
        <v>46273</v>
      </c>
      <c r="M1245">
        <v>96728</v>
      </c>
      <c r="N1245">
        <v>40</v>
      </c>
      <c r="O1245">
        <v>46275</v>
      </c>
      <c r="P1245">
        <v>117</v>
      </c>
    </row>
    <row r="1246" spans="1:16" x14ac:dyDescent="0.4">
      <c r="A1246">
        <v>749</v>
      </c>
      <c r="B1246" t="s">
        <v>4915</v>
      </c>
      <c r="G1246" t="s">
        <v>2457</v>
      </c>
      <c r="H1246" t="s">
        <v>2456</v>
      </c>
      <c r="I1246">
        <v>160</v>
      </c>
      <c r="K1246" t="s">
        <v>4954</v>
      </c>
      <c r="L1246">
        <v>46275</v>
      </c>
      <c r="M1246">
        <v>96728</v>
      </c>
      <c r="N1246">
        <v>40</v>
      </c>
      <c r="O1246">
        <v>46275</v>
      </c>
      <c r="P1246">
        <v>120</v>
      </c>
    </row>
    <row r="1247" spans="1:16" x14ac:dyDescent="0.4">
      <c r="A1247">
        <v>556</v>
      </c>
      <c r="B1247" t="s">
        <v>4915</v>
      </c>
      <c r="D1247" t="s">
        <v>4916</v>
      </c>
      <c r="G1247" t="s">
        <v>2499</v>
      </c>
      <c r="H1247" t="s">
        <v>2498</v>
      </c>
      <c r="I1247">
        <v>200</v>
      </c>
      <c r="K1247" t="s">
        <v>4955</v>
      </c>
      <c r="L1247">
        <v>46273</v>
      </c>
      <c r="M1247">
        <v>96728</v>
      </c>
      <c r="N1247">
        <v>80</v>
      </c>
      <c r="O1247">
        <v>46275</v>
      </c>
      <c r="P1247">
        <v>120</v>
      </c>
    </row>
    <row r="1248" spans="1:16" x14ac:dyDescent="0.4">
      <c r="A1248">
        <v>568</v>
      </c>
      <c r="B1248" t="s">
        <v>4915</v>
      </c>
      <c r="D1248" t="s">
        <v>4916</v>
      </c>
      <c r="G1248" t="s">
        <v>633</v>
      </c>
      <c r="H1248" t="s">
        <v>4963</v>
      </c>
      <c r="I1248">
        <v>269</v>
      </c>
      <c r="K1248" t="s">
        <v>4864</v>
      </c>
      <c r="L1248">
        <v>46273</v>
      </c>
      <c r="M1248">
        <v>96728</v>
      </c>
      <c r="N1248">
        <v>40</v>
      </c>
      <c r="O1248">
        <v>46275</v>
      </c>
      <c r="P1248">
        <v>229</v>
      </c>
    </row>
    <row r="1249" spans="1:16" x14ac:dyDescent="0.4">
      <c r="A1249">
        <v>552</v>
      </c>
      <c r="B1249" t="s">
        <v>4915</v>
      </c>
      <c r="D1249" t="s">
        <v>4916</v>
      </c>
      <c r="G1249" t="s">
        <v>2784</v>
      </c>
      <c r="H1249" t="s">
        <v>2783</v>
      </c>
      <c r="I1249">
        <v>270</v>
      </c>
      <c r="K1249" t="s">
        <v>4869</v>
      </c>
      <c r="L1249">
        <v>46273</v>
      </c>
      <c r="M1249">
        <v>96728</v>
      </c>
      <c r="N1249">
        <v>40</v>
      </c>
      <c r="O1249">
        <v>46275</v>
      </c>
      <c r="P1249">
        <v>230</v>
      </c>
    </row>
    <row r="1250" spans="1:16" x14ac:dyDescent="0.4">
      <c r="A1250">
        <v>553</v>
      </c>
      <c r="B1250" t="s">
        <v>4915</v>
      </c>
      <c r="D1250" t="s">
        <v>4916</v>
      </c>
      <c r="G1250" t="s">
        <v>2782</v>
      </c>
      <c r="H1250" t="s">
        <v>2781</v>
      </c>
      <c r="I1250">
        <v>279</v>
      </c>
      <c r="K1250" t="s">
        <v>4869</v>
      </c>
      <c r="L1250">
        <v>46273</v>
      </c>
      <c r="M1250">
        <v>96728</v>
      </c>
      <c r="N1250">
        <v>40</v>
      </c>
      <c r="O1250">
        <v>46275</v>
      </c>
      <c r="P1250">
        <v>239</v>
      </c>
    </row>
    <row r="1251" spans="1:16" x14ac:dyDescent="0.4">
      <c r="A1251">
        <v>2089</v>
      </c>
      <c r="B1251" t="s">
        <v>4915</v>
      </c>
      <c r="G1251" t="s">
        <v>1005</v>
      </c>
      <c r="H1251" t="s">
        <v>1004</v>
      </c>
      <c r="I1251">
        <v>298</v>
      </c>
      <c r="K1251" t="s">
        <v>4871</v>
      </c>
      <c r="L1251">
        <v>46283</v>
      </c>
      <c r="M1251">
        <v>96728</v>
      </c>
      <c r="N1251">
        <v>40</v>
      </c>
      <c r="O1251">
        <v>46283</v>
      </c>
      <c r="P1251">
        <v>258</v>
      </c>
    </row>
    <row r="1252" spans="1:16" x14ac:dyDescent="0.4">
      <c r="A1252">
        <v>565</v>
      </c>
      <c r="B1252" t="s">
        <v>4915</v>
      </c>
      <c r="D1252" t="s">
        <v>4916</v>
      </c>
      <c r="G1252" t="s">
        <v>246</v>
      </c>
      <c r="H1252" t="s">
        <v>4960</v>
      </c>
      <c r="I1252">
        <v>468</v>
      </c>
      <c r="K1252" t="s">
        <v>4864</v>
      </c>
      <c r="L1252">
        <v>46273</v>
      </c>
      <c r="M1252">
        <v>96728</v>
      </c>
      <c r="N1252">
        <v>40</v>
      </c>
      <c r="O1252">
        <v>46275</v>
      </c>
      <c r="P1252">
        <v>428</v>
      </c>
    </row>
    <row r="1253" spans="1:16" x14ac:dyDescent="0.4">
      <c r="A1253">
        <v>562</v>
      </c>
      <c r="B1253" t="s">
        <v>4915</v>
      </c>
      <c r="D1253" t="s">
        <v>4916</v>
      </c>
      <c r="G1253" t="s">
        <v>2566</v>
      </c>
      <c r="H1253" t="s">
        <v>2565</v>
      </c>
      <c r="I1253">
        <v>499</v>
      </c>
      <c r="K1253" t="s">
        <v>4851</v>
      </c>
      <c r="L1253">
        <v>46273</v>
      </c>
      <c r="M1253">
        <v>96728</v>
      </c>
      <c r="N1253">
        <v>40</v>
      </c>
      <c r="O1253">
        <v>46275</v>
      </c>
      <c r="P1253">
        <v>459</v>
      </c>
    </row>
    <row r="1254" spans="1:16" x14ac:dyDescent="0.4">
      <c r="A1254">
        <v>567</v>
      </c>
      <c r="B1254" t="s">
        <v>4915</v>
      </c>
      <c r="D1254" t="s">
        <v>4916</v>
      </c>
      <c r="G1254" t="s">
        <v>723</v>
      </c>
      <c r="H1254" t="s">
        <v>4962</v>
      </c>
      <c r="I1254">
        <v>616</v>
      </c>
      <c r="K1254" t="s">
        <v>4864</v>
      </c>
      <c r="L1254">
        <v>46273</v>
      </c>
      <c r="M1254">
        <v>96728</v>
      </c>
      <c r="N1254">
        <v>40</v>
      </c>
      <c r="O1254">
        <v>46275</v>
      </c>
      <c r="P1254">
        <v>576</v>
      </c>
    </row>
    <row r="1255" spans="1:16" x14ac:dyDescent="0.4">
      <c r="A1255">
        <v>748</v>
      </c>
      <c r="B1255" t="s">
        <v>4915</v>
      </c>
      <c r="G1255" t="s">
        <v>2555</v>
      </c>
      <c r="H1255" t="s">
        <v>2554</v>
      </c>
      <c r="I1255">
        <v>737</v>
      </c>
      <c r="K1255" t="s">
        <v>4871</v>
      </c>
      <c r="L1255">
        <v>46275</v>
      </c>
      <c r="M1255">
        <v>96728</v>
      </c>
      <c r="N1255">
        <v>40</v>
      </c>
      <c r="O1255">
        <v>46275</v>
      </c>
      <c r="P1255">
        <v>697</v>
      </c>
    </row>
    <row r="1256" spans="1:16" x14ac:dyDescent="0.4">
      <c r="A1256">
        <v>736</v>
      </c>
      <c r="B1256" t="s">
        <v>4915</v>
      </c>
      <c r="G1256" t="s">
        <v>2857</v>
      </c>
      <c r="H1256" t="s">
        <v>2856</v>
      </c>
      <c r="I1256">
        <v>48</v>
      </c>
      <c r="K1256" t="s">
        <v>4933</v>
      </c>
      <c r="L1256">
        <v>46265</v>
      </c>
      <c r="M1256">
        <v>96729</v>
      </c>
      <c r="N1256">
        <v>20</v>
      </c>
      <c r="O1256">
        <v>46274</v>
      </c>
      <c r="P1256">
        <v>28</v>
      </c>
    </row>
    <row r="1257" spans="1:16" x14ac:dyDescent="0.4">
      <c r="A1257">
        <v>513</v>
      </c>
      <c r="B1257" t="s">
        <v>4915</v>
      </c>
      <c r="G1257" t="s">
        <v>3900</v>
      </c>
      <c r="H1257" t="s">
        <v>3899</v>
      </c>
      <c r="I1257">
        <v>9</v>
      </c>
      <c r="K1257" t="s">
        <v>4739</v>
      </c>
      <c r="L1257">
        <v>46268</v>
      </c>
      <c r="M1257">
        <v>96730</v>
      </c>
      <c r="N1257">
        <v>3</v>
      </c>
      <c r="O1257">
        <v>46272</v>
      </c>
      <c r="P1257">
        <v>6</v>
      </c>
    </row>
    <row r="1258" spans="1:16" x14ac:dyDescent="0.4">
      <c r="A1258">
        <v>495</v>
      </c>
      <c r="B1258" t="s">
        <v>4915</v>
      </c>
      <c r="G1258" t="s">
        <v>3988</v>
      </c>
      <c r="H1258" t="s">
        <v>3987</v>
      </c>
      <c r="I1258">
        <v>11</v>
      </c>
      <c r="K1258" t="s">
        <v>3989</v>
      </c>
      <c r="L1258">
        <v>46268</v>
      </c>
      <c r="M1258">
        <v>96730</v>
      </c>
      <c r="N1258">
        <v>1</v>
      </c>
      <c r="O1258">
        <v>46272</v>
      </c>
      <c r="P1258">
        <v>10</v>
      </c>
    </row>
    <row r="1259" spans="1:16" x14ac:dyDescent="0.4">
      <c r="A1259">
        <v>455</v>
      </c>
      <c r="B1259" t="s">
        <v>4915</v>
      </c>
      <c r="G1259" t="s">
        <v>3982</v>
      </c>
      <c r="H1259" t="s">
        <v>3981</v>
      </c>
      <c r="I1259">
        <v>25</v>
      </c>
      <c r="K1259" t="s">
        <v>3983</v>
      </c>
      <c r="L1259">
        <v>46259</v>
      </c>
      <c r="M1259">
        <v>96730</v>
      </c>
      <c r="N1259">
        <v>24</v>
      </c>
      <c r="O1259">
        <v>46272</v>
      </c>
      <c r="P1259">
        <v>1</v>
      </c>
    </row>
    <row r="1260" spans="1:16" x14ac:dyDescent="0.4">
      <c r="A1260">
        <v>429</v>
      </c>
      <c r="B1260" t="s">
        <v>4915</v>
      </c>
      <c r="G1260" t="s">
        <v>4008</v>
      </c>
      <c r="H1260" t="s">
        <v>4007</v>
      </c>
      <c r="I1260">
        <v>150</v>
      </c>
      <c r="K1260" t="s">
        <v>4002</v>
      </c>
      <c r="L1260">
        <v>46259</v>
      </c>
      <c r="M1260">
        <v>96730</v>
      </c>
      <c r="N1260">
        <v>1</v>
      </c>
      <c r="O1260">
        <v>46272</v>
      </c>
      <c r="P1260">
        <v>149</v>
      </c>
    </row>
    <row r="1261" spans="1:16" x14ac:dyDescent="0.4">
      <c r="A1261">
        <v>742</v>
      </c>
      <c r="B1261" t="s">
        <v>4915</v>
      </c>
      <c r="G1261" t="s">
        <v>999</v>
      </c>
      <c r="H1261" t="s">
        <v>998</v>
      </c>
      <c r="I1261">
        <v>809</v>
      </c>
      <c r="K1261" t="s">
        <v>4851</v>
      </c>
      <c r="L1261">
        <v>46274</v>
      </c>
      <c r="M1261">
        <v>96995</v>
      </c>
      <c r="N1261">
        <v>1</v>
      </c>
      <c r="O1261">
        <v>46274</v>
      </c>
      <c r="P1261">
        <v>808</v>
      </c>
    </row>
    <row r="1262" spans="1:16" x14ac:dyDescent="0.4">
      <c r="A1262">
        <v>1322</v>
      </c>
      <c r="B1262" t="s">
        <v>4915</v>
      </c>
      <c r="G1262" t="s">
        <v>4735</v>
      </c>
      <c r="H1262">
        <v>0</v>
      </c>
      <c r="I1262">
        <v>1</v>
      </c>
      <c r="K1262" t="s">
        <v>3585</v>
      </c>
      <c r="L1262">
        <v>46287</v>
      </c>
      <c r="M1262">
        <v>97000</v>
      </c>
      <c r="N1262">
        <v>1</v>
      </c>
      <c r="O1262">
        <v>46287</v>
      </c>
      <c r="P1262">
        <v>0</v>
      </c>
    </row>
    <row r="1263" spans="1:16" x14ac:dyDescent="0.4">
      <c r="A1263">
        <v>656</v>
      </c>
      <c r="B1263" t="s">
        <v>4915</v>
      </c>
      <c r="G1263" t="s">
        <v>3982</v>
      </c>
      <c r="H1263" t="s">
        <v>3981</v>
      </c>
      <c r="I1263">
        <v>1</v>
      </c>
      <c r="K1263" t="s">
        <v>3983</v>
      </c>
      <c r="L1263">
        <v>46272</v>
      </c>
      <c r="M1263">
        <v>97000</v>
      </c>
      <c r="N1263">
        <v>1</v>
      </c>
      <c r="O1263">
        <v>46287</v>
      </c>
      <c r="P1263">
        <v>0</v>
      </c>
    </row>
    <row r="1264" spans="1:16" x14ac:dyDescent="0.4">
      <c r="A1264">
        <v>667</v>
      </c>
      <c r="B1264" t="s">
        <v>4915</v>
      </c>
      <c r="G1264" t="s">
        <v>3900</v>
      </c>
      <c r="H1264" t="s">
        <v>3899</v>
      </c>
      <c r="I1264">
        <v>3</v>
      </c>
      <c r="K1264" t="s">
        <v>4739</v>
      </c>
      <c r="L1264">
        <v>46268</v>
      </c>
      <c r="M1264">
        <v>97000</v>
      </c>
      <c r="N1264">
        <v>3</v>
      </c>
      <c r="O1264">
        <v>46287</v>
      </c>
      <c r="P1264">
        <v>0</v>
      </c>
    </row>
    <row r="1265" spans="1:16" x14ac:dyDescent="0.4">
      <c r="A1265">
        <v>664</v>
      </c>
      <c r="B1265" t="s">
        <v>4915</v>
      </c>
      <c r="G1265" t="s">
        <v>3988</v>
      </c>
      <c r="H1265" t="s">
        <v>3987</v>
      </c>
      <c r="I1265">
        <v>4</v>
      </c>
      <c r="K1265" t="s">
        <v>3989</v>
      </c>
      <c r="L1265">
        <v>46268</v>
      </c>
      <c r="M1265">
        <v>97000</v>
      </c>
      <c r="N1265">
        <v>4</v>
      </c>
      <c r="O1265">
        <v>46287</v>
      </c>
      <c r="P1265">
        <v>0</v>
      </c>
    </row>
    <row r="1266" spans="1:16" x14ac:dyDescent="0.4">
      <c r="A1266">
        <v>475</v>
      </c>
      <c r="B1266" t="s">
        <v>4915</v>
      </c>
      <c r="G1266" t="s">
        <v>3937</v>
      </c>
      <c r="H1266" t="s">
        <v>3936</v>
      </c>
      <c r="I1266">
        <v>6</v>
      </c>
      <c r="K1266" t="s">
        <v>3585</v>
      </c>
      <c r="L1266">
        <v>46259</v>
      </c>
      <c r="M1266">
        <v>97000</v>
      </c>
      <c r="N1266">
        <v>6</v>
      </c>
      <c r="O1266">
        <v>46287</v>
      </c>
      <c r="P1266">
        <v>0</v>
      </c>
    </row>
    <row r="1267" spans="1:16" x14ac:dyDescent="0.4">
      <c r="A1267">
        <v>515</v>
      </c>
      <c r="B1267" t="s">
        <v>4915</v>
      </c>
      <c r="G1267" t="s">
        <v>3939</v>
      </c>
      <c r="H1267" t="s">
        <v>3938</v>
      </c>
      <c r="I1267">
        <v>6</v>
      </c>
      <c r="K1267" t="s">
        <v>3585</v>
      </c>
      <c r="L1267">
        <v>46268</v>
      </c>
      <c r="M1267">
        <v>97000</v>
      </c>
      <c r="N1267">
        <v>6</v>
      </c>
      <c r="O1267">
        <v>46287</v>
      </c>
      <c r="P1267">
        <v>0</v>
      </c>
    </row>
    <row r="1268" spans="1:16" x14ac:dyDescent="0.4">
      <c r="A1268">
        <v>474</v>
      </c>
      <c r="B1268" t="s">
        <v>4915</v>
      </c>
      <c r="G1268" t="s">
        <v>3929</v>
      </c>
      <c r="H1268" t="s">
        <v>3928</v>
      </c>
      <c r="I1268">
        <v>7</v>
      </c>
      <c r="K1268" t="s">
        <v>3930</v>
      </c>
      <c r="L1268">
        <v>46259</v>
      </c>
      <c r="M1268">
        <v>97000</v>
      </c>
      <c r="N1268">
        <v>7</v>
      </c>
      <c r="O1268">
        <v>46287</v>
      </c>
      <c r="P1268">
        <v>0</v>
      </c>
    </row>
    <row r="1269" spans="1:16" x14ac:dyDescent="0.4">
      <c r="A1269">
        <v>472</v>
      </c>
      <c r="B1269" t="s">
        <v>4915</v>
      </c>
      <c r="G1269" t="s">
        <v>3856</v>
      </c>
      <c r="H1269" t="s">
        <v>3855</v>
      </c>
      <c r="I1269">
        <v>8</v>
      </c>
      <c r="K1269" t="s">
        <v>3854</v>
      </c>
      <c r="L1269">
        <v>46259</v>
      </c>
      <c r="M1269">
        <v>97000</v>
      </c>
      <c r="N1269">
        <v>8</v>
      </c>
      <c r="O1269">
        <v>46287</v>
      </c>
      <c r="P1269">
        <v>0</v>
      </c>
    </row>
    <row r="1270" spans="1:16" x14ac:dyDescent="0.4">
      <c r="A1270">
        <v>473</v>
      </c>
      <c r="B1270" t="s">
        <v>4915</v>
      </c>
      <c r="G1270" t="s">
        <v>3925</v>
      </c>
      <c r="H1270" t="s">
        <v>3924</v>
      </c>
      <c r="I1270">
        <v>8</v>
      </c>
      <c r="K1270" t="s">
        <v>3836</v>
      </c>
      <c r="L1270">
        <v>46259</v>
      </c>
      <c r="M1270">
        <v>97000</v>
      </c>
      <c r="N1270">
        <v>8</v>
      </c>
      <c r="O1270">
        <v>46287</v>
      </c>
      <c r="P1270">
        <v>0</v>
      </c>
    </row>
    <row r="1271" spans="1:16" x14ac:dyDescent="0.4">
      <c r="A1271">
        <v>511</v>
      </c>
      <c r="B1271" t="s">
        <v>4915</v>
      </c>
      <c r="G1271" t="s">
        <v>3927</v>
      </c>
      <c r="H1271" t="s">
        <v>3926</v>
      </c>
      <c r="I1271">
        <v>8</v>
      </c>
      <c r="K1271" t="s">
        <v>3864</v>
      </c>
      <c r="L1271">
        <v>46268</v>
      </c>
      <c r="M1271">
        <v>97000</v>
      </c>
      <c r="N1271">
        <v>8</v>
      </c>
      <c r="O1271">
        <v>46287</v>
      </c>
      <c r="P1271">
        <v>0</v>
      </c>
    </row>
    <row r="1272" spans="1:16" x14ac:dyDescent="0.4">
      <c r="A1272">
        <v>469</v>
      </c>
      <c r="B1272" t="s">
        <v>4915</v>
      </c>
      <c r="G1272" t="s">
        <v>4735</v>
      </c>
      <c r="H1272">
        <v>0</v>
      </c>
      <c r="I1272">
        <v>10</v>
      </c>
      <c r="K1272" t="s">
        <v>3585</v>
      </c>
      <c r="L1272">
        <v>46259</v>
      </c>
      <c r="M1272">
        <v>97000</v>
      </c>
      <c r="N1272">
        <v>9</v>
      </c>
      <c r="O1272">
        <v>46287</v>
      </c>
      <c r="P1272">
        <v>1</v>
      </c>
    </row>
    <row r="1273" spans="1:16" x14ac:dyDescent="0.4">
      <c r="A1273">
        <v>1199</v>
      </c>
      <c r="B1273" t="s">
        <v>4915</v>
      </c>
      <c r="D1273" t="s">
        <v>5152</v>
      </c>
      <c r="G1273" t="s">
        <v>4733</v>
      </c>
      <c r="H1273" t="s">
        <v>3941</v>
      </c>
      <c r="I1273">
        <v>11</v>
      </c>
      <c r="K1273" t="s">
        <v>3943</v>
      </c>
      <c r="L1273">
        <v>46287</v>
      </c>
      <c r="M1273">
        <v>97000</v>
      </c>
      <c r="N1273">
        <v>11</v>
      </c>
      <c r="O1273">
        <v>46287</v>
      </c>
      <c r="P1273">
        <v>0</v>
      </c>
    </row>
    <row r="1274" spans="1:16" x14ac:dyDescent="0.4">
      <c r="A1274">
        <v>466</v>
      </c>
      <c r="B1274" t="s">
        <v>4915</v>
      </c>
      <c r="G1274" t="s">
        <v>4001</v>
      </c>
      <c r="H1274" t="s">
        <v>4000</v>
      </c>
      <c r="I1274">
        <v>12</v>
      </c>
      <c r="K1274" t="s">
        <v>4002</v>
      </c>
      <c r="L1274">
        <v>46259</v>
      </c>
      <c r="M1274">
        <v>97000</v>
      </c>
      <c r="N1274">
        <v>12</v>
      </c>
      <c r="O1274">
        <v>46287</v>
      </c>
      <c r="P1274">
        <v>0</v>
      </c>
    </row>
    <row r="1275" spans="1:16" x14ac:dyDescent="0.4">
      <c r="A1275">
        <v>1192</v>
      </c>
      <c r="B1275" t="s">
        <v>4915</v>
      </c>
      <c r="D1275" t="s">
        <v>5152</v>
      </c>
      <c r="G1275" t="s">
        <v>3982</v>
      </c>
      <c r="H1275" t="s">
        <v>3981</v>
      </c>
      <c r="I1275">
        <v>15</v>
      </c>
      <c r="K1275" t="s">
        <v>3983</v>
      </c>
      <c r="L1275">
        <v>46287</v>
      </c>
      <c r="M1275">
        <v>97000</v>
      </c>
      <c r="N1275">
        <v>15</v>
      </c>
      <c r="O1275">
        <v>46287</v>
      </c>
      <c r="P1275">
        <v>0</v>
      </c>
    </row>
    <row r="1276" spans="1:16" x14ac:dyDescent="0.4">
      <c r="A1276">
        <v>463</v>
      </c>
      <c r="B1276" t="s">
        <v>4915</v>
      </c>
      <c r="G1276" t="s">
        <v>3825</v>
      </c>
      <c r="H1276" t="s">
        <v>3824</v>
      </c>
      <c r="I1276">
        <v>16</v>
      </c>
      <c r="K1276" t="s">
        <v>3823</v>
      </c>
      <c r="L1276">
        <v>46259</v>
      </c>
      <c r="M1276">
        <v>97000</v>
      </c>
      <c r="N1276">
        <v>16</v>
      </c>
      <c r="O1276">
        <v>46287</v>
      </c>
      <c r="P1276">
        <v>0</v>
      </c>
    </row>
    <row r="1277" spans="1:16" x14ac:dyDescent="0.4">
      <c r="A1277">
        <v>464</v>
      </c>
      <c r="B1277" t="s">
        <v>4915</v>
      </c>
      <c r="G1277" t="s">
        <v>3827</v>
      </c>
      <c r="H1277" t="s">
        <v>3826</v>
      </c>
      <c r="I1277">
        <v>16</v>
      </c>
      <c r="K1277" t="s">
        <v>3823</v>
      </c>
      <c r="L1277">
        <v>46259</v>
      </c>
      <c r="M1277">
        <v>97000</v>
      </c>
      <c r="N1277">
        <v>16</v>
      </c>
      <c r="O1277">
        <v>46287</v>
      </c>
      <c r="P1277">
        <v>0</v>
      </c>
    </row>
    <row r="1278" spans="1:16" x14ac:dyDescent="0.4">
      <c r="A1278">
        <v>462</v>
      </c>
      <c r="B1278" t="s">
        <v>4915</v>
      </c>
      <c r="G1278" t="s">
        <v>3991</v>
      </c>
      <c r="H1278" t="s">
        <v>3990</v>
      </c>
      <c r="I1278">
        <v>16</v>
      </c>
      <c r="K1278" t="s">
        <v>3782</v>
      </c>
      <c r="L1278">
        <v>46259</v>
      </c>
      <c r="M1278">
        <v>97000</v>
      </c>
      <c r="N1278">
        <v>5</v>
      </c>
      <c r="O1278">
        <v>46287</v>
      </c>
      <c r="P1278">
        <v>11</v>
      </c>
    </row>
    <row r="1279" spans="1:16" x14ac:dyDescent="0.4">
      <c r="A1279">
        <v>459</v>
      </c>
      <c r="B1279" t="s">
        <v>4915</v>
      </c>
      <c r="G1279" t="s">
        <v>3860</v>
      </c>
      <c r="H1279" t="s">
        <v>3859</v>
      </c>
      <c r="I1279">
        <v>17</v>
      </c>
      <c r="K1279" t="s">
        <v>3854</v>
      </c>
      <c r="L1279">
        <v>46259</v>
      </c>
      <c r="M1279">
        <v>97000</v>
      </c>
      <c r="N1279">
        <v>17</v>
      </c>
      <c r="O1279">
        <v>46287</v>
      </c>
      <c r="P1279">
        <v>0</v>
      </c>
    </row>
    <row r="1280" spans="1:16" x14ac:dyDescent="0.4">
      <c r="A1280">
        <v>460</v>
      </c>
      <c r="B1280" t="s">
        <v>4915</v>
      </c>
      <c r="G1280" t="s">
        <v>3921</v>
      </c>
      <c r="H1280" t="s">
        <v>3920</v>
      </c>
      <c r="I1280">
        <v>17</v>
      </c>
      <c r="K1280" t="s">
        <v>2992</v>
      </c>
      <c r="L1280">
        <v>46259</v>
      </c>
      <c r="M1280">
        <v>97000</v>
      </c>
      <c r="N1280">
        <v>17</v>
      </c>
      <c r="O1280">
        <v>46287</v>
      </c>
      <c r="P1280">
        <v>0</v>
      </c>
    </row>
    <row r="1281" spans="1:16" x14ac:dyDescent="0.4">
      <c r="A1281">
        <v>1264</v>
      </c>
      <c r="B1281" t="s">
        <v>4915</v>
      </c>
      <c r="D1281" t="s">
        <v>5152</v>
      </c>
      <c r="G1281" t="s">
        <v>3988</v>
      </c>
      <c r="H1281" t="s">
        <v>3987</v>
      </c>
      <c r="I1281">
        <v>17</v>
      </c>
      <c r="K1281" t="s">
        <v>3989</v>
      </c>
      <c r="L1281">
        <v>46287</v>
      </c>
      <c r="M1281">
        <v>97000</v>
      </c>
      <c r="N1281">
        <v>17</v>
      </c>
      <c r="O1281">
        <v>46287</v>
      </c>
      <c r="P1281">
        <v>0</v>
      </c>
    </row>
    <row r="1282" spans="1:16" x14ac:dyDescent="0.4">
      <c r="A1282">
        <v>1235</v>
      </c>
      <c r="B1282" t="s">
        <v>4915</v>
      </c>
      <c r="D1282" t="s">
        <v>5152</v>
      </c>
      <c r="G1282" t="s">
        <v>3849</v>
      </c>
      <c r="H1282" t="s">
        <v>3848</v>
      </c>
      <c r="I1282">
        <v>18</v>
      </c>
      <c r="K1282" t="s">
        <v>3839</v>
      </c>
      <c r="L1282">
        <v>46287</v>
      </c>
      <c r="M1282">
        <v>97000</v>
      </c>
      <c r="N1282">
        <v>5</v>
      </c>
      <c r="O1282">
        <v>46287</v>
      </c>
      <c r="P1282">
        <v>13</v>
      </c>
    </row>
    <row r="1283" spans="1:16" x14ac:dyDescent="0.4">
      <c r="A1283">
        <v>1312</v>
      </c>
      <c r="B1283" t="s">
        <v>4915</v>
      </c>
      <c r="G1283" t="s">
        <v>3912</v>
      </c>
      <c r="H1283" t="s">
        <v>3911</v>
      </c>
      <c r="I1283">
        <v>18</v>
      </c>
      <c r="K1283" t="s">
        <v>3913</v>
      </c>
      <c r="L1283">
        <v>46287</v>
      </c>
      <c r="M1283">
        <v>97000</v>
      </c>
      <c r="N1283">
        <v>18</v>
      </c>
      <c r="O1283">
        <v>46287</v>
      </c>
      <c r="P1283">
        <v>0</v>
      </c>
    </row>
    <row r="1284" spans="1:16" x14ac:dyDescent="0.4">
      <c r="A1284">
        <v>1220</v>
      </c>
      <c r="B1284" t="s">
        <v>4915</v>
      </c>
      <c r="D1284" t="s">
        <v>5152</v>
      </c>
      <c r="G1284" t="s">
        <v>3912</v>
      </c>
      <c r="H1284" t="s">
        <v>3911</v>
      </c>
      <c r="I1284">
        <v>19</v>
      </c>
      <c r="K1284" t="s">
        <v>3913</v>
      </c>
      <c r="L1284">
        <v>46287</v>
      </c>
      <c r="M1284">
        <v>97000</v>
      </c>
      <c r="N1284">
        <v>1</v>
      </c>
      <c r="O1284">
        <v>46287</v>
      </c>
      <c r="P1284">
        <v>18</v>
      </c>
    </row>
    <row r="1285" spans="1:16" x14ac:dyDescent="0.4">
      <c r="A1285">
        <v>1198</v>
      </c>
      <c r="B1285" t="s">
        <v>4915</v>
      </c>
      <c r="D1285" t="s">
        <v>5152</v>
      </c>
      <c r="G1285" t="s">
        <v>3929</v>
      </c>
      <c r="H1285" t="s">
        <v>3928</v>
      </c>
      <c r="I1285">
        <v>19</v>
      </c>
      <c r="K1285" t="s">
        <v>3930</v>
      </c>
      <c r="L1285">
        <v>46287</v>
      </c>
      <c r="M1285">
        <v>97000</v>
      </c>
      <c r="N1285">
        <v>19</v>
      </c>
      <c r="O1285">
        <v>46287</v>
      </c>
      <c r="P1285">
        <v>0</v>
      </c>
    </row>
    <row r="1286" spans="1:16" x14ac:dyDescent="0.4">
      <c r="A1286">
        <v>1204</v>
      </c>
      <c r="B1286" t="s">
        <v>4915</v>
      </c>
      <c r="D1286" t="s">
        <v>5152</v>
      </c>
      <c r="G1286" t="s">
        <v>3860</v>
      </c>
      <c r="H1286" t="s">
        <v>3859</v>
      </c>
      <c r="I1286">
        <v>20</v>
      </c>
      <c r="K1286" t="s">
        <v>3854</v>
      </c>
      <c r="L1286">
        <v>46287</v>
      </c>
      <c r="M1286">
        <v>97000</v>
      </c>
      <c r="N1286">
        <v>20</v>
      </c>
      <c r="O1286">
        <v>46287</v>
      </c>
      <c r="P1286">
        <v>0</v>
      </c>
    </row>
    <row r="1287" spans="1:16" x14ac:dyDescent="0.4">
      <c r="A1287">
        <v>1205</v>
      </c>
      <c r="B1287" t="s">
        <v>4915</v>
      </c>
      <c r="D1287" t="s">
        <v>5152</v>
      </c>
      <c r="G1287" t="s">
        <v>3825</v>
      </c>
      <c r="H1287" t="s">
        <v>3824</v>
      </c>
      <c r="I1287">
        <v>21</v>
      </c>
      <c r="K1287" t="s">
        <v>3823</v>
      </c>
      <c r="L1287">
        <v>46287</v>
      </c>
      <c r="M1287">
        <v>97000</v>
      </c>
      <c r="N1287">
        <v>21</v>
      </c>
      <c r="O1287">
        <v>46287</v>
      </c>
      <c r="P1287">
        <v>0</v>
      </c>
    </row>
    <row r="1288" spans="1:16" x14ac:dyDescent="0.4">
      <c r="A1288">
        <v>1216</v>
      </c>
      <c r="B1288" t="s">
        <v>4915</v>
      </c>
      <c r="D1288" t="s">
        <v>5152</v>
      </c>
      <c r="G1288" t="s">
        <v>3915</v>
      </c>
      <c r="H1288" t="s">
        <v>3914</v>
      </c>
      <c r="I1288">
        <v>21</v>
      </c>
      <c r="K1288" t="s">
        <v>3871</v>
      </c>
      <c r="L1288">
        <v>46287</v>
      </c>
      <c r="M1288">
        <v>97000</v>
      </c>
      <c r="N1288">
        <v>10</v>
      </c>
      <c r="O1288">
        <v>46287</v>
      </c>
      <c r="P1288">
        <v>11</v>
      </c>
    </row>
    <row r="1289" spans="1:16" x14ac:dyDescent="0.4">
      <c r="A1289">
        <v>1203</v>
      </c>
      <c r="B1289" t="s">
        <v>4915</v>
      </c>
      <c r="D1289" t="s">
        <v>5152</v>
      </c>
      <c r="G1289" t="s">
        <v>3856</v>
      </c>
      <c r="H1289" t="s">
        <v>3855</v>
      </c>
      <c r="I1289">
        <v>22</v>
      </c>
      <c r="K1289" t="s">
        <v>3854</v>
      </c>
      <c r="L1289">
        <v>46287</v>
      </c>
      <c r="M1289">
        <v>97000</v>
      </c>
      <c r="N1289">
        <v>22</v>
      </c>
      <c r="O1289">
        <v>46287</v>
      </c>
      <c r="P1289">
        <v>0</v>
      </c>
    </row>
    <row r="1290" spans="1:16" x14ac:dyDescent="0.4">
      <c r="A1290">
        <v>665</v>
      </c>
      <c r="B1290" t="s">
        <v>4915</v>
      </c>
      <c r="G1290" t="s">
        <v>3912</v>
      </c>
      <c r="H1290" t="s">
        <v>3911</v>
      </c>
      <c r="I1290">
        <v>22</v>
      </c>
      <c r="K1290" t="s">
        <v>3913</v>
      </c>
      <c r="L1290">
        <v>46268</v>
      </c>
      <c r="M1290">
        <v>97000</v>
      </c>
      <c r="N1290">
        <v>22</v>
      </c>
      <c r="O1290">
        <v>46287</v>
      </c>
      <c r="P1290">
        <v>0</v>
      </c>
    </row>
    <row r="1291" spans="1:16" x14ac:dyDescent="0.4">
      <c r="A1291">
        <v>1210</v>
      </c>
      <c r="B1291" t="s">
        <v>4915</v>
      </c>
      <c r="D1291" t="s">
        <v>5152</v>
      </c>
      <c r="G1291" t="s">
        <v>3921</v>
      </c>
      <c r="H1291" t="s">
        <v>3920</v>
      </c>
      <c r="I1291">
        <v>22</v>
      </c>
      <c r="K1291" t="s">
        <v>2992</v>
      </c>
      <c r="L1291">
        <v>46287</v>
      </c>
      <c r="M1291">
        <v>97000</v>
      </c>
      <c r="N1291">
        <v>22</v>
      </c>
      <c r="O1291">
        <v>46287</v>
      </c>
      <c r="P1291">
        <v>0</v>
      </c>
    </row>
    <row r="1292" spans="1:16" x14ac:dyDescent="0.4">
      <c r="A1292">
        <v>1244</v>
      </c>
      <c r="B1292" t="s">
        <v>4915</v>
      </c>
      <c r="D1292" t="s">
        <v>5152</v>
      </c>
      <c r="G1292" t="s">
        <v>3939</v>
      </c>
      <c r="H1292" t="s">
        <v>3938</v>
      </c>
      <c r="I1292">
        <v>22</v>
      </c>
      <c r="K1292" t="s">
        <v>3585</v>
      </c>
      <c r="L1292">
        <v>46287</v>
      </c>
      <c r="M1292">
        <v>97000</v>
      </c>
      <c r="N1292">
        <v>22</v>
      </c>
      <c r="O1292">
        <v>46287</v>
      </c>
      <c r="P1292">
        <v>0</v>
      </c>
    </row>
    <row r="1293" spans="1:16" x14ac:dyDescent="0.4">
      <c r="A1293">
        <v>1230</v>
      </c>
      <c r="B1293" t="s">
        <v>4915</v>
      </c>
      <c r="D1293" t="s">
        <v>5152</v>
      </c>
      <c r="G1293" t="s">
        <v>4826</v>
      </c>
      <c r="H1293">
        <v>0</v>
      </c>
      <c r="I1293">
        <v>22</v>
      </c>
      <c r="K1293" t="s">
        <v>3585</v>
      </c>
      <c r="L1293">
        <v>46287</v>
      </c>
      <c r="M1293">
        <v>97000</v>
      </c>
      <c r="N1293">
        <v>3</v>
      </c>
      <c r="O1293">
        <v>46287</v>
      </c>
      <c r="P1293">
        <v>19</v>
      </c>
    </row>
    <row r="1294" spans="1:16" x14ac:dyDescent="0.4">
      <c r="A1294">
        <v>1240</v>
      </c>
      <c r="B1294" t="s">
        <v>4915</v>
      </c>
      <c r="D1294" t="s">
        <v>5152</v>
      </c>
      <c r="G1294" t="s">
        <v>4737</v>
      </c>
      <c r="H1294">
        <v>0</v>
      </c>
      <c r="I1294">
        <v>22</v>
      </c>
      <c r="K1294" t="s">
        <v>3935</v>
      </c>
      <c r="L1294">
        <v>46287</v>
      </c>
      <c r="M1294">
        <v>97000</v>
      </c>
      <c r="N1294">
        <v>1</v>
      </c>
      <c r="O1294">
        <v>46287</v>
      </c>
      <c r="P1294">
        <v>21</v>
      </c>
    </row>
    <row r="1295" spans="1:16" x14ac:dyDescent="0.4">
      <c r="A1295">
        <v>1212</v>
      </c>
      <c r="B1295" t="s">
        <v>4915</v>
      </c>
      <c r="D1295" t="s">
        <v>5152</v>
      </c>
      <c r="G1295" t="s">
        <v>4063</v>
      </c>
      <c r="H1295" t="s">
        <v>4062</v>
      </c>
      <c r="I1295">
        <v>22</v>
      </c>
      <c r="K1295" t="s">
        <v>4922</v>
      </c>
      <c r="L1295">
        <v>46287</v>
      </c>
      <c r="M1295">
        <v>97000</v>
      </c>
      <c r="N1295">
        <v>7</v>
      </c>
      <c r="O1295">
        <v>46287</v>
      </c>
      <c r="P1295">
        <v>15</v>
      </c>
    </row>
    <row r="1296" spans="1:16" x14ac:dyDescent="0.4">
      <c r="A1296">
        <v>1232</v>
      </c>
      <c r="B1296" t="s">
        <v>4915</v>
      </c>
      <c r="D1296" t="s">
        <v>5152</v>
      </c>
      <c r="G1296" t="s">
        <v>3900</v>
      </c>
      <c r="H1296" t="s">
        <v>3899</v>
      </c>
      <c r="I1296">
        <v>23</v>
      </c>
      <c r="K1296" t="s">
        <v>4739</v>
      </c>
      <c r="L1296">
        <v>46287</v>
      </c>
      <c r="M1296">
        <v>97000</v>
      </c>
      <c r="N1296">
        <v>18</v>
      </c>
      <c r="O1296">
        <v>46287</v>
      </c>
      <c r="P1296">
        <v>5</v>
      </c>
    </row>
    <row r="1297" spans="1:16" x14ac:dyDescent="0.4">
      <c r="A1297">
        <v>1259</v>
      </c>
      <c r="B1297" t="s">
        <v>4915</v>
      </c>
      <c r="D1297" t="s">
        <v>5152</v>
      </c>
      <c r="G1297" t="s">
        <v>3937</v>
      </c>
      <c r="H1297" t="s">
        <v>3936</v>
      </c>
      <c r="I1297">
        <v>23</v>
      </c>
      <c r="K1297" t="s">
        <v>3585</v>
      </c>
      <c r="L1297">
        <v>46287</v>
      </c>
      <c r="M1297">
        <v>97000</v>
      </c>
      <c r="N1297">
        <v>23</v>
      </c>
      <c r="O1297">
        <v>46287</v>
      </c>
      <c r="P1297">
        <v>0</v>
      </c>
    </row>
    <row r="1298" spans="1:16" x14ac:dyDescent="0.4">
      <c r="A1298">
        <v>1207</v>
      </c>
      <c r="B1298" t="s">
        <v>4915</v>
      </c>
      <c r="D1298" t="s">
        <v>5152</v>
      </c>
      <c r="G1298" t="s">
        <v>3945</v>
      </c>
      <c r="H1298" t="s">
        <v>3944</v>
      </c>
      <c r="I1298">
        <v>23</v>
      </c>
      <c r="K1298" t="s">
        <v>3946</v>
      </c>
      <c r="L1298">
        <v>46287</v>
      </c>
      <c r="M1298">
        <v>97000</v>
      </c>
      <c r="N1298">
        <v>23</v>
      </c>
      <c r="O1298">
        <v>46287</v>
      </c>
      <c r="P1298">
        <v>0</v>
      </c>
    </row>
    <row r="1299" spans="1:16" x14ac:dyDescent="0.4">
      <c r="A1299">
        <v>1253</v>
      </c>
      <c r="B1299" t="s">
        <v>4915</v>
      </c>
      <c r="D1299" t="s">
        <v>5152</v>
      </c>
      <c r="G1299" t="s">
        <v>4001</v>
      </c>
      <c r="H1299" t="s">
        <v>4000</v>
      </c>
      <c r="I1299">
        <v>23</v>
      </c>
      <c r="K1299" t="s">
        <v>4002</v>
      </c>
      <c r="L1299">
        <v>46287</v>
      </c>
      <c r="M1299">
        <v>97000</v>
      </c>
      <c r="N1299">
        <v>23</v>
      </c>
      <c r="O1299">
        <v>46287</v>
      </c>
      <c r="P1299">
        <v>0</v>
      </c>
    </row>
    <row r="1300" spans="1:16" x14ac:dyDescent="0.4">
      <c r="A1300">
        <v>1239</v>
      </c>
      <c r="B1300" t="s">
        <v>4915</v>
      </c>
      <c r="D1300" t="s">
        <v>5152</v>
      </c>
      <c r="G1300" t="s">
        <v>4736</v>
      </c>
      <c r="H1300">
        <v>0</v>
      </c>
      <c r="I1300">
        <v>28</v>
      </c>
      <c r="K1300" t="s">
        <v>4046</v>
      </c>
      <c r="L1300">
        <v>46287</v>
      </c>
      <c r="M1300">
        <v>97000</v>
      </c>
      <c r="N1300">
        <v>28</v>
      </c>
      <c r="O1300">
        <v>46287</v>
      </c>
      <c r="P1300">
        <v>0</v>
      </c>
    </row>
    <row r="1301" spans="1:16" x14ac:dyDescent="0.4">
      <c r="A1301">
        <v>496</v>
      </c>
      <c r="B1301" t="s">
        <v>4915</v>
      </c>
      <c r="G1301" t="s">
        <v>3900</v>
      </c>
      <c r="H1301" t="s">
        <v>3899</v>
      </c>
      <c r="I1301">
        <v>29</v>
      </c>
      <c r="K1301" t="s">
        <v>4739</v>
      </c>
      <c r="L1301">
        <v>46268</v>
      </c>
      <c r="M1301">
        <v>97000</v>
      </c>
      <c r="N1301">
        <v>29</v>
      </c>
      <c r="O1301">
        <v>46287</v>
      </c>
      <c r="P1301">
        <v>0</v>
      </c>
    </row>
    <row r="1302" spans="1:16" x14ac:dyDescent="0.4">
      <c r="A1302">
        <v>1219</v>
      </c>
      <c r="B1302" t="s">
        <v>4915</v>
      </c>
      <c r="D1302" t="s">
        <v>5152</v>
      </c>
      <c r="G1302" t="s">
        <v>3927</v>
      </c>
      <c r="H1302" t="s">
        <v>3926</v>
      </c>
      <c r="I1302">
        <v>29</v>
      </c>
      <c r="K1302" t="s">
        <v>3864</v>
      </c>
      <c r="L1302">
        <v>46287</v>
      </c>
      <c r="M1302">
        <v>97000</v>
      </c>
      <c r="N1302">
        <v>29</v>
      </c>
      <c r="O1302">
        <v>46287</v>
      </c>
      <c r="P1302">
        <v>0</v>
      </c>
    </row>
    <row r="1303" spans="1:16" x14ac:dyDescent="0.4">
      <c r="A1303">
        <v>1286</v>
      </c>
      <c r="B1303" t="s">
        <v>4915</v>
      </c>
      <c r="D1303" t="s">
        <v>4928</v>
      </c>
      <c r="G1303" t="s">
        <v>3988</v>
      </c>
      <c r="H1303" t="s">
        <v>3987</v>
      </c>
      <c r="I1303">
        <v>29</v>
      </c>
      <c r="K1303" t="s">
        <v>3989</v>
      </c>
      <c r="L1303">
        <v>46268</v>
      </c>
      <c r="M1303">
        <v>97000</v>
      </c>
      <c r="N1303">
        <v>29</v>
      </c>
      <c r="O1303">
        <v>46287</v>
      </c>
      <c r="P1303">
        <v>0</v>
      </c>
    </row>
    <row r="1304" spans="1:16" x14ac:dyDescent="0.4">
      <c r="A1304">
        <v>1943</v>
      </c>
      <c r="B1304" t="s">
        <v>4915</v>
      </c>
      <c r="D1304" t="s">
        <v>4901</v>
      </c>
      <c r="E1304" t="s">
        <v>4938</v>
      </c>
      <c r="F1304" t="s">
        <v>4939</v>
      </c>
      <c r="G1304" t="s">
        <v>4736</v>
      </c>
      <c r="H1304">
        <v>0</v>
      </c>
      <c r="I1304">
        <v>30</v>
      </c>
      <c r="K1304" t="s">
        <v>4046</v>
      </c>
      <c r="L1304">
        <v>46301</v>
      </c>
      <c r="M1304">
        <v>97000</v>
      </c>
      <c r="N1304">
        <v>22</v>
      </c>
      <c r="O1304">
        <v>46301</v>
      </c>
      <c r="P1304">
        <v>8</v>
      </c>
    </row>
    <row r="1305" spans="1:16" x14ac:dyDescent="0.4">
      <c r="A1305">
        <v>2343</v>
      </c>
      <c r="B1305" t="s">
        <v>4915</v>
      </c>
      <c r="D1305" t="s">
        <v>4901</v>
      </c>
      <c r="E1305" t="s">
        <v>4938</v>
      </c>
      <c r="F1305" t="s">
        <v>4939</v>
      </c>
      <c r="G1305" t="s">
        <v>3929</v>
      </c>
      <c r="H1305" t="s">
        <v>3928</v>
      </c>
      <c r="I1305">
        <v>38</v>
      </c>
      <c r="K1305" t="s">
        <v>3930</v>
      </c>
      <c r="L1305">
        <v>46293</v>
      </c>
      <c r="M1305">
        <v>97000</v>
      </c>
      <c r="N1305">
        <v>24</v>
      </c>
      <c r="O1305">
        <v>46295</v>
      </c>
      <c r="P1305">
        <v>14</v>
      </c>
    </row>
    <row r="1306" spans="1:16" x14ac:dyDescent="0.4">
      <c r="A1306">
        <v>454</v>
      </c>
      <c r="B1306" t="s">
        <v>4915</v>
      </c>
      <c r="G1306" t="s">
        <v>3915</v>
      </c>
      <c r="H1306" t="s">
        <v>3914</v>
      </c>
      <c r="I1306">
        <v>40</v>
      </c>
      <c r="K1306" t="s">
        <v>3871</v>
      </c>
      <c r="L1306">
        <v>46259</v>
      </c>
      <c r="M1306">
        <v>97000</v>
      </c>
      <c r="N1306">
        <v>40</v>
      </c>
      <c r="O1306">
        <v>46287</v>
      </c>
      <c r="P1306">
        <v>0</v>
      </c>
    </row>
    <row r="1307" spans="1:16" x14ac:dyDescent="0.4">
      <c r="A1307">
        <v>1148</v>
      </c>
      <c r="B1307" t="s">
        <v>4915</v>
      </c>
      <c r="D1307" t="s">
        <v>4901</v>
      </c>
      <c r="E1307" t="s">
        <v>4938</v>
      </c>
      <c r="F1307" t="s">
        <v>4939</v>
      </c>
      <c r="G1307" t="s">
        <v>4735</v>
      </c>
      <c r="H1307">
        <v>0</v>
      </c>
      <c r="I1307">
        <v>40</v>
      </c>
      <c r="K1307" t="s">
        <v>3585</v>
      </c>
      <c r="L1307">
        <v>46265</v>
      </c>
      <c r="M1307">
        <v>97000</v>
      </c>
      <c r="N1307">
        <v>40</v>
      </c>
      <c r="O1307">
        <v>46287</v>
      </c>
      <c r="P1307">
        <v>0</v>
      </c>
    </row>
    <row r="1308" spans="1:16" x14ac:dyDescent="0.4">
      <c r="A1308">
        <v>517</v>
      </c>
      <c r="B1308" t="s">
        <v>4915</v>
      </c>
      <c r="G1308" t="s">
        <v>4621</v>
      </c>
      <c r="H1308">
        <v>0</v>
      </c>
      <c r="I1308">
        <v>42</v>
      </c>
      <c r="K1308" t="s">
        <v>4088</v>
      </c>
      <c r="L1308">
        <v>46268</v>
      </c>
      <c r="M1308">
        <v>97000</v>
      </c>
      <c r="N1308">
        <v>42</v>
      </c>
      <c r="O1308">
        <v>46287</v>
      </c>
      <c r="P1308">
        <v>0</v>
      </c>
    </row>
    <row r="1309" spans="1:16" x14ac:dyDescent="0.4">
      <c r="A1309">
        <v>1223</v>
      </c>
      <c r="B1309" t="s">
        <v>4915</v>
      </c>
      <c r="D1309" t="s">
        <v>5152</v>
      </c>
      <c r="G1309" t="s">
        <v>3827</v>
      </c>
      <c r="H1309" t="s">
        <v>3826</v>
      </c>
      <c r="I1309">
        <v>43</v>
      </c>
      <c r="K1309" t="s">
        <v>3823</v>
      </c>
      <c r="L1309">
        <v>46287</v>
      </c>
      <c r="M1309">
        <v>97000</v>
      </c>
      <c r="N1309">
        <v>34</v>
      </c>
      <c r="O1309">
        <v>46287</v>
      </c>
      <c r="P1309">
        <v>9</v>
      </c>
    </row>
    <row r="1310" spans="1:16" x14ac:dyDescent="0.4">
      <c r="A1310">
        <v>453</v>
      </c>
      <c r="B1310" t="s">
        <v>4915</v>
      </c>
      <c r="G1310" t="s">
        <v>4063</v>
      </c>
      <c r="H1310" t="s">
        <v>4062</v>
      </c>
      <c r="I1310">
        <v>43</v>
      </c>
      <c r="K1310" t="s">
        <v>4922</v>
      </c>
      <c r="L1310">
        <v>46259</v>
      </c>
      <c r="M1310">
        <v>97000</v>
      </c>
      <c r="N1310">
        <v>43</v>
      </c>
      <c r="O1310">
        <v>46287</v>
      </c>
      <c r="P1310">
        <v>0</v>
      </c>
    </row>
    <row r="1311" spans="1:16" x14ac:dyDescent="0.4">
      <c r="A1311">
        <v>1226</v>
      </c>
      <c r="B1311" t="s">
        <v>4915</v>
      </c>
      <c r="D1311" t="s">
        <v>5152</v>
      </c>
      <c r="G1311" t="s">
        <v>2923</v>
      </c>
      <c r="H1311" t="s">
        <v>2922</v>
      </c>
      <c r="I1311">
        <v>44</v>
      </c>
      <c r="K1311" t="s">
        <v>2924</v>
      </c>
      <c r="L1311">
        <v>46287</v>
      </c>
      <c r="M1311">
        <v>97000</v>
      </c>
      <c r="N1311">
        <v>23</v>
      </c>
      <c r="O1311">
        <v>46287</v>
      </c>
      <c r="P1311">
        <v>21</v>
      </c>
    </row>
    <row r="1312" spans="1:16" x14ac:dyDescent="0.4">
      <c r="A1312">
        <v>1245</v>
      </c>
      <c r="B1312" t="s">
        <v>4915</v>
      </c>
      <c r="D1312" t="s">
        <v>5152</v>
      </c>
      <c r="G1312" t="s">
        <v>3925</v>
      </c>
      <c r="H1312" t="s">
        <v>3924</v>
      </c>
      <c r="I1312">
        <v>44</v>
      </c>
      <c r="K1312" t="s">
        <v>3836</v>
      </c>
      <c r="L1312">
        <v>46287</v>
      </c>
      <c r="M1312">
        <v>97000</v>
      </c>
      <c r="N1312">
        <v>44</v>
      </c>
      <c r="O1312">
        <v>46287</v>
      </c>
      <c r="P1312">
        <v>0</v>
      </c>
    </row>
    <row r="1313" spans="1:16" x14ac:dyDescent="0.4">
      <c r="A1313">
        <v>452</v>
      </c>
      <c r="B1313" t="s">
        <v>4915</v>
      </c>
      <c r="G1313" t="s">
        <v>3849</v>
      </c>
      <c r="H1313" t="s">
        <v>3848</v>
      </c>
      <c r="I1313">
        <v>45</v>
      </c>
      <c r="K1313" t="s">
        <v>3839</v>
      </c>
      <c r="L1313">
        <v>46259</v>
      </c>
      <c r="M1313">
        <v>97000</v>
      </c>
      <c r="N1313">
        <v>45</v>
      </c>
      <c r="O1313">
        <v>46287</v>
      </c>
      <c r="P1313">
        <v>0</v>
      </c>
    </row>
    <row r="1314" spans="1:16" x14ac:dyDescent="0.4">
      <c r="A1314">
        <v>1194</v>
      </c>
      <c r="B1314" t="s">
        <v>4915</v>
      </c>
      <c r="D1314" t="s">
        <v>5152</v>
      </c>
      <c r="G1314" t="s">
        <v>3991</v>
      </c>
      <c r="H1314" t="s">
        <v>3990</v>
      </c>
      <c r="I1314">
        <v>45</v>
      </c>
      <c r="K1314" t="s">
        <v>3782</v>
      </c>
      <c r="L1314">
        <v>46287</v>
      </c>
      <c r="M1314">
        <v>97000</v>
      </c>
      <c r="N1314">
        <v>45</v>
      </c>
      <c r="O1314">
        <v>46287</v>
      </c>
      <c r="P1314">
        <v>0</v>
      </c>
    </row>
    <row r="1315" spans="1:16" x14ac:dyDescent="0.4">
      <c r="A1315">
        <v>512</v>
      </c>
      <c r="B1315" t="s">
        <v>4915</v>
      </c>
      <c r="G1315" t="s">
        <v>4826</v>
      </c>
      <c r="H1315">
        <v>0</v>
      </c>
      <c r="I1315">
        <v>47</v>
      </c>
      <c r="K1315" t="s">
        <v>3585</v>
      </c>
      <c r="L1315">
        <v>46268</v>
      </c>
      <c r="M1315">
        <v>97000</v>
      </c>
      <c r="N1315">
        <v>47</v>
      </c>
      <c r="O1315">
        <v>46287</v>
      </c>
      <c r="P1315">
        <v>0</v>
      </c>
    </row>
    <row r="1316" spans="1:16" x14ac:dyDescent="0.4">
      <c r="A1316">
        <v>510</v>
      </c>
      <c r="B1316" t="s">
        <v>4915</v>
      </c>
      <c r="G1316" t="s">
        <v>4737</v>
      </c>
      <c r="H1316">
        <v>0</v>
      </c>
      <c r="I1316">
        <v>49</v>
      </c>
      <c r="K1316" t="s">
        <v>3935</v>
      </c>
      <c r="L1316">
        <v>46268</v>
      </c>
      <c r="M1316">
        <v>97000</v>
      </c>
      <c r="N1316">
        <v>49</v>
      </c>
      <c r="O1316">
        <v>46287</v>
      </c>
      <c r="P1316">
        <v>0</v>
      </c>
    </row>
    <row r="1317" spans="1:16" x14ac:dyDescent="0.4">
      <c r="A1317">
        <v>451</v>
      </c>
      <c r="B1317" t="s">
        <v>4915</v>
      </c>
      <c r="G1317" t="s">
        <v>3798</v>
      </c>
      <c r="H1317" t="s">
        <v>4927</v>
      </c>
      <c r="I1317">
        <v>50</v>
      </c>
      <c r="K1317" t="s">
        <v>4724</v>
      </c>
      <c r="L1317">
        <v>46259</v>
      </c>
      <c r="M1317">
        <v>97000</v>
      </c>
      <c r="N1317">
        <v>50</v>
      </c>
      <c r="O1317">
        <v>46287</v>
      </c>
      <c r="P1317">
        <v>0</v>
      </c>
    </row>
    <row r="1318" spans="1:16" x14ac:dyDescent="0.4">
      <c r="A1318">
        <v>448</v>
      </c>
      <c r="B1318" t="s">
        <v>4915</v>
      </c>
      <c r="G1318" t="s">
        <v>3806</v>
      </c>
      <c r="H1318" t="s">
        <v>4923</v>
      </c>
      <c r="I1318">
        <v>50</v>
      </c>
      <c r="K1318" t="s">
        <v>4832</v>
      </c>
      <c r="L1318">
        <v>46259</v>
      </c>
      <c r="M1318">
        <v>97000</v>
      </c>
      <c r="N1318">
        <v>50</v>
      </c>
      <c r="O1318">
        <v>46287</v>
      </c>
      <c r="P1318">
        <v>0</v>
      </c>
    </row>
    <row r="1319" spans="1:16" x14ac:dyDescent="0.4">
      <c r="A1319">
        <v>1278</v>
      </c>
      <c r="B1319" t="s">
        <v>4915</v>
      </c>
      <c r="D1319" t="s">
        <v>4901</v>
      </c>
      <c r="E1319" t="s">
        <v>5161</v>
      </c>
      <c r="F1319" t="s">
        <v>5147</v>
      </c>
      <c r="G1319" t="s">
        <v>3822</v>
      </c>
      <c r="H1319" t="s">
        <v>3821</v>
      </c>
      <c r="I1319">
        <v>50</v>
      </c>
      <c r="K1319" t="s">
        <v>3823</v>
      </c>
      <c r="L1319">
        <v>46272</v>
      </c>
      <c r="M1319">
        <v>97000</v>
      </c>
      <c r="N1319">
        <v>50</v>
      </c>
      <c r="O1319">
        <v>46287</v>
      </c>
      <c r="P1319">
        <v>0</v>
      </c>
    </row>
    <row r="1320" spans="1:16" x14ac:dyDescent="0.4">
      <c r="A1320">
        <v>1273</v>
      </c>
      <c r="B1320" t="s">
        <v>4915</v>
      </c>
      <c r="D1320" t="s">
        <v>4901</v>
      </c>
      <c r="E1320" t="s">
        <v>5161</v>
      </c>
      <c r="F1320" t="s">
        <v>5147</v>
      </c>
      <c r="G1320" t="s">
        <v>3825</v>
      </c>
      <c r="H1320" t="s">
        <v>3824</v>
      </c>
      <c r="I1320">
        <v>50</v>
      </c>
      <c r="K1320" t="s">
        <v>3823</v>
      </c>
      <c r="L1320">
        <v>46272</v>
      </c>
      <c r="M1320">
        <v>97000</v>
      </c>
      <c r="N1320">
        <v>13</v>
      </c>
      <c r="O1320">
        <v>46287</v>
      </c>
      <c r="P1320">
        <v>37</v>
      </c>
    </row>
    <row r="1321" spans="1:16" x14ac:dyDescent="0.4">
      <c r="A1321">
        <v>1287</v>
      </c>
      <c r="B1321" t="s">
        <v>4915</v>
      </c>
      <c r="D1321" t="s">
        <v>4901</v>
      </c>
      <c r="E1321" t="s">
        <v>5161</v>
      </c>
      <c r="F1321" t="s">
        <v>5147</v>
      </c>
      <c r="G1321" t="s">
        <v>3829</v>
      </c>
      <c r="H1321" t="s">
        <v>3828</v>
      </c>
      <c r="I1321">
        <v>50</v>
      </c>
      <c r="K1321" t="s">
        <v>3823</v>
      </c>
      <c r="L1321">
        <v>46272</v>
      </c>
      <c r="M1321">
        <v>97000</v>
      </c>
      <c r="N1321">
        <v>50</v>
      </c>
      <c r="O1321">
        <v>46287</v>
      </c>
      <c r="P1321">
        <v>0</v>
      </c>
    </row>
    <row r="1322" spans="1:16" x14ac:dyDescent="0.4">
      <c r="A1322">
        <v>331</v>
      </c>
      <c r="B1322" t="s">
        <v>4915</v>
      </c>
      <c r="D1322" t="s">
        <v>4901</v>
      </c>
      <c r="G1322" t="s">
        <v>3831</v>
      </c>
      <c r="H1322" t="s">
        <v>3830</v>
      </c>
      <c r="I1322">
        <v>50</v>
      </c>
      <c r="K1322" t="s">
        <v>3823</v>
      </c>
      <c r="L1322">
        <v>46253</v>
      </c>
      <c r="M1322">
        <v>97000</v>
      </c>
      <c r="N1322">
        <v>50</v>
      </c>
      <c r="O1322">
        <v>46287</v>
      </c>
      <c r="P1322">
        <v>0</v>
      </c>
    </row>
    <row r="1323" spans="1:16" x14ac:dyDescent="0.4">
      <c r="A1323">
        <v>447</v>
      </c>
      <c r="B1323" t="s">
        <v>4915</v>
      </c>
      <c r="G1323" t="s">
        <v>3843</v>
      </c>
      <c r="H1323" t="s">
        <v>3842</v>
      </c>
      <c r="I1323">
        <v>50</v>
      </c>
      <c r="K1323" t="s">
        <v>3839</v>
      </c>
      <c r="L1323">
        <v>46259</v>
      </c>
      <c r="M1323">
        <v>97000</v>
      </c>
      <c r="N1323">
        <v>50</v>
      </c>
      <c r="O1323">
        <v>46287</v>
      </c>
      <c r="P1323">
        <v>0</v>
      </c>
    </row>
    <row r="1324" spans="1:16" x14ac:dyDescent="0.4">
      <c r="A1324">
        <v>1284</v>
      </c>
      <c r="B1324" t="s">
        <v>4915</v>
      </c>
      <c r="D1324" t="s">
        <v>4901</v>
      </c>
      <c r="E1324" t="s">
        <v>5161</v>
      </c>
      <c r="F1324" t="s">
        <v>5147</v>
      </c>
      <c r="G1324" t="s">
        <v>3847</v>
      </c>
      <c r="H1324" t="s">
        <v>3846</v>
      </c>
      <c r="I1324">
        <v>50</v>
      </c>
      <c r="K1324" t="s">
        <v>3839</v>
      </c>
      <c r="L1324">
        <v>46272</v>
      </c>
      <c r="M1324">
        <v>97000</v>
      </c>
      <c r="N1324">
        <v>50</v>
      </c>
      <c r="O1324">
        <v>46287</v>
      </c>
      <c r="P1324">
        <v>0</v>
      </c>
    </row>
    <row r="1325" spans="1:16" x14ac:dyDescent="0.4">
      <c r="A1325">
        <v>1281</v>
      </c>
      <c r="B1325" t="s">
        <v>4915</v>
      </c>
      <c r="D1325" t="s">
        <v>4901</v>
      </c>
      <c r="E1325" t="s">
        <v>5161</v>
      </c>
      <c r="F1325" t="s">
        <v>5147</v>
      </c>
      <c r="G1325" t="s">
        <v>3851</v>
      </c>
      <c r="H1325" t="s">
        <v>3850</v>
      </c>
      <c r="I1325">
        <v>50</v>
      </c>
      <c r="K1325" t="s">
        <v>3839</v>
      </c>
      <c r="L1325">
        <v>46272</v>
      </c>
      <c r="M1325">
        <v>97000</v>
      </c>
      <c r="N1325">
        <v>50</v>
      </c>
      <c r="O1325">
        <v>46287</v>
      </c>
      <c r="P1325">
        <v>0</v>
      </c>
    </row>
    <row r="1326" spans="1:16" x14ac:dyDescent="0.4">
      <c r="A1326">
        <v>450</v>
      </c>
      <c r="B1326" t="s">
        <v>4915</v>
      </c>
      <c r="G1326" t="s">
        <v>3853</v>
      </c>
      <c r="H1326" t="s">
        <v>3852</v>
      </c>
      <c r="I1326">
        <v>50</v>
      </c>
      <c r="K1326" t="s">
        <v>3854</v>
      </c>
      <c r="L1326">
        <v>46259</v>
      </c>
      <c r="M1326">
        <v>97000</v>
      </c>
      <c r="N1326">
        <v>50</v>
      </c>
      <c r="O1326">
        <v>46287</v>
      </c>
      <c r="P1326">
        <v>0</v>
      </c>
    </row>
    <row r="1327" spans="1:16" x14ac:dyDescent="0.4">
      <c r="A1327">
        <v>1271</v>
      </c>
      <c r="B1327" t="s">
        <v>4915</v>
      </c>
      <c r="D1327" t="s">
        <v>4901</v>
      </c>
      <c r="E1327" t="s">
        <v>5161</v>
      </c>
      <c r="F1327" t="s">
        <v>5147</v>
      </c>
      <c r="G1327" t="s">
        <v>3856</v>
      </c>
      <c r="H1327" t="s">
        <v>3855</v>
      </c>
      <c r="I1327">
        <v>50</v>
      </c>
      <c r="K1327" t="s">
        <v>3854</v>
      </c>
      <c r="L1327">
        <v>46272</v>
      </c>
      <c r="M1327">
        <v>97000</v>
      </c>
      <c r="N1327">
        <v>20</v>
      </c>
      <c r="O1327">
        <v>46287</v>
      </c>
      <c r="P1327">
        <v>30</v>
      </c>
    </row>
    <row r="1328" spans="1:16" x14ac:dyDescent="0.4">
      <c r="A1328">
        <v>1272</v>
      </c>
      <c r="B1328" t="s">
        <v>4915</v>
      </c>
      <c r="D1328" t="s">
        <v>4901</v>
      </c>
      <c r="E1328" t="s">
        <v>5161</v>
      </c>
      <c r="F1328" t="s">
        <v>5147</v>
      </c>
      <c r="G1328" t="s">
        <v>3860</v>
      </c>
      <c r="H1328" t="s">
        <v>3859</v>
      </c>
      <c r="I1328">
        <v>50</v>
      </c>
      <c r="K1328" t="s">
        <v>3854</v>
      </c>
      <c r="L1328">
        <v>46272</v>
      </c>
      <c r="M1328">
        <v>97000</v>
      </c>
      <c r="N1328">
        <v>13</v>
      </c>
      <c r="O1328">
        <v>46287</v>
      </c>
      <c r="P1328">
        <v>37</v>
      </c>
    </row>
    <row r="1329" spans="1:16" x14ac:dyDescent="0.4">
      <c r="A1329">
        <v>1352</v>
      </c>
      <c r="B1329" t="s">
        <v>4915</v>
      </c>
      <c r="D1329" t="s">
        <v>4901</v>
      </c>
      <c r="E1329" t="s">
        <v>4936</v>
      </c>
      <c r="F1329" t="s">
        <v>4937</v>
      </c>
      <c r="G1329" t="s">
        <v>3887</v>
      </c>
      <c r="H1329" t="s">
        <v>3886</v>
      </c>
      <c r="I1329">
        <v>50</v>
      </c>
      <c r="K1329" t="s">
        <v>2541</v>
      </c>
      <c r="L1329">
        <v>46261</v>
      </c>
      <c r="M1329">
        <v>97000</v>
      </c>
      <c r="N1329">
        <v>50</v>
      </c>
      <c r="O1329">
        <v>46287</v>
      </c>
      <c r="P1329">
        <v>0</v>
      </c>
    </row>
    <row r="1330" spans="1:16" x14ac:dyDescent="0.4">
      <c r="A1330">
        <v>344</v>
      </c>
      <c r="B1330" t="s">
        <v>4915</v>
      </c>
      <c r="D1330" t="s">
        <v>4901</v>
      </c>
      <c r="G1330" t="s">
        <v>3898</v>
      </c>
      <c r="H1330" t="s">
        <v>4925</v>
      </c>
      <c r="I1330">
        <v>50</v>
      </c>
      <c r="K1330" t="s">
        <v>3896</v>
      </c>
      <c r="L1330">
        <v>46252</v>
      </c>
      <c r="M1330">
        <v>97000</v>
      </c>
      <c r="N1330">
        <v>50</v>
      </c>
      <c r="O1330">
        <v>46287</v>
      </c>
      <c r="P1330">
        <v>0</v>
      </c>
    </row>
    <row r="1331" spans="1:16" x14ac:dyDescent="0.4">
      <c r="A1331">
        <v>346</v>
      </c>
      <c r="B1331" t="s">
        <v>4915</v>
      </c>
      <c r="D1331" t="s">
        <v>4901</v>
      </c>
      <c r="G1331" t="s">
        <v>3904</v>
      </c>
      <c r="H1331" t="s">
        <v>3903</v>
      </c>
      <c r="I1331">
        <v>50</v>
      </c>
      <c r="K1331" t="s">
        <v>3896</v>
      </c>
      <c r="L1331">
        <v>46252</v>
      </c>
      <c r="M1331">
        <v>97000</v>
      </c>
      <c r="N1331">
        <v>50</v>
      </c>
      <c r="O1331">
        <v>46287</v>
      </c>
      <c r="P1331">
        <v>0</v>
      </c>
    </row>
    <row r="1332" spans="1:16" x14ac:dyDescent="0.4">
      <c r="A1332">
        <v>1345</v>
      </c>
      <c r="B1332" t="s">
        <v>4915</v>
      </c>
      <c r="D1332" t="s">
        <v>4901</v>
      </c>
      <c r="E1332" t="s">
        <v>5162</v>
      </c>
      <c r="F1332" t="s">
        <v>4939</v>
      </c>
      <c r="G1332" t="s">
        <v>3912</v>
      </c>
      <c r="H1332" t="s">
        <v>3911</v>
      </c>
      <c r="I1332">
        <v>50</v>
      </c>
      <c r="K1332" t="s">
        <v>3913</v>
      </c>
      <c r="L1332">
        <v>46283</v>
      </c>
      <c r="M1332">
        <v>97000</v>
      </c>
      <c r="N1332">
        <v>9</v>
      </c>
      <c r="O1332">
        <v>46287</v>
      </c>
      <c r="P1332">
        <v>41</v>
      </c>
    </row>
    <row r="1333" spans="1:16" x14ac:dyDescent="0.4">
      <c r="A1333">
        <v>1282</v>
      </c>
      <c r="B1333" t="s">
        <v>4915</v>
      </c>
      <c r="D1333" t="s">
        <v>4901</v>
      </c>
      <c r="E1333" t="s">
        <v>4936</v>
      </c>
      <c r="F1333" t="s">
        <v>4937</v>
      </c>
      <c r="G1333" t="s">
        <v>4019</v>
      </c>
      <c r="H1333" t="s">
        <v>4018</v>
      </c>
      <c r="I1333">
        <v>50</v>
      </c>
      <c r="K1333" t="s">
        <v>3875</v>
      </c>
      <c r="L1333">
        <v>46261</v>
      </c>
      <c r="M1333">
        <v>97000</v>
      </c>
      <c r="N1333">
        <v>50</v>
      </c>
      <c r="O1333">
        <v>46287</v>
      </c>
      <c r="P1333">
        <v>0</v>
      </c>
    </row>
    <row r="1334" spans="1:16" x14ac:dyDescent="0.4">
      <c r="A1334">
        <v>1149</v>
      </c>
      <c r="B1334" t="s">
        <v>4915</v>
      </c>
      <c r="D1334" t="s">
        <v>4901</v>
      </c>
      <c r="E1334" t="s">
        <v>4936</v>
      </c>
      <c r="F1334" t="s">
        <v>4937</v>
      </c>
      <c r="G1334" t="s">
        <v>4048</v>
      </c>
      <c r="H1334" t="s">
        <v>4047</v>
      </c>
      <c r="I1334">
        <v>50</v>
      </c>
      <c r="K1334" t="s">
        <v>4046</v>
      </c>
      <c r="L1334">
        <v>46261</v>
      </c>
      <c r="M1334">
        <v>97000</v>
      </c>
      <c r="N1334">
        <v>50</v>
      </c>
      <c r="O1334">
        <v>46287</v>
      </c>
      <c r="P1334">
        <v>0</v>
      </c>
    </row>
    <row r="1335" spans="1:16" x14ac:dyDescent="0.4">
      <c r="A1335">
        <v>1274</v>
      </c>
      <c r="B1335" t="s">
        <v>4915</v>
      </c>
      <c r="D1335" t="s">
        <v>4901</v>
      </c>
      <c r="E1335" t="s">
        <v>4936</v>
      </c>
      <c r="F1335" t="s">
        <v>4937</v>
      </c>
      <c r="G1335" t="s">
        <v>4604</v>
      </c>
      <c r="H1335">
        <v>0</v>
      </c>
      <c r="I1335">
        <v>50</v>
      </c>
      <c r="K1335" t="s">
        <v>4061</v>
      </c>
      <c r="L1335">
        <v>46273</v>
      </c>
      <c r="M1335">
        <v>97000</v>
      </c>
      <c r="N1335">
        <v>50</v>
      </c>
      <c r="O1335">
        <v>46287</v>
      </c>
      <c r="P1335">
        <v>0</v>
      </c>
    </row>
    <row r="1336" spans="1:16" x14ac:dyDescent="0.4">
      <c r="A1336">
        <v>2346</v>
      </c>
      <c r="B1336" t="s">
        <v>4915</v>
      </c>
      <c r="D1336" t="s">
        <v>4901</v>
      </c>
      <c r="E1336" t="s">
        <v>4938</v>
      </c>
      <c r="F1336" t="s">
        <v>4939</v>
      </c>
      <c r="G1336" t="s">
        <v>3927</v>
      </c>
      <c r="H1336" t="s">
        <v>3926</v>
      </c>
      <c r="I1336">
        <v>50</v>
      </c>
      <c r="K1336" t="s">
        <v>3864</v>
      </c>
      <c r="L1336">
        <v>46293</v>
      </c>
      <c r="M1336">
        <v>97000</v>
      </c>
      <c r="N1336">
        <v>13</v>
      </c>
      <c r="O1336">
        <v>46295</v>
      </c>
      <c r="P1336">
        <v>37</v>
      </c>
    </row>
    <row r="1337" spans="1:16" x14ac:dyDescent="0.4">
      <c r="A1337">
        <v>2350</v>
      </c>
      <c r="B1337" t="s">
        <v>4915</v>
      </c>
      <c r="D1337" t="s">
        <v>4901</v>
      </c>
      <c r="E1337" t="s">
        <v>4938</v>
      </c>
      <c r="F1337" t="s">
        <v>4939</v>
      </c>
      <c r="G1337" t="s">
        <v>3925</v>
      </c>
      <c r="H1337" t="s">
        <v>3924</v>
      </c>
      <c r="I1337">
        <v>50</v>
      </c>
      <c r="K1337" t="s">
        <v>3836</v>
      </c>
      <c r="L1337">
        <v>46293</v>
      </c>
      <c r="M1337">
        <v>97000</v>
      </c>
      <c r="N1337">
        <v>48</v>
      </c>
      <c r="O1337">
        <v>46295</v>
      </c>
      <c r="P1337">
        <v>2</v>
      </c>
    </row>
    <row r="1338" spans="1:16" x14ac:dyDescent="0.4">
      <c r="A1338">
        <v>446</v>
      </c>
      <c r="B1338" t="s">
        <v>4915</v>
      </c>
      <c r="G1338" t="s">
        <v>4017</v>
      </c>
      <c r="H1338" t="s">
        <v>4016</v>
      </c>
      <c r="I1338">
        <v>51</v>
      </c>
      <c r="K1338" t="s">
        <v>4739</v>
      </c>
      <c r="L1338">
        <v>46259</v>
      </c>
      <c r="M1338">
        <v>97000</v>
      </c>
      <c r="N1338">
        <v>50</v>
      </c>
      <c r="O1338">
        <v>46287</v>
      </c>
      <c r="P1338">
        <v>1</v>
      </c>
    </row>
    <row r="1339" spans="1:16" x14ac:dyDescent="0.4">
      <c r="A1339">
        <v>1193</v>
      </c>
      <c r="B1339" t="s">
        <v>4915</v>
      </c>
      <c r="D1339" t="s">
        <v>5152</v>
      </c>
      <c r="G1339" t="s">
        <v>3999</v>
      </c>
      <c r="H1339" t="s">
        <v>3998</v>
      </c>
      <c r="I1339">
        <v>52</v>
      </c>
      <c r="K1339" t="s">
        <v>3782</v>
      </c>
      <c r="L1339">
        <v>46287</v>
      </c>
      <c r="M1339">
        <v>97000</v>
      </c>
      <c r="N1339">
        <v>50</v>
      </c>
      <c r="O1339">
        <v>46287</v>
      </c>
      <c r="P1339">
        <v>2</v>
      </c>
    </row>
    <row r="1340" spans="1:16" x14ac:dyDescent="0.4">
      <c r="A1340">
        <v>445</v>
      </c>
      <c r="B1340" t="s">
        <v>4915</v>
      </c>
      <c r="G1340" t="s">
        <v>3804</v>
      </c>
      <c r="H1340" t="s">
        <v>3803</v>
      </c>
      <c r="I1340">
        <v>56</v>
      </c>
      <c r="K1340" t="s">
        <v>4743</v>
      </c>
      <c r="L1340">
        <v>46259</v>
      </c>
      <c r="M1340">
        <v>97000</v>
      </c>
      <c r="N1340">
        <v>50</v>
      </c>
      <c r="O1340">
        <v>46287</v>
      </c>
      <c r="P1340">
        <v>6</v>
      </c>
    </row>
    <row r="1341" spans="1:16" x14ac:dyDescent="0.4">
      <c r="A1341">
        <v>444</v>
      </c>
      <c r="B1341" t="s">
        <v>4915</v>
      </c>
      <c r="G1341" t="s">
        <v>3934</v>
      </c>
      <c r="H1341" t="s">
        <v>3933</v>
      </c>
      <c r="I1341">
        <v>56</v>
      </c>
      <c r="K1341" t="s">
        <v>3935</v>
      </c>
      <c r="L1341">
        <v>46259</v>
      </c>
      <c r="M1341">
        <v>97000</v>
      </c>
      <c r="N1341">
        <v>50</v>
      </c>
      <c r="O1341">
        <v>46287</v>
      </c>
      <c r="P1341">
        <v>6</v>
      </c>
    </row>
    <row r="1342" spans="1:16" x14ac:dyDescent="0.4">
      <c r="A1342">
        <v>443</v>
      </c>
      <c r="B1342" t="s">
        <v>4915</v>
      </c>
      <c r="G1342" t="s">
        <v>3795</v>
      </c>
      <c r="H1342" t="s">
        <v>4926</v>
      </c>
      <c r="I1342">
        <v>58</v>
      </c>
      <c r="K1342" t="s">
        <v>4743</v>
      </c>
      <c r="L1342">
        <v>46259</v>
      </c>
      <c r="M1342">
        <v>97000</v>
      </c>
      <c r="N1342">
        <v>58</v>
      </c>
      <c r="O1342">
        <v>46287</v>
      </c>
      <c r="P1342">
        <v>0</v>
      </c>
    </row>
    <row r="1343" spans="1:16" x14ac:dyDescent="0.4">
      <c r="A1343">
        <v>442</v>
      </c>
      <c r="B1343" t="s">
        <v>4915</v>
      </c>
      <c r="G1343" t="s">
        <v>4034</v>
      </c>
      <c r="H1343" t="s">
        <v>4924</v>
      </c>
      <c r="I1343">
        <v>59</v>
      </c>
      <c r="K1343" t="s">
        <v>4723</v>
      </c>
      <c r="L1343">
        <v>46259</v>
      </c>
      <c r="M1343">
        <v>97000</v>
      </c>
      <c r="N1343">
        <v>50</v>
      </c>
      <c r="O1343">
        <v>46287</v>
      </c>
      <c r="P1343">
        <v>9</v>
      </c>
    </row>
    <row r="1344" spans="1:16" x14ac:dyDescent="0.4">
      <c r="A1344">
        <v>2265</v>
      </c>
      <c r="B1344" t="s">
        <v>4915</v>
      </c>
      <c r="D1344" t="s">
        <v>4901</v>
      </c>
      <c r="E1344" t="s">
        <v>4938</v>
      </c>
      <c r="F1344" t="s">
        <v>4939</v>
      </c>
      <c r="G1344" t="s">
        <v>3939</v>
      </c>
      <c r="H1344" t="s">
        <v>3938</v>
      </c>
      <c r="I1344">
        <v>60</v>
      </c>
      <c r="K1344" t="s">
        <v>3585</v>
      </c>
      <c r="L1344">
        <v>46293</v>
      </c>
      <c r="M1344">
        <v>97000</v>
      </c>
      <c r="N1344">
        <v>22</v>
      </c>
      <c r="O1344">
        <v>46295</v>
      </c>
      <c r="P1344">
        <v>38</v>
      </c>
    </row>
    <row r="1345" spans="1:16" x14ac:dyDescent="0.4">
      <c r="A1345">
        <v>441</v>
      </c>
      <c r="B1345" t="s">
        <v>4915</v>
      </c>
      <c r="G1345" t="s">
        <v>4282</v>
      </c>
      <c r="H1345" t="s">
        <v>4281</v>
      </c>
      <c r="I1345">
        <v>60</v>
      </c>
      <c r="K1345" t="s">
        <v>2992</v>
      </c>
      <c r="L1345">
        <v>46259</v>
      </c>
      <c r="M1345">
        <v>97000</v>
      </c>
      <c r="N1345">
        <v>50</v>
      </c>
      <c r="O1345">
        <v>46287</v>
      </c>
      <c r="P1345">
        <v>10</v>
      </c>
    </row>
    <row r="1346" spans="1:16" x14ac:dyDescent="0.4">
      <c r="A1346">
        <v>1243</v>
      </c>
      <c r="B1346" t="s">
        <v>4915</v>
      </c>
      <c r="D1346" t="s">
        <v>5152</v>
      </c>
      <c r="G1346" t="s">
        <v>3887</v>
      </c>
      <c r="H1346" t="s">
        <v>3886</v>
      </c>
      <c r="I1346">
        <v>61</v>
      </c>
      <c r="K1346" t="s">
        <v>2541</v>
      </c>
      <c r="L1346">
        <v>46287</v>
      </c>
      <c r="M1346">
        <v>97000</v>
      </c>
      <c r="N1346">
        <v>50</v>
      </c>
      <c r="O1346">
        <v>46287</v>
      </c>
      <c r="P1346">
        <v>11</v>
      </c>
    </row>
    <row r="1347" spans="1:16" x14ac:dyDescent="0.4">
      <c r="A1347">
        <v>440</v>
      </c>
      <c r="B1347" t="s">
        <v>4915</v>
      </c>
      <c r="G1347" t="s">
        <v>4738</v>
      </c>
      <c r="H1347">
        <v>0</v>
      </c>
      <c r="I1347">
        <v>61</v>
      </c>
      <c r="K1347" t="s">
        <v>3910</v>
      </c>
      <c r="L1347">
        <v>46259</v>
      </c>
      <c r="M1347">
        <v>97000</v>
      </c>
      <c r="N1347">
        <v>50</v>
      </c>
      <c r="O1347">
        <v>46287</v>
      </c>
      <c r="P1347">
        <v>11</v>
      </c>
    </row>
    <row r="1348" spans="1:16" x14ac:dyDescent="0.4">
      <c r="A1348">
        <v>1190</v>
      </c>
      <c r="B1348" t="s">
        <v>4915</v>
      </c>
      <c r="D1348" t="s">
        <v>4901</v>
      </c>
      <c r="E1348" t="s">
        <v>5163</v>
      </c>
      <c r="F1348" t="s">
        <v>4937</v>
      </c>
      <c r="G1348" t="s">
        <v>3982</v>
      </c>
      <c r="H1348" t="s">
        <v>3981</v>
      </c>
      <c r="I1348">
        <v>64</v>
      </c>
      <c r="K1348" t="s">
        <v>3983</v>
      </c>
      <c r="L1348">
        <v>46286</v>
      </c>
      <c r="M1348">
        <v>97000</v>
      </c>
      <c r="N1348">
        <v>34</v>
      </c>
      <c r="O1348">
        <v>46287</v>
      </c>
      <c r="P1348">
        <v>30</v>
      </c>
    </row>
    <row r="1349" spans="1:16" x14ac:dyDescent="0.4">
      <c r="A1349">
        <v>1154</v>
      </c>
      <c r="B1349" t="s">
        <v>4915</v>
      </c>
      <c r="G1349" t="s">
        <v>3873</v>
      </c>
      <c r="H1349" t="s">
        <v>3872</v>
      </c>
      <c r="I1349">
        <v>69</v>
      </c>
      <c r="K1349" t="s">
        <v>3867</v>
      </c>
      <c r="L1349">
        <v>46281</v>
      </c>
      <c r="M1349">
        <v>97000</v>
      </c>
      <c r="N1349">
        <v>50</v>
      </c>
      <c r="O1349">
        <v>46287</v>
      </c>
      <c r="P1349">
        <v>19</v>
      </c>
    </row>
    <row r="1350" spans="1:16" x14ac:dyDescent="0.4">
      <c r="A1350">
        <v>437</v>
      </c>
      <c r="B1350" t="s">
        <v>4915</v>
      </c>
      <c r="G1350" t="s">
        <v>2907</v>
      </c>
      <c r="H1350" t="s">
        <v>2906</v>
      </c>
      <c r="I1350">
        <v>70</v>
      </c>
      <c r="K1350" t="s">
        <v>2992</v>
      </c>
      <c r="L1350">
        <v>46259</v>
      </c>
      <c r="M1350">
        <v>97000</v>
      </c>
      <c r="N1350">
        <v>50</v>
      </c>
      <c r="O1350">
        <v>46287</v>
      </c>
      <c r="P1350">
        <v>20</v>
      </c>
    </row>
    <row r="1351" spans="1:16" x14ac:dyDescent="0.4">
      <c r="A1351">
        <v>436</v>
      </c>
      <c r="B1351" t="s">
        <v>4915</v>
      </c>
      <c r="G1351" t="s">
        <v>3917</v>
      </c>
      <c r="H1351" t="s">
        <v>3916</v>
      </c>
      <c r="I1351">
        <v>73</v>
      </c>
      <c r="K1351" t="s">
        <v>3871</v>
      </c>
      <c r="L1351">
        <v>46259</v>
      </c>
      <c r="M1351">
        <v>97000</v>
      </c>
      <c r="N1351">
        <v>73</v>
      </c>
      <c r="O1351">
        <v>46287</v>
      </c>
      <c r="P1351">
        <v>0</v>
      </c>
    </row>
    <row r="1352" spans="1:16" x14ac:dyDescent="0.4">
      <c r="A1352">
        <v>435</v>
      </c>
      <c r="B1352" t="s">
        <v>4915</v>
      </c>
      <c r="G1352" t="s">
        <v>2923</v>
      </c>
      <c r="H1352" t="s">
        <v>2922</v>
      </c>
      <c r="I1352">
        <v>77</v>
      </c>
      <c r="K1352" t="s">
        <v>2924</v>
      </c>
      <c r="L1352">
        <v>46259</v>
      </c>
      <c r="M1352">
        <v>97000</v>
      </c>
      <c r="N1352">
        <v>77</v>
      </c>
      <c r="O1352">
        <v>46287</v>
      </c>
      <c r="P1352">
        <v>0</v>
      </c>
    </row>
    <row r="1353" spans="1:16" x14ac:dyDescent="0.4">
      <c r="A1353">
        <v>1275</v>
      </c>
      <c r="B1353" t="s">
        <v>4915</v>
      </c>
      <c r="D1353" t="s">
        <v>4901</v>
      </c>
      <c r="E1353" t="s">
        <v>4936</v>
      </c>
      <c r="F1353" t="s">
        <v>4937</v>
      </c>
      <c r="G1353" t="s">
        <v>4060</v>
      </c>
      <c r="H1353" t="s">
        <v>4059</v>
      </c>
      <c r="I1353">
        <v>80</v>
      </c>
      <c r="K1353" t="s">
        <v>4061</v>
      </c>
      <c r="L1353">
        <v>46261</v>
      </c>
      <c r="M1353">
        <v>97000</v>
      </c>
      <c r="N1353">
        <v>50</v>
      </c>
      <c r="O1353">
        <v>46287</v>
      </c>
      <c r="P1353">
        <v>30</v>
      </c>
    </row>
    <row r="1354" spans="1:16" x14ac:dyDescent="0.4">
      <c r="A1354">
        <v>365</v>
      </c>
      <c r="B1354" t="s">
        <v>4915</v>
      </c>
      <c r="D1354" t="s">
        <v>4901</v>
      </c>
      <c r="G1354" t="s">
        <v>4622</v>
      </c>
      <c r="H1354">
        <v>0</v>
      </c>
      <c r="I1354">
        <v>80</v>
      </c>
      <c r="K1354" t="s">
        <v>4728</v>
      </c>
      <c r="L1354">
        <v>46238</v>
      </c>
      <c r="M1354">
        <v>97000</v>
      </c>
      <c r="N1354">
        <v>50</v>
      </c>
      <c r="O1354">
        <v>46287</v>
      </c>
      <c r="P1354">
        <v>30</v>
      </c>
    </row>
    <row r="1355" spans="1:16" x14ac:dyDescent="0.4">
      <c r="A1355">
        <v>1248</v>
      </c>
      <c r="B1355" t="s">
        <v>4915</v>
      </c>
      <c r="D1355" t="s">
        <v>5152</v>
      </c>
      <c r="G1355" t="s">
        <v>3795</v>
      </c>
      <c r="H1355" t="s">
        <v>4926</v>
      </c>
      <c r="I1355">
        <v>84</v>
      </c>
      <c r="K1355" t="s">
        <v>4743</v>
      </c>
      <c r="L1355">
        <v>46287</v>
      </c>
      <c r="M1355">
        <v>97000</v>
      </c>
      <c r="N1355">
        <v>42</v>
      </c>
      <c r="O1355">
        <v>46287</v>
      </c>
      <c r="P1355">
        <v>42</v>
      </c>
    </row>
    <row r="1356" spans="1:16" x14ac:dyDescent="0.4">
      <c r="A1356">
        <v>1200</v>
      </c>
      <c r="B1356" t="s">
        <v>4915</v>
      </c>
      <c r="D1356" t="s">
        <v>5152</v>
      </c>
      <c r="G1356" t="s">
        <v>3908</v>
      </c>
      <c r="H1356" t="s">
        <v>3907</v>
      </c>
      <c r="I1356">
        <v>89</v>
      </c>
      <c r="K1356" t="s">
        <v>3867</v>
      </c>
      <c r="L1356">
        <v>46287</v>
      </c>
      <c r="M1356">
        <v>97000</v>
      </c>
      <c r="N1356">
        <v>89</v>
      </c>
      <c r="O1356">
        <v>46287</v>
      </c>
      <c r="P1356">
        <v>0</v>
      </c>
    </row>
    <row r="1357" spans="1:16" x14ac:dyDescent="0.4">
      <c r="A1357">
        <v>1942</v>
      </c>
      <c r="B1357" t="s">
        <v>4915</v>
      </c>
      <c r="D1357" t="s">
        <v>4901</v>
      </c>
      <c r="E1357" t="s">
        <v>4938</v>
      </c>
      <c r="F1357" t="s">
        <v>4939</v>
      </c>
      <c r="G1357" t="s">
        <v>4736</v>
      </c>
      <c r="H1357">
        <v>0</v>
      </c>
      <c r="I1357">
        <v>100</v>
      </c>
      <c r="K1357" t="s">
        <v>4046</v>
      </c>
      <c r="L1357">
        <v>46301</v>
      </c>
      <c r="M1357">
        <v>97000</v>
      </c>
      <c r="N1357">
        <v>100</v>
      </c>
      <c r="O1357">
        <v>46301</v>
      </c>
      <c r="P1357">
        <v>0</v>
      </c>
    </row>
    <row r="1358" spans="1:16" x14ac:dyDescent="0.4">
      <c r="A1358">
        <v>317</v>
      </c>
      <c r="B1358" t="s">
        <v>4915</v>
      </c>
      <c r="D1358" t="s">
        <v>4901</v>
      </c>
      <c r="G1358" t="s">
        <v>3791</v>
      </c>
      <c r="H1358" t="s">
        <v>4919</v>
      </c>
      <c r="I1358">
        <v>100</v>
      </c>
      <c r="K1358" t="s">
        <v>4741</v>
      </c>
      <c r="L1358">
        <v>46254</v>
      </c>
      <c r="M1358">
        <v>97000</v>
      </c>
      <c r="N1358">
        <v>50</v>
      </c>
      <c r="O1358">
        <v>46287</v>
      </c>
      <c r="P1358">
        <v>50</v>
      </c>
    </row>
    <row r="1359" spans="1:16" x14ac:dyDescent="0.4">
      <c r="A1359">
        <v>1288</v>
      </c>
      <c r="B1359" t="s">
        <v>4915</v>
      </c>
      <c r="D1359" t="s">
        <v>4901</v>
      </c>
      <c r="E1359" t="s">
        <v>4936</v>
      </c>
      <c r="F1359" t="s">
        <v>4937</v>
      </c>
      <c r="G1359" t="s">
        <v>3885</v>
      </c>
      <c r="H1359" t="s">
        <v>3884</v>
      </c>
      <c r="I1359">
        <v>100</v>
      </c>
      <c r="K1359" t="s">
        <v>3883</v>
      </c>
      <c r="L1359">
        <v>46261</v>
      </c>
      <c r="M1359">
        <v>97000</v>
      </c>
      <c r="N1359">
        <v>100</v>
      </c>
      <c r="O1359">
        <v>46287</v>
      </c>
      <c r="P1359">
        <v>0</v>
      </c>
    </row>
    <row r="1360" spans="1:16" x14ac:dyDescent="0.4">
      <c r="A1360">
        <v>352</v>
      </c>
      <c r="B1360" t="s">
        <v>4915</v>
      </c>
      <c r="D1360" t="s">
        <v>4901</v>
      </c>
      <c r="G1360" t="s">
        <v>3921</v>
      </c>
      <c r="H1360" t="s">
        <v>3920</v>
      </c>
      <c r="I1360">
        <v>100</v>
      </c>
      <c r="K1360" t="s">
        <v>2992</v>
      </c>
      <c r="L1360">
        <v>46252</v>
      </c>
      <c r="M1360">
        <v>97000</v>
      </c>
      <c r="N1360">
        <v>11</v>
      </c>
      <c r="O1360">
        <v>46287</v>
      </c>
      <c r="P1360">
        <v>89</v>
      </c>
    </row>
    <row r="1361" spans="1:16" x14ac:dyDescent="0.4">
      <c r="A1361">
        <v>1276</v>
      </c>
      <c r="B1361" t="s">
        <v>4915</v>
      </c>
      <c r="D1361" t="s">
        <v>4901</v>
      </c>
      <c r="E1361" t="s">
        <v>4936</v>
      </c>
      <c r="F1361" t="s">
        <v>4937</v>
      </c>
      <c r="G1361" t="s">
        <v>4014</v>
      </c>
      <c r="H1361" t="s">
        <v>4013</v>
      </c>
      <c r="I1361">
        <v>100</v>
      </c>
      <c r="K1361" t="s">
        <v>4015</v>
      </c>
      <c r="L1361">
        <v>46273</v>
      </c>
      <c r="M1361">
        <v>97000</v>
      </c>
      <c r="N1361">
        <v>50</v>
      </c>
      <c r="O1361">
        <v>46287</v>
      </c>
      <c r="P1361">
        <v>50</v>
      </c>
    </row>
    <row r="1362" spans="1:16" x14ac:dyDescent="0.4">
      <c r="A1362">
        <v>1189</v>
      </c>
      <c r="B1362" t="s">
        <v>4915</v>
      </c>
      <c r="D1362" t="s">
        <v>4901</v>
      </c>
      <c r="E1362" t="s">
        <v>4936</v>
      </c>
      <c r="F1362" t="s">
        <v>4937</v>
      </c>
      <c r="G1362" t="s">
        <v>4030</v>
      </c>
      <c r="H1362" t="s">
        <v>4029</v>
      </c>
      <c r="I1362">
        <v>100</v>
      </c>
      <c r="K1362" t="s">
        <v>3875</v>
      </c>
      <c r="L1362">
        <v>46261</v>
      </c>
      <c r="M1362">
        <v>97000</v>
      </c>
      <c r="N1362">
        <v>100</v>
      </c>
      <c r="O1362">
        <v>46287</v>
      </c>
      <c r="P1362">
        <v>0</v>
      </c>
    </row>
    <row r="1363" spans="1:16" x14ac:dyDescent="0.4">
      <c r="A1363">
        <v>361</v>
      </c>
      <c r="B1363" t="s">
        <v>4915</v>
      </c>
      <c r="D1363" t="s">
        <v>4901</v>
      </c>
      <c r="G1363" t="s">
        <v>4734</v>
      </c>
      <c r="H1363">
        <v>0</v>
      </c>
      <c r="I1363">
        <v>100</v>
      </c>
      <c r="K1363" t="s">
        <v>3986</v>
      </c>
      <c r="L1363">
        <v>46233</v>
      </c>
      <c r="M1363">
        <v>97000</v>
      </c>
      <c r="N1363">
        <v>50</v>
      </c>
      <c r="O1363">
        <v>46287</v>
      </c>
      <c r="P1363">
        <v>50</v>
      </c>
    </row>
    <row r="1364" spans="1:16" x14ac:dyDescent="0.4">
      <c r="A1364">
        <v>433</v>
      </c>
      <c r="B1364" t="s">
        <v>4915</v>
      </c>
      <c r="G1364" t="s">
        <v>4045</v>
      </c>
      <c r="H1364" t="s">
        <v>4044</v>
      </c>
      <c r="I1364">
        <v>115</v>
      </c>
      <c r="K1364" t="s">
        <v>4046</v>
      </c>
      <c r="L1364">
        <v>46259</v>
      </c>
      <c r="M1364">
        <v>97000</v>
      </c>
      <c r="N1364">
        <v>50</v>
      </c>
      <c r="O1364">
        <v>46287</v>
      </c>
      <c r="P1364">
        <v>65</v>
      </c>
    </row>
    <row r="1365" spans="1:16" x14ac:dyDescent="0.4">
      <c r="A1365">
        <v>432</v>
      </c>
      <c r="B1365" t="s">
        <v>4915</v>
      </c>
      <c r="G1365" t="s">
        <v>4056</v>
      </c>
      <c r="H1365" t="s">
        <v>4055</v>
      </c>
      <c r="I1365">
        <v>116</v>
      </c>
      <c r="K1365" t="s">
        <v>4015</v>
      </c>
      <c r="L1365">
        <v>46259</v>
      </c>
      <c r="M1365">
        <v>97000</v>
      </c>
      <c r="N1365">
        <v>50</v>
      </c>
      <c r="O1365">
        <v>46287</v>
      </c>
      <c r="P1365">
        <v>66</v>
      </c>
    </row>
    <row r="1366" spans="1:16" x14ac:dyDescent="0.4">
      <c r="A1366">
        <v>1242</v>
      </c>
      <c r="B1366" t="s">
        <v>4915</v>
      </c>
      <c r="D1366" t="s">
        <v>5152</v>
      </c>
      <c r="G1366" t="s">
        <v>3917</v>
      </c>
      <c r="H1366" t="s">
        <v>3916</v>
      </c>
      <c r="I1366">
        <v>124</v>
      </c>
      <c r="K1366" t="s">
        <v>3871</v>
      </c>
      <c r="L1366">
        <v>46287</v>
      </c>
      <c r="M1366">
        <v>97000</v>
      </c>
      <c r="N1366">
        <v>27</v>
      </c>
      <c r="O1366">
        <v>46287</v>
      </c>
      <c r="P1366">
        <v>97</v>
      </c>
    </row>
    <row r="1367" spans="1:16" x14ac:dyDescent="0.4">
      <c r="A1367">
        <v>1241</v>
      </c>
      <c r="B1367" t="s">
        <v>4915</v>
      </c>
      <c r="D1367" t="s">
        <v>5152</v>
      </c>
      <c r="G1367" t="s">
        <v>3932</v>
      </c>
      <c r="H1367" t="s">
        <v>3931</v>
      </c>
      <c r="I1367">
        <v>126</v>
      </c>
      <c r="K1367" t="s">
        <v>3585</v>
      </c>
      <c r="L1367">
        <v>46287</v>
      </c>
      <c r="M1367">
        <v>97000</v>
      </c>
      <c r="N1367">
        <v>100</v>
      </c>
      <c r="O1367">
        <v>46287</v>
      </c>
      <c r="P1367">
        <v>26</v>
      </c>
    </row>
    <row r="1368" spans="1:16" x14ac:dyDescent="0.4">
      <c r="A1368">
        <v>430</v>
      </c>
      <c r="B1368" t="s">
        <v>4915</v>
      </c>
      <c r="G1368" t="s">
        <v>3801</v>
      </c>
      <c r="H1368" t="s">
        <v>3800</v>
      </c>
      <c r="I1368">
        <v>149</v>
      </c>
      <c r="K1368" t="s">
        <v>4744</v>
      </c>
      <c r="L1368">
        <v>46259</v>
      </c>
      <c r="M1368">
        <v>97000</v>
      </c>
      <c r="N1368">
        <v>50</v>
      </c>
      <c r="O1368">
        <v>46287</v>
      </c>
      <c r="P1368">
        <v>99</v>
      </c>
    </row>
    <row r="1369" spans="1:16" x14ac:dyDescent="0.4">
      <c r="A1369">
        <v>654</v>
      </c>
      <c r="B1369" t="s">
        <v>4915</v>
      </c>
      <c r="G1369" t="s">
        <v>4008</v>
      </c>
      <c r="H1369" t="s">
        <v>4007</v>
      </c>
      <c r="I1369">
        <v>149</v>
      </c>
      <c r="K1369" t="s">
        <v>4002</v>
      </c>
      <c r="L1369">
        <v>46272</v>
      </c>
      <c r="M1369">
        <v>97000</v>
      </c>
      <c r="N1369">
        <v>50</v>
      </c>
      <c r="O1369">
        <v>46287</v>
      </c>
      <c r="P1369">
        <v>99</v>
      </c>
    </row>
    <row r="1370" spans="1:16" x14ac:dyDescent="0.4">
      <c r="A1370">
        <v>428</v>
      </c>
      <c r="B1370" t="s">
        <v>4915</v>
      </c>
      <c r="G1370" t="s">
        <v>4010</v>
      </c>
      <c r="H1370" t="s">
        <v>4009</v>
      </c>
      <c r="I1370">
        <v>150</v>
      </c>
      <c r="K1370" t="s">
        <v>4002</v>
      </c>
      <c r="L1370">
        <v>46259</v>
      </c>
      <c r="M1370">
        <v>97000</v>
      </c>
      <c r="N1370">
        <v>50</v>
      </c>
      <c r="O1370">
        <v>46287</v>
      </c>
      <c r="P1370">
        <v>100</v>
      </c>
    </row>
    <row r="1371" spans="1:16" x14ac:dyDescent="0.4">
      <c r="A1371">
        <v>427</v>
      </c>
      <c r="B1371" t="s">
        <v>4915</v>
      </c>
      <c r="G1371" t="s">
        <v>4028</v>
      </c>
      <c r="H1371" t="s">
        <v>4027</v>
      </c>
      <c r="I1371">
        <v>150</v>
      </c>
      <c r="K1371" t="s">
        <v>3875</v>
      </c>
      <c r="L1371">
        <v>46259</v>
      </c>
      <c r="M1371">
        <v>97000</v>
      </c>
      <c r="N1371">
        <v>50</v>
      </c>
      <c r="O1371">
        <v>46287</v>
      </c>
      <c r="P1371">
        <v>100</v>
      </c>
    </row>
    <row r="1372" spans="1:16" x14ac:dyDescent="0.4">
      <c r="A1372">
        <v>426</v>
      </c>
      <c r="B1372" t="s">
        <v>4915</v>
      </c>
      <c r="G1372" t="s">
        <v>3997</v>
      </c>
      <c r="H1372" t="s">
        <v>3996</v>
      </c>
      <c r="I1372">
        <v>151</v>
      </c>
      <c r="K1372" t="s">
        <v>3896</v>
      </c>
      <c r="L1372">
        <v>46259</v>
      </c>
      <c r="M1372">
        <v>97000</v>
      </c>
      <c r="N1372">
        <v>50</v>
      </c>
      <c r="O1372">
        <v>46287</v>
      </c>
      <c r="P1372">
        <v>101</v>
      </c>
    </row>
    <row r="1373" spans="1:16" x14ac:dyDescent="0.4">
      <c r="A1373">
        <v>2268</v>
      </c>
      <c r="B1373" t="s">
        <v>4915</v>
      </c>
      <c r="G1373" t="s">
        <v>4001</v>
      </c>
      <c r="H1373" t="s">
        <v>4000</v>
      </c>
      <c r="I1373">
        <v>184</v>
      </c>
      <c r="K1373" t="s">
        <v>4002</v>
      </c>
      <c r="L1373">
        <v>46301</v>
      </c>
      <c r="M1373">
        <v>97000</v>
      </c>
      <c r="N1373">
        <v>21</v>
      </c>
      <c r="O1373">
        <v>46295</v>
      </c>
      <c r="P1373">
        <v>163</v>
      </c>
    </row>
    <row r="1374" spans="1:16" x14ac:dyDescent="0.4">
      <c r="A1374">
        <v>425</v>
      </c>
      <c r="B1374" t="s">
        <v>4915</v>
      </c>
      <c r="G1374" t="s">
        <v>3889</v>
      </c>
      <c r="H1374" t="s">
        <v>3888</v>
      </c>
      <c r="I1374">
        <v>194</v>
      </c>
      <c r="K1374" t="s">
        <v>3883</v>
      </c>
      <c r="L1374">
        <v>46259</v>
      </c>
      <c r="M1374">
        <v>97000</v>
      </c>
      <c r="N1374">
        <v>50</v>
      </c>
      <c r="O1374">
        <v>46287</v>
      </c>
      <c r="P1374">
        <v>144</v>
      </c>
    </row>
    <row r="1375" spans="1:16" x14ac:dyDescent="0.4">
      <c r="A1375">
        <v>424</v>
      </c>
      <c r="B1375" t="s">
        <v>4915</v>
      </c>
      <c r="G1375" t="s">
        <v>3945</v>
      </c>
      <c r="H1375" t="s">
        <v>3944</v>
      </c>
      <c r="I1375">
        <v>198</v>
      </c>
      <c r="K1375" t="s">
        <v>3946</v>
      </c>
      <c r="L1375">
        <v>46259</v>
      </c>
      <c r="M1375">
        <v>97000</v>
      </c>
      <c r="N1375">
        <v>27</v>
      </c>
      <c r="O1375">
        <v>46287</v>
      </c>
      <c r="P1375">
        <v>171</v>
      </c>
    </row>
    <row r="1376" spans="1:16" x14ac:dyDescent="0.4">
      <c r="A1376">
        <v>499</v>
      </c>
      <c r="B1376" t="s">
        <v>4915</v>
      </c>
      <c r="G1376" t="s">
        <v>4004</v>
      </c>
      <c r="H1376" t="s">
        <v>4003</v>
      </c>
      <c r="I1376">
        <v>198</v>
      </c>
      <c r="K1376" t="s">
        <v>4002</v>
      </c>
      <c r="L1376">
        <v>46268</v>
      </c>
      <c r="M1376">
        <v>97000</v>
      </c>
      <c r="N1376">
        <v>50</v>
      </c>
      <c r="O1376">
        <v>46287</v>
      </c>
      <c r="P1376">
        <v>148</v>
      </c>
    </row>
    <row r="1377" spans="1:16" x14ac:dyDescent="0.4">
      <c r="A1377">
        <v>1353</v>
      </c>
      <c r="B1377" t="s">
        <v>4915</v>
      </c>
      <c r="D1377" t="s">
        <v>4901</v>
      </c>
      <c r="E1377" t="s">
        <v>5148</v>
      </c>
      <c r="F1377" t="s">
        <v>4939</v>
      </c>
      <c r="G1377" t="s">
        <v>4001</v>
      </c>
      <c r="H1377" t="s">
        <v>4000</v>
      </c>
      <c r="I1377">
        <v>200</v>
      </c>
      <c r="K1377" t="s">
        <v>4002</v>
      </c>
      <c r="L1377">
        <v>46286</v>
      </c>
      <c r="M1377">
        <v>97000</v>
      </c>
      <c r="N1377">
        <v>15</v>
      </c>
      <c r="O1377">
        <v>46287</v>
      </c>
      <c r="P1377">
        <v>185</v>
      </c>
    </row>
    <row r="1378" spans="1:16" x14ac:dyDescent="0.4">
      <c r="A1378">
        <v>357</v>
      </c>
      <c r="B1378" t="s">
        <v>4915</v>
      </c>
      <c r="D1378" t="s">
        <v>4901</v>
      </c>
      <c r="G1378" t="s">
        <v>4012</v>
      </c>
      <c r="H1378" t="s">
        <v>4011</v>
      </c>
      <c r="I1378">
        <v>200</v>
      </c>
      <c r="K1378" t="s">
        <v>3871</v>
      </c>
      <c r="L1378">
        <v>46239</v>
      </c>
      <c r="M1378">
        <v>97000</v>
      </c>
      <c r="N1378">
        <v>100</v>
      </c>
      <c r="O1378">
        <v>46287</v>
      </c>
      <c r="P1378">
        <v>100</v>
      </c>
    </row>
    <row r="1379" spans="1:16" x14ac:dyDescent="0.4">
      <c r="A1379">
        <v>1270</v>
      </c>
      <c r="B1379" t="s">
        <v>4915</v>
      </c>
      <c r="D1379" t="s">
        <v>4901</v>
      </c>
      <c r="E1379" t="s">
        <v>5163</v>
      </c>
      <c r="F1379" t="s">
        <v>4937</v>
      </c>
      <c r="G1379" t="s">
        <v>4733</v>
      </c>
      <c r="H1379" t="s">
        <v>3941</v>
      </c>
      <c r="I1379">
        <v>224</v>
      </c>
      <c r="K1379" t="s">
        <v>3943</v>
      </c>
      <c r="L1379">
        <v>46281</v>
      </c>
      <c r="M1379">
        <v>97000</v>
      </c>
      <c r="N1379">
        <v>39</v>
      </c>
      <c r="O1379">
        <v>46287</v>
      </c>
      <c r="P1379">
        <v>185</v>
      </c>
    </row>
    <row r="1380" spans="1:16" x14ac:dyDescent="0.4">
      <c r="A1380">
        <v>659</v>
      </c>
      <c r="B1380" t="s">
        <v>4915</v>
      </c>
      <c r="G1380" t="s">
        <v>3985</v>
      </c>
      <c r="H1380" t="s">
        <v>3984</v>
      </c>
      <c r="I1380">
        <v>227</v>
      </c>
      <c r="K1380" t="s">
        <v>3986</v>
      </c>
      <c r="L1380">
        <v>46268</v>
      </c>
      <c r="M1380">
        <v>97000</v>
      </c>
      <c r="N1380">
        <v>50</v>
      </c>
      <c r="O1380">
        <v>46287</v>
      </c>
      <c r="P1380">
        <v>177</v>
      </c>
    </row>
    <row r="1381" spans="1:16" x14ac:dyDescent="0.4">
      <c r="A1381">
        <v>1153</v>
      </c>
      <c r="B1381" t="s">
        <v>4915</v>
      </c>
      <c r="G1381" t="s">
        <v>3960</v>
      </c>
      <c r="H1381" t="s">
        <v>3959</v>
      </c>
      <c r="I1381">
        <v>232</v>
      </c>
      <c r="K1381" t="s">
        <v>3961</v>
      </c>
      <c r="L1381">
        <v>46281</v>
      </c>
      <c r="M1381">
        <v>97000</v>
      </c>
      <c r="N1381">
        <v>50</v>
      </c>
      <c r="O1381">
        <v>46287</v>
      </c>
      <c r="P1381">
        <v>182</v>
      </c>
    </row>
    <row r="1382" spans="1:16" x14ac:dyDescent="0.4">
      <c r="A1382">
        <v>1285</v>
      </c>
      <c r="B1382" t="s">
        <v>4915</v>
      </c>
      <c r="D1382" t="s">
        <v>4901</v>
      </c>
      <c r="E1382" t="s">
        <v>5163</v>
      </c>
      <c r="F1382" t="s">
        <v>4937</v>
      </c>
      <c r="G1382" t="s">
        <v>3963</v>
      </c>
      <c r="H1382" t="s">
        <v>3962</v>
      </c>
      <c r="I1382">
        <v>240</v>
      </c>
      <c r="K1382" t="s">
        <v>3964</v>
      </c>
      <c r="L1382">
        <v>46279</v>
      </c>
      <c r="M1382">
        <v>97000</v>
      </c>
      <c r="N1382">
        <v>50</v>
      </c>
      <c r="O1382">
        <v>46287</v>
      </c>
      <c r="P1382">
        <v>190</v>
      </c>
    </row>
    <row r="1383" spans="1:16" x14ac:dyDescent="0.4">
      <c r="A1383">
        <v>420</v>
      </c>
      <c r="B1383" t="s">
        <v>4915</v>
      </c>
      <c r="G1383" t="s">
        <v>3953</v>
      </c>
      <c r="H1383" t="s">
        <v>3952</v>
      </c>
      <c r="I1383">
        <v>242</v>
      </c>
      <c r="K1383" t="s">
        <v>4920</v>
      </c>
      <c r="L1383">
        <v>46259</v>
      </c>
      <c r="M1383">
        <v>97000</v>
      </c>
      <c r="N1383">
        <v>50</v>
      </c>
      <c r="O1383">
        <v>46287</v>
      </c>
      <c r="P1383">
        <v>192</v>
      </c>
    </row>
    <row r="1384" spans="1:16" x14ac:dyDescent="0.4">
      <c r="A1384">
        <v>345</v>
      </c>
      <c r="B1384" t="s">
        <v>4915</v>
      </c>
      <c r="D1384" t="s">
        <v>4901</v>
      </c>
      <c r="G1384" t="s">
        <v>3902</v>
      </c>
      <c r="H1384" t="s">
        <v>3901</v>
      </c>
      <c r="I1384">
        <v>300</v>
      </c>
      <c r="K1384" t="s">
        <v>3896</v>
      </c>
      <c r="L1384">
        <v>46233</v>
      </c>
      <c r="M1384">
        <v>97000</v>
      </c>
      <c r="N1384">
        <v>50</v>
      </c>
      <c r="O1384">
        <v>46287</v>
      </c>
      <c r="P1384">
        <v>250</v>
      </c>
    </row>
    <row r="1385" spans="1:16" x14ac:dyDescent="0.4">
      <c r="A1385">
        <v>419</v>
      </c>
      <c r="B1385" t="s">
        <v>4915</v>
      </c>
      <c r="G1385" t="s">
        <v>3908</v>
      </c>
      <c r="H1385" t="s">
        <v>3907</v>
      </c>
      <c r="I1385">
        <v>300</v>
      </c>
      <c r="K1385" t="s">
        <v>3867</v>
      </c>
      <c r="L1385">
        <v>46259</v>
      </c>
      <c r="M1385">
        <v>97000</v>
      </c>
      <c r="N1385">
        <v>111</v>
      </c>
      <c r="O1385">
        <v>46287</v>
      </c>
      <c r="P1385">
        <v>189</v>
      </c>
    </row>
    <row r="1386" spans="1:16" x14ac:dyDescent="0.4">
      <c r="A1386">
        <v>418</v>
      </c>
      <c r="B1386" t="s">
        <v>4915</v>
      </c>
      <c r="G1386" t="s">
        <v>3793</v>
      </c>
      <c r="H1386" t="s">
        <v>3792</v>
      </c>
      <c r="I1386">
        <v>362</v>
      </c>
      <c r="K1386" t="s">
        <v>4740</v>
      </c>
      <c r="L1386">
        <v>46259</v>
      </c>
      <c r="M1386">
        <v>97000</v>
      </c>
      <c r="N1386">
        <v>50</v>
      </c>
      <c r="O1386">
        <v>46287</v>
      </c>
      <c r="P1386">
        <v>312</v>
      </c>
    </row>
    <row r="1387" spans="1:16" x14ac:dyDescent="0.4">
      <c r="A1387">
        <v>1279</v>
      </c>
      <c r="B1387" t="s">
        <v>4915</v>
      </c>
      <c r="D1387" t="s">
        <v>4901</v>
      </c>
      <c r="E1387" t="s">
        <v>5148</v>
      </c>
      <c r="F1387" t="s">
        <v>4939</v>
      </c>
      <c r="G1387" t="s">
        <v>4006</v>
      </c>
      <c r="H1387" t="s">
        <v>4005</v>
      </c>
      <c r="I1387">
        <v>400</v>
      </c>
      <c r="K1387" t="s">
        <v>4002</v>
      </c>
      <c r="L1387">
        <v>46269</v>
      </c>
      <c r="M1387">
        <v>97000</v>
      </c>
      <c r="N1387">
        <v>100</v>
      </c>
      <c r="O1387">
        <v>46287</v>
      </c>
      <c r="P1387">
        <v>300</v>
      </c>
    </row>
    <row r="1388" spans="1:16" x14ac:dyDescent="0.4">
      <c r="A1388">
        <v>417</v>
      </c>
      <c r="B1388" t="s">
        <v>4915</v>
      </c>
      <c r="G1388" t="s">
        <v>3788</v>
      </c>
      <c r="H1388" t="s">
        <v>4921</v>
      </c>
      <c r="I1388">
        <v>413</v>
      </c>
      <c r="K1388" t="s">
        <v>4742</v>
      </c>
      <c r="L1388">
        <v>46259</v>
      </c>
      <c r="M1388">
        <v>97000</v>
      </c>
      <c r="N1388">
        <v>50</v>
      </c>
      <c r="O1388">
        <v>46287</v>
      </c>
      <c r="P1388">
        <v>363</v>
      </c>
    </row>
    <row r="1389" spans="1:16" x14ac:dyDescent="0.4">
      <c r="A1389">
        <v>416</v>
      </c>
      <c r="B1389" t="s">
        <v>4915</v>
      </c>
      <c r="G1389" t="s">
        <v>3811</v>
      </c>
      <c r="H1389" t="s">
        <v>3810</v>
      </c>
      <c r="I1389">
        <v>535</v>
      </c>
      <c r="K1389" t="s">
        <v>2924</v>
      </c>
      <c r="L1389">
        <v>46259</v>
      </c>
      <c r="M1389">
        <v>97000</v>
      </c>
      <c r="N1389">
        <v>300</v>
      </c>
      <c r="O1389">
        <v>46287</v>
      </c>
      <c r="P1389">
        <v>235</v>
      </c>
    </row>
    <row r="1390" spans="1:16" x14ac:dyDescent="0.4">
      <c r="A1390">
        <v>1165</v>
      </c>
      <c r="B1390" t="s">
        <v>4915</v>
      </c>
      <c r="G1390" t="s">
        <v>3966</v>
      </c>
      <c r="H1390" t="s">
        <v>3965</v>
      </c>
      <c r="I1390">
        <v>719</v>
      </c>
      <c r="K1390" t="s">
        <v>3967</v>
      </c>
      <c r="L1390">
        <v>46280</v>
      </c>
      <c r="M1390">
        <v>97000</v>
      </c>
      <c r="N1390">
        <v>100</v>
      </c>
      <c r="O1390">
        <v>46287</v>
      </c>
      <c r="P1390">
        <v>619</v>
      </c>
    </row>
    <row r="1391" spans="1:16" x14ac:dyDescent="0.4">
      <c r="A1391">
        <v>415</v>
      </c>
      <c r="B1391" t="s">
        <v>4915</v>
      </c>
      <c r="G1391" t="s">
        <v>3813</v>
      </c>
      <c r="H1391" t="s">
        <v>3812</v>
      </c>
      <c r="I1391">
        <v>971</v>
      </c>
      <c r="K1391" t="s">
        <v>2924</v>
      </c>
      <c r="L1391">
        <v>46259</v>
      </c>
      <c r="M1391">
        <v>97000</v>
      </c>
      <c r="N1391">
        <v>50</v>
      </c>
      <c r="O1391">
        <v>46287</v>
      </c>
      <c r="P1391">
        <v>921</v>
      </c>
    </row>
    <row r="1392" spans="1:16" x14ac:dyDescent="0.4">
      <c r="A1392">
        <v>414</v>
      </c>
      <c r="B1392" t="s">
        <v>4915</v>
      </c>
      <c r="G1392" t="s">
        <v>4032</v>
      </c>
      <c r="H1392" t="s">
        <v>4031</v>
      </c>
      <c r="I1392">
        <v>1503</v>
      </c>
      <c r="K1392" t="s">
        <v>2924</v>
      </c>
      <c r="L1392">
        <v>46259</v>
      </c>
      <c r="M1392">
        <v>97000</v>
      </c>
      <c r="N1392">
        <v>50</v>
      </c>
      <c r="O1392">
        <v>46287</v>
      </c>
      <c r="P1392">
        <v>1453</v>
      </c>
    </row>
    <row r="1393" spans="1:16" x14ac:dyDescent="0.4">
      <c r="A1393">
        <v>302</v>
      </c>
      <c r="B1393" t="s">
        <v>4915</v>
      </c>
      <c r="D1393" t="s">
        <v>4901</v>
      </c>
      <c r="G1393" t="s">
        <v>2907</v>
      </c>
      <c r="H1393" t="s">
        <v>2906</v>
      </c>
      <c r="I1393">
        <v>100</v>
      </c>
      <c r="K1393" t="s">
        <v>2992</v>
      </c>
      <c r="L1393">
        <v>46252</v>
      </c>
      <c r="M1393">
        <v>97001</v>
      </c>
      <c r="N1393">
        <v>10</v>
      </c>
      <c r="O1393">
        <v>46287</v>
      </c>
      <c r="P1393">
        <v>90</v>
      </c>
    </row>
    <row r="1394" spans="1:16" x14ac:dyDescent="0.4">
      <c r="A1394">
        <v>423</v>
      </c>
      <c r="B1394" t="s">
        <v>4915</v>
      </c>
      <c r="G1394" t="s">
        <v>4622</v>
      </c>
      <c r="H1394">
        <v>0</v>
      </c>
      <c r="I1394">
        <v>205</v>
      </c>
      <c r="K1394" t="s">
        <v>4728</v>
      </c>
      <c r="L1394">
        <v>46259</v>
      </c>
      <c r="M1394">
        <v>97001</v>
      </c>
      <c r="N1394">
        <v>10</v>
      </c>
      <c r="O1394">
        <v>46287</v>
      </c>
      <c r="P1394">
        <v>195</v>
      </c>
    </row>
    <row r="1395" spans="1:16" x14ac:dyDescent="0.4">
      <c r="A1395">
        <v>1537</v>
      </c>
      <c r="B1395" t="s">
        <v>4915</v>
      </c>
      <c r="G1395" t="s">
        <v>1530</v>
      </c>
      <c r="H1395" t="s">
        <v>5124</v>
      </c>
      <c r="I1395">
        <v>460</v>
      </c>
      <c r="K1395" t="s">
        <v>5125</v>
      </c>
      <c r="L1395">
        <v>46282</v>
      </c>
      <c r="M1395">
        <v>97001</v>
      </c>
      <c r="N1395">
        <v>20</v>
      </c>
      <c r="O1395">
        <v>46287</v>
      </c>
      <c r="P1395">
        <v>440</v>
      </c>
    </row>
    <row r="1396" spans="1:16" x14ac:dyDescent="0.4">
      <c r="A1396">
        <v>1701</v>
      </c>
      <c r="B1396" t="s">
        <v>4915</v>
      </c>
      <c r="D1396" t="s">
        <v>4901</v>
      </c>
      <c r="E1396" t="s">
        <v>4936</v>
      </c>
      <c r="F1396" t="s">
        <v>4937</v>
      </c>
      <c r="G1396" t="s">
        <v>3369</v>
      </c>
      <c r="H1396" t="s">
        <v>3368</v>
      </c>
      <c r="I1396">
        <v>4</v>
      </c>
      <c r="K1396" t="s">
        <v>5005</v>
      </c>
      <c r="L1396">
        <v>46281</v>
      </c>
      <c r="M1396">
        <v>97004</v>
      </c>
      <c r="N1396">
        <v>4</v>
      </c>
      <c r="O1396">
        <v>46281</v>
      </c>
      <c r="P1396">
        <v>0</v>
      </c>
    </row>
    <row r="1397" spans="1:16" x14ac:dyDescent="0.4">
      <c r="A1397">
        <v>706</v>
      </c>
      <c r="B1397" t="s">
        <v>4915</v>
      </c>
      <c r="D1397" t="s">
        <v>4916</v>
      </c>
      <c r="G1397" t="s">
        <v>3369</v>
      </c>
      <c r="H1397" t="s">
        <v>3368</v>
      </c>
      <c r="I1397">
        <v>12</v>
      </c>
      <c r="K1397" t="s">
        <v>5005</v>
      </c>
      <c r="L1397">
        <v>46275</v>
      </c>
      <c r="M1397">
        <v>97004</v>
      </c>
      <c r="N1397">
        <v>11</v>
      </c>
      <c r="O1397">
        <v>46275</v>
      </c>
      <c r="P1397">
        <v>1</v>
      </c>
    </row>
    <row r="1398" spans="1:16" x14ac:dyDescent="0.4">
      <c r="A1398">
        <v>705</v>
      </c>
      <c r="B1398" t="s">
        <v>4915</v>
      </c>
      <c r="D1398" t="s">
        <v>4916</v>
      </c>
      <c r="G1398" t="s">
        <v>3373</v>
      </c>
      <c r="H1398" t="s">
        <v>5003</v>
      </c>
      <c r="I1398">
        <v>45</v>
      </c>
      <c r="K1398" t="s">
        <v>5004</v>
      </c>
      <c r="L1398">
        <v>46275</v>
      </c>
      <c r="M1398">
        <v>97004</v>
      </c>
      <c r="N1398">
        <v>45</v>
      </c>
      <c r="O1398">
        <v>46275</v>
      </c>
      <c r="P1398">
        <v>0</v>
      </c>
    </row>
    <row r="1399" spans="1:16" x14ac:dyDescent="0.4">
      <c r="A1399">
        <v>704</v>
      </c>
      <c r="B1399" t="s">
        <v>4915</v>
      </c>
      <c r="D1399" t="s">
        <v>4916</v>
      </c>
      <c r="G1399" t="s">
        <v>3412</v>
      </c>
      <c r="H1399" t="s">
        <v>3411</v>
      </c>
      <c r="I1399">
        <v>104</v>
      </c>
      <c r="K1399" t="s">
        <v>1829</v>
      </c>
      <c r="L1399">
        <v>46275</v>
      </c>
      <c r="M1399">
        <v>97004</v>
      </c>
      <c r="N1399">
        <v>30</v>
      </c>
      <c r="O1399">
        <v>46275</v>
      </c>
      <c r="P1399">
        <v>74</v>
      </c>
    </row>
    <row r="1400" spans="1:16" x14ac:dyDescent="0.4">
      <c r="A1400">
        <v>2276</v>
      </c>
      <c r="B1400" t="s">
        <v>4915</v>
      </c>
      <c r="G1400" t="s">
        <v>3303</v>
      </c>
      <c r="H1400" t="s">
        <v>3302</v>
      </c>
      <c r="I1400">
        <v>17</v>
      </c>
      <c r="K1400" t="s">
        <v>5005</v>
      </c>
      <c r="L1400">
        <v>46301</v>
      </c>
      <c r="M1400">
        <v>97004</v>
      </c>
      <c r="N1400">
        <v>12</v>
      </c>
      <c r="O1400">
        <v>46301</v>
      </c>
      <c r="P1400">
        <v>5</v>
      </c>
    </row>
    <row r="1401" spans="1:16" x14ac:dyDescent="0.4">
      <c r="A1401">
        <v>1985</v>
      </c>
      <c r="B1401" t="s">
        <v>4915</v>
      </c>
      <c r="D1401" t="s">
        <v>4901</v>
      </c>
      <c r="E1401" t="s">
        <v>4936</v>
      </c>
      <c r="F1401" t="s">
        <v>4939</v>
      </c>
      <c r="G1401" t="s">
        <v>3369</v>
      </c>
      <c r="H1401" t="s">
        <v>3368</v>
      </c>
      <c r="I1401">
        <v>15</v>
      </c>
      <c r="K1401" t="s">
        <v>5005</v>
      </c>
      <c r="L1401">
        <v>46295</v>
      </c>
      <c r="M1401">
        <v>97004</v>
      </c>
      <c r="N1401">
        <v>15</v>
      </c>
      <c r="O1401">
        <v>46281</v>
      </c>
      <c r="P1401">
        <v>0</v>
      </c>
    </row>
    <row r="1402" spans="1:16" x14ac:dyDescent="0.4">
      <c r="A1402">
        <v>702</v>
      </c>
      <c r="B1402" t="s">
        <v>4915</v>
      </c>
      <c r="D1402" t="s">
        <v>4916</v>
      </c>
      <c r="G1402" t="s">
        <v>3627</v>
      </c>
      <c r="H1402" t="s">
        <v>5048</v>
      </c>
      <c r="I1402">
        <v>20</v>
      </c>
      <c r="K1402" t="s">
        <v>5005</v>
      </c>
      <c r="L1402">
        <v>46275</v>
      </c>
      <c r="M1402">
        <v>97005</v>
      </c>
      <c r="N1402">
        <v>20</v>
      </c>
      <c r="O1402">
        <v>46276</v>
      </c>
      <c r="P1402">
        <v>0</v>
      </c>
    </row>
    <row r="1403" spans="1:16" x14ac:dyDescent="0.4">
      <c r="A1403">
        <v>700</v>
      </c>
      <c r="B1403" t="s">
        <v>4915</v>
      </c>
      <c r="D1403" t="s">
        <v>4916</v>
      </c>
      <c r="G1403" t="s">
        <v>3535</v>
      </c>
      <c r="H1403" t="s">
        <v>3534</v>
      </c>
      <c r="I1403">
        <v>60</v>
      </c>
      <c r="K1403" t="s">
        <v>5046</v>
      </c>
      <c r="L1403">
        <v>46275</v>
      </c>
      <c r="M1403">
        <v>97005</v>
      </c>
      <c r="N1403">
        <v>30</v>
      </c>
      <c r="O1403">
        <v>46276</v>
      </c>
      <c r="P1403">
        <v>30</v>
      </c>
    </row>
    <row r="1404" spans="1:16" x14ac:dyDescent="0.4">
      <c r="A1404">
        <v>698</v>
      </c>
      <c r="B1404" t="s">
        <v>4915</v>
      </c>
      <c r="D1404" t="s">
        <v>4916</v>
      </c>
      <c r="G1404" t="s">
        <v>3598</v>
      </c>
      <c r="H1404" t="s">
        <v>3597</v>
      </c>
      <c r="I1404">
        <v>80</v>
      </c>
      <c r="K1404" t="s">
        <v>5044</v>
      </c>
      <c r="L1404">
        <v>46275</v>
      </c>
      <c r="M1404">
        <v>97005</v>
      </c>
      <c r="N1404">
        <v>30</v>
      </c>
      <c r="O1404">
        <v>46276</v>
      </c>
      <c r="P1404">
        <v>50</v>
      </c>
    </row>
    <row r="1405" spans="1:16" x14ac:dyDescent="0.4">
      <c r="A1405">
        <v>703</v>
      </c>
      <c r="B1405" t="s">
        <v>4915</v>
      </c>
      <c r="D1405" t="s">
        <v>4916</v>
      </c>
      <c r="G1405" t="s">
        <v>3530</v>
      </c>
      <c r="H1405" t="s">
        <v>5049</v>
      </c>
      <c r="I1405">
        <v>88</v>
      </c>
      <c r="K1405" t="s">
        <v>5005</v>
      </c>
      <c r="L1405">
        <v>46275</v>
      </c>
      <c r="M1405">
        <v>97005</v>
      </c>
      <c r="N1405">
        <v>30</v>
      </c>
      <c r="O1405">
        <v>46276</v>
      </c>
      <c r="P1405">
        <v>58</v>
      </c>
    </row>
    <row r="1406" spans="1:16" x14ac:dyDescent="0.4">
      <c r="A1406">
        <v>697</v>
      </c>
      <c r="B1406" t="s">
        <v>4915</v>
      </c>
      <c r="D1406" t="s">
        <v>4916</v>
      </c>
      <c r="G1406" t="s">
        <v>3551</v>
      </c>
      <c r="H1406" t="s">
        <v>5043</v>
      </c>
      <c r="I1406">
        <v>99</v>
      </c>
      <c r="K1406" t="s">
        <v>5004</v>
      </c>
      <c r="L1406">
        <v>46275</v>
      </c>
      <c r="M1406">
        <v>97005</v>
      </c>
      <c r="N1406">
        <v>30</v>
      </c>
      <c r="O1406">
        <v>46276</v>
      </c>
      <c r="P1406">
        <v>69</v>
      </c>
    </row>
    <row r="1407" spans="1:16" x14ac:dyDescent="0.4">
      <c r="A1407">
        <v>701</v>
      </c>
      <c r="B1407" t="s">
        <v>4915</v>
      </c>
      <c r="D1407" t="s">
        <v>4916</v>
      </c>
      <c r="G1407" t="s">
        <v>3538</v>
      </c>
      <c r="H1407" t="s">
        <v>3537</v>
      </c>
      <c r="I1407">
        <v>99</v>
      </c>
      <c r="K1407" t="s">
        <v>5047</v>
      </c>
      <c r="L1407">
        <v>46275</v>
      </c>
      <c r="M1407">
        <v>97005</v>
      </c>
      <c r="N1407">
        <v>30</v>
      </c>
      <c r="O1407">
        <v>46276</v>
      </c>
      <c r="P1407">
        <v>69</v>
      </c>
    </row>
    <row r="1408" spans="1:16" x14ac:dyDescent="0.4">
      <c r="A1408">
        <v>699</v>
      </c>
      <c r="B1408" t="s">
        <v>4915</v>
      </c>
      <c r="D1408" t="s">
        <v>4916</v>
      </c>
      <c r="G1408" t="s">
        <v>3606</v>
      </c>
      <c r="H1408" t="s">
        <v>3605</v>
      </c>
      <c r="I1408">
        <v>130</v>
      </c>
      <c r="K1408" t="s">
        <v>5045</v>
      </c>
      <c r="L1408">
        <v>46275</v>
      </c>
      <c r="M1408">
        <v>97005</v>
      </c>
      <c r="N1408">
        <v>30</v>
      </c>
      <c r="O1408">
        <v>46276</v>
      </c>
      <c r="P1408">
        <v>100</v>
      </c>
    </row>
    <row r="1409" spans="1:16" x14ac:dyDescent="0.4">
      <c r="A1409">
        <v>713</v>
      </c>
      <c r="B1409" t="s">
        <v>4915</v>
      </c>
      <c r="D1409" t="s">
        <v>4916</v>
      </c>
      <c r="G1409" t="s">
        <v>3578</v>
      </c>
      <c r="H1409" t="s">
        <v>3577</v>
      </c>
      <c r="I1409">
        <v>79</v>
      </c>
      <c r="K1409" t="s">
        <v>5053</v>
      </c>
      <c r="L1409">
        <v>46275</v>
      </c>
      <c r="M1409">
        <v>97006</v>
      </c>
      <c r="N1409">
        <v>30</v>
      </c>
      <c r="O1409">
        <v>46276</v>
      </c>
      <c r="P1409">
        <v>49</v>
      </c>
    </row>
    <row r="1410" spans="1:16" x14ac:dyDescent="0.4">
      <c r="A1410">
        <v>711</v>
      </c>
      <c r="B1410" t="s">
        <v>4915</v>
      </c>
      <c r="D1410" t="s">
        <v>4916</v>
      </c>
      <c r="G1410" t="s">
        <v>3636</v>
      </c>
      <c r="H1410" t="s">
        <v>3635</v>
      </c>
      <c r="I1410">
        <v>82</v>
      </c>
      <c r="K1410" t="s">
        <v>5051</v>
      </c>
      <c r="L1410">
        <v>46275</v>
      </c>
      <c r="M1410">
        <v>97006</v>
      </c>
      <c r="N1410">
        <v>30</v>
      </c>
      <c r="O1410">
        <v>46276</v>
      </c>
      <c r="P1410">
        <v>52</v>
      </c>
    </row>
    <row r="1411" spans="1:16" x14ac:dyDescent="0.4">
      <c r="A1411">
        <v>577</v>
      </c>
      <c r="B1411" t="s">
        <v>4915</v>
      </c>
      <c r="D1411" t="s">
        <v>4916</v>
      </c>
      <c r="G1411" t="s">
        <v>1361</v>
      </c>
      <c r="H1411" t="s">
        <v>1360</v>
      </c>
      <c r="I1411">
        <v>83</v>
      </c>
      <c r="K1411" t="s">
        <v>4968</v>
      </c>
      <c r="L1411">
        <v>46273</v>
      </c>
      <c r="M1411">
        <v>97006</v>
      </c>
      <c r="N1411">
        <v>30</v>
      </c>
      <c r="O1411">
        <v>46276</v>
      </c>
      <c r="P1411">
        <v>53</v>
      </c>
    </row>
    <row r="1412" spans="1:16" x14ac:dyDescent="0.4">
      <c r="A1412">
        <v>712</v>
      </c>
      <c r="B1412" t="s">
        <v>4915</v>
      </c>
      <c r="D1412" t="s">
        <v>4916</v>
      </c>
      <c r="G1412" t="s">
        <v>3396</v>
      </c>
      <c r="H1412" t="s">
        <v>3395</v>
      </c>
      <c r="I1412">
        <v>143</v>
      </c>
      <c r="K1412" t="s">
        <v>5052</v>
      </c>
      <c r="L1412">
        <v>46275</v>
      </c>
      <c r="M1412">
        <v>97006</v>
      </c>
      <c r="N1412">
        <v>30</v>
      </c>
      <c r="O1412">
        <v>46276</v>
      </c>
      <c r="P1412">
        <v>113</v>
      </c>
    </row>
    <row r="1413" spans="1:16" x14ac:dyDescent="0.4">
      <c r="A1413">
        <v>875</v>
      </c>
      <c r="B1413" t="s">
        <v>4915</v>
      </c>
      <c r="G1413" t="s">
        <v>2809</v>
      </c>
      <c r="H1413" t="s">
        <v>2808</v>
      </c>
      <c r="I1413">
        <v>271</v>
      </c>
      <c r="K1413" t="s">
        <v>4869</v>
      </c>
      <c r="L1413">
        <v>46275</v>
      </c>
      <c r="M1413">
        <v>97006</v>
      </c>
      <c r="N1413">
        <v>30</v>
      </c>
      <c r="O1413">
        <v>46276</v>
      </c>
      <c r="P1413">
        <v>241</v>
      </c>
    </row>
    <row r="1414" spans="1:16" x14ac:dyDescent="0.4">
      <c r="A1414">
        <v>714</v>
      </c>
      <c r="B1414" t="s">
        <v>4915</v>
      </c>
      <c r="D1414" t="s">
        <v>4916</v>
      </c>
      <c r="G1414" t="s">
        <v>3202</v>
      </c>
      <c r="H1414" t="s">
        <v>3201</v>
      </c>
      <c r="I1414">
        <v>2700</v>
      </c>
      <c r="K1414" t="s">
        <v>4970</v>
      </c>
      <c r="L1414">
        <v>46275</v>
      </c>
      <c r="M1414">
        <v>97006</v>
      </c>
      <c r="N1414">
        <v>660</v>
      </c>
      <c r="O1414">
        <v>46276</v>
      </c>
      <c r="P1414">
        <v>2040</v>
      </c>
    </row>
    <row r="1415" spans="1:16" x14ac:dyDescent="0.4">
      <c r="A1415">
        <v>675</v>
      </c>
      <c r="B1415" t="s">
        <v>4915</v>
      </c>
      <c r="D1415" t="s">
        <v>4916</v>
      </c>
      <c r="G1415" t="s">
        <v>3342</v>
      </c>
      <c r="H1415" t="s">
        <v>3341</v>
      </c>
      <c r="I1415">
        <v>6</v>
      </c>
      <c r="K1415" t="s">
        <v>3343</v>
      </c>
      <c r="L1415">
        <v>46275</v>
      </c>
      <c r="M1415">
        <v>97007</v>
      </c>
      <c r="N1415">
        <v>6</v>
      </c>
      <c r="O1415">
        <v>46275</v>
      </c>
      <c r="P1415">
        <v>0</v>
      </c>
    </row>
    <row r="1416" spans="1:16" x14ac:dyDescent="0.4">
      <c r="A1416">
        <v>672</v>
      </c>
      <c r="B1416" t="s">
        <v>4915</v>
      </c>
      <c r="D1416" t="s">
        <v>4916</v>
      </c>
      <c r="G1416" t="s">
        <v>3337</v>
      </c>
      <c r="H1416" t="s">
        <v>3336</v>
      </c>
      <c r="I1416">
        <v>10</v>
      </c>
      <c r="K1416" t="s">
        <v>3338</v>
      </c>
      <c r="L1416">
        <v>46275</v>
      </c>
      <c r="M1416">
        <v>97007</v>
      </c>
      <c r="N1416">
        <v>10</v>
      </c>
      <c r="O1416">
        <v>46275</v>
      </c>
      <c r="P1416">
        <v>0</v>
      </c>
    </row>
    <row r="1417" spans="1:16" x14ac:dyDescent="0.4">
      <c r="A1417">
        <v>671</v>
      </c>
      <c r="B1417" t="s">
        <v>4915</v>
      </c>
      <c r="D1417" t="s">
        <v>4916</v>
      </c>
      <c r="G1417" t="s">
        <v>3340</v>
      </c>
      <c r="H1417" t="s">
        <v>3339</v>
      </c>
      <c r="I1417">
        <v>24</v>
      </c>
      <c r="K1417" t="s">
        <v>3338</v>
      </c>
      <c r="L1417">
        <v>46275</v>
      </c>
      <c r="M1417">
        <v>97007</v>
      </c>
      <c r="N1417">
        <v>24</v>
      </c>
      <c r="O1417">
        <v>46275</v>
      </c>
      <c r="P1417">
        <v>0</v>
      </c>
    </row>
    <row r="1418" spans="1:16" x14ac:dyDescent="0.4">
      <c r="A1418">
        <v>676</v>
      </c>
      <c r="B1418" t="s">
        <v>4915</v>
      </c>
      <c r="D1418" t="s">
        <v>4916</v>
      </c>
      <c r="G1418" t="s">
        <v>3766</v>
      </c>
      <c r="H1418" t="s">
        <v>3765</v>
      </c>
      <c r="I1418">
        <v>38</v>
      </c>
      <c r="K1418" t="s">
        <v>3426</v>
      </c>
      <c r="L1418">
        <v>46275</v>
      </c>
      <c r="M1418">
        <v>97007</v>
      </c>
      <c r="N1418">
        <v>30</v>
      </c>
      <c r="O1418">
        <v>46275</v>
      </c>
      <c r="P1418">
        <v>8</v>
      </c>
    </row>
    <row r="1419" spans="1:16" x14ac:dyDescent="0.4">
      <c r="A1419">
        <v>2073</v>
      </c>
      <c r="B1419" t="s">
        <v>4915</v>
      </c>
      <c r="D1419" t="s">
        <v>4901</v>
      </c>
      <c r="E1419" t="s">
        <v>5148</v>
      </c>
      <c r="F1419" t="s">
        <v>4939</v>
      </c>
      <c r="G1419" t="s">
        <v>3337</v>
      </c>
      <c r="H1419" t="s">
        <v>3336</v>
      </c>
      <c r="I1419">
        <v>40</v>
      </c>
      <c r="K1419" t="s">
        <v>3338</v>
      </c>
      <c r="L1419">
        <v>46288</v>
      </c>
      <c r="M1419">
        <v>97007</v>
      </c>
      <c r="N1419">
        <v>20</v>
      </c>
      <c r="O1419">
        <v>46293</v>
      </c>
      <c r="P1419">
        <v>20</v>
      </c>
    </row>
    <row r="1420" spans="1:16" x14ac:dyDescent="0.4">
      <c r="A1420">
        <v>686</v>
      </c>
      <c r="B1420" t="s">
        <v>4915</v>
      </c>
      <c r="D1420" t="s">
        <v>4916</v>
      </c>
      <c r="G1420" t="s">
        <v>3430</v>
      </c>
      <c r="H1420" t="s">
        <v>3429</v>
      </c>
      <c r="I1420">
        <v>48</v>
      </c>
      <c r="K1420" t="s">
        <v>2026</v>
      </c>
      <c r="L1420">
        <v>46275</v>
      </c>
      <c r="M1420">
        <v>97007</v>
      </c>
      <c r="N1420">
        <v>30</v>
      </c>
      <c r="O1420">
        <v>46275</v>
      </c>
      <c r="P1420">
        <v>18</v>
      </c>
    </row>
    <row r="1421" spans="1:16" x14ac:dyDescent="0.4">
      <c r="A1421">
        <v>2072</v>
      </c>
      <c r="B1421" t="s">
        <v>4915</v>
      </c>
      <c r="D1421" t="s">
        <v>4901</v>
      </c>
      <c r="E1421" t="s">
        <v>5148</v>
      </c>
      <c r="F1421" t="s">
        <v>4939</v>
      </c>
      <c r="G1421" t="s">
        <v>3340</v>
      </c>
      <c r="H1421" t="s">
        <v>3339</v>
      </c>
      <c r="I1421">
        <v>49</v>
      </c>
      <c r="K1421" t="s">
        <v>3338</v>
      </c>
      <c r="L1421">
        <v>46288</v>
      </c>
      <c r="M1421">
        <v>97007</v>
      </c>
      <c r="N1421">
        <v>6</v>
      </c>
      <c r="O1421">
        <v>46293</v>
      </c>
      <c r="P1421">
        <v>43</v>
      </c>
    </row>
    <row r="1422" spans="1:16" x14ac:dyDescent="0.4">
      <c r="A1422">
        <v>1162</v>
      </c>
      <c r="B1422" t="s">
        <v>4915</v>
      </c>
      <c r="D1422" t="s">
        <v>4901</v>
      </c>
      <c r="E1422" t="s">
        <v>5148</v>
      </c>
      <c r="F1422" t="s">
        <v>4939</v>
      </c>
      <c r="G1422" t="s">
        <v>3342</v>
      </c>
      <c r="H1422" t="s">
        <v>3341</v>
      </c>
      <c r="I1422">
        <v>50</v>
      </c>
      <c r="K1422" t="s">
        <v>3343</v>
      </c>
      <c r="L1422">
        <v>46279</v>
      </c>
      <c r="M1422">
        <v>97007</v>
      </c>
      <c r="N1422">
        <v>24</v>
      </c>
      <c r="O1422">
        <v>46281</v>
      </c>
      <c r="P1422">
        <v>26</v>
      </c>
    </row>
    <row r="1423" spans="1:16" x14ac:dyDescent="0.4">
      <c r="A1423">
        <v>670</v>
      </c>
      <c r="B1423" t="s">
        <v>4915</v>
      </c>
      <c r="D1423" t="s">
        <v>4916</v>
      </c>
      <c r="G1423" t="s">
        <v>5000</v>
      </c>
      <c r="H1423">
        <v>0</v>
      </c>
      <c r="I1423">
        <v>63</v>
      </c>
      <c r="K1423" t="s">
        <v>3271</v>
      </c>
      <c r="L1423">
        <v>46275</v>
      </c>
      <c r="M1423">
        <v>97007</v>
      </c>
      <c r="N1423">
        <v>30</v>
      </c>
      <c r="O1423">
        <v>46275</v>
      </c>
      <c r="P1423">
        <v>33</v>
      </c>
    </row>
    <row r="1424" spans="1:16" x14ac:dyDescent="0.4">
      <c r="A1424">
        <v>692</v>
      </c>
      <c r="B1424" t="s">
        <v>4915</v>
      </c>
      <c r="D1424" t="s">
        <v>4916</v>
      </c>
      <c r="G1424" t="s">
        <v>3756</v>
      </c>
      <c r="H1424" t="s">
        <v>3755</v>
      </c>
      <c r="I1424">
        <v>64</v>
      </c>
      <c r="K1424" t="s">
        <v>5002</v>
      </c>
      <c r="L1424">
        <v>46275</v>
      </c>
      <c r="M1424">
        <v>97007</v>
      </c>
      <c r="N1424">
        <v>30</v>
      </c>
      <c r="O1424">
        <v>46275</v>
      </c>
      <c r="P1424">
        <v>34</v>
      </c>
    </row>
    <row r="1425" spans="1:16" x14ac:dyDescent="0.4">
      <c r="A1425">
        <v>668</v>
      </c>
      <c r="B1425" t="s">
        <v>4915</v>
      </c>
      <c r="D1425" t="s">
        <v>4916</v>
      </c>
      <c r="G1425" t="s">
        <v>3334</v>
      </c>
      <c r="H1425" t="s">
        <v>3333</v>
      </c>
      <c r="I1425">
        <v>79</v>
      </c>
      <c r="K1425" t="s">
        <v>3335</v>
      </c>
      <c r="L1425">
        <v>46275</v>
      </c>
      <c r="M1425">
        <v>97007</v>
      </c>
      <c r="N1425">
        <v>30</v>
      </c>
      <c r="O1425">
        <v>46275</v>
      </c>
      <c r="P1425">
        <v>49</v>
      </c>
    </row>
    <row r="1426" spans="1:16" x14ac:dyDescent="0.4">
      <c r="A1426">
        <v>682</v>
      </c>
      <c r="B1426" t="s">
        <v>4915</v>
      </c>
      <c r="D1426" t="s">
        <v>4916</v>
      </c>
      <c r="G1426" t="s">
        <v>3199</v>
      </c>
      <c r="H1426" t="s">
        <v>3198</v>
      </c>
      <c r="I1426">
        <v>81</v>
      </c>
      <c r="K1426" t="s">
        <v>3200</v>
      </c>
      <c r="L1426">
        <v>46275</v>
      </c>
      <c r="M1426">
        <v>97007</v>
      </c>
      <c r="N1426">
        <v>30</v>
      </c>
      <c r="O1426">
        <v>46275</v>
      </c>
      <c r="P1426">
        <v>51</v>
      </c>
    </row>
    <row r="1427" spans="1:16" x14ac:dyDescent="0.4">
      <c r="A1427">
        <v>681</v>
      </c>
      <c r="B1427" t="s">
        <v>4915</v>
      </c>
      <c r="D1427" t="s">
        <v>4916</v>
      </c>
      <c r="G1427" t="s">
        <v>3196</v>
      </c>
      <c r="H1427" t="s">
        <v>3195</v>
      </c>
      <c r="I1427">
        <v>83</v>
      </c>
      <c r="K1427" t="s">
        <v>3197</v>
      </c>
      <c r="L1427">
        <v>46275</v>
      </c>
      <c r="M1427">
        <v>97007</v>
      </c>
      <c r="N1427">
        <v>30</v>
      </c>
      <c r="O1427">
        <v>46275</v>
      </c>
      <c r="P1427">
        <v>53</v>
      </c>
    </row>
    <row r="1428" spans="1:16" x14ac:dyDescent="0.4">
      <c r="A1428">
        <v>673</v>
      </c>
      <c r="B1428" t="s">
        <v>4915</v>
      </c>
      <c r="D1428" t="s">
        <v>4916</v>
      </c>
      <c r="G1428" t="s">
        <v>3414</v>
      </c>
      <c r="H1428" t="s">
        <v>3413</v>
      </c>
      <c r="I1428">
        <v>84</v>
      </c>
      <c r="K1428" t="s">
        <v>3415</v>
      </c>
      <c r="L1428">
        <v>46275</v>
      </c>
      <c r="M1428">
        <v>97007</v>
      </c>
      <c r="N1428">
        <v>30</v>
      </c>
      <c r="O1428">
        <v>46275</v>
      </c>
      <c r="P1428">
        <v>54</v>
      </c>
    </row>
    <row r="1429" spans="1:16" x14ac:dyDescent="0.4">
      <c r="A1429">
        <v>674</v>
      </c>
      <c r="B1429" t="s">
        <v>4915</v>
      </c>
      <c r="D1429" t="s">
        <v>4916</v>
      </c>
      <c r="G1429" t="s">
        <v>3417</v>
      </c>
      <c r="H1429" t="s">
        <v>3416</v>
      </c>
      <c r="I1429">
        <v>84</v>
      </c>
      <c r="K1429" t="s">
        <v>3415</v>
      </c>
      <c r="L1429">
        <v>46275</v>
      </c>
      <c r="M1429">
        <v>97007</v>
      </c>
      <c r="N1429">
        <v>30</v>
      </c>
      <c r="O1429">
        <v>46275</v>
      </c>
      <c r="P1429">
        <v>54</v>
      </c>
    </row>
    <row r="1430" spans="1:16" x14ac:dyDescent="0.4">
      <c r="A1430">
        <v>669</v>
      </c>
      <c r="B1430" t="s">
        <v>4915</v>
      </c>
      <c r="D1430" t="s">
        <v>4916</v>
      </c>
      <c r="G1430" t="s">
        <v>3278</v>
      </c>
      <c r="H1430" t="s">
        <v>3277</v>
      </c>
      <c r="I1430">
        <v>86</v>
      </c>
      <c r="K1430" t="s">
        <v>3271</v>
      </c>
      <c r="L1430">
        <v>46275</v>
      </c>
      <c r="M1430">
        <v>97007</v>
      </c>
      <c r="N1430">
        <v>30</v>
      </c>
      <c r="O1430">
        <v>46275</v>
      </c>
      <c r="P1430">
        <v>56</v>
      </c>
    </row>
    <row r="1431" spans="1:16" x14ac:dyDescent="0.4">
      <c r="A1431">
        <v>693</v>
      </c>
      <c r="B1431" t="s">
        <v>4915</v>
      </c>
      <c r="D1431" t="s">
        <v>4916</v>
      </c>
      <c r="G1431" t="s">
        <v>3754</v>
      </c>
      <c r="H1431" t="s">
        <v>3753</v>
      </c>
      <c r="I1431">
        <v>86</v>
      </c>
      <c r="K1431" t="s">
        <v>5002</v>
      </c>
      <c r="L1431">
        <v>46275</v>
      </c>
      <c r="M1431">
        <v>97007</v>
      </c>
      <c r="N1431">
        <v>30</v>
      </c>
      <c r="O1431">
        <v>46275</v>
      </c>
      <c r="P1431">
        <v>56</v>
      </c>
    </row>
    <row r="1432" spans="1:16" x14ac:dyDescent="0.4">
      <c r="A1432">
        <v>1738</v>
      </c>
      <c r="B1432" t="s">
        <v>4915</v>
      </c>
      <c r="G1432" t="s">
        <v>3434</v>
      </c>
      <c r="H1432" t="s">
        <v>3433</v>
      </c>
      <c r="I1432">
        <v>90</v>
      </c>
      <c r="K1432" t="s">
        <v>2026</v>
      </c>
      <c r="L1432">
        <v>46288</v>
      </c>
      <c r="M1432">
        <v>97007</v>
      </c>
      <c r="N1432">
        <v>3</v>
      </c>
      <c r="O1432">
        <v>46293</v>
      </c>
      <c r="P1432">
        <v>87</v>
      </c>
    </row>
    <row r="1433" spans="1:16" x14ac:dyDescent="0.4">
      <c r="A1433">
        <v>680</v>
      </c>
      <c r="B1433" t="s">
        <v>4915</v>
      </c>
      <c r="D1433" t="s">
        <v>4916</v>
      </c>
      <c r="G1433" t="s">
        <v>3772</v>
      </c>
      <c r="H1433" t="s">
        <v>3771</v>
      </c>
      <c r="I1433">
        <v>95</v>
      </c>
      <c r="K1433" t="s">
        <v>3426</v>
      </c>
      <c r="L1433">
        <v>46275</v>
      </c>
      <c r="M1433">
        <v>97007</v>
      </c>
      <c r="N1433">
        <v>30</v>
      </c>
      <c r="O1433">
        <v>46275</v>
      </c>
      <c r="P1433">
        <v>65</v>
      </c>
    </row>
    <row r="1434" spans="1:16" x14ac:dyDescent="0.4">
      <c r="A1434">
        <v>679</v>
      </c>
      <c r="B1434" t="s">
        <v>4915</v>
      </c>
      <c r="D1434" t="s">
        <v>4916</v>
      </c>
      <c r="G1434" t="s">
        <v>3770</v>
      </c>
      <c r="H1434" t="s">
        <v>3769</v>
      </c>
      <c r="I1434">
        <v>96</v>
      </c>
      <c r="K1434" t="s">
        <v>3426</v>
      </c>
      <c r="L1434">
        <v>46275</v>
      </c>
      <c r="M1434">
        <v>97007</v>
      </c>
      <c r="N1434">
        <v>30</v>
      </c>
      <c r="O1434">
        <v>46275</v>
      </c>
      <c r="P1434">
        <v>66</v>
      </c>
    </row>
    <row r="1435" spans="1:16" x14ac:dyDescent="0.4">
      <c r="A1435">
        <v>678</v>
      </c>
      <c r="B1435" t="s">
        <v>4915</v>
      </c>
      <c r="D1435" t="s">
        <v>4916</v>
      </c>
      <c r="G1435" t="s">
        <v>3768</v>
      </c>
      <c r="H1435" t="s">
        <v>3767</v>
      </c>
      <c r="I1435">
        <v>105</v>
      </c>
      <c r="K1435" t="s">
        <v>3426</v>
      </c>
      <c r="L1435">
        <v>46275</v>
      </c>
      <c r="M1435">
        <v>97007</v>
      </c>
      <c r="N1435">
        <v>30</v>
      </c>
      <c r="O1435">
        <v>46275</v>
      </c>
      <c r="P1435">
        <v>75</v>
      </c>
    </row>
    <row r="1436" spans="1:16" x14ac:dyDescent="0.4">
      <c r="A1436">
        <v>691</v>
      </c>
      <c r="B1436" t="s">
        <v>4915</v>
      </c>
      <c r="D1436" t="s">
        <v>4916</v>
      </c>
      <c r="G1436" t="s">
        <v>3752</v>
      </c>
      <c r="H1436" t="s">
        <v>3751</v>
      </c>
      <c r="I1436">
        <v>109</v>
      </c>
      <c r="K1436" t="s">
        <v>5001</v>
      </c>
      <c r="L1436">
        <v>46275</v>
      </c>
      <c r="M1436">
        <v>97007</v>
      </c>
      <c r="N1436">
        <v>60</v>
      </c>
      <c r="O1436">
        <v>46275</v>
      </c>
      <c r="P1436">
        <v>49</v>
      </c>
    </row>
    <row r="1437" spans="1:16" x14ac:dyDescent="0.4">
      <c r="A1437">
        <v>677</v>
      </c>
      <c r="B1437" t="s">
        <v>4915</v>
      </c>
      <c r="D1437" t="s">
        <v>4916</v>
      </c>
      <c r="G1437" t="s">
        <v>3764</v>
      </c>
      <c r="H1437" t="s">
        <v>3763</v>
      </c>
      <c r="I1437">
        <v>131</v>
      </c>
      <c r="K1437" t="s">
        <v>3426</v>
      </c>
      <c r="L1437">
        <v>46275</v>
      </c>
      <c r="M1437">
        <v>97007</v>
      </c>
      <c r="N1437">
        <v>30</v>
      </c>
      <c r="O1437">
        <v>46275</v>
      </c>
      <c r="P1437">
        <v>101</v>
      </c>
    </row>
    <row r="1438" spans="1:16" x14ac:dyDescent="0.4">
      <c r="A1438">
        <v>696</v>
      </c>
      <c r="B1438" t="s">
        <v>4915</v>
      </c>
      <c r="D1438" t="s">
        <v>4916</v>
      </c>
      <c r="G1438" t="s">
        <v>2513</v>
      </c>
      <c r="H1438" t="s">
        <v>2512</v>
      </c>
      <c r="I1438">
        <v>142</v>
      </c>
      <c r="K1438" t="s">
        <v>4955</v>
      </c>
      <c r="L1438">
        <v>46275</v>
      </c>
      <c r="M1438">
        <v>97007</v>
      </c>
      <c r="N1438">
        <v>30</v>
      </c>
      <c r="O1438">
        <v>46275</v>
      </c>
      <c r="P1438">
        <v>112</v>
      </c>
    </row>
    <row r="1439" spans="1:16" x14ac:dyDescent="0.4">
      <c r="A1439">
        <v>688</v>
      </c>
      <c r="B1439" t="s">
        <v>4915</v>
      </c>
      <c r="D1439" t="s">
        <v>4916</v>
      </c>
      <c r="G1439" t="s">
        <v>3434</v>
      </c>
      <c r="H1439" t="s">
        <v>3433</v>
      </c>
      <c r="I1439">
        <v>147</v>
      </c>
      <c r="K1439" t="s">
        <v>2026</v>
      </c>
      <c r="L1439">
        <v>46275</v>
      </c>
      <c r="M1439">
        <v>97007</v>
      </c>
      <c r="N1439">
        <v>147</v>
      </c>
      <c r="O1439">
        <v>46275</v>
      </c>
      <c r="P1439">
        <v>0</v>
      </c>
    </row>
    <row r="1440" spans="1:16" x14ac:dyDescent="0.4">
      <c r="A1440">
        <v>687</v>
      </c>
      <c r="B1440" t="s">
        <v>4915</v>
      </c>
      <c r="D1440" t="s">
        <v>4916</v>
      </c>
      <c r="G1440" t="s">
        <v>3436</v>
      </c>
      <c r="H1440" t="s">
        <v>3435</v>
      </c>
      <c r="I1440">
        <v>175</v>
      </c>
      <c r="K1440" t="s">
        <v>2026</v>
      </c>
      <c r="L1440">
        <v>46275</v>
      </c>
      <c r="M1440">
        <v>97007</v>
      </c>
      <c r="N1440">
        <v>90</v>
      </c>
      <c r="O1440">
        <v>46275</v>
      </c>
      <c r="P1440">
        <v>85</v>
      </c>
    </row>
    <row r="1441" spans="1:16" x14ac:dyDescent="0.4">
      <c r="A1441">
        <v>554</v>
      </c>
      <c r="B1441" t="s">
        <v>4915</v>
      </c>
      <c r="D1441" t="s">
        <v>4916</v>
      </c>
      <c r="G1441" t="s">
        <v>2457</v>
      </c>
      <c r="H1441" t="s">
        <v>2456</v>
      </c>
      <c r="I1441">
        <v>190</v>
      </c>
      <c r="K1441" t="s">
        <v>4954</v>
      </c>
      <c r="L1441">
        <v>46273</v>
      </c>
      <c r="M1441">
        <v>97007</v>
      </c>
      <c r="N1441">
        <v>30</v>
      </c>
      <c r="O1441">
        <v>46275</v>
      </c>
      <c r="P1441">
        <v>160</v>
      </c>
    </row>
    <row r="1442" spans="1:16" x14ac:dyDescent="0.4">
      <c r="A1442">
        <v>689</v>
      </c>
      <c r="B1442" t="s">
        <v>4915</v>
      </c>
      <c r="D1442" t="s">
        <v>4916</v>
      </c>
      <c r="G1442" t="s">
        <v>3444</v>
      </c>
      <c r="H1442" t="s">
        <v>3443</v>
      </c>
      <c r="I1442">
        <v>248</v>
      </c>
      <c r="K1442" t="s">
        <v>3239</v>
      </c>
      <c r="L1442">
        <v>46275</v>
      </c>
      <c r="M1442">
        <v>97007</v>
      </c>
      <c r="N1442">
        <v>30</v>
      </c>
      <c r="O1442">
        <v>46275</v>
      </c>
      <c r="P1442">
        <v>218</v>
      </c>
    </row>
    <row r="1443" spans="1:16" x14ac:dyDescent="0.4">
      <c r="A1443">
        <v>690</v>
      </c>
      <c r="B1443" t="s">
        <v>4915</v>
      </c>
      <c r="D1443" t="s">
        <v>4916</v>
      </c>
      <c r="G1443" t="s">
        <v>3446</v>
      </c>
      <c r="H1443" t="s">
        <v>3445</v>
      </c>
      <c r="I1443">
        <v>248</v>
      </c>
      <c r="K1443" t="s">
        <v>3239</v>
      </c>
      <c r="L1443">
        <v>46275</v>
      </c>
      <c r="M1443">
        <v>97007</v>
      </c>
      <c r="N1443">
        <v>30</v>
      </c>
      <c r="O1443">
        <v>46275</v>
      </c>
      <c r="P1443">
        <v>218</v>
      </c>
    </row>
    <row r="1444" spans="1:16" x14ac:dyDescent="0.4">
      <c r="A1444">
        <v>683</v>
      </c>
      <c r="B1444" t="s">
        <v>4915</v>
      </c>
      <c r="D1444" t="s">
        <v>4916</v>
      </c>
      <c r="G1444" t="s">
        <v>2561</v>
      </c>
      <c r="H1444" t="s">
        <v>2560</v>
      </c>
      <c r="I1444">
        <v>296</v>
      </c>
      <c r="K1444" t="s">
        <v>2564</v>
      </c>
      <c r="L1444">
        <v>46275</v>
      </c>
      <c r="M1444">
        <v>97007</v>
      </c>
      <c r="N1444">
        <v>30</v>
      </c>
      <c r="O1444">
        <v>46275</v>
      </c>
      <c r="P1444">
        <v>266</v>
      </c>
    </row>
    <row r="1445" spans="1:16" x14ac:dyDescent="0.4">
      <c r="A1445">
        <v>694</v>
      </c>
      <c r="B1445" t="s">
        <v>4915</v>
      </c>
      <c r="D1445" t="s">
        <v>4916</v>
      </c>
      <c r="G1445" t="s">
        <v>3760</v>
      </c>
      <c r="H1445" t="s">
        <v>3759</v>
      </c>
      <c r="I1445">
        <v>300</v>
      </c>
      <c r="K1445" t="s">
        <v>5002</v>
      </c>
      <c r="L1445">
        <v>46275</v>
      </c>
      <c r="M1445">
        <v>97007</v>
      </c>
      <c r="N1445">
        <v>30</v>
      </c>
      <c r="O1445">
        <v>46275</v>
      </c>
      <c r="P1445">
        <v>270</v>
      </c>
    </row>
    <row r="1446" spans="1:16" x14ac:dyDescent="0.4">
      <c r="A1446">
        <v>695</v>
      </c>
      <c r="B1446" t="s">
        <v>4915</v>
      </c>
      <c r="D1446" t="s">
        <v>4916</v>
      </c>
      <c r="G1446" t="s">
        <v>3758</v>
      </c>
      <c r="H1446" t="s">
        <v>3757</v>
      </c>
      <c r="I1446">
        <v>305</v>
      </c>
      <c r="K1446" t="s">
        <v>5002</v>
      </c>
      <c r="L1446">
        <v>46275</v>
      </c>
      <c r="M1446">
        <v>97007</v>
      </c>
      <c r="N1446">
        <v>30</v>
      </c>
      <c r="O1446">
        <v>46275</v>
      </c>
      <c r="P1446">
        <v>275</v>
      </c>
    </row>
    <row r="1447" spans="1:16" x14ac:dyDescent="0.4">
      <c r="A1447">
        <v>685</v>
      </c>
      <c r="B1447" t="s">
        <v>4915</v>
      </c>
      <c r="D1447" t="s">
        <v>4916</v>
      </c>
      <c r="G1447" t="s">
        <v>3432</v>
      </c>
      <c r="H1447" t="s">
        <v>3431</v>
      </c>
      <c r="I1447">
        <v>336</v>
      </c>
      <c r="K1447" t="s">
        <v>2026</v>
      </c>
      <c r="L1447">
        <v>46275</v>
      </c>
      <c r="M1447">
        <v>97007</v>
      </c>
      <c r="N1447">
        <v>30</v>
      </c>
      <c r="O1447">
        <v>46275</v>
      </c>
      <c r="P1447">
        <v>306</v>
      </c>
    </row>
    <row r="1448" spans="1:16" x14ac:dyDescent="0.4">
      <c r="A1448">
        <v>684</v>
      </c>
      <c r="B1448" t="s">
        <v>4915</v>
      </c>
      <c r="D1448" t="s">
        <v>4916</v>
      </c>
      <c r="G1448" t="s">
        <v>2563</v>
      </c>
      <c r="H1448" t="s">
        <v>2562</v>
      </c>
      <c r="I1448">
        <v>579</v>
      </c>
      <c r="K1448" t="s">
        <v>2564</v>
      </c>
      <c r="L1448">
        <v>46275</v>
      </c>
      <c r="M1448">
        <v>97007</v>
      </c>
      <c r="N1448">
        <v>150</v>
      </c>
      <c r="O1448">
        <v>46275</v>
      </c>
      <c r="P1448">
        <v>429</v>
      </c>
    </row>
    <row r="1449" spans="1:16" x14ac:dyDescent="0.4">
      <c r="A1449">
        <v>561</v>
      </c>
      <c r="B1449" t="s">
        <v>4915</v>
      </c>
      <c r="D1449" t="s">
        <v>4916</v>
      </c>
      <c r="G1449" t="s">
        <v>2555</v>
      </c>
      <c r="H1449" t="s">
        <v>2554</v>
      </c>
      <c r="I1449">
        <v>767</v>
      </c>
      <c r="K1449" t="s">
        <v>4871</v>
      </c>
      <c r="L1449">
        <v>46273</v>
      </c>
      <c r="M1449">
        <v>97007</v>
      </c>
      <c r="N1449">
        <v>30</v>
      </c>
      <c r="O1449">
        <v>46275</v>
      </c>
      <c r="P1449">
        <v>737</v>
      </c>
    </row>
    <row r="1450" spans="1:16" x14ac:dyDescent="0.4">
      <c r="A1450">
        <v>1348</v>
      </c>
      <c r="B1450" t="s">
        <v>4915</v>
      </c>
      <c r="G1450" t="s">
        <v>2923</v>
      </c>
      <c r="H1450" t="s">
        <v>2922</v>
      </c>
      <c r="I1450">
        <v>21</v>
      </c>
      <c r="K1450" t="s">
        <v>2924</v>
      </c>
      <c r="L1450">
        <v>46287</v>
      </c>
      <c r="M1450">
        <v>97307</v>
      </c>
      <c r="N1450">
        <v>21</v>
      </c>
      <c r="O1450">
        <v>46301</v>
      </c>
      <c r="P1450">
        <v>0</v>
      </c>
    </row>
    <row r="1451" spans="1:16" x14ac:dyDescent="0.4">
      <c r="A1451">
        <v>1347</v>
      </c>
      <c r="B1451" t="s">
        <v>4915</v>
      </c>
      <c r="D1451" t="s">
        <v>4901</v>
      </c>
      <c r="E1451" t="s">
        <v>5160</v>
      </c>
      <c r="F1451" t="s">
        <v>5147</v>
      </c>
      <c r="G1451" t="s">
        <v>2923</v>
      </c>
      <c r="H1451" t="s">
        <v>2922</v>
      </c>
      <c r="I1451">
        <v>40</v>
      </c>
      <c r="K1451" t="s">
        <v>2924</v>
      </c>
      <c r="L1451">
        <v>46283</v>
      </c>
      <c r="M1451">
        <v>97307</v>
      </c>
      <c r="N1451">
        <v>40</v>
      </c>
      <c r="O1451">
        <v>46301</v>
      </c>
      <c r="P1451">
        <v>0</v>
      </c>
    </row>
    <row r="1452" spans="1:16" x14ac:dyDescent="0.4">
      <c r="A1452">
        <v>708</v>
      </c>
      <c r="B1452" t="s">
        <v>4915</v>
      </c>
      <c r="D1452" t="s">
        <v>4916</v>
      </c>
      <c r="G1452" t="s">
        <v>3207</v>
      </c>
      <c r="H1452" t="s">
        <v>3206</v>
      </c>
      <c r="I1452">
        <v>30</v>
      </c>
      <c r="K1452" t="s">
        <v>5005</v>
      </c>
      <c r="L1452">
        <v>46275</v>
      </c>
      <c r="M1452">
        <v>97309</v>
      </c>
      <c r="N1452">
        <v>30</v>
      </c>
      <c r="O1452">
        <v>46276</v>
      </c>
      <c r="P1452">
        <v>0</v>
      </c>
    </row>
    <row r="1453" spans="1:16" x14ac:dyDescent="0.4">
      <c r="A1453">
        <v>710</v>
      </c>
      <c r="B1453" t="s">
        <v>4915</v>
      </c>
      <c r="D1453" t="s">
        <v>4916</v>
      </c>
      <c r="G1453" t="s">
        <v>3459</v>
      </c>
      <c r="H1453" t="s">
        <v>3458</v>
      </c>
      <c r="I1453">
        <v>49</v>
      </c>
      <c r="K1453" t="s">
        <v>5050</v>
      </c>
      <c r="L1453">
        <v>46275</v>
      </c>
      <c r="M1453">
        <v>97309</v>
      </c>
      <c r="N1453">
        <v>30</v>
      </c>
      <c r="O1453">
        <v>46276</v>
      </c>
      <c r="P1453">
        <v>19</v>
      </c>
    </row>
    <row r="1454" spans="1:16" x14ac:dyDescent="0.4">
      <c r="A1454">
        <v>709</v>
      </c>
      <c r="B1454" t="s">
        <v>4915</v>
      </c>
      <c r="D1454" t="s">
        <v>4916</v>
      </c>
      <c r="G1454" t="s">
        <v>3457</v>
      </c>
      <c r="H1454" t="s">
        <v>3456</v>
      </c>
      <c r="I1454">
        <v>57</v>
      </c>
      <c r="K1454" t="s">
        <v>5005</v>
      </c>
      <c r="L1454">
        <v>46275</v>
      </c>
      <c r="M1454">
        <v>97309</v>
      </c>
      <c r="N1454">
        <v>30</v>
      </c>
      <c r="O1454">
        <v>46276</v>
      </c>
      <c r="P1454">
        <v>27</v>
      </c>
    </row>
    <row r="1455" spans="1:16" x14ac:dyDescent="0.4">
      <c r="A1455">
        <v>724</v>
      </c>
      <c r="B1455" t="s">
        <v>4915</v>
      </c>
      <c r="D1455" t="s">
        <v>4916</v>
      </c>
      <c r="G1455" t="s">
        <v>5013</v>
      </c>
      <c r="H1455" t="s">
        <v>5014</v>
      </c>
      <c r="I1455">
        <v>12</v>
      </c>
      <c r="K1455" t="s">
        <v>5015</v>
      </c>
      <c r="L1455">
        <v>46275</v>
      </c>
      <c r="M1455">
        <v>97310</v>
      </c>
      <c r="N1455">
        <v>12</v>
      </c>
      <c r="O1455">
        <v>46276</v>
      </c>
      <c r="P1455">
        <v>0</v>
      </c>
    </row>
    <row r="1456" spans="1:16" x14ac:dyDescent="0.4">
      <c r="A1456">
        <v>727</v>
      </c>
      <c r="B1456" t="s">
        <v>4915</v>
      </c>
      <c r="D1456" t="s">
        <v>4916</v>
      </c>
      <c r="G1456" t="s">
        <v>3213</v>
      </c>
      <c r="H1456" t="s">
        <v>3212</v>
      </c>
      <c r="I1456">
        <v>16</v>
      </c>
      <c r="K1456" t="s">
        <v>5021</v>
      </c>
      <c r="L1456">
        <v>46275</v>
      </c>
      <c r="M1456">
        <v>97310</v>
      </c>
      <c r="N1456">
        <v>16</v>
      </c>
      <c r="O1456">
        <v>46276</v>
      </c>
      <c r="P1456">
        <v>0</v>
      </c>
    </row>
    <row r="1457" spans="1:16" x14ac:dyDescent="0.4">
      <c r="A1457">
        <v>725</v>
      </c>
      <c r="B1457" t="s">
        <v>4915</v>
      </c>
      <c r="D1457" t="s">
        <v>4916</v>
      </c>
      <c r="G1457" t="s">
        <v>5016</v>
      </c>
      <c r="H1457" t="s">
        <v>5017</v>
      </c>
      <c r="I1457">
        <v>17</v>
      </c>
      <c r="K1457" t="s">
        <v>5018</v>
      </c>
      <c r="L1457">
        <v>46275</v>
      </c>
      <c r="M1457">
        <v>97310</v>
      </c>
      <c r="N1457">
        <v>17</v>
      </c>
      <c r="O1457">
        <v>46276</v>
      </c>
      <c r="P1457">
        <v>0</v>
      </c>
    </row>
    <row r="1458" spans="1:16" x14ac:dyDescent="0.4">
      <c r="A1458">
        <v>723</v>
      </c>
      <c r="B1458" t="s">
        <v>4915</v>
      </c>
      <c r="D1458" t="s">
        <v>4916</v>
      </c>
      <c r="G1458" t="s">
        <v>5011</v>
      </c>
      <c r="H1458" t="s">
        <v>5012</v>
      </c>
      <c r="I1458">
        <v>24</v>
      </c>
      <c r="K1458" t="s">
        <v>5008</v>
      </c>
      <c r="L1458">
        <v>46275</v>
      </c>
      <c r="M1458">
        <v>97310</v>
      </c>
      <c r="N1458">
        <v>24</v>
      </c>
      <c r="O1458">
        <v>46276</v>
      </c>
      <c r="P1458">
        <v>0</v>
      </c>
    </row>
    <row r="1459" spans="1:16" x14ac:dyDescent="0.4">
      <c r="A1459">
        <v>722</v>
      </c>
      <c r="B1459" t="s">
        <v>4915</v>
      </c>
      <c r="D1459" t="s">
        <v>4916</v>
      </c>
      <c r="G1459" t="s">
        <v>5009</v>
      </c>
      <c r="H1459" t="s">
        <v>5010</v>
      </c>
      <c r="I1459">
        <v>28</v>
      </c>
      <c r="K1459" t="s">
        <v>5008</v>
      </c>
      <c r="L1459">
        <v>46275</v>
      </c>
      <c r="M1459">
        <v>97310</v>
      </c>
      <c r="N1459">
        <v>28</v>
      </c>
      <c r="O1459">
        <v>46276</v>
      </c>
      <c r="P1459">
        <v>0</v>
      </c>
    </row>
    <row r="1460" spans="1:16" x14ac:dyDescent="0.4">
      <c r="A1460">
        <v>2008</v>
      </c>
      <c r="B1460" t="s">
        <v>4915</v>
      </c>
      <c r="D1460" t="s">
        <v>4901</v>
      </c>
      <c r="E1460" t="s">
        <v>5161</v>
      </c>
      <c r="F1460" t="s">
        <v>5147</v>
      </c>
      <c r="G1460" t="s">
        <v>5016</v>
      </c>
      <c r="H1460" t="s">
        <v>5017</v>
      </c>
      <c r="I1460">
        <v>30</v>
      </c>
      <c r="K1460" t="s">
        <v>5018</v>
      </c>
      <c r="L1460">
        <v>46293</v>
      </c>
      <c r="M1460">
        <v>97310</v>
      </c>
      <c r="N1460">
        <v>10</v>
      </c>
      <c r="O1460">
        <v>46293</v>
      </c>
      <c r="P1460">
        <v>20</v>
      </c>
    </row>
    <row r="1461" spans="1:16" x14ac:dyDescent="0.4">
      <c r="A1461">
        <v>721</v>
      </c>
      <c r="B1461" t="s">
        <v>4915</v>
      </c>
      <c r="D1461" t="s">
        <v>4916</v>
      </c>
      <c r="G1461" t="s">
        <v>5006</v>
      </c>
      <c r="H1461" t="s">
        <v>5007</v>
      </c>
      <c r="I1461">
        <v>45</v>
      </c>
      <c r="K1461" t="s">
        <v>5008</v>
      </c>
      <c r="L1461">
        <v>46275</v>
      </c>
      <c r="M1461">
        <v>97310</v>
      </c>
      <c r="N1461">
        <v>30</v>
      </c>
      <c r="O1461">
        <v>46276</v>
      </c>
      <c r="P1461">
        <v>15</v>
      </c>
    </row>
    <row r="1462" spans="1:16" x14ac:dyDescent="0.4">
      <c r="A1462">
        <v>717</v>
      </c>
      <c r="B1462" t="s">
        <v>4915</v>
      </c>
      <c r="D1462" t="s">
        <v>4916</v>
      </c>
      <c r="G1462" t="s">
        <v>3273</v>
      </c>
      <c r="H1462" t="s">
        <v>3272</v>
      </c>
      <c r="I1462">
        <v>58</v>
      </c>
      <c r="K1462" t="s">
        <v>3271</v>
      </c>
      <c r="L1462">
        <v>46275</v>
      </c>
      <c r="M1462">
        <v>97310</v>
      </c>
      <c r="N1462">
        <v>30</v>
      </c>
      <c r="O1462">
        <v>46276</v>
      </c>
      <c r="P1462">
        <v>28</v>
      </c>
    </row>
    <row r="1463" spans="1:16" x14ac:dyDescent="0.4">
      <c r="A1463">
        <v>715</v>
      </c>
      <c r="B1463" t="s">
        <v>4915</v>
      </c>
      <c r="D1463" t="s">
        <v>4916</v>
      </c>
      <c r="G1463" t="s">
        <v>3419</v>
      </c>
      <c r="H1463" t="s">
        <v>3418</v>
      </c>
      <c r="I1463">
        <v>60</v>
      </c>
      <c r="K1463" t="s">
        <v>3420</v>
      </c>
      <c r="L1463">
        <v>46275</v>
      </c>
      <c r="M1463">
        <v>97310</v>
      </c>
      <c r="N1463">
        <v>30</v>
      </c>
      <c r="O1463">
        <v>46276</v>
      </c>
      <c r="P1463">
        <v>30</v>
      </c>
    </row>
    <row r="1464" spans="1:16" x14ac:dyDescent="0.4">
      <c r="A1464">
        <v>716</v>
      </c>
      <c r="B1464" t="s">
        <v>4915</v>
      </c>
      <c r="D1464" t="s">
        <v>4916</v>
      </c>
      <c r="G1464" t="s">
        <v>3270</v>
      </c>
      <c r="H1464" t="s">
        <v>3269</v>
      </c>
      <c r="I1464">
        <v>61</v>
      </c>
      <c r="K1464" t="s">
        <v>3271</v>
      </c>
      <c r="L1464">
        <v>46275</v>
      </c>
      <c r="M1464">
        <v>97310</v>
      </c>
      <c r="N1464">
        <v>30</v>
      </c>
      <c r="O1464">
        <v>46276</v>
      </c>
      <c r="P1464">
        <v>31</v>
      </c>
    </row>
    <row r="1465" spans="1:16" x14ac:dyDescent="0.4">
      <c r="A1465">
        <v>718</v>
      </c>
      <c r="B1465" t="s">
        <v>4915</v>
      </c>
      <c r="D1465" t="s">
        <v>4916</v>
      </c>
      <c r="G1465" t="s">
        <v>3275</v>
      </c>
      <c r="H1465" t="s">
        <v>3274</v>
      </c>
      <c r="I1465">
        <v>74</v>
      </c>
      <c r="K1465" t="s">
        <v>3276</v>
      </c>
      <c r="L1465">
        <v>46275</v>
      </c>
      <c r="M1465">
        <v>97310</v>
      </c>
      <c r="N1465">
        <v>30</v>
      </c>
      <c r="O1465">
        <v>46276</v>
      </c>
      <c r="P1465">
        <v>44</v>
      </c>
    </row>
    <row r="1466" spans="1:16" x14ac:dyDescent="0.4">
      <c r="A1466">
        <v>1367</v>
      </c>
      <c r="B1466" t="s">
        <v>4915</v>
      </c>
      <c r="G1466" t="s">
        <v>3213</v>
      </c>
      <c r="H1466" t="s">
        <v>3212</v>
      </c>
      <c r="I1466">
        <v>80</v>
      </c>
      <c r="K1466" t="s">
        <v>5021</v>
      </c>
      <c r="L1466">
        <v>46287</v>
      </c>
      <c r="M1466">
        <v>97310</v>
      </c>
      <c r="N1466">
        <v>14</v>
      </c>
      <c r="O1466">
        <v>46283</v>
      </c>
      <c r="P1466">
        <v>66</v>
      </c>
    </row>
    <row r="1467" spans="1:16" x14ac:dyDescent="0.4">
      <c r="A1467">
        <v>719</v>
      </c>
      <c r="B1467" t="s">
        <v>4915</v>
      </c>
      <c r="D1467" t="s">
        <v>4916</v>
      </c>
      <c r="G1467" t="s">
        <v>3425</v>
      </c>
      <c r="H1467" t="s">
        <v>3424</v>
      </c>
      <c r="I1467">
        <v>97</v>
      </c>
      <c r="K1467" t="s">
        <v>3426</v>
      </c>
      <c r="L1467">
        <v>46275</v>
      </c>
      <c r="M1467">
        <v>97310</v>
      </c>
      <c r="N1467">
        <v>30</v>
      </c>
      <c r="O1467">
        <v>46276</v>
      </c>
      <c r="P1467">
        <v>67</v>
      </c>
    </row>
    <row r="1468" spans="1:16" x14ac:dyDescent="0.4">
      <c r="A1468">
        <v>2517</v>
      </c>
      <c r="B1468" t="s">
        <v>4915</v>
      </c>
      <c r="D1468" t="s">
        <v>4901</v>
      </c>
      <c r="E1468" t="s">
        <v>5161</v>
      </c>
      <c r="F1468" t="s">
        <v>5147</v>
      </c>
      <c r="G1468" t="s">
        <v>5016</v>
      </c>
      <c r="H1468" t="s">
        <v>5017</v>
      </c>
      <c r="I1468">
        <v>100</v>
      </c>
      <c r="K1468" t="s">
        <v>5018</v>
      </c>
      <c r="L1468">
        <v>46303</v>
      </c>
      <c r="M1468">
        <v>97310</v>
      </c>
      <c r="N1468">
        <v>3</v>
      </c>
      <c r="O1468">
        <v>46307</v>
      </c>
      <c r="P1468">
        <v>97</v>
      </c>
    </row>
    <row r="1469" spans="1:16" x14ac:dyDescent="0.4">
      <c r="A1469">
        <v>720</v>
      </c>
      <c r="B1469" t="s">
        <v>4915</v>
      </c>
      <c r="D1469" t="s">
        <v>4916</v>
      </c>
      <c r="G1469" t="s">
        <v>3452</v>
      </c>
      <c r="H1469" t="s">
        <v>3451</v>
      </c>
      <c r="I1469">
        <v>110</v>
      </c>
      <c r="K1469" t="s">
        <v>3239</v>
      </c>
      <c r="L1469">
        <v>46275</v>
      </c>
      <c r="M1469">
        <v>97310</v>
      </c>
      <c r="N1469">
        <v>30</v>
      </c>
      <c r="O1469">
        <v>46276</v>
      </c>
      <c r="P1469">
        <v>80</v>
      </c>
    </row>
    <row r="1470" spans="1:16" x14ac:dyDescent="0.4">
      <c r="A1470">
        <v>2282</v>
      </c>
      <c r="B1470" t="s">
        <v>4915</v>
      </c>
      <c r="G1470" t="s">
        <v>5013</v>
      </c>
      <c r="H1470" t="s">
        <v>5014</v>
      </c>
      <c r="I1470">
        <v>144</v>
      </c>
      <c r="K1470" t="s">
        <v>5015</v>
      </c>
      <c r="L1470">
        <v>46303</v>
      </c>
      <c r="M1470">
        <v>97310</v>
      </c>
      <c r="N1470">
        <v>18</v>
      </c>
      <c r="O1470">
        <v>46303</v>
      </c>
      <c r="P1470">
        <v>126</v>
      </c>
    </row>
    <row r="1471" spans="1:16" x14ac:dyDescent="0.4">
      <c r="A1471">
        <v>726</v>
      </c>
      <c r="B1471" t="s">
        <v>4915</v>
      </c>
      <c r="D1471" t="s">
        <v>4916</v>
      </c>
      <c r="G1471" t="s">
        <v>5019</v>
      </c>
      <c r="H1471" t="s">
        <v>3633</v>
      </c>
      <c r="I1471">
        <v>179</v>
      </c>
      <c r="K1471" t="s">
        <v>5020</v>
      </c>
      <c r="L1471">
        <v>46275</v>
      </c>
      <c r="M1471">
        <v>97310</v>
      </c>
      <c r="N1471">
        <v>60</v>
      </c>
      <c r="O1471">
        <v>46276</v>
      </c>
      <c r="P1471">
        <v>119</v>
      </c>
    </row>
    <row r="1472" spans="1:16" x14ac:dyDescent="0.4">
      <c r="A1472">
        <v>728</v>
      </c>
      <c r="B1472" t="s">
        <v>4915</v>
      </c>
      <c r="G1472" t="s">
        <v>385</v>
      </c>
      <c r="H1472" t="s">
        <v>384</v>
      </c>
      <c r="I1472">
        <v>356</v>
      </c>
      <c r="K1472" t="s">
        <v>4944</v>
      </c>
      <c r="L1472">
        <v>46275</v>
      </c>
      <c r="M1472">
        <v>97310</v>
      </c>
      <c r="N1472">
        <v>30</v>
      </c>
      <c r="O1472">
        <v>46276</v>
      </c>
      <c r="P1472">
        <v>326</v>
      </c>
    </row>
    <row r="1473" spans="1:16" x14ac:dyDescent="0.4">
      <c r="A1473">
        <v>581</v>
      </c>
      <c r="B1473" t="s">
        <v>4915</v>
      </c>
      <c r="D1473" t="s">
        <v>4916</v>
      </c>
      <c r="G1473" t="s">
        <v>1001</v>
      </c>
      <c r="H1473" t="s">
        <v>1000</v>
      </c>
      <c r="I1473">
        <v>357</v>
      </c>
      <c r="K1473" t="s">
        <v>4851</v>
      </c>
      <c r="L1473">
        <v>46273</v>
      </c>
      <c r="M1473">
        <v>97314</v>
      </c>
      <c r="N1473">
        <v>1</v>
      </c>
      <c r="O1473">
        <v>46274</v>
      </c>
      <c r="P1473">
        <v>356</v>
      </c>
    </row>
    <row r="1474" spans="1:16" x14ac:dyDescent="0.4">
      <c r="A1474">
        <v>549</v>
      </c>
      <c r="B1474" t="s">
        <v>4915</v>
      </c>
      <c r="D1474" t="s">
        <v>4916</v>
      </c>
      <c r="G1474" t="s">
        <v>999</v>
      </c>
      <c r="H1474" t="s">
        <v>998</v>
      </c>
      <c r="I1474">
        <v>810</v>
      </c>
      <c r="K1474" t="s">
        <v>4851</v>
      </c>
      <c r="L1474">
        <v>46273</v>
      </c>
      <c r="M1474">
        <v>97314</v>
      </c>
      <c r="N1474">
        <v>1</v>
      </c>
      <c r="O1474">
        <v>46274</v>
      </c>
      <c r="P1474">
        <v>809</v>
      </c>
    </row>
    <row r="1475" spans="1:16" x14ac:dyDescent="0.4">
      <c r="A1475">
        <v>589</v>
      </c>
      <c r="B1475" t="s">
        <v>4915</v>
      </c>
      <c r="D1475" t="s">
        <v>4916</v>
      </c>
      <c r="G1475" t="s">
        <v>1135</v>
      </c>
      <c r="H1475" t="s">
        <v>1134</v>
      </c>
      <c r="I1475">
        <v>1</v>
      </c>
      <c r="K1475" t="s">
        <v>5034</v>
      </c>
      <c r="L1475">
        <v>46273</v>
      </c>
      <c r="M1475">
        <v>97320</v>
      </c>
      <c r="N1475">
        <v>1</v>
      </c>
      <c r="O1475">
        <v>46279</v>
      </c>
      <c r="P1475">
        <v>0</v>
      </c>
    </row>
    <row r="1476" spans="1:16" x14ac:dyDescent="0.4">
      <c r="A1476">
        <v>1579</v>
      </c>
      <c r="B1476" t="s">
        <v>4915</v>
      </c>
      <c r="G1476" t="s">
        <v>1186</v>
      </c>
      <c r="H1476" t="s">
        <v>1185</v>
      </c>
      <c r="I1476">
        <v>1</v>
      </c>
      <c r="K1476" t="s">
        <v>4970</v>
      </c>
      <c r="L1476">
        <v>46282</v>
      </c>
      <c r="M1476">
        <v>97320</v>
      </c>
      <c r="N1476">
        <v>1</v>
      </c>
      <c r="O1476">
        <v>46279</v>
      </c>
      <c r="P1476">
        <v>0</v>
      </c>
    </row>
    <row r="1477" spans="1:16" x14ac:dyDescent="0.4">
      <c r="A1477">
        <v>1689</v>
      </c>
      <c r="B1477" t="s">
        <v>4915</v>
      </c>
      <c r="D1477" t="s">
        <v>4928</v>
      </c>
      <c r="G1477" t="s">
        <v>1205</v>
      </c>
      <c r="H1477" t="s">
        <v>1204</v>
      </c>
      <c r="I1477">
        <v>10</v>
      </c>
      <c r="K1477" t="s">
        <v>4953</v>
      </c>
      <c r="L1477">
        <v>46273</v>
      </c>
      <c r="M1477">
        <v>97320</v>
      </c>
      <c r="N1477">
        <v>10</v>
      </c>
      <c r="O1477">
        <v>46279</v>
      </c>
      <c r="P1477">
        <v>0</v>
      </c>
    </row>
    <row r="1478" spans="1:16" x14ac:dyDescent="0.4">
      <c r="A1478">
        <v>1576</v>
      </c>
      <c r="B1478" t="s">
        <v>4915</v>
      </c>
      <c r="G1478" t="s">
        <v>1205</v>
      </c>
      <c r="H1478" t="s">
        <v>1204</v>
      </c>
      <c r="I1478">
        <v>30</v>
      </c>
      <c r="K1478" t="s">
        <v>4953</v>
      </c>
      <c r="L1478">
        <v>46282</v>
      </c>
      <c r="M1478">
        <v>97320</v>
      </c>
      <c r="N1478">
        <v>30</v>
      </c>
      <c r="O1478">
        <v>46279</v>
      </c>
      <c r="P1478">
        <v>0</v>
      </c>
    </row>
    <row r="1479" spans="1:16" x14ac:dyDescent="0.4">
      <c r="A1479">
        <v>1688</v>
      </c>
      <c r="B1479" t="s">
        <v>4915</v>
      </c>
      <c r="D1479" t="s">
        <v>4928</v>
      </c>
      <c r="G1479" t="s">
        <v>1186</v>
      </c>
      <c r="H1479" t="s">
        <v>1185</v>
      </c>
      <c r="I1479">
        <v>39</v>
      </c>
      <c r="K1479" t="s">
        <v>4970</v>
      </c>
      <c r="L1479">
        <v>46279</v>
      </c>
      <c r="M1479">
        <v>97320</v>
      </c>
      <c r="N1479">
        <v>39</v>
      </c>
      <c r="O1479">
        <v>46279</v>
      </c>
      <c r="P1479">
        <v>0</v>
      </c>
    </row>
    <row r="1480" spans="1:16" x14ac:dyDescent="0.4">
      <c r="A1480">
        <v>591</v>
      </c>
      <c r="B1480" t="s">
        <v>4915</v>
      </c>
      <c r="D1480" t="s">
        <v>4916</v>
      </c>
      <c r="G1480" t="s">
        <v>1119</v>
      </c>
      <c r="H1480" t="s">
        <v>1118</v>
      </c>
      <c r="I1480">
        <v>68</v>
      </c>
      <c r="K1480" t="s">
        <v>4958</v>
      </c>
      <c r="L1480">
        <v>46273</v>
      </c>
      <c r="M1480">
        <v>97320</v>
      </c>
      <c r="N1480">
        <v>20</v>
      </c>
      <c r="O1480">
        <v>46279</v>
      </c>
      <c r="P1480">
        <v>48</v>
      </c>
    </row>
    <row r="1481" spans="1:16" x14ac:dyDescent="0.4">
      <c r="A1481">
        <v>584</v>
      </c>
      <c r="B1481" t="s">
        <v>4915</v>
      </c>
      <c r="D1481" t="s">
        <v>4916</v>
      </c>
      <c r="G1481" t="s">
        <v>5031</v>
      </c>
      <c r="H1481">
        <v>0</v>
      </c>
      <c r="I1481">
        <v>76</v>
      </c>
      <c r="K1481" t="s">
        <v>5032</v>
      </c>
      <c r="L1481">
        <v>46273</v>
      </c>
      <c r="M1481">
        <v>97320</v>
      </c>
      <c r="N1481">
        <v>20</v>
      </c>
      <c r="O1481">
        <v>46279</v>
      </c>
      <c r="P1481">
        <v>56</v>
      </c>
    </row>
    <row r="1482" spans="1:16" x14ac:dyDescent="0.4">
      <c r="A1482">
        <v>1578</v>
      </c>
      <c r="B1482" t="s">
        <v>4915</v>
      </c>
      <c r="G1482" t="s">
        <v>2641</v>
      </c>
      <c r="H1482" t="s">
        <v>2640</v>
      </c>
      <c r="I1482">
        <v>76</v>
      </c>
      <c r="K1482" t="s">
        <v>4869</v>
      </c>
      <c r="L1482">
        <v>46282</v>
      </c>
      <c r="M1482">
        <v>97320</v>
      </c>
      <c r="N1482">
        <v>20</v>
      </c>
      <c r="O1482">
        <v>46279</v>
      </c>
      <c r="P1482">
        <v>56</v>
      </c>
    </row>
    <row r="1483" spans="1:16" x14ac:dyDescent="0.4">
      <c r="A1483">
        <v>586</v>
      </c>
      <c r="B1483" t="s">
        <v>4915</v>
      </c>
      <c r="D1483" t="s">
        <v>4916</v>
      </c>
      <c r="G1483" t="s">
        <v>1203</v>
      </c>
      <c r="H1483" t="s">
        <v>1202</v>
      </c>
      <c r="I1483">
        <v>82</v>
      </c>
      <c r="K1483" t="s">
        <v>5033</v>
      </c>
      <c r="L1483">
        <v>46273</v>
      </c>
      <c r="M1483">
        <v>97320</v>
      </c>
      <c r="N1483">
        <v>20</v>
      </c>
      <c r="O1483">
        <v>46279</v>
      </c>
      <c r="P1483">
        <v>62</v>
      </c>
    </row>
    <row r="1484" spans="1:16" x14ac:dyDescent="0.4">
      <c r="A1484">
        <v>590</v>
      </c>
      <c r="B1484" t="s">
        <v>4915</v>
      </c>
      <c r="D1484" t="s">
        <v>4916</v>
      </c>
      <c r="G1484" t="s">
        <v>365</v>
      </c>
      <c r="H1484" t="s">
        <v>364</v>
      </c>
      <c r="I1484">
        <v>88</v>
      </c>
      <c r="K1484" t="s">
        <v>4958</v>
      </c>
      <c r="L1484">
        <v>46273</v>
      </c>
      <c r="M1484">
        <v>97320</v>
      </c>
      <c r="N1484">
        <v>20</v>
      </c>
      <c r="O1484">
        <v>46279</v>
      </c>
      <c r="P1484">
        <v>68</v>
      </c>
    </row>
    <row r="1485" spans="1:16" x14ac:dyDescent="0.4">
      <c r="A1485">
        <v>1574</v>
      </c>
      <c r="B1485" t="s">
        <v>4915</v>
      </c>
      <c r="G1485" t="s">
        <v>1190</v>
      </c>
      <c r="H1485" t="s">
        <v>1189</v>
      </c>
      <c r="I1485">
        <v>225</v>
      </c>
      <c r="K1485" t="s">
        <v>4953</v>
      </c>
      <c r="L1485">
        <v>46282</v>
      </c>
      <c r="M1485">
        <v>97320</v>
      </c>
      <c r="N1485">
        <v>20</v>
      </c>
      <c r="O1485">
        <v>46279</v>
      </c>
      <c r="P1485">
        <v>205</v>
      </c>
    </row>
    <row r="1486" spans="1:16" x14ac:dyDescent="0.4">
      <c r="A1486">
        <v>1583</v>
      </c>
      <c r="B1486" t="s">
        <v>4915</v>
      </c>
      <c r="G1486" t="s">
        <v>1361</v>
      </c>
      <c r="H1486" t="s">
        <v>1360</v>
      </c>
      <c r="I1486">
        <v>23</v>
      </c>
      <c r="K1486" t="s">
        <v>4968</v>
      </c>
      <c r="L1486">
        <v>46287</v>
      </c>
      <c r="M1486">
        <v>97321</v>
      </c>
      <c r="N1486">
        <v>20</v>
      </c>
      <c r="O1486">
        <v>46280</v>
      </c>
      <c r="P1486">
        <v>3</v>
      </c>
    </row>
    <row r="1487" spans="1:16" x14ac:dyDescent="0.4">
      <c r="A1487">
        <v>1166</v>
      </c>
      <c r="B1487" t="s">
        <v>4915</v>
      </c>
      <c r="G1487" t="s">
        <v>2462</v>
      </c>
      <c r="H1487" t="s">
        <v>5029</v>
      </c>
      <c r="I1487">
        <v>97</v>
      </c>
      <c r="K1487" t="s">
        <v>5030</v>
      </c>
      <c r="L1487">
        <v>46280</v>
      </c>
      <c r="M1487">
        <v>97321</v>
      </c>
      <c r="N1487">
        <v>20</v>
      </c>
      <c r="O1487">
        <v>46280</v>
      </c>
      <c r="P1487">
        <v>77</v>
      </c>
    </row>
    <row r="1488" spans="1:16" x14ac:dyDescent="0.4">
      <c r="A1488">
        <v>579</v>
      </c>
      <c r="B1488" t="s">
        <v>4915</v>
      </c>
      <c r="D1488" t="s">
        <v>4916</v>
      </c>
      <c r="G1488" t="s">
        <v>1197</v>
      </c>
      <c r="H1488" t="s">
        <v>1196</v>
      </c>
      <c r="I1488">
        <v>123</v>
      </c>
      <c r="K1488" t="s">
        <v>4998</v>
      </c>
      <c r="L1488">
        <v>46273</v>
      </c>
      <c r="M1488">
        <v>97321</v>
      </c>
      <c r="N1488">
        <v>20</v>
      </c>
      <c r="O1488">
        <v>46280</v>
      </c>
      <c r="P1488">
        <v>103</v>
      </c>
    </row>
    <row r="1489" spans="1:16" x14ac:dyDescent="0.4">
      <c r="A1489">
        <v>1402</v>
      </c>
      <c r="B1489" t="s">
        <v>4915</v>
      </c>
      <c r="G1489" t="s">
        <v>628</v>
      </c>
      <c r="H1489" t="s">
        <v>627</v>
      </c>
      <c r="I1489">
        <v>128</v>
      </c>
      <c r="K1489" t="s">
        <v>4965</v>
      </c>
      <c r="L1489">
        <v>46283</v>
      </c>
      <c r="M1489">
        <v>97321</v>
      </c>
      <c r="N1489">
        <v>20</v>
      </c>
      <c r="O1489">
        <v>46280</v>
      </c>
      <c r="P1489">
        <v>108</v>
      </c>
    </row>
    <row r="1490" spans="1:16" x14ac:dyDescent="0.4">
      <c r="A1490">
        <v>873</v>
      </c>
      <c r="B1490" t="s">
        <v>4915</v>
      </c>
      <c r="G1490" t="s">
        <v>1854</v>
      </c>
      <c r="H1490" t="s">
        <v>1853</v>
      </c>
      <c r="I1490">
        <v>144</v>
      </c>
      <c r="K1490" t="s">
        <v>4866</v>
      </c>
      <c r="L1490">
        <v>46275</v>
      </c>
      <c r="M1490">
        <v>97321</v>
      </c>
      <c r="N1490">
        <v>20</v>
      </c>
      <c r="O1490">
        <v>46280</v>
      </c>
      <c r="P1490">
        <v>124</v>
      </c>
    </row>
    <row r="1491" spans="1:16" x14ac:dyDescent="0.4">
      <c r="A1491">
        <v>1404</v>
      </c>
      <c r="B1491" t="s">
        <v>4915</v>
      </c>
      <c r="G1491" t="s">
        <v>658</v>
      </c>
      <c r="H1491" t="s">
        <v>657</v>
      </c>
      <c r="I1491">
        <v>204</v>
      </c>
      <c r="K1491" t="s">
        <v>4967</v>
      </c>
      <c r="L1491">
        <v>46283</v>
      </c>
      <c r="M1491">
        <v>97321</v>
      </c>
      <c r="N1491">
        <v>20</v>
      </c>
      <c r="O1491">
        <v>46280</v>
      </c>
      <c r="P1491">
        <v>184</v>
      </c>
    </row>
    <row r="1492" spans="1:16" x14ac:dyDescent="0.4">
      <c r="A1492">
        <v>1585</v>
      </c>
      <c r="B1492" t="s">
        <v>4915</v>
      </c>
      <c r="G1492" t="s">
        <v>2809</v>
      </c>
      <c r="H1492" t="s">
        <v>2808</v>
      </c>
      <c r="I1492">
        <v>211</v>
      </c>
      <c r="K1492" t="s">
        <v>4869</v>
      </c>
      <c r="L1492">
        <v>46287</v>
      </c>
      <c r="M1492">
        <v>97321</v>
      </c>
      <c r="N1492">
        <v>20</v>
      </c>
      <c r="O1492">
        <v>46280</v>
      </c>
      <c r="P1492">
        <v>191</v>
      </c>
    </row>
    <row r="1493" spans="1:16" x14ac:dyDescent="0.4">
      <c r="A1493">
        <v>1406</v>
      </c>
      <c r="B1493" t="s">
        <v>4915</v>
      </c>
      <c r="G1493" t="s">
        <v>1001</v>
      </c>
      <c r="H1493" t="s">
        <v>1000</v>
      </c>
      <c r="I1493">
        <v>306</v>
      </c>
      <c r="K1493" t="s">
        <v>4851</v>
      </c>
      <c r="L1493">
        <v>46283</v>
      </c>
      <c r="M1493">
        <v>97321</v>
      </c>
      <c r="N1493">
        <v>20</v>
      </c>
      <c r="O1493">
        <v>46280</v>
      </c>
      <c r="P1493">
        <v>286</v>
      </c>
    </row>
    <row r="1494" spans="1:16" x14ac:dyDescent="0.4">
      <c r="A1494">
        <v>1407</v>
      </c>
      <c r="B1494" t="s">
        <v>4915</v>
      </c>
      <c r="G1494" t="s">
        <v>1389</v>
      </c>
      <c r="H1494" t="s">
        <v>1388</v>
      </c>
      <c r="I1494">
        <v>344</v>
      </c>
      <c r="K1494" t="s">
        <v>4968</v>
      </c>
      <c r="L1494">
        <v>46283</v>
      </c>
      <c r="M1494">
        <v>97321</v>
      </c>
      <c r="N1494">
        <v>20</v>
      </c>
      <c r="O1494">
        <v>46280</v>
      </c>
      <c r="P1494">
        <v>324</v>
      </c>
    </row>
    <row r="1495" spans="1:16" x14ac:dyDescent="0.4">
      <c r="A1495">
        <v>1408</v>
      </c>
      <c r="B1495" t="s">
        <v>4915</v>
      </c>
      <c r="G1495" t="s">
        <v>1387</v>
      </c>
      <c r="H1495" t="s">
        <v>1386</v>
      </c>
      <c r="I1495">
        <v>428</v>
      </c>
      <c r="K1495" t="s">
        <v>4968</v>
      </c>
      <c r="L1495">
        <v>46283</v>
      </c>
      <c r="M1495">
        <v>97321</v>
      </c>
      <c r="N1495">
        <v>20</v>
      </c>
      <c r="O1495">
        <v>46280</v>
      </c>
      <c r="P1495">
        <v>408</v>
      </c>
    </row>
    <row r="1496" spans="1:16" x14ac:dyDescent="0.4">
      <c r="A1496">
        <v>1409</v>
      </c>
      <c r="B1496" t="s">
        <v>4915</v>
      </c>
      <c r="G1496" t="s">
        <v>1146</v>
      </c>
      <c r="H1496" t="s">
        <v>1145</v>
      </c>
      <c r="I1496">
        <v>458</v>
      </c>
      <c r="K1496" t="s">
        <v>4871</v>
      </c>
      <c r="L1496">
        <v>46283</v>
      </c>
      <c r="M1496">
        <v>97321</v>
      </c>
      <c r="N1496">
        <v>20</v>
      </c>
      <c r="O1496">
        <v>46280</v>
      </c>
      <c r="P1496">
        <v>438</v>
      </c>
    </row>
    <row r="1497" spans="1:16" x14ac:dyDescent="0.4">
      <c r="A1497">
        <v>1410</v>
      </c>
      <c r="B1497" t="s">
        <v>4915</v>
      </c>
      <c r="G1497" t="s">
        <v>1587</v>
      </c>
      <c r="H1497" t="s">
        <v>1586</v>
      </c>
      <c r="I1497">
        <v>550</v>
      </c>
      <c r="K1497" t="s">
        <v>4970</v>
      </c>
      <c r="L1497">
        <v>46283</v>
      </c>
      <c r="M1497">
        <v>97321</v>
      </c>
      <c r="N1497">
        <v>40</v>
      </c>
      <c r="O1497">
        <v>46280</v>
      </c>
      <c r="P1497">
        <v>510</v>
      </c>
    </row>
    <row r="1498" spans="1:16" x14ac:dyDescent="0.4">
      <c r="A1498">
        <v>606</v>
      </c>
      <c r="B1498" t="s">
        <v>4915</v>
      </c>
      <c r="D1498" t="s">
        <v>4916</v>
      </c>
      <c r="G1498" t="s">
        <v>771</v>
      </c>
      <c r="H1498" t="s">
        <v>770</v>
      </c>
      <c r="I1498">
        <v>371</v>
      </c>
      <c r="K1498" t="s">
        <v>4986</v>
      </c>
      <c r="L1498">
        <v>46273</v>
      </c>
      <c r="M1498">
        <v>97326</v>
      </c>
      <c r="N1498">
        <v>2</v>
      </c>
      <c r="O1498">
        <v>46275</v>
      </c>
      <c r="P1498">
        <v>369</v>
      </c>
    </row>
    <row r="1499" spans="1:16" x14ac:dyDescent="0.4">
      <c r="A1499">
        <v>738</v>
      </c>
      <c r="B1499" t="s">
        <v>4915</v>
      </c>
      <c r="G1499" t="s">
        <v>2857</v>
      </c>
      <c r="H1499" t="s">
        <v>2856</v>
      </c>
      <c r="I1499">
        <v>28</v>
      </c>
      <c r="K1499" t="s">
        <v>4933</v>
      </c>
      <c r="L1499">
        <v>46274</v>
      </c>
      <c r="M1499">
        <v>97327</v>
      </c>
      <c r="N1499">
        <v>2</v>
      </c>
      <c r="O1499">
        <v>46275</v>
      </c>
      <c r="P1499">
        <v>26</v>
      </c>
    </row>
    <row r="1500" spans="1:16" x14ac:dyDescent="0.4">
      <c r="A1500">
        <v>585</v>
      </c>
      <c r="B1500" t="s">
        <v>4915</v>
      </c>
      <c r="D1500" t="s">
        <v>4916</v>
      </c>
      <c r="G1500" t="s">
        <v>2641</v>
      </c>
      <c r="H1500" t="s">
        <v>2640</v>
      </c>
      <c r="I1500">
        <v>162</v>
      </c>
      <c r="K1500" t="s">
        <v>4869</v>
      </c>
      <c r="L1500">
        <v>46273</v>
      </c>
      <c r="M1500">
        <v>97328</v>
      </c>
      <c r="N1500">
        <v>6</v>
      </c>
      <c r="O1500">
        <v>46275</v>
      </c>
      <c r="P1500">
        <v>156</v>
      </c>
    </row>
    <row r="1501" spans="1:16" x14ac:dyDescent="0.4">
      <c r="A1501">
        <v>523</v>
      </c>
      <c r="B1501" t="s">
        <v>4915</v>
      </c>
      <c r="D1501" t="s">
        <v>4916</v>
      </c>
      <c r="G1501" t="s">
        <v>385</v>
      </c>
      <c r="H1501" t="s">
        <v>384</v>
      </c>
      <c r="I1501">
        <v>368</v>
      </c>
      <c r="K1501" t="s">
        <v>4944</v>
      </c>
      <c r="L1501">
        <v>46273</v>
      </c>
      <c r="M1501">
        <v>97328</v>
      </c>
      <c r="N1501">
        <v>12</v>
      </c>
      <c r="O1501">
        <v>46275</v>
      </c>
      <c r="P1501">
        <v>356</v>
      </c>
    </row>
    <row r="1502" spans="1:16" x14ac:dyDescent="0.4">
      <c r="A1502">
        <v>2005</v>
      </c>
      <c r="B1502" t="s">
        <v>4915</v>
      </c>
      <c r="G1502" t="s">
        <v>847</v>
      </c>
      <c r="H1502" t="s">
        <v>846</v>
      </c>
      <c r="I1502">
        <v>65</v>
      </c>
      <c r="K1502" t="s">
        <v>4958</v>
      </c>
      <c r="L1502">
        <v>46294</v>
      </c>
      <c r="M1502">
        <v>97329</v>
      </c>
      <c r="N1502">
        <v>18</v>
      </c>
      <c r="O1502">
        <v>46294</v>
      </c>
      <c r="P1502">
        <v>47</v>
      </c>
    </row>
    <row r="1503" spans="1:16" x14ac:dyDescent="0.4">
      <c r="A1503">
        <v>1802</v>
      </c>
      <c r="B1503" t="s">
        <v>4915</v>
      </c>
      <c r="G1503" t="s">
        <v>840</v>
      </c>
      <c r="H1503" t="s">
        <v>839</v>
      </c>
      <c r="I1503">
        <v>184</v>
      </c>
      <c r="K1503" t="s">
        <v>4740</v>
      </c>
      <c r="L1503">
        <v>46294</v>
      </c>
      <c r="M1503">
        <v>97329</v>
      </c>
      <c r="N1503">
        <v>6</v>
      </c>
      <c r="O1503">
        <v>46294</v>
      </c>
      <c r="P1503">
        <v>178</v>
      </c>
    </row>
    <row r="1504" spans="1:16" x14ac:dyDescent="0.4">
      <c r="A1504">
        <v>1503</v>
      </c>
      <c r="B1504" t="s">
        <v>4915</v>
      </c>
      <c r="G1504" t="s">
        <v>1833</v>
      </c>
      <c r="H1504" t="s">
        <v>5035</v>
      </c>
      <c r="I1504">
        <v>21</v>
      </c>
      <c r="K1504" t="s">
        <v>4979</v>
      </c>
      <c r="L1504">
        <v>46288</v>
      </c>
      <c r="M1504">
        <v>97330</v>
      </c>
      <c r="N1504">
        <v>20</v>
      </c>
      <c r="O1504">
        <v>46280</v>
      </c>
      <c r="P1504">
        <v>1</v>
      </c>
    </row>
    <row r="1505" spans="1:16" x14ac:dyDescent="0.4">
      <c r="A1505">
        <v>1435</v>
      </c>
      <c r="B1505" t="s">
        <v>4915</v>
      </c>
      <c r="G1505" t="s">
        <v>1580</v>
      </c>
      <c r="H1505" t="s">
        <v>1579</v>
      </c>
      <c r="I1505">
        <v>93</v>
      </c>
      <c r="K1505" t="s">
        <v>5041</v>
      </c>
      <c r="L1505">
        <v>46283</v>
      </c>
      <c r="M1505">
        <v>97330</v>
      </c>
      <c r="N1505">
        <v>20</v>
      </c>
      <c r="O1505">
        <v>46280</v>
      </c>
      <c r="P1505">
        <v>73</v>
      </c>
    </row>
    <row r="1506" spans="1:16" x14ac:dyDescent="0.4">
      <c r="A1506">
        <v>1523</v>
      </c>
      <c r="B1506" t="s">
        <v>4915</v>
      </c>
      <c r="G1506" t="s">
        <v>2778</v>
      </c>
      <c r="H1506" t="s">
        <v>2777</v>
      </c>
      <c r="I1506">
        <v>96</v>
      </c>
      <c r="K1506" t="s">
        <v>4949</v>
      </c>
      <c r="L1506">
        <v>46282</v>
      </c>
      <c r="M1506">
        <v>97330</v>
      </c>
      <c r="N1506">
        <v>20</v>
      </c>
      <c r="O1506">
        <v>46280</v>
      </c>
      <c r="P1506">
        <v>76</v>
      </c>
    </row>
    <row r="1507" spans="1:16" x14ac:dyDescent="0.4">
      <c r="A1507">
        <v>648</v>
      </c>
      <c r="B1507" t="s">
        <v>4915</v>
      </c>
      <c r="D1507" t="s">
        <v>4916</v>
      </c>
      <c r="G1507" t="s">
        <v>1982</v>
      </c>
      <c r="H1507" t="s">
        <v>1981</v>
      </c>
      <c r="I1507">
        <v>110</v>
      </c>
      <c r="K1507" t="s">
        <v>5042</v>
      </c>
      <c r="L1507">
        <v>46273</v>
      </c>
      <c r="M1507">
        <v>97330</v>
      </c>
      <c r="N1507">
        <v>20</v>
      </c>
      <c r="O1507">
        <v>46280</v>
      </c>
      <c r="P1507">
        <v>90</v>
      </c>
    </row>
    <row r="1508" spans="1:16" x14ac:dyDescent="0.4">
      <c r="A1508">
        <v>1439</v>
      </c>
      <c r="B1508" t="s">
        <v>4915</v>
      </c>
      <c r="G1508" t="s">
        <v>1354</v>
      </c>
      <c r="H1508" t="s">
        <v>1353</v>
      </c>
      <c r="I1508">
        <v>110</v>
      </c>
      <c r="K1508" t="s">
        <v>4957</v>
      </c>
      <c r="L1508">
        <v>46283</v>
      </c>
      <c r="M1508">
        <v>97330</v>
      </c>
      <c r="N1508">
        <v>20</v>
      </c>
      <c r="O1508">
        <v>46280</v>
      </c>
      <c r="P1508">
        <v>90</v>
      </c>
    </row>
    <row r="1509" spans="1:16" x14ac:dyDescent="0.4">
      <c r="A1509">
        <v>639</v>
      </c>
      <c r="B1509" t="s">
        <v>4915</v>
      </c>
      <c r="D1509" t="s">
        <v>4916</v>
      </c>
      <c r="G1509" t="s">
        <v>1640</v>
      </c>
      <c r="H1509" t="s">
        <v>1639</v>
      </c>
      <c r="I1509">
        <v>115</v>
      </c>
      <c r="K1509" t="s">
        <v>5038</v>
      </c>
      <c r="L1509">
        <v>46273</v>
      </c>
      <c r="M1509">
        <v>97330</v>
      </c>
      <c r="N1509">
        <v>20</v>
      </c>
      <c r="O1509">
        <v>46280</v>
      </c>
      <c r="P1509">
        <v>95</v>
      </c>
    </row>
    <row r="1510" spans="1:16" x14ac:dyDescent="0.4">
      <c r="A1510">
        <v>1436</v>
      </c>
      <c r="B1510" t="s">
        <v>4915</v>
      </c>
      <c r="G1510" t="s">
        <v>1289</v>
      </c>
      <c r="H1510" t="s">
        <v>1288</v>
      </c>
      <c r="I1510">
        <v>122</v>
      </c>
      <c r="K1510" t="s">
        <v>4999</v>
      </c>
      <c r="L1510">
        <v>46283</v>
      </c>
      <c r="M1510">
        <v>97330</v>
      </c>
      <c r="N1510">
        <v>20</v>
      </c>
      <c r="O1510">
        <v>46280</v>
      </c>
      <c r="P1510">
        <v>102</v>
      </c>
    </row>
    <row r="1511" spans="1:16" x14ac:dyDescent="0.4">
      <c r="A1511">
        <v>1437</v>
      </c>
      <c r="B1511" t="s">
        <v>4915</v>
      </c>
      <c r="G1511" t="s">
        <v>5157</v>
      </c>
      <c r="H1511" t="s">
        <v>703</v>
      </c>
      <c r="I1511">
        <v>129</v>
      </c>
      <c r="K1511" t="s">
        <v>5036</v>
      </c>
      <c r="L1511">
        <v>46283</v>
      </c>
      <c r="M1511">
        <v>97330</v>
      </c>
      <c r="N1511">
        <v>20</v>
      </c>
      <c r="O1511">
        <v>46280</v>
      </c>
      <c r="P1511">
        <v>109</v>
      </c>
    </row>
    <row r="1512" spans="1:16" x14ac:dyDescent="0.4">
      <c r="A1512">
        <v>652</v>
      </c>
      <c r="B1512" t="s">
        <v>4915</v>
      </c>
      <c r="D1512" t="s">
        <v>4916</v>
      </c>
      <c r="G1512" t="s">
        <v>1822</v>
      </c>
      <c r="H1512" t="s">
        <v>1821</v>
      </c>
      <c r="I1512">
        <v>139</v>
      </c>
      <c r="K1512" t="s">
        <v>4958</v>
      </c>
      <c r="L1512">
        <v>46273</v>
      </c>
      <c r="M1512">
        <v>97330</v>
      </c>
      <c r="N1512">
        <v>20</v>
      </c>
      <c r="O1512">
        <v>46280</v>
      </c>
      <c r="P1512">
        <v>119</v>
      </c>
    </row>
    <row r="1513" spans="1:16" x14ac:dyDescent="0.4">
      <c r="A1513">
        <v>1438</v>
      </c>
      <c r="B1513" t="s">
        <v>4915</v>
      </c>
      <c r="G1513" t="s">
        <v>1638</v>
      </c>
      <c r="H1513" t="s">
        <v>1637</v>
      </c>
      <c r="I1513">
        <v>141</v>
      </c>
      <c r="K1513" t="s">
        <v>5038</v>
      </c>
      <c r="L1513">
        <v>46283</v>
      </c>
      <c r="M1513">
        <v>97330</v>
      </c>
      <c r="N1513">
        <v>20</v>
      </c>
      <c r="O1513">
        <v>46280</v>
      </c>
      <c r="P1513">
        <v>121</v>
      </c>
    </row>
    <row r="1514" spans="1:16" x14ac:dyDescent="0.4">
      <c r="A1514">
        <v>645</v>
      </c>
      <c r="B1514" t="s">
        <v>4915</v>
      </c>
      <c r="D1514" t="s">
        <v>4916</v>
      </c>
      <c r="G1514" t="s">
        <v>1292</v>
      </c>
      <c r="H1514" t="s">
        <v>1291</v>
      </c>
      <c r="I1514">
        <v>144</v>
      </c>
      <c r="K1514" t="s">
        <v>5040</v>
      </c>
      <c r="L1514">
        <v>46273</v>
      </c>
      <c r="M1514">
        <v>97330</v>
      </c>
      <c r="N1514">
        <v>20</v>
      </c>
      <c r="O1514">
        <v>46280</v>
      </c>
      <c r="P1514">
        <v>124</v>
      </c>
    </row>
    <row r="1515" spans="1:16" x14ac:dyDescent="0.4">
      <c r="A1515">
        <v>1440</v>
      </c>
      <c r="B1515" t="s">
        <v>4915</v>
      </c>
      <c r="G1515" t="s">
        <v>1318</v>
      </c>
      <c r="H1515" t="s">
        <v>1317</v>
      </c>
      <c r="I1515">
        <v>153</v>
      </c>
      <c r="K1515" t="s">
        <v>4999</v>
      </c>
      <c r="L1515">
        <v>46283</v>
      </c>
      <c r="M1515">
        <v>97330</v>
      </c>
      <c r="N1515">
        <v>20</v>
      </c>
      <c r="O1515">
        <v>46280</v>
      </c>
      <c r="P1515">
        <v>133</v>
      </c>
    </row>
    <row r="1516" spans="1:16" x14ac:dyDescent="0.4">
      <c r="A1516">
        <v>1442</v>
      </c>
      <c r="B1516" t="s">
        <v>4915</v>
      </c>
      <c r="G1516" t="s">
        <v>1594</v>
      </c>
      <c r="H1516" t="s">
        <v>1593</v>
      </c>
      <c r="I1516">
        <v>169</v>
      </c>
      <c r="K1516" t="s">
        <v>5037</v>
      </c>
      <c r="L1516">
        <v>46283</v>
      </c>
      <c r="M1516">
        <v>97330</v>
      </c>
      <c r="N1516">
        <v>20</v>
      </c>
      <c r="O1516">
        <v>46280</v>
      </c>
      <c r="P1516">
        <v>149</v>
      </c>
    </row>
    <row r="1517" spans="1:16" x14ac:dyDescent="0.4">
      <c r="A1517">
        <v>1443</v>
      </c>
      <c r="B1517" t="s">
        <v>4915</v>
      </c>
      <c r="G1517" t="s">
        <v>1618</v>
      </c>
      <c r="H1517" t="s">
        <v>1617</v>
      </c>
      <c r="I1517">
        <v>178</v>
      </c>
      <c r="K1517" t="s">
        <v>4867</v>
      </c>
      <c r="L1517">
        <v>46283</v>
      </c>
      <c r="M1517">
        <v>97330</v>
      </c>
      <c r="N1517">
        <v>20</v>
      </c>
      <c r="O1517">
        <v>46280</v>
      </c>
      <c r="P1517">
        <v>158</v>
      </c>
    </row>
    <row r="1518" spans="1:16" x14ac:dyDescent="0.4">
      <c r="A1518">
        <v>1561</v>
      </c>
      <c r="B1518" t="s">
        <v>4915</v>
      </c>
      <c r="G1518" t="s">
        <v>2755</v>
      </c>
      <c r="H1518" t="s">
        <v>2754</v>
      </c>
      <c r="I1518">
        <v>207</v>
      </c>
      <c r="K1518" t="s">
        <v>4869</v>
      </c>
      <c r="L1518">
        <v>46282</v>
      </c>
      <c r="M1518">
        <v>97330</v>
      </c>
      <c r="N1518">
        <v>20</v>
      </c>
      <c r="O1518">
        <v>46280</v>
      </c>
      <c r="P1518">
        <v>187</v>
      </c>
    </row>
    <row r="1519" spans="1:16" x14ac:dyDescent="0.4">
      <c r="A1519">
        <v>1444</v>
      </c>
      <c r="B1519" t="s">
        <v>4915</v>
      </c>
      <c r="G1519" t="s">
        <v>1598</v>
      </c>
      <c r="H1519" t="s">
        <v>1597</v>
      </c>
      <c r="I1519">
        <v>217</v>
      </c>
      <c r="K1519" t="s">
        <v>5037</v>
      </c>
      <c r="L1519">
        <v>46283</v>
      </c>
      <c r="M1519">
        <v>97330</v>
      </c>
      <c r="N1519">
        <v>20</v>
      </c>
      <c r="O1519">
        <v>46280</v>
      </c>
      <c r="P1519">
        <v>197</v>
      </c>
    </row>
    <row r="1520" spans="1:16" x14ac:dyDescent="0.4">
      <c r="A1520">
        <v>642</v>
      </c>
      <c r="B1520" t="s">
        <v>4915</v>
      </c>
      <c r="D1520" t="s">
        <v>4916</v>
      </c>
      <c r="G1520" t="s">
        <v>1366</v>
      </c>
      <c r="H1520" t="s">
        <v>1365</v>
      </c>
      <c r="I1520">
        <v>227</v>
      </c>
      <c r="K1520" t="s">
        <v>5039</v>
      </c>
      <c r="L1520">
        <v>46273</v>
      </c>
      <c r="M1520">
        <v>97330</v>
      </c>
      <c r="N1520">
        <v>20</v>
      </c>
      <c r="O1520">
        <v>46280</v>
      </c>
      <c r="P1520">
        <v>207</v>
      </c>
    </row>
    <row r="1521" spans="1:16" x14ac:dyDescent="0.4">
      <c r="A1521">
        <v>634</v>
      </c>
      <c r="B1521" t="s">
        <v>4915</v>
      </c>
      <c r="D1521" t="s">
        <v>4916</v>
      </c>
      <c r="G1521" t="s">
        <v>1312</v>
      </c>
      <c r="H1521" t="s">
        <v>1311</v>
      </c>
      <c r="I1521">
        <v>252</v>
      </c>
      <c r="K1521" t="s">
        <v>4995</v>
      </c>
      <c r="L1521">
        <v>46273</v>
      </c>
      <c r="M1521">
        <v>97330</v>
      </c>
      <c r="N1521">
        <v>20</v>
      </c>
      <c r="O1521">
        <v>46280</v>
      </c>
      <c r="P1521">
        <v>232</v>
      </c>
    </row>
    <row r="1522" spans="1:16" x14ac:dyDescent="0.4">
      <c r="A1522">
        <v>1445</v>
      </c>
      <c r="B1522" t="s">
        <v>4915</v>
      </c>
      <c r="G1522" t="s">
        <v>1596</v>
      </c>
      <c r="H1522" t="s">
        <v>1595</v>
      </c>
      <c r="I1522">
        <v>312</v>
      </c>
      <c r="K1522" t="s">
        <v>5037</v>
      </c>
      <c r="L1522">
        <v>46283</v>
      </c>
      <c r="M1522">
        <v>97330</v>
      </c>
      <c r="N1522">
        <v>20</v>
      </c>
      <c r="O1522">
        <v>46280</v>
      </c>
      <c r="P1522">
        <v>292</v>
      </c>
    </row>
    <row r="1523" spans="1:16" x14ac:dyDescent="0.4">
      <c r="A1523">
        <v>1446</v>
      </c>
      <c r="B1523" t="s">
        <v>4915</v>
      </c>
      <c r="G1523" t="s">
        <v>1342</v>
      </c>
      <c r="H1523" t="s">
        <v>1341</v>
      </c>
      <c r="I1523">
        <v>379</v>
      </c>
      <c r="K1523" t="s">
        <v>5039</v>
      </c>
      <c r="L1523">
        <v>46283</v>
      </c>
      <c r="M1523">
        <v>97330</v>
      </c>
      <c r="N1523">
        <v>20</v>
      </c>
      <c r="O1523">
        <v>46280</v>
      </c>
      <c r="P1523">
        <v>359</v>
      </c>
    </row>
    <row r="1524" spans="1:16" x14ac:dyDescent="0.4">
      <c r="A1524">
        <v>1538</v>
      </c>
      <c r="B1524" t="s">
        <v>4915</v>
      </c>
      <c r="G1524" t="s">
        <v>2746</v>
      </c>
      <c r="H1524" t="s">
        <v>2745</v>
      </c>
      <c r="I1524">
        <v>417</v>
      </c>
      <c r="K1524" t="s">
        <v>4948</v>
      </c>
      <c r="L1524">
        <v>46282</v>
      </c>
      <c r="M1524">
        <v>97330</v>
      </c>
      <c r="N1524">
        <v>20</v>
      </c>
      <c r="O1524">
        <v>46280</v>
      </c>
      <c r="P1524">
        <v>397</v>
      </c>
    </row>
    <row r="1525" spans="1:16" x14ac:dyDescent="0.4">
      <c r="A1525">
        <v>1541</v>
      </c>
      <c r="B1525" t="s">
        <v>4915</v>
      </c>
      <c r="G1525" t="s">
        <v>2780</v>
      </c>
      <c r="H1525" t="s">
        <v>2779</v>
      </c>
      <c r="I1525">
        <v>551</v>
      </c>
      <c r="K1525" t="s">
        <v>4949</v>
      </c>
      <c r="L1525">
        <v>46282</v>
      </c>
      <c r="M1525">
        <v>97330</v>
      </c>
      <c r="N1525">
        <v>20</v>
      </c>
      <c r="O1525">
        <v>46280</v>
      </c>
      <c r="P1525">
        <v>531</v>
      </c>
    </row>
    <row r="1526" spans="1:16" x14ac:dyDescent="0.4">
      <c r="A1526">
        <v>1450</v>
      </c>
      <c r="B1526" t="s">
        <v>4915</v>
      </c>
      <c r="G1526" t="s">
        <v>2645</v>
      </c>
      <c r="H1526" t="s">
        <v>2644</v>
      </c>
      <c r="I1526">
        <v>588</v>
      </c>
      <c r="K1526" t="s">
        <v>4869</v>
      </c>
      <c r="L1526">
        <v>46283</v>
      </c>
      <c r="M1526">
        <v>97330</v>
      </c>
      <c r="N1526">
        <v>20</v>
      </c>
      <c r="O1526">
        <v>46280</v>
      </c>
      <c r="P1526">
        <v>568</v>
      </c>
    </row>
    <row r="1527" spans="1:16" x14ac:dyDescent="0.4">
      <c r="A1527">
        <v>640</v>
      </c>
      <c r="B1527" t="s">
        <v>4915</v>
      </c>
      <c r="D1527" t="s">
        <v>4916</v>
      </c>
      <c r="G1527" t="s">
        <v>1633</v>
      </c>
      <c r="H1527" t="s">
        <v>1632</v>
      </c>
      <c r="I1527">
        <v>685</v>
      </c>
      <c r="K1527" t="s">
        <v>5038</v>
      </c>
      <c r="L1527">
        <v>46273</v>
      </c>
      <c r="M1527">
        <v>97330</v>
      </c>
      <c r="N1527">
        <v>20</v>
      </c>
      <c r="O1527">
        <v>46280</v>
      </c>
      <c r="P1527">
        <v>665</v>
      </c>
    </row>
    <row r="1528" spans="1:16" x14ac:dyDescent="0.4">
      <c r="A1528">
        <v>1452</v>
      </c>
      <c r="B1528" t="s">
        <v>4915</v>
      </c>
      <c r="G1528" t="s">
        <v>2792</v>
      </c>
      <c r="H1528" t="s">
        <v>2791</v>
      </c>
      <c r="I1528">
        <v>915</v>
      </c>
      <c r="K1528" t="s">
        <v>4869</v>
      </c>
      <c r="L1528">
        <v>46283</v>
      </c>
      <c r="M1528">
        <v>97330</v>
      </c>
      <c r="N1528">
        <v>20</v>
      </c>
      <c r="O1528">
        <v>46280</v>
      </c>
      <c r="P1528">
        <v>895</v>
      </c>
    </row>
    <row r="1529" spans="1:16" x14ac:dyDescent="0.4">
      <c r="A1529">
        <v>1453</v>
      </c>
      <c r="B1529" t="s">
        <v>4915</v>
      </c>
      <c r="G1529" t="s">
        <v>1556</v>
      </c>
      <c r="H1529" t="s">
        <v>1555</v>
      </c>
      <c r="I1529">
        <v>945</v>
      </c>
      <c r="K1529" t="s">
        <v>4851</v>
      </c>
      <c r="L1529">
        <v>46283</v>
      </c>
      <c r="M1529">
        <v>97330</v>
      </c>
      <c r="N1529">
        <v>20</v>
      </c>
      <c r="O1529">
        <v>46280</v>
      </c>
      <c r="P1529">
        <v>925</v>
      </c>
    </row>
    <row r="1530" spans="1:16" x14ac:dyDescent="0.4">
      <c r="A1530">
        <v>1545</v>
      </c>
      <c r="B1530" t="s">
        <v>4915</v>
      </c>
      <c r="G1530" t="s">
        <v>2842</v>
      </c>
      <c r="H1530" t="s">
        <v>2841</v>
      </c>
      <c r="I1530">
        <v>8</v>
      </c>
      <c r="K1530" t="s">
        <v>4869</v>
      </c>
      <c r="L1530">
        <v>46282</v>
      </c>
      <c r="M1530">
        <v>97331</v>
      </c>
      <c r="N1530">
        <v>20</v>
      </c>
      <c r="O1530">
        <v>46280</v>
      </c>
      <c r="P1530">
        <v>-12</v>
      </c>
    </row>
    <row r="1531" spans="1:16" x14ac:dyDescent="0.4">
      <c r="A1531">
        <v>1546</v>
      </c>
      <c r="B1531" t="s">
        <v>4915</v>
      </c>
      <c r="G1531" t="s">
        <v>1207</v>
      </c>
      <c r="H1531" t="s">
        <v>1206</v>
      </c>
      <c r="I1531">
        <v>19</v>
      </c>
      <c r="K1531" t="s">
        <v>4953</v>
      </c>
      <c r="L1531">
        <v>46282</v>
      </c>
      <c r="M1531">
        <v>97331</v>
      </c>
      <c r="N1531">
        <v>19</v>
      </c>
      <c r="O1531">
        <v>46280</v>
      </c>
      <c r="P1531">
        <v>0</v>
      </c>
    </row>
    <row r="1532" spans="1:16" x14ac:dyDescent="0.4">
      <c r="A1532">
        <v>1547</v>
      </c>
      <c r="B1532" t="s">
        <v>4915</v>
      </c>
      <c r="G1532" t="s">
        <v>1052</v>
      </c>
      <c r="H1532" t="s">
        <v>1051</v>
      </c>
      <c r="I1532">
        <v>30</v>
      </c>
      <c r="K1532" t="s">
        <v>4943</v>
      </c>
      <c r="L1532">
        <v>46282</v>
      </c>
      <c r="M1532">
        <v>97331</v>
      </c>
      <c r="N1532">
        <v>20</v>
      </c>
      <c r="O1532">
        <v>46280</v>
      </c>
      <c r="P1532">
        <v>10</v>
      </c>
    </row>
    <row r="1533" spans="1:16" x14ac:dyDescent="0.4">
      <c r="A1533">
        <v>1548</v>
      </c>
      <c r="B1533" t="s">
        <v>4915</v>
      </c>
      <c r="G1533" t="s">
        <v>1050</v>
      </c>
      <c r="H1533" t="s">
        <v>1049</v>
      </c>
      <c r="I1533">
        <v>30</v>
      </c>
      <c r="K1533" t="s">
        <v>4943</v>
      </c>
      <c r="L1533">
        <v>46282</v>
      </c>
      <c r="M1533">
        <v>97331</v>
      </c>
      <c r="N1533">
        <v>20</v>
      </c>
      <c r="O1533">
        <v>46280</v>
      </c>
      <c r="P1533">
        <v>10</v>
      </c>
    </row>
    <row r="1534" spans="1:16" x14ac:dyDescent="0.4">
      <c r="A1534">
        <v>1168</v>
      </c>
      <c r="B1534" t="s">
        <v>4915</v>
      </c>
      <c r="G1534" t="s">
        <v>2801</v>
      </c>
      <c r="H1534" t="s">
        <v>2800</v>
      </c>
      <c r="I1534">
        <v>31</v>
      </c>
      <c r="K1534" t="s">
        <v>5025</v>
      </c>
      <c r="L1534">
        <v>46280</v>
      </c>
      <c r="M1534">
        <v>97331</v>
      </c>
      <c r="N1534">
        <v>20</v>
      </c>
      <c r="O1534">
        <v>46280</v>
      </c>
      <c r="P1534">
        <v>11</v>
      </c>
    </row>
    <row r="1535" spans="1:16" x14ac:dyDescent="0.4">
      <c r="A1535">
        <v>1630</v>
      </c>
      <c r="B1535" t="s">
        <v>4915</v>
      </c>
      <c r="D1535" t="s">
        <v>4901</v>
      </c>
      <c r="E1535" t="s">
        <v>5164</v>
      </c>
      <c r="F1535" t="s">
        <v>5147</v>
      </c>
      <c r="G1535" t="s">
        <v>1207</v>
      </c>
      <c r="H1535" t="s">
        <v>1206</v>
      </c>
      <c r="I1535">
        <v>50</v>
      </c>
      <c r="K1535" t="s">
        <v>4953</v>
      </c>
      <c r="L1535">
        <v>46280</v>
      </c>
      <c r="M1535">
        <v>97331</v>
      </c>
      <c r="N1535">
        <v>1</v>
      </c>
      <c r="O1535">
        <v>46280</v>
      </c>
      <c r="P1535">
        <v>49</v>
      </c>
    </row>
    <row r="1536" spans="1:16" x14ac:dyDescent="0.4">
      <c r="A1536">
        <v>1549</v>
      </c>
      <c r="B1536" t="s">
        <v>4915</v>
      </c>
      <c r="G1536" t="s">
        <v>2765</v>
      </c>
      <c r="H1536" t="s">
        <v>2764</v>
      </c>
      <c r="I1536">
        <v>56</v>
      </c>
      <c r="K1536" t="s">
        <v>4945</v>
      </c>
      <c r="L1536">
        <v>46282</v>
      </c>
      <c r="M1536">
        <v>97331</v>
      </c>
      <c r="N1536">
        <v>20</v>
      </c>
      <c r="O1536">
        <v>46280</v>
      </c>
      <c r="P1536">
        <v>36</v>
      </c>
    </row>
    <row r="1537" spans="1:16" x14ac:dyDescent="0.4">
      <c r="A1537">
        <v>1550</v>
      </c>
      <c r="B1537" t="s">
        <v>4915</v>
      </c>
      <c r="G1537" t="s">
        <v>2706</v>
      </c>
      <c r="H1537" t="s">
        <v>2705</v>
      </c>
      <c r="I1537">
        <v>70</v>
      </c>
      <c r="K1537" t="s">
        <v>4948</v>
      </c>
      <c r="L1537">
        <v>46282</v>
      </c>
      <c r="M1537">
        <v>97331</v>
      </c>
      <c r="N1537">
        <v>20</v>
      </c>
      <c r="O1537">
        <v>46280</v>
      </c>
      <c r="P1537">
        <v>50</v>
      </c>
    </row>
    <row r="1538" spans="1:16" x14ac:dyDescent="0.4">
      <c r="A1538">
        <v>1552</v>
      </c>
      <c r="B1538" t="s">
        <v>4915</v>
      </c>
      <c r="G1538" t="s">
        <v>1328</v>
      </c>
      <c r="H1538" t="s">
        <v>4941</v>
      </c>
      <c r="I1538">
        <v>78</v>
      </c>
      <c r="K1538" t="s">
        <v>4942</v>
      </c>
      <c r="L1538">
        <v>46282</v>
      </c>
      <c r="M1538">
        <v>97331</v>
      </c>
      <c r="N1538">
        <v>40</v>
      </c>
      <c r="O1538">
        <v>46280</v>
      </c>
      <c r="P1538">
        <v>38</v>
      </c>
    </row>
    <row r="1539" spans="1:16" x14ac:dyDescent="0.4">
      <c r="A1539">
        <v>1418</v>
      </c>
      <c r="B1539" t="s">
        <v>4915</v>
      </c>
      <c r="G1539" t="s">
        <v>1605</v>
      </c>
      <c r="H1539" t="s">
        <v>1604</v>
      </c>
      <c r="I1539">
        <v>90</v>
      </c>
      <c r="K1539" t="s">
        <v>5027</v>
      </c>
      <c r="L1539">
        <v>46283</v>
      </c>
      <c r="M1539">
        <v>97331</v>
      </c>
      <c r="N1539">
        <v>20</v>
      </c>
      <c r="O1539">
        <v>46280</v>
      </c>
      <c r="P1539">
        <v>70</v>
      </c>
    </row>
    <row r="1540" spans="1:16" x14ac:dyDescent="0.4">
      <c r="A1540">
        <v>1419</v>
      </c>
      <c r="B1540" t="s">
        <v>4915</v>
      </c>
      <c r="G1540" t="s">
        <v>2771</v>
      </c>
      <c r="H1540" t="s">
        <v>2770</v>
      </c>
      <c r="I1540">
        <v>100</v>
      </c>
      <c r="K1540" t="s">
        <v>4949</v>
      </c>
      <c r="L1540">
        <v>46283</v>
      </c>
      <c r="M1540">
        <v>97331</v>
      </c>
      <c r="N1540">
        <v>20</v>
      </c>
      <c r="O1540">
        <v>46280</v>
      </c>
      <c r="P1540">
        <v>80</v>
      </c>
    </row>
    <row r="1541" spans="1:16" x14ac:dyDescent="0.4">
      <c r="A1541">
        <v>1553</v>
      </c>
      <c r="B1541" t="s">
        <v>4915</v>
      </c>
      <c r="G1541" t="s">
        <v>2813</v>
      </c>
      <c r="H1541" t="s">
        <v>2812</v>
      </c>
      <c r="I1541">
        <v>126</v>
      </c>
      <c r="K1541" t="s">
        <v>4947</v>
      </c>
      <c r="L1541">
        <v>46282</v>
      </c>
      <c r="M1541">
        <v>97331</v>
      </c>
      <c r="N1541">
        <v>20</v>
      </c>
      <c r="O1541">
        <v>46280</v>
      </c>
      <c r="P1541">
        <v>106</v>
      </c>
    </row>
    <row r="1542" spans="1:16" x14ac:dyDescent="0.4">
      <c r="A1542">
        <v>1554</v>
      </c>
      <c r="B1542" t="s">
        <v>4915</v>
      </c>
      <c r="G1542" t="s">
        <v>2762</v>
      </c>
      <c r="H1542" t="s">
        <v>2761</v>
      </c>
      <c r="I1542">
        <v>135</v>
      </c>
      <c r="K1542" t="s">
        <v>4945</v>
      </c>
      <c r="L1542">
        <v>46282</v>
      </c>
      <c r="M1542">
        <v>97331</v>
      </c>
      <c r="N1542">
        <v>20</v>
      </c>
      <c r="O1542">
        <v>46280</v>
      </c>
      <c r="P1542">
        <v>115</v>
      </c>
    </row>
    <row r="1543" spans="1:16" x14ac:dyDescent="0.4">
      <c r="A1543">
        <v>1555</v>
      </c>
      <c r="B1543" t="s">
        <v>4915</v>
      </c>
      <c r="G1543" t="s">
        <v>2655</v>
      </c>
      <c r="H1543" t="s">
        <v>2654</v>
      </c>
      <c r="I1543">
        <v>135</v>
      </c>
      <c r="K1543" t="s">
        <v>4948</v>
      </c>
      <c r="L1543">
        <v>46282</v>
      </c>
      <c r="M1543">
        <v>97331</v>
      </c>
      <c r="N1543">
        <v>20</v>
      </c>
      <c r="O1543">
        <v>46280</v>
      </c>
      <c r="P1543">
        <v>115</v>
      </c>
    </row>
    <row r="1544" spans="1:16" x14ac:dyDescent="0.4">
      <c r="A1544">
        <v>1557</v>
      </c>
      <c r="B1544" t="s">
        <v>4915</v>
      </c>
      <c r="G1544" t="s">
        <v>2879</v>
      </c>
      <c r="H1544" t="s">
        <v>2878</v>
      </c>
      <c r="I1544">
        <v>144</v>
      </c>
      <c r="K1544" t="s">
        <v>4946</v>
      </c>
      <c r="L1544">
        <v>46282</v>
      </c>
      <c r="M1544">
        <v>97331</v>
      </c>
      <c r="N1544">
        <v>20</v>
      </c>
      <c r="O1544">
        <v>46280</v>
      </c>
      <c r="P1544">
        <v>124</v>
      </c>
    </row>
    <row r="1545" spans="1:16" x14ac:dyDescent="0.4">
      <c r="A1545">
        <v>1422</v>
      </c>
      <c r="B1545" t="s">
        <v>4915</v>
      </c>
      <c r="G1545" t="s">
        <v>1589</v>
      </c>
      <c r="H1545" t="s">
        <v>1588</v>
      </c>
      <c r="I1545">
        <v>150</v>
      </c>
      <c r="K1545" t="s">
        <v>5026</v>
      </c>
      <c r="L1545">
        <v>46283</v>
      </c>
      <c r="M1545">
        <v>97331</v>
      </c>
      <c r="N1545">
        <v>20</v>
      </c>
      <c r="O1545">
        <v>46280</v>
      </c>
      <c r="P1545">
        <v>130</v>
      </c>
    </row>
    <row r="1546" spans="1:16" x14ac:dyDescent="0.4">
      <c r="A1546">
        <v>1558</v>
      </c>
      <c r="B1546" t="s">
        <v>4915</v>
      </c>
      <c r="G1546" t="s">
        <v>1148</v>
      </c>
      <c r="H1546" t="s">
        <v>1147</v>
      </c>
      <c r="I1546">
        <v>163</v>
      </c>
      <c r="K1546" t="s">
        <v>4851</v>
      </c>
      <c r="L1546">
        <v>46282</v>
      </c>
      <c r="M1546">
        <v>97331</v>
      </c>
      <c r="N1546">
        <v>20</v>
      </c>
      <c r="O1546">
        <v>46280</v>
      </c>
      <c r="P1546">
        <v>143</v>
      </c>
    </row>
    <row r="1547" spans="1:16" x14ac:dyDescent="0.4">
      <c r="A1547">
        <v>1559</v>
      </c>
      <c r="B1547" t="s">
        <v>4915</v>
      </c>
      <c r="G1547" t="s">
        <v>477</v>
      </c>
      <c r="H1547" t="s">
        <v>476</v>
      </c>
      <c r="I1547">
        <v>170</v>
      </c>
      <c r="K1547" t="s">
        <v>4851</v>
      </c>
      <c r="L1547">
        <v>46282</v>
      </c>
      <c r="M1547">
        <v>97331</v>
      </c>
      <c r="N1547">
        <v>20</v>
      </c>
      <c r="O1547">
        <v>46295</v>
      </c>
      <c r="P1547">
        <v>150</v>
      </c>
    </row>
    <row r="1548" spans="1:16" x14ac:dyDescent="0.4">
      <c r="A1548">
        <v>1560</v>
      </c>
      <c r="B1548" t="s">
        <v>4915</v>
      </c>
      <c r="G1548" t="s">
        <v>385</v>
      </c>
      <c r="H1548" t="s">
        <v>384</v>
      </c>
      <c r="I1548">
        <v>186</v>
      </c>
      <c r="K1548" t="s">
        <v>4944</v>
      </c>
      <c r="L1548">
        <v>46282</v>
      </c>
      <c r="M1548">
        <v>97331</v>
      </c>
      <c r="N1548">
        <v>40</v>
      </c>
      <c r="O1548">
        <v>46280</v>
      </c>
      <c r="P1548">
        <v>146</v>
      </c>
    </row>
    <row r="1549" spans="1:16" x14ac:dyDescent="0.4">
      <c r="A1549">
        <v>1427</v>
      </c>
      <c r="B1549" t="s">
        <v>4915</v>
      </c>
      <c r="G1549" t="s">
        <v>2748</v>
      </c>
      <c r="H1549" t="s">
        <v>2747</v>
      </c>
      <c r="I1549">
        <v>187</v>
      </c>
      <c r="K1549" t="s">
        <v>4869</v>
      </c>
      <c r="L1549">
        <v>46283</v>
      </c>
      <c r="M1549">
        <v>97331</v>
      </c>
      <c r="N1549">
        <v>20</v>
      </c>
      <c r="O1549">
        <v>46280</v>
      </c>
      <c r="P1549">
        <v>167</v>
      </c>
    </row>
    <row r="1550" spans="1:16" x14ac:dyDescent="0.4">
      <c r="A1550">
        <v>1562</v>
      </c>
      <c r="B1550" t="s">
        <v>4915</v>
      </c>
      <c r="G1550" t="s">
        <v>2671</v>
      </c>
      <c r="H1550" t="s">
        <v>2670</v>
      </c>
      <c r="I1550">
        <v>210</v>
      </c>
      <c r="K1550" t="s">
        <v>4872</v>
      </c>
      <c r="L1550">
        <v>46282</v>
      </c>
      <c r="M1550">
        <v>97331</v>
      </c>
      <c r="N1550">
        <v>20</v>
      </c>
      <c r="O1550">
        <v>46280</v>
      </c>
      <c r="P1550">
        <v>190</v>
      </c>
    </row>
    <row r="1551" spans="1:16" x14ac:dyDescent="0.4">
      <c r="A1551">
        <v>1563</v>
      </c>
      <c r="B1551" t="s">
        <v>4915</v>
      </c>
      <c r="G1551" t="s">
        <v>2753</v>
      </c>
      <c r="H1551" t="s">
        <v>2752</v>
      </c>
      <c r="I1551">
        <v>212</v>
      </c>
      <c r="K1551" t="s">
        <v>4872</v>
      </c>
      <c r="L1551">
        <v>46282</v>
      </c>
      <c r="M1551">
        <v>97331</v>
      </c>
      <c r="N1551">
        <v>20</v>
      </c>
      <c r="O1551">
        <v>46280</v>
      </c>
      <c r="P1551">
        <v>192</v>
      </c>
    </row>
    <row r="1552" spans="1:16" x14ac:dyDescent="0.4">
      <c r="A1552">
        <v>1564</v>
      </c>
      <c r="B1552" t="s">
        <v>4915</v>
      </c>
      <c r="G1552" t="s">
        <v>2786</v>
      </c>
      <c r="H1552" t="s">
        <v>2785</v>
      </c>
      <c r="I1552">
        <v>226</v>
      </c>
      <c r="K1552" t="s">
        <v>4949</v>
      </c>
      <c r="L1552">
        <v>46282</v>
      </c>
      <c r="M1552">
        <v>97331</v>
      </c>
      <c r="N1552">
        <v>20</v>
      </c>
      <c r="O1552">
        <v>46280</v>
      </c>
      <c r="P1552">
        <v>206</v>
      </c>
    </row>
    <row r="1553" spans="1:16" x14ac:dyDescent="0.4">
      <c r="A1553">
        <v>1565</v>
      </c>
      <c r="B1553" t="s">
        <v>4915</v>
      </c>
      <c r="G1553" t="s">
        <v>2750</v>
      </c>
      <c r="H1553" t="s">
        <v>2749</v>
      </c>
      <c r="I1553">
        <v>238</v>
      </c>
      <c r="K1553" t="s">
        <v>4872</v>
      </c>
      <c r="L1553">
        <v>46282</v>
      </c>
      <c r="M1553">
        <v>97331</v>
      </c>
      <c r="N1553">
        <v>20</v>
      </c>
      <c r="O1553">
        <v>46280</v>
      </c>
      <c r="P1553">
        <v>218</v>
      </c>
    </row>
    <row r="1554" spans="1:16" x14ac:dyDescent="0.4">
      <c r="A1554">
        <v>2503</v>
      </c>
      <c r="B1554" t="s">
        <v>4915</v>
      </c>
      <c r="G1554" t="s">
        <v>2638</v>
      </c>
      <c r="H1554" t="s">
        <v>2637</v>
      </c>
      <c r="I1554">
        <v>270</v>
      </c>
      <c r="K1554" t="s">
        <v>4869</v>
      </c>
      <c r="L1554">
        <v>46297</v>
      </c>
      <c r="M1554">
        <v>97331</v>
      </c>
      <c r="N1554">
        <v>20</v>
      </c>
      <c r="O1554">
        <v>46297</v>
      </c>
      <c r="P1554">
        <v>250</v>
      </c>
    </row>
    <row r="1555" spans="1:16" x14ac:dyDescent="0.4">
      <c r="A1555">
        <v>1508</v>
      </c>
      <c r="B1555" t="s">
        <v>4915</v>
      </c>
      <c r="G1555" t="s">
        <v>4950</v>
      </c>
      <c r="H1555" t="s">
        <v>2691</v>
      </c>
      <c r="I1555">
        <v>322</v>
      </c>
      <c r="K1555" t="s">
        <v>4951</v>
      </c>
      <c r="L1555">
        <v>46293</v>
      </c>
      <c r="M1555">
        <v>97331</v>
      </c>
      <c r="N1555">
        <v>20</v>
      </c>
      <c r="O1555">
        <v>46280</v>
      </c>
      <c r="P1555">
        <v>302</v>
      </c>
    </row>
    <row r="1556" spans="1:16" x14ac:dyDescent="0.4">
      <c r="A1556">
        <v>1566</v>
      </c>
      <c r="B1556" t="s">
        <v>4915</v>
      </c>
      <c r="G1556" t="s">
        <v>1167</v>
      </c>
      <c r="H1556" t="s">
        <v>1166</v>
      </c>
      <c r="I1556">
        <v>324</v>
      </c>
      <c r="K1556" t="s">
        <v>4952</v>
      </c>
      <c r="L1556">
        <v>46282</v>
      </c>
      <c r="M1556">
        <v>97331</v>
      </c>
      <c r="N1556">
        <v>20</v>
      </c>
      <c r="O1556">
        <v>46280</v>
      </c>
      <c r="P1556">
        <v>304</v>
      </c>
    </row>
    <row r="1557" spans="1:16" x14ac:dyDescent="0.4">
      <c r="A1557">
        <v>1567</v>
      </c>
      <c r="B1557" t="s">
        <v>4915</v>
      </c>
      <c r="G1557" t="s">
        <v>1173</v>
      </c>
      <c r="H1557" t="s">
        <v>1172</v>
      </c>
      <c r="I1557">
        <v>329</v>
      </c>
      <c r="K1557" t="s">
        <v>4952</v>
      </c>
      <c r="L1557">
        <v>46282</v>
      </c>
      <c r="M1557">
        <v>97331</v>
      </c>
      <c r="N1557">
        <v>20</v>
      </c>
      <c r="O1557">
        <v>46280</v>
      </c>
      <c r="P1557">
        <v>309</v>
      </c>
    </row>
    <row r="1558" spans="1:16" x14ac:dyDescent="0.4">
      <c r="A1558">
        <v>1568</v>
      </c>
      <c r="B1558" t="s">
        <v>4915</v>
      </c>
      <c r="G1558" t="s">
        <v>2774</v>
      </c>
      <c r="H1558" t="s">
        <v>2773</v>
      </c>
      <c r="I1558">
        <v>335</v>
      </c>
      <c r="K1558" t="s">
        <v>4949</v>
      </c>
      <c r="L1558">
        <v>46282</v>
      </c>
      <c r="M1558">
        <v>97331</v>
      </c>
      <c r="N1558">
        <v>20</v>
      </c>
      <c r="O1558">
        <v>46280</v>
      </c>
      <c r="P1558">
        <v>315</v>
      </c>
    </row>
    <row r="1559" spans="1:16" x14ac:dyDescent="0.4">
      <c r="A1559">
        <v>1169</v>
      </c>
      <c r="B1559" t="s">
        <v>4915</v>
      </c>
      <c r="G1559" t="s">
        <v>2689</v>
      </c>
      <c r="H1559" t="s">
        <v>2688</v>
      </c>
      <c r="I1559">
        <v>407</v>
      </c>
      <c r="K1559" t="s">
        <v>4951</v>
      </c>
      <c r="L1559">
        <v>46280</v>
      </c>
      <c r="M1559">
        <v>97331</v>
      </c>
      <c r="N1559">
        <v>20</v>
      </c>
      <c r="O1559">
        <v>46280</v>
      </c>
      <c r="P1559">
        <v>387</v>
      </c>
    </row>
    <row r="1560" spans="1:16" x14ac:dyDescent="0.4">
      <c r="A1560">
        <v>546</v>
      </c>
      <c r="B1560" t="s">
        <v>4915</v>
      </c>
      <c r="D1560" t="s">
        <v>4916</v>
      </c>
      <c r="G1560" t="s">
        <v>1819</v>
      </c>
      <c r="H1560" t="s">
        <v>1818</v>
      </c>
      <c r="I1560">
        <v>695</v>
      </c>
      <c r="K1560" t="s">
        <v>5028</v>
      </c>
      <c r="L1560">
        <v>46273</v>
      </c>
      <c r="M1560">
        <v>97331</v>
      </c>
      <c r="N1560">
        <v>20</v>
      </c>
      <c r="O1560">
        <v>46280</v>
      </c>
      <c r="P1560">
        <v>675</v>
      </c>
    </row>
    <row r="1561" spans="1:16" x14ac:dyDescent="0.4">
      <c r="A1561">
        <v>547</v>
      </c>
      <c r="B1561" t="s">
        <v>4915</v>
      </c>
      <c r="D1561" t="s">
        <v>4916</v>
      </c>
      <c r="G1561" t="s">
        <v>1816</v>
      </c>
      <c r="H1561" t="s">
        <v>1815</v>
      </c>
      <c r="I1561">
        <v>698</v>
      </c>
      <c r="K1561" t="s">
        <v>5028</v>
      </c>
      <c r="L1561">
        <v>46273</v>
      </c>
      <c r="M1561">
        <v>97331</v>
      </c>
      <c r="N1561">
        <v>20</v>
      </c>
      <c r="O1561">
        <v>46280</v>
      </c>
      <c r="P1561">
        <v>678</v>
      </c>
    </row>
    <row r="1562" spans="1:16" x14ac:dyDescent="0.4">
      <c r="A1562">
        <v>1434</v>
      </c>
      <c r="B1562" t="s">
        <v>4915</v>
      </c>
      <c r="G1562" t="s">
        <v>999</v>
      </c>
      <c r="H1562" t="s">
        <v>998</v>
      </c>
      <c r="I1562">
        <v>798</v>
      </c>
      <c r="K1562" t="s">
        <v>4851</v>
      </c>
      <c r="L1562">
        <v>46283</v>
      </c>
      <c r="M1562">
        <v>97331</v>
      </c>
      <c r="N1562">
        <v>20</v>
      </c>
      <c r="O1562">
        <v>46280</v>
      </c>
      <c r="P1562">
        <v>778</v>
      </c>
    </row>
    <row r="1563" spans="1:16" x14ac:dyDescent="0.4">
      <c r="A1563">
        <v>1588</v>
      </c>
      <c r="B1563" t="s">
        <v>4915</v>
      </c>
      <c r="D1563" t="s">
        <v>4901</v>
      </c>
      <c r="E1563" t="s">
        <v>5148</v>
      </c>
      <c r="F1563" t="s">
        <v>4939</v>
      </c>
      <c r="G1563" t="s">
        <v>243</v>
      </c>
      <c r="H1563" t="s">
        <v>4961</v>
      </c>
      <c r="I1563">
        <v>1</v>
      </c>
      <c r="K1563" t="s">
        <v>4864</v>
      </c>
      <c r="L1563">
        <v>46279</v>
      </c>
      <c r="M1563">
        <v>97332</v>
      </c>
      <c r="N1563">
        <v>1</v>
      </c>
      <c r="O1563">
        <v>46282</v>
      </c>
      <c r="P1563">
        <v>0</v>
      </c>
    </row>
    <row r="1564" spans="1:16" x14ac:dyDescent="0.4">
      <c r="A1564">
        <v>1484</v>
      </c>
      <c r="B1564" t="s">
        <v>4915</v>
      </c>
      <c r="G1564" t="s">
        <v>2454</v>
      </c>
      <c r="H1564" t="s">
        <v>2453</v>
      </c>
      <c r="I1564">
        <v>3</v>
      </c>
      <c r="K1564" t="s">
        <v>4955</v>
      </c>
      <c r="L1564">
        <v>46282</v>
      </c>
      <c r="M1564">
        <v>97332</v>
      </c>
      <c r="N1564">
        <v>3</v>
      </c>
      <c r="O1564">
        <v>46282</v>
      </c>
      <c r="P1564">
        <v>0</v>
      </c>
    </row>
    <row r="1565" spans="1:16" x14ac:dyDescent="0.4">
      <c r="A1565">
        <v>1589</v>
      </c>
      <c r="B1565" t="s">
        <v>4915</v>
      </c>
      <c r="D1565" t="s">
        <v>4901</v>
      </c>
      <c r="E1565" t="s">
        <v>5148</v>
      </c>
      <c r="F1565" t="s">
        <v>4939</v>
      </c>
      <c r="G1565" t="s">
        <v>243</v>
      </c>
      <c r="H1565" t="s">
        <v>4961</v>
      </c>
      <c r="I1565">
        <v>9</v>
      </c>
      <c r="K1565" t="s">
        <v>4864</v>
      </c>
      <c r="L1565">
        <v>46279</v>
      </c>
      <c r="M1565">
        <v>97332</v>
      </c>
      <c r="N1565">
        <v>9</v>
      </c>
      <c r="O1565">
        <v>46282</v>
      </c>
      <c r="P1565">
        <v>0</v>
      </c>
    </row>
    <row r="1566" spans="1:16" x14ac:dyDescent="0.4">
      <c r="A1566">
        <v>1485</v>
      </c>
      <c r="B1566" t="s">
        <v>4915</v>
      </c>
      <c r="G1566" t="s">
        <v>243</v>
      </c>
      <c r="H1566" t="s">
        <v>4961</v>
      </c>
      <c r="I1566">
        <v>10</v>
      </c>
      <c r="K1566" t="s">
        <v>4864</v>
      </c>
      <c r="L1566">
        <v>46282</v>
      </c>
      <c r="M1566">
        <v>97332</v>
      </c>
      <c r="N1566">
        <v>10</v>
      </c>
      <c r="O1566">
        <v>46282</v>
      </c>
      <c r="P1566">
        <v>0</v>
      </c>
    </row>
    <row r="1567" spans="1:16" x14ac:dyDescent="0.4">
      <c r="A1567">
        <v>1487</v>
      </c>
      <c r="B1567" t="s">
        <v>4915</v>
      </c>
      <c r="G1567" t="s">
        <v>748</v>
      </c>
      <c r="H1567" t="s">
        <v>747</v>
      </c>
      <c r="I1567">
        <v>25</v>
      </c>
      <c r="K1567" t="s">
        <v>4956</v>
      </c>
      <c r="L1567">
        <v>46282</v>
      </c>
      <c r="M1567">
        <v>97332</v>
      </c>
      <c r="N1567">
        <v>20</v>
      </c>
      <c r="O1567">
        <v>46282</v>
      </c>
      <c r="P1567">
        <v>5</v>
      </c>
    </row>
    <row r="1568" spans="1:16" x14ac:dyDescent="0.4">
      <c r="A1568">
        <v>1488</v>
      </c>
      <c r="B1568" t="s">
        <v>4915</v>
      </c>
      <c r="G1568" t="s">
        <v>479</v>
      </c>
      <c r="H1568" t="s">
        <v>4959</v>
      </c>
      <c r="I1568">
        <v>28</v>
      </c>
      <c r="K1568" t="s">
        <v>4864</v>
      </c>
      <c r="L1568">
        <v>46282</v>
      </c>
      <c r="M1568">
        <v>97332</v>
      </c>
      <c r="N1568">
        <v>20</v>
      </c>
      <c r="O1568">
        <v>46282</v>
      </c>
      <c r="P1568">
        <v>8</v>
      </c>
    </row>
    <row r="1569" spans="1:16" x14ac:dyDescent="0.4">
      <c r="A1569">
        <v>1397</v>
      </c>
      <c r="B1569" t="s">
        <v>4915</v>
      </c>
      <c r="G1569" t="s">
        <v>844</v>
      </c>
      <c r="H1569" t="s">
        <v>843</v>
      </c>
      <c r="I1569">
        <v>51</v>
      </c>
      <c r="K1569" t="s">
        <v>4957</v>
      </c>
      <c r="L1569">
        <v>46283</v>
      </c>
      <c r="M1569">
        <v>97332</v>
      </c>
      <c r="N1569">
        <v>20</v>
      </c>
      <c r="O1569">
        <v>46282</v>
      </c>
      <c r="P1569">
        <v>31</v>
      </c>
    </row>
    <row r="1570" spans="1:16" x14ac:dyDescent="0.4">
      <c r="A1570">
        <v>1482</v>
      </c>
      <c r="B1570" t="s">
        <v>4915</v>
      </c>
      <c r="G1570" t="s">
        <v>750</v>
      </c>
      <c r="H1570" t="s">
        <v>749</v>
      </c>
      <c r="I1570">
        <v>78</v>
      </c>
      <c r="K1570" t="s">
        <v>4956</v>
      </c>
      <c r="L1570">
        <v>46282</v>
      </c>
      <c r="M1570">
        <v>97332</v>
      </c>
      <c r="N1570">
        <v>20</v>
      </c>
      <c r="O1570">
        <v>46282</v>
      </c>
      <c r="P1570">
        <v>58</v>
      </c>
    </row>
    <row r="1571" spans="1:16" x14ac:dyDescent="0.4">
      <c r="A1571">
        <v>1498</v>
      </c>
      <c r="B1571" t="s">
        <v>4915</v>
      </c>
      <c r="G1571" t="s">
        <v>631</v>
      </c>
      <c r="H1571" t="s">
        <v>4964</v>
      </c>
      <c r="I1571">
        <v>87</v>
      </c>
      <c r="K1571" t="s">
        <v>4864</v>
      </c>
      <c r="L1571">
        <v>46282</v>
      </c>
      <c r="M1571">
        <v>97332</v>
      </c>
      <c r="N1571">
        <v>20</v>
      </c>
      <c r="O1571">
        <v>46282</v>
      </c>
      <c r="P1571">
        <v>67</v>
      </c>
    </row>
    <row r="1572" spans="1:16" x14ac:dyDescent="0.4">
      <c r="A1572">
        <v>1489</v>
      </c>
      <c r="B1572" t="s">
        <v>4915</v>
      </c>
      <c r="G1572" t="s">
        <v>2457</v>
      </c>
      <c r="H1572" t="s">
        <v>2456</v>
      </c>
      <c r="I1572">
        <v>90</v>
      </c>
      <c r="K1572" t="s">
        <v>4954</v>
      </c>
      <c r="L1572">
        <v>46282</v>
      </c>
      <c r="M1572">
        <v>97332</v>
      </c>
      <c r="N1572">
        <v>20</v>
      </c>
      <c r="O1572">
        <v>46282</v>
      </c>
      <c r="P1572">
        <v>70</v>
      </c>
    </row>
    <row r="1573" spans="1:16" x14ac:dyDescent="0.4">
      <c r="A1573">
        <v>1491</v>
      </c>
      <c r="B1573" t="s">
        <v>4915</v>
      </c>
      <c r="G1573" t="s">
        <v>2473</v>
      </c>
      <c r="H1573" t="s">
        <v>2472</v>
      </c>
      <c r="I1573">
        <v>95</v>
      </c>
      <c r="K1573" t="s">
        <v>4958</v>
      </c>
      <c r="L1573">
        <v>46282</v>
      </c>
      <c r="M1573">
        <v>97332</v>
      </c>
      <c r="N1573">
        <v>20</v>
      </c>
      <c r="O1573">
        <v>46282</v>
      </c>
      <c r="P1573">
        <v>75</v>
      </c>
    </row>
    <row r="1574" spans="1:16" x14ac:dyDescent="0.4">
      <c r="A1574">
        <v>1394</v>
      </c>
      <c r="B1574" t="s">
        <v>4915</v>
      </c>
      <c r="G1574" t="s">
        <v>2499</v>
      </c>
      <c r="H1574" t="s">
        <v>2498</v>
      </c>
      <c r="I1574">
        <v>100</v>
      </c>
      <c r="K1574" t="s">
        <v>4955</v>
      </c>
      <c r="L1574">
        <v>46283</v>
      </c>
      <c r="M1574">
        <v>97332</v>
      </c>
      <c r="N1574">
        <v>40</v>
      </c>
      <c r="O1574">
        <v>46282</v>
      </c>
      <c r="P1574">
        <v>60</v>
      </c>
    </row>
    <row r="1575" spans="1:16" x14ac:dyDescent="0.4">
      <c r="A1575">
        <v>1587</v>
      </c>
      <c r="B1575" t="s">
        <v>4915</v>
      </c>
      <c r="D1575" t="s">
        <v>4901</v>
      </c>
      <c r="E1575" t="s">
        <v>5165</v>
      </c>
      <c r="F1575" t="s">
        <v>5151</v>
      </c>
      <c r="G1575" t="s">
        <v>2454</v>
      </c>
      <c r="H1575" t="s">
        <v>2453</v>
      </c>
      <c r="I1575">
        <v>150</v>
      </c>
      <c r="K1575" t="s">
        <v>4955</v>
      </c>
      <c r="L1575">
        <v>46279</v>
      </c>
      <c r="M1575">
        <v>97332</v>
      </c>
      <c r="N1575">
        <v>17</v>
      </c>
      <c r="O1575">
        <v>46282</v>
      </c>
      <c r="P1575">
        <v>133</v>
      </c>
    </row>
    <row r="1576" spans="1:16" x14ac:dyDescent="0.4">
      <c r="A1576">
        <v>1481</v>
      </c>
      <c r="B1576" t="s">
        <v>4915</v>
      </c>
      <c r="G1576" t="s">
        <v>2475</v>
      </c>
      <c r="H1576" t="s">
        <v>2474</v>
      </c>
      <c r="I1576">
        <v>173</v>
      </c>
      <c r="K1576" t="s">
        <v>4958</v>
      </c>
      <c r="L1576">
        <v>46282</v>
      </c>
      <c r="M1576">
        <v>97332</v>
      </c>
      <c r="N1576">
        <v>20</v>
      </c>
      <c r="O1576">
        <v>46282</v>
      </c>
      <c r="P1576">
        <v>153</v>
      </c>
    </row>
    <row r="1577" spans="1:16" x14ac:dyDescent="0.4">
      <c r="A1577">
        <v>1497</v>
      </c>
      <c r="B1577" t="s">
        <v>4915</v>
      </c>
      <c r="G1577" t="s">
        <v>633</v>
      </c>
      <c r="H1577" t="s">
        <v>4963</v>
      </c>
      <c r="I1577">
        <v>199</v>
      </c>
      <c r="K1577" t="s">
        <v>4864</v>
      </c>
      <c r="L1577">
        <v>46282</v>
      </c>
      <c r="M1577">
        <v>97332</v>
      </c>
      <c r="N1577">
        <v>20</v>
      </c>
      <c r="O1577">
        <v>46282</v>
      </c>
      <c r="P1577">
        <v>179</v>
      </c>
    </row>
    <row r="1578" spans="1:16" x14ac:dyDescent="0.4">
      <c r="A1578">
        <v>1493</v>
      </c>
      <c r="B1578" t="s">
        <v>4915</v>
      </c>
      <c r="G1578" t="s">
        <v>2784</v>
      </c>
      <c r="H1578" t="s">
        <v>2783</v>
      </c>
      <c r="I1578">
        <v>200</v>
      </c>
      <c r="K1578" t="s">
        <v>4869</v>
      </c>
      <c r="L1578">
        <v>46282</v>
      </c>
      <c r="M1578">
        <v>97332</v>
      </c>
      <c r="N1578">
        <v>20</v>
      </c>
      <c r="O1578">
        <v>46282</v>
      </c>
      <c r="P1578">
        <v>180</v>
      </c>
    </row>
    <row r="1579" spans="1:16" x14ac:dyDescent="0.4">
      <c r="A1579">
        <v>1495</v>
      </c>
      <c r="B1579" t="s">
        <v>4915</v>
      </c>
      <c r="G1579" t="s">
        <v>2782</v>
      </c>
      <c r="H1579" t="s">
        <v>2781</v>
      </c>
      <c r="I1579">
        <v>209</v>
      </c>
      <c r="K1579" t="s">
        <v>4869</v>
      </c>
      <c r="L1579">
        <v>46282</v>
      </c>
      <c r="M1579">
        <v>97332</v>
      </c>
      <c r="N1579">
        <v>20</v>
      </c>
      <c r="O1579">
        <v>46282</v>
      </c>
      <c r="P1579">
        <v>189</v>
      </c>
    </row>
    <row r="1580" spans="1:16" x14ac:dyDescent="0.4">
      <c r="A1580">
        <v>1395</v>
      </c>
      <c r="B1580" t="s">
        <v>4915</v>
      </c>
      <c r="G1580" t="s">
        <v>2501</v>
      </c>
      <c r="H1580" t="s">
        <v>2500</v>
      </c>
      <c r="I1580">
        <v>229</v>
      </c>
      <c r="K1580" t="s">
        <v>4955</v>
      </c>
      <c r="L1580">
        <v>46283</v>
      </c>
      <c r="M1580">
        <v>97332</v>
      </c>
      <c r="N1580">
        <v>20</v>
      </c>
      <c r="O1580">
        <v>46282</v>
      </c>
      <c r="P1580">
        <v>209</v>
      </c>
    </row>
    <row r="1581" spans="1:16" x14ac:dyDescent="0.4">
      <c r="A1581">
        <v>1500</v>
      </c>
      <c r="B1581" t="s">
        <v>4915</v>
      </c>
      <c r="G1581" t="s">
        <v>246</v>
      </c>
      <c r="H1581" t="s">
        <v>4960</v>
      </c>
      <c r="I1581">
        <v>398</v>
      </c>
      <c r="K1581" t="s">
        <v>4864</v>
      </c>
      <c r="L1581">
        <v>46282</v>
      </c>
      <c r="M1581">
        <v>97332</v>
      </c>
      <c r="N1581">
        <v>20</v>
      </c>
      <c r="O1581">
        <v>46282</v>
      </c>
      <c r="P1581">
        <v>378</v>
      </c>
    </row>
    <row r="1582" spans="1:16" x14ac:dyDescent="0.4">
      <c r="A1582">
        <v>1393</v>
      </c>
      <c r="B1582" t="s">
        <v>4915</v>
      </c>
      <c r="G1582" t="s">
        <v>2566</v>
      </c>
      <c r="H1582" t="s">
        <v>2565</v>
      </c>
      <c r="I1582">
        <v>449</v>
      </c>
      <c r="K1582" t="s">
        <v>4851</v>
      </c>
      <c r="L1582">
        <v>46283</v>
      </c>
      <c r="M1582">
        <v>97332</v>
      </c>
      <c r="N1582">
        <v>20</v>
      </c>
      <c r="O1582">
        <v>46282</v>
      </c>
      <c r="P1582">
        <v>429</v>
      </c>
    </row>
    <row r="1583" spans="1:16" x14ac:dyDescent="0.4">
      <c r="A1583">
        <v>1501</v>
      </c>
      <c r="B1583" t="s">
        <v>4915</v>
      </c>
      <c r="G1583" t="s">
        <v>723</v>
      </c>
      <c r="H1583" t="s">
        <v>4962</v>
      </c>
      <c r="I1583">
        <v>546</v>
      </c>
      <c r="K1583" t="s">
        <v>4864</v>
      </c>
      <c r="L1583">
        <v>46282</v>
      </c>
      <c r="M1583">
        <v>97332</v>
      </c>
      <c r="N1583">
        <v>20</v>
      </c>
      <c r="O1583">
        <v>46282</v>
      </c>
      <c r="P1583">
        <v>526</v>
      </c>
    </row>
    <row r="1584" spans="1:16" x14ac:dyDescent="0.4">
      <c r="A1584">
        <v>1502</v>
      </c>
      <c r="B1584" t="s">
        <v>4915</v>
      </c>
      <c r="G1584" t="s">
        <v>2555</v>
      </c>
      <c r="H1584" t="s">
        <v>2554</v>
      </c>
      <c r="I1584">
        <v>667</v>
      </c>
      <c r="K1584" t="s">
        <v>4871</v>
      </c>
      <c r="L1584">
        <v>46282</v>
      </c>
      <c r="M1584">
        <v>97332</v>
      </c>
      <c r="N1584">
        <v>20</v>
      </c>
      <c r="O1584">
        <v>46282</v>
      </c>
      <c r="P1584">
        <v>647</v>
      </c>
    </row>
    <row r="1585" spans="1:16" x14ac:dyDescent="0.4">
      <c r="A1585">
        <v>273</v>
      </c>
      <c r="B1585" t="s">
        <v>4915</v>
      </c>
      <c r="G1585" t="s">
        <v>2831</v>
      </c>
      <c r="H1585" t="s">
        <v>2830</v>
      </c>
      <c r="I1585">
        <v>48</v>
      </c>
      <c r="K1585" t="s">
        <v>4862</v>
      </c>
      <c r="L1585">
        <v>46232</v>
      </c>
      <c r="M1585">
        <v>97333</v>
      </c>
      <c r="N1585">
        <v>3</v>
      </c>
      <c r="O1585">
        <v>46279</v>
      </c>
      <c r="P1585">
        <v>45</v>
      </c>
    </row>
    <row r="1586" spans="1:16" x14ac:dyDescent="0.4">
      <c r="A1586">
        <v>269</v>
      </c>
      <c r="B1586" t="s">
        <v>4915</v>
      </c>
      <c r="G1586" t="s">
        <v>4843</v>
      </c>
      <c r="H1586" t="s">
        <v>2775</v>
      </c>
      <c r="I1586">
        <v>124</v>
      </c>
      <c r="K1586" t="s">
        <v>4869</v>
      </c>
      <c r="L1586">
        <v>46232</v>
      </c>
      <c r="M1586">
        <v>97333</v>
      </c>
      <c r="N1586">
        <v>3</v>
      </c>
      <c r="O1586">
        <v>46279</v>
      </c>
      <c r="P1586">
        <v>121</v>
      </c>
    </row>
    <row r="1587" spans="1:16" x14ac:dyDescent="0.4">
      <c r="A1587">
        <v>294</v>
      </c>
      <c r="B1587" t="s">
        <v>4915</v>
      </c>
      <c r="G1587" t="s">
        <v>2254</v>
      </c>
      <c r="H1587" t="s">
        <v>2253</v>
      </c>
      <c r="I1587">
        <v>333</v>
      </c>
      <c r="K1587" t="s">
        <v>4851</v>
      </c>
      <c r="L1587">
        <v>46232</v>
      </c>
      <c r="M1587">
        <v>97333</v>
      </c>
      <c r="N1587">
        <v>6</v>
      </c>
      <c r="O1587">
        <v>46279</v>
      </c>
      <c r="P1587">
        <v>327</v>
      </c>
    </row>
    <row r="1588" spans="1:16" x14ac:dyDescent="0.4">
      <c r="A1588">
        <v>288</v>
      </c>
      <c r="B1588" t="s">
        <v>4915</v>
      </c>
      <c r="G1588" t="s">
        <v>2148</v>
      </c>
      <c r="H1588" t="s">
        <v>2147</v>
      </c>
      <c r="I1588">
        <v>596</v>
      </c>
      <c r="K1588" t="s">
        <v>4863</v>
      </c>
      <c r="L1588">
        <v>46232</v>
      </c>
      <c r="M1588">
        <v>97333</v>
      </c>
      <c r="N1588">
        <v>3</v>
      </c>
      <c r="O1588">
        <v>46279</v>
      </c>
      <c r="P1588">
        <v>593</v>
      </c>
    </row>
    <row r="1589" spans="1:16" x14ac:dyDescent="0.4">
      <c r="A1589">
        <v>287</v>
      </c>
      <c r="B1589" t="s">
        <v>4915</v>
      </c>
      <c r="G1589" t="s">
        <v>2145</v>
      </c>
      <c r="H1589" t="s">
        <v>2144</v>
      </c>
      <c r="I1589">
        <v>712</v>
      </c>
      <c r="K1589" t="s">
        <v>4863</v>
      </c>
      <c r="L1589">
        <v>46232</v>
      </c>
      <c r="M1589">
        <v>97333</v>
      </c>
      <c r="N1589">
        <v>3</v>
      </c>
      <c r="O1589">
        <v>46279</v>
      </c>
      <c r="P1589">
        <v>709</v>
      </c>
    </row>
    <row r="1590" spans="1:16" x14ac:dyDescent="0.4">
      <c r="A1590">
        <v>829</v>
      </c>
      <c r="B1590" t="s">
        <v>4915</v>
      </c>
      <c r="G1590" t="s">
        <v>4971</v>
      </c>
      <c r="H1590" t="s">
        <v>4972</v>
      </c>
      <c r="I1590">
        <v>40</v>
      </c>
      <c r="K1590" t="s">
        <v>4973</v>
      </c>
      <c r="L1590">
        <v>46274</v>
      </c>
      <c r="M1590">
        <v>97340</v>
      </c>
      <c r="N1590">
        <v>15</v>
      </c>
      <c r="O1590">
        <v>46276</v>
      </c>
      <c r="P1590">
        <v>25</v>
      </c>
    </row>
    <row r="1591" spans="1:16" x14ac:dyDescent="0.4">
      <c r="A1591">
        <v>970</v>
      </c>
      <c r="B1591" t="s">
        <v>4915</v>
      </c>
      <c r="D1591" t="s">
        <v>4916</v>
      </c>
      <c r="G1591" t="s">
        <v>635</v>
      </c>
      <c r="H1591" t="s">
        <v>634</v>
      </c>
      <c r="I1591">
        <v>62</v>
      </c>
      <c r="K1591" t="s">
        <v>5024</v>
      </c>
      <c r="L1591">
        <v>46276</v>
      </c>
      <c r="M1591">
        <v>97340</v>
      </c>
      <c r="N1591">
        <v>36</v>
      </c>
      <c r="O1591">
        <v>46276</v>
      </c>
      <c r="P1591">
        <v>26</v>
      </c>
    </row>
    <row r="1592" spans="1:16" x14ac:dyDescent="0.4">
      <c r="A1592">
        <v>650</v>
      </c>
      <c r="B1592" t="s">
        <v>4915</v>
      </c>
      <c r="D1592" t="s">
        <v>4916</v>
      </c>
      <c r="G1592" t="s">
        <v>1318</v>
      </c>
      <c r="H1592" t="s">
        <v>1317</v>
      </c>
      <c r="I1592">
        <v>164</v>
      </c>
      <c r="K1592" t="s">
        <v>4999</v>
      </c>
      <c r="L1592">
        <v>46273</v>
      </c>
      <c r="M1592">
        <v>97921</v>
      </c>
      <c r="N1592">
        <v>1</v>
      </c>
      <c r="O1592">
        <v>46276</v>
      </c>
      <c r="P1592">
        <v>163</v>
      </c>
    </row>
    <row r="1593" spans="1:16" x14ac:dyDescent="0.4">
      <c r="A1593">
        <v>729</v>
      </c>
      <c r="B1593" t="s">
        <v>4915</v>
      </c>
      <c r="G1593" t="s">
        <v>2641</v>
      </c>
      <c r="H1593" t="s">
        <v>2640</v>
      </c>
      <c r="I1593">
        <v>156</v>
      </c>
      <c r="K1593" t="s">
        <v>4869</v>
      </c>
      <c r="L1593">
        <v>46275</v>
      </c>
      <c r="M1593">
        <v>97931</v>
      </c>
      <c r="N1593">
        <v>30</v>
      </c>
      <c r="O1593">
        <v>46276</v>
      </c>
      <c r="P1593">
        <v>126</v>
      </c>
    </row>
    <row r="1594" spans="1:16" x14ac:dyDescent="0.4">
      <c r="A1594">
        <v>1036</v>
      </c>
      <c r="B1594" t="s">
        <v>4915</v>
      </c>
      <c r="D1594" t="s">
        <v>4916</v>
      </c>
      <c r="G1594" t="s">
        <v>2601</v>
      </c>
      <c r="H1594" t="s">
        <v>2600</v>
      </c>
      <c r="I1594">
        <v>218</v>
      </c>
      <c r="K1594" t="s">
        <v>4851</v>
      </c>
      <c r="L1594">
        <v>46276</v>
      </c>
      <c r="M1594">
        <v>97932</v>
      </c>
      <c r="N1594">
        <v>2</v>
      </c>
      <c r="O1594">
        <v>46276</v>
      </c>
      <c r="P1594">
        <v>216</v>
      </c>
    </row>
    <row r="1595" spans="1:16" x14ac:dyDescent="0.4">
      <c r="A1595">
        <v>2511</v>
      </c>
      <c r="B1595" t="s">
        <v>4915</v>
      </c>
      <c r="G1595" t="s">
        <v>4971</v>
      </c>
      <c r="H1595" t="s">
        <v>4972</v>
      </c>
      <c r="I1595">
        <v>2</v>
      </c>
      <c r="K1595" t="s">
        <v>4973</v>
      </c>
      <c r="L1595">
        <v>46296</v>
      </c>
      <c r="M1595">
        <v>97937</v>
      </c>
      <c r="N1595">
        <v>2</v>
      </c>
      <c r="O1595">
        <v>46296</v>
      </c>
      <c r="P1595">
        <v>0</v>
      </c>
    </row>
    <row r="1596" spans="1:16" x14ac:dyDescent="0.4">
      <c r="A1596">
        <v>2509</v>
      </c>
      <c r="B1596" t="s">
        <v>4915</v>
      </c>
      <c r="D1596" t="s">
        <v>4901</v>
      </c>
      <c r="E1596" t="s">
        <v>5166</v>
      </c>
      <c r="F1596" t="s">
        <v>4939</v>
      </c>
      <c r="G1596" t="s">
        <v>4971</v>
      </c>
      <c r="H1596" t="s">
        <v>4972</v>
      </c>
      <c r="I1596">
        <v>100</v>
      </c>
      <c r="K1596" t="s">
        <v>4973</v>
      </c>
      <c r="L1596">
        <v>46295</v>
      </c>
      <c r="M1596">
        <v>97937</v>
      </c>
      <c r="N1596">
        <v>13</v>
      </c>
      <c r="O1596">
        <v>46296</v>
      </c>
      <c r="P1596">
        <v>87</v>
      </c>
    </row>
    <row r="1597" spans="1:16" x14ac:dyDescent="0.4">
      <c r="A1597">
        <v>1998</v>
      </c>
      <c r="B1597" t="s">
        <v>4915</v>
      </c>
      <c r="G1597" t="s">
        <v>840</v>
      </c>
      <c r="H1597" t="s">
        <v>839</v>
      </c>
      <c r="I1597">
        <v>178</v>
      </c>
      <c r="K1597" t="s">
        <v>4740</v>
      </c>
      <c r="L1597">
        <v>46294</v>
      </c>
      <c r="M1597">
        <v>97937</v>
      </c>
      <c r="N1597">
        <v>20</v>
      </c>
      <c r="O1597">
        <v>46294</v>
      </c>
      <c r="P1597">
        <v>158</v>
      </c>
    </row>
    <row r="1598" spans="1:16" x14ac:dyDescent="0.4">
      <c r="A1598">
        <v>1388</v>
      </c>
      <c r="B1598" t="s">
        <v>4915</v>
      </c>
      <c r="G1598" t="s">
        <v>2454</v>
      </c>
      <c r="H1598" t="s">
        <v>2453</v>
      </c>
      <c r="I1598">
        <v>23</v>
      </c>
      <c r="K1598" t="s">
        <v>4955</v>
      </c>
      <c r="L1598">
        <v>46283</v>
      </c>
      <c r="M1598">
        <v>97938</v>
      </c>
      <c r="N1598">
        <v>20</v>
      </c>
      <c r="O1598">
        <v>46282</v>
      </c>
      <c r="P1598">
        <v>3</v>
      </c>
    </row>
    <row r="1599" spans="1:16" x14ac:dyDescent="0.4">
      <c r="A1599">
        <v>1161</v>
      </c>
      <c r="B1599" t="s">
        <v>4915</v>
      </c>
      <c r="G1599" t="s">
        <v>243</v>
      </c>
      <c r="H1599" t="s">
        <v>4961</v>
      </c>
      <c r="I1599">
        <v>30</v>
      </c>
      <c r="K1599" t="s">
        <v>4864</v>
      </c>
      <c r="L1599">
        <v>46281</v>
      </c>
      <c r="M1599">
        <v>97938</v>
      </c>
      <c r="N1599">
        <v>20</v>
      </c>
      <c r="O1599">
        <v>46282</v>
      </c>
      <c r="P1599">
        <v>10</v>
      </c>
    </row>
    <row r="1600" spans="1:16" x14ac:dyDescent="0.4">
      <c r="A1600">
        <v>935</v>
      </c>
      <c r="B1600" t="s">
        <v>4915</v>
      </c>
      <c r="D1600" t="s">
        <v>4916</v>
      </c>
      <c r="G1600" t="s">
        <v>2609</v>
      </c>
      <c r="H1600" t="s">
        <v>2608</v>
      </c>
      <c r="I1600">
        <v>40</v>
      </c>
      <c r="K1600" t="s">
        <v>5060</v>
      </c>
      <c r="L1600">
        <v>46276</v>
      </c>
      <c r="M1600">
        <v>97938</v>
      </c>
      <c r="N1600">
        <v>20</v>
      </c>
      <c r="O1600">
        <v>46282</v>
      </c>
      <c r="P1600">
        <v>20</v>
      </c>
    </row>
    <row r="1601" spans="1:16" x14ac:dyDescent="0.4">
      <c r="A1601">
        <v>1382</v>
      </c>
      <c r="B1601" t="s">
        <v>4915</v>
      </c>
      <c r="G1601" t="s">
        <v>748</v>
      </c>
      <c r="H1601" t="s">
        <v>747</v>
      </c>
      <c r="I1601">
        <v>45</v>
      </c>
      <c r="K1601" t="s">
        <v>4956</v>
      </c>
      <c r="L1601">
        <v>46283</v>
      </c>
      <c r="M1601">
        <v>97938</v>
      </c>
      <c r="N1601">
        <v>20</v>
      </c>
      <c r="O1601">
        <v>46282</v>
      </c>
      <c r="P1601">
        <v>25</v>
      </c>
    </row>
    <row r="1602" spans="1:16" x14ac:dyDescent="0.4">
      <c r="A1602">
        <v>856</v>
      </c>
      <c r="B1602" t="s">
        <v>4915</v>
      </c>
      <c r="G1602" t="s">
        <v>479</v>
      </c>
      <c r="H1602" t="s">
        <v>4959</v>
      </c>
      <c r="I1602">
        <v>48</v>
      </c>
      <c r="K1602" t="s">
        <v>4864</v>
      </c>
      <c r="L1602">
        <v>46275</v>
      </c>
      <c r="M1602">
        <v>97938</v>
      </c>
      <c r="N1602">
        <v>20</v>
      </c>
      <c r="O1602">
        <v>46282</v>
      </c>
      <c r="P1602">
        <v>28</v>
      </c>
    </row>
    <row r="1603" spans="1:16" x14ac:dyDescent="0.4">
      <c r="A1603">
        <v>1383</v>
      </c>
      <c r="B1603" t="s">
        <v>4915</v>
      </c>
      <c r="G1603" t="s">
        <v>750</v>
      </c>
      <c r="H1603" t="s">
        <v>749</v>
      </c>
      <c r="I1603">
        <v>98</v>
      </c>
      <c r="K1603" t="s">
        <v>4956</v>
      </c>
      <c r="L1603">
        <v>46283</v>
      </c>
      <c r="M1603">
        <v>97938</v>
      </c>
      <c r="N1603">
        <v>20</v>
      </c>
      <c r="O1603">
        <v>46282</v>
      </c>
      <c r="P1603">
        <v>78</v>
      </c>
    </row>
    <row r="1604" spans="1:16" x14ac:dyDescent="0.4">
      <c r="A1604">
        <v>1384</v>
      </c>
      <c r="B1604" t="s">
        <v>4915</v>
      </c>
      <c r="G1604" t="s">
        <v>631</v>
      </c>
      <c r="H1604" t="s">
        <v>4964</v>
      </c>
      <c r="I1604">
        <v>107</v>
      </c>
      <c r="K1604" t="s">
        <v>4864</v>
      </c>
      <c r="L1604">
        <v>46283</v>
      </c>
      <c r="M1604">
        <v>97938</v>
      </c>
      <c r="N1604">
        <v>20</v>
      </c>
      <c r="O1604">
        <v>46282</v>
      </c>
      <c r="P1604">
        <v>87</v>
      </c>
    </row>
    <row r="1605" spans="1:16" x14ac:dyDescent="0.4">
      <c r="A1605">
        <v>1390</v>
      </c>
      <c r="B1605" t="s">
        <v>4915</v>
      </c>
      <c r="G1605" t="s">
        <v>2457</v>
      </c>
      <c r="H1605" t="s">
        <v>2456</v>
      </c>
      <c r="I1605">
        <v>110</v>
      </c>
      <c r="K1605" t="s">
        <v>4954</v>
      </c>
      <c r="L1605">
        <v>46283</v>
      </c>
      <c r="M1605">
        <v>97938</v>
      </c>
      <c r="N1605">
        <v>20</v>
      </c>
      <c r="O1605">
        <v>46282</v>
      </c>
      <c r="P1605">
        <v>90</v>
      </c>
    </row>
    <row r="1606" spans="1:16" x14ac:dyDescent="0.4">
      <c r="A1606">
        <v>1160</v>
      </c>
      <c r="B1606" t="s">
        <v>4915</v>
      </c>
      <c r="G1606" t="s">
        <v>2601</v>
      </c>
      <c r="H1606" t="s">
        <v>2600</v>
      </c>
      <c r="I1606">
        <v>111</v>
      </c>
      <c r="K1606" t="s">
        <v>4851</v>
      </c>
      <c r="L1606">
        <v>46281</v>
      </c>
      <c r="M1606">
        <v>97938</v>
      </c>
      <c r="N1606">
        <v>40</v>
      </c>
      <c r="O1606">
        <v>46282</v>
      </c>
      <c r="P1606">
        <v>71</v>
      </c>
    </row>
    <row r="1607" spans="1:16" x14ac:dyDescent="0.4">
      <c r="A1607">
        <v>1392</v>
      </c>
      <c r="B1607" t="s">
        <v>4915</v>
      </c>
      <c r="G1607" t="s">
        <v>2473</v>
      </c>
      <c r="H1607" t="s">
        <v>2472</v>
      </c>
      <c r="I1607">
        <v>115</v>
      </c>
      <c r="K1607" t="s">
        <v>4958</v>
      </c>
      <c r="L1607">
        <v>46283</v>
      </c>
      <c r="M1607">
        <v>97938</v>
      </c>
      <c r="N1607">
        <v>20</v>
      </c>
      <c r="O1607">
        <v>46282</v>
      </c>
      <c r="P1607">
        <v>95</v>
      </c>
    </row>
    <row r="1608" spans="1:16" x14ac:dyDescent="0.4">
      <c r="A1608">
        <v>1106</v>
      </c>
      <c r="B1608" t="s">
        <v>4915</v>
      </c>
      <c r="D1608" t="s">
        <v>4916</v>
      </c>
      <c r="G1608" t="s">
        <v>2479</v>
      </c>
      <c r="H1608" t="s">
        <v>5138</v>
      </c>
      <c r="I1608">
        <v>134</v>
      </c>
      <c r="K1608" t="s">
        <v>5109</v>
      </c>
      <c r="L1608">
        <v>46276</v>
      </c>
      <c r="M1608">
        <v>97938</v>
      </c>
      <c r="N1608">
        <v>20</v>
      </c>
      <c r="O1608">
        <v>46282</v>
      </c>
      <c r="P1608">
        <v>114</v>
      </c>
    </row>
    <row r="1609" spans="1:16" x14ac:dyDescent="0.4">
      <c r="A1609">
        <v>1391</v>
      </c>
      <c r="B1609" t="s">
        <v>4915</v>
      </c>
      <c r="G1609" t="s">
        <v>2475</v>
      </c>
      <c r="H1609" t="s">
        <v>2474</v>
      </c>
      <c r="I1609">
        <v>193</v>
      </c>
      <c r="K1609" t="s">
        <v>4958</v>
      </c>
      <c r="L1609">
        <v>46283</v>
      </c>
      <c r="M1609">
        <v>97938</v>
      </c>
      <c r="N1609">
        <v>20</v>
      </c>
      <c r="O1609">
        <v>46282</v>
      </c>
      <c r="P1609">
        <v>173</v>
      </c>
    </row>
    <row r="1610" spans="1:16" x14ac:dyDescent="0.4">
      <c r="A1610">
        <v>1385</v>
      </c>
      <c r="B1610" t="s">
        <v>4915</v>
      </c>
      <c r="G1610" t="s">
        <v>633</v>
      </c>
      <c r="H1610" t="s">
        <v>4963</v>
      </c>
      <c r="I1610">
        <v>219</v>
      </c>
      <c r="K1610" t="s">
        <v>4864</v>
      </c>
      <c r="L1610">
        <v>46283</v>
      </c>
      <c r="M1610">
        <v>97938</v>
      </c>
      <c r="N1610">
        <v>20</v>
      </c>
      <c r="O1610">
        <v>46282</v>
      </c>
      <c r="P1610">
        <v>199</v>
      </c>
    </row>
    <row r="1611" spans="1:16" x14ac:dyDescent="0.4">
      <c r="A1611">
        <v>1399</v>
      </c>
      <c r="B1611" t="s">
        <v>4915</v>
      </c>
      <c r="G1611" t="s">
        <v>2784</v>
      </c>
      <c r="H1611" t="s">
        <v>2783</v>
      </c>
      <c r="I1611">
        <v>220</v>
      </c>
      <c r="K1611" t="s">
        <v>4869</v>
      </c>
      <c r="L1611">
        <v>46283</v>
      </c>
      <c r="M1611">
        <v>97938</v>
      </c>
      <c r="N1611">
        <v>20</v>
      </c>
      <c r="O1611">
        <v>46282</v>
      </c>
      <c r="P1611">
        <v>200</v>
      </c>
    </row>
    <row r="1612" spans="1:16" x14ac:dyDescent="0.4">
      <c r="A1612">
        <v>1038</v>
      </c>
      <c r="B1612" t="s">
        <v>4915</v>
      </c>
      <c r="D1612" t="s">
        <v>4916</v>
      </c>
      <c r="G1612" t="s">
        <v>2507</v>
      </c>
      <c r="H1612" t="s">
        <v>2506</v>
      </c>
      <c r="I1612">
        <v>225</v>
      </c>
      <c r="K1612" t="s">
        <v>5060</v>
      </c>
      <c r="L1612">
        <v>46276</v>
      </c>
      <c r="M1612">
        <v>97938</v>
      </c>
      <c r="N1612">
        <v>20</v>
      </c>
      <c r="O1612">
        <v>46282</v>
      </c>
      <c r="P1612">
        <v>205</v>
      </c>
    </row>
    <row r="1613" spans="1:16" x14ac:dyDescent="0.4">
      <c r="A1613">
        <v>1398</v>
      </c>
      <c r="B1613" t="s">
        <v>4915</v>
      </c>
      <c r="G1613" t="s">
        <v>2782</v>
      </c>
      <c r="H1613" t="s">
        <v>2781</v>
      </c>
      <c r="I1613">
        <v>229</v>
      </c>
      <c r="K1613" t="s">
        <v>4869</v>
      </c>
      <c r="L1613">
        <v>46283</v>
      </c>
      <c r="M1613">
        <v>97938</v>
      </c>
      <c r="N1613">
        <v>20</v>
      </c>
      <c r="O1613">
        <v>46282</v>
      </c>
      <c r="P1613">
        <v>209</v>
      </c>
    </row>
    <row r="1614" spans="1:16" x14ac:dyDescent="0.4">
      <c r="A1614">
        <v>1396</v>
      </c>
      <c r="B1614" t="s">
        <v>4915</v>
      </c>
      <c r="G1614" t="s">
        <v>2553</v>
      </c>
      <c r="H1614" t="s">
        <v>2552</v>
      </c>
      <c r="I1614">
        <v>232</v>
      </c>
      <c r="K1614" t="s">
        <v>4871</v>
      </c>
      <c r="L1614">
        <v>46283</v>
      </c>
      <c r="M1614">
        <v>97938</v>
      </c>
      <c r="N1614">
        <v>40</v>
      </c>
      <c r="O1614">
        <v>46282</v>
      </c>
      <c r="P1614">
        <v>192</v>
      </c>
    </row>
    <row r="1615" spans="1:16" x14ac:dyDescent="0.4">
      <c r="A1615">
        <v>1381</v>
      </c>
      <c r="B1615" t="s">
        <v>4915</v>
      </c>
      <c r="G1615" t="s">
        <v>1005</v>
      </c>
      <c r="H1615" t="s">
        <v>1004</v>
      </c>
      <c r="I1615">
        <v>320</v>
      </c>
      <c r="K1615" t="s">
        <v>4871</v>
      </c>
      <c r="L1615">
        <v>46283</v>
      </c>
      <c r="M1615">
        <v>97938</v>
      </c>
      <c r="N1615">
        <v>20</v>
      </c>
      <c r="O1615">
        <v>46282</v>
      </c>
      <c r="P1615">
        <v>300</v>
      </c>
    </row>
    <row r="1616" spans="1:16" x14ac:dyDescent="0.4">
      <c r="A1616">
        <v>1056</v>
      </c>
      <c r="B1616" t="s">
        <v>4915</v>
      </c>
      <c r="D1616" t="s">
        <v>4916</v>
      </c>
      <c r="G1616" t="s">
        <v>2509</v>
      </c>
      <c r="H1616" t="s">
        <v>2508</v>
      </c>
      <c r="I1616">
        <v>358</v>
      </c>
      <c r="K1616" t="s">
        <v>5060</v>
      </c>
      <c r="L1616">
        <v>46276</v>
      </c>
      <c r="M1616">
        <v>97938</v>
      </c>
      <c r="N1616">
        <v>40</v>
      </c>
      <c r="O1616">
        <v>46282</v>
      </c>
      <c r="P1616">
        <v>318</v>
      </c>
    </row>
    <row r="1617" spans="1:16" x14ac:dyDescent="0.4">
      <c r="A1617">
        <v>1387</v>
      </c>
      <c r="B1617" t="s">
        <v>4915</v>
      </c>
      <c r="G1617" t="s">
        <v>246</v>
      </c>
      <c r="H1617" t="s">
        <v>4960</v>
      </c>
      <c r="I1617">
        <v>418</v>
      </c>
      <c r="K1617" t="s">
        <v>4864</v>
      </c>
      <c r="L1617">
        <v>46283</v>
      </c>
      <c r="M1617">
        <v>97938</v>
      </c>
      <c r="N1617">
        <v>20</v>
      </c>
      <c r="O1617">
        <v>46282</v>
      </c>
      <c r="P1617">
        <v>398</v>
      </c>
    </row>
    <row r="1618" spans="1:16" x14ac:dyDescent="0.4">
      <c r="A1618">
        <v>1386</v>
      </c>
      <c r="B1618" t="s">
        <v>4915</v>
      </c>
      <c r="G1618" t="s">
        <v>723</v>
      </c>
      <c r="H1618" t="s">
        <v>4962</v>
      </c>
      <c r="I1618">
        <v>566</v>
      </c>
      <c r="K1618" t="s">
        <v>4864</v>
      </c>
      <c r="L1618">
        <v>46283</v>
      </c>
      <c r="M1618">
        <v>97938</v>
      </c>
      <c r="N1618">
        <v>20</v>
      </c>
      <c r="O1618">
        <v>46282</v>
      </c>
      <c r="P1618">
        <v>546</v>
      </c>
    </row>
    <row r="1619" spans="1:16" x14ac:dyDescent="0.4">
      <c r="A1619">
        <v>1389</v>
      </c>
      <c r="B1619" t="s">
        <v>4915</v>
      </c>
      <c r="G1619" t="s">
        <v>2555</v>
      </c>
      <c r="H1619" t="s">
        <v>2554</v>
      </c>
      <c r="I1619">
        <v>687</v>
      </c>
      <c r="K1619" t="s">
        <v>4871</v>
      </c>
      <c r="L1619">
        <v>46283</v>
      </c>
      <c r="M1619">
        <v>97938</v>
      </c>
      <c r="N1619">
        <v>20</v>
      </c>
      <c r="O1619">
        <v>46282</v>
      </c>
      <c r="P1619">
        <v>667</v>
      </c>
    </row>
    <row r="1620" spans="1:16" x14ac:dyDescent="0.4">
      <c r="A1620">
        <v>526</v>
      </c>
      <c r="B1620" t="s">
        <v>4915</v>
      </c>
      <c r="D1620" t="s">
        <v>4916</v>
      </c>
      <c r="G1620" t="s">
        <v>2801</v>
      </c>
      <c r="H1620" t="s">
        <v>2800</v>
      </c>
      <c r="I1620">
        <v>53</v>
      </c>
      <c r="K1620" t="s">
        <v>5025</v>
      </c>
      <c r="L1620">
        <v>46273</v>
      </c>
      <c r="M1620">
        <v>98227</v>
      </c>
      <c r="N1620">
        <v>22</v>
      </c>
      <c r="O1620">
        <v>46280</v>
      </c>
      <c r="P1620">
        <v>31</v>
      </c>
    </row>
    <row r="1621" spans="1:16" x14ac:dyDescent="0.4">
      <c r="A1621">
        <v>627</v>
      </c>
      <c r="B1621" t="s">
        <v>4915</v>
      </c>
      <c r="D1621" t="s">
        <v>4916</v>
      </c>
      <c r="G1621" t="s">
        <v>1833</v>
      </c>
      <c r="H1621" t="s">
        <v>5035</v>
      </c>
      <c r="I1621">
        <v>57</v>
      </c>
      <c r="K1621" t="s">
        <v>4979</v>
      </c>
      <c r="L1621">
        <v>46273</v>
      </c>
      <c r="M1621">
        <v>98227</v>
      </c>
      <c r="N1621">
        <v>23</v>
      </c>
      <c r="O1621">
        <v>46280</v>
      </c>
      <c r="P1621">
        <v>34</v>
      </c>
    </row>
    <row r="1622" spans="1:16" x14ac:dyDescent="0.4">
      <c r="A1622">
        <v>570</v>
      </c>
      <c r="B1622" t="s">
        <v>4915</v>
      </c>
      <c r="D1622" t="s">
        <v>4916</v>
      </c>
      <c r="G1622" t="s">
        <v>2462</v>
      </c>
      <c r="H1622" t="s">
        <v>5029</v>
      </c>
      <c r="I1622">
        <v>121</v>
      </c>
      <c r="K1622" t="s">
        <v>5030</v>
      </c>
      <c r="L1622">
        <v>46273</v>
      </c>
      <c r="M1622">
        <v>98227</v>
      </c>
      <c r="N1622">
        <v>24</v>
      </c>
      <c r="O1622">
        <v>46280</v>
      </c>
      <c r="P1622">
        <v>97</v>
      </c>
    </row>
    <row r="1623" spans="1:16" x14ac:dyDescent="0.4">
      <c r="A1623">
        <v>538</v>
      </c>
      <c r="B1623" t="s">
        <v>4915</v>
      </c>
      <c r="D1623" t="s">
        <v>4916</v>
      </c>
      <c r="G1623" t="s">
        <v>2689</v>
      </c>
      <c r="H1623" t="s">
        <v>2688</v>
      </c>
      <c r="I1623">
        <v>429</v>
      </c>
      <c r="K1623" t="s">
        <v>4951</v>
      </c>
      <c r="L1623">
        <v>46273</v>
      </c>
      <c r="M1623">
        <v>98227</v>
      </c>
      <c r="N1623">
        <v>22</v>
      </c>
      <c r="O1623">
        <v>46280</v>
      </c>
      <c r="P1623">
        <v>407</v>
      </c>
    </row>
    <row r="1624" spans="1:16" x14ac:dyDescent="0.4">
      <c r="A1624">
        <v>1507</v>
      </c>
      <c r="B1624" t="s">
        <v>4915</v>
      </c>
      <c r="G1624" t="s">
        <v>1205</v>
      </c>
      <c r="H1624" t="s">
        <v>1204</v>
      </c>
      <c r="I1624">
        <v>20</v>
      </c>
      <c r="K1624" t="s">
        <v>4953</v>
      </c>
      <c r="L1624">
        <v>46293</v>
      </c>
      <c r="M1624">
        <v>98249</v>
      </c>
      <c r="N1624">
        <v>20</v>
      </c>
      <c r="O1624">
        <v>46282</v>
      </c>
      <c r="P1624">
        <v>0</v>
      </c>
    </row>
    <row r="1625" spans="1:16" x14ac:dyDescent="0.4">
      <c r="A1625">
        <v>1509</v>
      </c>
      <c r="B1625" t="s">
        <v>4915</v>
      </c>
      <c r="G1625" t="s">
        <v>1186</v>
      </c>
      <c r="H1625" t="s">
        <v>1185</v>
      </c>
      <c r="I1625">
        <v>41</v>
      </c>
      <c r="K1625" t="s">
        <v>4970</v>
      </c>
      <c r="L1625">
        <v>46293</v>
      </c>
      <c r="M1625">
        <v>98249</v>
      </c>
      <c r="N1625">
        <v>40</v>
      </c>
      <c r="O1625">
        <v>46282</v>
      </c>
      <c r="P1625">
        <v>1</v>
      </c>
    </row>
    <row r="1626" spans="1:16" x14ac:dyDescent="0.4">
      <c r="A1626">
        <v>1571</v>
      </c>
      <c r="B1626" t="s">
        <v>4915</v>
      </c>
      <c r="D1626" t="s">
        <v>4901</v>
      </c>
      <c r="E1626" t="s">
        <v>4936</v>
      </c>
      <c r="F1626" t="s">
        <v>4937</v>
      </c>
      <c r="G1626" t="s">
        <v>362</v>
      </c>
      <c r="H1626" t="s">
        <v>5022</v>
      </c>
      <c r="I1626">
        <v>45</v>
      </c>
      <c r="K1626" t="s">
        <v>5023</v>
      </c>
      <c r="L1626">
        <v>46281</v>
      </c>
      <c r="M1626">
        <v>98249</v>
      </c>
      <c r="N1626">
        <v>15</v>
      </c>
      <c r="O1626">
        <v>46282</v>
      </c>
      <c r="P1626">
        <v>30</v>
      </c>
    </row>
    <row r="1627" spans="1:16" x14ac:dyDescent="0.4">
      <c r="A1627">
        <v>1570</v>
      </c>
      <c r="B1627" t="s">
        <v>4915</v>
      </c>
      <c r="D1627" t="s">
        <v>4901</v>
      </c>
      <c r="E1627" t="s">
        <v>5164</v>
      </c>
      <c r="F1627" t="s">
        <v>5147</v>
      </c>
      <c r="G1627" t="s">
        <v>1205</v>
      </c>
      <c r="H1627" t="s">
        <v>1204</v>
      </c>
      <c r="I1627">
        <v>50</v>
      </c>
      <c r="K1627" t="s">
        <v>4953</v>
      </c>
      <c r="L1627">
        <v>46276</v>
      </c>
      <c r="M1627">
        <v>98249</v>
      </c>
      <c r="N1627">
        <v>20</v>
      </c>
      <c r="O1627">
        <v>46282</v>
      </c>
      <c r="P1627">
        <v>30</v>
      </c>
    </row>
    <row r="1628" spans="1:16" x14ac:dyDescent="0.4">
      <c r="A1628">
        <v>1504</v>
      </c>
      <c r="B1628" t="s">
        <v>4915</v>
      </c>
      <c r="G1628" t="s">
        <v>2641</v>
      </c>
      <c r="H1628" t="s">
        <v>2640</v>
      </c>
      <c r="I1628">
        <v>96</v>
      </c>
      <c r="K1628" t="s">
        <v>4869</v>
      </c>
      <c r="L1628">
        <v>46293</v>
      </c>
      <c r="M1628">
        <v>98249</v>
      </c>
      <c r="N1628">
        <v>20</v>
      </c>
      <c r="O1628">
        <v>46282</v>
      </c>
      <c r="P1628">
        <v>76</v>
      </c>
    </row>
    <row r="1629" spans="1:16" x14ac:dyDescent="0.4">
      <c r="A1629">
        <v>1034</v>
      </c>
      <c r="B1629" t="s">
        <v>4915</v>
      </c>
      <c r="D1629" t="s">
        <v>4916</v>
      </c>
      <c r="G1629" t="s">
        <v>588</v>
      </c>
      <c r="H1629" t="s">
        <v>587</v>
      </c>
      <c r="I1629">
        <v>207</v>
      </c>
      <c r="K1629" t="s">
        <v>5058</v>
      </c>
      <c r="L1629">
        <v>46276</v>
      </c>
      <c r="M1629">
        <v>98249</v>
      </c>
      <c r="N1629">
        <v>20</v>
      </c>
      <c r="O1629">
        <v>46282</v>
      </c>
      <c r="P1629">
        <v>187</v>
      </c>
    </row>
    <row r="1630" spans="1:16" x14ac:dyDescent="0.4">
      <c r="A1630">
        <v>485</v>
      </c>
      <c r="B1630" t="s">
        <v>4915</v>
      </c>
      <c r="G1630" t="s">
        <v>1123</v>
      </c>
      <c r="H1630" t="s">
        <v>4917</v>
      </c>
      <c r="I1630">
        <v>226</v>
      </c>
      <c r="K1630" t="s">
        <v>4918</v>
      </c>
      <c r="L1630">
        <v>46265</v>
      </c>
      <c r="M1630">
        <v>98249</v>
      </c>
      <c r="N1630">
        <v>20</v>
      </c>
      <c r="O1630">
        <v>46282</v>
      </c>
      <c r="P1630">
        <v>206</v>
      </c>
    </row>
    <row r="1631" spans="1:16" x14ac:dyDescent="0.4">
      <c r="A1631">
        <v>1505</v>
      </c>
      <c r="B1631" t="s">
        <v>4915</v>
      </c>
      <c r="G1631" t="s">
        <v>1190</v>
      </c>
      <c r="H1631" t="s">
        <v>1189</v>
      </c>
      <c r="I1631">
        <v>245</v>
      </c>
      <c r="K1631" t="s">
        <v>4953</v>
      </c>
      <c r="L1631">
        <v>46293</v>
      </c>
      <c r="M1631">
        <v>98249</v>
      </c>
      <c r="N1631">
        <v>20</v>
      </c>
      <c r="O1631">
        <v>46282</v>
      </c>
      <c r="P1631">
        <v>225</v>
      </c>
    </row>
    <row r="1632" spans="1:16" x14ac:dyDescent="0.4">
      <c r="A1632">
        <v>892</v>
      </c>
      <c r="B1632" t="s">
        <v>4915</v>
      </c>
      <c r="D1632" t="s">
        <v>4916</v>
      </c>
      <c r="G1632" t="s">
        <v>2714</v>
      </c>
      <c r="H1632" t="s">
        <v>2713</v>
      </c>
      <c r="I1632">
        <v>8</v>
      </c>
      <c r="K1632" t="s">
        <v>5061</v>
      </c>
      <c r="L1632">
        <v>46276</v>
      </c>
      <c r="M1632">
        <v>98250</v>
      </c>
      <c r="N1632">
        <v>2</v>
      </c>
      <c r="O1632">
        <v>46282</v>
      </c>
      <c r="P1632">
        <v>6</v>
      </c>
    </row>
    <row r="1633" spans="1:16" x14ac:dyDescent="0.4">
      <c r="A1633">
        <v>893</v>
      </c>
      <c r="B1633" t="s">
        <v>4915</v>
      </c>
      <c r="D1633" t="s">
        <v>4916</v>
      </c>
      <c r="G1633" t="s">
        <v>2742</v>
      </c>
      <c r="H1633" t="s">
        <v>2741</v>
      </c>
      <c r="I1633">
        <v>9</v>
      </c>
      <c r="K1633" t="s">
        <v>5062</v>
      </c>
      <c r="L1633">
        <v>46276</v>
      </c>
      <c r="M1633">
        <v>98250</v>
      </c>
      <c r="N1633">
        <v>9</v>
      </c>
      <c r="O1633">
        <v>46282</v>
      </c>
      <c r="P1633">
        <v>0</v>
      </c>
    </row>
    <row r="1634" spans="1:16" x14ac:dyDescent="0.4">
      <c r="A1634">
        <v>931</v>
      </c>
      <c r="B1634" t="s">
        <v>4915</v>
      </c>
      <c r="D1634" t="s">
        <v>4916</v>
      </c>
      <c r="G1634" t="s">
        <v>1430</v>
      </c>
      <c r="H1634" t="s">
        <v>1429</v>
      </c>
      <c r="I1634">
        <v>39</v>
      </c>
      <c r="K1634" t="s">
        <v>5073</v>
      </c>
      <c r="L1634">
        <v>46276</v>
      </c>
      <c r="M1634">
        <v>98250</v>
      </c>
      <c r="N1634">
        <v>20</v>
      </c>
      <c r="O1634">
        <v>46282</v>
      </c>
      <c r="P1634">
        <v>19</v>
      </c>
    </row>
    <row r="1635" spans="1:16" x14ac:dyDescent="0.4">
      <c r="A1635">
        <v>939</v>
      </c>
      <c r="B1635" t="s">
        <v>4915</v>
      </c>
      <c r="D1635" t="s">
        <v>4916</v>
      </c>
      <c r="G1635" t="s">
        <v>1344</v>
      </c>
      <c r="H1635" t="s">
        <v>1343</v>
      </c>
      <c r="I1635">
        <v>44</v>
      </c>
      <c r="K1635" t="s">
        <v>5041</v>
      </c>
      <c r="L1635">
        <v>46276</v>
      </c>
      <c r="M1635">
        <v>98250</v>
      </c>
      <c r="N1635">
        <v>40</v>
      </c>
      <c r="O1635">
        <v>46282</v>
      </c>
      <c r="P1635">
        <v>4</v>
      </c>
    </row>
    <row r="1636" spans="1:16" x14ac:dyDescent="0.4">
      <c r="A1636">
        <v>977</v>
      </c>
      <c r="B1636" t="s">
        <v>4915</v>
      </c>
      <c r="D1636" t="s">
        <v>4916</v>
      </c>
      <c r="G1636" t="s">
        <v>1775</v>
      </c>
      <c r="H1636" t="s">
        <v>1774</v>
      </c>
      <c r="I1636">
        <v>68</v>
      </c>
      <c r="K1636" t="s">
        <v>5027</v>
      </c>
      <c r="L1636">
        <v>46276</v>
      </c>
      <c r="M1636">
        <v>98250</v>
      </c>
      <c r="N1636">
        <v>20</v>
      </c>
      <c r="O1636">
        <v>46282</v>
      </c>
      <c r="P1636">
        <v>48</v>
      </c>
    </row>
    <row r="1637" spans="1:16" x14ac:dyDescent="0.4">
      <c r="A1637">
        <v>982</v>
      </c>
      <c r="B1637" t="s">
        <v>4915</v>
      </c>
      <c r="D1637" t="s">
        <v>4916</v>
      </c>
      <c r="G1637" t="s">
        <v>1862</v>
      </c>
      <c r="H1637" t="s">
        <v>1861</v>
      </c>
      <c r="I1637">
        <v>77</v>
      </c>
      <c r="K1637" t="s">
        <v>5081</v>
      </c>
      <c r="L1637">
        <v>46276</v>
      </c>
      <c r="M1637">
        <v>98250</v>
      </c>
      <c r="N1637">
        <v>20</v>
      </c>
      <c r="O1637">
        <v>46282</v>
      </c>
      <c r="P1637">
        <v>57</v>
      </c>
    </row>
    <row r="1638" spans="1:16" x14ac:dyDescent="0.4">
      <c r="A1638">
        <v>986</v>
      </c>
      <c r="B1638" t="s">
        <v>4915</v>
      </c>
      <c r="D1638" t="s">
        <v>4916</v>
      </c>
      <c r="G1638" t="s">
        <v>1324</v>
      </c>
      <c r="H1638" t="s">
        <v>1323</v>
      </c>
      <c r="I1638">
        <v>84</v>
      </c>
      <c r="K1638" t="s">
        <v>4999</v>
      </c>
      <c r="L1638">
        <v>46276</v>
      </c>
      <c r="M1638">
        <v>98250</v>
      </c>
      <c r="N1638">
        <v>20</v>
      </c>
      <c r="O1638">
        <v>46282</v>
      </c>
      <c r="P1638">
        <v>64</v>
      </c>
    </row>
    <row r="1639" spans="1:16" x14ac:dyDescent="0.4">
      <c r="A1639">
        <v>1001</v>
      </c>
      <c r="B1639" t="s">
        <v>4915</v>
      </c>
      <c r="D1639" t="s">
        <v>4916</v>
      </c>
      <c r="G1639" t="s">
        <v>8</v>
      </c>
      <c r="H1639" t="s">
        <v>2678</v>
      </c>
      <c r="I1639">
        <v>115</v>
      </c>
      <c r="K1639" t="s">
        <v>5092</v>
      </c>
      <c r="L1639">
        <v>46276</v>
      </c>
      <c r="M1639">
        <v>98250</v>
      </c>
      <c r="N1639">
        <v>20</v>
      </c>
      <c r="O1639">
        <v>46282</v>
      </c>
      <c r="P1639">
        <v>95</v>
      </c>
    </row>
    <row r="1640" spans="1:16" x14ac:dyDescent="0.4">
      <c r="A1640">
        <v>1441</v>
      </c>
      <c r="B1640" t="s">
        <v>4915</v>
      </c>
      <c r="G1640" t="s">
        <v>2778</v>
      </c>
      <c r="H1640" t="s">
        <v>2777</v>
      </c>
      <c r="I1640">
        <v>116</v>
      </c>
      <c r="K1640" t="s">
        <v>4949</v>
      </c>
      <c r="L1640">
        <v>46283</v>
      </c>
      <c r="M1640">
        <v>98250</v>
      </c>
      <c r="N1640">
        <v>20</v>
      </c>
      <c r="O1640">
        <v>46282</v>
      </c>
      <c r="P1640">
        <v>96</v>
      </c>
    </row>
    <row r="1641" spans="1:16" x14ac:dyDescent="0.4">
      <c r="A1641">
        <v>1002</v>
      </c>
      <c r="B1641" t="s">
        <v>4915</v>
      </c>
      <c r="D1641" t="s">
        <v>4916</v>
      </c>
      <c r="G1641" t="s">
        <v>2668</v>
      </c>
      <c r="H1641" t="s">
        <v>2667</v>
      </c>
      <c r="I1641">
        <v>120</v>
      </c>
      <c r="K1641" t="s">
        <v>5093</v>
      </c>
      <c r="L1641">
        <v>46276</v>
      </c>
      <c r="M1641">
        <v>98250</v>
      </c>
      <c r="N1641">
        <v>20</v>
      </c>
      <c r="O1641">
        <v>46282</v>
      </c>
      <c r="P1641">
        <v>100</v>
      </c>
    </row>
    <row r="1642" spans="1:16" x14ac:dyDescent="0.4">
      <c r="A1642">
        <v>1003</v>
      </c>
      <c r="B1642" t="s">
        <v>4915</v>
      </c>
      <c r="D1642" t="s">
        <v>4916</v>
      </c>
      <c r="G1642" t="s">
        <v>2711</v>
      </c>
      <c r="H1642" t="s">
        <v>2710</v>
      </c>
      <c r="I1642">
        <v>122</v>
      </c>
      <c r="K1642" t="s">
        <v>5061</v>
      </c>
      <c r="L1642">
        <v>46276</v>
      </c>
      <c r="M1642">
        <v>98250</v>
      </c>
      <c r="N1642">
        <v>20</v>
      </c>
      <c r="O1642">
        <v>46282</v>
      </c>
      <c r="P1642">
        <v>102</v>
      </c>
    </row>
    <row r="1643" spans="1:16" x14ac:dyDescent="0.4">
      <c r="A1643">
        <v>1004</v>
      </c>
      <c r="B1643" t="s">
        <v>4915</v>
      </c>
      <c r="D1643" t="s">
        <v>4916</v>
      </c>
      <c r="G1643" t="s">
        <v>1426</v>
      </c>
      <c r="H1643" t="s">
        <v>1425</v>
      </c>
      <c r="I1643">
        <v>124</v>
      </c>
      <c r="K1643" t="s">
        <v>5073</v>
      </c>
      <c r="L1643">
        <v>46276</v>
      </c>
      <c r="M1643">
        <v>98250</v>
      </c>
      <c r="N1643">
        <v>20</v>
      </c>
      <c r="O1643">
        <v>46282</v>
      </c>
      <c r="P1643">
        <v>104</v>
      </c>
    </row>
    <row r="1644" spans="1:16" x14ac:dyDescent="0.4">
      <c r="A1644">
        <v>1010</v>
      </c>
      <c r="B1644" t="s">
        <v>4915</v>
      </c>
      <c r="D1644" t="s">
        <v>4916</v>
      </c>
      <c r="G1644" t="s">
        <v>2673</v>
      </c>
      <c r="H1644" t="s">
        <v>2672</v>
      </c>
      <c r="I1644">
        <v>127</v>
      </c>
      <c r="K1644" t="s">
        <v>5096</v>
      </c>
      <c r="L1644">
        <v>46276</v>
      </c>
      <c r="M1644">
        <v>98250</v>
      </c>
      <c r="N1644">
        <v>20</v>
      </c>
      <c r="O1644">
        <v>46282</v>
      </c>
      <c r="P1644">
        <v>107</v>
      </c>
    </row>
    <row r="1645" spans="1:16" x14ac:dyDescent="0.4">
      <c r="A1645">
        <v>1012</v>
      </c>
      <c r="B1645" t="s">
        <v>4915</v>
      </c>
      <c r="D1645" t="s">
        <v>4916</v>
      </c>
      <c r="G1645" t="s">
        <v>1435</v>
      </c>
      <c r="H1645" t="s">
        <v>1434</v>
      </c>
      <c r="I1645">
        <v>130</v>
      </c>
      <c r="K1645" t="s">
        <v>5098</v>
      </c>
      <c r="L1645">
        <v>46276</v>
      </c>
      <c r="M1645">
        <v>98250</v>
      </c>
      <c r="N1645">
        <v>20</v>
      </c>
      <c r="O1645">
        <v>46282</v>
      </c>
      <c r="P1645">
        <v>110</v>
      </c>
    </row>
    <row r="1646" spans="1:16" x14ac:dyDescent="0.4">
      <c r="A1646">
        <v>1022</v>
      </c>
      <c r="B1646" t="s">
        <v>4915</v>
      </c>
      <c r="D1646" t="s">
        <v>4916</v>
      </c>
      <c r="G1646" t="s">
        <v>1428</v>
      </c>
      <c r="H1646" t="s">
        <v>1427</v>
      </c>
      <c r="I1646">
        <v>156</v>
      </c>
      <c r="K1646" t="s">
        <v>5073</v>
      </c>
      <c r="L1646">
        <v>46276</v>
      </c>
      <c r="M1646">
        <v>98250</v>
      </c>
      <c r="N1646">
        <v>20</v>
      </c>
      <c r="O1646">
        <v>46282</v>
      </c>
      <c r="P1646">
        <v>136</v>
      </c>
    </row>
    <row r="1647" spans="1:16" x14ac:dyDescent="0.4">
      <c r="A1647">
        <v>1027</v>
      </c>
      <c r="B1647" t="s">
        <v>4915</v>
      </c>
      <c r="D1647" t="s">
        <v>4916</v>
      </c>
      <c r="G1647" t="s">
        <v>2657</v>
      </c>
      <c r="H1647" t="s">
        <v>2656</v>
      </c>
      <c r="I1647">
        <v>175</v>
      </c>
      <c r="K1647" t="s">
        <v>5101</v>
      </c>
      <c r="L1647">
        <v>46276</v>
      </c>
      <c r="M1647">
        <v>98250</v>
      </c>
      <c r="N1647">
        <v>20</v>
      </c>
      <c r="O1647">
        <v>46282</v>
      </c>
      <c r="P1647">
        <v>155</v>
      </c>
    </row>
    <row r="1648" spans="1:16" x14ac:dyDescent="0.4">
      <c r="A1648">
        <v>1029</v>
      </c>
      <c r="B1648" t="s">
        <v>4915</v>
      </c>
      <c r="D1648" t="s">
        <v>4916</v>
      </c>
      <c r="G1648" t="s">
        <v>1316</v>
      </c>
      <c r="H1648" t="s">
        <v>1315</v>
      </c>
      <c r="I1648">
        <v>176</v>
      </c>
      <c r="K1648" t="s">
        <v>4995</v>
      </c>
      <c r="L1648">
        <v>46276</v>
      </c>
      <c r="M1648">
        <v>98250</v>
      </c>
      <c r="N1648">
        <v>20</v>
      </c>
      <c r="O1648">
        <v>46282</v>
      </c>
      <c r="P1648">
        <v>156</v>
      </c>
    </row>
    <row r="1649" spans="1:16" x14ac:dyDescent="0.4">
      <c r="A1649">
        <v>1030</v>
      </c>
      <c r="B1649" t="s">
        <v>4915</v>
      </c>
      <c r="D1649" t="s">
        <v>4916</v>
      </c>
      <c r="G1649" t="s">
        <v>1892</v>
      </c>
      <c r="H1649" t="s">
        <v>5103</v>
      </c>
      <c r="I1649">
        <v>180</v>
      </c>
      <c r="K1649" t="s">
        <v>5104</v>
      </c>
      <c r="L1649">
        <v>46276</v>
      </c>
      <c r="M1649">
        <v>98250</v>
      </c>
      <c r="N1649">
        <v>20</v>
      </c>
      <c r="O1649">
        <v>46282</v>
      </c>
      <c r="P1649">
        <v>160</v>
      </c>
    </row>
    <row r="1650" spans="1:16" x14ac:dyDescent="0.4">
      <c r="A1650">
        <v>1033</v>
      </c>
      <c r="B1650" t="s">
        <v>4915</v>
      </c>
      <c r="D1650" t="s">
        <v>4916</v>
      </c>
      <c r="G1650" t="s">
        <v>2046</v>
      </c>
      <c r="H1650" t="s">
        <v>2045</v>
      </c>
      <c r="I1650">
        <v>199</v>
      </c>
      <c r="K1650" t="s">
        <v>5063</v>
      </c>
      <c r="L1650">
        <v>46276</v>
      </c>
      <c r="M1650">
        <v>98250</v>
      </c>
      <c r="N1650">
        <v>20</v>
      </c>
      <c r="O1650">
        <v>46282</v>
      </c>
      <c r="P1650">
        <v>179</v>
      </c>
    </row>
    <row r="1651" spans="1:16" x14ac:dyDescent="0.4">
      <c r="A1651">
        <v>1037</v>
      </c>
      <c r="B1651" t="s">
        <v>4915</v>
      </c>
      <c r="D1651" t="s">
        <v>4916</v>
      </c>
      <c r="G1651" t="s">
        <v>707</v>
      </c>
      <c r="H1651" t="s">
        <v>706</v>
      </c>
      <c r="I1651">
        <v>221</v>
      </c>
      <c r="K1651" t="s">
        <v>4956</v>
      </c>
      <c r="L1651">
        <v>46276</v>
      </c>
      <c r="M1651">
        <v>98250</v>
      </c>
      <c r="N1651">
        <v>20</v>
      </c>
      <c r="O1651">
        <v>46282</v>
      </c>
      <c r="P1651">
        <v>201</v>
      </c>
    </row>
    <row r="1652" spans="1:16" x14ac:dyDescent="0.4">
      <c r="A1652">
        <v>1050</v>
      </c>
      <c r="B1652" t="s">
        <v>4915</v>
      </c>
      <c r="D1652" t="s">
        <v>4916</v>
      </c>
      <c r="G1652" t="s">
        <v>1867</v>
      </c>
      <c r="H1652" t="s">
        <v>1866</v>
      </c>
      <c r="I1652">
        <v>301</v>
      </c>
      <c r="K1652" t="s">
        <v>5081</v>
      </c>
      <c r="L1652">
        <v>46276</v>
      </c>
      <c r="M1652">
        <v>98250</v>
      </c>
      <c r="N1652">
        <v>20</v>
      </c>
      <c r="O1652">
        <v>46282</v>
      </c>
      <c r="P1652">
        <v>281</v>
      </c>
    </row>
    <row r="1653" spans="1:16" x14ac:dyDescent="0.4">
      <c r="A1653">
        <v>1051</v>
      </c>
      <c r="B1653" t="s">
        <v>4915</v>
      </c>
      <c r="D1653" t="s">
        <v>4916</v>
      </c>
      <c r="G1653" t="s">
        <v>2716</v>
      </c>
      <c r="H1653" t="s">
        <v>2715</v>
      </c>
      <c r="I1653">
        <v>301</v>
      </c>
      <c r="K1653" t="s">
        <v>5061</v>
      </c>
      <c r="L1653">
        <v>46276</v>
      </c>
      <c r="M1653">
        <v>98250</v>
      </c>
      <c r="N1653">
        <v>20</v>
      </c>
      <c r="O1653">
        <v>46282</v>
      </c>
      <c r="P1653">
        <v>281</v>
      </c>
    </row>
    <row r="1654" spans="1:16" x14ac:dyDescent="0.4">
      <c r="A1654">
        <v>1055</v>
      </c>
      <c r="B1654" t="s">
        <v>4915</v>
      </c>
      <c r="D1654" t="s">
        <v>4916</v>
      </c>
      <c r="G1654" t="s">
        <v>1334</v>
      </c>
      <c r="H1654" t="s">
        <v>5112</v>
      </c>
      <c r="I1654">
        <v>358</v>
      </c>
      <c r="K1654" t="s">
        <v>5113</v>
      </c>
      <c r="L1654">
        <v>46276</v>
      </c>
      <c r="M1654">
        <v>98250</v>
      </c>
      <c r="N1654">
        <v>20</v>
      </c>
      <c r="O1654">
        <v>46282</v>
      </c>
      <c r="P1654">
        <v>338</v>
      </c>
    </row>
    <row r="1655" spans="1:16" x14ac:dyDescent="0.4">
      <c r="A1655">
        <v>800</v>
      </c>
      <c r="B1655" t="s">
        <v>4915</v>
      </c>
      <c r="G1655" t="s">
        <v>969</v>
      </c>
      <c r="H1655" t="s">
        <v>4931</v>
      </c>
      <c r="I1655">
        <v>359</v>
      </c>
      <c r="K1655" t="s">
        <v>4932</v>
      </c>
      <c r="L1655">
        <v>46274</v>
      </c>
      <c r="M1655">
        <v>98250</v>
      </c>
      <c r="N1655">
        <v>20</v>
      </c>
      <c r="O1655">
        <v>46282</v>
      </c>
      <c r="P1655">
        <v>339</v>
      </c>
    </row>
    <row r="1656" spans="1:16" x14ac:dyDescent="0.4">
      <c r="A1656">
        <v>1061</v>
      </c>
      <c r="B1656" t="s">
        <v>4915</v>
      </c>
      <c r="D1656" t="s">
        <v>4916</v>
      </c>
      <c r="G1656" t="s">
        <v>1349</v>
      </c>
      <c r="H1656" t="s">
        <v>1348</v>
      </c>
      <c r="I1656">
        <v>389</v>
      </c>
      <c r="K1656" t="s">
        <v>5039</v>
      </c>
      <c r="L1656">
        <v>46276</v>
      </c>
      <c r="M1656">
        <v>98250</v>
      </c>
      <c r="N1656">
        <v>20</v>
      </c>
      <c r="O1656">
        <v>46282</v>
      </c>
      <c r="P1656">
        <v>369</v>
      </c>
    </row>
    <row r="1657" spans="1:16" x14ac:dyDescent="0.4">
      <c r="A1657">
        <v>1449</v>
      </c>
      <c r="B1657" t="s">
        <v>4915</v>
      </c>
      <c r="G1657" t="s">
        <v>2746</v>
      </c>
      <c r="H1657" t="s">
        <v>2745</v>
      </c>
      <c r="I1657">
        <v>437</v>
      </c>
      <c r="K1657" t="s">
        <v>4948</v>
      </c>
      <c r="L1657">
        <v>46283</v>
      </c>
      <c r="M1657">
        <v>98250</v>
      </c>
      <c r="N1657">
        <v>20</v>
      </c>
      <c r="O1657">
        <v>46282</v>
      </c>
      <c r="P1657">
        <v>417</v>
      </c>
    </row>
    <row r="1658" spans="1:16" x14ac:dyDescent="0.4">
      <c r="A1658">
        <v>1072</v>
      </c>
      <c r="B1658" t="s">
        <v>4915</v>
      </c>
      <c r="D1658" t="s">
        <v>4916</v>
      </c>
      <c r="G1658" t="s">
        <v>1584</v>
      </c>
      <c r="H1658" t="s">
        <v>1583</v>
      </c>
      <c r="I1658">
        <v>462</v>
      </c>
      <c r="K1658" t="s">
        <v>5037</v>
      </c>
      <c r="L1658">
        <v>46276</v>
      </c>
      <c r="M1658">
        <v>98250</v>
      </c>
      <c r="N1658">
        <v>20</v>
      </c>
      <c r="O1658">
        <v>46282</v>
      </c>
      <c r="P1658">
        <v>442</v>
      </c>
    </row>
    <row r="1659" spans="1:16" x14ac:dyDescent="0.4">
      <c r="A1659">
        <v>1073</v>
      </c>
      <c r="B1659" t="s">
        <v>4915</v>
      </c>
      <c r="D1659" t="s">
        <v>4916</v>
      </c>
      <c r="G1659" t="s">
        <v>1532</v>
      </c>
      <c r="H1659" t="s">
        <v>1531</v>
      </c>
      <c r="I1659">
        <v>469</v>
      </c>
      <c r="K1659" t="s">
        <v>5024</v>
      </c>
      <c r="L1659">
        <v>46276</v>
      </c>
      <c r="M1659">
        <v>98250</v>
      </c>
      <c r="N1659">
        <v>20</v>
      </c>
      <c r="O1659">
        <v>46282</v>
      </c>
      <c r="P1659">
        <v>449</v>
      </c>
    </row>
    <row r="1660" spans="1:16" x14ac:dyDescent="0.4">
      <c r="A1660">
        <v>1081</v>
      </c>
      <c r="B1660" t="s">
        <v>4915</v>
      </c>
      <c r="D1660" t="s">
        <v>4916</v>
      </c>
      <c r="G1660" t="s">
        <v>1710</v>
      </c>
      <c r="H1660" t="s">
        <v>1709</v>
      </c>
      <c r="I1660">
        <v>499</v>
      </c>
      <c r="K1660" t="s">
        <v>5123</v>
      </c>
      <c r="L1660">
        <v>46276</v>
      </c>
      <c r="M1660">
        <v>98250</v>
      </c>
      <c r="N1660">
        <v>20</v>
      </c>
      <c r="O1660">
        <v>46282</v>
      </c>
      <c r="P1660">
        <v>479</v>
      </c>
    </row>
    <row r="1661" spans="1:16" x14ac:dyDescent="0.4">
      <c r="A1661">
        <v>1082</v>
      </c>
      <c r="B1661" t="s">
        <v>4915</v>
      </c>
      <c r="D1661" t="s">
        <v>4916</v>
      </c>
      <c r="G1661" t="s">
        <v>1530</v>
      </c>
      <c r="H1661" t="s">
        <v>5124</v>
      </c>
      <c r="I1661">
        <v>500</v>
      </c>
      <c r="K1661" t="s">
        <v>5125</v>
      </c>
      <c r="L1661">
        <v>46276</v>
      </c>
      <c r="M1661">
        <v>98250</v>
      </c>
      <c r="N1661">
        <v>40</v>
      </c>
      <c r="O1661">
        <v>46282</v>
      </c>
      <c r="P1661">
        <v>460</v>
      </c>
    </row>
    <row r="1662" spans="1:16" x14ac:dyDescent="0.4">
      <c r="A1662">
        <v>798</v>
      </c>
      <c r="B1662" t="s">
        <v>4915</v>
      </c>
      <c r="G1662" t="s">
        <v>2757</v>
      </c>
      <c r="H1662" t="s">
        <v>2756</v>
      </c>
      <c r="I1662">
        <v>542</v>
      </c>
      <c r="K1662" t="s">
        <v>4872</v>
      </c>
      <c r="L1662">
        <v>46274</v>
      </c>
      <c r="M1662">
        <v>98250</v>
      </c>
      <c r="N1662">
        <v>20</v>
      </c>
      <c r="O1662">
        <v>46282</v>
      </c>
      <c r="P1662">
        <v>522</v>
      </c>
    </row>
    <row r="1663" spans="1:16" x14ac:dyDescent="0.4">
      <c r="A1663">
        <v>1087</v>
      </c>
      <c r="B1663" t="s">
        <v>4915</v>
      </c>
      <c r="D1663" t="s">
        <v>4916</v>
      </c>
      <c r="G1663" t="s">
        <v>1347</v>
      </c>
      <c r="H1663" t="s">
        <v>1346</v>
      </c>
      <c r="I1663">
        <v>542</v>
      </c>
      <c r="K1663" t="s">
        <v>5041</v>
      </c>
      <c r="L1663">
        <v>46276</v>
      </c>
      <c r="M1663">
        <v>98250</v>
      </c>
      <c r="N1663">
        <v>40</v>
      </c>
      <c r="O1663">
        <v>46282</v>
      </c>
      <c r="P1663">
        <v>502</v>
      </c>
    </row>
    <row r="1664" spans="1:16" x14ac:dyDescent="0.4">
      <c r="A1664">
        <v>1451</v>
      </c>
      <c r="B1664" t="s">
        <v>4915</v>
      </c>
      <c r="G1664" t="s">
        <v>2780</v>
      </c>
      <c r="H1664" t="s">
        <v>2779</v>
      </c>
      <c r="I1664">
        <v>571</v>
      </c>
      <c r="K1664" t="s">
        <v>4949</v>
      </c>
      <c r="L1664">
        <v>46283</v>
      </c>
      <c r="M1664">
        <v>98250</v>
      </c>
      <c r="N1664">
        <v>20</v>
      </c>
      <c r="O1664">
        <v>46282</v>
      </c>
      <c r="P1664">
        <v>551</v>
      </c>
    </row>
    <row r="1665" spans="1:16" x14ac:dyDescent="0.4">
      <c r="A1665">
        <v>1090</v>
      </c>
      <c r="B1665" t="s">
        <v>4915</v>
      </c>
      <c r="D1665" t="s">
        <v>4916</v>
      </c>
      <c r="G1665" t="s">
        <v>1582</v>
      </c>
      <c r="H1665" t="s">
        <v>1581</v>
      </c>
      <c r="I1665">
        <v>631</v>
      </c>
      <c r="K1665" t="s">
        <v>5129</v>
      </c>
      <c r="L1665">
        <v>46276</v>
      </c>
      <c r="M1665">
        <v>98250</v>
      </c>
      <c r="N1665">
        <v>20</v>
      </c>
      <c r="O1665">
        <v>46282</v>
      </c>
      <c r="P1665">
        <v>611</v>
      </c>
    </row>
    <row r="1666" spans="1:16" x14ac:dyDescent="0.4">
      <c r="A1666">
        <v>1094</v>
      </c>
      <c r="B1666" t="s">
        <v>4915</v>
      </c>
      <c r="D1666" t="s">
        <v>4916</v>
      </c>
      <c r="G1666" t="s">
        <v>1600</v>
      </c>
      <c r="H1666" t="s">
        <v>1599</v>
      </c>
      <c r="I1666">
        <v>756</v>
      </c>
      <c r="K1666" t="s">
        <v>5037</v>
      </c>
      <c r="L1666">
        <v>46276</v>
      </c>
      <c r="M1666">
        <v>98250</v>
      </c>
      <c r="N1666">
        <v>20</v>
      </c>
      <c r="O1666">
        <v>46282</v>
      </c>
      <c r="P1666">
        <v>736</v>
      </c>
    </row>
    <row r="1667" spans="1:16" x14ac:dyDescent="0.4">
      <c r="A1667">
        <v>1096</v>
      </c>
      <c r="B1667" t="s">
        <v>4915</v>
      </c>
      <c r="D1667" t="s">
        <v>4916</v>
      </c>
      <c r="G1667" t="s">
        <v>1331</v>
      </c>
      <c r="H1667" t="s">
        <v>5133</v>
      </c>
      <c r="I1667">
        <v>794</v>
      </c>
      <c r="K1667" t="s">
        <v>5134</v>
      </c>
      <c r="L1667">
        <v>46276</v>
      </c>
      <c r="M1667">
        <v>98250</v>
      </c>
      <c r="N1667">
        <v>20</v>
      </c>
      <c r="O1667">
        <v>46282</v>
      </c>
      <c r="P1667">
        <v>774</v>
      </c>
    </row>
    <row r="1668" spans="1:16" x14ac:dyDescent="0.4">
      <c r="A1668">
        <v>1413</v>
      </c>
      <c r="B1668" t="s">
        <v>4915</v>
      </c>
      <c r="G1668" t="s">
        <v>2842</v>
      </c>
      <c r="H1668" t="s">
        <v>2841</v>
      </c>
      <c r="I1668">
        <v>28</v>
      </c>
      <c r="K1668" t="s">
        <v>4869</v>
      </c>
      <c r="L1668">
        <v>46283</v>
      </c>
      <c r="M1668">
        <v>98251</v>
      </c>
      <c r="N1668">
        <v>20</v>
      </c>
      <c r="O1668">
        <v>46282</v>
      </c>
      <c r="P1668">
        <v>8</v>
      </c>
    </row>
    <row r="1669" spans="1:16" x14ac:dyDescent="0.4">
      <c r="A1669">
        <v>803</v>
      </c>
      <c r="B1669" t="s">
        <v>4915</v>
      </c>
      <c r="G1669" t="s">
        <v>1207</v>
      </c>
      <c r="H1669" t="s">
        <v>1206</v>
      </c>
      <c r="I1669">
        <v>39</v>
      </c>
      <c r="K1669" t="s">
        <v>4953</v>
      </c>
      <c r="L1669">
        <v>46275</v>
      </c>
      <c r="M1669">
        <v>98251</v>
      </c>
      <c r="N1669">
        <v>20</v>
      </c>
      <c r="O1669">
        <v>46282</v>
      </c>
      <c r="P1669">
        <v>19</v>
      </c>
    </row>
    <row r="1670" spans="1:16" x14ac:dyDescent="0.4">
      <c r="A1670">
        <v>1414</v>
      </c>
      <c r="B1670" t="s">
        <v>4915</v>
      </c>
      <c r="G1670" t="s">
        <v>1050</v>
      </c>
      <c r="H1670" t="s">
        <v>1049</v>
      </c>
      <c r="I1670">
        <v>50</v>
      </c>
      <c r="K1670" t="s">
        <v>4943</v>
      </c>
      <c r="L1670">
        <v>46283</v>
      </c>
      <c r="M1670">
        <v>98251</v>
      </c>
      <c r="N1670">
        <v>20</v>
      </c>
      <c r="O1670">
        <v>46282</v>
      </c>
      <c r="P1670">
        <v>30</v>
      </c>
    </row>
    <row r="1671" spans="1:16" x14ac:dyDescent="0.4">
      <c r="A1671">
        <v>1415</v>
      </c>
      <c r="B1671" t="s">
        <v>4915</v>
      </c>
      <c r="G1671" t="s">
        <v>1052</v>
      </c>
      <c r="H1671" t="s">
        <v>1051</v>
      </c>
      <c r="I1671">
        <v>50</v>
      </c>
      <c r="K1671" t="s">
        <v>4943</v>
      </c>
      <c r="L1671">
        <v>46283</v>
      </c>
      <c r="M1671">
        <v>98251</v>
      </c>
      <c r="N1671">
        <v>20</v>
      </c>
      <c r="O1671">
        <v>46282</v>
      </c>
      <c r="P1671">
        <v>30</v>
      </c>
    </row>
    <row r="1672" spans="1:16" x14ac:dyDescent="0.4">
      <c r="A1672">
        <v>1416</v>
      </c>
      <c r="B1672" t="s">
        <v>4915</v>
      </c>
      <c r="G1672" t="s">
        <v>2765</v>
      </c>
      <c r="H1672" t="s">
        <v>2764</v>
      </c>
      <c r="I1672">
        <v>76</v>
      </c>
      <c r="K1672" t="s">
        <v>4945</v>
      </c>
      <c r="L1672">
        <v>46283</v>
      </c>
      <c r="M1672">
        <v>98251</v>
      </c>
      <c r="N1672">
        <v>20</v>
      </c>
      <c r="O1672">
        <v>46282</v>
      </c>
      <c r="P1672">
        <v>56</v>
      </c>
    </row>
    <row r="1673" spans="1:16" x14ac:dyDescent="0.4">
      <c r="A1673">
        <v>1417</v>
      </c>
      <c r="B1673" t="s">
        <v>4915</v>
      </c>
      <c r="G1673" t="s">
        <v>2706</v>
      </c>
      <c r="H1673" t="s">
        <v>2705</v>
      </c>
      <c r="I1673">
        <v>90</v>
      </c>
      <c r="K1673" t="s">
        <v>4948</v>
      </c>
      <c r="L1673">
        <v>46283</v>
      </c>
      <c r="M1673">
        <v>98251</v>
      </c>
      <c r="N1673">
        <v>20</v>
      </c>
      <c r="O1673">
        <v>46282</v>
      </c>
      <c r="P1673">
        <v>70</v>
      </c>
    </row>
    <row r="1674" spans="1:16" x14ac:dyDescent="0.4">
      <c r="A1674">
        <v>997</v>
      </c>
      <c r="B1674" t="s">
        <v>4915</v>
      </c>
      <c r="D1674" t="s">
        <v>4916</v>
      </c>
      <c r="G1674" t="s">
        <v>2696</v>
      </c>
      <c r="H1674" t="s">
        <v>2695</v>
      </c>
      <c r="I1674">
        <v>104</v>
      </c>
      <c r="K1674" t="s">
        <v>4869</v>
      </c>
      <c r="L1674">
        <v>46276</v>
      </c>
      <c r="M1674">
        <v>98251</v>
      </c>
      <c r="N1674">
        <v>20</v>
      </c>
      <c r="O1674">
        <v>46282</v>
      </c>
      <c r="P1674">
        <v>84</v>
      </c>
    </row>
    <row r="1675" spans="1:16" x14ac:dyDescent="0.4">
      <c r="A1675">
        <v>1420</v>
      </c>
      <c r="B1675" t="s">
        <v>4915</v>
      </c>
      <c r="G1675" t="s">
        <v>1328</v>
      </c>
      <c r="H1675" t="s">
        <v>4941</v>
      </c>
      <c r="I1675">
        <v>118</v>
      </c>
      <c r="K1675" t="s">
        <v>4942</v>
      </c>
      <c r="L1675">
        <v>46283</v>
      </c>
      <c r="M1675">
        <v>98251</v>
      </c>
      <c r="N1675">
        <v>40</v>
      </c>
      <c r="O1675">
        <v>46282</v>
      </c>
      <c r="P1675">
        <v>78</v>
      </c>
    </row>
    <row r="1676" spans="1:16" x14ac:dyDescent="0.4">
      <c r="A1676">
        <v>1421</v>
      </c>
      <c r="B1676" t="s">
        <v>4915</v>
      </c>
      <c r="G1676" t="s">
        <v>2813</v>
      </c>
      <c r="H1676" t="s">
        <v>2812</v>
      </c>
      <c r="I1676">
        <v>146</v>
      </c>
      <c r="K1676" t="s">
        <v>4947</v>
      </c>
      <c r="L1676">
        <v>46283</v>
      </c>
      <c r="M1676">
        <v>98251</v>
      </c>
      <c r="N1676">
        <v>20</v>
      </c>
      <c r="O1676">
        <v>46282</v>
      </c>
      <c r="P1676">
        <v>126</v>
      </c>
    </row>
    <row r="1677" spans="1:16" x14ac:dyDescent="0.4">
      <c r="A1677">
        <v>1423</v>
      </c>
      <c r="B1677" t="s">
        <v>4915</v>
      </c>
      <c r="G1677" t="s">
        <v>2655</v>
      </c>
      <c r="H1677" t="s">
        <v>2654</v>
      </c>
      <c r="I1677">
        <v>155</v>
      </c>
      <c r="K1677" t="s">
        <v>4948</v>
      </c>
      <c r="L1677">
        <v>46283</v>
      </c>
      <c r="M1677">
        <v>98251</v>
      </c>
      <c r="N1677">
        <v>20</v>
      </c>
      <c r="O1677">
        <v>46282</v>
      </c>
      <c r="P1677">
        <v>135</v>
      </c>
    </row>
    <row r="1678" spans="1:16" x14ac:dyDescent="0.4">
      <c r="A1678">
        <v>1424</v>
      </c>
      <c r="B1678" t="s">
        <v>4915</v>
      </c>
      <c r="G1678" t="s">
        <v>2762</v>
      </c>
      <c r="H1678" t="s">
        <v>2761</v>
      </c>
      <c r="I1678">
        <v>155</v>
      </c>
      <c r="K1678" t="s">
        <v>4945</v>
      </c>
      <c r="L1678">
        <v>46283</v>
      </c>
      <c r="M1678">
        <v>98251</v>
      </c>
      <c r="N1678">
        <v>20</v>
      </c>
      <c r="O1678">
        <v>46282</v>
      </c>
      <c r="P1678">
        <v>135</v>
      </c>
    </row>
    <row r="1679" spans="1:16" x14ac:dyDescent="0.4">
      <c r="A1679">
        <v>1023</v>
      </c>
      <c r="B1679" t="s">
        <v>4915</v>
      </c>
      <c r="D1679" t="s">
        <v>4916</v>
      </c>
      <c r="G1679" t="s">
        <v>1920</v>
      </c>
      <c r="H1679" t="s">
        <v>1919</v>
      </c>
      <c r="I1679">
        <v>164</v>
      </c>
      <c r="K1679" t="s">
        <v>5066</v>
      </c>
      <c r="L1679">
        <v>46276</v>
      </c>
      <c r="M1679">
        <v>98251</v>
      </c>
      <c r="N1679">
        <v>40</v>
      </c>
      <c r="O1679">
        <v>46282</v>
      </c>
      <c r="P1679">
        <v>124</v>
      </c>
    </row>
    <row r="1680" spans="1:16" x14ac:dyDescent="0.4">
      <c r="A1680">
        <v>1425</v>
      </c>
      <c r="B1680" t="s">
        <v>4915</v>
      </c>
      <c r="G1680" t="s">
        <v>2879</v>
      </c>
      <c r="H1680" t="s">
        <v>2878</v>
      </c>
      <c r="I1680">
        <v>164</v>
      </c>
      <c r="K1680" t="s">
        <v>4946</v>
      </c>
      <c r="L1680">
        <v>46283</v>
      </c>
      <c r="M1680">
        <v>98251</v>
      </c>
      <c r="N1680">
        <v>20</v>
      </c>
      <c r="O1680">
        <v>46282</v>
      </c>
      <c r="P1680">
        <v>144</v>
      </c>
    </row>
    <row r="1681" spans="1:16" x14ac:dyDescent="0.4">
      <c r="A1681">
        <v>1426</v>
      </c>
      <c r="B1681" t="s">
        <v>4915</v>
      </c>
      <c r="G1681" t="s">
        <v>1148</v>
      </c>
      <c r="H1681" t="s">
        <v>1147</v>
      </c>
      <c r="I1681">
        <v>183</v>
      </c>
      <c r="K1681" t="s">
        <v>4851</v>
      </c>
      <c r="L1681">
        <v>46283</v>
      </c>
      <c r="M1681">
        <v>98251</v>
      </c>
      <c r="N1681">
        <v>20</v>
      </c>
      <c r="O1681">
        <v>46282</v>
      </c>
      <c r="P1681">
        <v>163</v>
      </c>
    </row>
    <row r="1682" spans="1:16" x14ac:dyDescent="0.4">
      <c r="A1682">
        <v>1412</v>
      </c>
      <c r="B1682" t="s">
        <v>4915</v>
      </c>
      <c r="G1682" t="s">
        <v>477</v>
      </c>
      <c r="H1682" t="s">
        <v>476</v>
      </c>
      <c r="I1682">
        <v>190</v>
      </c>
      <c r="K1682" t="s">
        <v>4851</v>
      </c>
      <c r="L1682">
        <v>46283</v>
      </c>
      <c r="M1682">
        <v>98251</v>
      </c>
      <c r="N1682">
        <v>20</v>
      </c>
      <c r="O1682">
        <v>46282</v>
      </c>
      <c r="P1682">
        <v>170</v>
      </c>
    </row>
    <row r="1683" spans="1:16" x14ac:dyDescent="0.4">
      <c r="A1683">
        <v>1369</v>
      </c>
      <c r="B1683" t="s">
        <v>4915</v>
      </c>
      <c r="G1683" t="s">
        <v>385</v>
      </c>
      <c r="H1683" t="s">
        <v>384</v>
      </c>
      <c r="I1683">
        <v>226</v>
      </c>
      <c r="K1683" t="s">
        <v>4944</v>
      </c>
      <c r="L1683">
        <v>46287</v>
      </c>
      <c r="M1683">
        <v>98251</v>
      </c>
      <c r="N1683">
        <v>40</v>
      </c>
      <c r="O1683">
        <v>46282</v>
      </c>
      <c r="P1683">
        <v>186</v>
      </c>
    </row>
    <row r="1684" spans="1:16" x14ac:dyDescent="0.4">
      <c r="A1684">
        <v>1428</v>
      </c>
      <c r="B1684" t="s">
        <v>4915</v>
      </c>
      <c r="G1684" t="s">
        <v>2755</v>
      </c>
      <c r="H1684" t="s">
        <v>2754</v>
      </c>
      <c r="I1684">
        <v>227</v>
      </c>
      <c r="K1684" t="s">
        <v>4869</v>
      </c>
      <c r="L1684">
        <v>46283</v>
      </c>
      <c r="M1684">
        <v>98251</v>
      </c>
      <c r="N1684">
        <v>20</v>
      </c>
      <c r="O1684">
        <v>46282</v>
      </c>
      <c r="P1684">
        <v>207</v>
      </c>
    </row>
    <row r="1685" spans="1:16" x14ac:dyDescent="0.4">
      <c r="A1685">
        <v>1429</v>
      </c>
      <c r="B1685" t="s">
        <v>4915</v>
      </c>
      <c r="G1685" t="s">
        <v>2671</v>
      </c>
      <c r="H1685" t="s">
        <v>2670</v>
      </c>
      <c r="I1685">
        <v>230</v>
      </c>
      <c r="K1685" t="s">
        <v>4872</v>
      </c>
      <c r="L1685">
        <v>46283</v>
      </c>
      <c r="M1685">
        <v>98251</v>
      </c>
      <c r="N1685">
        <v>20</v>
      </c>
      <c r="O1685">
        <v>46282</v>
      </c>
      <c r="P1685">
        <v>210</v>
      </c>
    </row>
    <row r="1686" spans="1:16" x14ac:dyDescent="0.4">
      <c r="A1686">
        <v>1430</v>
      </c>
      <c r="B1686" t="s">
        <v>4915</v>
      </c>
      <c r="G1686" t="s">
        <v>2753</v>
      </c>
      <c r="H1686" t="s">
        <v>2752</v>
      </c>
      <c r="I1686">
        <v>232</v>
      </c>
      <c r="K1686" t="s">
        <v>4872</v>
      </c>
      <c r="L1686">
        <v>46283</v>
      </c>
      <c r="M1686">
        <v>98251</v>
      </c>
      <c r="N1686">
        <v>20</v>
      </c>
      <c r="O1686">
        <v>46282</v>
      </c>
      <c r="P1686">
        <v>212</v>
      </c>
    </row>
    <row r="1687" spans="1:16" x14ac:dyDescent="0.4">
      <c r="A1687">
        <v>1431</v>
      </c>
      <c r="B1687" t="s">
        <v>4915</v>
      </c>
      <c r="G1687" t="s">
        <v>2786</v>
      </c>
      <c r="H1687" t="s">
        <v>2785</v>
      </c>
      <c r="I1687">
        <v>246</v>
      </c>
      <c r="K1687" t="s">
        <v>4949</v>
      </c>
      <c r="L1687">
        <v>46283</v>
      </c>
      <c r="M1687">
        <v>98251</v>
      </c>
      <c r="N1687">
        <v>20</v>
      </c>
      <c r="O1687">
        <v>46282</v>
      </c>
      <c r="P1687">
        <v>226</v>
      </c>
    </row>
    <row r="1688" spans="1:16" x14ac:dyDescent="0.4">
      <c r="A1688">
        <v>2504</v>
      </c>
      <c r="B1688" t="s">
        <v>4915</v>
      </c>
      <c r="G1688" t="s">
        <v>2638</v>
      </c>
      <c r="H1688" t="s">
        <v>2637</v>
      </c>
      <c r="I1688">
        <v>250</v>
      </c>
      <c r="K1688" t="s">
        <v>4869</v>
      </c>
      <c r="L1688">
        <v>46297</v>
      </c>
      <c r="M1688">
        <v>98251</v>
      </c>
      <c r="N1688">
        <v>20</v>
      </c>
      <c r="O1688">
        <v>46297</v>
      </c>
      <c r="P1688">
        <v>230</v>
      </c>
    </row>
    <row r="1689" spans="1:16" x14ac:dyDescent="0.4">
      <c r="A1689">
        <v>1432</v>
      </c>
      <c r="B1689" t="s">
        <v>4915</v>
      </c>
      <c r="G1689" t="s">
        <v>2750</v>
      </c>
      <c r="H1689" t="s">
        <v>2749</v>
      </c>
      <c r="I1689">
        <v>258</v>
      </c>
      <c r="K1689" t="s">
        <v>4872</v>
      </c>
      <c r="L1689">
        <v>46283</v>
      </c>
      <c r="M1689">
        <v>98251</v>
      </c>
      <c r="N1689">
        <v>20</v>
      </c>
      <c r="O1689">
        <v>46282</v>
      </c>
      <c r="P1689">
        <v>238</v>
      </c>
    </row>
    <row r="1690" spans="1:16" x14ac:dyDescent="0.4">
      <c r="A1690">
        <v>1447</v>
      </c>
      <c r="B1690" t="s">
        <v>4915</v>
      </c>
      <c r="G1690" t="s">
        <v>1167</v>
      </c>
      <c r="H1690" t="s">
        <v>1166</v>
      </c>
      <c r="I1690">
        <v>344</v>
      </c>
      <c r="K1690" t="s">
        <v>4952</v>
      </c>
      <c r="L1690">
        <v>46283</v>
      </c>
      <c r="M1690">
        <v>98251</v>
      </c>
      <c r="N1690">
        <v>20</v>
      </c>
      <c r="O1690">
        <v>46282</v>
      </c>
      <c r="P1690">
        <v>324</v>
      </c>
    </row>
    <row r="1691" spans="1:16" x14ac:dyDescent="0.4">
      <c r="A1691">
        <v>1448</v>
      </c>
      <c r="B1691" t="s">
        <v>4915</v>
      </c>
      <c r="G1691" t="s">
        <v>1173</v>
      </c>
      <c r="H1691" t="s">
        <v>1172</v>
      </c>
      <c r="I1691">
        <v>349</v>
      </c>
      <c r="K1691" t="s">
        <v>4952</v>
      </c>
      <c r="L1691">
        <v>46283</v>
      </c>
      <c r="M1691">
        <v>98251</v>
      </c>
      <c r="N1691">
        <v>20</v>
      </c>
      <c r="O1691">
        <v>46282</v>
      </c>
      <c r="P1691">
        <v>329</v>
      </c>
    </row>
    <row r="1692" spans="1:16" x14ac:dyDescent="0.4">
      <c r="A1692">
        <v>1433</v>
      </c>
      <c r="B1692" t="s">
        <v>4915</v>
      </c>
      <c r="G1692" t="s">
        <v>2774</v>
      </c>
      <c r="H1692" t="s">
        <v>2773</v>
      </c>
      <c r="I1692">
        <v>355</v>
      </c>
      <c r="K1692" t="s">
        <v>4949</v>
      </c>
      <c r="L1692">
        <v>46283</v>
      </c>
      <c r="M1692">
        <v>98251</v>
      </c>
      <c r="N1692">
        <v>20</v>
      </c>
      <c r="O1692">
        <v>46282</v>
      </c>
      <c r="P1692">
        <v>335</v>
      </c>
    </row>
    <row r="1693" spans="1:16" x14ac:dyDescent="0.4">
      <c r="A1693">
        <v>1105</v>
      </c>
      <c r="B1693" t="s">
        <v>4915</v>
      </c>
      <c r="D1693" t="s">
        <v>4916</v>
      </c>
      <c r="G1693" t="s">
        <v>1009</v>
      </c>
      <c r="H1693" t="s">
        <v>1008</v>
      </c>
      <c r="I1693">
        <v>534</v>
      </c>
      <c r="K1693" t="s">
        <v>4851</v>
      </c>
      <c r="L1693">
        <v>46276</v>
      </c>
      <c r="M1693">
        <v>98251</v>
      </c>
      <c r="N1693">
        <v>20</v>
      </c>
      <c r="O1693">
        <v>46282</v>
      </c>
      <c r="P1693">
        <v>514</v>
      </c>
    </row>
    <row r="1694" spans="1:16" x14ac:dyDescent="0.4">
      <c r="A1694">
        <v>1622</v>
      </c>
      <c r="B1694" t="s">
        <v>4915</v>
      </c>
      <c r="D1694" t="s">
        <v>4901</v>
      </c>
      <c r="E1694" t="s">
        <v>5164</v>
      </c>
      <c r="F1694" t="s">
        <v>5147</v>
      </c>
      <c r="G1694" t="s">
        <v>1199</v>
      </c>
      <c r="H1694" t="s">
        <v>1198</v>
      </c>
      <c r="I1694">
        <v>50</v>
      </c>
      <c r="K1694" t="s">
        <v>4966</v>
      </c>
      <c r="L1694">
        <v>46276</v>
      </c>
      <c r="M1694">
        <v>98252</v>
      </c>
      <c r="N1694">
        <v>20</v>
      </c>
      <c r="O1694">
        <v>46282</v>
      </c>
      <c r="P1694">
        <v>30</v>
      </c>
    </row>
    <row r="1695" spans="1:16" x14ac:dyDescent="0.4">
      <c r="A1695">
        <v>1174</v>
      </c>
      <c r="B1695" t="s">
        <v>4915</v>
      </c>
      <c r="G1695" t="s">
        <v>2626</v>
      </c>
      <c r="H1695" t="s">
        <v>2625</v>
      </c>
      <c r="I1695">
        <v>54</v>
      </c>
      <c r="K1695" t="s">
        <v>5076</v>
      </c>
      <c r="L1695">
        <v>46280</v>
      </c>
      <c r="M1695">
        <v>98252</v>
      </c>
      <c r="N1695">
        <v>20</v>
      </c>
      <c r="O1695">
        <v>46282</v>
      </c>
      <c r="P1695">
        <v>34</v>
      </c>
    </row>
    <row r="1696" spans="1:16" x14ac:dyDescent="0.4">
      <c r="A1696">
        <v>1610</v>
      </c>
      <c r="B1696" t="s">
        <v>4915</v>
      </c>
      <c r="G1696" t="s">
        <v>628</v>
      </c>
      <c r="H1696" t="s">
        <v>627</v>
      </c>
      <c r="I1696">
        <v>108</v>
      </c>
      <c r="K1696" t="s">
        <v>4965</v>
      </c>
      <c r="L1696">
        <v>46280</v>
      </c>
      <c r="M1696">
        <v>98252</v>
      </c>
      <c r="N1696">
        <v>20</v>
      </c>
      <c r="O1696">
        <v>46282</v>
      </c>
      <c r="P1696">
        <v>88</v>
      </c>
    </row>
    <row r="1697" spans="1:16" x14ac:dyDescent="0.4">
      <c r="A1697">
        <v>1617</v>
      </c>
      <c r="B1697" t="s">
        <v>4915</v>
      </c>
      <c r="G1697" t="s">
        <v>2809</v>
      </c>
      <c r="H1697" t="s">
        <v>2808</v>
      </c>
      <c r="I1697">
        <v>191</v>
      </c>
      <c r="K1697" t="s">
        <v>4869</v>
      </c>
      <c r="L1697">
        <v>46280</v>
      </c>
      <c r="M1697">
        <v>98252</v>
      </c>
      <c r="N1697">
        <v>20</v>
      </c>
      <c r="O1697">
        <v>46282</v>
      </c>
      <c r="P1697">
        <v>171</v>
      </c>
    </row>
    <row r="1698" spans="1:16" x14ac:dyDescent="0.4">
      <c r="A1698">
        <v>1175</v>
      </c>
      <c r="B1698" t="s">
        <v>4915</v>
      </c>
      <c r="G1698" t="s">
        <v>1159</v>
      </c>
      <c r="H1698" t="s">
        <v>1158</v>
      </c>
      <c r="I1698">
        <v>261</v>
      </c>
      <c r="K1698" t="s">
        <v>4970</v>
      </c>
      <c r="L1698">
        <v>46280</v>
      </c>
      <c r="M1698">
        <v>98252</v>
      </c>
      <c r="N1698">
        <v>60</v>
      </c>
      <c r="O1698">
        <v>46282</v>
      </c>
      <c r="P1698">
        <v>201</v>
      </c>
    </row>
    <row r="1699" spans="1:16" x14ac:dyDescent="0.4">
      <c r="A1699">
        <v>1609</v>
      </c>
      <c r="B1699" t="s">
        <v>4915</v>
      </c>
      <c r="G1699" t="s">
        <v>1001</v>
      </c>
      <c r="H1699" t="s">
        <v>1000</v>
      </c>
      <c r="I1699">
        <v>286</v>
      </c>
      <c r="K1699" t="s">
        <v>4851</v>
      </c>
      <c r="L1699">
        <v>46280</v>
      </c>
      <c r="M1699">
        <v>98252</v>
      </c>
      <c r="N1699">
        <v>20</v>
      </c>
      <c r="O1699">
        <v>46282</v>
      </c>
      <c r="P1699">
        <v>266</v>
      </c>
    </row>
    <row r="1700" spans="1:16" x14ac:dyDescent="0.4">
      <c r="A1700">
        <v>1612</v>
      </c>
      <c r="B1700" t="s">
        <v>4915</v>
      </c>
      <c r="G1700" t="s">
        <v>1146</v>
      </c>
      <c r="H1700" t="s">
        <v>1145</v>
      </c>
      <c r="I1700">
        <v>438</v>
      </c>
      <c r="K1700" t="s">
        <v>4871</v>
      </c>
      <c r="L1700">
        <v>46280</v>
      </c>
      <c r="M1700">
        <v>98252</v>
      </c>
      <c r="N1700">
        <v>20</v>
      </c>
      <c r="O1700">
        <v>46282</v>
      </c>
      <c r="P1700">
        <v>418</v>
      </c>
    </row>
    <row r="1701" spans="1:16" x14ac:dyDescent="0.4">
      <c r="A1701">
        <v>2502</v>
      </c>
      <c r="B1701" t="s">
        <v>4915</v>
      </c>
      <c r="G1701" t="s">
        <v>362</v>
      </c>
      <c r="H1701" t="s">
        <v>5022</v>
      </c>
      <c r="I1701">
        <v>15</v>
      </c>
      <c r="K1701" t="s">
        <v>5023</v>
      </c>
      <c r="L1701">
        <v>46302</v>
      </c>
      <c r="M1701">
        <v>98646</v>
      </c>
      <c r="N1701">
        <v>15</v>
      </c>
      <c r="O1701">
        <v>46294</v>
      </c>
      <c r="P1701">
        <v>0</v>
      </c>
    </row>
    <row r="1702" spans="1:16" x14ac:dyDescent="0.4">
      <c r="A1702">
        <v>588</v>
      </c>
      <c r="B1702" t="s">
        <v>4915</v>
      </c>
      <c r="D1702" t="s">
        <v>4916</v>
      </c>
      <c r="G1702" t="s">
        <v>1205</v>
      </c>
      <c r="H1702" t="s">
        <v>1204</v>
      </c>
      <c r="I1702">
        <v>30</v>
      </c>
      <c r="K1702" t="s">
        <v>4953</v>
      </c>
      <c r="L1702">
        <v>46273</v>
      </c>
      <c r="M1702">
        <v>98646</v>
      </c>
      <c r="N1702">
        <v>10</v>
      </c>
      <c r="O1702">
        <v>46293</v>
      </c>
      <c r="P1702">
        <v>20</v>
      </c>
    </row>
    <row r="1703" spans="1:16" x14ac:dyDescent="0.4">
      <c r="A1703">
        <v>1966</v>
      </c>
      <c r="B1703" t="s">
        <v>4915</v>
      </c>
      <c r="D1703" t="s">
        <v>4901</v>
      </c>
      <c r="E1703" t="s">
        <v>4936</v>
      </c>
      <c r="F1703" t="s">
        <v>4939</v>
      </c>
      <c r="G1703" t="s">
        <v>362</v>
      </c>
      <c r="H1703" t="s">
        <v>5022</v>
      </c>
      <c r="I1703">
        <v>40</v>
      </c>
      <c r="K1703" t="s">
        <v>5023</v>
      </c>
      <c r="L1703">
        <v>46301</v>
      </c>
      <c r="M1703">
        <v>98646</v>
      </c>
      <c r="N1703">
        <v>15</v>
      </c>
      <c r="O1703">
        <v>46302</v>
      </c>
      <c r="P1703">
        <v>25</v>
      </c>
    </row>
    <row r="1704" spans="1:16" x14ac:dyDescent="0.4">
      <c r="A1704">
        <v>783</v>
      </c>
      <c r="B1704" t="s">
        <v>4915</v>
      </c>
      <c r="G1704" t="s">
        <v>1123</v>
      </c>
      <c r="H1704" t="s">
        <v>4917</v>
      </c>
      <c r="I1704">
        <v>46</v>
      </c>
      <c r="K1704" t="s">
        <v>4918</v>
      </c>
      <c r="L1704">
        <v>46274</v>
      </c>
      <c r="M1704">
        <v>98646</v>
      </c>
      <c r="N1704">
        <v>30</v>
      </c>
      <c r="O1704">
        <v>46293</v>
      </c>
      <c r="P1704">
        <v>16</v>
      </c>
    </row>
    <row r="1705" spans="1:16" x14ac:dyDescent="0.4">
      <c r="A1705">
        <v>2062</v>
      </c>
      <c r="B1705" t="s">
        <v>4915</v>
      </c>
      <c r="D1705" t="s">
        <v>4901</v>
      </c>
      <c r="E1705" t="s">
        <v>5164</v>
      </c>
      <c r="F1705" t="s">
        <v>5147</v>
      </c>
      <c r="G1705" t="s">
        <v>1205</v>
      </c>
      <c r="H1705" t="s">
        <v>1204</v>
      </c>
      <c r="I1705">
        <v>50</v>
      </c>
      <c r="K1705" t="s">
        <v>4953</v>
      </c>
      <c r="L1705">
        <v>46301</v>
      </c>
      <c r="M1705">
        <v>98646</v>
      </c>
      <c r="N1705">
        <v>50</v>
      </c>
      <c r="O1705">
        <v>46301</v>
      </c>
      <c r="P1705">
        <v>0</v>
      </c>
    </row>
    <row r="1706" spans="1:16" x14ac:dyDescent="0.4">
      <c r="A1706">
        <v>1403</v>
      </c>
      <c r="B1706" t="s">
        <v>4915</v>
      </c>
      <c r="G1706" t="s">
        <v>1186</v>
      </c>
      <c r="H1706" t="s">
        <v>1185</v>
      </c>
      <c r="I1706">
        <v>101</v>
      </c>
      <c r="K1706" t="s">
        <v>4970</v>
      </c>
      <c r="L1706">
        <v>46283</v>
      </c>
      <c r="M1706">
        <v>98646</v>
      </c>
      <c r="N1706">
        <v>60</v>
      </c>
      <c r="O1706">
        <v>46293</v>
      </c>
      <c r="P1706">
        <v>41</v>
      </c>
    </row>
    <row r="1707" spans="1:16" x14ac:dyDescent="0.4">
      <c r="A1707">
        <v>1145</v>
      </c>
      <c r="B1707" t="s">
        <v>4915</v>
      </c>
      <c r="G1707" t="s">
        <v>2641</v>
      </c>
      <c r="H1707" t="s">
        <v>2640</v>
      </c>
      <c r="I1707">
        <v>126</v>
      </c>
      <c r="K1707" t="s">
        <v>4869</v>
      </c>
      <c r="L1707">
        <v>46276</v>
      </c>
      <c r="M1707">
        <v>98646</v>
      </c>
      <c r="N1707">
        <v>30</v>
      </c>
      <c r="O1707">
        <v>46293</v>
      </c>
      <c r="P1707">
        <v>96</v>
      </c>
    </row>
    <row r="1708" spans="1:16" x14ac:dyDescent="0.4">
      <c r="A1708">
        <v>784</v>
      </c>
      <c r="B1708" t="s">
        <v>4915</v>
      </c>
      <c r="G1708" t="s">
        <v>1190</v>
      </c>
      <c r="H1708" t="s">
        <v>1189</v>
      </c>
      <c r="I1708">
        <v>275</v>
      </c>
      <c r="K1708" t="s">
        <v>4953</v>
      </c>
      <c r="L1708">
        <v>46273</v>
      </c>
      <c r="M1708">
        <v>98646</v>
      </c>
      <c r="N1708">
        <v>30</v>
      </c>
      <c r="O1708">
        <v>46293</v>
      </c>
      <c r="P1708">
        <v>245</v>
      </c>
    </row>
    <row r="1709" spans="1:16" x14ac:dyDescent="0.4">
      <c r="A1709">
        <v>785</v>
      </c>
      <c r="B1709" t="s">
        <v>4915</v>
      </c>
      <c r="G1709" t="s">
        <v>4950</v>
      </c>
      <c r="H1709" t="s">
        <v>2691</v>
      </c>
      <c r="I1709">
        <v>352</v>
      </c>
      <c r="K1709" t="s">
        <v>4951</v>
      </c>
      <c r="L1709">
        <v>46273</v>
      </c>
      <c r="M1709">
        <v>98646</v>
      </c>
      <c r="N1709">
        <v>30</v>
      </c>
      <c r="O1709">
        <v>46293</v>
      </c>
      <c r="P1709">
        <v>322</v>
      </c>
    </row>
    <row r="1710" spans="1:16" x14ac:dyDescent="0.4">
      <c r="A1710">
        <v>1512</v>
      </c>
      <c r="B1710" t="s">
        <v>4915</v>
      </c>
      <c r="G1710" t="s">
        <v>1344</v>
      </c>
      <c r="H1710" t="s">
        <v>1343</v>
      </c>
      <c r="I1710">
        <v>4</v>
      </c>
      <c r="K1710" t="s">
        <v>5041</v>
      </c>
      <c r="L1710">
        <v>46282</v>
      </c>
      <c r="M1710">
        <v>98647</v>
      </c>
      <c r="N1710">
        <v>4</v>
      </c>
      <c r="O1710">
        <v>46294</v>
      </c>
      <c r="P1710">
        <v>0</v>
      </c>
    </row>
    <row r="1711" spans="1:16" x14ac:dyDescent="0.4">
      <c r="A1711">
        <v>1127</v>
      </c>
      <c r="B1711" t="s">
        <v>4915</v>
      </c>
      <c r="D1711" t="s">
        <v>4916</v>
      </c>
      <c r="G1711" t="s">
        <v>1973</v>
      </c>
      <c r="H1711" t="s">
        <v>1972</v>
      </c>
      <c r="I1711">
        <v>16</v>
      </c>
      <c r="K1711" t="s">
        <v>5141</v>
      </c>
      <c r="L1711">
        <v>46276</v>
      </c>
      <c r="M1711">
        <v>98647</v>
      </c>
      <c r="N1711">
        <v>16</v>
      </c>
      <c r="O1711">
        <v>46294</v>
      </c>
      <c r="P1711">
        <v>0</v>
      </c>
    </row>
    <row r="1712" spans="1:16" x14ac:dyDescent="0.4">
      <c r="A1712">
        <v>1141</v>
      </c>
      <c r="B1712" t="s">
        <v>4915</v>
      </c>
      <c r="D1712" t="s">
        <v>4916</v>
      </c>
      <c r="G1712" t="s">
        <v>1322</v>
      </c>
      <c r="H1712" t="s">
        <v>5145</v>
      </c>
      <c r="I1712">
        <v>35</v>
      </c>
      <c r="K1712" t="s">
        <v>5054</v>
      </c>
      <c r="L1712">
        <v>46276</v>
      </c>
      <c r="M1712">
        <v>98647</v>
      </c>
      <c r="N1712">
        <v>30</v>
      </c>
      <c r="O1712">
        <v>46294</v>
      </c>
      <c r="P1712">
        <v>5</v>
      </c>
    </row>
    <row r="1713" spans="1:16" x14ac:dyDescent="0.4">
      <c r="A1713">
        <v>1130</v>
      </c>
      <c r="B1713" t="s">
        <v>4915</v>
      </c>
      <c r="D1713" t="s">
        <v>4916</v>
      </c>
      <c r="G1713" t="s">
        <v>1998</v>
      </c>
      <c r="H1713" t="s">
        <v>1997</v>
      </c>
      <c r="I1713">
        <v>43</v>
      </c>
      <c r="K1713" t="s">
        <v>5141</v>
      </c>
      <c r="L1713">
        <v>46276</v>
      </c>
      <c r="M1713">
        <v>98647</v>
      </c>
      <c r="N1713">
        <v>30</v>
      </c>
      <c r="O1713">
        <v>46294</v>
      </c>
      <c r="P1713">
        <v>13</v>
      </c>
    </row>
    <row r="1714" spans="1:16" x14ac:dyDescent="0.4">
      <c r="A1714">
        <v>1108</v>
      </c>
      <c r="B1714" t="s">
        <v>4915</v>
      </c>
      <c r="D1714" t="s">
        <v>4916</v>
      </c>
      <c r="G1714" t="s">
        <v>7</v>
      </c>
      <c r="H1714" t="s">
        <v>2676</v>
      </c>
      <c r="I1714">
        <v>50</v>
      </c>
      <c r="K1714" t="s">
        <v>5092</v>
      </c>
      <c r="L1714">
        <v>46276</v>
      </c>
      <c r="M1714">
        <v>98647</v>
      </c>
      <c r="N1714">
        <v>30</v>
      </c>
      <c r="O1714">
        <v>46294</v>
      </c>
      <c r="P1714">
        <v>20</v>
      </c>
    </row>
    <row r="1715" spans="1:16" x14ac:dyDescent="0.4">
      <c r="A1715">
        <v>1110</v>
      </c>
      <c r="B1715" t="s">
        <v>4915</v>
      </c>
      <c r="D1715" t="s">
        <v>4916</v>
      </c>
      <c r="G1715" t="s">
        <v>2675</v>
      </c>
      <c r="H1715" t="s">
        <v>2674</v>
      </c>
      <c r="I1715">
        <v>52</v>
      </c>
      <c r="K1715" t="s">
        <v>5096</v>
      </c>
      <c r="L1715">
        <v>46276</v>
      </c>
      <c r="M1715">
        <v>98647</v>
      </c>
      <c r="N1715">
        <v>30</v>
      </c>
      <c r="O1715">
        <v>46294</v>
      </c>
      <c r="P1715">
        <v>22</v>
      </c>
    </row>
    <row r="1716" spans="1:16" x14ac:dyDescent="0.4">
      <c r="A1716">
        <v>1139</v>
      </c>
      <c r="B1716" t="s">
        <v>4915</v>
      </c>
      <c r="D1716" t="s">
        <v>4916</v>
      </c>
      <c r="G1716" t="s">
        <v>2000</v>
      </c>
      <c r="H1716" t="s">
        <v>1999</v>
      </c>
      <c r="I1716">
        <v>63</v>
      </c>
      <c r="K1716" t="s">
        <v>5144</v>
      </c>
      <c r="L1716">
        <v>46276</v>
      </c>
      <c r="M1716">
        <v>98647</v>
      </c>
      <c r="N1716">
        <v>30</v>
      </c>
      <c r="O1716">
        <v>46294</v>
      </c>
      <c r="P1716">
        <v>33</v>
      </c>
    </row>
    <row r="1717" spans="1:16" x14ac:dyDescent="0.4">
      <c r="A1717">
        <v>1111</v>
      </c>
      <c r="B1717" t="s">
        <v>4915</v>
      </c>
      <c r="D1717" t="s">
        <v>4916</v>
      </c>
      <c r="G1717" t="s">
        <v>2666</v>
      </c>
      <c r="H1717" t="s">
        <v>2665</v>
      </c>
      <c r="I1717">
        <v>75</v>
      </c>
      <c r="K1717" t="s">
        <v>5096</v>
      </c>
      <c r="L1717">
        <v>46276</v>
      </c>
      <c r="M1717">
        <v>98647</v>
      </c>
      <c r="N1717">
        <v>30</v>
      </c>
      <c r="O1717">
        <v>46294</v>
      </c>
      <c r="P1717">
        <v>45</v>
      </c>
    </row>
    <row r="1718" spans="1:16" x14ac:dyDescent="0.4">
      <c r="A1718">
        <v>1684</v>
      </c>
      <c r="B1718" t="s">
        <v>4915</v>
      </c>
      <c r="G1718" t="s">
        <v>2778</v>
      </c>
      <c r="H1718" t="s">
        <v>2777</v>
      </c>
      <c r="I1718">
        <v>76</v>
      </c>
      <c r="K1718" t="s">
        <v>4949</v>
      </c>
      <c r="L1718">
        <v>46280</v>
      </c>
      <c r="M1718">
        <v>98647</v>
      </c>
      <c r="N1718">
        <v>30</v>
      </c>
      <c r="O1718">
        <v>46294</v>
      </c>
      <c r="P1718">
        <v>46</v>
      </c>
    </row>
    <row r="1719" spans="1:16" x14ac:dyDescent="0.4">
      <c r="A1719">
        <v>1136</v>
      </c>
      <c r="B1719" t="s">
        <v>4915</v>
      </c>
      <c r="D1719" t="s">
        <v>4916</v>
      </c>
      <c r="G1719" t="s">
        <v>1988</v>
      </c>
      <c r="H1719" t="s">
        <v>1987</v>
      </c>
      <c r="I1719">
        <v>85</v>
      </c>
      <c r="K1719" t="s">
        <v>5109</v>
      </c>
      <c r="L1719">
        <v>46276</v>
      </c>
      <c r="M1719">
        <v>98647</v>
      </c>
      <c r="N1719">
        <v>30</v>
      </c>
      <c r="O1719">
        <v>46294</v>
      </c>
      <c r="P1719">
        <v>55</v>
      </c>
    </row>
    <row r="1720" spans="1:16" x14ac:dyDescent="0.4">
      <c r="A1720">
        <v>1667</v>
      </c>
      <c r="B1720" t="s">
        <v>4915</v>
      </c>
      <c r="G1720" t="s">
        <v>1354</v>
      </c>
      <c r="H1720" t="s">
        <v>1353</v>
      </c>
      <c r="I1720">
        <v>90</v>
      </c>
      <c r="K1720" t="s">
        <v>4957</v>
      </c>
      <c r="L1720">
        <v>46280</v>
      </c>
      <c r="M1720">
        <v>98647</v>
      </c>
      <c r="N1720">
        <v>30</v>
      </c>
      <c r="O1720">
        <v>46294</v>
      </c>
      <c r="P1720">
        <v>60</v>
      </c>
    </row>
    <row r="1721" spans="1:16" x14ac:dyDescent="0.4">
      <c r="A1721">
        <v>1516</v>
      </c>
      <c r="B1721" t="s">
        <v>4915</v>
      </c>
      <c r="G1721" t="s">
        <v>8</v>
      </c>
      <c r="H1721" t="s">
        <v>2678</v>
      </c>
      <c r="I1721">
        <v>95</v>
      </c>
      <c r="K1721" t="s">
        <v>5092</v>
      </c>
      <c r="L1721">
        <v>46282</v>
      </c>
      <c r="M1721">
        <v>98647</v>
      </c>
      <c r="N1721">
        <v>30</v>
      </c>
      <c r="O1721">
        <v>46294</v>
      </c>
      <c r="P1721">
        <v>65</v>
      </c>
    </row>
    <row r="1722" spans="1:16" x14ac:dyDescent="0.4">
      <c r="A1722">
        <v>1134</v>
      </c>
      <c r="B1722" t="s">
        <v>4915</v>
      </c>
      <c r="D1722" t="s">
        <v>4916</v>
      </c>
      <c r="G1722" t="s">
        <v>1305</v>
      </c>
      <c r="H1722" t="s">
        <v>1304</v>
      </c>
      <c r="I1722">
        <v>97</v>
      </c>
      <c r="K1722" t="s">
        <v>5143</v>
      </c>
      <c r="L1722">
        <v>46276</v>
      </c>
      <c r="M1722">
        <v>98647</v>
      </c>
      <c r="N1722">
        <v>30</v>
      </c>
      <c r="O1722">
        <v>46294</v>
      </c>
      <c r="P1722">
        <v>67</v>
      </c>
    </row>
    <row r="1723" spans="1:16" x14ac:dyDescent="0.4">
      <c r="A1723">
        <v>1133</v>
      </c>
      <c r="B1723" t="s">
        <v>4915</v>
      </c>
      <c r="D1723" t="s">
        <v>4916</v>
      </c>
      <c r="G1723" t="s">
        <v>1887</v>
      </c>
      <c r="H1723" t="s">
        <v>1886</v>
      </c>
      <c r="I1723">
        <v>100</v>
      </c>
      <c r="K1723" t="s">
        <v>5104</v>
      </c>
      <c r="L1723">
        <v>46276</v>
      </c>
      <c r="M1723">
        <v>98647</v>
      </c>
      <c r="N1723">
        <v>30</v>
      </c>
      <c r="O1723">
        <v>46294</v>
      </c>
      <c r="P1723">
        <v>70</v>
      </c>
    </row>
    <row r="1724" spans="1:16" x14ac:dyDescent="0.4">
      <c r="A1724">
        <v>1517</v>
      </c>
      <c r="B1724" t="s">
        <v>4915</v>
      </c>
      <c r="G1724" t="s">
        <v>2668</v>
      </c>
      <c r="H1724" t="s">
        <v>2667</v>
      </c>
      <c r="I1724">
        <v>100</v>
      </c>
      <c r="K1724" t="s">
        <v>5093</v>
      </c>
      <c r="L1724">
        <v>46282</v>
      </c>
      <c r="M1724">
        <v>98647</v>
      </c>
      <c r="N1724">
        <v>30</v>
      </c>
      <c r="O1724">
        <v>46294</v>
      </c>
      <c r="P1724">
        <v>70</v>
      </c>
    </row>
    <row r="1725" spans="1:16" x14ac:dyDescent="0.4">
      <c r="A1725">
        <v>1739</v>
      </c>
      <c r="B1725" t="s">
        <v>4915</v>
      </c>
      <c r="D1725" t="s">
        <v>4901</v>
      </c>
      <c r="E1725" t="s">
        <v>5167</v>
      </c>
      <c r="F1725" t="s">
        <v>4937</v>
      </c>
      <c r="G1725" t="s">
        <v>1973</v>
      </c>
      <c r="H1725" t="s">
        <v>1972</v>
      </c>
      <c r="I1725">
        <v>100</v>
      </c>
      <c r="K1725" t="s">
        <v>5141</v>
      </c>
      <c r="L1725">
        <v>46293</v>
      </c>
      <c r="M1725">
        <v>98647</v>
      </c>
      <c r="N1725">
        <v>14</v>
      </c>
      <c r="O1725">
        <v>46294</v>
      </c>
      <c r="P1725">
        <v>86</v>
      </c>
    </row>
    <row r="1726" spans="1:16" x14ac:dyDescent="0.4">
      <c r="A1726">
        <v>1520</v>
      </c>
      <c r="B1726" t="s">
        <v>4915</v>
      </c>
      <c r="G1726" t="s">
        <v>2673</v>
      </c>
      <c r="H1726" t="s">
        <v>2672</v>
      </c>
      <c r="I1726">
        <v>107</v>
      </c>
      <c r="K1726" t="s">
        <v>5096</v>
      </c>
      <c r="L1726">
        <v>46282</v>
      </c>
      <c r="M1726">
        <v>98647</v>
      </c>
      <c r="N1726">
        <v>30</v>
      </c>
      <c r="O1726">
        <v>46294</v>
      </c>
      <c r="P1726">
        <v>77</v>
      </c>
    </row>
    <row r="1727" spans="1:16" x14ac:dyDescent="0.4">
      <c r="A1727">
        <v>1904</v>
      </c>
      <c r="B1727" t="s">
        <v>4915</v>
      </c>
      <c r="G1727" t="s">
        <v>1344</v>
      </c>
      <c r="H1727" t="s">
        <v>1343</v>
      </c>
      <c r="I1727">
        <v>130</v>
      </c>
      <c r="K1727" t="s">
        <v>5041</v>
      </c>
      <c r="L1727">
        <v>46295</v>
      </c>
      <c r="M1727">
        <v>98647</v>
      </c>
      <c r="N1727">
        <v>4</v>
      </c>
      <c r="O1727">
        <v>46295</v>
      </c>
      <c r="P1727">
        <v>126</v>
      </c>
    </row>
    <row r="1728" spans="1:16" x14ac:dyDescent="0.4">
      <c r="A1728">
        <v>1135</v>
      </c>
      <c r="B1728" t="s">
        <v>4915</v>
      </c>
      <c r="D1728" t="s">
        <v>4916</v>
      </c>
      <c r="G1728" t="s">
        <v>1308</v>
      </c>
      <c r="H1728" t="s">
        <v>1307</v>
      </c>
      <c r="I1728">
        <v>142</v>
      </c>
      <c r="K1728" t="s">
        <v>4999</v>
      </c>
      <c r="L1728">
        <v>46276</v>
      </c>
      <c r="M1728">
        <v>98647</v>
      </c>
      <c r="N1728">
        <v>30</v>
      </c>
      <c r="O1728">
        <v>46294</v>
      </c>
      <c r="P1728">
        <v>112</v>
      </c>
    </row>
    <row r="1729" spans="1:16" x14ac:dyDescent="0.4">
      <c r="A1729">
        <v>1119</v>
      </c>
      <c r="B1729" t="s">
        <v>4915</v>
      </c>
      <c r="D1729" t="s">
        <v>4916</v>
      </c>
      <c r="G1729" t="s">
        <v>1668</v>
      </c>
      <c r="H1729" t="s">
        <v>1667</v>
      </c>
      <c r="I1729">
        <v>148</v>
      </c>
      <c r="K1729" t="s">
        <v>5041</v>
      </c>
      <c r="L1729">
        <v>46276</v>
      </c>
      <c r="M1729">
        <v>98647</v>
      </c>
      <c r="N1729">
        <v>30</v>
      </c>
      <c r="O1729">
        <v>46294</v>
      </c>
      <c r="P1729">
        <v>118</v>
      </c>
    </row>
    <row r="1730" spans="1:16" x14ac:dyDescent="0.4">
      <c r="A1730">
        <v>1131</v>
      </c>
      <c r="B1730" t="s">
        <v>4915</v>
      </c>
      <c r="D1730" t="s">
        <v>4916</v>
      </c>
      <c r="G1730" t="s">
        <v>2005</v>
      </c>
      <c r="H1730" t="s">
        <v>2004</v>
      </c>
      <c r="I1730">
        <v>150</v>
      </c>
      <c r="K1730" t="s">
        <v>5142</v>
      </c>
      <c r="L1730">
        <v>46279</v>
      </c>
      <c r="M1730">
        <v>98647</v>
      </c>
      <c r="N1730">
        <v>30</v>
      </c>
      <c r="O1730">
        <v>46294</v>
      </c>
      <c r="P1730">
        <v>120</v>
      </c>
    </row>
    <row r="1731" spans="1:16" x14ac:dyDescent="0.4">
      <c r="A1731">
        <v>1132</v>
      </c>
      <c r="B1731" t="s">
        <v>4915</v>
      </c>
      <c r="D1731" t="s">
        <v>4916</v>
      </c>
      <c r="G1731" t="s">
        <v>2002</v>
      </c>
      <c r="H1731" t="s">
        <v>2001</v>
      </c>
      <c r="I1731">
        <v>150</v>
      </c>
      <c r="K1731" t="s">
        <v>5142</v>
      </c>
      <c r="L1731">
        <v>46279</v>
      </c>
      <c r="M1731">
        <v>98647</v>
      </c>
      <c r="N1731">
        <v>30</v>
      </c>
      <c r="O1731">
        <v>46294</v>
      </c>
      <c r="P1731">
        <v>120</v>
      </c>
    </row>
    <row r="1732" spans="1:16" x14ac:dyDescent="0.4">
      <c r="A1732">
        <v>1524</v>
      </c>
      <c r="B1732" t="s">
        <v>4915</v>
      </c>
      <c r="G1732" t="s">
        <v>2657</v>
      </c>
      <c r="H1732" t="s">
        <v>2656</v>
      </c>
      <c r="I1732">
        <v>155</v>
      </c>
      <c r="K1732" t="s">
        <v>5101</v>
      </c>
      <c r="L1732">
        <v>46282</v>
      </c>
      <c r="M1732">
        <v>98647</v>
      </c>
      <c r="N1732">
        <v>30</v>
      </c>
      <c r="O1732">
        <v>46294</v>
      </c>
      <c r="P1732">
        <v>125</v>
      </c>
    </row>
    <row r="1733" spans="1:16" x14ac:dyDescent="0.4">
      <c r="A1733">
        <v>1526</v>
      </c>
      <c r="B1733" t="s">
        <v>4915</v>
      </c>
      <c r="G1733" t="s">
        <v>1892</v>
      </c>
      <c r="H1733" t="s">
        <v>5103</v>
      </c>
      <c r="I1733">
        <v>160</v>
      </c>
      <c r="K1733" t="s">
        <v>5104</v>
      </c>
      <c r="L1733">
        <v>46282</v>
      </c>
      <c r="M1733">
        <v>98647</v>
      </c>
      <c r="N1733">
        <v>30</v>
      </c>
      <c r="O1733">
        <v>46294</v>
      </c>
      <c r="P1733">
        <v>130</v>
      </c>
    </row>
    <row r="1734" spans="1:16" x14ac:dyDescent="0.4">
      <c r="A1734">
        <v>1123</v>
      </c>
      <c r="B1734" t="s">
        <v>4915</v>
      </c>
      <c r="D1734" t="s">
        <v>4916</v>
      </c>
      <c r="G1734" t="s">
        <v>1849</v>
      </c>
      <c r="H1734" t="s">
        <v>1848</v>
      </c>
      <c r="I1734">
        <v>164</v>
      </c>
      <c r="K1734" t="s">
        <v>5140</v>
      </c>
      <c r="L1734">
        <v>46276</v>
      </c>
      <c r="M1734">
        <v>98647</v>
      </c>
      <c r="N1734">
        <v>30</v>
      </c>
      <c r="O1734">
        <v>46294</v>
      </c>
      <c r="P1734">
        <v>134</v>
      </c>
    </row>
    <row r="1735" spans="1:16" x14ac:dyDescent="0.4">
      <c r="A1735">
        <v>1126</v>
      </c>
      <c r="B1735" t="s">
        <v>4915</v>
      </c>
      <c r="D1735" t="s">
        <v>4916</v>
      </c>
      <c r="G1735" t="s">
        <v>1990</v>
      </c>
      <c r="H1735" t="s">
        <v>1989</v>
      </c>
      <c r="I1735">
        <v>165</v>
      </c>
      <c r="K1735" t="s">
        <v>5141</v>
      </c>
      <c r="L1735">
        <v>46276</v>
      </c>
      <c r="M1735">
        <v>98647</v>
      </c>
      <c r="N1735">
        <v>30</v>
      </c>
      <c r="O1735">
        <v>46294</v>
      </c>
      <c r="P1735">
        <v>135</v>
      </c>
    </row>
    <row r="1736" spans="1:16" x14ac:dyDescent="0.4">
      <c r="A1736">
        <v>1117</v>
      </c>
      <c r="B1736" t="s">
        <v>4915</v>
      </c>
      <c r="D1736" t="s">
        <v>4916</v>
      </c>
      <c r="G1736" t="s">
        <v>1373</v>
      </c>
      <c r="H1736" t="s">
        <v>1372</v>
      </c>
      <c r="I1736">
        <v>169</v>
      </c>
      <c r="K1736" t="s">
        <v>5123</v>
      </c>
      <c r="L1736">
        <v>46276</v>
      </c>
      <c r="M1736">
        <v>98647</v>
      </c>
      <c r="N1736">
        <v>30</v>
      </c>
      <c r="O1736">
        <v>46294</v>
      </c>
      <c r="P1736">
        <v>139</v>
      </c>
    </row>
    <row r="1737" spans="1:16" x14ac:dyDescent="0.4">
      <c r="A1737">
        <v>1107</v>
      </c>
      <c r="B1737" t="s">
        <v>4915</v>
      </c>
      <c r="D1737" t="s">
        <v>4916</v>
      </c>
      <c r="G1737" t="s">
        <v>4541</v>
      </c>
      <c r="H1737" t="s">
        <v>5139</v>
      </c>
      <c r="I1737">
        <v>200</v>
      </c>
      <c r="K1737" t="s">
        <v>5125</v>
      </c>
      <c r="L1737">
        <v>46276</v>
      </c>
      <c r="M1737">
        <v>98647</v>
      </c>
      <c r="N1737">
        <v>30</v>
      </c>
      <c r="O1737">
        <v>46294</v>
      </c>
      <c r="P1737">
        <v>170</v>
      </c>
    </row>
    <row r="1738" spans="1:16" x14ac:dyDescent="0.4">
      <c r="A1738">
        <v>1120</v>
      </c>
      <c r="B1738" t="s">
        <v>4915</v>
      </c>
      <c r="D1738" t="s">
        <v>4916</v>
      </c>
      <c r="G1738" t="s">
        <v>1844</v>
      </c>
      <c r="H1738" t="s">
        <v>1843</v>
      </c>
      <c r="I1738">
        <v>200</v>
      </c>
      <c r="K1738" t="s">
        <v>5140</v>
      </c>
      <c r="L1738">
        <v>46276</v>
      </c>
      <c r="M1738">
        <v>98647</v>
      </c>
      <c r="N1738">
        <v>60</v>
      </c>
      <c r="O1738">
        <v>46294</v>
      </c>
      <c r="P1738">
        <v>140</v>
      </c>
    </row>
    <row r="1739" spans="1:16" x14ac:dyDescent="0.4">
      <c r="A1739">
        <v>1124</v>
      </c>
      <c r="B1739" t="s">
        <v>4915</v>
      </c>
      <c r="D1739" t="s">
        <v>4916</v>
      </c>
      <c r="G1739" t="s">
        <v>1813</v>
      </c>
      <c r="H1739" t="s">
        <v>1812</v>
      </c>
      <c r="I1739">
        <v>200</v>
      </c>
      <c r="K1739" t="s">
        <v>5137</v>
      </c>
      <c r="L1739">
        <v>46276</v>
      </c>
      <c r="M1739">
        <v>98647</v>
      </c>
      <c r="N1739">
        <v>30</v>
      </c>
      <c r="O1739">
        <v>46294</v>
      </c>
      <c r="P1739">
        <v>170</v>
      </c>
    </row>
    <row r="1740" spans="1:16" x14ac:dyDescent="0.4">
      <c r="A1740">
        <v>1128</v>
      </c>
      <c r="B1740" t="s">
        <v>4915</v>
      </c>
      <c r="D1740" t="s">
        <v>4916</v>
      </c>
      <c r="G1740" t="s">
        <v>1996</v>
      </c>
      <c r="H1740" t="s">
        <v>1995</v>
      </c>
      <c r="I1740">
        <v>200</v>
      </c>
      <c r="K1740" t="s">
        <v>5141</v>
      </c>
      <c r="L1740">
        <v>46276</v>
      </c>
      <c r="M1740">
        <v>98647</v>
      </c>
      <c r="N1740">
        <v>30</v>
      </c>
      <c r="O1740">
        <v>46294</v>
      </c>
      <c r="P1740">
        <v>170</v>
      </c>
    </row>
    <row r="1741" spans="1:16" x14ac:dyDescent="0.4">
      <c r="A1741">
        <v>1528</v>
      </c>
      <c r="B1741" t="s">
        <v>4915</v>
      </c>
      <c r="G1741" t="s">
        <v>707</v>
      </c>
      <c r="H1741" t="s">
        <v>706</v>
      </c>
      <c r="I1741">
        <v>201</v>
      </c>
      <c r="K1741" t="s">
        <v>4956</v>
      </c>
      <c r="L1741">
        <v>46282</v>
      </c>
      <c r="M1741">
        <v>98647</v>
      </c>
      <c r="N1741">
        <v>30</v>
      </c>
      <c r="O1741">
        <v>46294</v>
      </c>
      <c r="P1741">
        <v>171</v>
      </c>
    </row>
    <row r="1742" spans="1:16" x14ac:dyDescent="0.4">
      <c r="A1742">
        <v>1125</v>
      </c>
      <c r="B1742" t="s">
        <v>4915</v>
      </c>
      <c r="D1742" t="s">
        <v>4916</v>
      </c>
      <c r="G1742" t="s">
        <v>1890</v>
      </c>
      <c r="H1742" t="s">
        <v>1889</v>
      </c>
      <c r="I1742">
        <v>211</v>
      </c>
      <c r="K1742" t="s">
        <v>5137</v>
      </c>
      <c r="L1742">
        <v>46276</v>
      </c>
      <c r="M1742">
        <v>98647</v>
      </c>
      <c r="N1742">
        <v>30</v>
      </c>
      <c r="O1742">
        <v>46294</v>
      </c>
      <c r="P1742">
        <v>181</v>
      </c>
    </row>
    <row r="1743" spans="1:16" x14ac:dyDescent="0.4">
      <c r="A1743">
        <v>1116</v>
      </c>
      <c r="B1743" t="s">
        <v>4915</v>
      </c>
      <c r="D1743" t="s">
        <v>4916</v>
      </c>
      <c r="G1743" t="s">
        <v>1370</v>
      </c>
      <c r="H1743" t="s">
        <v>1369</v>
      </c>
      <c r="I1743">
        <v>214</v>
      </c>
      <c r="K1743" t="s">
        <v>5123</v>
      </c>
      <c r="L1743">
        <v>46276</v>
      </c>
      <c r="M1743">
        <v>98647</v>
      </c>
      <c r="N1743">
        <v>30</v>
      </c>
      <c r="O1743">
        <v>46294</v>
      </c>
      <c r="P1743">
        <v>184</v>
      </c>
    </row>
    <row r="1744" spans="1:16" x14ac:dyDescent="0.4">
      <c r="A1744">
        <v>1118</v>
      </c>
      <c r="B1744" t="s">
        <v>4915</v>
      </c>
      <c r="D1744" t="s">
        <v>4916</v>
      </c>
      <c r="G1744" t="s">
        <v>1662</v>
      </c>
      <c r="H1744" t="s">
        <v>1661</v>
      </c>
      <c r="I1744">
        <v>214</v>
      </c>
      <c r="K1744" t="s">
        <v>5026</v>
      </c>
      <c r="L1744">
        <v>46276</v>
      </c>
      <c r="M1744">
        <v>98647</v>
      </c>
      <c r="N1744">
        <v>30</v>
      </c>
      <c r="O1744">
        <v>46294</v>
      </c>
      <c r="P1744">
        <v>184</v>
      </c>
    </row>
    <row r="1745" spans="1:16" x14ac:dyDescent="0.4">
      <c r="A1745">
        <v>1113</v>
      </c>
      <c r="B1745" t="s">
        <v>4915</v>
      </c>
      <c r="D1745" t="s">
        <v>4916</v>
      </c>
      <c r="G1745" t="s">
        <v>1664</v>
      </c>
      <c r="H1745" t="s">
        <v>1663</v>
      </c>
      <c r="I1745">
        <v>227</v>
      </c>
      <c r="K1745" t="s">
        <v>5038</v>
      </c>
      <c r="L1745">
        <v>46276</v>
      </c>
      <c r="M1745">
        <v>98647</v>
      </c>
      <c r="N1745">
        <v>30</v>
      </c>
      <c r="O1745">
        <v>46294</v>
      </c>
      <c r="P1745">
        <v>197</v>
      </c>
    </row>
    <row r="1746" spans="1:16" x14ac:dyDescent="0.4">
      <c r="A1746">
        <v>1137</v>
      </c>
      <c r="B1746" t="s">
        <v>4915</v>
      </c>
      <c r="D1746" t="s">
        <v>4916</v>
      </c>
      <c r="G1746" t="s">
        <v>1992</v>
      </c>
      <c r="H1746" t="s">
        <v>1991</v>
      </c>
      <c r="I1746">
        <v>243</v>
      </c>
      <c r="K1746" t="s">
        <v>5144</v>
      </c>
      <c r="L1746">
        <v>46276</v>
      </c>
      <c r="M1746">
        <v>98647</v>
      </c>
      <c r="N1746">
        <v>30</v>
      </c>
      <c r="O1746">
        <v>46294</v>
      </c>
      <c r="P1746">
        <v>213</v>
      </c>
    </row>
    <row r="1747" spans="1:16" x14ac:dyDescent="0.4">
      <c r="A1747">
        <v>1115</v>
      </c>
      <c r="B1747" t="s">
        <v>4915</v>
      </c>
      <c r="D1747" t="s">
        <v>4916</v>
      </c>
      <c r="G1747" t="s">
        <v>1522</v>
      </c>
      <c r="H1747" t="s">
        <v>1521</v>
      </c>
      <c r="I1747">
        <v>251</v>
      </c>
      <c r="K1747" t="s">
        <v>5074</v>
      </c>
      <c r="L1747">
        <v>46276</v>
      </c>
      <c r="M1747">
        <v>98647</v>
      </c>
      <c r="N1747">
        <v>30</v>
      </c>
      <c r="O1747">
        <v>46294</v>
      </c>
      <c r="P1747">
        <v>221</v>
      </c>
    </row>
    <row r="1748" spans="1:16" x14ac:dyDescent="0.4">
      <c r="A1748">
        <v>1114</v>
      </c>
      <c r="B1748" t="s">
        <v>4915</v>
      </c>
      <c r="D1748" t="s">
        <v>4916</v>
      </c>
      <c r="G1748" t="s">
        <v>1666</v>
      </c>
      <c r="H1748" t="s">
        <v>1665</v>
      </c>
      <c r="I1748">
        <v>270</v>
      </c>
      <c r="K1748" t="s">
        <v>5038</v>
      </c>
      <c r="L1748">
        <v>46276</v>
      </c>
      <c r="M1748">
        <v>98647</v>
      </c>
      <c r="N1748">
        <v>30</v>
      </c>
      <c r="O1748">
        <v>46294</v>
      </c>
      <c r="P1748">
        <v>240</v>
      </c>
    </row>
    <row r="1749" spans="1:16" x14ac:dyDescent="0.4">
      <c r="A1749">
        <v>1138</v>
      </c>
      <c r="B1749" t="s">
        <v>4915</v>
      </c>
      <c r="D1749" t="s">
        <v>4916</v>
      </c>
      <c r="G1749" t="s">
        <v>1994</v>
      </c>
      <c r="H1749" t="s">
        <v>1993</v>
      </c>
      <c r="I1749">
        <v>273</v>
      </c>
      <c r="K1749" t="s">
        <v>5144</v>
      </c>
      <c r="L1749">
        <v>46276</v>
      </c>
      <c r="M1749">
        <v>98647</v>
      </c>
      <c r="N1749">
        <v>30</v>
      </c>
      <c r="O1749">
        <v>46294</v>
      </c>
      <c r="P1749">
        <v>243</v>
      </c>
    </row>
    <row r="1750" spans="1:16" x14ac:dyDescent="0.4">
      <c r="A1750">
        <v>1112</v>
      </c>
      <c r="B1750" t="s">
        <v>4915</v>
      </c>
      <c r="D1750" t="s">
        <v>4916</v>
      </c>
      <c r="G1750" t="s">
        <v>1314</v>
      </c>
      <c r="H1750" t="s">
        <v>1313</v>
      </c>
      <c r="I1750">
        <v>274</v>
      </c>
      <c r="K1750" t="s">
        <v>4995</v>
      </c>
      <c r="L1750">
        <v>46276</v>
      </c>
      <c r="M1750">
        <v>98647</v>
      </c>
      <c r="N1750">
        <v>30</v>
      </c>
      <c r="O1750">
        <v>46294</v>
      </c>
      <c r="P1750">
        <v>244</v>
      </c>
    </row>
    <row r="1751" spans="1:16" x14ac:dyDescent="0.4">
      <c r="A1751">
        <v>1529</v>
      </c>
      <c r="B1751" t="s">
        <v>4915</v>
      </c>
      <c r="G1751" t="s">
        <v>1867</v>
      </c>
      <c r="H1751" t="s">
        <v>1866</v>
      </c>
      <c r="I1751">
        <v>281</v>
      </c>
      <c r="K1751" t="s">
        <v>5081</v>
      </c>
      <c r="L1751">
        <v>46282</v>
      </c>
      <c r="M1751">
        <v>98647</v>
      </c>
      <c r="N1751">
        <v>30</v>
      </c>
      <c r="O1751">
        <v>46294</v>
      </c>
      <c r="P1751">
        <v>251</v>
      </c>
    </row>
    <row r="1752" spans="1:16" x14ac:dyDescent="0.4">
      <c r="A1752">
        <v>1122</v>
      </c>
      <c r="B1752" t="s">
        <v>4915</v>
      </c>
      <c r="D1752" t="s">
        <v>4916</v>
      </c>
      <c r="G1752" t="s">
        <v>1856</v>
      </c>
      <c r="H1752" t="s">
        <v>1855</v>
      </c>
      <c r="I1752">
        <v>297</v>
      </c>
      <c r="K1752" t="s">
        <v>5140</v>
      </c>
      <c r="L1752">
        <v>46276</v>
      </c>
      <c r="M1752">
        <v>98647</v>
      </c>
      <c r="N1752">
        <v>30</v>
      </c>
      <c r="O1752">
        <v>46294</v>
      </c>
      <c r="P1752">
        <v>267</v>
      </c>
    </row>
    <row r="1753" spans="1:16" x14ac:dyDescent="0.4">
      <c r="A1753">
        <v>1129</v>
      </c>
      <c r="B1753" t="s">
        <v>4915</v>
      </c>
      <c r="D1753" t="s">
        <v>4916</v>
      </c>
      <c r="G1753" t="s">
        <v>1980</v>
      </c>
      <c r="H1753" t="s">
        <v>1979</v>
      </c>
      <c r="I1753">
        <v>313</v>
      </c>
      <c r="K1753" t="s">
        <v>5141</v>
      </c>
      <c r="L1753">
        <v>46276</v>
      </c>
      <c r="M1753">
        <v>98647</v>
      </c>
      <c r="N1753">
        <v>30</v>
      </c>
      <c r="O1753">
        <v>46294</v>
      </c>
      <c r="P1753">
        <v>283</v>
      </c>
    </row>
    <row r="1754" spans="1:16" x14ac:dyDescent="0.4">
      <c r="A1754">
        <v>1531</v>
      </c>
      <c r="B1754" t="s">
        <v>4915</v>
      </c>
      <c r="G1754" t="s">
        <v>1334</v>
      </c>
      <c r="H1754" t="s">
        <v>5112</v>
      </c>
      <c r="I1754">
        <v>338</v>
      </c>
      <c r="K1754" t="s">
        <v>5113</v>
      </c>
      <c r="L1754">
        <v>46282</v>
      </c>
      <c r="M1754">
        <v>98647</v>
      </c>
      <c r="N1754">
        <v>30</v>
      </c>
      <c r="O1754">
        <v>46294</v>
      </c>
      <c r="P1754">
        <v>308</v>
      </c>
    </row>
    <row r="1755" spans="1:16" x14ac:dyDescent="0.4">
      <c r="A1755">
        <v>1533</v>
      </c>
      <c r="B1755" t="s">
        <v>4915</v>
      </c>
      <c r="G1755" t="s">
        <v>969</v>
      </c>
      <c r="H1755" t="s">
        <v>4931</v>
      </c>
      <c r="I1755">
        <v>339</v>
      </c>
      <c r="K1755" t="s">
        <v>4932</v>
      </c>
      <c r="L1755">
        <v>46282</v>
      </c>
      <c r="M1755">
        <v>98647</v>
      </c>
      <c r="N1755">
        <v>30</v>
      </c>
      <c r="O1755">
        <v>46294</v>
      </c>
      <c r="P1755">
        <v>309</v>
      </c>
    </row>
    <row r="1756" spans="1:16" x14ac:dyDescent="0.4">
      <c r="A1756">
        <v>1532</v>
      </c>
      <c r="B1756" t="s">
        <v>4915</v>
      </c>
      <c r="G1756" t="s">
        <v>1349</v>
      </c>
      <c r="H1756" t="s">
        <v>1348</v>
      </c>
      <c r="I1756">
        <v>369</v>
      </c>
      <c r="K1756" t="s">
        <v>5039</v>
      </c>
      <c r="L1756">
        <v>46282</v>
      </c>
      <c r="M1756">
        <v>98647</v>
      </c>
      <c r="N1756">
        <v>30</v>
      </c>
      <c r="O1756">
        <v>46294</v>
      </c>
      <c r="P1756">
        <v>339</v>
      </c>
    </row>
    <row r="1757" spans="1:16" x14ac:dyDescent="0.4">
      <c r="A1757">
        <v>1682</v>
      </c>
      <c r="B1757" t="s">
        <v>4915</v>
      </c>
      <c r="G1757" t="s">
        <v>2746</v>
      </c>
      <c r="H1757" t="s">
        <v>2745</v>
      </c>
      <c r="I1757">
        <v>397</v>
      </c>
      <c r="K1757" t="s">
        <v>4948</v>
      </c>
      <c r="L1757">
        <v>46280</v>
      </c>
      <c r="M1757">
        <v>98647</v>
      </c>
      <c r="N1757">
        <v>30</v>
      </c>
      <c r="O1757">
        <v>46294</v>
      </c>
      <c r="P1757">
        <v>367</v>
      </c>
    </row>
    <row r="1758" spans="1:16" x14ac:dyDescent="0.4">
      <c r="A1758">
        <v>1707</v>
      </c>
      <c r="B1758" t="s">
        <v>4915</v>
      </c>
      <c r="G1758" t="s">
        <v>1530</v>
      </c>
      <c r="H1758" t="s">
        <v>5124</v>
      </c>
      <c r="I1758">
        <v>440</v>
      </c>
      <c r="K1758" t="s">
        <v>5125</v>
      </c>
      <c r="L1758">
        <v>46287</v>
      </c>
      <c r="M1758">
        <v>98647</v>
      </c>
      <c r="N1758">
        <v>60</v>
      </c>
      <c r="O1758">
        <v>46294</v>
      </c>
      <c r="P1758">
        <v>380</v>
      </c>
    </row>
    <row r="1759" spans="1:16" x14ac:dyDescent="0.4">
      <c r="A1759">
        <v>1534</v>
      </c>
      <c r="B1759" t="s">
        <v>4915</v>
      </c>
      <c r="G1759" t="s">
        <v>1584</v>
      </c>
      <c r="H1759" t="s">
        <v>1583</v>
      </c>
      <c r="I1759">
        <v>442</v>
      </c>
      <c r="K1759" t="s">
        <v>5037</v>
      </c>
      <c r="L1759">
        <v>46282</v>
      </c>
      <c r="M1759">
        <v>98647</v>
      </c>
      <c r="N1759">
        <v>30</v>
      </c>
      <c r="O1759">
        <v>46294</v>
      </c>
      <c r="P1759">
        <v>412</v>
      </c>
    </row>
    <row r="1760" spans="1:16" x14ac:dyDescent="0.4">
      <c r="A1760">
        <v>1535</v>
      </c>
      <c r="B1760" t="s">
        <v>4915</v>
      </c>
      <c r="G1760" t="s">
        <v>1532</v>
      </c>
      <c r="H1760" t="s">
        <v>1531</v>
      </c>
      <c r="I1760">
        <v>449</v>
      </c>
      <c r="K1760" t="s">
        <v>5024</v>
      </c>
      <c r="L1760">
        <v>46282</v>
      </c>
      <c r="M1760">
        <v>98647</v>
      </c>
      <c r="N1760">
        <v>30</v>
      </c>
      <c r="O1760">
        <v>46294</v>
      </c>
      <c r="P1760">
        <v>419</v>
      </c>
    </row>
    <row r="1761" spans="1:16" x14ac:dyDescent="0.4">
      <c r="A1761">
        <v>1140</v>
      </c>
      <c r="B1761" t="s">
        <v>4915</v>
      </c>
      <c r="D1761" t="s">
        <v>4916</v>
      </c>
      <c r="G1761" t="s">
        <v>1895</v>
      </c>
      <c r="H1761" t="s">
        <v>1894</v>
      </c>
      <c r="I1761">
        <v>469</v>
      </c>
      <c r="K1761" t="s">
        <v>5024</v>
      </c>
      <c r="L1761">
        <v>46276</v>
      </c>
      <c r="M1761">
        <v>98647</v>
      </c>
      <c r="N1761">
        <v>30</v>
      </c>
      <c r="O1761">
        <v>46294</v>
      </c>
      <c r="P1761">
        <v>439</v>
      </c>
    </row>
    <row r="1762" spans="1:16" x14ac:dyDescent="0.4">
      <c r="A1762">
        <v>1931</v>
      </c>
      <c r="B1762" t="s">
        <v>4915</v>
      </c>
      <c r="G1762" t="s">
        <v>1347</v>
      </c>
      <c r="H1762" t="s">
        <v>1346</v>
      </c>
      <c r="I1762">
        <v>478</v>
      </c>
      <c r="K1762" t="s">
        <v>5041</v>
      </c>
      <c r="L1762">
        <v>46295</v>
      </c>
      <c r="M1762">
        <v>98647</v>
      </c>
      <c r="N1762">
        <v>4</v>
      </c>
      <c r="O1762">
        <v>46295</v>
      </c>
      <c r="P1762">
        <v>474</v>
      </c>
    </row>
    <row r="1763" spans="1:16" x14ac:dyDescent="0.4">
      <c r="A1763">
        <v>1536</v>
      </c>
      <c r="B1763" t="s">
        <v>4915</v>
      </c>
      <c r="G1763" t="s">
        <v>1710</v>
      </c>
      <c r="H1763" t="s">
        <v>1709</v>
      </c>
      <c r="I1763">
        <v>479</v>
      </c>
      <c r="K1763" t="s">
        <v>5123</v>
      </c>
      <c r="L1763">
        <v>46282</v>
      </c>
      <c r="M1763">
        <v>98647</v>
      </c>
      <c r="N1763">
        <v>30</v>
      </c>
      <c r="O1763">
        <v>46294</v>
      </c>
      <c r="P1763">
        <v>449</v>
      </c>
    </row>
    <row r="1764" spans="1:16" x14ac:dyDescent="0.4">
      <c r="A1764">
        <v>1539</v>
      </c>
      <c r="B1764" t="s">
        <v>4915</v>
      </c>
      <c r="G1764" t="s">
        <v>1347</v>
      </c>
      <c r="H1764" t="s">
        <v>1346</v>
      </c>
      <c r="I1764">
        <v>502</v>
      </c>
      <c r="K1764" t="s">
        <v>5041</v>
      </c>
      <c r="L1764">
        <v>46282</v>
      </c>
      <c r="M1764">
        <v>98647</v>
      </c>
      <c r="N1764">
        <v>4</v>
      </c>
      <c r="O1764">
        <v>46294</v>
      </c>
      <c r="P1764">
        <v>498</v>
      </c>
    </row>
    <row r="1765" spans="1:16" x14ac:dyDescent="0.4">
      <c r="A1765">
        <v>1540</v>
      </c>
      <c r="B1765" t="s">
        <v>4915</v>
      </c>
      <c r="G1765" t="s">
        <v>2757</v>
      </c>
      <c r="H1765" t="s">
        <v>2756</v>
      </c>
      <c r="I1765">
        <v>522</v>
      </c>
      <c r="K1765" t="s">
        <v>4872</v>
      </c>
      <c r="L1765">
        <v>46282</v>
      </c>
      <c r="M1765">
        <v>98647</v>
      </c>
      <c r="N1765">
        <v>30</v>
      </c>
      <c r="O1765">
        <v>46294</v>
      </c>
      <c r="P1765">
        <v>492</v>
      </c>
    </row>
    <row r="1766" spans="1:16" x14ac:dyDescent="0.4">
      <c r="A1766">
        <v>1685</v>
      </c>
      <c r="B1766" t="s">
        <v>4915</v>
      </c>
      <c r="G1766" t="s">
        <v>2780</v>
      </c>
      <c r="H1766" t="s">
        <v>2779</v>
      </c>
      <c r="I1766">
        <v>531</v>
      </c>
      <c r="K1766" t="s">
        <v>4949</v>
      </c>
      <c r="L1766">
        <v>46280</v>
      </c>
      <c r="M1766">
        <v>98647</v>
      </c>
      <c r="N1766">
        <v>30</v>
      </c>
      <c r="O1766">
        <v>46294</v>
      </c>
      <c r="P1766">
        <v>501</v>
      </c>
    </row>
    <row r="1767" spans="1:16" x14ac:dyDescent="0.4">
      <c r="A1767">
        <v>1121</v>
      </c>
      <c r="B1767" t="s">
        <v>4915</v>
      </c>
      <c r="D1767" t="s">
        <v>4916</v>
      </c>
      <c r="G1767" t="s">
        <v>1847</v>
      </c>
      <c r="H1767" t="s">
        <v>1846</v>
      </c>
      <c r="I1767">
        <v>580</v>
      </c>
      <c r="K1767" t="s">
        <v>5140</v>
      </c>
      <c r="L1767">
        <v>46276</v>
      </c>
      <c r="M1767">
        <v>98647</v>
      </c>
      <c r="N1767">
        <v>30</v>
      </c>
      <c r="O1767">
        <v>46294</v>
      </c>
      <c r="P1767">
        <v>550</v>
      </c>
    </row>
    <row r="1768" spans="1:16" x14ac:dyDescent="0.4">
      <c r="A1768">
        <v>1542</v>
      </c>
      <c r="B1768" t="s">
        <v>4915</v>
      </c>
      <c r="G1768" t="s">
        <v>1582</v>
      </c>
      <c r="H1768" t="s">
        <v>1581</v>
      </c>
      <c r="I1768">
        <v>611</v>
      </c>
      <c r="K1768" t="s">
        <v>5129</v>
      </c>
      <c r="L1768">
        <v>46282</v>
      </c>
      <c r="M1768">
        <v>98647</v>
      </c>
      <c r="N1768">
        <v>30</v>
      </c>
      <c r="O1768">
        <v>46294</v>
      </c>
      <c r="P1768">
        <v>581</v>
      </c>
    </row>
    <row r="1769" spans="1:16" x14ac:dyDescent="0.4">
      <c r="A1769">
        <v>1543</v>
      </c>
      <c r="B1769" t="s">
        <v>4915</v>
      </c>
      <c r="G1769" t="s">
        <v>1600</v>
      </c>
      <c r="H1769" t="s">
        <v>1599</v>
      </c>
      <c r="I1769">
        <v>736</v>
      </c>
      <c r="K1769" t="s">
        <v>5037</v>
      </c>
      <c r="L1769">
        <v>46282</v>
      </c>
      <c r="M1769">
        <v>98647</v>
      </c>
      <c r="N1769">
        <v>30</v>
      </c>
      <c r="O1769">
        <v>46294</v>
      </c>
      <c r="P1769">
        <v>706</v>
      </c>
    </row>
    <row r="1770" spans="1:16" x14ac:dyDescent="0.4">
      <c r="A1770">
        <v>1544</v>
      </c>
      <c r="B1770" t="s">
        <v>4915</v>
      </c>
      <c r="G1770" t="s">
        <v>1331</v>
      </c>
      <c r="H1770" t="s">
        <v>5133</v>
      </c>
      <c r="I1770">
        <v>774</v>
      </c>
      <c r="K1770" t="s">
        <v>5134</v>
      </c>
      <c r="L1770">
        <v>46282</v>
      </c>
      <c r="M1770">
        <v>98647</v>
      </c>
      <c r="N1770">
        <v>30</v>
      </c>
      <c r="O1770">
        <v>46294</v>
      </c>
      <c r="P1770">
        <v>744</v>
      </c>
    </row>
    <row r="1771" spans="1:16" x14ac:dyDescent="0.4">
      <c r="A1771">
        <v>1083</v>
      </c>
      <c r="B1771" t="s">
        <v>4915</v>
      </c>
      <c r="D1771" t="s">
        <v>4916</v>
      </c>
      <c r="G1771" t="s">
        <v>2848</v>
      </c>
      <c r="H1771" t="s">
        <v>2847</v>
      </c>
      <c r="I1771">
        <v>500</v>
      </c>
      <c r="K1771" t="s">
        <v>4869</v>
      </c>
      <c r="L1771">
        <v>46276</v>
      </c>
      <c r="M1771">
        <v>98650</v>
      </c>
      <c r="N1771">
        <v>30</v>
      </c>
      <c r="O1771">
        <v>46280</v>
      </c>
      <c r="P1771">
        <v>470</v>
      </c>
    </row>
    <row r="1772" spans="1:16" x14ac:dyDescent="0.4">
      <c r="A1772">
        <v>1103</v>
      </c>
      <c r="B1772" t="s">
        <v>4915</v>
      </c>
      <c r="D1772" t="s">
        <v>4916</v>
      </c>
      <c r="G1772" t="s">
        <v>1159</v>
      </c>
      <c r="H1772" t="s">
        <v>1158</v>
      </c>
      <c r="I1772">
        <v>461</v>
      </c>
      <c r="K1772" t="s">
        <v>4970</v>
      </c>
      <c r="L1772">
        <v>46276</v>
      </c>
      <c r="M1772">
        <v>98652</v>
      </c>
      <c r="N1772">
        <v>200</v>
      </c>
      <c r="O1772">
        <v>46280</v>
      </c>
      <c r="P1772">
        <v>261</v>
      </c>
    </row>
    <row r="1773" spans="1:16" x14ac:dyDescent="0.4">
      <c r="A1773">
        <v>1173</v>
      </c>
      <c r="B1773" t="s">
        <v>4915</v>
      </c>
      <c r="G1773" t="s">
        <v>1135</v>
      </c>
      <c r="H1773" t="s">
        <v>1134</v>
      </c>
      <c r="I1773">
        <v>23</v>
      </c>
      <c r="K1773" t="s">
        <v>5034</v>
      </c>
      <c r="L1773">
        <v>46280</v>
      </c>
      <c r="M1773">
        <v>98654</v>
      </c>
      <c r="N1773">
        <v>23</v>
      </c>
      <c r="O1773">
        <v>46280</v>
      </c>
      <c r="P1773">
        <v>0</v>
      </c>
    </row>
    <row r="1774" spans="1:16" x14ac:dyDescent="0.4">
      <c r="A1774">
        <v>1172</v>
      </c>
      <c r="B1774" t="s">
        <v>4915</v>
      </c>
      <c r="G1774" t="s">
        <v>1138</v>
      </c>
      <c r="H1774" t="s">
        <v>1137</v>
      </c>
      <c r="I1774">
        <v>69</v>
      </c>
      <c r="K1774" t="s">
        <v>5023</v>
      </c>
      <c r="L1774">
        <v>46280</v>
      </c>
      <c r="M1774">
        <v>98654</v>
      </c>
      <c r="N1774">
        <v>69</v>
      </c>
      <c r="O1774">
        <v>46280</v>
      </c>
      <c r="P1774">
        <v>0</v>
      </c>
    </row>
    <row r="1775" spans="1:16" x14ac:dyDescent="0.4">
      <c r="A1775">
        <v>1506</v>
      </c>
      <c r="B1775" t="s">
        <v>4915</v>
      </c>
      <c r="G1775" t="s">
        <v>1123</v>
      </c>
      <c r="H1775" t="s">
        <v>4917</v>
      </c>
      <c r="I1775">
        <v>16</v>
      </c>
      <c r="K1775" t="s">
        <v>4918</v>
      </c>
      <c r="L1775">
        <v>46293</v>
      </c>
      <c r="M1775">
        <v>98657</v>
      </c>
      <c r="N1775">
        <v>10</v>
      </c>
      <c r="O1775">
        <v>46295</v>
      </c>
      <c r="P1775">
        <v>6</v>
      </c>
    </row>
    <row r="1776" spans="1:16" x14ac:dyDescent="0.4">
      <c r="A1776">
        <v>1895</v>
      </c>
      <c r="B1776" t="s">
        <v>4915</v>
      </c>
      <c r="D1776" t="s">
        <v>4901</v>
      </c>
      <c r="E1776" t="s">
        <v>5158</v>
      </c>
      <c r="F1776" t="s">
        <v>5147</v>
      </c>
      <c r="G1776" t="s">
        <v>1138</v>
      </c>
      <c r="H1776" t="s">
        <v>1137</v>
      </c>
      <c r="I1776">
        <v>20</v>
      </c>
      <c r="K1776" t="s">
        <v>5023</v>
      </c>
      <c r="L1776">
        <v>46293</v>
      </c>
      <c r="M1776">
        <v>98657</v>
      </c>
      <c r="N1776">
        <v>20</v>
      </c>
      <c r="O1776">
        <v>46295</v>
      </c>
      <c r="P1776">
        <v>0</v>
      </c>
    </row>
    <row r="1777" spans="1:16" x14ac:dyDescent="0.4">
      <c r="A1777">
        <v>2501</v>
      </c>
      <c r="B1777" t="s">
        <v>4915</v>
      </c>
      <c r="G1777" t="s">
        <v>362</v>
      </c>
      <c r="H1777" t="s">
        <v>5022</v>
      </c>
      <c r="I1777">
        <v>25</v>
      </c>
      <c r="K1777" t="s">
        <v>5023</v>
      </c>
      <c r="L1777">
        <v>46302</v>
      </c>
      <c r="M1777">
        <v>98657</v>
      </c>
      <c r="N1777">
        <v>10</v>
      </c>
      <c r="O1777">
        <v>46302</v>
      </c>
      <c r="P1777">
        <v>15</v>
      </c>
    </row>
    <row r="1778" spans="1:16" x14ac:dyDescent="0.4">
      <c r="A1778">
        <v>1580</v>
      </c>
      <c r="B1778" t="s">
        <v>4915</v>
      </c>
      <c r="G1778" t="s">
        <v>588</v>
      </c>
      <c r="H1778" t="s">
        <v>587</v>
      </c>
      <c r="I1778">
        <v>187</v>
      </c>
      <c r="K1778" t="s">
        <v>5058</v>
      </c>
      <c r="L1778">
        <v>46282</v>
      </c>
      <c r="M1778">
        <v>98657</v>
      </c>
      <c r="N1778">
        <v>10</v>
      </c>
      <c r="O1778">
        <v>46295</v>
      </c>
      <c r="P1778">
        <v>177</v>
      </c>
    </row>
    <row r="1779" spans="1:16" x14ac:dyDescent="0.4">
      <c r="A1779">
        <v>1693</v>
      </c>
      <c r="B1779" t="s">
        <v>4915</v>
      </c>
      <c r="G1779" t="s">
        <v>1190</v>
      </c>
      <c r="H1779" t="s">
        <v>1189</v>
      </c>
      <c r="I1779">
        <v>205</v>
      </c>
      <c r="K1779" t="s">
        <v>4953</v>
      </c>
      <c r="L1779">
        <v>46279</v>
      </c>
      <c r="M1779">
        <v>98657</v>
      </c>
      <c r="N1779">
        <v>10</v>
      </c>
      <c r="O1779">
        <v>46295</v>
      </c>
      <c r="P1779">
        <v>195</v>
      </c>
    </row>
    <row r="1780" spans="1:16" x14ac:dyDescent="0.4">
      <c r="A1780">
        <v>2361</v>
      </c>
      <c r="B1780" t="s">
        <v>4915</v>
      </c>
      <c r="G1780" t="s">
        <v>1199</v>
      </c>
      <c r="H1780" t="s">
        <v>1198</v>
      </c>
      <c r="I1780">
        <v>60</v>
      </c>
      <c r="K1780" t="s">
        <v>4966</v>
      </c>
      <c r="L1780">
        <v>46302</v>
      </c>
      <c r="M1780">
        <v>98659</v>
      </c>
      <c r="N1780">
        <v>10</v>
      </c>
      <c r="O1780">
        <v>46296</v>
      </c>
      <c r="P1780">
        <v>50</v>
      </c>
    </row>
    <row r="1781" spans="1:16" x14ac:dyDescent="0.4">
      <c r="A1781">
        <v>1624</v>
      </c>
      <c r="B1781" t="s">
        <v>4915</v>
      </c>
      <c r="G1781" t="s">
        <v>2626</v>
      </c>
      <c r="H1781" t="s">
        <v>2625</v>
      </c>
      <c r="I1781">
        <v>34</v>
      </c>
      <c r="K1781" t="s">
        <v>5076</v>
      </c>
      <c r="L1781">
        <v>46282</v>
      </c>
      <c r="M1781">
        <v>98659</v>
      </c>
      <c r="N1781">
        <v>10</v>
      </c>
      <c r="O1781">
        <v>46296</v>
      </c>
      <c r="P1781">
        <v>24</v>
      </c>
    </row>
    <row r="1782" spans="1:16" x14ac:dyDescent="0.4">
      <c r="A1782">
        <v>2358</v>
      </c>
      <c r="B1782" t="s">
        <v>4915</v>
      </c>
      <c r="G1782" t="s">
        <v>628</v>
      </c>
      <c r="H1782" t="s">
        <v>627</v>
      </c>
      <c r="I1782">
        <v>38</v>
      </c>
      <c r="K1782" t="s">
        <v>4965</v>
      </c>
      <c r="L1782">
        <v>46302</v>
      </c>
      <c r="M1782">
        <v>98659</v>
      </c>
      <c r="N1782">
        <v>10</v>
      </c>
      <c r="O1782">
        <v>46296</v>
      </c>
      <c r="P1782">
        <v>28</v>
      </c>
    </row>
    <row r="1783" spans="1:16" x14ac:dyDescent="0.4">
      <c r="A1783">
        <v>2608</v>
      </c>
      <c r="B1783" t="s">
        <v>4915</v>
      </c>
      <c r="G1783" t="s">
        <v>2809</v>
      </c>
      <c r="H1783" t="s">
        <v>2808</v>
      </c>
      <c r="I1783">
        <v>81</v>
      </c>
      <c r="K1783" t="s">
        <v>4869</v>
      </c>
      <c r="L1783">
        <v>46307</v>
      </c>
      <c r="M1783">
        <v>98659</v>
      </c>
      <c r="N1783">
        <v>10</v>
      </c>
      <c r="O1783">
        <v>46296</v>
      </c>
      <c r="P1783">
        <v>71</v>
      </c>
    </row>
    <row r="1784" spans="1:16" x14ac:dyDescent="0.4">
      <c r="A1784">
        <v>2357</v>
      </c>
      <c r="B1784" t="s">
        <v>4915</v>
      </c>
      <c r="G1784" t="s">
        <v>1001</v>
      </c>
      <c r="H1784" t="s">
        <v>1000</v>
      </c>
      <c r="I1784">
        <v>216</v>
      </c>
      <c r="K1784" t="s">
        <v>4851</v>
      </c>
      <c r="L1784">
        <v>46302</v>
      </c>
      <c r="M1784">
        <v>98659</v>
      </c>
      <c r="N1784">
        <v>10</v>
      </c>
      <c r="O1784">
        <v>46296</v>
      </c>
      <c r="P1784">
        <v>206</v>
      </c>
    </row>
    <row r="1785" spans="1:16" x14ac:dyDescent="0.4">
      <c r="A1785">
        <v>2362</v>
      </c>
      <c r="B1785" t="s">
        <v>4915</v>
      </c>
      <c r="G1785" t="s">
        <v>1146</v>
      </c>
      <c r="H1785" t="s">
        <v>1145</v>
      </c>
      <c r="I1785">
        <v>368</v>
      </c>
      <c r="K1785" t="s">
        <v>4871</v>
      </c>
      <c r="L1785">
        <v>46302</v>
      </c>
      <c r="M1785">
        <v>98659</v>
      </c>
      <c r="N1785">
        <v>10</v>
      </c>
      <c r="O1785">
        <v>46296</v>
      </c>
      <c r="P1785">
        <v>358</v>
      </c>
    </row>
    <row r="1786" spans="1:16" x14ac:dyDescent="0.4">
      <c r="A1786">
        <v>2356</v>
      </c>
      <c r="B1786" t="s">
        <v>4915</v>
      </c>
      <c r="G1786" t="s">
        <v>1159</v>
      </c>
      <c r="H1786" t="s">
        <v>1158</v>
      </c>
      <c r="I1786">
        <v>24</v>
      </c>
      <c r="K1786" t="s">
        <v>4970</v>
      </c>
      <c r="L1786">
        <v>46302</v>
      </c>
      <c r="M1786">
        <v>98659</v>
      </c>
      <c r="N1786">
        <v>24</v>
      </c>
      <c r="O1786">
        <v>46296</v>
      </c>
      <c r="P1786">
        <v>0</v>
      </c>
    </row>
    <row r="1787" spans="1:16" x14ac:dyDescent="0.4">
      <c r="A1787">
        <v>2643</v>
      </c>
      <c r="B1787" t="s">
        <v>4915</v>
      </c>
      <c r="D1787" t="s">
        <v>4928</v>
      </c>
      <c r="G1787" t="s">
        <v>1159</v>
      </c>
      <c r="H1787" t="s">
        <v>1158</v>
      </c>
      <c r="I1787">
        <v>6</v>
      </c>
      <c r="K1787" t="s">
        <v>4970</v>
      </c>
      <c r="L1787">
        <v>46296</v>
      </c>
      <c r="M1787">
        <v>98659</v>
      </c>
      <c r="N1787">
        <v>6</v>
      </c>
      <c r="O1787">
        <v>46296</v>
      </c>
      <c r="P1787">
        <v>0</v>
      </c>
    </row>
    <row r="1788" spans="1:16" x14ac:dyDescent="0.4">
      <c r="A1788">
        <v>1461</v>
      </c>
      <c r="B1788" t="s">
        <v>4915</v>
      </c>
      <c r="G1788" t="s">
        <v>779</v>
      </c>
      <c r="H1788" t="s">
        <v>778</v>
      </c>
      <c r="I1788">
        <v>59</v>
      </c>
      <c r="K1788" t="s">
        <v>4987</v>
      </c>
      <c r="L1788">
        <v>46283</v>
      </c>
      <c r="M1788">
        <v>98662</v>
      </c>
      <c r="N1788">
        <v>14</v>
      </c>
      <c r="O1788">
        <v>46279</v>
      </c>
      <c r="P1788">
        <v>45</v>
      </c>
    </row>
    <row r="1789" spans="1:16" x14ac:dyDescent="0.4">
      <c r="A1789">
        <v>1466</v>
      </c>
      <c r="B1789" t="s">
        <v>4915</v>
      </c>
      <c r="G1789" t="s">
        <v>699</v>
      </c>
      <c r="H1789" t="s">
        <v>4976</v>
      </c>
      <c r="I1789">
        <v>129</v>
      </c>
      <c r="K1789" t="s">
        <v>4975</v>
      </c>
      <c r="L1789">
        <v>46283</v>
      </c>
      <c r="M1789">
        <v>98662</v>
      </c>
      <c r="N1789">
        <v>14</v>
      </c>
      <c r="O1789">
        <v>46279</v>
      </c>
      <c r="P1789">
        <v>115</v>
      </c>
    </row>
    <row r="1790" spans="1:16" x14ac:dyDescent="0.4">
      <c r="A1790">
        <v>1474</v>
      </c>
      <c r="B1790" t="s">
        <v>4915</v>
      </c>
      <c r="G1790" t="s">
        <v>645</v>
      </c>
      <c r="H1790" t="s">
        <v>4982</v>
      </c>
      <c r="I1790">
        <v>270</v>
      </c>
      <c r="K1790" t="s">
        <v>4983</v>
      </c>
      <c r="L1790">
        <v>46283</v>
      </c>
      <c r="M1790">
        <v>98662</v>
      </c>
      <c r="N1790">
        <v>14</v>
      </c>
      <c r="O1790">
        <v>46279</v>
      </c>
      <c r="P1790">
        <v>256</v>
      </c>
    </row>
    <row r="1791" spans="1:16" x14ac:dyDescent="0.4">
      <c r="A1791">
        <v>964</v>
      </c>
      <c r="B1791" t="s">
        <v>4915</v>
      </c>
      <c r="D1791" t="s">
        <v>4916</v>
      </c>
      <c r="G1791" t="s">
        <v>2626</v>
      </c>
      <c r="H1791" t="s">
        <v>2625</v>
      </c>
      <c r="I1791">
        <v>56</v>
      </c>
      <c r="K1791" t="s">
        <v>5076</v>
      </c>
      <c r="L1791">
        <v>46276</v>
      </c>
      <c r="M1791">
        <v>98668</v>
      </c>
      <c r="N1791">
        <v>2</v>
      </c>
      <c r="O1791">
        <v>46280</v>
      </c>
      <c r="P1791">
        <v>54</v>
      </c>
    </row>
    <row r="1792" spans="1:16" x14ac:dyDescent="0.4">
      <c r="A1792">
        <v>824</v>
      </c>
      <c r="B1792" t="s">
        <v>4915</v>
      </c>
      <c r="G1792" t="s">
        <v>840</v>
      </c>
      <c r="H1792" t="s">
        <v>839</v>
      </c>
      <c r="I1792">
        <v>3</v>
      </c>
      <c r="K1792" t="s">
        <v>4740</v>
      </c>
      <c r="L1792">
        <v>46274</v>
      </c>
      <c r="M1792">
        <v>98669</v>
      </c>
      <c r="N1792">
        <v>3</v>
      </c>
      <c r="O1792">
        <v>46294</v>
      </c>
      <c r="P1792">
        <v>0</v>
      </c>
    </row>
    <row r="1793" spans="1:16" x14ac:dyDescent="0.4">
      <c r="A1793">
        <v>1797</v>
      </c>
      <c r="B1793" t="s">
        <v>4915</v>
      </c>
      <c r="D1793" t="s">
        <v>4901</v>
      </c>
      <c r="E1793" t="s">
        <v>5168</v>
      </c>
      <c r="F1793" t="s">
        <v>5147</v>
      </c>
      <c r="G1793" t="s">
        <v>840</v>
      </c>
      <c r="H1793" t="s">
        <v>839</v>
      </c>
      <c r="I1793">
        <v>5</v>
      </c>
      <c r="K1793" t="s">
        <v>4740</v>
      </c>
      <c r="L1793">
        <v>46275</v>
      </c>
      <c r="M1793">
        <v>98669</v>
      </c>
      <c r="N1793">
        <v>5</v>
      </c>
      <c r="O1793">
        <v>46294</v>
      </c>
      <c r="P1793">
        <v>0</v>
      </c>
    </row>
    <row r="1794" spans="1:16" x14ac:dyDescent="0.4">
      <c r="A1794">
        <v>1457</v>
      </c>
      <c r="B1794" t="s">
        <v>4915</v>
      </c>
      <c r="G1794" t="s">
        <v>716</v>
      </c>
      <c r="H1794" t="s">
        <v>4974</v>
      </c>
      <c r="I1794">
        <v>9</v>
      </c>
      <c r="K1794" t="s">
        <v>4975</v>
      </c>
      <c r="L1794">
        <v>46283</v>
      </c>
      <c r="M1794">
        <v>98669</v>
      </c>
      <c r="N1794">
        <v>9</v>
      </c>
      <c r="O1794">
        <v>46294</v>
      </c>
      <c r="P1794">
        <v>0</v>
      </c>
    </row>
    <row r="1795" spans="1:16" x14ac:dyDescent="0.4">
      <c r="A1795">
        <v>1458</v>
      </c>
      <c r="B1795" t="s">
        <v>4915</v>
      </c>
      <c r="G1795" t="s">
        <v>639</v>
      </c>
      <c r="H1795" t="s">
        <v>638</v>
      </c>
      <c r="I1795">
        <v>10</v>
      </c>
      <c r="K1795" t="s">
        <v>4984</v>
      </c>
      <c r="L1795">
        <v>46283</v>
      </c>
      <c r="M1795">
        <v>98669</v>
      </c>
      <c r="N1795">
        <v>10</v>
      </c>
      <c r="O1795">
        <v>46294</v>
      </c>
      <c r="P1795">
        <v>0</v>
      </c>
    </row>
    <row r="1796" spans="1:16" x14ac:dyDescent="0.4">
      <c r="A1796">
        <v>828</v>
      </c>
      <c r="B1796" t="s">
        <v>4915</v>
      </c>
      <c r="G1796" t="s">
        <v>791</v>
      </c>
      <c r="H1796" t="s">
        <v>790</v>
      </c>
      <c r="I1796">
        <v>22</v>
      </c>
      <c r="K1796" t="s">
        <v>4987</v>
      </c>
      <c r="L1796">
        <v>46274</v>
      </c>
      <c r="M1796">
        <v>98669</v>
      </c>
      <c r="N1796">
        <v>12</v>
      </c>
      <c r="O1796">
        <v>46294</v>
      </c>
      <c r="P1796">
        <v>10</v>
      </c>
    </row>
    <row r="1797" spans="1:16" x14ac:dyDescent="0.4">
      <c r="A1797">
        <v>1459</v>
      </c>
      <c r="B1797" t="s">
        <v>4915</v>
      </c>
      <c r="G1797" t="s">
        <v>842</v>
      </c>
      <c r="H1797" t="s">
        <v>841</v>
      </c>
      <c r="I1797">
        <v>45</v>
      </c>
      <c r="K1797" t="s">
        <v>4998</v>
      </c>
      <c r="L1797">
        <v>46283</v>
      </c>
      <c r="M1797">
        <v>98669</v>
      </c>
      <c r="N1797">
        <v>30</v>
      </c>
      <c r="O1797">
        <v>46294</v>
      </c>
      <c r="P1797">
        <v>15</v>
      </c>
    </row>
    <row r="1798" spans="1:16" x14ac:dyDescent="0.4">
      <c r="A1798">
        <v>1696</v>
      </c>
      <c r="B1798" t="s">
        <v>4915</v>
      </c>
      <c r="G1798" t="s">
        <v>779</v>
      </c>
      <c r="H1798" t="s">
        <v>778</v>
      </c>
      <c r="I1798">
        <v>45</v>
      </c>
      <c r="K1798" t="s">
        <v>4987</v>
      </c>
      <c r="L1798">
        <v>46279</v>
      </c>
      <c r="M1798">
        <v>98669</v>
      </c>
      <c r="N1798">
        <v>5</v>
      </c>
      <c r="O1798">
        <v>46294</v>
      </c>
      <c r="P1798">
        <v>40</v>
      </c>
    </row>
    <row r="1799" spans="1:16" x14ac:dyDescent="0.4">
      <c r="A1799">
        <v>1460</v>
      </c>
      <c r="B1799" t="s">
        <v>4915</v>
      </c>
      <c r="G1799" t="s">
        <v>1054</v>
      </c>
      <c r="H1799" t="s">
        <v>1053</v>
      </c>
      <c r="I1799">
        <v>48</v>
      </c>
      <c r="K1799" t="s">
        <v>4992</v>
      </c>
      <c r="L1799">
        <v>46283</v>
      </c>
      <c r="M1799">
        <v>98669</v>
      </c>
      <c r="N1799">
        <v>30</v>
      </c>
      <c r="O1799">
        <v>46294</v>
      </c>
      <c r="P1799">
        <v>18</v>
      </c>
    </row>
    <row r="1800" spans="1:16" x14ac:dyDescent="0.4">
      <c r="A1800">
        <v>2514</v>
      </c>
      <c r="B1800" t="s">
        <v>4915</v>
      </c>
      <c r="G1800" t="s">
        <v>4971</v>
      </c>
      <c r="H1800" t="s">
        <v>4972</v>
      </c>
      <c r="I1800">
        <v>65</v>
      </c>
      <c r="K1800" t="s">
        <v>4973</v>
      </c>
      <c r="L1800">
        <v>46296</v>
      </c>
      <c r="M1800">
        <v>98669</v>
      </c>
      <c r="N1800">
        <v>30</v>
      </c>
      <c r="O1800">
        <v>46296</v>
      </c>
      <c r="P1800">
        <v>35</v>
      </c>
    </row>
    <row r="1801" spans="1:16" x14ac:dyDescent="0.4">
      <c r="A1801">
        <v>1456</v>
      </c>
      <c r="B1801" t="s">
        <v>4915</v>
      </c>
      <c r="G1801" t="s">
        <v>773</v>
      </c>
      <c r="H1801" t="s">
        <v>772</v>
      </c>
      <c r="I1801">
        <v>78</v>
      </c>
      <c r="K1801" t="s">
        <v>4996</v>
      </c>
      <c r="L1801">
        <v>46283</v>
      </c>
      <c r="M1801">
        <v>98669</v>
      </c>
      <c r="N1801">
        <v>30</v>
      </c>
      <c r="O1801">
        <v>46294</v>
      </c>
      <c r="P1801">
        <v>48</v>
      </c>
    </row>
    <row r="1802" spans="1:16" x14ac:dyDescent="0.4">
      <c r="A1802">
        <v>1656</v>
      </c>
      <c r="B1802" t="s">
        <v>4915</v>
      </c>
      <c r="G1802" t="s">
        <v>2771</v>
      </c>
      <c r="H1802" t="s">
        <v>2770</v>
      </c>
      <c r="I1802">
        <v>80</v>
      </c>
      <c r="K1802" t="s">
        <v>4949</v>
      </c>
      <c r="L1802">
        <v>46280</v>
      </c>
      <c r="M1802">
        <v>98669</v>
      </c>
      <c r="N1802">
        <v>30</v>
      </c>
      <c r="O1802">
        <v>46294</v>
      </c>
      <c r="P1802">
        <v>50</v>
      </c>
    </row>
    <row r="1803" spans="1:16" x14ac:dyDescent="0.4">
      <c r="A1803">
        <v>1799</v>
      </c>
      <c r="B1803" t="s">
        <v>4915</v>
      </c>
      <c r="D1803" t="s">
        <v>4901</v>
      </c>
      <c r="E1803" t="s">
        <v>5165</v>
      </c>
      <c r="F1803" t="s">
        <v>5147</v>
      </c>
      <c r="G1803" t="s">
        <v>716</v>
      </c>
      <c r="H1803" t="s">
        <v>4974</v>
      </c>
      <c r="I1803">
        <v>100</v>
      </c>
      <c r="K1803" t="s">
        <v>4975</v>
      </c>
      <c r="L1803">
        <v>46274</v>
      </c>
      <c r="M1803">
        <v>98669</v>
      </c>
      <c r="N1803">
        <v>21</v>
      </c>
      <c r="O1803">
        <v>46294</v>
      </c>
      <c r="P1803">
        <v>79</v>
      </c>
    </row>
    <row r="1804" spans="1:16" x14ac:dyDescent="0.4">
      <c r="A1804">
        <v>1462</v>
      </c>
      <c r="B1804" t="s">
        <v>4915</v>
      </c>
      <c r="G1804" t="s">
        <v>1043</v>
      </c>
      <c r="H1804" t="s">
        <v>1042</v>
      </c>
      <c r="I1804">
        <v>102</v>
      </c>
      <c r="K1804" t="s">
        <v>4995</v>
      </c>
      <c r="L1804">
        <v>46283</v>
      </c>
      <c r="M1804">
        <v>98669</v>
      </c>
      <c r="N1804">
        <v>30</v>
      </c>
      <c r="O1804">
        <v>46294</v>
      </c>
      <c r="P1804">
        <v>72</v>
      </c>
    </row>
    <row r="1805" spans="1:16" x14ac:dyDescent="0.4">
      <c r="A1805">
        <v>1697</v>
      </c>
      <c r="B1805" t="s">
        <v>4915</v>
      </c>
      <c r="G1805" t="s">
        <v>699</v>
      </c>
      <c r="H1805" t="s">
        <v>4976</v>
      </c>
      <c r="I1805">
        <v>115</v>
      </c>
      <c r="K1805" t="s">
        <v>4975</v>
      </c>
      <c r="L1805">
        <v>46279</v>
      </c>
      <c r="M1805">
        <v>98669</v>
      </c>
      <c r="N1805">
        <v>30</v>
      </c>
      <c r="O1805">
        <v>46294</v>
      </c>
      <c r="P1805">
        <v>85</v>
      </c>
    </row>
    <row r="1806" spans="1:16" x14ac:dyDescent="0.4">
      <c r="A1806">
        <v>1463</v>
      </c>
      <c r="B1806" t="s">
        <v>4915</v>
      </c>
      <c r="G1806" t="s">
        <v>696</v>
      </c>
      <c r="H1806" t="s">
        <v>4980</v>
      </c>
      <c r="I1806">
        <v>117</v>
      </c>
      <c r="K1806" t="s">
        <v>4981</v>
      </c>
      <c r="L1806">
        <v>46283</v>
      </c>
      <c r="M1806">
        <v>98669</v>
      </c>
      <c r="N1806">
        <v>30</v>
      </c>
      <c r="O1806">
        <v>46294</v>
      </c>
      <c r="P1806">
        <v>87</v>
      </c>
    </row>
    <row r="1807" spans="1:16" x14ac:dyDescent="0.4">
      <c r="A1807">
        <v>1464</v>
      </c>
      <c r="B1807" t="s">
        <v>4915</v>
      </c>
      <c r="G1807" t="s">
        <v>985</v>
      </c>
      <c r="H1807" t="s">
        <v>984</v>
      </c>
      <c r="I1807">
        <v>119</v>
      </c>
      <c r="K1807" t="s">
        <v>4932</v>
      </c>
      <c r="L1807">
        <v>46283</v>
      </c>
      <c r="M1807">
        <v>98669</v>
      </c>
      <c r="N1807">
        <v>30</v>
      </c>
      <c r="O1807">
        <v>46294</v>
      </c>
      <c r="P1807">
        <v>89</v>
      </c>
    </row>
    <row r="1808" spans="1:16" x14ac:dyDescent="0.4">
      <c r="A1808">
        <v>1465</v>
      </c>
      <c r="B1808" t="s">
        <v>4915</v>
      </c>
      <c r="G1808" t="s">
        <v>1057</v>
      </c>
      <c r="H1808" t="s">
        <v>1056</v>
      </c>
      <c r="I1808">
        <v>125</v>
      </c>
      <c r="K1808" t="s">
        <v>4991</v>
      </c>
      <c r="L1808">
        <v>46283</v>
      </c>
      <c r="M1808">
        <v>98669</v>
      </c>
      <c r="N1808">
        <v>30</v>
      </c>
      <c r="O1808">
        <v>46294</v>
      </c>
      <c r="P1808">
        <v>95</v>
      </c>
    </row>
    <row r="1809" spans="1:16" x14ac:dyDescent="0.4">
      <c r="A1809">
        <v>1455</v>
      </c>
      <c r="B1809" t="s">
        <v>4915</v>
      </c>
      <c r="G1809" t="s">
        <v>847</v>
      </c>
      <c r="H1809" t="s">
        <v>846</v>
      </c>
      <c r="I1809">
        <v>140</v>
      </c>
      <c r="K1809" t="s">
        <v>4958</v>
      </c>
      <c r="L1809">
        <v>46283</v>
      </c>
      <c r="M1809">
        <v>98669</v>
      </c>
      <c r="N1809">
        <v>30</v>
      </c>
      <c r="O1809">
        <v>46294</v>
      </c>
      <c r="P1809">
        <v>110</v>
      </c>
    </row>
    <row r="1810" spans="1:16" x14ac:dyDescent="0.4">
      <c r="A1810">
        <v>1467</v>
      </c>
      <c r="B1810" t="s">
        <v>4915</v>
      </c>
      <c r="G1810" t="s">
        <v>709</v>
      </c>
      <c r="H1810" t="s">
        <v>708</v>
      </c>
      <c r="I1810">
        <v>146</v>
      </c>
      <c r="K1810" t="s">
        <v>4985</v>
      </c>
      <c r="L1810">
        <v>46283</v>
      </c>
      <c r="M1810">
        <v>98669</v>
      </c>
      <c r="N1810">
        <v>30</v>
      </c>
      <c r="O1810">
        <v>46294</v>
      </c>
      <c r="P1810">
        <v>116</v>
      </c>
    </row>
    <row r="1811" spans="1:16" x14ac:dyDescent="0.4">
      <c r="A1811">
        <v>1468</v>
      </c>
      <c r="B1811" t="s">
        <v>4915</v>
      </c>
      <c r="G1811" t="s">
        <v>5156</v>
      </c>
      <c r="H1811" t="s">
        <v>701</v>
      </c>
      <c r="I1811">
        <v>146</v>
      </c>
      <c r="K1811" t="s">
        <v>4985</v>
      </c>
      <c r="L1811">
        <v>46283</v>
      </c>
      <c r="M1811">
        <v>98669</v>
      </c>
      <c r="N1811">
        <v>30</v>
      </c>
      <c r="O1811">
        <v>46294</v>
      </c>
      <c r="P1811">
        <v>116</v>
      </c>
    </row>
    <row r="1812" spans="1:16" x14ac:dyDescent="0.4">
      <c r="A1812">
        <v>1469</v>
      </c>
      <c r="B1812" t="s">
        <v>4915</v>
      </c>
      <c r="G1812" t="s">
        <v>880</v>
      </c>
      <c r="H1812" t="s">
        <v>879</v>
      </c>
      <c r="I1812">
        <v>150</v>
      </c>
      <c r="K1812" t="s">
        <v>4988</v>
      </c>
      <c r="L1812">
        <v>46283</v>
      </c>
      <c r="M1812">
        <v>98669</v>
      </c>
      <c r="N1812">
        <v>30</v>
      </c>
      <c r="O1812">
        <v>46294</v>
      </c>
      <c r="P1812">
        <v>120</v>
      </c>
    </row>
    <row r="1813" spans="1:16" x14ac:dyDescent="0.4">
      <c r="A1813">
        <v>838</v>
      </c>
      <c r="B1813" t="s">
        <v>4915</v>
      </c>
      <c r="G1813" t="s">
        <v>777</v>
      </c>
      <c r="H1813" t="s">
        <v>776</v>
      </c>
      <c r="I1813">
        <v>154</v>
      </c>
      <c r="K1813" t="s">
        <v>4986</v>
      </c>
      <c r="L1813">
        <v>46274</v>
      </c>
      <c r="M1813">
        <v>98669</v>
      </c>
      <c r="N1813">
        <v>30</v>
      </c>
      <c r="O1813">
        <v>46294</v>
      </c>
      <c r="P1813">
        <v>124</v>
      </c>
    </row>
    <row r="1814" spans="1:16" x14ac:dyDescent="0.4">
      <c r="A1814">
        <v>840</v>
      </c>
      <c r="B1814" t="s">
        <v>4915</v>
      </c>
      <c r="G1814" t="s">
        <v>782</v>
      </c>
      <c r="H1814" t="s">
        <v>781</v>
      </c>
      <c r="I1814">
        <v>175</v>
      </c>
      <c r="K1814" t="s">
        <v>4987</v>
      </c>
      <c r="L1814">
        <v>46274</v>
      </c>
      <c r="M1814">
        <v>98669</v>
      </c>
      <c r="N1814">
        <v>30</v>
      </c>
      <c r="O1814">
        <v>46294</v>
      </c>
      <c r="P1814">
        <v>145</v>
      </c>
    </row>
    <row r="1815" spans="1:16" x14ac:dyDescent="0.4">
      <c r="A1815">
        <v>1470</v>
      </c>
      <c r="B1815" t="s">
        <v>4915</v>
      </c>
      <c r="G1815" t="s">
        <v>664</v>
      </c>
      <c r="H1815" t="s">
        <v>663</v>
      </c>
      <c r="I1815">
        <v>176</v>
      </c>
      <c r="K1815" t="s">
        <v>4985</v>
      </c>
      <c r="L1815">
        <v>46283</v>
      </c>
      <c r="M1815">
        <v>98669</v>
      </c>
      <c r="N1815">
        <v>30</v>
      </c>
      <c r="O1815">
        <v>46294</v>
      </c>
      <c r="P1815">
        <v>146</v>
      </c>
    </row>
    <row r="1816" spans="1:16" x14ac:dyDescent="0.4">
      <c r="A1816">
        <v>1471</v>
      </c>
      <c r="B1816" t="s">
        <v>4915</v>
      </c>
      <c r="G1816" t="s">
        <v>877</v>
      </c>
      <c r="H1816" t="s">
        <v>876</v>
      </c>
      <c r="I1816">
        <v>200</v>
      </c>
      <c r="K1816" t="s">
        <v>4988</v>
      </c>
      <c r="L1816">
        <v>46283</v>
      </c>
      <c r="M1816">
        <v>98669</v>
      </c>
      <c r="N1816">
        <v>30</v>
      </c>
      <c r="O1816">
        <v>46294</v>
      </c>
      <c r="P1816">
        <v>170</v>
      </c>
    </row>
    <row r="1817" spans="1:16" x14ac:dyDescent="0.4">
      <c r="A1817">
        <v>1800</v>
      </c>
      <c r="B1817" t="s">
        <v>4915</v>
      </c>
      <c r="D1817" t="s">
        <v>4901</v>
      </c>
      <c r="E1817" t="s">
        <v>5169</v>
      </c>
      <c r="G1817" t="s">
        <v>639</v>
      </c>
      <c r="H1817" t="s">
        <v>638</v>
      </c>
      <c r="I1817">
        <v>200</v>
      </c>
      <c r="K1817" t="s">
        <v>4984</v>
      </c>
      <c r="L1817">
        <v>46280</v>
      </c>
      <c r="M1817">
        <v>98669</v>
      </c>
      <c r="N1817">
        <v>20</v>
      </c>
      <c r="O1817">
        <v>46294</v>
      </c>
      <c r="P1817">
        <v>180</v>
      </c>
    </row>
    <row r="1818" spans="1:16" x14ac:dyDescent="0.4">
      <c r="A1818">
        <v>1798</v>
      </c>
      <c r="B1818" t="s">
        <v>4915</v>
      </c>
      <c r="D1818" t="s">
        <v>4901</v>
      </c>
      <c r="E1818" t="s">
        <v>5170</v>
      </c>
      <c r="G1818" t="s">
        <v>840</v>
      </c>
      <c r="H1818" t="s">
        <v>839</v>
      </c>
      <c r="I1818">
        <v>206</v>
      </c>
      <c r="K1818" t="s">
        <v>4740</v>
      </c>
      <c r="L1818">
        <v>46287</v>
      </c>
      <c r="M1818">
        <v>98669</v>
      </c>
      <c r="N1818">
        <v>22</v>
      </c>
      <c r="O1818">
        <v>46294</v>
      </c>
      <c r="P1818">
        <v>184</v>
      </c>
    </row>
    <row r="1819" spans="1:16" x14ac:dyDescent="0.4">
      <c r="A1819">
        <v>1472</v>
      </c>
      <c r="B1819" t="s">
        <v>4915</v>
      </c>
      <c r="G1819" t="s">
        <v>729</v>
      </c>
      <c r="H1819" t="s">
        <v>728</v>
      </c>
      <c r="I1819">
        <v>255</v>
      </c>
      <c r="K1819" t="s">
        <v>4985</v>
      </c>
      <c r="L1819">
        <v>46283</v>
      </c>
      <c r="M1819">
        <v>98669</v>
      </c>
      <c r="N1819">
        <v>30</v>
      </c>
      <c r="O1819">
        <v>46294</v>
      </c>
      <c r="P1819">
        <v>225</v>
      </c>
    </row>
    <row r="1820" spans="1:16" x14ac:dyDescent="0.4">
      <c r="A1820">
        <v>1698</v>
      </c>
      <c r="B1820" t="s">
        <v>4915</v>
      </c>
      <c r="G1820" t="s">
        <v>645</v>
      </c>
      <c r="H1820" t="s">
        <v>4982</v>
      </c>
      <c r="I1820">
        <v>256</v>
      </c>
      <c r="K1820" t="s">
        <v>4983</v>
      </c>
      <c r="L1820">
        <v>46279</v>
      </c>
      <c r="M1820">
        <v>98669</v>
      </c>
      <c r="N1820">
        <v>30</v>
      </c>
      <c r="O1820">
        <v>46294</v>
      </c>
      <c r="P1820">
        <v>226</v>
      </c>
    </row>
    <row r="1821" spans="1:16" x14ac:dyDescent="0.4">
      <c r="A1821">
        <v>1473</v>
      </c>
      <c r="B1821" t="s">
        <v>4915</v>
      </c>
      <c r="G1821" t="s">
        <v>967</v>
      </c>
      <c r="H1821" t="s">
        <v>966</v>
      </c>
      <c r="I1821">
        <v>259</v>
      </c>
      <c r="K1821" t="s">
        <v>4965</v>
      </c>
      <c r="L1821">
        <v>46283</v>
      </c>
      <c r="M1821">
        <v>98669</v>
      </c>
      <c r="N1821">
        <v>60</v>
      </c>
      <c r="O1821">
        <v>46294</v>
      </c>
      <c r="P1821">
        <v>199</v>
      </c>
    </row>
    <row r="1822" spans="1:16" x14ac:dyDescent="0.4">
      <c r="A1822">
        <v>1801</v>
      </c>
      <c r="B1822" t="s">
        <v>4915</v>
      </c>
      <c r="D1822" t="s">
        <v>4928</v>
      </c>
      <c r="G1822" t="s">
        <v>1046</v>
      </c>
      <c r="H1822" t="s">
        <v>1045</v>
      </c>
      <c r="I1822">
        <v>270</v>
      </c>
      <c r="K1822" t="s">
        <v>4990</v>
      </c>
      <c r="L1822">
        <v>46273</v>
      </c>
      <c r="M1822">
        <v>98669</v>
      </c>
      <c r="N1822">
        <v>60</v>
      </c>
      <c r="O1822">
        <v>46294</v>
      </c>
      <c r="P1822">
        <v>210</v>
      </c>
    </row>
    <row r="1823" spans="1:16" x14ac:dyDescent="0.4">
      <c r="A1823">
        <v>1475</v>
      </c>
      <c r="B1823" t="s">
        <v>4915</v>
      </c>
      <c r="G1823" t="s">
        <v>4997</v>
      </c>
      <c r="H1823" t="s">
        <v>624</v>
      </c>
      <c r="I1823">
        <v>284</v>
      </c>
      <c r="K1823" t="s">
        <v>4998</v>
      </c>
      <c r="L1823">
        <v>46283</v>
      </c>
      <c r="M1823">
        <v>98669</v>
      </c>
      <c r="N1823">
        <v>30</v>
      </c>
      <c r="O1823">
        <v>46294</v>
      </c>
      <c r="P1823">
        <v>254</v>
      </c>
    </row>
    <row r="1824" spans="1:16" x14ac:dyDescent="0.4">
      <c r="A1824">
        <v>1476</v>
      </c>
      <c r="B1824" t="s">
        <v>4915</v>
      </c>
      <c r="G1824" t="s">
        <v>4993</v>
      </c>
      <c r="H1824" t="s">
        <v>2651</v>
      </c>
      <c r="I1824">
        <v>299</v>
      </c>
      <c r="K1824" t="s">
        <v>4948</v>
      </c>
      <c r="L1824">
        <v>46283</v>
      </c>
      <c r="M1824">
        <v>98669</v>
      </c>
      <c r="N1824">
        <v>30</v>
      </c>
      <c r="O1824">
        <v>46294</v>
      </c>
      <c r="P1824">
        <v>269</v>
      </c>
    </row>
    <row r="1825" spans="1:16" x14ac:dyDescent="0.4">
      <c r="A1825">
        <v>1477</v>
      </c>
      <c r="B1825" t="s">
        <v>4915</v>
      </c>
      <c r="G1825" t="s">
        <v>884</v>
      </c>
      <c r="H1825" t="s">
        <v>883</v>
      </c>
      <c r="I1825">
        <v>317</v>
      </c>
      <c r="K1825" t="s">
        <v>4943</v>
      </c>
      <c r="L1825">
        <v>46283</v>
      </c>
      <c r="M1825">
        <v>98669</v>
      </c>
      <c r="N1825">
        <v>30</v>
      </c>
      <c r="O1825">
        <v>46294</v>
      </c>
      <c r="P1825">
        <v>287</v>
      </c>
    </row>
    <row r="1826" spans="1:16" x14ac:dyDescent="0.4">
      <c r="A1826">
        <v>1060</v>
      </c>
      <c r="B1826" t="s">
        <v>4915</v>
      </c>
      <c r="D1826" t="s">
        <v>4916</v>
      </c>
      <c r="G1826" t="s">
        <v>2477</v>
      </c>
      <c r="H1826" t="s">
        <v>2476</v>
      </c>
      <c r="I1826">
        <v>369</v>
      </c>
      <c r="K1826" t="s">
        <v>4943</v>
      </c>
      <c r="L1826">
        <v>46276</v>
      </c>
      <c r="M1826">
        <v>98669</v>
      </c>
      <c r="N1826">
        <v>30</v>
      </c>
      <c r="O1826">
        <v>46294</v>
      </c>
      <c r="P1826">
        <v>339</v>
      </c>
    </row>
    <row r="1827" spans="1:16" x14ac:dyDescent="0.4">
      <c r="A1827">
        <v>1478</v>
      </c>
      <c r="B1827" t="s">
        <v>4915</v>
      </c>
      <c r="G1827" t="s">
        <v>4977</v>
      </c>
      <c r="H1827" t="s">
        <v>4978</v>
      </c>
      <c r="I1827">
        <v>374</v>
      </c>
      <c r="K1827" t="s">
        <v>4979</v>
      </c>
      <c r="L1827">
        <v>46283</v>
      </c>
      <c r="M1827">
        <v>98669</v>
      </c>
      <c r="N1827">
        <v>30</v>
      </c>
      <c r="O1827">
        <v>46294</v>
      </c>
      <c r="P1827">
        <v>344</v>
      </c>
    </row>
    <row r="1828" spans="1:16" x14ac:dyDescent="0.4">
      <c r="A1828">
        <v>1479</v>
      </c>
      <c r="B1828" t="s">
        <v>4915</v>
      </c>
      <c r="G1828" t="s">
        <v>4994</v>
      </c>
      <c r="H1828" t="s">
        <v>2697</v>
      </c>
      <c r="I1828">
        <v>560</v>
      </c>
      <c r="K1828" t="s">
        <v>4948</v>
      </c>
      <c r="L1828">
        <v>46283</v>
      </c>
      <c r="M1828">
        <v>98669</v>
      </c>
      <c r="N1828">
        <v>30</v>
      </c>
      <c r="O1828">
        <v>46294</v>
      </c>
      <c r="P1828">
        <v>530</v>
      </c>
    </row>
    <row r="1829" spans="1:16" x14ac:dyDescent="0.4">
      <c r="A1829">
        <v>853</v>
      </c>
      <c r="B1829" t="s">
        <v>4915</v>
      </c>
      <c r="G1829" t="s">
        <v>795</v>
      </c>
      <c r="H1829" t="s">
        <v>794</v>
      </c>
      <c r="I1829">
        <v>646</v>
      </c>
      <c r="K1829" t="s">
        <v>4989</v>
      </c>
      <c r="L1829">
        <v>46274</v>
      </c>
      <c r="M1829">
        <v>98669</v>
      </c>
      <c r="N1829">
        <v>60</v>
      </c>
      <c r="O1829">
        <v>46294</v>
      </c>
      <c r="P1829">
        <v>586</v>
      </c>
    </row>
    <row r="1830" spans="1:16" x14ac:dyDescent="0.4">
      <c r="A1830">
        <v>1092</v>
      </c>
      <c r="B1830" t="s">
        <v>4915</v>
      </c>
      <c r="D1830" t="s">
        <v>4916</v>
      </c>
      <c r="G1830" t="s">
        <v>661</v>
      </c>
      <c r="H1830" t="s">
        <v>660</v>
      </c>
      <c r="I1830">
        <v>706</v>
      </c>
      <c r="K1830" t="s">
        <v>5130</v>
      </c>
      <c r="L1830">
        <v>46276</v>
      </c>
      <c r="M1830">
        <v>98669</v>
      </c>
      <c r="N1830">
        <v>30</v>
      </c>
      <c r="O1830">
        <v>46294</v>
      </c>
      <c r="P1830">
        <v>676</v>
      </c>
    </row>
    <row r="1831" spans="1:16" x14ac:dyDescent="0.4">
      <c r="A1831">
        <v>1480</v>
      </c>
      <c r="B1831" t="s">
        <v>4915</v>
      </c>
      <c r="G1831" t="s">
        <v>650</v>
      </c>
      <c r="H1831" t="s">
        <v>649</v>
      </c>
      <c r="I1831">
        <v>762</v>
      </c>
      <c r="K1831" t="s">
        <v>4986</v>
      </c>
      <c r="L1831">
        <v>46283</v>
      </c>
      <c r="M1831">
        <v>98669</v>
      </c>
      <c r="N1831">
        <v>60</v>
      </c>
      <c r="O1831">
        <v>46294</v>
      </c>
      <c r="P1831">
        <v>702</v>
      </c>
    </row>
    <row r="1832" spans="1:16" x14ac:dyDescent="0.4">
      <c r="A1832">
        <v>1857</v>
      </c>
      <c r="B1832" t="s">
        <v>4915</v>
      </c>
      <c r="G1832" t="s">
        <v>1328</v>
      </c>
      <c r="H1832" t="s">
        <v>4941</v>
      </c>
      <c r="I1832">
        <v>18</v>
      </c>
      <c r="K1832" t="s">
        <v>4942</v>
      </c>
      <c r="L1832">
        <v>46295</v>
      </c>
      <c r="M1832">
        <v>98670</v>
      </c>
      <c r="N1832">
        <v>18</v>
      </c>
      <c r="O1832">
        <v>46294</v>
      </c>
      <c r="P1832">
        <v>0</v>
      </c>
    </row>
    <row r="1833" spans="1:16" x14ac:dyDescent="0.4">
      <c r="A1833">
        <v>1856</v>
      </c>
      <c r="B1833" t="s">
        <v>4915</v>
      </c>
      <c r="G1833" t="s">
        <v>2765</v>
      </c>
      <c r="H1833" t="s">
        <v>2764</v>
      </c>
      <c r="I1833">
        <v>30</v>
      </c>
      <c r="K1833" t="s">
        <v>4945</v>
      </c>
      <c r="L1833">
        <v>46295</v>
      </c>
      <c r="M1833">
        <v>98670</v>
      </c>
      <c r="N1833">
        <v>30</v>
      </c>
      <c r="O1833">
        <v>46294</v>
      </c>
      <c r="P1833">
        <v>0</v>
      </c>
    </row>
    <row r="1834" spans="1:16" x14ac:dyDescent="0.4">
      <c r="A1834">
        <v>2102</v>
      </c>
      <c r="B1834" t="s">
        <v>4915</v>
      </c>
      <c r="G1834" t="s">
        <v>2655</v>
      </c>
      <c r="H1834" t="s">
        <v>2654</v>
      </c>
      <c r="I1834">
        <v>33</v>
      </c>
      <c r="K1834" t="s">
        <v>4948</v>
      </c>
      <c r="L1834">
        <v>46283</v>
      </c>
      <c r="M1834">
        <v>98670</v>
      </c>
      <c r="N1834">
        <v>30</v>
      </c>
      <c r="O1834">
        <v>46294</v>
      </c>
      <c r="P1834">
        <v>3</v>
      </c>
    </row>
    <row r="1835" spans="1:16" x14ac:dyDescent="0.4">
      <c r="A1835">
        <v>1858</v>
      </c>
      <c r="B1835" t="s">
        <v>4915</v>
      </c>
      <c r="G1835" t="s">
        <v>1207</v>
      </c>
      <c r="H1835" t="s">
        <v>1206</v>
      </c>
      <c r="I1835">
        <v>39</v>
      </c>
      <c r="K1835" t="s">
        <v>4953</v>
      </c>
      <c r="L1835">
        <v>46295</v>
      </c>
      <c r="M1835">
        <v>98670</v>
      </c>
      <c r="N1835">
        <v>30</v>
      </c>
      <c r="O1835">
        <v>46294</v>
      </c>
      <c r="P1835">
        <v>9</v>
      </c>
    </row>
    <row r="1836" spans="1:16" x14ac:dyDescent="0.4">
      <c r="A1836">
        <v>1859</v>
      </c>
      <c r="B1836" t="s">
        <v>4915</v>
      </c>
      <c r="G1836" t="s">
        <v>2706</v>
      </c>
      <c r="H1836" t="s">
        <v>2705</v>
      </c>
      <c r="I1836">
        <v>40</v>
      </c>
      <c r="K1836" t="s">
        <v>4948</v>
      </c>
      <c r="L1836">
        <v>46295</v>
      </c>
      <c r="M1836">
        <v>98670</v>
      </c>
      <c r="N1836">
        <v>30</v>
      </c>
      <c r="O1836">
        <v>46294</v>
      </c>
      <c r="P1836">
        <v>10</v>
      </c>
    </row>
    <row r="1837" spans="1:16" x14ac:dyDescent="0.4">
      <c r="A1837">
        <v>2136</v>
      </c>
      <c r="B1837" t="s">
        <v>4915</v>
      </c>
      <c r="G1837" t="s">
        <v>385</v>
      </c>
      <c r="H1837" t="s">
        <v>384</v>
      </c>
      <c r="I1837">
        <v>66</v>
      </c>
      <c r="K1837" t="s">
        <v>4944</v>
      </c>
      <c r="L1837">
        <v>46293</v>
      </c>
      <c r="M1837">
        <v>98670</v>
      </c>
      <c r="N1837">
        <v>60</v>
      </c>
      <c r="O1837">
        <v>46294</v>
      </c>
      <c r="P1837">
        <v>6</v>
      </c>
    </row>
    <row r="1838" spans="1:16" x14ac:dyDescent="0.4">
      <c r="A1838">
        <v>2104</v>
      </c>
      <c r="B1838" t="s">
        <v>4915</v>
      </c>
      <c r="G1838" t="s">
        <v>2696</v>
      </c>
      <c r="H1838" t="s">
        <v>2695</v>
      </c>
      <c r="I1838">
        <v>72</v>
      </c>
      <c r="K1838" t="s">
        <v>4869</v>
      </c>
      <c r="L1838">
        <v>46283</v>
      </c>
      <c r="M1838">
        <v>98670</v>
      </c>
      <c r="N1838">
        <v>30</v>
      </c>
      <c r="O1838">
        <v>46294</v>
      </c>
      <c r="P1838">
        <v>42</v>
      </c>
    </row>
    <row r="1839" spans="1:16" x14ac:dyDescent="0.4">
      <c r="A1839">
        <v>1861</v>
      </c>
      <c r="B1839" t="s">
        <v>4915</v>
      </c>
      <c r="G1839" t="s">
        <v>2813</v>
      </c>
      <c r="H1839" t="s">
        <v>2812</v>
      </c>
      <c r="I1839">
        <v>96</v>
      </c>
      <c r="K1839" t="s">
        <v>4947</v>
      </c>
      <c r="L1839">
        <v>46295</v>
      </c>
      <c r="M1839">
        <v>98670</v>
      </c>
      <c r="N1839">
        <v>30</v>
      </c>
      <c r="O1839">
        <v>46294</v>
      </c>
      <c r="P1839">
        <v>66</v>
      </c>
    </row>
    <row r="1840" spans="1:16" x14ac:dyDescent="0.4">
      <c r="A1840">
        <v>2175</v>
      </c>
      <c r="B1840" t="s">
        <v>4915</v>
      </c>
      <c r="D1840" t="s">
        <v>4928</v>
      </c>
      <c r="G1840" t="s">
        <v>1052</v>
      </c>
      <c r="H1840" t="s">
        <v>1051</v>
      </c>
      <c r="I1840">
        <v>100</v>
      </c>
      <c r="K1840" t="s">
        <v>4943</v>
      </c>
      <c r="L1840">
        <v>46294</v>
      </c>
      <c r="M1840">
        <v>98670</v>
      </c>
      <c r="N1840">
        <v>30</v>
      </c>
      <c r="O1840">
        <v>46294</v>
      </c>
      <c r="P1840">
        <v>70</v>
      </c>
    </row>
    <row r="1841" spans="1:16" x14ac:dyDescent="0.4">
      <c r="A1841">
        <v>2176</v>
      </c>
      <c r="B1841" t="s">
        <v>4915</v>
      </c>
      <c r="D1841" t="s">
        <v>4928</v>
      </c>
      <c r="G1841" t="s">
        <v>1050</v>
      </c>
      <c r="H1841" t="s">
        <v>1049</v>
      </c>
      <c r="I1841">
        <v>100</v>
      </c>
      <c r="K1841" t="s">
        <v>4943</v>
      </c>
      <c r="L1841">
        <v>46294</v>
      </c>
      <c r="M1841">
        <v>98670</v>
      </c>
      <c r="N1841">
        <v>30</v>
      </c>
      <c r="O1841">
        <v>46294</v>
      </c>
      <c r="P1841">
        <v>70</v>
      </c>
    </row>
    <row r="1842" spans="1:16" x14ac:dyDescent="0.4">
      <c r="A1842">
        <v>1862</v>
      </c>
      <c r="B1842" t="s">
        <v>4915</v>
      </c>
      <c r="G1842" t="s">
        <v>2762</v>
      </c>
      <c r="H1842" t="s">
        <v>2761</v>
      </c>
      <c r="I1842">
        <v>105</v>
      </c>
      <c r="K1842" t="s">
        <v>4945</v>
      </c>
      <c r="L1842">
        <v>46295</v>
      </c>
      <c r="M1842">
        <v>98670</v>
      </c>
      <c r="N1842">
        <v>30</v>
      </c>
      <c r="O1842">
        <v>46294</v>
      </c>
      <c r="P1842">
        <v>75</v>
      </c>
    </row>
    <row r="1843" spans="1:16" x14ac:dyDescent="0.4">
      <c r="A1843">
        <v>2103</v>
      </c>
      <c r="B1843" t="s">
        <v>4915</v>
      </c>
      <c r="G1843" t="s">
        <v>1858</v>
      </c>
      <c r="H1843" t="s">
        <v>1857</v>
      </c>
      <c r="I1843">
        <v>110</v>
      </c>
      <c r="K1843" t="s">
        <v>5137</v>
      </c>
      <c r="L1843">
        <v>46283</v>
      </c>
      <c r="M1843">
        <v>98670</v>
      </c>
      <c r="N1843">
        <v>60</v>
      </c>
      <c r="O1843">
        <v>46294</v>
      </c>
      <c r="P1843">
        <v>50</v>
      </c>
    </row>
    <row r="1844" spans="1:16" x14ac:dyDescent="0.4">
      <c r="A1844">
        <v>1864</v>
      </c>
      <c r="B1844" t="s">
        <v>4915</v>
      </c>
      <c r="G1844" t="s">
        <v>2879</v>
      </c>
      <c r="H1844" t="s">
        <v>2878</v>
      </c>
      <c r="I1844">
        <v>114</v>
      </c>
      <c r="K1844" t="s">
        <v>4946</v>
      </c>
      <c r="L1844">
        <v>46295</v>
      </c>
      <c r="M1844">
        <v>98670</v>
      </c>
      <c r="N1844">
        <v>30</v>
      </c>
      <c r="O1844">
        <v>46294</v>
      </c>
      <c r="P1844">
        <v>84</v>
      </c>
    </row>
    <row r="1845" spans="1:16" x14ac:dyDescent="0.4">
      <c r="A1845">
        <v>1866</v>
      </c>
      <c r="B1845" t="s">
        <v>4915</v>
      </c>
      <c r="G1845" t="s">
        <v>1148</v>
      </c>
      <c r="H1845" t="s">
        <v>1147</v>
      </c>
      <c r="I1845">
        <v>133</v>
      </c>
      <c r="K1845" t="s">
        <v>4851</v>
      </c>
      <c r="L1845">
        <v>46295</v>
      </c>
      <c r="M1845">
        <v>98670</v>
      </c>
      <c r="N1845">
        <v>30</v>
      </c>
      <c r="O1845">
        <v>46294</v>
      </c>
      <c r="P1845">
        <v>103</v>
      </c>
    </row>
    <row r="1846" spans="1:16" x14ac:dyDescent="0.4">
      <c r="A1846">
        <v>2177</v>
      </c>
      <c r="B1846" t="s">
        <v>4915</v>
      </c>
      <c r="D1846" t="s">
        <v>4901</v>
      </c>
      <c r="E1846" t="s">
        <v>5171</v>
      </c>
      <c r="F1846" t="s">
        <v>4939</v>
      </c>
      <c r="G1846" t="s">
        <v>1328</v>
      </c>
      <c r="H1846" t="s">
        <v>4941</v>
      </c>
      <c r="I1846">
        <v>138</v>
      </c>
      <c r="K1846" t="s">
        <v>4942</v>
      </c>
      <c r="L1846">
        <v>46275</v>
      </c>
      <c r="M1846">
        <v>98670</v>
      </c>
      <c r="N1846">
        <v>42</v>
      </c>
      <c r="O1846">
        <v>46294</v>
      </c>
      <c r="P1846">
        <v>96</v>
      </c>
    </row>
    <row r="1847" spans="1:16" x14ac:dyDescent="0.4">
      <c r="A1847">
        <v>1982</v>
      </c>
      <c r="B1847" t="s">
        <v>4915</v>
      </c>
      <c r="G1847" t="s">
        <v>477</v>
      </c>
      <c r="H1847" t="s">
        <v>476</v>
      </c>
      <c r="I1847">
        <v>150</v>
      </c>
      <c r="K1847" t="s">
        <v>4851</v>
      </c>
      <c r="L1847">
        <v>46295</v>
      </c>
      <c r="M1847">
        <v>98670</v>
      </c>
      <c r="N1847">
        <v>6</v>
      </c>
      <c r="O1847">
        <v>46295</v>
      </c>
      <c r="P1847">
        <v>144</v>
      </c>
    </row>
    <row r="1848" spans="1:16" x14ac:dyDescent="0.4">
      <c r="A1848">
        <v>1868</v>
      </c>
      <c r="B1848" t="s">
        <v>4915</v>
      </c>
      <c r="G1848" t="s">
        <v>2755</v>
      </c>
      <c r="H1848" t="s">
        <v>2754</v>
      </c>
      <c r="I1848">
        <v>177</v>
      </c>
      <c r="K1848" t="s">
        <v>4869</v>
      </c>
      <c r="L1848">
        <v>46295</v>
      </c>
      <c r="M1848">
        <v>98670</v>
      </c>
      <c r="N1848">
        <v>30</v>
      </c>
      <c r="O1848">
        <v>46294</v>
      </c>
      <c r="P1848">
        <v>147</v>
      </c>
    </row>
    <row r="1849" spans="1:16" x14ac:dyDescent="0.4">
      <c r="A1849">
        <v>1869</v>
      </c>
      <c r="B1849" t="s">
        <v>4915</v>
      </c>
      <c r="G1849" t="s">
        <v>2671</v>
      </c>
      <c r="H1849" t="s">
        <v>2670</v>
      </c>
      <c r="I1849">
        <v>180</v>
      </c>
      <c r="K1849" t="s">
        <v>4872</v>
      </c>
      <c r="L1849">
        <v>46295</v>
      </c>
      <c r="M1849">
        <v>98670</v>
      </c>
      <c r="N1849">
        <v>30</v>
      </c>
      <c r="O1849">
        <v>46294</v>
      </c>
      <c r="P1849">
        <v>150</v>
      </c>
    </row>
    <row r="1850" spans="1:16" x14ac:dyDescent="0.4">
      <c r="A1850">
        <v>1870</v>
      </c>
      <c r="B1850" t="s">
        <v>4915</v>
      </c>
      <c r="G1850" t="s">
        <v>2753</v>
      </c>
      <c r="H1850" t="s">
        <v>2752</v>
      </c>
      <c r="I1850">
        <v>182</v>
      </c>
      <c r="K1850" t="s">
        <v>4872</v>
      </c>
      <c r="L1850">
        <v>46295</v>
      </c>
      <c r="M1850">
        <v>98670</v>
      </c>
      <c r="N1850">
        <v>30</v>
      </c>
      <c r="O1850">
        <v>46294</v>
      </c>
      <c r="P1850">
        <v>152</v>
      </c>
    </row>
    <row r="1851" spans="1:16" x14ac:dyDescent="0.4">
      <c r="A1851">
        <v>1871</v>
      </c>
      <c r="B1851" t="s">
        <v>4915</v>
      </c>
      <c r="G1851" t="s">
        <v>2842</v>
      </c>
      <c r="H1851" t="s">
        <v>2841</v>
      </c>
      <c r="I1851">
        <v>185</v>
      </c>
      <c r="K1851" t="s">
        <v>4869</v>
      </c>
      <c r="L1851">
        <v>46295</v>
      </c>
      <c r="M1851">
        <v>98670</v>
      </c>
      <c r="N1851">
        <v>30</v>
      </c>
      <c r="O1851">
        <v>46294</v>
      </c>
      <c r="P1851">
        <v>155</v>
      </c>
    </row>
    <row r="1852" spans="1:16" x14ac:dyDescent="0.4">
      <c r="A1852">
        <v>1872</v>
      </c>
      <c r="B1852" t="s">
        <v>4915</v>
      </c>
      <c r="G1852" t="s">
        <v>2786</v>
      </c>
      <c r="H1852" t="s">
        <v>2785</v>
      </c>
      <c r="I1852">
        <v>196</v>
      </c>
      <c r="K1852" t="s">
        <v>4949</v>
      </c>
      <c r="L1852">
        <v>46295</v>
      </c>
      <c r="M1852">
        <v>98670</v>
      </c>
      <c r="N1852">
        <v>30</v>
      </c>
      <c r="O1852">
        <v>46294</v>
      </c>
      <c r="P1852">
        <v>166</v>
      </c>
    </row>
    <row r="1853" spans="1:16" x14ac:dyDescent="0.4">
      <c r="A1853">
        <v>2174</v>
      </c>
      <c r="B1853" t="s">
        <v>4915</v>
      </c>
      <c r="G1853" t="s">
        <v>2750</v>
      </c>
      <c r="H1853" t="s">
        <v>2749</v>
      </c>
      <c r="I1853">
        <v>204</v>
      </c>
      <c r="K1853" t="s">
        <v>4872</v>
      </c>
      <c r="L1853">
        <v>46275</v>
      </c>
      <c r="M1853">
        <v>98670</v>
      </c>
      <c r="N1853">
        <v>30</v>
      </c>
      <c r="O1853">
        <v>46294</v>
      </c>
      <c r="P1853">
        <v>174</v>
      </c>
    </row>
    <row r="1854" spans="1:16" x14ac:dyDescent="0.4">
      <c r="A1854">
        <v>2506</v>
      </c>
      <c r="B1854" t="s">
        <v>4915</v>
      </c>
      <c r="G1854" t="s">
        <v>2638</v>
      </c>
      <c r="H1854" t="s">
        <v>2637</v>
      </c>
      <c r="I1854">
        <v>220</v>
      </c>
      <c r="K1854" t="s">
        <v>4869</v>
      </c>
      <c r="L1854">
        <v>46297</v>
      </c>
      <c r="M1854">
        <v>98670</v>
      </c>
      <c r="N1854">
        <v>30</v>
      </c>
      <c r="O1854">
        <v>46297</v>
      </c>
      <c r="P1854">
        <v>190</v>
      </c>
    </row>
    <row r="1855" spans="1:16" x14ac:dyDescent="0.4">
      <c r="A1855">
        <v>1874</v>
      </c>
      <c r="B1855" t="s">
        <v>4915</v>
      </c>
      <c r="G1855" t="s">
        <v>1167</v>
      </c>
      <c r="H1855" t="s">
        <v>1166</v>
      </c>
      <c r="I1855">
        <v>279</v>
      </c>
      <c r="K1855" t="s">
        <v>4952</v>
      </c>
      <c r="L1855">
        <v>46295</v>
      </c>
      <c r="M1855">
        <v>98670</v>
      </c>
      <c r="N1855">
        <v>30</v>
      </c>
      <c r="O1855">
        <v>46294</v>
      </c>
      <c r="P1855">
        <v>249</v>
      </c>
    </row>
    <row r="1856" spans="1:16" x14ac:dyDescent="0.4">
      <c r="A1856">
        <v>1875</v>
      </c>
      <c r="B1856" t="s">
        <v>4915</v>
      </c>
      <c r="G1856" t="s">
        <v>1173</v>
      </c>
      <c r="H1856" t="s">
        <v>1172</v>
      </c>
      <c r="I1856">
        <v>284</v>
      </c>
      <c r="K1856" t="s">
        <v>4952</v>
      </c>
      <c r="L1856">
        <v>46295</v>
      </c>
      <c r="M1856">
        <v>98670</v>
      </c>
      <c r="N1856">
        <v>30</v>
      </c>
      <c r="O1856">
        <v>46294</v>
      </c>
      <c r="P1856">
        <v>254</v>
      </c>
    </row>
    <row r="1857" spans="1:16" x14ac:dyDescent="0.4">
      <c r="A1857">
        <v>1876</v>
      </c>
      <c r="B1857" t="s">
        <v>4915</v>
      </c>
      <c r="G1857" t="s">
        <v>2774</v>
      </c>
      <c r="H1857" t="s">
        <v>2773</v>
      </c>
      <c r="I1857">
        <v>305</v>
      </c>
      <c r="K1857" t="s">
        <v>4949</v>
      </c>
      <c r="L1857">
        <v>46295</v>
      </c>
      <c r="M1857">
        <v>98670</v>
      </c>
      <c r="N1857">
        <v>30</v>
      </c>
      <c r="O1857">
        <v>46294</v>
      </c>
      <c r="P1857">
        <v>275</v>
      </c>
    </row>
    <row r="1858" spans="1:16" x14ac:dyDescent="0.4">
      <c r="A1858">
        <v>1877</v>
      </c>
      <c r="B1858" t="s">
        <v>4915</v>
      </c>
      <c r="G1858" t="s">
        <v>1009</v>
      </c>
      <c r="H1858" t="s">
        <v>1008</v>
      </c>
      <c r="I1858">
        <v>504</v>
      </c>
      <c r="K1858" t="s">
        <v>4851</v>
      </c>
      <c r="L1858">
        <v>46295</v>
      </c>
      <c r="M1858">
        <v>98670</v>
      </c>
      <c r="N1858">
        <v>30</v>
      </c>
      <c r="O1858">
        <v>46294</v>
      </c>
      <c r="P1858">
        <v>474</v>
      </c>
    </row>
    <row r="1859" spans="1:16" x14ac:dyDescent="0.4">
      <c r="A1859">
        <v>1401</v>
      </c>
      <c r="B1859" t="s">
        <v>4915</v>
      </c>
      <c r="G1859" t="s">
        <v>727</v>
      </c>
      <c r="H1859" t="s">
        <v>4969</v>
      </c>
      <c r="I1859">
        <v>1</v>
      </c>
      <c r="K1859" t="s">
        <v>4851</v>
      </c>
      <c r="L1859">
        <v>46283</v>
      </c>
      <c r="M1859">
        <v>98671</v>
      </c>
      <c r="N1859">
        <v>1</v>
      </c>
      <c r="O1859">
        <v>46295</v>
      </c>
      <c r="P1859">
        <v>0</v>
      </c>
    </row>
    <row r="1860" spans="1:16" x14ac:dyDescent="0.4">
      <c r="A1860">
        <v>1623</v>
      </c>
      <c r="B1860" t="s">
        <v>4915</v>
      </c>
      <c r="G1860" t="s">
        <v>1199</v>
      </c>
      <c r="H1860" t="s">
        <v>1198</v>
      </c>
      <c r="I1860">
        <v>30</v>
      </c>
      <c r="K1860" t="s">
        <v>4966</v>
      </c>
      <c r="L1860">
        <v>46282</v>
      </c>
      <c r="M1860">
        <v>98671</v>
      </c>
      <c r="N1860">
        <v>30</v>
      </c>
      <c r="O1860">
        <v>46295</v>
      </c>
      <c r="P1860">
        <v>0</v>
      </c>
    </row>
    <row r="1861" spans="1:16" x14ac:dyDescent="0.4">
      <c r="A1861">
        <v>1878</v>
      </c>
      <c r="B1861" t="s">
        <v>4915</v>
      </c>
      <c r="D1861" t="s">
        <v>4901</v>
      </c>
      <c r="E1861" t="s">
        <v>5148</v>
      </c>
      <c r="F1861" t="s">
        <v>4939</v>
      </c>
      <c r="G1861" t="s">
        <v>727</v>
      </c>
      <c r="H1861" t="s">
        <v>4969</v>
      </c>
      <c r="I1861">
        <v>45</v>
      </c>
      <c r="K1861" t="s">
        <v>4851</v>
      </c>
      <c r="L1861">
        <v>46293</v>
      </c>
      <c r="M1861">
        <v>98671</v>
      </c>
      <c r="N1861">
        <v>29</v>
      </c>
      <c r="O1861">
        <v>46295</v>
      </c>
      <c r="P1861">
        <v>16</v>
      </c>
    </row>
    <row r="1862" spans="1:16" x14ac:dyDescent="0.4">
      <c r="A1862">
        <v>1625</v>
      </c>
      <c r="B1862" t="s">
        <v>4915</v>
      </c>
      <c r="G1862" t="s">
        <v>628</v>
      </c>
      <c r="H1862" t="s">
        <v>627</v>
      </c>
      <c r="I1862">
        <v>88</v>
      </c>
      <c r="K1862" t="s">
        <v>4965</v>
      </c>
      <c r="L1862">
        <v>46282</v>
      </c>
      <c r="M1862">
        <v>98671</v>
      </c>
      <c r="N1862">
        <v>30</v>
      </c>
      <c r="O1862">
        <v>46295</v>
      </c>
      <c r="P1862">
        <v>58</v>
      </c>
    </row>
    <row r="1863" spans="1:16" x14ac:dyDescent="0.4">
      <c r="A1863">
        <v>1100</v>
      </c>
      <c r="B1863" t="s">
        <v>4915</v>
      </c>
      <c r="D1863" t="s">
        <v>4916</v>
      </c>
      <c r="G1863" t="s">
        <v>2622</v>
      </c>
      <c r="H1863" t="s">
        <v>2621</v>
      </c>
      <c r="I1863">
        <v>91</v>
      </c>
      <c r="K1863" t="s">
        <v>5036</v>
      </c>
      <c r="L1863">
        <v>46276</v>
      </c>
      <c r="M1863">
        <v>98671</v>
      </c>
      <c r="N1863">
        <v>30</v>
      </c>
      <c r="O1863">
        <v>46295</v>
      </c>
      <c r="P1863">
        <v>61</v>
      </c>
    </row>
    <row r="1864" spans="1:16" x14ac:dyDescent="0.4">
      <c r="A1864">
        <v>1611</v>
      </c>
      <c r="B1864" t="s">
        <v>4915</v>
      </c>
      <c r="G1864" t="s">
        <v>1854</v>
      </c>
      <c r="H1864" t="s">
        <v>1853</v>
      </c>
      <c r="I1864">
        <v>124</v>
      </c>
      <c r="K1864" t="s">
        <v>4866</v>
      </c>
      <c r="L1864">
        <v>46280</v>
      </c>
      <c r="M1864">
        <v>98671</v>
      </c>
      <c r="N1864">
        <v>30</v>
      </c>
      <c r="O1864">
        <v>46295</v>
      </c>
      <c r="P1864">
        <v>94</v>
      </c>
    </row>
    <row r="1865" spans="1:16" x14ac:dyDescent="0.4">
      <c r="A1865">
        <v>1626</v>
      </c>
      <c r="B1865" t="s">
        <v>4915</v>
      </c>
      <c r="G1865" t="s">
        <v>2809</v>
      </c>
      <c r="H1865" t="s">
        <v>2808</v>
      </c>
      <c r="I1865">
        <v>171</v>
      </c>
      <c r="K1865" t="s">
        <v>4869</v>
      </c>
      <c r="L1865">
        <v>46282</v>
      </c>
      <c r="M1865">
        <v>98671</v>
      </c>
      <c r="N1865">
        <v>30</v>
      </c>
      <c r="O1865">
        <v>46295</v>
      </c>
      <c r="P1865">
        <v>141</v>
      </c>
    </row>
    <row r="1866" spans="1:16" x14ac:dyDescent="0.4">
      <c r="A1866">
        <v>1102</v>
      </c>
      <c r="B1866" t="s">
        <v>4915</v>
      </c>
      <c r="D1866" t="s">
        <v>4916</v>
      </c>
      <c r="G1866" t="s">
        <v>1562</v>
      </c>
      <c r="H1866" t="s">
        <v>1561</v>
      </c>
      <c r="I1866">
        <v>178</v>
      </c>
      <c r="K1866" t="s">
        <v>4968</v>
      </c>
      <c r="L1866">
        <v>46276</v>
      </c>
      <c r="M1866">
        <v>98671</v>
      </c>
      <c r="N1866">
        <v>30</v>
      </c>
      <c r="O1866">
        <v>46295</v>
      </c>
      <c r="P1866">
        <v>148</v>
      </c>
    </row>
    <row r="1867" spans="1:16" x14ac:dyDescent="0.4">
      <c r="A1867">
        <v>1619</v>
      </c>
      <c r="B1867" t="s">
        <v>4915</v>
      </c>
      <c r="G1867" t="s">
        <v>658</v>
      </c>
      <c r="H1867" t="s">
        <v>657</v>
      </c>
      <c r="I1867">
        <v>184</v>
      </c>
      <c r="K1867" t="s">
        <v>4967</v>
      </c>
      <c r="L1867">
        <v>46280</v>
      </c>
      <c r="M1867">
        <v>98671</v>
      </c>
      <c r="N1867">
        <v>30</v>
      </c>
      <c r="O1867">
        <v>46295</v>
      </c>
      <c r="P1867">
        <v>154</v>
      </c>
    </row>
    <row r="1868" spans="1:16" x14ac:dyDescent="0.4">
      <c r="A1868">
        <v>1627</v>
      </c>
      <c r="B1868" t="s">
        <v>4915</v>
      </c>
      <c r="G1868" t="s">
        <v>1159</v>
      </c>
      <c r="H1868" t="s">
        <v>1158</v>
      </c>
      <c r="I1868">
        <v>201</v>
      </c>
      <c r="K1868" t="s">
        <v>4970</v>
      </c>
      <c r="L1868">
        <v>46282</v>
      </c>
      <c r="M1868">
        <v>98671</v>
      </c>
      <c r="N1868">
        <v>60</v>
      </c>
      <c r="O1868">
        <v>46295</v>
      </c>
      <c r="P1868">
        <v>141</v>
      </c>
    </row>
    <row r="1869" spans="1:16" x14ac:dyDescent="0.4">
      <c r="A1869">
        <v>1628</v>
      </c>
      <c r="B1869" t="s">
        <v>4915</v>
      </c>
      <c r="G1869" t="s">
        <v>1001</v>
      </c>
      <c r="H1869" t="s">
        <v>1000</v>
      </c>
      <c r="I1869">
        <v>266</v>
      </c>
      <c r="K1869" t="s">
        <v>4851</v>
      </c>
      <c r="L1869">
        <v>46282</v>
      </c>
      <c r="M1869">
        <v>98671</v>
      </c>
      <c r="N1869">
        <v>30</v>
      </c>
      <c r="O1869">
        <v>46295</v>
      </c>
      <c r="P1869">
        <v>236</v>
      </c>
    </row>
    <row r="1870" spans="1:16" x14ac:dyDescent="0.4">
      <c r="A1870">
        <v>1614</v>
      </c>
      <c r="B1870" t="s">
        <v>4915</v>
      </c>
      <c r="G1870" t="s">
        <v>1389</v>
      </c>
      <c r="H1870" t="s">
        <v>1388</v>
      </c>
      <c r="I1870">
        <v>324</v>
      </c>
      <c r="K1870" t="s">
        <v>4968</v>
      </c>
      <c r="L1870">
        <v>46280</v>
      </c>
      <c r="M1870">
        <v>98671</v>
      </c>
      <c r="N1870">
        <v>30</v>
      </c>
      <c r="O1870">
        <v>46295</v>
      </c>
      <c r="P1870">
        <v>294</v>
      </c>
    </row>
    <row r="1871" spans="1:16" x14ac:dyDescent="0.4">
      <c r="A1871">
        <v>1613</v>
      </c>
      <c r="B1871" t="s">
        <v>4915</v>
      </c>
      <c r="G1871" t="s">
        <v>1387</v>
      </c>
      <c r="H1871" t="s">
        <v>1386</v>
      </c>
      <c r="I1871">
        <v>408</v>
      </c>
      <c r="K1871" t="s">
        <v>4968</v>
      </c>
      <c r="L1871">
        <v>46280</v>
      </c>
      <c r="M1871">
        <v>98671</v>
      </c>
      <c r="N1871">
        <v>30</v>
      </c>
      <c r="O1871">
        <v>46295</v>
      </c>
      <c r="P1871">
        <v>378</v>
      </c>
    </row>
    <row r="1872" spans="1:16" x14ac:dyDescent="0.4">
      <c r="A1872">
        <v>1629</v>
      </c>
      <c r="B1872" t="s">
        <v>4915</v>
      </c>
      <c r="G1872" t="s">
        <v>1146</v>
      </c>
      <c r="H1872" t="s">
        <v>1145</v>
      </c>
      <c r="I1872">
        <v>418</v>
      </c>
      <c r="K1872" t="s">
        <v>4871</v>
      </c>
      <c r="L1872">
        <v>46282</v>
      </c>
      <c r="M1872">
        <v>98671</v>
      </c>
      <c r="N1872">
        <v>30</v>
      </c>
      <c r="O1872">
        <v>46295</v>
      </c>
      <c r="P1872">
        <v>388</v>
      </c>
    </row>
    <row r="1873" spans="1:16" x14ac:dyDescent="0.4">
      <c r="A1873">
        <v>1616</v>
      </c>
      <c r="B1873" t="s">
        <v>4915</v>
      </c>
      <c r="G1873" t="s">
        <v>1587</v>
      </c>
      <c r="H1873" t="s">
        <v>1586</v>
      </c>
      <c r="I1873">
        <v>510</v>
      </c>
      <c r="K1873" t="s">
        <v>4970</v>
      </c>
      <c r="L1873">
        <v>46280</v>
      </c>
      <c r="M1873">
        <v>98671</v>
      </c>
      <c r="N1873">
        <v>60</v>
      </c>
      <c r="O1873">
        <v>46295</v>
      </c>
      <c r="P1873">
        <v>450</v>
      </c>
    </row>
    <row r="1874" spans="1:16" x14ac:dyDescent="0.4">
      <c r="A1874">
        <v>1101</v>
      </c>
      <c r="B1874" t="s">
        <v>4915</v>
      </c>
      <c r="D1874" t="s">
        <v>4916</v>
      </c>
      <c r="G1874" t="s">
        <v>2503</v>
      </c>
      <c r="H1874" t="s">
        <v>2502</v>
      </c>
      <c r="I1874">
        <v>600</v>
      </c>
      <c r="K1874" t="s">
        <v>4970</v>
      </c>
      <c r="L1874">
        <v>46276</v>
      </c>
      <c r="M1874">
        <v>98671</v>
      </c>
      <c r="N1874">
        <v>120</v>
      </c>
      <c r="O1874">
        <v>46295</v>
      </c>
      <c r="P1874">
        <v>480</v>
      </c>
    </row>
    <row r="1875" spans="1:16" x14ac:dyDescent="0.4">
      <c r="A1875">
        <v>518</v>
      </c>
      <c r="B1875" t="s">
        <v>4915</v>
      </c>
      <c r="G1875" t="s">
        <v>3966</v>
      </c>
      <c r="H1875" t="s">
        <v>3965</v>
      </c>
      <c r="I1875">
        <v>720</v>
      </c>
      <c r="K1875" t="s">
        <v>3967</v>
      </c>
      <c r="L1875">
        <v>46268</v>
      </c>
      <c r="M1875">
        <v>98675</v>
      </c>
      <c r="N1875">
        <v>1</v>
      </c>
      <c r="O1875">
        <v>46280</v>
      </c>
      <c r="P1875">
        <v>719</v>
      </c>
    </row>
    <row r="1876" spans="1:16" x14ac:dyDescent="0.4">
      <c r="A1876">
        <v>2210</v>
      </c>
      <c r="B1876" t="s">
        <v>4915</v>
      </c>
      <c r="G1876" t="s">
        <v>1054</v>
      </c>
      <c r="H1876" t="s">
        <v>1053</v>
      </c>
      <c r="I1876">
        <v>6</v>
      </c>
      <c r="K1876" t="s">
        <v>4992</v>
      </c>
      <c r="L1876">
        <v>46294</v>
      </c>
      <c r="M1876">
        <v>98677</v>
      </c>
      <c r="N1876">
        <v>6</v>
      </c>
      <c r="O1876">
        <v>46295</v>
      </c>
      <c r="P1876">
        <v>0</v>
      </c>
    </row>
    <row r="1877" spans="1:16" x14ac:dyDescent="0.4">
      <c r="A1877">
        <v>2515</v>
      </c>
      <c r="B1877" t="s">
        <v>4915</v>
      </c>
      <c r="G1877" t="s">
        <v>4971</v>
      </c>
      <c r="H1877" t="s">
        <v>4972</v>
      </c>
      <c r="I1877">
        <v>35</v>
      </c>
      <c r="K1877" t="s">
        <v>4973</v>
      </c>
      <c r="L1877">
        <v>46296</v>
      </c>
      <c r="M1877">
        <v>98677</v>
      </c>
      <c r="N1877">
        <v>10</v>
      </c>
      <c r="O1877">
        <v>46296</v>
      </c>
      <c r="P1877">
        <v>25</v>
      </c>
    </row>
    <row r="1878" spans="1:16" x14ac:dyDescent="0.4">
      <c r="A1878">
        <v>2006</v>
      </c>
      <c r="B1878" t="s">
        <v>4915</v>
      </c>
      <c r="G1878" t="s">
        <v>847</v>
      </c>
      <c r="H1878" t="s">
        <v>846</v>
      </c>
      <c r="I1878">
        <v>47</v>
      </c>
      <c r="K1878" t="s">
        <v>4958</v>
      </c>
      <c r="L1878">
        <v>46294</v>
      </c>
      <c r="M1878">
        <v>98677</v>
      </c>
      <c r="N1878">
        <v>10</v>
      </c>
      <c r="O1878">
        <v>46295</v>
      </c>
      <c r="P1878">
        <v>37</v>
      </c>
    </row>
    <row r="1879" spans="1:16" x14ac:dyDescent="0.4">
      <c r="A1879">
        <v>1803</v>
      </c>
      <c r="B1879" t="s">
        <v>4915</v>
      </c>
      <c r="G1879" t="s">
        <v>773</v>
      </c>
      <c r="H1879" t="s">
        <v>772</v>
      </c>
      <c r="I1879">
        <v>48</v>
      </c>
      <c r="K1879" t="s">
        <v>4996</v>
      </c>
      <c r="L1879">
        <v>46294</v>
      </c>
      <c r="M1879">
        <v>98677</v>
      </c>
      <c r="N1879">
        <v>10</v>
      </c>
      <c r="O1879">
        <v>46295</v>
      </c>
      <c r="P1879">
        <v>38</v>
      </c>
    </row>
    <row r="1880" spans="1:16" x14ac:dyDescent="0.4">
      <c r="A1880">
        <v>1812</v>
      </c>
      <c r="B1880" t="s">
        <v>4915</v>
      </c>
      <c r="G1880" t="s">
        <v>2771</v>
      </c>
      <c r="H1880" t="s">
        <v>2770</v>
      </c>
      <c r="I1880">
        <v>50</v>
      </c>
      <c r="K1880" t="s">
        <v>4949</v>
      </c>
      <c r="L1880">
        <v>46294</v>
      </c>
      <c r="M1880">
        <v>98677</v>
      </c>
      <c r="N1880">
        <v>10</v>
      </c>
      <c r="O1880">
        <v>46295</v>
      </c>
      <c r="P1880">
        <v>40</v>
      </c>
    </row>
    <row r="1881" spans="1:16" x14ac:dyDescent="0.4">
      <c r="A1881">
        <v>1813</v>
      </c>
      <c r="B1881" t="s">
        <v>4915</v>
      </c>
      <c r="G1881" t="s">
        <v>1043</v>
      </c>
      <c r="H1881" t="s">
        <v>1042</v>
      </c>
      <c r="I1881">
        <v>72</v>
      </c>
      <c r="K1881" t="s">
        <v>4995</v>
      </c>
      <c r="L1881">
        <v>46294</v>
      </c>
      <c r="M1881">
        <v>98677</v>
      </c>
      <c r="N1881">
        <v>10</v>
      </c>
      <c r="O1881">
        <v>46295</v>
      </c>
      <c r="P1881">
        <v>62</v>
      </c>
    </row>
    <row r="1882" spans="1:16" x14ac:dyDescent="0.4">
      <c r="A1882">
        <v>2172</v>
      </c>
      <c r="B1882" t="s">
        <v>4915</v>
      </c>
      <c r="G1882" t="s">
        <v>716</v>
      </c>
      <c r="H1882" t="s">
        <v>4974</v>
      </c>
      <c r="I1882">
        <v>75</v>
      </c>
      <c r="K1882" t="s">
        <v>4975</v>
      </c>
      <c r="L1882">
        <v>46275</v>
      </c>
      <c r="M1882">
        <v>98677</v>
      </c>
      <c r="N1882">
        <v>10</v>
      </c>
      <c r="O1882">
        <v>46295</v>
      </c>
      <c r="P1882">
        <v>65</v>
      </c>
    </row>
    <row r="1883" spans="1:16" x14ac:dyDescent="0.4">
      <c r="A1883">
        <v>2212</v>
      </c>
      <c r="B1883" t="s">
        <v>4915</v>
      </c>
      <c r="G1883" t="s">
        <v>985</v>
      </c>
      <c r="H1883" t="s">
        <v>984</v>
      </c>
      <c r="I1883">
        <v>77</v>
      </c>
      <c r="K1883" t="s">
        <v>4932</v>
      </c>
      <c r="L1883">
        <v>46294</v>
      </c>
      <c r="M1883">
        <v>98677</v>
      </c>
      <c r="N1883">
        <v>10</v>
      </c>
      <c r="O1883">
        <v>46295</v>
      </c>
      <c r="P1883">
        <v>67</v>
      </c>
    </row>
    <row r="1884" spans="1:16" x14ac:dyDescent="0.4">
      <c r="A1884">
        <v>2213</v>
      </c>
      <c r="B1884" t="s">
        <v>4915</v>
      </c>
      <c r="G1884" t="s">
        <v>1057</v>
      </c>
      <c r="H1884" t="s">
        <v>1056</v>
      </c>
      <c r="I1884">
        <v>83</v>
      </c>
      <c r="K1884" t="s">
        <v>4991</v>
      </c>
      <c r="L1884">
        <v>46294</v>
      </c>
      <c r="M1884">
        <v>98677</v>
      </c>
      <c r="N1884">
        <v>10</v>
      </c>
      <c r="O1884">
        <v>46295</v>
      </c>
      <c r="P1884">
        <v>73</v>
      </c>
    </row>
    <row r="1885" spans="1:16" x14ac:dyDescent="0.4">
      <c r="A1885">
        <v>1818</v>
      </c>
      <c r="B1885" t="s">
        <v>4915</v>
      </c>
      <c r="G1885" t="s">
        <v>699</v>
      </c>
      <c r="H1885" t="s">
        <v>4976</v>
      </c>
      <c r="I1885">
        <v>85</v>
      </c>
      <c r="K1885" t="s">
        <v>4975</v>
      </c>
      <c r="L1885">
        <v>46294</v>
      </c>
      <c r="M1885">
        <v>98677</v>
      </c>
      <c r="N1885">
        <v>10</v>
      </c>
      <c r="O1885">
        <v>46295</v>
      </c>
      <c r="P1885">
        <v>75</v>
      </c>
    </row>
    <row r="1886" spans="1:16" x14ac:dyDescent="0.4">
      <c r="A1886">
        <v>1814</v>
      </c>
      <c r="B1886" t="s">
        <v>4915</v>
      </c>
      <c r="G1886" t="s">
        <v>696</v>
      </c>
      <c r="H1886" t="s">
        <v>4980</v>
      </c>
      <c r="I1886">
        <v>87</v>
      </c>
      <c r="K1886" t="s">
        <v>4981</v>
      </c>
      <c r="L1886">
        <v>46294</v>
      </c>
      <c r="M1886">
        <v>98677</v>
      </c>
      <c r="N1886">
        <v>10</v>
      </c>
      <c r="O1886">
        <v>46295</v>
      </c>
      <c r="P1886">
        <v>77</v>
      </c>
    </row>
    <row r="1887" spans="1:16" x14ac:dyDescent="0.4">
      <c r="A1887">
        <v>2209</v>
      </c>
      <c r="B1887" t="s">
        <v>4915</v>
      </c>
      <c r="G1887" t="s">
        <v>842</v>
      </c>
      <c r="H1887" t="s">
        <v>841</v>
      </c>
      <c r="I1887">
        <v>96</v>
      </c>
      <c r="K1887" t="s">
        <v>4998</v>
      </c>
      <c r="L1887">
        <v>46294</v>
      </c>
      <c r="M1887">
        <v>98677</v>
      </c>
      <c r="N1887">
        <v>10</v>
      </c>
      <c r="O1887">
        <v>46295</v>
      </c>
      <c r="P1887">
        <v>86</v>
      </c>
    </row>
    <row r="1888" spans="1:16" x14ac:dyDescent="0.4">
      <c r="A1888">
        <v>2214</v>
      </c>
      <c r="B1888" t="s">
        <v>4915</v>
      </c>
      <c r="G1888" t="s">
        <v>880</v>
      </c>
      <c r="H1888" t="s">
        <v>879</v>
      </c>
      <c r="I1888">
        <v>101</v>
      </c>
      <c r="K1888" t="s">
        <v>4988</v>
      </c>
      <c r="L1888">
        <v>46294</v>
      </c>
      <c r="M1888">
        <v>98677</v>
      </c>
      <c r="N1888">
        <v>10</v>
      </c>
      <c r="O1888">
        <v>46295</v>
      </c>
      <c r="P1888">
        <v>91</v>
      </c>
    </row>
    <row r="1889" spans="1:16" x14ac:dyDescent="0.4">
      <c r="A1889">
        <v>1816</v>
      </c>
      <c r="B1889" t="s">
        <v>4915</v>
      </c>
      <c r="G1889" t="s">
        <v>709</v>
      </c>
      <c r="H1889" t="s">
        <v>708</v>
      </c>
      <c r="I1889">
        <v>116</v>
      </c>
      <c r="K1889" t="s">
        <v>4985</v>
      </c>
      <c r="L1889">
        <v>46294</v>
      </c>
      <c r="M1889">
        <v>98677</v>
      </c>
      <c r="N1889">
        <v>10</v>
      </c>
      <c r="O1889">
        <v>46295</v>
      </c>
      <c r="P1889">
        <v>106</v>
      </c>
    </row>
    <row r="1890" spans="1:16" x14ac:dyDescent="0.4">
      <c r="A1890">
        <v>1820</v>
      </c>
      <c r="B1890" t="s">
        <v>4915</v>
      </c>
      <c r="G1890" t="s">
        <v>5156</v>
      </c>
      <c r="H1890" t="s">
        <v>701</v>
      </c>
      <c r="I1890">
        <v>116</v>
      </c>
      <c r="K1890" t="s">
        <v>4985</v>
      </c>
      <c r="L1890">
        <v>46294</v>
      </c>
      <c r="M1890">
        <v>98677</v>
      </c>
      <c r="N1890">
        <v>10</v>
      </c>
      <c r="O1890">
        <v>46295</v>
      </c>
      <c r="P1890">
        <v>106</v>
      </c>
    </row>
    <row r="1891" spans="1:16" x14ac:dyDescent="0.4">
      <c r="A1891">
        <v>1819</v>
      </c>
      <c r="B1891" t="s">
        <v>4915</v>
      </c>
      <c r="G1891" t="s">
        <v>777</v>
      </c>
      <c r="H1891" t="s">
        <v>776</v>
      </c>
      <c r="I1891">
        <v>124</v>
      </c>
      <c r="K1891" t="s">
        <v>4986</v>
      </c>
      <c r="L1891">
        <v>46294</v>
      </c>
      <c r="M1891">
        <v>98677</v>
      </c>
      <c r="N1891">
        <v>10</v>
      </c>
      <c r="O1891">
        <v>46295</v>
      </c>
      <c r="P1891">
        <v>114</v>
      </c>
    </row>
    <row r="1892" spans="1:16" x14ac:dyDescent="0.4">
      <c r="A1892">
        <v>2207</v>
      </c>
      <c r="B1892" t="s">
        <v>4915</v>
      </c>
      <c r="G1892" t="s">
        <v>840</v>
      </c>
      <c r="H1892" t="s">
        <v>839</v>
      </c>
      <c r="I1892">
        <v>136</v>
      </c>
      <c r="K1892" t="s">
        <v>4740</v>
      </c>
      <c r="L1892">
        <v>46294</v>
      </c>
      <c r="M1892">
        <v>98677</v>
      </c>
      <c r="N1892">
        <v>10</v>
      </c>
      <c r="O1892">
        <v>46295</v>
      </c>
      <c r="P1892">
        <v>126</v>
      </c>
    </row>
    <row r="1893" spans="1:16" x14ac:dyDescent="0.4">
      <c r="A1893">
        <v>1822</v>
      </c>
      <c r="B1893" t="s">
        <v>4915</v>
      </c>
      <c r="G1893" t="s">
        <v>782</v>
      </c>
      <c r="H1893" t="s">
        <v>781</v>
      </c>
      <c r="I1893">
        <v>145</v>
      </c>
      <c r="K1893" t="s">
        <v>4987</v>
      </c>
      <c r="L1893">
        <v>46294</v>
      </c>
      <c r="M1893">
        <v>98677</v>
      </c>
      <c r="N1893">
        <v>10</v>
      </c>
      <c r="O1893">
        <v>46295</v>
      </c>
      <c r="P1893">
        <v>135</v>
      </c>
    </row>
    <row r="1894" spans="1:16" x14ac:dyDescent="0.4">
      <c r="A1894">
        <v>1823</v>
      </c>
      <c r="B1894" t="s">
        <v>4915</v>
      </c>
      <c r="G1894" t="s">
        <v>664</v>
      </c>
      <c r="H1894" t="s">
        <v>663</v>
      </c>
      <c r="I1894">
        <v>146</v>
      </c>
      <c r="K1894" t="s">
        <v>4985</v>
      </c>
      <c r="L1894">
        <v>46294</v>
      </c>
      <c r="M1894">
        <v>98677</v>
      </c>
      <c r="N1894">
        <v>10</v>
      </c>
      <c r="O1894">
        <v>46295</v>
      </c>
      <c r="P1894">
        <v>136</v>
      </c>
    </row>
    <row r="1895" spans="1:16" x14ac:dyDescent="0.4">
      <c r="A1895">
        <v>2215</v>
      </c>
      <c r="B1895" t="s">
        <v>4915</v>
      </c>
      <c r="G1895" t="s">
        <v>877</v>
      </c>
      <c r="H1895" t="s">
        <v>876</v>
      </c>
      <c r="I1895">
        <v>151</v>
      </c>
      <c r="K1895" t="s">
        <v>4988</v>
      </c>
      <c r="L1895">
        <v>46294</v>
      </c>
      <c r="M1895">
        <v>98677</v>
      </c>
      <c r="N1895">
        <v>10</v>
      </c>
      <c r="O1895">
        <v>46295</v>
      </c>
      <c r="P1895">
        <v>141</v>
      </c>
    </row>
    <row r="1896" spans="1:16" x14ac:dyDescent="0.4">
      <c r="A1896">
        <v>2219</v>
      </c>
      <c r="B1896" t="s">
        <v>4915</v>
      </c>
      <c r="D1896" t="s">
        <v>4901</v>
      </c>
      <c r="E1896" t="s">
        <v>5167</v>
      </c>
      <c r="F1896" t="s">
        <v>4937</v>
      </c>
      <c r="G1896" t="s">
        <v>1054</v>
      </c>
      <c r="H1896" t="s">
        <v>1053</v>
      </c>
      <c r="I1896">
        <v>154</v>
      </c>
      <c r="K1896" t="s">
        <v>4992</v>
      </c>
      <c r="L1896">
        <v>46293</v>
      </c>
      <c r="M1896">
        <v>98677</v>
      </c>
      <c r="N1896">
        <v>4</v>
      </c>
      <c r="O1896">
        <v>46295</v>
      </c>
      <c r="P1896">
        <v>150</v>
      </c>
    </row>
    <row r="1897" spans="1:16" x14ac:dyDescent="0.4">
      <c r="A1897">
        <v>2216</v>
      </c>
      <c r="B1897" t="s">
        <v>4915</v>
      </c>
      <c r="G1897" t="s">
        <v>967</v>
      </c>
      <c r="H1897" t="s">
        <v>966</v>
      </c>
      <c r="I1897">
        <v>175</v>
      </c>
      <c r="K1897" t="s">
        <v>4965</v>
      </c>
      <c r="L1897">
        <v>46294</v>
      </c>
      <c r="M1897">
        <v>98677</v>
      </c>
      <c r="N1897">
        <v>20</v>
      </c>
      <c r="O1897">
        <v>46295</v>
      </c>
      <c r="P1897">
        <v>155</v>
      </c>
    </row>
    <row r="1898" spans="1:16" x14ac:dyDescent="0.4">
      <c r="A1898">
        <v>1806</v>
      </c>
      <c r="B1898" t="s">
        <v>4915</v>
      </c>
      <c r="G1898" t="s">
        <v>639</v>
      </c>
      <c r="H1898" t="s">
        <v>638</v>
      </c>
      <c r="I1898">
        <v>180</v>
      </c>
      <c r="K1898" t="s">
        <v>4984</v>
      </c>
      <c r="L1898">
        <v>46294</v>
      </c>
      <c r="M1898">
        <v>98677</v>
      </c>
      <c r="N1898">
        <v>10</v>
      </c>
      <c r="O1898">
        <v>46295</v>
      </c>
      <c r="P1898">
        <v>170</v>
      </c>
    </row>
    <row r="1899" spans="1:16" x14ac:dyDescent="0.4">
      <c r="A1899">
        <v>2211</v>
      </c>
      <c r="B1899" t="s">
        <v>4915</v>
      </c>
      <c r="G1899" t="s">
        <v>1046</v>
      </c>
      <c r="H1899" t="s">
        <v>1045</v>
      </c>
      <c r="I1899">
        <v>186</v>
      </c>
      <c r="K1899" t="s">
        <v>4990</v>
      </c>
      <c r="L1899">
        <v>46294</v>
      </c>
      <c r="M1899">
        <v>98677</v>
      </c>
      <c r="N1899">
        <v>20</v>
      </c>
      <c r="O1899">
        <v>46295</v>
      </c>
      <c r="P1899">
        <v>166</v>
      </c>
    </row>
    <row r="1900" spans="1:16" x14ac:dyDescent="0.4">
      <c r="A1900">
        <v>1826</v>
      </c>
      <c r="B1900" t="s">
        <v>4915</v>
      </c>
      <c r="G1900" t="s">
        <v>729</v>
      </c>
      <c r="H1900" t="s">
        <v>728</v>
      </c>
      <c r="I1900">
        <v>225</v>
      </c>
      <c r="K1900" t="s">
        <v>4985</v>
      </c>
      <c r="L1900">
        <v>46294</v>
      </c>
      <c r="M1900">
        <v>98677</v>
      </c>
      <c r="N1900">
        <v>10</v>
      </c>
      <c r="O1900">
        <v>46295</v>
      </c>
      <c r="P1900">
        <v>215</v>
      </c>
    </row>
    <row r="1901" spans="1:16" x14ac:dyDescent="0.4">
      <c r="A1901">
        <v>1827</v>
      </c>
      <c r="B1901" t="s">
        <v>4915</v>
      </c>
      <c r="G1901" t="s">
        <v>645</v>
      </c>
      <c r="H1901" t="s">
        <v>4982</v>
      </c>
      <c r="I1901">
        <v>226</v>
      </c>
      <c r="K1901" t="s">
        <v>4983</v>
      </c>
      <c r="L1901">
        <v>46294</v>
      </c>
      <c r="M1901">
        <v>98677</v>
      </c>
      <c r="N1901">
        <v>10</v>
      </c>
      <c r="O1901">
        <v>46295</v>
      </c>
      <c r="P1901">
        <v>216</v>
      </c>
    </row>
    <row r="1902" spans="1:16" x14ac:dyDescent="0.4">
      <c r="A1902">
        <v>1828</v>
      </c>
      <c r="B1902" t="s">
        <v>4915</v>
      </c>
      <c r="G1902" t="s">
        <v>4997</v>
      </c>
      <c r="H1902" t="s">
        <v>624</v>
      </c>
      <c r="I1902">
        <v>254</v>
      </c>
      <c r="K1902" t="s">
        <v>4998</v>
      </c>
      <c r="L1902">
        <v>46294</v>
      </c>
      <c r="M1902">
        <v>98677</v>
      </c>
      <c r="N1902">
        <v>10</v>
      </c>
      <c r="O1902">
        <v>46295</v>
      </c>
      <c r="P1902">
        <v>244</v>
      </c>
    </row>
    <row r="1903" spans="1:16" x14ac:dyDescent="0.4">
      <c r="A1903">
        <v>2218</v>
      </c>
      <c r="B1903" t="s">
        <v>4915</v>
      </c>
      <c r="G1903" t="s">
        <v>884</v>
      </c>
      <c r="H1903" t="s">
        <v>883</v>
      </c>
      <c r="I1903">
        <v>268</v>
      </c>
      <c r="K1903" t="s">
        <v>4943</v>
      </c>
      <c r="L1903">
        <v>46294</v>
      </c>
      <c r="M1903">
        <v>98677</v>
      </c>
      <c r="N1903">
        <v>10</v>
      </c>
      <c r="O1903">
        <v>46295</v>
      </c>
      <c r="P1903">
        <v>258</v>
      </c>
    </row>
    <row r="1904" spans="1:16" x14ac:dyDescent="0.4">
      <c r="A1904">
        <v>1829</v>
      </c>
      <c r="B1904" t="s">
        <v>4915</v>
      </c>
      <c r="G1904" t="s">
        <v>4993</v>
      </c>
      <c r="H1904" t="s">
        <v>2651</v>
      </c>
      <c r="I1904">
        <v>269</v>
      </c>
      <c r="K1904" t="s">
        <v>4948</v>
      </c>
      <c r="L1904">
        <v>46294</v>
      </c>
      <c r="M1904">
        <v>98677</v>
      </c>
      <c r="N1904">
        <v>10</v>
      </c>
      <c r="O1904">
        <v>46295</v>
      </c>
      <c r="P1904">
        <v>259</v>
      </c>
    </row>
    <row r="1905" spans="1:16" x14ac:dyDescent="0.4">
      <c r="A1905">
        <v>1831</v>
      </c>
      <c r="B1905" t="s">
        <v>4915</v>
      </c>
      <c r="G1905" t="s">
        <v>2477</v>
      </c>
      <c r="H1905" t="s">
        <v>2476</v>
      </c>
      <c r="I1905">
        <v>339</v>
      </c>
      <c r="K1905" t="s">
        <v>4943</v>
      </c>
      <c r="L1905">
        <v>46294</v>
      </c>
      <c r="M1905">
        <v>98677</v>
      </c>
      <c r="N1905">
        <v>10</v>
      </c>
      <c r="O1905">
        <v>46295</v>
      </c>
      <c r="P1905">
        <v>329</v>
      </c>
    </row>
    <row r="1906" spans="1:16" x14ac:dyDescent="0.4">
      <c r="A1906">
        <v>1832</v>
      </c>
      <c r="B1906" t="s">
        <v>4915</v>
      </c>
      <c r="G1906" t="s">
        <v>4977</v>
      </c>
      <c r="H1906" t="s">
        <v>4978</v>
      </c>
      <c r="I1906">
        <v>344</v>
      </c>
      <c r="K1906" t="s">
        <v>4979</v>
      </c>
      <c r="L1906">
        <v>46294</v>
      </c>
      <c r="M1906">
        <v>98677</v>
      </c>
      <c r="N1906">
        <v>10</v>
      </c>
      <c r="O1906">
        <v>46295</v>
      </c>
      <c r="P1906">
        <v>334</v>
      </c>
    </row>
    <row r="1907" spans="1:16" x14ac:dyDescent="0.4">
      <c r="A1907">
        <v>1833</v>
      </c>
      <c r="B1907" t="s">
        <v>4915</v>
      </c>
      <c r="G1907" t="s">
        <v>4994</v>
      </c>
      <c r="H1907" t="s">
        <v>2697</v>
      </c>
      <c r="I1907">
        <v>530</v>
      </c>
      <c r="K1907" t="s">
        <v>4948</v>
      </c>
      <c r="L1907">
        <v>46294</v>
      </c>
      <c r="M1907">
        <v>98677</v>
      </c>
      <c r="N1907">
        <v>10</v>
      </c>
      <c r="O1907">
        <v>46295</v>
      </c>
      <c r="P1907">
        <v>520</v>
      </c>
    </row>
    <row r="1908" spans="1:16" x14ac:dyDescent="0.4">
      <c r="A1908">
        <v>1835</v>
      </c>
      <c r="B1908" t="s">
        <v>4915</v>
      </c>
      <c r="G1908" t="s">
        <v>795</v>
      </c>
      <c r="H1908" t="s">
        <v>794</v>
      </c>
      <c r="I1908">
        <v>586</v>
      </c>
      <c r="K1908" t="s">
        <v>4989</v>
      </c>
      <c r="L1908">
        <v>46294</v>
      </c>
      <c r="M1908">
        <v>98677</v>
      </c>
      <c r="N1908">
        <v>20</v>
      </c>
      <c r="O1908">
        <v>46295</v>
      </c>
      <c r="P1908">
        <v>566</v>
      </c>
    </row>
    <row r="1909" spans="1:16" x14ac:dyDescent="0.4">
      <c r="A1909">
        <v>1834</v>
      </c>
      <c r="B1909" t="s">
        <v>4915</v>
      </c>
      <c r="G1909" t="s">
        <v>661</v>
      </c>
      <c r="H1909" t="s">
        <v>660</v>
      </c>
      <c r="I1909">
        <v>676</v>
      </c>
      <c r="K1909" t="s">
        <v>5130</v>
      </c>
      <c r="L1909">
        <v>46294</v>
      </c>
      <c r="M1909">
        <v>98677</v>
      </c>
      <c r="N1909">
        <v>10</v>
      </c>
      <c r="O1909">
        <v>46295</v>
      </c>
      <c r="P1909">
        <v>666</v>
      </c>
    </row>
    <row r="1910" spans="1:16" x14ac:dyDescent="0.4">
      <c r="A1910">
        <v>1836</v>
      </c>
      <c r="B1910" t="s">
        <v>4915</v>
      </c>
      <c r="G1910" t="s">
        <v>650</v>
      </c>
      <c r="H1910" t="s">
        <v>649</v>
      </c>
      <c r="I1910">
        <v>702</v>
      </c>
      <c r="K1910" t="s">
        <v>4986</v>
      </c>
      <c r="L1910">
        <v>46294</v>
      </c>
      <c r="M1910">
        <v>98677</v>
      </c>
      <c r="N1910">
        <v>20</v>
      </c>
      <c r="O1910">
        <v>46295</v>
      </c>
      <c r="P1910">
        <v>682</v>
      </c>
    </row>
    <row r="1911" spans="1:16" x14ac:dyDescent="0.4">
      <c r="A1911">
        <v>1653</v>
      </c>
      <c r="B1911" t="s">
        <v>4915</v>
      </c>
      <c r="G1911" t="s">
        <v>1052</v>
      </c>
      <c r="H1911" t="s">
        <v>1051</v>
      </c>
      <c r="I1911">
        <v>10</v>
      </c>
      <c r="K1911" t="s">
        <v>4943</v>
      </c>
      <c r="L1911">
        <v>46280</v>
      </c>
      <c r="M1911">
        <v>98678</v>
      </c>
      <c r="N1911">
        <v>10</v>
      </c>
      <c r="O1911">
        <v>46295</v>
      </c>
      <c r="P1911">
        <v>0</v>
      </c>
    </row>
    <row r="1912" spans="1:16" x14ac:dyDescent="0.4">
      <c r="A1912">
        <v>1654</v>
      </c>
      <c r="B1912" t="s">
        <v>4915</v>
      </c>
      <c r="G1912" t="s">
        <v>1050</v>
      </c>
      <c r="H1912" t="s">
        <v>1049</v>
      </c>
      <c r="I1912">
        <v>10</v>
      </c>
      <c r="K1912" t="s">
        <v>4943</v>
      </c>
      <c r="L1912">
        <v>46280</v>
      </c>
      <c r="M1912">
        <v>98678</v>
      </c>
      <c r="N1912">
        <v>10</v>
      </c>
      <c r="O1912">
        <v>46295</v>
      </c>
      <c r="P1912">
        <v>0</v>
      </c>
    </row>
    <row r="1913" spans="1:16" x14ac:dyDescent="0.4">
      <c r="A1913">
        <v>1636</v>
      </c>
      <c r="B1913" t="s">
        <v>4915</v>
      </c>
      <c r="G1913" t="s">
        <v>2765</v>
      </c>
      <c r="H1913" t="s">
        <v>2764</v>
      </c>
      <c r="I1913">
        <v>36</v>
      </c>
      <c r="K1913" t="s">
        <v>4945</v>
      </c>
      <c r="L1913">
        <v>46280</v>
      </c>
      <c r="M1913">
        <v>98678</v>
      </c>
      <c r="N1913">
        <v>6</v>
      </c>
      <c r="O1913">
        <v>46295</v>
      </c>
      <c r="P1913">
        <v>30</v>
      </c>
    </row>
    <row r="1914" spans="1:16" x14ac:dyDescent="0.4">
      <c r="A1914">
        <v>1660</v>
      </c>
      <c r="B1914" t="s">
        <v>4915</v>
      </c>
      <c r="G1914" t="s">
        <v>1328</v>
      </c>
      <c r="H1914" t="s">
        <v>4941</v>
      </c>
      <c r="I1914">
        <v>38</v>
      </c>
      <c r="K1914" t="s">
        <v>4942</v>
      </c>
      <c r="L1914">
        <v>46280</v>
      </c>
      <c r="M1914">
        <v>98678</v>
      </c>
      <c r="N1914">
        <v>20</v>
      </c>
      <c r="O1914">
        <v>46295</v>
      </c>
      <c r="P1914">
        <v>18</v>
      </c>
    </row>
    <row r="1915" spans="1:16" x14ac:dyDescent="0.4">
      <c r="A1915">
        <v>1639</v>
      </c>
      <c r="B1915" t="s">
        <v>4915</v>
      </c>
      <c r="G1915" t="s">
        <v>1207</v>
      </c>
      <c r="H1915" t="s">
        <v>1206</v>
      </c>
      <c r="I1915">
        <v>49</v>
      </c>
      <c r="K1915" t="s">
        <v>4953</v>
      </c>
      <c r="L1915">
        <v>46280</v>
      </c>
      <c r="M1915">
        <v>98678</v>
      </c>
      <c r="N1915">
        <v>10</v>
      </c>
      <c r="O1915">
        <v>46295</v>
      </c>
      <c r="P1915">
        <v>39</v>
      </c>
    </row>
    <row r="1916" spans="1:16" x14ac:dyDescent="0.4">
      <c r="A1916">
        <v>1652</v>
      </c>
      <c r="B1916" t="s">
        <v>4915</v>
      </c>
      <c r="G1916" t="s">
        <v>2706</v>
      </c>
      <c r="H1916" t="s">
        <v>2705</v>
      </c>
      <c r="I1916">
        <v>50</v>
      </c>
      <c r="K1916" t="s">
        <v>4948</v>
      </c>
      <c r="L1916">
        <v>46280</v>
      </c>
      <c r="M1916">
        <v>98678</v>
      </c>
      <c r="N1916">
        <v>10</v>
      </c>
      <c r="O1916">
        <v>46295</v>
      </c>
      <c r="P1916">
        <v>40</v>
      </c>
    </row>
    <row r="1917" spans="1:16" x14ac:dyDescent="0.4">
      <c r="A1917">
        <v>1551</v>
      </c>
      <c r="B1917" t="s">
        <v>4915</v>
      </c>
      <c r="G1917" t="s">
        <v>2696</v>
      </c>
      <c r="H1917" t="s">
        <v>2695</v>
      </c>
      <c r="I1917">
        <v>84</v>
      </c>
      <c r="K1917" t="s">
        <v>4869</v>
      </c>
      <c r="L1917">
        <v>46282</v>
      </c>
      <c r="M1917">
        <v>98678</v>
      </c>
      <c r="N1917">
        <v>10</v>
      </c>
      <c r="O1917">
        <v>46295</v>
      </c>
      <c r="P1917">
        <v>74</v>
      </c>
    </row>
    <row r="1918" spans="1:16" x14ac:dyDescent="0.4">
      <c r="A1918">
        <v>1651</v>
      </c>
      <c r="B1918" t="s">
        <v>4915</v>
      </c>
      <c r="G1918" t="s">
        <v>2813</v>
      </c>
      <c r="H1918" t="s">
        <v>2812</v>
      </c>
      <c r="I1918">
        <v>106</v>
      </c>
      <c r="K1918" t="s">
        <v>4947</v>
      </c>
      <c r="L1918">
        <v>46280</v>
      </c>
      <c r="M1918">
        <v>98678</v>
      </c>
      <c r="N1918">
        <v>10</v>
      </c>
      <c r="O1918">
        <v>46295</v>
      </c>
      <c r="P1918">
        <v>96</v>
      </c>
    </row>
    <row r="1919" spans="1:16" x14ac:dyDescent="0.4">
      <c r="A1919">
        <v>1637</v>
      </c>
      <c r="B1919" t="s">
        <v>4915</v>
      </c>
      <c r="G1919" t="s">
        <v>2762</v>
      </c>
      <c r="H1919" t="s">
        <v>2761</v>
      </c>
      <c r="I1919">
        <v>115</v>
      </c>
      <c r="K1919" t="s">
        <v>4945</v>
      </c>
      <c r="L1919">
        <v>46280</v>
      </c>
      <c r="M1919">
        <v>98678</v>
      </c>
      <c r="N1919">
        <v>10</v>
      </c>
      <c r="O1919">
        <v>46295</v>
      </c>
      <c r="P1919">
        <v>105</v>
      </c>
    </row>
    <row r="1920" spans="1:16" x14ac:dyDescent="0.4">
      <c r="A1920">
        <v>1649</v>
      </c>
      <c r="B1920" t="s">
        <v>4915</v>
      </c>
      <c r="G1920" t="s">
        <v>2655</v>
      </c>
      <c r="H1920" t="s">
        <v>2654</v>
      </c>
      <c r="I1920">
        <v>115</v>
      </c>
      <c r="K1920" t="s">
        <v>4948</v>
      </c>
      <c r="L1920">
        <v>46280</v>
      </c>
      <c r="M1920">
        <v>98678</v>
      </c>
      <c r="N1920">
        <v>10</v>
      </c>
      <c r="O1920">
        <v>46295</v>
      </c>
      <c r="P1920">
        <v>105</v>
      </c>
    </row>
    <row r="1921" spans="1:16" x14ac:dyDescent="0.4">
      <c r="A1921">
        <v>1556</v>
      </c>
      <c r="B1921" t="s">
        <v>4915</v>
      </c>
      <c r="G1921" t="s">
        <v>1920</v>
      </c>
      <c r="H1921" t="s">
        <v>1919</v>
      </c>
      <c r="I1921">
        <v>124</v>
      </c>
      <c r="K1921" t="s">
        <v>5066</v>
      </c>
      <c r="L1921">
        <v>46282</v>
      </c>
      <c r="M1921">
        <v>98678</v>
      </c>
      <c r="N1921">
        <v>20</v>
      </c>
      <c r="O1921">
        <v>46295</v>
      </c>
      <c r="P1921">
        <v>104</v>
      </c>
    </row>
    <row r="1922" spans="1:16" x14ac:dyDescent="0.4">
      <c r="A1922">
        <v>1655</v>
      </c>
      <c r="B1922" t="s">
        <v>4915</v>
      </c>
      <c r="G1922" t="s">
        <v>2879</v>
      </c>
      <c r="H1922" t="s">
        <v>2878</v>
      </c>
      <c r="I1922">
        <v>124</v>
      </c>
      <c r="K1922" t="s">
        <v>4946</v>
      </c>
      <c r="L1922">
        <v>46280</v>
      </c>
      <c r="M1922">
        <v>98678</v>
      </c>
      <c r="N1922">
        <v>10</v>
      </c>
      <c r="O1922">
        <v>46295</v>
      </c>
      <c r="P1922">
        <v>114</v>
      </c>
    </row>
    <row r="1923" spans="1:16" x14ac:dyDescent="0.4">
      <c r="A1923">
        <v>1638</v>
      </c>
      <c r="B1923" t="s">
        <v>4915</v>
      </c>
      <c r="G1923" t="s">
        <v>1148</v>
      </c>
      <c r="H1923" t="s">
        <v>1147</v>
      </c>
      <c r="I1923">
        <v>143</v>
      </c>
      <c r="K1923" t="s">
        <v>4851</v>
      </c>
      <c r="L1923">
        <v>46280</v>
      </c>
      <c r="M1923">
        <v>98678</v>
      </c>
      <c r="N1923">
        <v>10</v>
      </c>
      <c r="O1923">
        <v>46295</v>
      </c>
      <c r="P1923">
        <v>133</v>
      </c>
    </row>
    <row r="1924" spans="1:16" x14ac:dyDescent="0.4">
      <c r="A1924">
        <v>1659</v>
      </c>
      <c r="B1924" t="s">
        <v>4915</v>
      </c>
      <c r="G1924" t="s">
        <v>385</v>
      </c>
      <c r="H1924" t="s">
        <v>384</v>
      </c>
      <c r="I1924">
        <v>146</v>
      </c>
      <c r="K1924" t="s">
        <v>4944</v>
      </c>
      <c r="L1924">
        <v>46280</v>
      </c>
      <c r="M1924">
        <v>98678</v>
      </c>
      <c r="N1924">
        <v>20</v>
      </c>
      <c r="O1924">
        <v>46295</v>
      </c>
      <c r="P1924">
        <v>126</v>
      </c>
    </row>
    <row r="1925" spans="1:16" x14ac:dyDescent="0.4">
      <c r="A1925">
        <v>1683</v>
      </c>
      <c r="B1925" t="s">
        <v>4915</v>
      </c>
      <c r="G1925" t="s">
        <v>2755</v>
      </c>
      <c r="H1925" t="s">
        <v>2754</v>
      </c>
      <c r="I1925">
        <v>187</v>
      </c>
      <c r="K1925" t="s">
        <v>4869</v>
      </c>
      <c r="L1925">
        <v>46280</v>
      </c>
      <c r="M1925">
        <v>98678</v>
      </c>
      <c r="N1925">
        <v>10</v>
      </c>
      <c r="O1925">
        <v>46295</v>
      </c>
      <c r="P1925">
        <v>177</v>
      </c>
    </row>
    <row r="1926" spans="1:16" x14ac:dyDescent="0.4">
      <c r="A1926">
        <v>1650</v>
      </c>
      <c r="B1926" t="s">
        <v>4915</v>
      </c>
      <c r="G1926" t="s">
        <v>2671</v>
      </c>
      <c r="H1926" t="s">
        <v>2670</v>
      </c>
      <c r="I1926">
        <v>190</v>
      </c>
      <c r="K1926" t="s">
        <v>4872</v>
      </c>
      <c r="L1926">
        <v>46280</v>
      </c>
      <c r="M1926">
        <v>98678</v>
      </c>
      <c r="N1926">
        <v>10</v>
      </c>
      <c r="O1926">
        <v>46295</v>
      </c>
      <c r="P1926">
        <v>180</v>
      </c>
    </row>
    <row r="1927" spans="1:16" x14ac:dyDescent="0.4">
      <c r="A1927">
        <v>2507</v>
      </c>
      <c r="B1927" t="s">
        <v>4915</v>
      </c>
      <c r="G1927" t="s">
        <v>2638</v>
      </c>
      <c r="H1927" t="s">
        <v>2637</v>
      </c>
      <c r="I1927">
        <v>190</v>
      </c>
      <c r="K1927" t="s">
        <v>4869</v>
      </c>
      <c r="L1927">
        <v>46297</v>
      </c>
      <c r="M1927">
        <v>98678</v>
      </c>
      <c r="N1927">
        <v>10</v>
      </c>
      <c r="O1927">
        <v>46297</v>
      </c>
      <c r="P1927">
        <v>180</v>
      </c>
    </row>
    <row r="1928" spans="1:16" x14ac:dyDescent="0.4">
      <c r="A1928">
        <v>1647</v>
      </c>
      <c r="B1928" t="s">
        <v>4915</v>
      </c>
      <c r="G1928" t="s">
        <v>2753</v>
      </c>
      <c r="H1928" t="s">
        <v>2752</v>
      </c>
      <c r="I1928">
        <v>192</v>
      </c>
      <c r="K1928" t="s">
        <v>4872</v>
      </c>
      <c r="L1928">
        <v>46280</v>
      </c>
      <c r="M1928">
        <v>98678</v>
      </c>
      <c r="N1928">
        <v>10</v>
      </c>
      <c r="O1928">
        <v>46295</v>
      </c>
      <c r="P1928">
        <v>182</v>
      </c>
    </row>
    <row r="1929" spans="1:16" x14ac:dyDescent="0.4">
      <c r="A1929">
        <v>1646</v>
      </c>
      <c r="B1929" t="s">
        <v>4915</v>
      </c>
      <c r="G1929" t="s">
        <v>2842</v>
      </c>
      <c r="H1929" t="s">
        <v>2841</v>
      </c>
      <c r="I1929">
        <v>195</v>
      </c>
      <c r="K1929" t="s">
        <v>4869</v>
      </c>
      <c r="L1929">
        <v>46280</v>
      </c>
      <c r="M1929">
        <v>98678</v>
      </c>
      <c r="N1929">
        <v>10</v>
      </c>
      <c r="O1929">
        <v>46295</v>
      </c>
      <c r="P1929">
        <v>185</v>
      </c>
    </row>
    <row r="1930" spans="1:16" x14ac:dyDescent="0.4">
      <c r="A1930">
        <v>1657</v>
      </c>
      <c r="B1930" t="s">
        <v>4915</v>
      </c>
      <c r="G1930" t="s">
        <v>2786</v>
      </c>
      <c r="H1930" t="s">
        <v>2785</v>
      </c>
      <c r="I1930">
        <v>206</v>
      </c>
      <c r="K1930" t="s">
        <v>4949</v>
      </c>
      <c r="L1930">
        <v>46280</v>
      </c>
      <c r="M1930">
        <v>98678</v>
      </c>
      <c r="N1930">
        <v>10</v>
      </c>
      <c r="O1930">
        <v>46295</v>
      </c>
      <c r="P1930">
        <v>196</v>
      </c>
    </row>
    <row r="1931" spans="1:16" x14ac:dyDescent="0.4">
      <c r="A1931">
        <v>1658</v>
      </c>
      <c r="B1931" t="s">
        <v>4915</v>
      </c>
      <c r="G1931" t="s">
        <v>2750</v>
      </c>
      <c r="H1931" t="s">
        <v>2749</v>
      </c>
      <c r="I1931">
        <v>218</v>
      </c>
      <c r="K1931" t="s">
        <v>4872</v>
      </c>
      <c r="L1931">
        <v>46280</v>
      </c>
      <c r="M1931">
        <v>98678</v>
      </c>
      <c r="N1931">
        <v>10</v>
      </c>
      <c r="O1931">
        <v>46295</v>
      </c>
      <c r="P1931">
        <v>208</v>
      </c>
    </row>
    <row r="1932" spans="1:16" x14ac:dyDescent="0.4">
      <c r="A1932">
        <v>1848</v>
      </c>
      <c r="B1932" t="s">
        <v>4915</v>
      </c>
      <c r="G1932" t="s">
        <v>1167</v>
      </c>
      <c r="H1932" t="s">
        <v>1166</v>
      </c>
      <c r="I1932">
        <v>289</v>
      </c>
      <c r="K1932" t="s">
        <v>4952</v>
      </c>
      <c r="L1932">
        <v>46295</v>
      </c>
      <c r="M1932">
        <v>98678</v>
      </c>
      <c r="N1932">
        <v>10</v>
      </c>
      <c r="O1932">
        <v>46295</v>
      </c>
      <c r="P1932">
        <v>279</v>
      </c>
    </row>
    <row r="1933" spans="1:16" x14ac:dyDescent="0.4">
      <c r="A1933">
        <v>1849</v>
      </c>
      <c r="B1933" t="s">
        <v>4915</v>
      </c>
      <c r="G1933" t="s">
        <v>1173</v>
      </c>
      <c r="H1933" t="s">
        <v>1172</v>
      </c>
      <c r="I1933">
        <v>294</v>
      </c>
      <c r="K1933" t="s">
        <v>4952</v>
      </c>
      <c r="L1933">
        <v>46295</v>
      </c>
      <c r="M1933">
        <v>98678</v>
      </c>
      <c r="N1933">
        <v>10</v>
      </c>
      <c r="O1933">
        <v>46295</v>
      </c>
      <c r="P1933">
        <v>284</v>
      </c>
    </row>
    <row r="1934" spans="1:16" x14ac:dyDescent="0.4">
      <c r="A1934">
        <v>1648</v>
      </c>
      <c r="B1934" t="s">
        <v>4915</v>
      </c>
      <c r="G1934" t="s">
        <v>2774</v>
      </c>
      <c r="H1934" t="s">
        <v>2773</v>
      </c>
      <c r="I1934">
        <v>315</v>
      </c>
      <c r="K1934" t="s">
        <v>4949</v>
      </c>
      <c r="L1934">
        <v>46280</v>
      </c>
      <c r="M1934">
        <v>98678</v>
      </c>
      <c r="N1934">
        <v>10</v>
      </c>
      <c r="O1934">
        <v>46295</v>
      </c>
      <c r="P1934">
        <v>305</v>
      </c>
    </row>
    <row r="1935" spans="1:16" x14ac:dyDescent="0.4">
      <c r="A1935">
        <v>1569</v>
      </c>
      <c r="B1935" t="s">
        <v>4915</v>
      </c>
      <c r="G1935" t="s">
        <v>1009</v>
      </c>
      <c r="H1935" t="s">
        <v>1008</v>
      </c>
      <c r="I1935">
        <v>514</v>
      </c>
      <c r="K1935" t="s">
        <v>4851</v>
      </c>
      <c r="L1935">
        <v>46282</v>
      </c>
      <c r="M1935">
        <v>98678</v>
      </c>
      <c r="N1935">
        <v>10</v>
      </c>
      <c r="O1935">
        <v>46295</v>
      </c>
      <c r="P1935">
        <v>504</v>
      </c>
    </row>
    <row r="1936" spans="1:16" x14ac:dyDescent="0.4">
      <c r="A1936">
        <v>1900</v>
      </c>
      <c r="B1936" t="s">
        <v>4915</v>
      </c>
      <c r="D1936" t="s">
        <v>4901</v>
      </c>
      <c r="E1936" t="s">
        <v>5158</v>
      </c>
      <c r="F1936" t="s">
        <v>5147</v>
      </c>
      <c r="G1936" t="s">
        <v>1320</v>
      </c>
      <c r="H1936" t="s">
        <v>1319</v>
      </c>
      <c r="I1936">
        <v>5</v>
      </c>
      <c r="K1936" t="s">
        <v>5054</v>
      </c>
      <c r="L1936">
        <v>46288</v>
      </c>
      <c r="M1936">
        <v>98679</v>
      </c>
      <c r="N1936">
        <v>5</v>
      </c>
      <c r="O1936">
        <v>46295</v>
      </c>
      <c r="P1936">
        <v>0</v>
      </c>
    </row>
    <row r="1937" spans="1:16" x14ac:dyDescent="0.4">
      <c r="A1937">
        <v>1511</v>
      </c>
      <c r="B1937" t="s">
        <v>4915</v>
      </c>
      <c r="G1937" t="s">
        <v>1430</v>
      </c>
      <c r="H1937" t="s">
        <v>1429</v>
      </c>
      <c r="I1937">
        <v>19</v>
      </c>
      <c r="K1937" t="s">
        <v>5073</v>
      </c>
      <c r="L1937">
        <v>46282</v>
      </c>
      <c r="M1937">
        <v>98679</v>
      </c>
      <c r="N1937">
        <v>10</v>
      </c>
      <c r="O1937">
        <v>46295</v>
      </c>
      <c r="P1937">
        <v>9</v>
      </c>
    </row>
    <row r="1938" spans="1:16" x14ac:dyDescent="0.4">
      <c r="A1938">
        <v>1837</v>
      </c>
      <c r="B1938" t="s">
        <v>4915</v>
      </c>
      <c r="G1938" t="s">
        <v>2778</v>
      </c>
      <c r="H1938" t="s">
        <v>2777</v>
      </c>
      <c r="I1938">
        <v>31</v>
      </c>
      <c r="K1938" t="s">
        <v>4949</v>
      </c>
      <c r="L1938">
        <v>46295</v>
      </c>
      <c r="M1938">
        <v>98679</v>
      </c>
      <c r="N1938">
        <v>10</v>
      </c>
      <c r="O1938">
        <v>46295</v>
      </c>
      <c r="P1938">
        <v>21</v>
      </c>
    </row>
    <row r="1939" spans="1:16" x14ac:dyDescent="0.4">
      <c r="A1939">
        <v>1901</v>
      </c>
      <c r="B1939" t="s">
        <v>4915</v>
      </c>
      <c r="D1939" t="s">
        <v>4901</v>
      </c>
      <c r="E1939" t="s">
        <v>5158</v>
      </c>
      <c r="F1939" t="s">
        <v>5147</v>
      </c>
      <c r="G1939" t="s">
        <v>1320</v>
      </c>
      <c r="H1939" t="s">
        <v>1319</v>
      </c>
      <c r="I1939">
        <v>40</v>
      </c>
      <c r="K1939" t="s">
        <v>5054</v>
      </c>
      <c r="L1939">
        <v>46282</v>
      </c>
      <c r="M1939">
        <v>98679</v>
      </c>
      <c r="N1939">
        <v>5</v>
      </c>
      <c r="O1939">
        <v>46295</v>
      </c>
      <c r="P1939">
        <v>35</v>
      </c>
    </row>
    <row r="1940" spans="1:16" x14ac:dyDescent="0.4">
      <c r="A1940">
        <v>1513</v>
      </c>
      <c r="B1940" t="s">
        <v>4915</v>
      </c>
      <c r="G1940" t="s">
        <v>1775</v>
      </c>
      <c r="H1940" t="s">
        <v>5172</v>
      </c>
      <c r="I1940">
        <v>48</v>
      </c>
      <c r="K1940" t="s">
        <v>5027</v>
      </c>
      <c r="L1940">
        <v>46282</v>
      </c>
      <c r="M1940">
        <v>98679</v>
      </c>
      <c r="N1940">
        <v>10</v>
      </c>
      <c r="O1940">
        <v>46295</v>
      </c>
      <c r="P1940">
        <v>38</v>
      </c>
    </row>
    <row r="1941" spans="1:16" x14ac:dyDescent="0.4">
      <c r="A1941">
        <v>1514</v>
      </c>
      <c r="B1941" t="s">
        <v>4915</v>
      </c>
      <c r="G1941" t="s">
        <v>1862</v>
      </c>
      <c r="H1941" t="s">
        <v>1861</v>
      </c>
      <c r="I1941">
        <v>57</v>
      </c>
      <c r="K1941" t="s">
        <v>5081</v>
      </c>
      <c r="L1941">
        <v>46282</v>
      </c>
      <c r="M1941">
        <v>98679</v>
      </c>
      <c r="N1941">
        <v>10</v>
      </c>
      <c r="O1941">
        <v>46295</v>
      </c>
      <c r="P1941">
        <v>47</v>
      </c>
    </row>
    <row r="1942" spans="1:16" x14ac:dyDescent="0.4">
      <c r="A1942">
        <v>1515</v>
      </c>
      <c r="B1942" t="s">
        <v>4915</v>
      </c>
      <c r="G1942" t="s">
        <v>1324</v>
      </c>
      <c r="H1942" t="s">
        <v>1323</v>
      </c>
      <c r="I1942">
        <v>64</v>
      </c>
      <c r="K1942" t="s">
        <v>4999</v>
      </c>
      <c r="L1942">
        <v>46282</v>
      </c>
      <c r="M1942">
        <v>98679</v>
      </c>
      <c r="N1942">
        <v>10</v>
      </c>
      <c r="O1942">
        <v>46295</v>
      </c>
      <c r="P1942">
        <v>54</v>
      </c>
    </row>
    <row r="1943" spans="1:16" x14ac:dyDescent="0.4">
      <c r="A1943">
        <v>1790</v>
      </c>
      <c r="B1943" t="s">
        <v>4915</v>
      </c>
      <c r="G1943" t="s">
        <v>8</v>
      </c>
      <c r="H1943" t="s">
        <v>2678</v>
      </c>
      <c r="I1943">
        <v>65</v>
      </c>
      <c r="K1943" t="s">
        <v>5092</v>
      </c>
      <c r="L1943">
        <v>46294</v>
      </c>
      <c r="M1943">
        <v>98679</v>
      </c>
      <c r="N1943">
        <v>10</v>
      </c>
      <c r="O1943">
        <v>46295</v>
      </c>
      <c r="P1943">
        <v>55</v>
      </c>
    </row>
    <row r="1944" spans="1:16" x14ac:dyDescent="0.4">
      <c r="A1944">
        <v>1767</v>
      </c>
      <c r="B1944" t="s">
        <v>4915</v>
      </c>
      <c r="G1944" t="s">
        <v>2668</v>
      </c>
      <c r="H1944" t="s">
        <v>2667</v>
      </c>
      <c r="I1944">
        <v>70</v>
      </c>
      <c r="K1944" t="s">
        <v>5093</v>
      </c>
      <c r="L1944">
        <v>46294</v>
      </c>
      <c r="M1944">
        <v>98679</v>
      </c>
      <c r="N1944">
        <v>10</v>
      </c>
      <c r="O1944">
        <v>46295</v>
      </c>
      <c r="P1944">
        <v>60</v>
      </c>
    </row>
    <row r="1945" spans="1:16" x14ac:dyDescent="0.4">
      <c r="A1945">
        <v>1791</v>
      </c>
      <c r="B1945" t="s">
        <v>4915</v>
      </c>
      <c r="G1945" t="s">
        <v>2673</v>
      </c>
      <c r="H1945" t="s">
        <v>2672</v>
      </c>
      <c r="I1945">
        <v>77</v>
      </c>
      <c r="K1945" t="s">
        <v>5096</v>
      </c>
      <c r="L1945">
        <v>46294</v>
      </c>
      <c r="M1945">
        <v>98679</v>
      </c>
      <c r="N1945">
        <v>10</v>
      </c>
      <c r="O1945">
        <v>46295</v>
      </c>
      <c r="P1945">
        <v>67</v>
      </c>
    </row>
    <row r="1946" spans="1:16" x14ac:dyDescent="0.4">
      <c r="A1946">
        <v>1518</v>
      </c>
      <c r="B1946" t="s">
        <v>4915</v>
      </c>
      <c r="G1946" t="s">
        <v>2711</v>
      </c>
      <c r="H1946" t="s">
        <v>2710</v>
      </c>
      <c r="I1946">
        <v>102</v>
      </c>
      <c r="K1946" t="s">
        <v>5061</v>
      </c>
      <c r="L1946">
        <v>46282</v>
      </c>
      <c r="M1946">
        <v>98679</v>
      </c>
      <c r="N1946">
        <v>10</v>
      </c>
      <c r="O1946">
        <v>46295</v>
      </c>
      <c r="P1946">
        <v>92</v>
      </c>
    </row>
    <row r="1947" spans="1:16" x14ac:dyDescent="0.4">
      <c r="A1947">
        <v>1519</v>
      </c>
      <c r="B1947" t="s">
        <v>4915</v>
      </c>
      <c r="G1947" t="s">
        <v>1426</v>
      </c>
      <c r="H1947" t="s">
        <v>1425</v>
      </c>
      <c r="I1947">
        <v>104</v>
      </c>
      <c r="K1947" t="s">
        <v>5073</v>
      </c>
      <c r="L1947">
        <v>46282</v>
      </c>
      <c r="M1947">
        <v>98679</v>
      </c>
      <c r="N1947">
        <v>10</v>
      </c>
      <c r="O1947">
        <v>46295</v>
      </c>
      <c r="P1947">
        <v>94</v>
      </c>
    </row>
    <row r="1948" spans="1:16" x14ac:dyDescent="0.4">
      <c r="A1948">
        <v>1521</v>
      </c>
      <c r="B1948" t="s">
        <v>4915</v>
      </c>
      <c r="G1948" t="s">
        <v>1435</v>
      </c>
      <c r="H1948" t="s">
        <v>1434</v>
      </c>
      <c r="I1948">
        <v>110</v>
      </c>
      <c r="K1948" t="s">
        <v>5098</v>
      </c>
      <c r="L1948">
        <v>46282</v>
      </c>
      <c r="M1948">
        <v>98679</v>
      </c>
      <c r="N1948">
        <v>10</v>
      </c>
      <c r="O1948">
        <v>46295</v>
      </c>
      <c r="P1948">
        <v>100</v>
      </c>
    </row>
    <row r="1949" spans="1:16" x14ac:dyDescent="0.4">
      <c r="A1949">
        <v>1766</v>
      </c>
      <c r="B1949" t="s">
        <v>4915</v>
      </c>
      <c r="G1949" t="s">
        <v>2657</v>
      </c>
      <c r="H1949" t="s">
        <v>2656</v>
      </c>
      <c r="I1949">
        <v>125</v>
      </c>
      <c r="K1949" t="s">
        <v>5101</v>
      </c>
      <c r="L1949">
        <v>46294</v>
      </c>
      <c r="M1949">
        <v>98679</v>
      </c>
      <c r="N1949">
        <v>10</v>
      </c>
      <c r="O1949">
        <v>46295</v>
      </c>
      <c r="P1949">
        <v>115</v>
      </c>
    </row>
    <row r="1950" spans="1:16" x14ac:dyDescent="0.4">
      <c r="A1950">
        <v>1757</v>
      </c>
      <c r="B1950" t="s">
        <v>4915</v>
      </c>
      <c r="G1950" t="s">
        <v>1892</v>
      </c>
      <c r="H1950" t="s">
        <v>5103</v>
      </c>
      <c r="I1950">
        <v>130</v>
      </c>
      <c r="K1950" t="s">
        <v>5104</v>
      </c>
      <c r="L1950">
        <v>46294</v>
      </c>
      <c r="M1950">
        <v>98679</v>
      </c>
      <c r="N1950">
        <v>10</v>
      </c>
      <c r="O1950">
        <v>46295</v>
      </c>
      <c r="P1950">
        <v>120</v>
      </c>
    </row>
    <row r="1951" spans="1:16" x14ac:dyDescent="0.4">
      <c r="A1951">
        <v>1522</v>
      </c>
      <c r="B1951" t="s">
        <v>4915</v>
      </c>
      <c r="G1951" t="s">
        <v>1428</v>
      </c>
      <c r="H1951" t="s">
        <v>1427</v>
      </c>
      <c r="I1951">
        <v>136</v>
      </c>
      <c r="K1951" t="s">
        <v>5073</v>
      </c>
      <c r="L1951">
        <v>46282</v>
      </c>
      <c r="M1951">
        <v>98679</v>
      </c>
      <c r="N1951">
        <v>10</v>
      </c>
      <c r="O1951">
        <v>46295</v>
      </c>
      <c r="P1951">
        <v>126</v>
      </c>
    </row>
    <row r="1952" spans="1:16" x14ac:dyDescent="0.4">
      <c r="A1952">
        <v>1899</v>
      </c>
      <c r="B1952" t="s">
        <v>4915</v>
      </c>
      <c r="D1952" t="s">
        <v>4901</v>
      </c>
      <c r="E1952" t="s">
        <v>5173</v>
      </c>
      <c r="F1952" t="s">
        <v>4937</v>
      </c>
      <c r="G1952" t="s">
        <v>1344</v>
      </c>
      <c r="H1952" t="s">
        <v>1343</v>
      </c>
      <c r="I1952">
        <v>150</v>
      </c>
      <c r="K1952" t="s">
        <v>5041</v>
      </c>
      <c r="L1952">
        <v>46294</v>
      </c>
      <c r="M1952">
        <v>98679</v>
      </c>
      <c r="N1952">
        <v>20</v>
      </c>
      <c r="O1952">
        <v>46295</v>
      </c>
      <c r="P1952">
        <v>130</v>
      </c>
    </row>
    <row r="1953" spans="1:16" x14ac:dyDescent="0.4">
      <c r="A1953">
        <v>1525</v>
      </c>
      <c r="B1953" t="s">
        <v>4915</v>
      </c>
      <c r="G1953" t="s">
        <v>1316</v>
      </c>
      <c r="H1953" t="s">
        <v>1315</v>
      </c>
      <c r="I1953">
        <v>156</v>
      </c>
      <c r="K1953" t="s">
        <v>4995</v>
      </c>
      <c r="L1953">
        <v>46282</v>
      </c>
      <c r="M1953">
        <v>98679</v>
      </c>
      <c r="N1953">
        <v>10</v>
      </c>
      <c r="O1953">
        <v>46295</v>
      </c>
      <c r="P1953">
        <v>146</v>
      </c>
    </row>
    <row r="1954" spans="1:16" x14ac:dyDescent="0.4">
      <c r="A1954">
        <v>1785</v>
      </c>
      <c r="B1954" t="s">
        <v>4915</v>
      </c>
      <c r="G1954" t="s">
        <v>707</v>
      </c>
      <c r="H1954" t="s">
        <v>706</v>
      </c>
      <c r="I1954">
        <v>171</v>
      </c>
      <c r="K1954" t="s">
        <v>4956</v>
      </c>
      <c r="L1954">
        <v>46294</v>
      </c>
      <c r="M1954">
        <v>98679</v>
      </c>
      <c r="N1954">
        <v>10</v>
      </c>
      <c r="O1954">
        <v>46295</v>
      </c>
      <c r="P1954">
        <v>161</v>
      </c>
    </row>
    <row r="1955" spans="1:16" x14ac:dyDescent="0.4">
      <c r="A1955">
        <v>1527</v>
      </c>
      <c r="B1955" t="s">
        <v>4915</v>
      </c>
      <c r="G1955" t="s">
        <v>2046</v>
      </c>
      <c r="H1955" t="s">
        <v>2045</v>
      </c>
      <c r="I1955">
        <v>179</v>
      </c>
      <c r="K1955" t="s">
        <v>5063</v>
      </c>
      <c r="L1955">
        <v>46282</v>
      </c>
      <c r="M1955">
        <v>98679</v>
      </c>
      <c r="N1955">
        <v>10</v>
      </c>
      <c r="O1955">
        <v>46295</v>
      </c>
      <c r="P1955">
        <v>169</v>
      </c>
    </row>
    <row r="1956" spans="1:16" x14ac:dyDescent="0.4">
      <c r="A1956">
        <v>1756</v>
      </c>
      <c r="B1956" t="s">
        <v>4915</v>
      </c>
      <c r="G1956" t="s">
        <v>1867</v>
      </c>
      <c r="H1956" t="s">
        <v>1866</v>
      </c>
      <c r="I1956">
        <v>251</v>
      </c>
      <c r="K1956" t="s">
        <v>5081</v>
      </c>
      <c r="L1956">
        <v>46294</v>
      </c>
      <c r="M1956">
        <v>98679</v>
      </c>
      <c r="N1956">
        <v>10</v>
      </c>
      <c r="O1956">
        <v>46295</v>
      </c>
      <c r="P1956">
        <v>241</v>
      </c>
    </row>
    <row r="1957" spans="1:16" x14ac:dyDescent="0.4">
      <c r="A1957">
        <v>1530</v>
      </c>
      <c r="B1957" t="s">
        <v>4915</v>
      </c>
      <c r="G1957" t="s">
        <v>2716</v>
      </c>
      <c r="H1957" t="s">
        <v>2715</v>
      </c>
      <c r="I1957">
        <v>281</v>
      </c>
      <c r="K1957" t="s">
        <v>5061</v>
      </c>
      <c r="L1957">
        <v>46282</v>
      </c>
      <c r="M1957">
        <v>98679</v>
      </c>
      <c r="N1957">
        <v>10</v>
      </c>
      <c r="O1957">
        <v>46295</v>
      </c>
      <c r="P1957">
        <v>271</v>
      </c>
    </row>
    <row r="1958" spans="1:16" x14ac:dyDescent="0.4">
      <c r="A1958">
        <v>1787</v>
      </c>
      <c r="B1958" t="s">
        <v>4915</v>
      </c>
      <c r="G1958" t="s">
        <v>1334</v>
      </c>
      <c r="H1958" t="s">
        <v>5112</v>
      </c>
      <c r="I1958">
        <v>308</v>
      </c>
      <c r="K1958" t="s">
        <v>5113</v>
      </c>
      <c r="L1958">
        <v>46294</v>
      </c>
      <c r="M1958">
        <v>98679</v>
      </c>
      <c r="N1958">
        <v>10</v>
      </c>
      <c r="O1958">
        <v>46295</v>
      </c>
      <c r="P1958">
        <v>298</v>
      </c>
    </row>
    <row r="1959" spans="1:16" x14ac:dyDescent="0.4">
      <c r="A1959">
        <v>1754</v>
      </c>
      <c r="B1959" t="s">
        <v>4915</v>
      </c>
      <c r="G1959" t="s">
        <v>969</v>
      </c>
      <c r="H1959" t="s">
        <v>4931</v>
      </c>
      <c r="I1959">
        <v>309</v>
      </c>
      <c r="K1959" t="s">
        <v>4932</v>
      </c>
      <c r="L1959">
        <v>46294</v>
      </c>
      <c r="M1959">
        <v>98679</v>
      </c>
      <c r="N1959">
        <v>10</v>
      </c>
      <c r="O1959">
        <v>46295</v>
      </c>
      <c r="P1959">
        <v>299</v>
      </c>
    </row>
    <row r="1960" spans="1:16" x14ac:dyDescent="0.4">
      <c r="A1960">
        <v>1783</v>
      </c>
      <c r="B1960" t="s">
        <v>4915</v>
      </c>
      <c r="G1960" t="s">
        <v>1349</v>
      </c>
      <c r="H1960" t="s">
        <v>1348</v>
      </c>
      <c r="I1960">
        <v>339</v>
      </c>
      <c r="K1960" t="s">
        <v>5039</v>
      </c>
      <c r="L1960">
        <v>46294</v>
      </c>
      <c r="M1960">
        <v>98679</v>
      </c>
      <c r="N1960">
        <v>10</v>
      </c>
      <c r="O1960">
        <v>46295</v>
      </c>
      <c r="P1960">
        <v>329</v>
      </c>
    </row>
    <row r="1961" spans="1:16" x14ac:dyDescent="0.4">
      <c r="A1961">
        <v>1851</v>
      </c>
      <c r="B1961" t="s">
        <v>4915</v>
      </c>
      <c r="G1961" t="s">
        <v>2746</v>
      </c>
      <c r="H1961" t="s">
        <v>2745</v>
      </c>
      <c r="I1961">
        <v>352</v>
      </c>
      <c r="K1961" t="s">
        <v>4948</v>
      </c>
      <c r="L1961">
        <v>46295</v>
      </c>
      <c r="M1961">
        <v>98679</v>
      </c>
      <c r="N1961">
        <v>10</v>
      </c>
      <c r="O1961">
        <v>46295</v>
      </c>
      <c r="P1961">
        <v>342</v>
      </c>
    </row>
    <row r="1962" spans="1:16" x14ac:dyDescent="0.4">
      <c r="A1962">
        <v>1796</v>
      </c>
      <c r="B1962" t="s">
        <v>4915</v>
      </c>
      <c r="G1962" t="s">
        <v>1530</v>
      </c>
      <c r="H1962" t="s">
        <v>5124</v>
      </c>
      <c r="I1962">
        <v>380</v>
      </c>
      <c r="K1962" t="s">
        <v>5125</v>
      </c>
      <c r="L1962">
        <v>46294</v>
      </c>
      <c r="M1962">
        <v>98679</v>
      </c>
      <c r="N1962">
        <v>20</v>
      </c>
      <c r="O1962">
        <v>46295</v>
      </c>
      <c r="P1962">
        <v>360</v>
      </c>
    </row>
    <row r="1963" spans="1:16" x14ac:dyDescent="0.4">
      <c r="A1963">
        <v>1781</v>
      </c>
      <c r="B1963" t="s">
        <v>4915</v>
      </c>
      <c r="G1963" t="s">
        <v>1584</v>
      </c>
      <c r="H1963" t="s">
        <v>1583</v>
      </c>
      <c r="I1963">
        <v>412</v>
      </c>
      <c r="K1963" t="s">
        <v>5037</v>
      </c>
      <c r="L1963">
        <v>46294</v>
      </c>
      <c r="M1963">
        <v>98679</v>
      </c>
      <c r="N1963">
        <v>10</v>
      </c>
      <c r="O1963">
        <v>46295</v>
      </c>
      <c r="P1963">
        <v>402</v>
      </c>
    </row>
    <row r="1964" spans="1:16" x14ac:dyDescent="0.4">
      <c r="A1964">
        <v>1778</v>
      </c>
      <c r="B1964" t="s">
        <v>4915</v>
      </c>
      <c r="G1964" t="s">
        <v>1532</v>
      </c>
      <c r="H1964" t="s">
        <v>1531</v>
      </c>
      <c r="I1964">
        <v>419</v>
      </c>
      <c r="K1964" t="s">
        <v>5024</v>
      </c>
      <c r="L1964">
        <v>46294</v>
      </c>
      <c r="M1964">
        <v>98679</v>
      </c>
      <c r="N1964">
        <v>10</v>
      </c>
      <c r="O1964">
        <v>46295</v>
      </c>
      <c r="P1964">
        <v>409</v>
      </c>
    </row>
    <row r="1965" spans="1:16" x14ac:dyDescent="0.4">
      <c r="A1965">
        <v>1777</v>
      </c>
      <c r="B1965" t="s">
        <v>4915</v>
      </c>
      <c r="G1965" t="s">
        <v>1710</v>
      </c>
      <c r="H1965" t="s">
        <v>1709</v>
      </c>
      <c r="I1965">
        <v>449</v>
      </c>
      <c r="K1965" t="s">
        <v>5123</v>
      </c>
      <c r="L1965">
        <v>46294</v>
      </c>
      <c r="M1965">
        <v>98679</v>
      </c>
      <c r="N1965">
        <v>10</v>
      </c>
      <c r="O1965">
        <v>46295</v>
      </c>
      <c r="P1965">
        <v>439</v>
      </c>
    </row>
    <row r="1966" spans="1:16" x14ac:dyDescent="0.4">
      <c r="A1966">
        <v>1852</v>
      </c>
      <c r="B1966" t="s">
        <v>4915</v>
      </c>
      <c r="G1966" t="s">
        <v>2780</v>
      </c>
      <c r="H1966" t="s">
        <v>2779</v>
      </c>
      <c r="I1966">
        <v>486</v>
      </c>
      <c r="K1966" t="s">
        <v>4949</v>
      </c>
      <c r="L1966">
        <v>46295</v>
      </c>
      <c r="M1966">
        <v>98679</v>
      </c>
      <c r="N1966">
        <v>10</v>
      </c>
      <c r="O1966">
        <v>46295</v>
      </c>
      <c r="P1966">
        <v>476</v>
      </c>
    </row>
    <row r="1967" spans="1:16" x14ac:dyDescent="0.4">
      <c r="A1967">
        <v>1788</v>
      </c>
      <c r="B1967" t="s">
        <v>4915</v>
      </c>
      <c r="G1967" t="s">
        <v>2757</v>
      </c>
      <c r="H1967" t="s">
        <v>2756</v>
      </c>
      <c r="I1967">
        <v>492</v>
      </c>
      <c r="K1967" t="s">
        <v>4872</v>
      </c>
      <c r="L1967">
        <v>46294</v>
      </c>
      <c r="M1967">
        <v>98679</v>
      </c>
      <c r="N1967">
        <v>10</v>
      </c>
      <c r="O1967">
        <v>46295</v>
      </c>
      <c r="P1967">
        <v>482</v>
      </c>
    </row>
    <row r="1968" spans="1:16" x14ac:dyDescent="0.4">
      <c r="A1968">
        <v>1740</v>
      </c>
      <c r="B1968" t="s">
        <v>4915</v>
      </c>
      <c r="G1968" t="s">
        <v>1347</v>
      </c>
      <c r="H1968" t="s">
        <v>1346</v>
      </c>
      <c r="I1968">
        <v>498</v>
      </c>
      <c r="K1968" t="s">
        <v>5041</v>
      </c>
      <c r="L1968">
        <v>46294</v>
      </c>
      <c r="M1968">
        <v>98679</v>
      </c>
      <c r="N1968">
        <v>20</v>
      </c>
      <c r="O1968">
        <v>46295</v>
      </c>
      <c r="P1968">
        <v>478</v>
      </c>
    </row>
    <row r="1969" spans="1:16" x14ac:dyDescent="0.4">
      <c r="A1969">
        <v>1780</v>
      </c>
      <c r="B1969" t="s">
        <v>4915</v>
      </c>
      <c r="G1969" t="s">
        <v>1582</v>
      </c>
      <c r="H1969" t="s">
        <v>1581</v>
      </c>
      <c r="I1969">
        <v>581</v>
      </c>
      <c r="K1969" t="s">
        <v>5129</v>
      </c>
      <c r="L1969">
        <v>46294</v>
      </c>
      <c r="M1969">
        <v>98679</v>
      </c>
      <c r="N1969">
        <v>10</v>
      </c>
      <c r="O1969">
        <v>46295</v>
      </c>
      <c r="P1969">
        <v>571</v>
      </c>
    </row>
    <row r="1970" spans="1:16" x14ac:dyDescent="0.4">
      <c r="A1970">
        <v>1782</v>
      </c>
      <c r="B1970" t="s">
        <v>4915</v>
      </c>
      <c r="G1970" t="s">
        <v>1600</v>
      </c>
      <c r="H1970" t="s">
        <v>1599</v>
      </c>
      <c r="I1970">
        <v>706</v>
      </c>
      <c r="K1970" t="s">
        <v>5037</v>
      </c>
      <c r="L1970">
        <v>46294</v>
      </c>
      <c r="M1970">
        <v>98679</v>
      </c>
      <c r="N1970">
        <v>10</v>
      </c>
      <c r="O1970">
        <v>46295</v>
      </c>
      <c r="P1970">
        <v>696</v>
      </c>
    </row>
    <row r="1971" spans="1:16" x14ac:dyDescent="0.4">
      <c r="A1971">
        <v>1779</v>
      </c>
      <c r="B1971" t="s">
        <v>4915</v>
      </c>
      <c r="G1971" t="s">
        <v>1331</v>
      </c>
      <c r="H1971" t="s">
        <v>5133</v>
      </c>
      <c r="I1971">
        <v>744</v>
      </c>
      <c r="K1971" t="s">
        <v>5134</v>
      </c>
      <c r="L1971">
        <v>46294</v>
      </c>
      <c r="M1971">
        <v>98679</v>
      </c>
      <c r="N1971">
        <v>10</v>
      </c>
      <c r="O1971">
        <v>46295</v>
      </c>
      <c r="P1971">
        <v>734</v>
      </c>
    </row>
    <row r="1972" spans="1:16" x14ac:dyDescent="0.4">
      <c r="A1972">
        <v>2387</v>
      </c>
      <c r="B1972" t="s">
        <v>4915</v>
      </c>
      <c r="G1972" t="s">
        <v>2479</v>
      </c>
      <c r="H1972" t="s">
        <v>5138</v>
      </c>
      <c r="I1972">
        <v>94</v>
      </c>
      <c r="K1972" t="s">
        <v>5109</v>
      </c>
      <c r="L1972">
        <v>46302</v>
      </c>
      <c r="M1972">
        <v>98680</v>
      </c>
      <c r="N1972">
        <v>10</v>
      </c>
      <c r="O1972">
        <v>46296</v>
      </c>
      <c r="P1972">
        <v>84</v>
      </c>
    </row>
    <row r="1973" spans="1:16" x14ac:dyDescent="0.4">
      <c r="A1973">
        <v>1494</v>
      </c>
      <c r="B1973" t="s">
        <v>4915</v>
      </c>
      <c r="G1973" t="s">
        <v>2507</v>
      </c>
      <c r="H1973" t="s">
        <v>2506</v>
      </c>
      <c r="I1973">
        <v>205</v>
      </c>
      <c r="K1973" t="s">
        <v>5060</v>
      </c>
      <c r="L1973">
        <v>46282</v>
      </c>
      <c r="M1973">
        <v>98680</v>
      </c>
      <c r="N1973">
        <v>10</v>
      </c>
      <c r="O1973">
        <v>46296</v>
      </c>
      <c r="P1973">
        <v>195</v>
      </c>
    </row>
    <row r="1974" spans="1:16" x14ac:dyDescent="0.4">
      <c r="A1974">
        <v>1486</v>
      </c>
      <c r="B1974" t="s">
        <v>4915</v>
      </c>
      <c r="G1974" t="s">
        <v>2609</v>
      </c>
      <c r="H1974" t="s">
        <v>2608</v>
      </c>
      <c r="I1974">
        <v>20</v>
      </c>
      <c r="K1974" t="s">
        <v>5060</v>
      </c>
      <c r="L1974">
        <v>46282</v>
      </c>
      <c r="M1974">
        <v>98680</v>
      </c>
      <c r="N1974">
        <v>10</v>
      </c>
      <c r="O1974">
        <v>46296</v>
      </c>
      <c r="P1974">
        <v>10</v>
      </c>
    </row>
    <row r="1975" spans="1:16" x14ac:dyDescent="0.4">
      <c r="A1975">
        <v>2374</v>
      </c>
      <c r="B1975" t="s">
        <v>4915</v>
      </c>
      <c r="G1975" t="s">
        <v>2473</v>
      </c>
      <c r="H1975" t="s">
        <v>2472</v>
      </c>
      <c r="I1975">
        <v>55</v>
      </c>
      <c r="K1975" t="s">
        <v>4958</v>
      </c>
      <c r="L1975">
        <v>46302</v>
      </c>
      <c r="M1975">
        <v>98680</v>
      </c>
      <c r="N1975">
        <v>10</v>
      </c>
      <c r="O1975">
        <v>46296</v>
      </c>
      <c r="P1975">
        <v>45</v>
      </c>
    </row>
    <row r="1976" spans="1:16" x14ac:dyDescent="0.4">
      <c r="A1976">
        <v>2373</v>
      </c>
      <c r="B1976" t="s">
        <v>4915</v>
      </c>
      <c r="G1976" t="s">
        <v>2475</v>
      </c>
      <c r="H1976" t="s">
        <v>2474</v>
      </c>
      <c r="I1976">
        <v>133</v>
      </c>
      <c r="K1976" t="s">
        <v>4958</v>
      </c>
      <c r="L1976">
        <v>46302</v>
      </c>
      <c r="M1976">
        <v>98680</v>
      </c>
      <c r="N1976">
        <v>10</v>
      </c>
      <c r="O1976">
        <v>46296</v>
      </c>
      <c r="P1976">
        <v>123</v>
      </c>
    </row>
    <row r="1977" spans="1:16" x14ac:dyDescent="0.4">
      <c r="A1977">
        <v>2603</v>
      </c>
      <c r="B1977" t="s">
        <v>4915</v>
      </c>
      <c r="G1977" t="s">
        <v>2457</v>
      </c>
      <c r="H1977" t="s">
        <v>2456</v>
      </c>
      <c r="I1977">
        <v>210</v>
      </c>
      <c r="K1977" t="s">
        <v>4954</v>
      </c>
      <c r="L1977">
        <v>46307</v>
      </c>
      <c r="M1977">
        <v>98680</v>
      </c>
      <c r="N1977">
        <v>10</v>
      </c>
      <c r="O1977">
        <v>46296</v>
      </c>
      <c r="P1977">
        <v>200</v>
      </c>
    </row>
    <row r="1978" spans="1:16" x14ac:dyDescent="0.4">
      <c r="A1978">
        <v>2553</v>
      </c>
      <c r="B1978" t="s">
        <v>4915</v>
      </c>
      <c r="G1978" t="s">
        <v>2555</v>
      </c>
      <c r="H1978" t="s">
        <v>2554</v>
      </c>
      <c r="I1978">
        <v>567</v>
      </c>
      <c r="K1978" t="s">
        <v>4871</v>
      </c>
      <c r="L1978">
        <v>46307</v>
      </c>
      <c r="M1978">
        <v>98680</v>
      </c>
      <c r="N1978">
        <v>10</v>
      </c>
      <c r="O1978">
        <v>46296</v>
      </c>
      <c r="P1978">
        <v>557</v>
      </c>
    </row>
    <row r="1979" spans="1:16" x14ac:dyDescent="0.4">
      <c r="A1979">
        <v>2377</v>
      </c>
      <c r="B1979" t="s">
        <v>4915</v>
      </c>
      <c r="G1979" t="s">
        <v>2454</v>
      </c>
      <c r="H1979" t="s">
        <v>2453</v>
      </c>
      <c r="I1979">
        <v>113</v>
      </c>
      <c r="K1979" t="s">
        <v>4955</v>
      </c>
      <c r="L1979">
        <v>46302</v>
      </c>
      <c r="M1979">
        <v>98680</v>
      </c>
      <c r="N1979">
        <v>10</v>
      </c>
      <c r="O1979">
        <v>46296</v>
      </c>
      <c r="P1979">
        <v>103</v>
      </c>
    </row>
    <row r="1980" spans="1:16" x14ac:dyDescent="0.4">
      <c r="A1980">
        <v>2378</v>
      </c>
      <c r="B1980" t="s">
        <v>4915</v>
      </c>
      <c r="G1980" t="s">
        <v>246</v>
      </c>
      <c r="H1980" t="s">
        <v>4960</v>
      </c>
      <c r="I1980">
        <v>358</v>
      </c>
      <c r="K1980" t="s">
        <v>4864</v>
      </c>
      <c r="L1980">
        <v>46302</v>
      </c>
      <c r="M1980">
        <v>98680</v>
      </c>
      <c r="N1980">
        <v>10</v>
      </c>
      <c r="O1980">
        <v>46296</v>
      </c>
      <c r="P1980">
        <v>348</v>
      </c>
    </row>
    <row r="1981" spans="1:16" x14ac:dyDescent="0.4">
      <c r="A1981">
        <v>2379</v>
      </c>
      <c r="B1981" t="s">
        <v>4915</v>
      </c>
      <c r="G1981" t="s">
        <v>243</v>
      </c>
      <c r="H1981" t="s">
        <v>4961</v>
      </c>
      <c r="I1981">
        <v>230</v>
      </c>
      <c r="K1981" t="s">
        <v>4864</v>
      </c>
      <c r="L1981">
        <v>46302</v>
      </c>
      <c r="M1981">
        <v>98680</v>
      </c>
      <c r="N1981">
        <v>10</v>
      </c>
      <c r="O1981">
        <v>46296</v>
      </c>
      <c r="P1981">
        <v>220</v>
      </c>
    </row>
    <row r="1982" spans="1:16" x14ac:dyDescent="0.4">
      <c r="A1982">
        <v>2380</v>
      </c>
      <c r="B1982" t="s">
        <v>4915</v>
      </c>
      <c r="G1982" t="s">
        <v>723</v>
      </c>
      <c r="H1982" t="s">
        <v>4962</v>
      </c>
      <c r="I1982">
        <v>506</v>
      </c>
      <c r="K1982" t="s">
        <v>4864</v>
      </c>
      <c r="L1982">
        <v>46302</v>
      </c>
      <c r="M1982">
        <v>98680</v>
      </c>
      <c r="N1982">
        <v>10</v>
      </c>
      <c r="O1982">
        <v>46296</v>
      </c>
      <c r="P1982">
        <v>496</v>
      </c>
    </row>
    <row r="1983" spans="1:16" x14ac:dyDescent="0.4">
      <c r="A1983">
        <v>2381</v>
      </c>
      <c r="B1983" t="s">
        <v>4915</v>
      </c>
      <c r="G1983" t="s">
        <v>633</v>
      </c>
      <c r="H1983" t="s">
        <v>4963</v>
      </c>
      <c r="I1983">
        <v>159</v>
      </c>
      <c r="K1983" t="s">
        <v>4864</v>
      </c>
      <c r="L1983">
        <v>46302</v>
      </c>
      <c r="M1983">
        <v>98680</v>
      </c>
      <c r="N1983">
        <v>10</v>
      </c>
      <c r="O1983">
        <v>46296</v>
      </c>
      <c r="P1983">
        <v>149</v>
      </c>
    </row>
    <row r="1984" spans="1:16" x14ac:dyDescent="0.4">
      <c r="A1984">
        <v>2382</v>
      </c>
      <c r="B1984" t="s">
        <v>4915</v>
      </c>
      <c r="G1984" t="s">
        <v>631</v>
      </c>
      <c r="H1984" t="s">
        <v>4964</v>
      </c>
      <c r="I1984">
        <v>47</v>
      </c>
      <c r="K1984" t="s">
        <v>4864</v>
      </c>
      <c r="L1984">
        <v>46302</v>
      </c>
      <c r="M1984">
        <v>98680</v>
      </c>
      <c r="N1984">
        <v>10</v>
      </c>
      <c r="O1984">
        <v>46296</v>
      </c>
      <c r="P1984">
        <v>37</v>
      </c>
    </row>
    <row r="1985" spans="1:16" x14ac:dyDescent="0.4">
      <c r="A1985">
        <v>2383</v>
      </c>
      <c r="B1985" t="s">
        <v>4915</v>
      </c>
      <c r="G1985" t="s">
        <v>750</v>
      </c>
      <c r="H1985" t="s">
        <v>749</v>
      </c>
      <c r="I1985">
        <v>38</v>
      </c>
      <c r="K1985" t="s">
        <v>4956</v>
      </c>
      <c r="L1985">
        <v>46302</v>
      </c>
      <c r="M1985">
        <v>98680</v>
      </c>
      <c r="N1985">
        <v>10</v>
      </c>
      <c r="O1985">
        <v>46296</v>
      </c>
      <c r="P1985">
        <v>28</v>
      </c>
    </row>
    <row r="1986" spans="1:16" x14ac:dyDescent="0.4">
      <c r="A1986">
        <v>2458</v>
      </c>
      <c r="B1986" t="s">
        <v>4915</v>
      </c>
      <c r="G1986" t="s">
        <v>748</v>
      </c>
      <c r="H1986" t="s">
        <v>747</v>
      </c>
      <c r="I1986">
        <v>85</v>
      </c>
      <c r="K1986" t="s">
        <v>4956</v>
      </c>
      <c r="L1986">
        <v>46302</v>
      </c>
      <c r="M1986">
        <v>98680</v>
      </c>
      <c r="N1986">
        <v>10</v>
      </c>
      <c r="O1986">
        <v>46296</v>
      </c>
      <c r="P1986">
        <v>75</v>
      </c>
    </row>
    <row r="1987" spans="1:16" x14ac:dyDescent="0.4">
      <c r="A1987">
        <v>2385</v>
      </c>
      <c r="B1987" t="s">
        <v>4915</v>
      </c>
      <c r="G1987" t="s">
        <v>1005</v>
      </c>
      <c r="H1987" t="s">
        <v>1004</v>
      </c>
      <c r="I1987">
        <v>196</v>
      </c>
      <c r="K1987" t="s">
        <v>4871</v>
      </c>
      <c r="L1987">
        <v>46302</v>
      </c>
      <c r="M1987">
        <v>98680</v>
      </c>
      <c r="N1987">
        <v>10</v>
      </c>
      <c r="O1987">
        <v>46296</v>
      </c>
      <c r="P1987">
        <v>186</v>
      </c>
    </row>
    <row r="1988" spans="1:16" x14ac:dyDescent="0.4">
      <c r="A1988">
        <v>2459</v>
      </c>
      <c r="B1988" t="s">
        <v>4915</v>
      </c>
      <c r="G1988" t="s">
        <v>479</v>
      </c>
      <c r="H1988" t="s">
        <v>4959</v>
      </c>
      <c r="I1988">
        <v>88</v>
      </c>
      <c r="K1988" t="s">
        <v>4864</v>
      </c>
      <c r="L1988">
        <v>46302</v>
      </c>
      <c r="M1988">
        <v>98680</v>
      </c>
      <c r="N1988">
        <v>10</v>
      </c>
      <c r="O1988">
        <v>46296</v>
      </c>
      <c r="P1988">
        <v>78</v>
      </c>
    </row>
    <row r="1989" spans="1:16" x14ac:dyDescent="0.4">
      <c r="A1989">
        <v>2388</v>
      </c>
      <c r="B1989" t="s">
        <v>4915</v>
      </c>
      <c r="G1989" t="s">
        <v>2784</v>
      </c>
      <c r="H1989" t="s">
        <v>2783</v>
      </c>
      <c r="I1989">
        <v>160</v>
      </c>
      <c r="K1989" t="s">
        <v>4869</v>
      </c>
      <c r="L1989">
        <v>46302</v>
      </c>
      <c r="M1989">
        <v>98680</v>
      </c>
      <c r="N1989">
        <v>10</v>
      </c>
      <c r="O1989">
        <v>46296</v>
      </c>
      <c r="P1989">
        <v>150</v>
      </c>
    </row>
    <row r="1990" spans="1:16" x14ac:dyDescent="0.4">
      <c r="A1990">
        <v>2389</v>
      </c>
      <c r="B1990" t="s">
        <v>4915</v>
      </c>
      <c r="G1990" t="s">
        <v>2782</v>
      </c>
      <c r="H1990" t="s">
        <v>2781</v>
      </c>
      <c r="I1990">
        <v>169</v>
      </c>
      <c r="K1990" t="s">
        <v>4869</v>
      </c>
      <c r="L1990">
        <v>46302</v>
      </c>
      <c r="M1990">
        <v>98680</v>
      </c>
      <c r="N1990">
        <v>10</v>
      </c>
      <c r="O1990">
        <v>46296</v>
      </c>
      <c r="P1990">
        <v>159</v>
      </c>
    </row>
    <row r="1991" spans="1:16" x14ac:dyDescent="0.4">
      <c r="A1991">
        <v>2391</v>
      </c>
      <c r="B1991" t="s">
        <v>4915</v>
      </c>
      <c r="G1991" t="s">
        <v>2601</v>
      </c>
      <c r="H1991" t="s">
        <v>2600</v>
      </c>
      <c r="I1991">
        <v>31</v>
      </c>
      <c r="K1991" t="s">
        <v>4851</v>
      </c>
      <c r="L1991">
        <v>46302</v>
      </c>
      <c r="M1991">
        <v>98680</v>
      </c>
      <c r="N1991">
        <v>16</v>
      </c>
      <c r="O1991">
        <v>46296</v>
      </c>
      <c r="P1991">
        <v>15</v>
      </c>
    </row>
    <row r="1992" spans="1:16" x14ac:dyDescent="0.4">
      <c r="A1992">
        <v>2390</v>
      </c>
      <c r="B1992" t="s">
        <v>4915</v>
      </c>
      <c r="G1992" t="s">
        <v>2553</v>
      </c>
      <c r="H1992" t="s">
        <v>2552</v>
      </c>
      <c r="I1992">
        <v>152</v>
      </c>
      <c r="K1992" t="s">
        <v>4871</v>
      </c>
      <c r="L1992">
        <v>46302</v>
      </c>
      <c r="M1992">
        <v>98680</v>
      </c>
      <c r="N1992">
        <v>20</v>
      </c>
      <c r="O1992">
        <v>46296</v>
      </c>
      <c r="P1992">
        <v>132</v>
      </c>
    </row>
    <row r="1993" spans="1:16" x14ac:dyDescent="0.4">
      <c r="A1993">
        <v>1499</v>
      </c>
      <c r="B1993" t="s">
        <v>4915</v>
      </c>
      <c r="G1993" t="s">
        <v>2509</v>
      </c>
      <c r="H1993" t="s">
        <v>2508</v>
      </c>
      <c r="I1993">
        <v>318</v>
      </c>
      <c r="K1993" t="s">
        <v>5060</v>
      </c>
      <c r="L1993">
        <v>46282</v>
      </c>
      <c r="M1993">
        <v>98680</v>
      </c>
      <c r="N1993">
        <v>20</v>
      </c>
      <c r="O1993">
        <v>46296</v>
      </c>
      <c r="P1993">
        <v>298</v>
      </c>
    </row>
    <row r="1994" spans="1:16" x14ac:dyDescent="0.4">
      <c r="A1994">
        <v>2012</v>
      </c>
      <c r="B1994" t="s">
        <v>4915</v>
      </c>
      <c r="G1994" t="s">
        <v>2641</v>
      </c>
      <c r="H1994" t="s">
        <v>2640</v>
      </c>
      <c r="I1994">
        <v>30</v>
      </c>
      <c r="K1994" t="s">
        <v>4869</v>
      </c>
      <c r="L1994">
        <v>46293</v>
      </c>
      <c r="M1994">
        <v>99010</v>
      </c>
      <c r="N1994">
        <v>10</v>
      </c>
      <c r="O1994">
        <v>46282</v>
      </c>
      <c r="P1994">
        <v>20</v>
      </c>
    </row>
    <row r="1995" spans="1:16" x14ac:dyDescent="0.4">
      <c r="A1995">
        <v>1694</v>
      </c>
      <c r="B1995" t="s">
        <v>4915</v>
      </c>
      <c r="G1995" t="s">
        <v>5031</v>
      </c>
      <c r="H1995">
        <v>0</v>
      </c>
      <c r="I1995">
        <v>56</v>
      </c>
      <c r="K1995" t="s">
        <v>5032</v>
      </c>
      <c r="L1995">
        <v>46279</v>
      </c>
      <c r="M1995">
        <v>99010</v>
      </c>
      <c r="N1995">
        <v>10</v>
      </c>
      <c r="O1995">
        <v>46282</v>
      </c>
      <c r="P1995">
        <v>46</v>
      </c>
    </row>
    <row r="1996" spans="1:16" x14ac:dyDescent="0.4">
      <c r="A1996">
        <v>1867</v>
      </c>
      <c r="B1996" t="s">
        <v>4915</v>
      </c>
      <c r="G1996" t="s">
        <v>385</v>
      </c>
      <c r="H1996" t="s">
        <v>384</v>
      </c>
      <c r="I1996">
        <v>126</v>
      </c>
      <c r="K1996" t="s">
        <v>4944</v>
      </c>
      <c r="L1996">
        <v>46295</v>
      </c>
      <c r="M1996">
        <v>99010</v>
      </c>
      <c r="N1996">
        <v>20</v>
      </c>
      <c r="O1996">
        <v>46282</v>
      </c>
      <c r="P1996">
        <v>106</v>
      </c>
    </row>
    <row r="1997" spans="1:16" x14ac:dyDescent="0.4">
      <c r="A1997">
        <v>1896</v>
      </c>
      <c r="B1997" t="s">
        <v>4915</v>
      </c>
      <c r="G1997" t="s">
        <v>1190</v>
      </c>
      <c r="H1997" t="s">
        <v>1189</v>
      </c>
      <c r="I1997">
        <v>195</v>
      </c>
      <c r="K1997" t="s">
        <v>4953</v>
      </c>
      <c r="L1997">
        <v>46295</v>
      </c>
      <c r="M1997">
        <v>99010</v>
      </c>
      <c r="N1997">
        <v>10</v>
      </c>
      <c r="O1997">
        <v>46282</v>
      </c>
      <c r="P1997">
        <v>185</v>
      </c>
    </row>
    <row r="1998" spans="1:16" x14ac:dyDescent="0.4">
      <c r="A1998">
        <v>646</v>
      </c>
      <c r="B1998" t="s">
        <v>4915</v>
      </c>
      <c r="D1998" t="s">
        <v>4916</v>
      </c>
      <c r="G1998" t="s">
        <v>1580</v>
      </c>
      <c r="H1998" t="s">
        <v>1579</v>
      </c>
      <c r="I1998">
        <v>103</v>
      </c>
      <c r="K1998" t="s">
        <v>5041</v>
      </c>
      <c r="L1998">
        <v>46273</v>
      </c>
      <c r="M1998">
        <v>99011</v>
      </c>
      <c r="N1998">
        <v>10</v>
      </c>
      <c r="O1998">
        <v>46283</v>
      </c>
      <c r="P1998">
        <v>93</v>
      </c>
    </row>
    <row r="1999" spans="1:16" x14ac:dyDescent="0.4">
      <c r="A1999">
        <v>797</v>
      </c>
      <c r="B1999" t="s">
        <v>4915</v>
      </c>
      <c r="G1999" t="s">
        <v>1354</v>
      </c>
      <c r="H1999" t="s">
        <v>1353</v>
      </c>
      <c r="I1999">
        <v>120</v>
      </c>
      <c r="K1999" t="s">
        <v>4957</v>
      </c>
      <c r="L1999">
        <v>46274</v>
      </c>
      <c r="M1999">
        <v>99011</v>
      </c>
      <c r="N1999">
        <v>10</v>
      </c>
      <c r="O1999">
        <v>46283</v>
      </c>
      <c r="P1999">
        <v>110</v>
      </c>
    </row>
    <row r="2000" spans="1:16" x14ac:dyDescent="0.4">
      <c r="A2000">
        <v>801</v>
      </c>
      <c r="B2000" t="s">
        <v>4915</v>
      </c>
      <c r="G2000" t="s">
        <v>2778</v>
      </c>
      <c r="H2000" t="s">
        <v>2777</v>
      </c>
      <c r="I2000">
        <v>126</v>
      </c>
      <c r="K2000" t="s">
        <v>4949</v>
      </c>
      <c r="L2000">
        <v>46274</v>
      </c>
      <c r="M2000">
        <v>99011</v>
      </c>
      <c r="N2000">
        <v>10</v>
      </c>
      <c r="O2000">
        <v>46283</v>
      </c>
      <c r="P2000">
        <v>116</v>
      </c>
    </row>
    <row r="2001" spans="1:16" x14ac:dyDescent="0.4">
      <c r="A2001">
        <v>649</v>
      </c>
      <c r="B2001" t="s">
        <v>4915</v>
      </c>
      <c r="D2001" t="s">
        <v>4916</v>
      </c>
      <c r="G2001" t="s">
        <v>1289</v>
      </c>
      <c r="H2001" t="s">
        <v>1288</v>
      </c>
      <c r="I2001">
        <v>132</v>
      </c>
      <c r="K2001" t="s">
        <v>4999</v>
      </c>
      <c r="L2001">
        <v>46273</v>
      </c>
      <c r="M2001">
        <v>99011</v>
      </c>
      <c r="N2001">
        <v>10</v>
      </c>
      <c r="O2001">
        <v>46283</v>
      </c>
      <c r="P2001">
        <v>122</v>
      </c>
    </row>
    <row r="2002" spans="1:16" x14ac:dyDescent="0.4">
      <c r="A2002">
        <v>635</v>
      </c>
      <c r="B2002" t="s">
        <v>4915</v>
      </c>
      <c r="D2002" t="s">
        <v>4916</v>
      </c>
      <c r="G2002" t="s">
        <v>5157</v>
      </c>
      <c r="H2002" t="s">
        <v>703</v>
      </c>
      <c r="I2002">
        <v>139</v>
      </c>
      <c r="K2002" t="s">
        <v>5036</v>
      </c>
      <c r="L2002">
        <v>46273</v>
      </c>
      <c r="M2002">
        <v>99011</v>
      </c>
      <c r="N2002">
        <v>10</v>
      </c>
      <c r="O2002">
        <v>46283</v>
      </c>
      <c r="P2002">
        <v>129</v>
      </c>
    </row>
    <row r="2003" spans="1:16" x14ac:dyDescent="0.4">
      <c r="A2003">
        <v>641</v>
      </c>
      <c r="B2003" t="s">
        <v>4915</v>
      </c>
      <c r="D2003" t="s">
        <v>4916</v>
      </c>
      <c r="G2003" t="s">
        <v>1638</v>
      </c>
      <c r="H2003" t="s">
        <v>1637</v>
      </c>
      <c r="I2003">
        <v>151</v>
      </c>
      <c r="K2003" t="s">
        <v>5038</v>
      </c>
      <c r="L2003">
        <v>46273</v>
      </c>
      <c r="M2003">
        <v>99011</v>
      </c>
      <c r="N2003">
        <v>10</v>
      </c>
      <c r="O2003">
        <v>46283</v>
      </c>
      <c r="P2003">
        <v>141</v>
      </c>
    </row>
    <row r="2004" spans="1:16" x14ac:dyDescent="0.4">
      <c r="A2004">
        <v>1144</v>
      </c>
      <c r="B2004" t="s">
        <v>4915</v>
      </c>
      <c r="G2004" t="s">
        <v>1318</v>
      </c>
      <c r="H2004" t="s">
        <v>1317</v>
      </c>
      <c r="I2004">
        <v>163</v>
      </c>
      <c r="K2004" t="s">
        <v>4999</v>
      </c>
      <c r="L2004">
        <v>46276</v>
      </c>
      <c r="M2004">
        <v>99011</v>
      </c>
      <c r="N2004">
        <v>10</v>
      </c>
      <c r="O2004">
        <v>46283</v>
      </c>
      <c r="P2004">
        <v>153</v>
      </c>
    </row>
    <row r="2005" spans="1:16" x14ac:dyDescent="0.4">
      <c r="A2005">
        <v>638</v>
      </c>
      <c r="B2005" t="s">
        <v>4915</v>
      </c>
      <c r="D2005" t="s">
        <v>4916</v>
      </c>
      <c r="G2005" t="s">
        <v>1594</v>
      </c>
      <c r="H2005" t="s">
        <v>1593</v>
      </c>
      <c r="I2005">
        <v>179</v>
      </c>
      <c r="K2005" t="s">
        <v>5037</v>
      </c>
      <c r="L2005">
        <v>46273</v>
      </c>
      <c r="M2005">
        <v>99011</v>
      </c>
      <c r="N2005">
        <v>10</v>
      </c>
      <c r="O2005">
        <v>46283</v>
      </c>
      <c r="P2005">
        <v>169</v>
      </c>
    </row>
    <row r="2006" spans="1:16" x14ac:dyDescent="0.4">
      <c r="A2006">
        <v>644</v>
      </c>
      <c r="B2006" t="s">
        <v>4915</v>
      </c>
      <c r="D2006" t="s">
        <v>4916</v>
      </c>
      <c r="G2006" t="s">
        <v>1618</v>
      </c>
      <c r="H2006" t="s">
        <v>1617</v>
      </c>
      <c r="I2006">
        <v>188</v>
      </c>
      <c r="K2006" t="s">
        <v>4867</v>
      </c>
      <c r="L2006">
        <v>46273</v>
      </c>
      <c r="M2006">
        <v>99011</v>
      </c>
      <c r="N2006">
        <v>10</v>
      </c>
      <c r="O2006">
        <v>46283</v>
      </c>
      <c r="P2006">
        <v>178</v>
      </c>
    </row>
    <row r="2007" spans="1:16" x14ac:dyDescent="0.4">
      <c r="A2007">
        <v>636</v>
      </c>
      <c r="B2007" t="s">
        <v>4915</v>
      </c>
      <c r="D2007" t="s">
        <v>4916</v>
      </c>
      <c r="G2007" t="s">
        <v>1598</v>
      </c>
      <c r="H2007" t="s">
        <v>1597</v>
      </c>
      <c r="I2007">
        <v>227</v>
      </c>
      <c r="K2007" t="s">
        <v>5037</v>
      </c>
      <c r="L2007">
        <v>46273</v>
      </c>
      <c r="M2007">
        <v>99011</v>
      </c>
      <c r="N2007">
        <v>10</v>
      </c>
      <c r="O2007">
        <v>46283</v>
      </c>
      <c r="P2007">
        <v>217</v>
      </c>
    </row>
    <row r="2008" spans="1:16" x14ac:dyDescent="0.4">
      <c r="A2008">
        <v>637</v>
      </c>
      <c r="B2008" t="s">
        <v>4915</v>
      </c>
      <c r="D2008" t="s">
        <v>4916</v>
      </c>
      <c r="G2008" t="s">
        <v>1596</v>
      </c>
      <c r="H2008" t="s">
        <v>1595</v>
      </c>
      <c r="I2008">
        <v>322</v>
      </c>
      <c r="K2008" t="s">
        <v>5037</v>
      </c>
      <c r="L2008">
        <v>46273</v>
      </c>
      <c r="M2008">
        <v>99011</v>
      </c>
      <c r="N2008">
        <v>10</v>
      </c>
      <c r="O2008">
        <v>46283</v>
      </c>
      <c r="P2008">
        <v>312</v>
      </c>
    </row>
    <row r="2009" spans="1:16" x14ac:dyDescent="0.4">
      <c r="A2009">
        <v>820</v>
      </c>
      <c r="B2009" t="s">
        <v>4915</v>
      </c>
      <c r="G2009" t="s">
        <v>1167</v>
      </c>
      <c r="H2009" t="s">
        <v>1166</v>
      </c>
      <c r="I2009">
        <v>354</v>
      </c>
      <c r="K2009" t="s">
        <v>4952</v>
      </c>
      <c r="L2009">
        <v>46275</v>
      </c>
      <c r="M2009">
        <v>99011</v>
      </c>
      <c r="N2009">
        <v>10</v>
      </c>
      <c r="O2009">
        <v>46283</v>
      </c>
      <c r="P2009">
        <v>344</v>
      </c>
    </row>
    <row r="2010" spans="1:16" x14ac:dyDescent="0.4">
      <c r="A2010">
        <v>821</v>
      </c>
      <c r="B2010" t="s">
        <v>4915</v>
      </c>
      <c r="G2010" t="s">
        <v>1173</v>
      </c>
      <c r="H2010" t="s">
        <v>1172</v>
      </c>
      <c r="I2010">
        <v>359</v>
      </c>
      <c r="K2010" t="s">
        <v>4952</v>
      </c>
      <c r="L2010">
        <v>46275</v>
      </c>
      <c r="M2010">
        <v>99011</v>
      </c>
      <c r="N2010">
        <v>10</v>
      </c>
      <c r="O2010">
        <v>46283</v>
      </c>
      <c r="P2010">
        <v>349</v>
      </c>
    </row>
    <row r="2011" spans="1:16" x14ac:dyDescent="0.4">
      <c r="A2011">
        <v>643</v>
      </c>
      <c r="B2011" t="s">
        <v>4915</v>
      </c>
      <c r="D2011" t="s">
        <v>4916</v>
      </c>
      <c r="G2011" t="s">
        <v>1342</v>
      </c>
      <c r="H2011" t="s">
        <v>1341</v>
      </c>
      <c r="I2011">
        <v>389</v>
      </c>
      <c r="K2011" t="s">
        <v>5039</v>
      </c>
      <c r="L2011">
        <v>46273</v>
      </c>
      <c r="M2011">
        <v>99011</v>
      </c>
      <c r="N2011">
        <v>10</v>
      </c>
      <c r="O2011">
        <v>46283</v>
      </c>
      <c r="P2011">
        <v>379</v>
      </c>
    </row>
    <row r="2012" spans="1:16" x14ac:dyDescent="0.4">
      <c r="A2012">
        <v>799</v>
      </c>
      <c r="B2012" t="s">
        <v>4915</v>
      </c>
      <c r="G2012" t="s">
        <v>2746</v>
      </c>
      <c r="H2012" t="s">
        <v>2745</v>
      </c>
      <c r="I2012">
        <v>447</v>
      </c>
      <c r="K2012" t="s">
        <v>4948</v>
      </c>
      <c r="L2012">
        <v>46274</v>
      </c>
      <c r="M2012">
        <v>99011</v>
      </c>
      <c r="N2012">
        <v>10</v>
      </c>
      <c r="O2012">
        <v>46283</v>
      </c>
      <c r="P2012">
        <v>437</v>
      </c>
    </row>
    <row r="2013" spans="1:16" x14ac:dyDescent="0.4">
      <c r="A2013">
        <v>796</v>
      </c>
      <c r="B2013" t="s">
        <v>4915</v>
      </c>
      <c r="G2013" t="s">
        <v>2780</v>
      </c>
      <c r="H2013" t="s">
        <v>2779</v>
      </c>
      <c r="I2013">
        <v>581</v>
      </c>
      <c r="K2013" t="s">
        <v>4949</v>
      </c>
      <c r="L2013">
        <v>46274</v>
      </c>
      <c r="M2013">
        <v>99011</v>
      </c>
      <c r="N2013">
        <v>10</v>
      </c>
      <c r="O2013">
        <v>46283</v>
      </c>
      <c r="P2013">
        <v>571</v>
      </c>
    </row>
    <row r="2014" spans="1:16" x14ac:dyDescent="0.4">
      <c r="A2014">
        <v>632</v>
      </c>
      <c r="B2014" t="s">
        <v>4915</v>
      </c>
      <c r="D2014" t="s">
        <v>4916</v>
      </c>
      <c r="G2014" t="s">
        <v>2645</v>
      </c>
      <c r="H2014" t="s">
        <v>2644</v>
      </c>
      <c r="I2014">
        <v>598</v>
      </c>
      <c r="K2014" t="s">
        <v>4869</v>
      </c>
      <c r="L2014">
        <v>46273</v>
      </c>
      <c r="M2014">
        <v>99011</v>
      </c>
      <c r="N2014">
        <v>10</v>
      </c>
      <c r="O2014">
        <v>46283</v>
      </c>
      <c r="P2014">
        <v>588</v>
      </c>
    </row>
    <row r="2015" spans="1:16" x14ac:dyDescent="0.4">
      <c r="A2015">
        <v>631</v>
      </c>
      <c r="B2015" t="s">
        <v>4915</v>
      </c>
      <c r="D2015" t="s">
        <v>4916</v>
      </c>
      <c r="G2015" t="s">
        <v>2792</v>
      </c>
      <c r="H2015" t="s">
        <v>2791</v>
      </c>
      <c r="I2015">
        <v>925</v>
      </c>
      <c r="K2015" t="s">
        <v>4869</v>
      </c>
      <c r="L2015">
        <v>46273</v>
      </c>
      <c r="M2015">
        <v>99011</v>
      </c>
      <c r="N2015">
        <v>10</v>
      </c>
      <c r="O2015">
        <v>46283</v>
      </c>
      <c r="P2015">
        <v>915</v>
      </c>
    </row>
    <row r="2016" spans="1:16" x14ac:dyDescent="0.4">
      <c r="A2016">
        <v>651</v>
      </c>
      <c r="B2016" t="s">
        <v>4915</v>
      </c>
      <c r="D2016" t="s">
        <v>4916</v>
      </c>
      <c r="G2016" t="s">
        <v>1556</v>
      </c>
      <c r="H2016" t="s">
        <v>1555</v>
      </c>
      <c r="I2016">
        <v>955</v>
      </c>
      <c r="K2016" t="s">
        <v>4851</v>
      </c>
      <c r="L2016">
        <v>46273</v>
      </c>
      <c r="M2016">
        <v>99011</v>
      </c>
      <c r="N2016">
        <v>10</v>
      </c>
      <c r="O2016">
        <v>46283</v>
      </c>
      <c r="P2016">
        <v>945</v>
      </c>
    </row>
    <row r="2017" spans="1:16" x14ac:dyDescent="0.4">
      <c r="A2017">
        <v>802</v>
      </c>
      <c r="B2017" t="s">
        <v>4915</v>
      </c>
      <c r="G2017" t="s">
        <v>2842</v>
      </c>
      <c r="H2017" t="s">
        <v>2841</v>
      </c>
      <c r="I2017">
        <v>38</v>
      </c>
      <c r="K2017" t="s">
        <v>4869</v>
      </c>
      <c r="L2017">
        <v>46275</v>
      </c>
      <c r="M2017">
        <v>99012</v>
      </c>
      <c r="N2017">
        <v>10</v>
      </c>
      <c r="O2017">
        <v>46283</v>
      </c>
      <c r="P2017">
        <v>28</v>
      </c>
    </row>
    <row r="2018" spans="1:16" x14ac:dyDescent="0.4">
      <c r="A2018">
        <v>804</v>
      </c>
      <c r="B2018" t="s">
        <v>4915</v>
      </c>
      <c r="G2018" t="s">
        <v>1050</v>
      </c>
      <c r="H2018" t="s">
        <v>1049</v>
      </c>
      <c r="I2018">
        <v>60</v>
      </c>
      <c r="K2018" t="s">
        <v>4943</v>
      </c>
      <c r="L2018">
        <v>46275</v>
      </c>
      <c r="M2018">
        <v>99012</v>
      </c>
      <c r="N2018">
        <v>10</v>
      </c>
      <c r="O2018">
        <v>46283</v>
      </c>
      <c r="P2018">
        <v>50</v>
      </c>
    </row>
    <row r="2019" spans="1:16" x14ac:dyDescent="0.4">
      <c r="A2019">
        <v>805</v>
      </c>
      <c r="B2019" t="s">
        <v>4915</v>
      </c>
      <c r="G2019" t="s">
        <v>1052</v>
      </c>
      <c r="H2019" t="s">
        <v>1051</v>
      </c>
      <c r="I2019">
        <v>60</v>
      </c>
      <c r="K2019" t="s">
        <v>4943</v>
      </c>
      <c r="L2019">
        <v>46275</v>
      </c>
      <c r="M2019">
        <v>99012</v>
      </c>
      <c r="N2019">
        <v>10</v>
      </c>
      <c r="O2019">
        <v>46283</v>
      </c>
      <c r="P2019">
        <v>50</v>
      </c>
    </row>
    <row r="2020" spans="1:16" x14ac:dyDescent="0.4">
      <c r="A2020">
        <v>806</v>
      </c>
      <c r="B2020" t="s">
        <v>4915</v>
      </c>
      <c r="G2020" t="s">
        <v>2765</v>
      </c>
      <c r="H2020" t="s">
        <v>2764</v>
      </c>
      <c r="I2020">
        <v>86</v>
      </c>
      <c r="K2020" t="s">
        <v>4945</v>
      </c>
      <c r="L2020">
        <v>46275</v>
      </c>
      <c r="M2020">
        <v>99012</v>
      </c>
      <c r="N2020">
        <v>10</v>
      </c>
      <c r="O2020">
        <v>46283</v>
      </c>
      <c r="P2020">
        <v>76</v>
      </c>
    </row>
    <row r="2021" spans="1:16" x14ac:dyDescent="0.4">
      <c r="A2021">
        <v>545</v>
      </c>
      <c r="B2021" t="s">
        <v>4915</v>
      </c>
      <c r="D2021" t="s">
        <v>4916</v>
      </c>
      <c r="G2021" t="s">
        <v>1605</v>
      </c>
      <c r="H2021" t="s">
        <v>1604</v>
      </c>
      <c r="I2021">
        <v>100</v>
      </c>
      <c r="K2021" t="s">
        <v>5027</v>
      </c>
      <c r="L2021">
        <v>46273</v>
      </c>
      <c r="M2021">
        <v>99012</v>
      </c>
      <c r="N2021">
        <v>10</v>
      </c>
      <c r="O2021">
        <v>46283</v>
      </c>
      <c r="P2021">
        <v>90</v>
      </c>
    </row>
    <row r="2022" spans="1:16" x14ac:dyDescent="0.4">
      <c r="A2022">
        <v>807</v>
      </c>
      <c r="B2022" t="s">
        <v>4915</v>
      </c>
      <c r="G2022" t="s">
        <v>2706</v>
      </c>
      <c r="H2022" t="s">
        <v>2705</v>
      </c>
      <c r="I2022">
        <v>100</v>
      </c>
      <c r="K2022" t="s">
        <v>4948</v>
      </c>
      <c r="L2022">
        <v>46275</v>
      </c>
      <c r="M2022">
        <v>99012</v>
      </c>
      <c r="N2022">
        <v>10</v>
      </c>
      <c r="O2022">
        <v>46283</v>
      </c>
      <c r="P2022">
        <v>90</v>
      </c>
    </row>
    <row r="2023" spans="1:16" x14ac:dyDescent="0.4">
      <c r="A2023">
        <v>832</v>
      </c>
      <c r="B2023" t="s">
        <v>4915</v>
      </c>
      <c r="G2023" t="s">
        <v>2771</v>
      </c>
      <c r="H2023" t="s">
        <v>2770</v>
      </c>
      <c r="I2023">
        <v>110</v>
      </c>
      <c r="K2023" t="s">
        <v>4949</v>
      </c>
      <c r="L2023">
        <v>46274</v>
      </c>
      <c r="M2023">
        <v>99012</v>
      </c>
      <c r="N2023">
        <v>10</v>
      </c>
      <c r="O2023">
        <v>46283</v>
      </c>
      <c r="P2023">
        <v>100</v>
      </c>
    </row>
    <row r="2024" spans="1:16" x14ac:dyDescent="0.4">
      <c r="A2024">
        <v>812</v>
      </c>
      <c r="B2024" t="s">
        <v>4915</v>
      </c>
      <c r="G2024" t="s">
        <v>1328</v>
      </c>
      <c r="H2024" t="s">
        <v>4941</v>
      </c>
      <c r="I2024">
        <v>138</v>
      </c>
      <c r="K2024" t="s">
        <v>4942</v>
      </c>
      <c r="L2024">
        <v>46275</v>
      </c>
      <c r="M2024">
        <v>99012</v>
      </c>
      <c r="N2024">
        <v>20</v>
      </c>
      <c r="O2024">
        <v>46283</v>
      </c>
      <c r="P2024">
        <v>118</v>
      </c>
    </row>
    <row r="2025" spans="1:16" x14ac:dyDescent="0.4">
      <c r="A2025">
        <v>808</v>
      </c>
      <c r="B2025" t="s">
        <v>4915</v>
      </c>
      <c r="G2025" t="s">
        <v>2813</v>
      </c>
      <c r="H2025" t="s">
        <v>2812</v>
      </c>
      <c r="I2025">
        <v>156</v>
      </c>
      <c r="K2025" t="s">
        <v>4947</v>
      </c>
      <c r="L2025">
        <v>46275</v>
      </c>
      <c r="M2025">
        <v>99012</v>
      </c>
      <c r="N2025">
        <v>10</v>
      </c>
      <c r="O2025">
        <v>46283</v>
      </c>
      <c r="P2025">
        <v>146</v>
      </c>
    </row>
    <row r="2026" spans="1:16" x14ac:dyDescent="0.4">
      <c r="A2026">
        <v>544</v>
      </c>
      <c r="B2026" t="s">
        <v>4915</v>
      </c>
      <c r="D2026" t="s">
        <v>4916</v>
      </c>
      <c r="G2026" t="s">
        <v>1589</v>
      </c>
      <c r="H2026" t="s">
        <v>1588</v>
      </c>
      <c r="I2026">
        <v>160</v>
      </c>
      <c r="K2026" t="s">
        <v>5026</v>
      </c>
      <c r="L2026">
        <v>46273</v>
      </c>
      <c r="M2026">
        <v>99012</v>
      </c>
      <c r="N2026">
        <v>10</v>
      </c>
      <c r="O2026">
        <v>46283</v>
      </c>
      <c r="P2026">
        <v>150</v>
      </c>
    </row>
    <row r="2027" spans="1:16" x14ac:dyDescent="0.4">
      <c r="A2027">
        <v>809</v>
      </c>
      <c r="B2027" t="s">
        <v>4915</v>
      </c>
      <c r="G2027" t="s">
        <v>2655</v>
      </c>
      <c r="H2027" t="s">
        <v>2654</v>
      </c>
      <c r="I2027">
        <v>165</v>
      </c>
      <c r="K2027" t="s">
        <v>4948</v>
      </c>
      <c r="L2027">
        <v>46275</v>
      </c>
      <c r="M2027">
        <v>99012</v>
      </c>
      <c r="N2027">
        <v>10</v>
      </c>
      <c r="O2027">
        <v>46283</v>
      </c>
      <c r="P2027">
        <v>155</v>
      </c>
    </row>
    <row r="2028" spans="1:16" x14ac:dyDescent="0.4">
      <c r="A2028">
        <v>810</v>
      </c>
      <c r="B2028" t="s">
        <v>4915</v>
      </c>
      <c r="G2028" t="s">
        <v>2762</v>
      </c>
      <c r="H2028" t="s">
        <v>2761</v>
      </c>
      <c r="I2028">
        <v>165</v>
      </c>
      <c r="K2028" t="s">
        <v>4945</v>
      </c>
      <c r="L2028">
        <v>46275</v>
      </c>
      <c r="M2028">
        <v>99012</v>
      </c>
      <c r="N2028">
        <v>10</v>
      </c>
      <c r="O2028">
        <v>46283</v>
      </c>
      <c r="P2028">
        <v>155</v>
      </c>
    </row>
    <row r="2029" spans="1:16" x14ac:dyDescent="0.4">
      <c r="A2029">
        <v>811</v>
      </c>
      <c r="B2029" t="s">
        <v>4915</v>
      </c>
      <c r="G2029" t="s">
        <v>2879</v>
      </c>
      <c r="H2029" t="s">
        <v>2878</v>
      </c>
      <c r="I2029">
        <v>174</v>
      </c>
      <c r="K2029" t="s">
        <v>4946</v>
      </c>
      <c r="L2029">
        <v>46275</v>
      </c>
      <c r="M2029">
        <v>99012</v>
      </c>
      <c r="N2029">
        <v>10</v>
      </c>
      <c r="O2029">
        <v>46283</v>
      </c>
      <c r="P2029">
        <v>164</v>
      </c>
    </row>
    <row r="2030" spans="1:16" x14ac:dyDescent="0.4">
      <c r="A2030">
        <v>813</v>
      </c>
      <c r="B2030" t="s">
        <v>4915</v>
      </c>
      <c r="G2030" t="s">
        <v>1148</v>
      </c>
      <c r="H2030" t="s">
        <v>1147</v>
      </c>
      <c r="I2030">
        <v>193</v>
      </c>
      <c r="K2030" t="s">
        <v>4851</v>
      </c>
      <c r="L2030">
        <v>46275</v>
      </c>
      <c r="M2030">
        <v>99012</v>
      </c>
      <c r="N2030">
        <v>10</v>
      </c>
      <c r="O2030">
        <v>46283</v>
      </c>
      <c r="P2030">
        <v>183</v>
      </c>
    </row>
    <row r="2031" spans="1:16" x14ac:dyDescent="0.4">
      <c r="A2031">
        <v>539</v>
      </c>
      <c r="B2031" t="s">
        <v>4915</v>
      </c>
      <c r="D2031" t="s">
        <v>4916</v>
      </c>
      <c r="G2031" t="s">
        <v>2748</v>
      </c>
      <c r="H2031" t="s">
        <v>2747</v>
      </c>
      <c r="I2031">
        <v>197</v>
      </c>
      <c r="K2031" t="s">
        <v>4869</v>
      </c>
      <c r="L2031">
        <v>46273</v>
      </c>
      <c r="M2031">
        <v>99012</v>
      </c>
      <c r="N2031">
        <v>10</v>
      </c>
      <c r="O2031">
        <v>46283</v>
      </c>
      <c r="P2031">
        <v>187</v>
      </c>
    </row>
    <row r="2032" spans="1:16" x14ac:dyDescent="0.4">
      <c r="A2032">
        <v>1411</v>
      </c>
      <c r="B2032" t="s">
        <v>4915</v>
      </c>
      <c r="D2032" t="s">
        <v>4901</v>
      </c>
      <c r="E2032" t="s">
        <v>5163</v>
      </c>
      <c r="F2032" t="s">
        <v>4937</v>
      </c>
      <c r="G2032" t="s">
        <v>477</v>
      </c>
      <c r="H2032" t="s">
        <v>476</v>
      </c>
      <c r="I2032">
        <v>200</v>
      </c>
      <c r="K2032" t="s">
        <v>4851</v>
      </c>
      <c r="L2032">
        <v>46281</v>
      </c>
      <c r="M2032">
        <v>99012</v>
      </c>
      <c r="N2032">
        <v>10</v>
      </c>
      <c r="O2032">
        <v>46283</v>
      </c>
      <c r="P2032">
        <v>190</v>
      </c>
    </row>
    <row r="2033" spans="1:16" x14ac:dyDescent="0.4">
      <c r="A2033">
        <v>2505</v>
      </c>
      <c r="B2033" t="s">
        <v>4915</v>
      </c>
      <c r="G2033" t="s">
        <v>2638</v>
      </c>
      <c r="H2033" t="s">
        <v>2637</v>
      </c>
      <c r="I2033">
        <v>230</v>
      </c>
      <c r="K2033" t="s">
        <v>4869</v>
      </c>
      <c r="L2033">
        <v>46297</v>
      </c>
      <c r="M2033">
        <v>99012</v>
      </c>
      <c r="N2033">
        <v>10</v>
      </c>
      <c r="O2033">
        <v>46297</v>
      </c>
      <c r="P2033">
        <v>220</v>
      </c>
    </row>
    <row r="2034" spans="1:16" x14ac:dyDescent="0.4">
      <c r="A2034">
        <v>814</v>
      </c>
      <c r="B2034" t="s">
        <v>4915</v>
      </c>
      <c r="G2034" t="s">
        <v>2755</v>
      </c>
      <c r="H2034" t="s">
        <v>2754</v>
      </c>
      <c r="I2034">
        <v>237</v>
      </c>
      <c r="K2034" t="s">
        <v>4869</v>
      </c>
      <c r="L2034">
        <v>46275</v>
      </c>
      <c r="M2034">
        <v>99012</v>
      </c>
      <c r="N2034">
        <v>10</v>
      </c>
      <c r="O2034">
        <v>46283</v>
      </c>
      <c r="P2034">
        <v>227</v>
      </c>
    </row>
    <row r="2035" spans="1:16" x14ac:dyDescent="0.4">
      <c r="A2035">
        <v>815</v>
      </c>
      <c r="B2035" t="s">
        <v>4915</v>
      </c>
      <c r="G2035" t="s">
        <v>2671</v>
      </c>
      <c r="H2035" t="s">
        <v>2670</v>
      </c>
      <c r="I2035">
        <v>240</v>
      </c>
      <c r="K2035" t="s">
        <v>4872</v>
      </c>
      <c r="L2035">
        <v>46275</v>
      </c>
      <c r="M2035">
        <v>99012</v>
      </c>
      <c r="N2035">
        <v>10</v>
      </c>
      <c r="O2035">
        <v>46283</v>
      </c>
      <c r="P2035">
        <v>230</v>
      </c>
    </row>
    <row r="2036" spans="1:16" x14ac:dyDescent="0.4">
      <c r="A2036">
        <v>816</v>
      </c>
      <c r="B2036" t="s">
        <v>4915</v>
      </c>
      <c r="G2036" t="s">
        <v>2753</v>
      </c>
      <c r="H2036" t="s">
        <v>2752</v>
      </c>
      <c r="I2036">
        <v>242</v>
      </c>
      <c r="K2036" t="s">
        <v>4872</v>
      </c>
      <c r="L2036">
        <v>46275</v>
      </c>
      <c r="M2036">
        <v>99012</v>
      </c>
      <c r="N2036">
        <v>10</v>
      </c>
      <c r="O2036">
        <v>46283</v>
      </c>
      <c r="P2036">
        <v>232</v>
      </c>
    </row>
    <row r="2037" spans="1:16" x14ac:dyDescent="0.4">
      <c r="A2037">
        <v>817</v>
      </c>
      <c r="B2037" t="s">
        <v>4915</v>
      </c>
      <c r="G2037" t="s">
        <v>2786</v>
      </c>
      <c r="H2037" t="s">
        <v>2785</v>
      </c>
      <c r="I2037">
        <v>256</v>
      </c>
      <c r="K2037" t="s">
        <v>4949</v>
      </c>
      <c r="L2037">
        <v>46275</v>
      </c>
      <c r="M2037">
        <v>99012</v>
      </c>
      <c r="N2037">
        <v>10</v>
      </c>
      <c r="O2037">
        <v>46283</v>
      </c>
      <c r="P2037">
        <v>246</v>
      </c>
    </row>
    <row r="2038" spans="1:16" x14ac:dyDescent="0.4">
      <c r="A2038">
        <v>819</v>
      </c>
      <c r="B2038" t="s">
        <v>4915</v>
      </c>
      <c r="G2038" t="s">
        <v>2750</v>
      </c>
      <c r="H2038" t="s">
        <v>2749</v>
      </c>
      <c r="I2038">
        <v>268</v>
      </c>
      <c r="K2038" t="s">
        <v>4872</v>
      </c>
      <c r="L2038">
        <v>46275</v>
      </c>
      <c r="M2038">
        <v>99012</v>
      </c>
      <c r="N2038">
        <v>10</v>
      </c>
      <c r="O2038">
        <v>46283</v>
      </c>
      <c r="P2038">
        <v>258</v>
      </c>
    </row>
    <row r="2039" spans="1:16" x14ac:dyDescent="0.4">
      <c r="A2039">
        <v>822</v>
      </c>
      <c r="B2039" t="s">
        <v>4915</v>
      </c>
      <c r="G2039" t="s">
        <v>2774</v>
      </c>
      <c r="H2039" t="s">
        <v>2773</v>
      </c>
      <c r="I2039">
        <v>365</v>
      </c>
      <c r="K2039" t="s">
        <v>4949</v>
      </c>
      <c r="L2039">
        <v>46275</v>
      </c>
      <c r="M2039">
        <v>99012</v>
      </c>
      <c r="N2039">
        <v>10</v>
      </c>
      <c r="O2039">
        <v>46283</v>
      </c>
      <c r="P2039">
        <v>355</v>
      </c>
    </row>
    <row r="2040" spans="1:16" x14ac:dyDescent="0.4">
      <c r="A2040">
        <v>743</v>
      </c>
      <c r="B2040" t="s">
        <v>4915</v>
      </c>
      <c r="G2040" t="s">
        <v>999</v>
      </c>
      <c r="H2040" t="s">
        <v>998</v>
      </c>
      <c r="I2040">
        <v>808</v>
      </c>
      <c r="K2040" t="s">
        <v>4851</v>
      </c>
      <c r="L2040">
        <v>46274</v>
      </c>
      <c r="M2040">
        <v>99012</v>
      </c>
      <c r="N2040">
        <v>10</v>
      </c>
      <c r="O2040">
        <v>46283</v>
      </c>
      <c r="P2040">
        <v>798</v>
      </c>
    </row>
    <row r="2041" spans="1:16" x14ac:dyDescent="0.4">
      <c r="A2041">
        <v>1181</v>
      </c>
      <c r="B2041" t="s">
        <v>4915</v>
      </c>
      <c r="G2041" t="s">
        <v>1361</v>
      </c>
      <c r="H2041" t="s">
        <v>1360</v>
      </c>
      <c r="I2041">
        <v>53</v>
      </c>
      <c r="K2041" t="s">
        <v>4968</v>
      </c>
      <c r="L2041">
        <v>46276</v>
      </c>
      <c r="M2041">
        <v>99013</v>
      </c>
      <c r="N2041">
        <v>10</v>
      </c>
      <c r="O2041">
        <v>46283</v>
      </c>
      <c r="P2041">
        <v>43</v>
      </c>
    </row>
    <row r="2042" spans="1:16" x14ac:dyDescent="0.4">
      <c r="A2042">
        <v>871</v>
      </c>
      <c r="B2042" t="s">
        <v>4915</v>
      </c>
      <c r="G2042" t="s">
        <v>727</v>
      </c>
      <c r="H2042" t="s">
        <v>4969</v>
      </c>
      <c r="I2042">
        <v>85</v>
      </c>
      <c r="K2042" t="s">
        <v>4851</v>
      </c>
      <c r="L2042">
        <v>46275</v>
      </c>
      <c r="M2042">
        <v>99013</v>
      </c>
      <c r="N2042">
        <v>84</v>
      </c>
      <c r="O2042">
        <v>46283</v>
      </c>
      <c r="P2042">
        <v>1</v>
      </c>
    </row>
    <row r="2043" spans="1:16" x14ac:dyDescent="0.4">
      <c r="A2043">
        <v>786</v>
      </c>
      <c r="B2043" t="s">
        <v>4915</v>
      </c>
      <c r="G2043" t="s">
        <v>1186</v>
      </c>
      <c r="H2043" t="s">
        <v>1185</v>
      </c>
      <c r="I2043">
        <v>121</v>
      </c>
      <c r="K2043" t="s">
        <v>4970</v>
      </c>
      <c r="L2043">
        <v>46273</v>
      </c>
      <c r="M2043">
        <v>99013</v>
      </c>
      <c r="N2043">
        <v>20</v>
      </c>
      <c r="O2043">
        <v>46283</v>
      </c>
      <c r="P2043">
        <v>101</v>
      </c>
    </row>
    <row r="2044" spans="1:16" x14ac:dyDescent="0.4">
      <c r="A2044">
        <v>872</v>
      </c>
      <c r="B2044" t="s">
        <v>4915</v>
      </c>
      <c r="G2044" t="s">
        <v>628</v>
      </c>
      <c r="H2044" t="s">
        <v>627</v>
      </c>
      <c r="I2044">
        <v>138</v>
      </c>
      <c r="K2044" t="s">
        <v>4965</v>
      </c>
      <c r="L2044">
        <v>46275</v>
      </c>
      <c r="M2044">
        <v>99013</v>
      </c>
      <c r="N2044">
        <v>10</v>
      </c>
      <c r="O2044">
        <v>46283</v>
      </c>
      <c r="P2044">
        <v>128</v>
      </c>
    </row>
    <row r="2045" spans="1:16" x14ac:dyDescent="0.4">
      <c r="A2045">
        <v>874</v>
      </c>
      <c r="B2045" t="s">
        <v>4915</v>
      </c>
      <c r="G2045" t="s">
        <v>658</v>
      </c>
      <c r="H2045" t="s">
        <v>657</v>
      </c>
      <c r="I2045">
        <v>214</v>
      </c>
      <c r="K2045" t="s">
        <v>4967</v>
      </c>
      <c r="L2045">
        <v>46275</v>
      </c>
      <c r="M2045">
        <v>99013</v>
      </c>
      <c r="N2045">
        <v>10</v>
      </c>
      <c r="O2045">
        <v>46283</v>
      </c>
      <c r="P2045">
        <v>204</v>
      </c>
    </row>
    <row r="2046" spans="1:16" x14ac:dyDescent="0.4">
      <c r="A2046">
        <v>1177</v>
      </c>
      <c r="B2046" t="s">
        <v>4915</v>
      </c>
      <c r="G2046" t="s">
        <v>2809</v>
      </c>
      <c r="H2046" t="s">
        <v>2808</v>
      </c>
      <c r="I2046">
        <v>241</v>
      </c>
      <c r="K2046" t="s">
        <v>4869</v>
      </c>
      <c r="L2046">
        <v>46276</v>
      </c>
      <c r="M2046">
        <v>99013</v>
      </c>
      <c r="N2046">
        <v>10</v>
      </c>
      <c r="O2046">
        <v>46283</v>
      </c>
      <c r="P2046">
        <v>231</v>
      </c>
    </row>
    <row r="2047" spans="1:16" x14ac:dyDescent="0.4">
      <c r="A2047">
        <v>876</v>
      </c>
      <c r="B2047" t="s">
        <v>4915</v>
      </c>
      <c r="G2047" t="s">
        <v>1001</v>
      </c>
      <c r="H2047" t="s">
        <v>1000</v>
      </c>
      <c r="I2047">
        <v>316</v>
      </c>
      <c r="K2047" t="s">
        <v>4851</v>
      </c>
      <c r="L2047">
        <v>46275</v>
      </c>
      <c r="M2047">
        <v>99013</v>
      </c>
      <c r="N2047">
        <v>10</v>
      </c>
      <c r="O2047">
        <v>46283</v>
      </c>
      <c r="P2047">
        <v>306</v>
      </c>
    </row>
    <row r="2048" spans="1:16" x14ac:dyDescent="0.4">
      <c r="A2048">
        <v>877</v>
      </c>
      <c r="B2048" t="s">
        <v>4915</v>
      </c>
      <c r="G2048" t="s">
        <v>1389</v>
      </c>
      <c r="H2048" t="s">
        <v>1388</v>
      </c>
      <c r="I2048">
        <v>354</v>
      </c>
      <c r="K2048" t="s">
        <v>4968</v>
      </c>
      <c r="L2048">
        <v>46275</v>
      </c>
      <c r="M2048">
        <v>99013</v>
      </c>
      <c r="N2048">
        <v>10</v>
      </c>
      <c r="O2048">
        <v>46283</v>
      </c>
      <c r="P2048">
        <v>344</v>
      </c>
    </row>
    <row r="2049" spans="1:16" x14ac:dyDescent="0.4">
      <c r="A2049">
        <v>878</v>
      </c>
      <c r="B2049" t="s">
        <v>4915</v>
      </c>
      <c r="G2049" t="s">
        <v>1387</v>
      </c>
      <c r="H2049" t="s">
        <v>1386</v>
      </c>
      <c r="I2049">
        <v>438</v>
      </c>
      <c r="K2049" t="s">
        <v>4968</v>
      </c>
      <c r="L2049">
        <v>46275</v>
      </c>
      <c r="M2049">
        <v>99013</v>
      </c>
      <c r="N2049">
        <v>10</v>
      </c>
      <c r="O2049">
        <v>46283</v>
      </c>
      <c r="P2049">
        <v>428</v>
      </c>
    </row>
    <row r="2050" spans="1:16" x14ac:dyDescent="0.4">
      <c r="A2050">
        <v>879</v>
      </c>
      <c r="B2050" t="s">
        <v>4915</v>
      </c>
      <c r="G2050" t="s">
        <v>1146</v>
      </c>
      <c r="H2050" t="s">
        <v>1145</v>
      </c>
      <c r="I2050">
        <v>468</v>
      </c>
      <c r="K2050" t="s">
        <v>4871</v>
      </c>
      <c r="L2050">
        <v>46275</v>
      </c>
      <c r="M2050">
        <v>99013</v>
      </c>
      <c r="N2050">
        <v>10</v>
      </c>
      <c r="O2050">
        <v>46283</v>
      </c>
      <c r="P2050">
        <v>458</v>
      </c>
    </row>
    <row r="2051" spans="1:16" x14ac:dyDescent="0.4">
      <c r="A2051">
        <v>880</v>
      </c>
      <c r="B2051" t="s">
        <v>4915</v>
      </c>
      <c r="G2051" t="s">
        <v>1587</v>
      </c>
      <c r="H2051" t="s">
        <v>1586</v>
      </c>
      <c r="I2051">
        <v>570</v>
      </c>
      <c r="K2051" t="s">
        <v>4970</v>
      </c>
      <c r="L2051">
        <v>46275</v>
      </c>
      <c r="M2051">
        <v>99013</v>
      </c>
      <c r="N2051">
        <v>20</v>
      </c>
      <c r="O2051">
        <v>46283</v>
      </c>
      <c r="P2051">
        <v>550</v>
      </c>
    </row>
    <row r="2052" spans="1:16" x14ac:dyDescent="0.4">
      <c r="A2052">
        <v>662</v>
      </c>
      <c r="B2052" t="s">
        <v>4915</v>
      </c>
      <c r="G2052" t="s">
        <v>3873</v>
      </c>
      <c r="H2052" t="s">
        <v>3872</v>
      </c>
      <c r="I2052">
        <v>72</v>
      </c>
      <c r="K2052" t="s">
        <v>3867</v>
      </c>
      <c r="L2052">
        <v>46268</v>
      </c>
      <c r="M2052">
        <v>99025</v>
      </c>
      <c r="N2052">
        <v>3</v>
      </c>
      <c r="O2052">
        <v>46281</v>
      </c>
      <c r="P2052">
        <v>69</v>
      </c>
    </row>
    <row r="2053" spans="1:16" x14ac:dyDescent="0.4">
      <c r="A2053">
        <v>1152</v>
      </c>
      <c r="B2053" t="s">
        <v>4915</v>
      </c>
      <c r="G2053" t="s">
        <v>3960</v>
      </c>
      <c r="H2053" t="s">
        <v>3959</v>
      </c>
      <c r="I2053">
        <v>240</v>
      </c>
      <c r="K2053" t="s">
        <v>3961</v>
      </c>
      <c r="L2053">
        <v>46279</v>
      </c>
      <c r="M2053">
        <v>99025</v>
      </c>
      <c r="N2053">
        <v>8</v>
      </c>
      <c r="O2053">
        <v>46281</v>
      </c>
      <c r="P2053">
        <v>232</v>
      </c>
    </row>
    <row r="2054" spans="1:16" x14ac:dyDescent="0.4">
      <c r="A2054">
        <v>1143</v>
      </c>
      <c r="B2054" t="s">
        <v>4915</v>
      </c>
      <c r="G2054" t="s">
        <v>635</v>
      </c>
      <c r="H2054" t="s">
        <v>634</v>
      </c>
      <c r="I2054">
        <v>26</v>
      </c>
      <c r="K2054" t="s">
        <v>5024</v>
      </c>
      <c r="L2054">
        <v>46276</v>
      </c>
      <c r="M2054">
        <v>99026</v>
      </c>
      <c r="N2054">
        <v>26</v>
      </c>
      <c r="O2054">
        <v>46282</v>
      </c>
      <c r="P2054">
        <v>0</v>
      </c>
    </row>
    <row r="2055" spans="1:16" x14ac:dyDescent="0.4">
      <c r="A2055">
        <v>1151</v>
      </c>
      <c r="B2055" t="s">
        <v>4915</v>
      </c>
      <c r="D2055" t="s">
        <v>4901</v>
      </c>
      <c r="E2055" t="s">
        <v>5164</v>
      </c>
      <c r="F2055" t="s">
        <v>5147</v>
      </c>
      <c r="G2055" t="s">
        <v>761</v>
      </c>
      <c r="H2055" t="s">
        <v>760</v>
      </c>
      <c r="I2055">
        <v>50</v>
      </c>
      <c r="K2055" t="s">
        <v>533</v>
      </c>
      <c r="L2055">
        <v>46280</v>
      </c>
      <c r="M2055">
        <v>99026</v>
      </c>
      <c r="N2055">
        <v>50</v>
      </c>
      <c r="O2055">
        <v>46282</v>
      </c>
      <c r="P2055">
        <v>0</v>
      </c>
    </row>
    <row r="2056" spans="1:16" x14ac:dyDescent="0.4">
      <c r="A2056">
        <v>825</v>
      </c>
      <c r="B2056" t="s">
        <v>4915</v>
      </c>
      <c r="G2056" t="s">
        <v>773</v>
      </c>
      <c r="H2056" t="s">
        <v>772</v>
      </c>
      <c r="I2056">
        <v>8</v>
      </c>
      <c r="K2056" t="s">
        <v>4996</v>
      </c>
      <c r="L2056">
        <v>46274</v>
      </c>
      <c r="M2056">
        <v>99028</v>
      </c>
      <c r="N2056">
        <v>8</v>
      </c>
      <c r="O2056">
        <v>46283</v>
      </c>
      <c r="P2056">
        <v>0</v>
      </c>
    </row>
    <row r="2057" spans="1:16" x14ac:dyDescent="0.4">
      <c r="A2057">
        <v>826</v>
      </c>
      <c r="B2057" t="s">
        <v>4915</v>
      </c>
      <c r="G2057" t="s">
        <v>716</v>
      </c>
      <c r="H2057" t="s">
        <v>4974</v>
      </c>
      <c r="I2057">
        <v>19</v>
      </c>
      <c r="K2057" t="s">
        <v>4975</v>
      </c>
      <c r="L2057">
        <v>46274</v>
      </c>
      <c r="M2057">
        <v>99028</v>
      </c>
      <c r="N2057">
        <v>10</v>
      </c>
      <c r="O2057">
        <v>46283</v>
      </c>
      <c r="P2057">
        <v>9</v>
      </c>
    </row>
    <row r="2058" spans="1:16" x14ac:dyDescent="0.4">
      <c r="A2058">
        <v>827</v>
      </c>
      <c r="B2058" t="s">
        <v>4915</v>
      </c>
      <c r="G2058" t="s">
        <v>639</v>
      </c>
      <c r="H2058" t="s">
        <v>638</v>
      </c>
      <c r="I2058">
        <v>20</v>
      </c>
      <c r="K2058" t="s">
        <v>4984</v>
      </c>
      <c r="L2058">
        <v>46274</v>
      </c>
      <c r="M2058">
        <v>99028</v>
      </c>
      <c r="N2058">
        <v>10</v>
      </c>
      <c r="O2058">
        <v>46283</v>
      </c>
      <c r="P2058">
        <v>10</v>
      </c>
    </row>
    <row r="2059" spans="1:16" x14ac:dyDescent="0.4">
      <c r="A2059">
        <v>851</v>
      </c>
      <c r="B2059" t="s">
        <v>4915</v>
      </c>
      <c r="G2059" t="s">
        <v>1046</v>
      </c>
      <c r="H2059" t="s">
        <v>1045</v>
      </c>
      <c r="I2059">
        <v>20</v>
      </c>
      <c r="K2059" t="s">
        <v>4990</v>
      </c>
      <c r="L2059">
        <v>46274</v>
      </c>
      <c r="M2059">
        <v>99028</v>
      </c>
      <c r="N2059">
        <v>20</v>
      </c>
      <c r="O2059">
        <v>46283</v>
      </c>
      <c r="P2059">
        <v>0</v>
      </c>
    </row>
    <row r="2060" spans="1:16" x14ac:dyDescent="0.4">
      <c r="A2060">
        <v>624</v>
      </c>
      <c r="B2060" t="s">
        <v>4915</v>
      </c>
      <c r="D2060" t="s">
        <v>4916</v>
      </c>
      <c r="G2060" t="s">
        <v>842</v>
      </c>
      <c r="H2060" t="s">
        <v>841</v>
      </c>
      <c r="I2060">
        <v>55</v>
      </c>
      <c r="K2060" t="s">
        <v>4998</v>
      </c>
      <c r="L2060">
        <v>46276</v>
      </c>
      <c r="M2060">
        <v>99028</v>
      </c>
      <c r="N2060">
        <v>10</v>
      </c>
      <c r="O2060">
        <v>46283</v>
      </c>
      <c r="P2060">
        <v>45</v>
      </c>
    </row>
    <row r="2061" spans="1:16" x14ac:dyDescent="0.4">
      <c r="A2061">
        <v>830</v>
      </c>
      <c r="B2061" t="s">
        <v>4915</v>
      </c>
      <c r="G2061" t="s">
        <v>1054</v>
      </c>
      <c r="H2061" t="s">
        <v>1053</v>
      </c>
      <c r="I2061">
        <v>58</v>
      </c>
      <c r="K2061" t="s">
        <v>4992</v>
      </c>
      <c r="L2061">
        <v>46274</v>
      </c>
      <c r="M2061">
        <v>99028</v>
      </c>
      <c r="N2061">
        <v>10</v>
      </c>
      <c r="O2061">
        <v>46283</v>
      </c>
      <c r="P2061">
        <v>48</v>
      </c>
    </row>
    <row r="2062" spans="1:16" x14ac:dyDescent="0.4">
      <c r="A2062">
        <v>831</v>
      </c>
      <c r="B2062" t="s">
        <v>4915</v>
      </c>
      <c r="G2062" t="s">
        <v>779</v>
      </c>
      <c r="H2062" t="s">
        <v>778</v>
      </c>
      <c r="I2062">
        <v>69</v>
      </c>
      <c r="K2062" t="s">
        <v>4987</v>
      </c>
      <c r="L2062">
        <v>46274</v>
      </c>
      <c r="M2062">
        <v>99028</v>
      </c>
      <c r="N2062">
        <v>10</v>
      </c>
      <c r="O2062">
        <v>46283</v>
      </c>
      <c r="P2062">
        <v>59</v>
      </c>
    </row>
    <row r="2063" spans="1:16" x14ac:dyDescent="0.4">
      <c r="A2063">
        <v>1454</v>
      </c>
      <c r="B2063" t="s">
        <v>4915</v>
      </c>
      <c r="D2063" t="s">
        <v>4901</v>
      </c>
      <c r="E2063" t="s">
        <v>5164</v>
      </c>
      <c r="F2063" t="s">
        <v>5147</v>
      </c>
      <c r="G2063" t="s">
        <v>773</v>
      </c>
      <c r="H2063" t="s">
        <v>772</v>
      </c>
      <c r="I2063">
        <v>80</v>
      </c>
      <c r="K2063" t="s">
        <v>4996</v>
      </c>
      <c r="L2063">
        <v>46280</v>
      </c>
      <c r="M2063">
        <v>99028</v>
      </c>
      <c r="N2063">
        <v>2</v>
      </c>
      <c r="O2063">
        <v>46283</v>
      </c>
      <c r="P2063">
        <v>78</v>
      </c>
    </row>
    <row r="2064" spans="1:16" x14ac:dyDescent="0.4">
      <c r="A2064">
        <v>2512</v>
      </c>
      <c r="B2064" t="s">
        <v>4915</v>
      </c>
      <c r="G2064" t="s">
        <v>4971</v>
      </c>
      <c r="H2064" t="s">
        <v>4972</v>
      </c>
      <c r="I2064">
        <v>87</v>
      </c>
      <c r="K2064" t="s">
        <v>4973</v>
      </c>
      <c r="L2064">
        <v>46296</v>
      </c>
      <c r="M2064">
        <v>99028</v>
      </c>
      <c r="N2064">
        <v>10</v>
      </c>
      <c r="O2064">
        <v>46296</v>
      </c>
      <c r="P2064">
        <v>77</v>
      </c>
    </row>
    <row r="2065" spans="1:16" x14ac:dyDescent="0.4">
      <c r="A2065">
        <v>833</v>
      </c>
      <c r="B2065" t="s">
        <v>4915</v>
      </c>
      <c r="G2065" t="s">
        <v>1043</v>
      </c>
      <c r="H2065" t="s">
        <v>1042</v>
      </c>
      <c r="I2065">
        <v>112</v>
      </c>
      <c r="K2065" t="s">
        <v>4995</v>
      </c>
      <c r="L2065">
        <v>46274</v>
      </c>
      <c r="M2065">
        <v>99028</v>
      </c>
      <c r="N2065">
        <v>10</v>
      </c>
      <c r="O2065">
        <v>46283</v>
      </c>
      <c r="P2065">
        <v>102</v>
      </c>
    </row>
    <row r="2066" spans="1:16" x14ac:dyDescent="0.4">
      <c r="A2066">
        <v>834</v>
      </c>
      <c r="B2066" t="s">
        <v>4915</v>
      </c>
      <c r="G2066" t="s">
        <v>696</v>
      </c>
      <c r="H2066" t="s">
        <v>4980</v>
      </c>
      <c r="I2066">
        <v>127</v>
      </c>
      <c r="K2066" t="s">
        <v>4981</v>
      </c>
      <c r="L2066">
        <v>46274</v>
      </c>
      <c r="M2066">
        <v>99028</v>
      </c>
      <c r="N2066">
        <v>10</v>
      </c>
      <c r="O2066">
        <v>46283</v>
      </c>
      <c r="P2066">
        <v>117</v>
      </c>
    </row>
    <row r="2067" spans="1:16" x14ac:dyDescent="0.4">
      <c r="A2067">
        <v>835</v>
      </c>
      <c r="B2067" t="s">
        <v>4915</v>
      </c>
      <c r="G2067" t="s">
        <v>985</v>
      </c>
      <c r="H2067" t="s">
        <v>984</v>
      </c>
      <c r="I2067">
        <v>129</v>
      </c>
      <c r="K2067" t="s">
        <v>4932</v>
      </c>
      <c r="L2067">
        <v>46274</v>
      </c>
      <c r="M2067">
        <v>99028</v>
      </c>
      <c r="N2067">
        <v>10</v>
      </c>
      <c r="O2067">
        <v>46283</v>
      </c>
      <c r="P2067">
        <v>119</v>
      </c>
    </row>
    <row r="2068" spans="1:16" x14ac:dyDescent="0.4">
      <c r="A2068">
        <v>836</v>
      </c>
      <c r="B2068" t="s">
        <v>4915</v>
      </c>
      <c r="G2068" t="s">
        <v>1057</v>
      </c>
      <c r="H2068" t="s">
        <v>1056</v>
      </c>
      <c r="I2068">
        <v>135</v>
      </c>
      <c r="K2068" t="s">
        <v>4991</v>
      </c>
      <c r="L2068">
        <v>46274</v>
      </c>
      <c r="M2068">
        <v>99028</v>
      </c>
      <c r="N2068">
        <v>10</v>
      </c>
      <c r="O2068">
        <v>46283</v>
      </c>
      <c r="P2068">
        <v>125</v>
      </c>
    </row>
    <row r="2069" spans="1:16" x14ac:dyDescent="0.4">
      <c r="A2069">
        <v>837</v>
      </c>
      <c r="B2069" t="s">
        <v>4915</v>
      </c>
      <c r="G2069" t="s">
        <v>699</v>
      </c>
      <c r="H2069" t="s">
        <v>4976</v>
      </c>
      <c r="I2069">
        <v>139</v>
      </c>
      <c r="K2069" t="s">
        <v>4975</v>
      </c>
      <c r="L2069">
        <v>46274</v>
      </c>
      <c r="M2069">
        <v>99028</v>
      </c>
      <c r="N2069">
        <v>10</v>
      </c>
      <c r="O2069">
        <v>46283</v>
      </c>
      <c r="P2069">
        <v>129</v>
      </c>
    </row>
    <row r="2070" spans="1:16" x14ac:dyDescent="0.4">
      <c r="A2070">
        <v>626</v>
      </c>
      <c r="B2070" t="s">
        <v>4915</v>
      </c>
      <c r="D2070" t="s">
        <v>4916</v>
      </c>
      <c r="G2070" t="s">
        <v>847</v>
      </c>
      <c r="H2070" t="s">
        <v>846</v>
      </c>
      <c r="I2070">
        <v>150</v>
      </c>
      <c r="K2070" t="s">
        <v>4958</v>
      </c>
      <c r="L2070">
        <v>46281</v>
      </c>
      <c r="M2070">
        <v>99028</v>
      </c>
      <c r="N2070">
        <v>10</v>
      </c>
      <c r="O2070">
        <v>46283</v>
      </c>
      <c r="P2070">
        <v>140</v>
      </c>
    </row>
    <row r="2071" spans="1:16" x14ac:dyDescent="0.4">
      <c r="A2071">
        <v>823</v>
      </c>
      <c r="B2071" t="s">
        <v>4915</v>
      </c>
      <c r="G2071" t="s">
        <v>709</v>
      </c>
      <c r="H2071" t="s">
        <v>708</v>
      </c>
      <c r="I2071">
        <v>156</v>
      </c>
      <c r="K2071" t="s">
        <v>4985</v>
      </c>
      <c r="L2071">
        <v>46274</v>
      </c>
      <c r="M2071">
        <v>99028</v>
      </c>
      <c r="N2071">
        <v>10</v>
      </c>
      <c r="O2071">
        <v>46283</v>
      </c>
      <c r="P2071">
        <v>146</v>
      </c>
    </row>
    <row r="2072" spans="1:16" x14ac:dyDescent="0.4">
      <c r="A2072">
        <v>850</v>
      </c>
      <c r="B2072" t="s">
        <v>4915</v>
      </c>
      <c r="G2072" t="s">
        <v>5156</v>
      </c>
      <c r="H2072" t="s">
        <v>701</v>
      </c>
      <c r="I2072">
        <v>156</v>
      </c>
      <c r="K2072" t="s">
        <v>4985</v>
      </c>
      <c r="L2072">
        <v>46274</v>
      </c>
      <c r="M2072">
        <v>99028</v>
      </c>
      <c r="N2072">
        <v>10</v>
      </c>
      <c r="O2072">
        <v>46283</v>
      </c>
      <c r="P2072">
        <v>146</v>
      </c>
    </row>
    <row r="2073" spans="1:16" x14ac:dyDescent="0.4">
      <c r="A2073">
        <v>1999</v>
      </c>
      <c r="B2073" t="s">
        <v>4915</v>
      </c>
      <c r="G2073" t="s">
        <v>840</v>
      </c>
      <c r="H2073" t="s">
        <v>839</v>
      </c>
      <c r="I2073">
        <v>158</v>
      </c>
      <c r="K2073" t="s">
        <v>4740</v>
      </c>
      <c r="L2073">
        <v>46294</v>
      </c>
      <c r="M2073">
        <v>99028</v>
      </c>
      <c r="N2073">
        <v>10</v>
      </c>
      <c r="O2073">
        <v>46294</v>
      </c>
      <c r="P2073">
        <v>148</v>
      </c>
    </row>
    <row r="2074" spans="1:16" x14ac:dyDescent="0.4">
      <c r="A2074">
        <v>839</v>
      </c>
      <c r="B2074" t="s">
        <v>4915</v>
      </c>
      <c r="G2074" t="s">
        <v>880</v>
      </c>
      <c r="H2074" t="s">
        <v>879</v>
      </c>
      <c r="I2074">
        <v>160</v>
      </c>
      <c r="K2074" t="s">
        <v>4988</v>
      </c>
      <c r="L2074">
        <v>46274</v>
      </c>
      <c r="M2074">
        <v>99028</v>
      </c>
      <c r="N2074">
        <v>10</v>
      </c>
      <c r="O2074">
        <v>46283</v>
      </c>
      <c r="P2074">
        <v>150</v>
      </c>
    </row>
    <row r="2075" spans="1:16" x14ac:dyDescent="0.4">
      <c r="A2075">
        <v>841</v>
      </c>
      <c r="B2075" t="s">
        <v>4915</v>
      </c>
      <c r="G2075" t="s">
        <v>664</v>
      </c>
      <c r="H2075" t="s">
        <v>663</v>
      </c>
      <c r="I2075">
        <v>186</v>
      </c>
      <c r="K2075" t="s">
        <v>4985</v>
      </c>
      <c r="L2075">
        <v>46274</v>
      </c>
      <c r="M2075">
        <v>99028</v>
      </c>
      <c r="N2075">
        <v>10</v>
      </c>
      <c r="O2075">
        <v>46283</v>
      </c>
      <c r="P2075">
        <v>176</v>
      </c>
    </row>
    <row r="2076" spans="1:16" x14ac:dyDescent="0.4">
      <c r="A2076">
        <v>842</v>
      </c>
      <c r="B2076" t="s">
        <v>4915</v>
      </c>
      <c r="G2076" t="s">
        <v>877</v>
      </c>
      <c r="H2076" t="s">
        <v>876</v>
      </c>
      <c r="I2076">
        <v>210</v>
      </c>
      <c r="K2076" t="s">
        <v>4988</v>
      </c>
      <c r="L2076">
        <v>46274</v>
      </c>
      <c r="M2076">
        <v>99028</v>
      </c>
      <c r="N2076">
        <v>10</v>
      </c>
      <c r="O2076">
        <v>46283</v>
      </c>
      <c r="P2076">
        <v>200</v>
      </c>
    </row>
    <row r="2077" spans="1:16" x14ac:dyDescent="0.4">
      <c r="A2077">
        <v>843</v>
      </c>
      <c r="B2077" t="s">
        <v>4915</v>
      </c>
      <c r="G2077" t="s">
        <v>729</v>
      </c>
      <c r="H2077" t="s">
        <v>728</v>
      </c>
      <c r="I2077">
        <v>265</v>
      </c>
      <c r="K2077" t="s">
        <v>4985</v>
      </c>
      <c r="L2077">
        <v>46274</v>
      </c>
      <c r="M2077">
        <v>99028</v>
      </c>
      <c r="N2077">
        <v>10</v>
      </c>
      <c r="O2077">
        <v>46283</v>
      </c>
      <c r="P2077">
        <v>255</v>
      </c>
    </row>
    <row r="2078" spans="1:16" x14ac:dyDescent="0.4">
      <c r="A2078">
        <v>611</v>
      </c>
      <c r="B2078" t="s">
        <v>4915</v>
      </c>
      <c r="D2078" t="s">
        <v>4916</v>
      </c>
      <c r="G2078" t="s">
        <v>967</v>
      </c>
      <c r="H2078" t="s">
        <v>966</v>
      </c>
      <c r="I2078">
        <v>279</v>
      </c>
      <c r="K2078" t="s">
        <v>4965</v>
      </c>
      <c r="L2078">
        <v>46276</v>
      </c>
      <c r="M2078">
        <v>99028</v>
      </c>
      <c r="N2078">
        <v>20</v>
      </c>
      <c r="O2078">
        <v>46283</v>
      </c>
      <c r="P2078">
        <v>259</v>
      </c>
    </row>
    <row r="2079" spans="1:16" x14ac:dyDescent="0.4">
      <c r="A2079">
        <v>849</v>
      </c>
      <c r="B2079" t="s">
        <v>4915</v>
      </c>
      <c r="G2079" t="s">
        <v>645</v>
      </c>
      <c r="H2079" t="s">
        <v>4982</v>
      </c>
      <c r="I2079">
        <v>280</v>
      </c>
      <c r="K2079" t="s">
        <v>4983</v>
      </c>
      <c r="L2079">
        <v>46274</v>
      </c>
      <c r="M2079">
        <v>99028</v>
      </c>
      <c r="N2079">
        <v>10</v>
      </c>
      <c r="O2079">
        <v>46283</v>
      </c>
      <c r="P2079">
        <v>270</v>
      </c>
    </row>
    <row r="2080" spans="1:16" x14ac:dyDescent="0.4">
      <c r="A2080">
        <v>844</v>
      </c>
      <c r="B2080" t="s">
        <v>4915</v>
      </c>
      <c r="G2080" t="s">
        <v>4997</v>
      </c>
      <c r="H2080" t="s">
        <v>624</v>
      </c>
      <c r="I2080">
        <v>294</v>
      </c>
      <c r="K2080" t="s">
        <v>4998</v>
      </c>
      <c r="L2080">
        <v>46274</v>
      </c>
      <c r="M2080">
        <v>99028</v>
      </c>
      <c r="N2080">
        <v>10</v>
      </c>
      <c r="O2080">
        <v>46283</v>
      </c>
      <c r="P2080">
        <v>284</v>
      </c>
    </row>
    <row r="2081" spans="1:16" x14ac:dyDescent="0.4">
      <c r="A2081">
        <v>845</v>
      </c>
      <c r="B2081" t="s">
        <v>4915</v>
      </c>
      <c r="G2081" t="s">
        <v>4993</v>
      </c>
      <c r="H2081" t="s">
        <v>2651</v>
      </c>
      <c r="I2081">
        <v>309</v>
      </c>
      <c r="K2081" t="s">
        <v>4948</v>
      </c>
      <c r="L2081">
        <v>46274</v>
      </c>
      <c r="M2081">
        <v>99028</v>
      </c>
      <c r="N2081">
        <v>10</v>
      </c>
      <c r="O2081">
        <v>46283</v>
      </c>
      <c r="P2081">
        <v>299</v>
      </c>
    </row>
    <row r="2082" spans="1:16" x14ac:dyDescent="0.4">
      <c r="A2082">
        <v>846</v>
      </c>
      <c r="B2082" t="s">
        <v>4915</v>
      </c>
      <c r="G2082" t="s">
        <v>884</v>
      </c>
      <c r="H2082" t="s">
        <v>883</v>
      </c>
      <c r="I2082">
        <v>327</v>
      </c>
      <c r="K2082" t="s">
        <v>4943</v>
      </c>
      <c r="L2082">
        <v>46274</v>
      </c>
      <c r="M2082">
        <v>99028</v>
      </c>
      <c r="N2082">
        <v>10</v>
      </c>
      <c r="O2082">
        <v>46283</v>
      </c>
      <c r="P2082">
        <v>317</v>
      </c>
    </row>
    <row r="2083" spans="1:16" x14ac:dyDescent="0.4">
      <c r="A2083">
        <v>847</v>
      </c>
      <c r="B2083" t="s">
        <v>4915</v>
      </c>
      <c r="G2083" t="s">
        <v>4977</v>
      </c>
      <c r="H2083" t="s">
        <v>4978</v>
      </c>
      <c r="I2083">
        <v>384</v>
      </c>
      <c r="K2083" t="s">
        <v>4979</v>
      </c>
      <c r="L2083">
        <v>46274</v>
      </c>
      <c r="M2083">
        <v>99028</v>
      </c>
      <c r="N2083">
        <v>10</v>
      </c>
      <c r="O2083">
        <v>46283</v>
      </c>
      <c r="P2083">
        <v>374</v>
      </c>
    </row>
    <row r="2084" spans="1:16" x14ac:dyDescent="0.4">
      <c r="A2084">
        <v>848</v>
      </c>
      <c r="B2084" t="s">
        <v>4915</v>
      </c>
      <c r="G2084" t="s">
        <v>4994</v>
      </c>
      <c r="H2084" t="s">
        <v>2697</v>
      </c>
      <c r="I2084">
        <v>570</v>
      </c>
      <c r="K2084" t="s">
        <v>4948</v>
      </c>
      <c r="L2084">
        <v>46274</v>
      </c>
      <c r="M2084">
        <v>99028</v>
      </c>
      <c r="N2084">
        <v>10</v>
      </c>
      <c r="O2084">
        <v>46283</v>
      </c>
      <c r="P2084">
        <v>560</v>
      </c>
    </row>
    <row r="2085" spans="1:16" x14ac:dyDescent="0.4">
      <c r="A2085">
        <v>854</v>
      </c>
      <c r="B2085" t="s">
        <v>4915</v>
      </c>
      <c r="G2085" t="s">
        <v>650</v>
      </c>
      <c r="H2085" t="s">
        <v>649</v>
      </c>
      <c r="I2085">
        <v>782</v>
      </c>
      <c r="K2085" t="s">
        <v>4986</v>
      </c>
      <c r="L2085">
        <v>46274</v>
      </c>
      <c r="M2085">
        <v>99028</v>
      </c>
      <c r="N2085">
        <v>20</v>
      </c>
      <c r="O2085">
        <v>46283</v>
      </c>
      <c r="P2085">
        <v>762</v>
      </c>
    </row>
    <row r="2086" spans="1:16" x14ac:dyDescent="0.4">
      <c r="A2086">
        <v>865</v>
      </c>
      <c r="B2086" t="s">
        <v>4915</v>
      </c>
      <c r="G2086" t="s">
        <v>2475</v>
      </c>
      <c r="H2086" t="s">
        <v>2474</v>
      </c>
      <c r="I2086">
        <v>3</v>
      </c>
      <c r="K2086" t="s">
        <v>4958</v>
      </c>
      <c r="L2086">
        <v>46275</v>
      </c>
      <c r="M2086">
        <v>99029</v>
      </c>
      <c r="N2086">
        <v>3</v>
      </c>
      <c r="O2086">
        <v>46283</v>
      </c>
      <c r="P2086">
        <v>0</v>
      </c>
    </row>
    <row r="2087" spans="1:16" x14ac:dyDescent="0.4">
      <c r="A2087">
        <v>861</v>
      </c>
      <c r="B2087" t="s">
        <v>4915</v>
      </c>
      <c r="G2087" t="s">
        <v>750</v>
      </c>
      <c r="H2087" t="s">
        <v>749</v>
      </c>
      <c r="I2087">
        <v>8</v>
      </c>
      <c r="K2087" t="s">
        <v>4956</v>
      </c>
      <c r="L2087">
        <v>46275</v>
      </c>
      <c r="M2087">
        <v>99029</v>
      </c>
      <c r="N2087">
        <v>8</v>
      </c>
      <c r="O2087">
        <v>46283</v>
      </c>
      <c r="P2087">
        <v>0</v>
      </c>
    </row>
    <row r="2088" spans="1:16" x14ac:dyDescent="0.4">
      <c r="A2088">
        <v>863</v>
      </c>
      <c r="B2088" t="s">
        <v>4915</v>
      </c>
      <c r="G2088" t="s">
        <v>2454</v>
      </c>
      <c r="H2088" t="s">
        <v>2453</v>
      </c>
      <c r="I2088">
        <v>33</v>
      </c>
      <c r="K2088" t="s">
        <v>4955</v>
      </c>
      <c r="L2088">
        <v>46275</v>
      </c>
      <c r="M2088">
        <v>99029</v>
      </c>
      <c r="N2088">
        <v>10</v>
      </c>
      <c r="O2088">
        <v>46283</v>
      </c>
      <c r="P2088">
        <v>23</v>
      </c>
    </row>
    <row r="2089" spans="1:16" x14ac:dyDescent="0.4">
      <c r="A2089">
        <v>860</v>
      </c>
      <c r="B2089" t="s">
        <v>4915</v>
      </c>
      <c r="G2089" t="s">
        <v>748</v>
      </c>
      <c r="H2089" t="s">
        <v>747</v>
      </c>
      <c r="I2089">
        <v>55</v>
      </c>
      <c r="K2089" t="s">
        <v>4956</v>
      </c>
      <c r="L2089">
        <v>46275</v>
      </c>
      <c r="M2089">
        <v>99029</v>
      </c>
      <c r="N2089">
        <v>10</v>
      </c>
      <c r="O2089">
        <v>46283</v>
      </c>
      <c r="P2089">
        <v>45</v>
      </c>
    </row>
    <row r="2090" spans="1:16" x14ac:dyDescent="0.4">
      <c r="A2090">
        <v>1158</v>
      </c>
      <c r="B2090" t="s">
        <v>4915</v>
      </c>
      <c r="G2090" t="s">
        <v>844</v>
      </c>
      <c r="H2090" t="s">
        <v>843</v>
      </c>
      <c r="I2090">
        <v>61</v>
      </c>
      <c r="K2090" t="s">
        <v>4957</v>
      </c>
      <c r="L2090">
        <v>46281</v>
      </c>
      <c r="M2090">
        <v>99029</v>
      </c>
      <c r="N2090">
        <v>10</v>
      </c>
      <c r="O2090">
        <v>46283</v>
      </c>
      <c r="P2090">
        <v>51</v>
      </c>
    </row>
    <row r="2091" spans="1:16" x14ac:dyDescent="0.4">
      <c r="A2091">
        <v>1380</v>
      </c>
      <c r="B2091" t="s">
        <v>4915</v>
      </c>
      <c r="D2091" t="s">
        <v>4901</v>
      </c>
      <c r="E2091" t="s">
        <v>5164</v>
      </c>
      <c r="F2091" t="s">
        <v>5147</v>
      </c>
      <c r="G2091" t="s">
        <v>750</v>
      </c>
      <c r="H2091" t="s">
        <v>749</v>
      </c>
      <c r="I2091">
        <v>100</v>
      </c>
      <c r="K2091" t="s">
        <v>4956</v>
      </c>
      <c r="L2091">
        <v>46280</v>
      </c>
      <c r="M2091">
        <v>99029</v>
      </c>
      <c r="N2091">
        <v>2</v>
      </c>
      <c r="O2091">
        <v>46283</v>
      </c>
      <c r="P2091">
        <v>98</v>
      </c>
    </row>
    <row r="2092" spans="1:16" x14ac:dyDescent="0.4">
      <c r="A2092">
        <v>857</v>
      </c>
      <c r="B2092" t="s">
        <v>4915</v>
      </c>
      <c r="G2092" t="s">
        <v>631</v>
      </c>
      <c r="H2092" t="s">
        <v>4964</v>
      </c>
      <c r="I2092">
        <v>117</v>
      </c>
      <c r="K2092" t="s">
        <v>4864</v>
      </c>
      <c r="L2092">
        <v>46275</v>
      </c>
      <c r="M2092">
        <v>99029</v>
      </c>
      <c r="N2092">
        <v>10</v>
      </c>
      <c r="O2092">
        <v>46283</v>
      </c>
      <c r="P2092">
        <v>107</v>
      </c>
    </row>
    <row r="2093" spans="1:16" x14ac:dyDescent="0.4">
      <c r="A2093">
        <v>864</v>
      </c>
      <c r="B2093" t="s">
        <v>4915</v>
      </c>
      <c r="G2093" t="s">
        <v>2457</v>
      </c>
      <c r="H2093" t="s">
        <v>2456</v>
      </c>
      <c r="I2093">
        <v>120</v>
      </c>
      <c r="K2093" t="s">
        <v>4954</v>
      </c>
      <c r="L2093">
        <v>46275</v>
      </c>
      <c r="M2093">
        <v>99029</v>
      </c>
      <c r="N2093">
        <v>10</v>
      </c>
      <c r="O2093">
        <v>46283</v>
      </c>
      <c r="P2093">
        <v>110</v>
      </c>
    </row>
    <row r="2094" spans="1:16" x14ac:dyDescent="0.4">
      <c r="A2094">
        <v>866</v>
      </c>
      <c r="B2094" t="s">
        <v>4915</v>
      </c>
      <c r="G2094" t="s">
        <v>2499</v>
      </c>
      <c r="H2094" t="s">
        <v>2498</v>
      </c>
      <c r="I2094">
        <v>120</v>
      </c>
      <c r="K2094" t="s">
        <v>4955</v>
      </c>
      <c r="L2094">
        <v>46275</v>
      </c>
      <c r="M2094">
        <v>99029</v>
      </c>
      <c r="N2094">
        <v>20</v>
      </c>
      <c r="O2094">
        <v>46283</v>
      </c>
      <c r="P2094">
        <v>100</v>
      </c>
    </row>
    <row r="2095" spans="1:16" x14ac:dyDescent="0.4">
      <c r="A2095">
        <v>1007</v>
      </c>
      <c r="B2095" t="s">
        <v>4915</v>
      </c>
      <c r="D2095" t="s">
        <v>4916</v>
      </c>
      <c r="G2095" t="s">
        <v>2473</v>
      </c>
      <c r="H2095" t="s">
        <v>2472</v>
      </c>
      <c r="I2095">
        <v>125</v>
      </c>
      <c r="K2095" t="s">
        <v>4958</v>
      </c>
      <c r="L2095">
        <v>46276</v>
      </c>
      <c r="M2095">
        <v>99029</v>
      </c>
      <c r="N2095">
        <v>10</v>
      </c>
      <c r="O2095">
        <v>46283</v>
      </c>
      <c r="P2095">
        <v>115</v>
      </c>
    </row>
    <row r="2096" spans="1:16" x14ac:dyDescent="0.4">
      <c r="A2096">
        <v>881</v>
      </c>
      <c r="B2096" t="s">
        <v>4915</v>
      </c>
      <c r="G2096" t="s">
        <v>2475</v>
      </c>
      <c r="H2096" t="s">
        <v>2474</v>
      </c>
      <c r="I2096">
        <v>200</v>
      </c>
      <c r="K2096" t="s">
        <v>4958</v>
      </c>
      <c r="L2096">
        <v>46273</v>
      </c>
      <c r="M2096">
        <v>99029</v>
      </c>
      <c r="N2096">
        <v>7</v>
      </c>
      <c r="O2096">
        <v>46283</v>
      </c>
      <c r="P2096">
        <v>193</v>
      </c>
    </row>
    <row r="2097" spans="1:16" x14ac:dyDescent="0.4">
      <c r="A2097">
        <v>858</v>
      </c>
      <c r="B2097" t="s">
        <v>4915</v>
      </c>
      <c r="G2097" t="s">
        <v>633</v>
      </c>
      <c r="H2097" t="s">
        <v>4963</v>
      </c>
      <c r="I2097">
        <v>229</v>
      </c>
      <c r="K2097" t="s">
        <v>4864</v>
      </c>
      <c r="L2097">
        <v>46275</v>
      </c>
      <c r="M2097">
        <v>99029</v>
      </c>
      <c r="N2097">
        <v>10</v>
      </c>
      <c r="O2097">
        <v>46283</v>
      </c>
      <c r="P2097">
        <v>219</v>
      </c>
    </row>
    <row r="2098" spans="1:16" x14ac:dyDescent="0.4">
      <c r="A2098">
        <v>870</v>
      </c>
      <c r="B2098" t="s">
        <v>4915</v>
      </c>
      <c r="G2098" t="s">
        <v>2784</v>
      </c>
      <c r="H2098" t="s">
        <v>2783</v>
      </c>
      <c r="I2098">
        <v>230</v>
      </c>
      <c r="K2098" t="s">
        <v>4869</v>
      </c>
      <c r="L2098">
        <v>46275</v>
      </c>
      <c r="M2098">
        <v>99029</v>
      </c>
      <c r="N2098">
        <v>10</v>
      </c>
      <c r="O2098">
        <v>46283</v>
      </c>
      <c r="P2098">
        <v>220</v>
      </c>
    </row>
    <row r="2099" spans="1:16" x14ac:dyDescent="0.4">
      <c r="A2099">
        <v>555</v>
      </c>
      <c r="B2099" t="s">
        <v>4915</v>
      </c>
      <c r="D2099" t="s">
        <v>4916</v>
      </c>
      <c r="G2099" t="s">
        <v>2501</v>
      </c>
      <c r="H2099" t="s">
        <v>2500</v>
      </c>
      <c r="I2099">
        <v>239</v>
      </c>
      <c r="K2099" t="s">
        <v>4955</v>
      </c>
      <c r="L2099">
        <v>46276</v>
      </c>
      <c r="M2099">
        <v>99029</v>
      </c>
      <c r="N2099">
        <v>10</v>
      </c>
      <c r="O2099">
        <v>46283</v>
      </c>
      <c r="P2099">
        <v>229</v>
      </c>
    </row>
    <row r="2100" spans="1:16" x14ac:dyDescent="0.4">
      <c r="A2100">
        <v>869</v>
      </c>
      <c r="B2100" t="s">
        <v>4915</v>
      </c>
      <c r="G2100" t="s">
        <v>2782</v>
      </c>
      <c r="H2100" t="s">
        <v>2781</v>
      </c>
      <c r="I2100">
        <v>239</v>
      </c>
      <c r="K2100" t="s">
        <v>4869</v>
      </c>
      <c r="L2100">
        <v>46275</v>
      </c>
      <c r="M2100">
        <v>99029</v>
      </c>
      <c r="N2100">
        <v>10</v>
      </c>
      <c r="O2100">
        <v>46283</v>
      </c>
      <c r="P2100">
        <v>229</v>
      </c>
    </row>
    <row r="2101" spans="1:16" x14ac:dyDescent="0.4">
      <c r="A2101">
        <v>1043</v>
      </c>
      <c r="B2101" t="s">
        <v>4915</v>
      </c>
      <c r="D2101" t="s">
        <v>4916</v>
      </c>
      <c r="G2101" t="s">
        <v>2553</v>
      </c>
      <c r="H2101" t="s">
        <v>2552</v>
      </c>
      <c r="I2101">
        <v>252</v>
      </c>
      <c r="K2101" t="s">
        <v>4871</v>
      </c>
      <c r="L2101">
        <v>46276</v>
      </c>
      <c r="M2101">
        <v>99029</v>
      </c>
      <c r="N2101">
        <v>20</v>
      </c>
      <c r="O2101">
        <v>46283</v>
      </c>
      <c r="P2101">
        <v>232</v>
      </c>
    </row>
    <row r="2102" spans="1:16" x14ac:dyDescent="0.4">
      <c r="A2102">
        <v>1379</v>
      </c>
      <c r="B2102" t="s">
        <v>4915</v>
      </c>
      <c r="G2102" t="s">
        <v>1005</v>
      </c>
      <c r="H2102" t="s">
        <v>1004</v>
      </c>
      <c r="I2102">
        <v>330</v>
      </c>
      <c r="K2102" t="s">
        <v>4871</v>
      </c>
      <c r="L2102">
        <v>46281</v>
      </c>
      <c r="M2102">
        <v>99029</v>
      </c>
      <c r="N2102">
        <v>10</v>
      </c>
      <c r="O2102">
        <v>46283</v>
      </c>
      <c r="P2102">
        <v>320</v>
      </c>
    </row>
    <row r="2103" spans="1:16" x14ac:dyDescent="0.4">
      <c r="A2103">
        <v>855</v>
      </c>
      <c r="B2103" t="s">
        <v>4915</v>
      </c>
      <c r="G2103" t="s">
        <v>246</v>
      </c>
      <c r="H2103" t="s">
        <v>4960</v>
      </c>
      <c r="I2103">
        <v>428</v>
      </c>
      <c r="K2103" t="s">
        <v>4864</v>
      </c>
      <c r="L2103">
        <v>46275</v>
      </c>
      <c r="M2103">
        <v>99029</v>
      </c>
      <c r="N2103">
        <v>10</v>
      </c>
      <c r="O2103">
        <v>46283</v>
      </c>
      <c r="P2103">
        <v>418</v>
      </c>
    </row>
    <row r="2104" spans="1:16" x14ac:dyDescent="0.4">
      <c r="A2104">
        <v>868</v>
      </c>
      <c r="B2104" t="s">
        <v>4915</v>
      </c>
      <c r="G2104" t="s">
        <v>2566</v>
      </c>
      <c r="H2104" t="s">
        <v>2565</v>
      </c>
      <c r="I2104">
        <v>459</v>
      </c>
      <c r="K2104" t="s">
        <v>4851</v>
      </c>
      <c r="L2104">
        <v>46275</v>
      </c>
      <c r="M2104">
        <v>99029</v>
      </c>
      <c r="N2104">
        <v>10</v>
      </c>
      <c r="O2104">
        <v>46283</v>
      </c>
      <c r="P2104">
        <v>449</v>
      </c>
    </row>
    <row r="2105" spans="1:16" x14ac:dyDescent="0.4">
      <c r="A2105">
        <v>859</v>
      </c>
      <c r="B2105" t="s">
        <v>4915</v>
      </c>
      <c r="G2105" t="s">
        <v>723</v>
      </c>
      <c r="H2105" t="s">
        <v>4962</v>
      </c>
      <c r="I2105">
        <v>576</v>
      </c>
      <c r="K2105" t="s">
        <v>4864</v>
      </c>
      <c r="L2105">
        <v>46275</v>
      </c>
      <c r="M2105">
        <v>99029</v>
      </c>
      <c r="N2105">
        <v>10</v>
      </c>
      <c r="O2105">
        <v>46283</v>
      </c>
      <c r="P2105">
        <v>566</v>
      </c>
    </row>
    <row r="2106" spans="1:16" x14ac:dyDescent="0.4">
      <c r="A2106">
        <v>867</v>
      </c>
      <c r="B2106" t="s">
        <v>4915</v>
      </c>
      <c r="G2106" t="s">
        <v>2555</v>
      </c>
      <c r="H2106" t="s">
        <v>2554</v>
      </c>
      <c r="I2106">
        <v>697</v>
      </c>
      <c r="K2106" t="s">
        <v>4871</v>
      </c>
      <c r="L2106">
        <v>46275</v>
      </c>
      <c r="M2106">
        <v>99029</v>
      </c>
      <c r="N2106">
        <v>10</v>
      </c>
      <c r="O2106">
        <v>46283</v>
      </c>
      <c r="P2106">
        <v>687</v>
      </c>
    </row>
    <row r="2107" spans="1:16" x14ac:dyDescent="0.4">
      <c r="A2107">
        <v>1176</v>
      </c>
      <c r="B2107" t="s">
        <v>4915</v>
      </c>
      <c r="G2107" t="s">
        <v>2848</v>
      </c>
      <c r="H2107" t="s">
        <v>2847</v>
      </c>
      <c r="I2107">
        <v>470</v>
      </c>
      <c r="K2107" t="s">
        <v>4869</v>
      </c>
      <c r="L2107">
        <v>46280</v>
      </c>
      <c r="M2107">
        <v>99030</v>
      </c>
      <c r="N2107">
        <v>40</v>
      </c>
      <c r="O2107">
        <v>46281</v>
      </c>
      <c r="P2107">
        <v>430</v>
      </c>
    </row>
    <row r="2108" spans="1:16" x14ac:dyDescent="0.4">
      <c r="A2108">
        <v>1078</v>
      </c>
      <c r="B2108" t="s">
        <v>4915</v>
      </c>
      <c r="D2108" t="s">
        <v>4916</v>
      </c>
      <c r="G2108" t="s">
        <v>579</v>
      </c>
      <c r="H2108" t="s">
        <v>578</v>
      </c>
      <c r="I2108">
        <v>484</v>
      </c>
      <c r="K2108" t="s">
        <v>5122</v>
      </c>
      <c r="L2108">
        <v>46276</v>
      </c>
      <c r="M2108">
        <v>99031</v>
      </c>
      <c r="N2108">
        <v>30</v>
      </c>
      <c r="O2108">
        <v>46281</v>
      </c>
      <c r="P2108">
        <v>454</v>
      </c>
    </row>
    <row r="2109" spans="1:16" x14ac:dyDescent="0.4">
      <c r="A2109">
        <v>981</v>
      </c>
      <c r="B2109" t="s">
        <v>4915</v>
      </c>
      <c r="D2109" t="s">
        <v>4916</v>
      </c>
      <c r="G2109" t="s">
        <v>1405</v>
      </c>
      <c r="H2109" t="s">
        <v>1404</v>
      </c>
      <c r="I2109">
        <v>73</v>
      </c>
      <c r="K2109" t="s">
        <v>5064</v>
      </c>
      <c r="L2109">
        <v>46276</v>
      </c>
      <c r="M2109">
        <v>99038</v>
      </c>
      <c r="N2109">
        <v>6</v>
      </c>
      <c r="O2109">
        <v>46283</v>
      </c>
      <c r="P2109">
        <v>67</v>
      </c>
    </row>
    <row r="2110" spans="1:16" x14ac:dyDescent="0.4">
      <c r="A2110">
        <v>1853</v>
      </c>
      <c r="B2110" t="s">
        <v>4915</v>
      </c>
      <c r="G2110" t="s">
        <v>2645</v>
      </c>
      <c r="H2110" t="s">
        <v>2644</v>
      </c>
      <c r="I2110">
        <v>553</v>
      </c>
      <c r="K2110" t="s">
        <v>4869</v>
      </c>
      <c r="L2110">
        <v>46295</v>
      </c>
      <c r="M2110">
        <v>99038</v>
      </c>
      <c r="N2110">
        <v>13</v>
      </c>
      <c r="O2110">
        <v>46283</v>
      </c>
      <c r="P2110">
        <v>540</v>
      </c>
    </row>
    <row r="2111" spans="1:16" x14ac:dyDescent="0.4">
      <c r="A2111">
        <v>1855</v>
      </c>
      <c r="B2111" t="s">
        <v>4915</v>
      </c>
      <c r="G2111" t="s">
        <v>1556</v>
      </c>
      <c r="H2111" t="s">
        <v>1555</v>
      </c>
      <c r="I2111">
        <v>910</v>
      </c>
      <c r="K2111" t="s">
        <v>4851</v>
      </c>
      <c r="L2111">
        <v>46295</v>
      </c>
      <c r="M2111">
        <v>99038</v>
      </c>
      <c r="N2111">
        <v>13</v>
      </c>
      <c r="O2111">
        <v>46283</v>
      </c>
      <c r="P2111">
        <v>897</v>
      </c>
    </row>
    <row r="2112" spans="1:16" x14ac:dyDescent="0.4">
      <c r="A2112">
        <v>1692</v>
      </c>
      <c r="B2112" t="s">
        <v>4915</v>
      </c>
      <c r="G2112" t="s">
        <v>1119</v>
      </c>
      <c r="H2112" t="s">
        <v>1118</v>
      </c>
      <c r="I2112">
        <v>48</v>
      </c>
      <c r="K2112" t="s">
        <v>4958</v>
      </c>
      <c r="L2112">
        <v>46279</v>
      </c>
      <c r="M2112">
        <v>99039</v>
      </c>
      <c r="N2112">
        <v>48</v>
      </c>
      <c r="O2112">
        <v>46283</v>
      </c>
      <c r="P2112">
        <v>0</v>
      </c>
    </row>
    <row r="2113" spans="1:16" x14ac:dyDescent="0.4">
      <c r="A2113">
        <v>1924</v>
      </c>
      <c r="B2113" t="s">
        <v>4915</v>
      </c>
      <c r="G2113" t="s">
        <v>1349</v>
      </c>
      <c r="H2113" t="s">
        <v>1348</v>
      </c>
      <c r="I2113">
        <v>329</v>
      </c>
      <c r="K2113" t="s">
        <v>5039</v>
      </c>
      <c r="L2113">
        <v>46295</v>
      </c>
      <c r="M2113">
        <v>100547</v>
      </c>
      <c r="N2113">
        <v>50</v>
      </c>
      <c r="O2113">
        <v>46286</v>
      </c>
      <c r="P2113">
        <v>279</v>
      </c>
    </row>
    <row r="2114" spans="1:16" x14ac:dyDescent="0.4">
      <c r="A2114">
        <v>2110</v>
      </c>
      <c r="B2114" t="s">
        <v>4915</v>
      </c>
      <c r="G2114" t="s">
        <v>1532</v>
      </c>
      <c r="H2114" t="s">
        <v>1531</v>
      </c>
      <c r="I2114">
        <v>350</v>
      </c>
      <c r="K2114" t="s">
        <v>5024</v>
      </c>
      <c r="L2114">
        <v>46286</v>
      </c>
      <c r="M2114">
        <v>100547</v>
      </c>
      <c r="N2114">
        <v>6</v>
      </c>
      <c r="O2114">
        <v>46286</v>
      </c>
      <c r="P2114">
        <v>344</v>
      </c>
    </row>
    <row r="2115" spans="1:16" x14ac:dyDescent="0.4">
      <c r="A2115">
        <v>1926</v>
      </c>
      <c r="B2115" t="s">
        <v>4915</v>
      </c>
      <c r="G2115" t="s">
        <v>1530</v>
      </c>
      <c r="H2115" t="s">
        <v>5124</v>
      </c>
      <c r="I2115">
        <v>360</v>
      </c>
      <c r="K2115" t="s">
        <v>5125</v>
      </c>
      <c r="L2115">
        <v>46295</v>
      </c>
      <c r="M2115">
        <v>100547</v>
      </c>
      <c r="N2115">
        <v>100</v>
      </c>
      <c r="O2115">
        <v>46286</v>
      </c>
      <c r="P2115">
        <v>260</v>
      </c>
    </row>
    <row r="2116" spans="1:16" x14ac:dyDescent="0.4">
      <c r="A2116">
        <v>2007</v>
      </c>
      <c r="B2116" t="s">
        <v>4915</v>
      </c>
      <c r="G2116" t="s">
        <v>1532</v>
      </c>
      <c r="H2116" t="s">
        <v>1531</v>
      </c>
      <c r="I2116">
        <v>365</v>
      </c>
      <c r="K2116" t="s">
        <v>5024</v>
      </c>
      <c r="L2116">
        <v>46294</v>
      </c>
      <c r="M2116">
        <v>100547</v>
      </c>
      <c r="N2116">
        <v>15</v>
      </c>
      <c r="O2116">
        <v>46286</v>
      </c>
      <c r="P2116">
        <v>350</v>
      </c>
    </row>
    <row r="2117" spans="1:16" x14ac:dyDescent="0.4">
      <c r="A2117">
        <v>2109</v>
      </c>
      <c r="B2117" t="s">
        <v>4915</v>
      </c>
      <c r="G2117" t="s">
        <v>1584</v>
      </c>
      <c r="H2117" t="s">
        <v>1583</v>
      </c>
      <c r="I2117">
        <v>387</v>
      </c>
      <c r="K2117" t="s">
        <v>5037</v>
      </c>
      <c r="L2117">
        <v>46286</v>
      </c>
      <c r="M2117">
        <v>100547</v>
      </c>
      <c r="N2117">
        <v>50</v>
      </c>
      <c r="O2117">
        <v>46286</v>
      </c>
      <c r="P2117">
        <v>337</v>
      </c>
    </row>
    <row r="2118" spans="1:16" x14ac:dyDescent="0.4">
      <c r="A2118">
        <v>1927</v>
      </c>
      <c r="B2118" t="s">
        <v>4915</v>
      </c>
      <c r="G2118" t="s">
        <v>1584</v>
      </c>
      <c r="H2118" t="s">
        <v>1583</v>
      </c>
      <c r="I2118">
        <v>402</v>
      </c>
      <c r="K2118" t="s">
        <v>5037</v>
      </c>
      <c r="L2118">
        <v>46295</v>
      </c>
      <c r="M2118">
        <v>100547</v>
      </c>
      <c r="N2118">
        <v>15</v>
      </c>
      <c r="O2118">
        <v>46286</v>
      </c>
      <c r="P2118">
        <v>387</v>
      </c>
    </row>
    <row r="2119" spans="1:16" x14ac:dyDescent="0.4">
      <c r="A2119">
        <v>1928</v>
      </c>
      <c r="B2119" t="s">
        <v>4915</v>
      </c>
      <c r="G2119" t="s">
        <v>1532</v>
      </c>
      <c r="H2119" t="s">
        <v>1531</v>
      </c>
      <c r="I2119">
        <v>409</v>
      </c>
      <c r="K2119" t="s">
        <v>5024</v>
      </c>
      <c r="L2119">
        <v>46295</v>
      </c>
      <c r="M2119">
        <v>100547</v>
      </c>
      <c r="N2119">
        <v>44</v>
      </c>
      <c r="O2119">
        <v>46294</v>
      </c>
      <c r="P2119">
        <v>365</v>
      </c>
    </row>
    <row r="2120" spans="1:16" x14ac:dyDescent="0.4">
      <c r="A2120">
        <v>1929</v>
      </c>
      <c r="B2120" t="s">
        <v>4915</v>
      </c>
      <c r="G2120" t="s">
        <v>1710</v>
      </c>
      <c r="H2120" t="s">
        <v>1709</v>
      </c>
      <c r="I2120">
        <v>439</v>
      </c>
      <c r="K2120" t="s">
        <v>5123</v>
      </c>
      <c r="L2120">
        <v>46295</v>
      </c>
      <c r="M2120">
        <v>100547</v>
      </c>
      <c r="N2120">
        <v>50</v>
      </c>
      <c r="O2120">
        <v>46286</v>
      </c>
      <c r="P2120">
        <v>389</v>
      </c>
    </row>
    <row r="2121" spans="1:16" x14ac:dyDescent="0.4">
      <c r="A2121">
        <v>1987</v>
      </c>
      <c r="B2121" t="s">
        <v>4915</v>
      </c>
      <c r="G2121" t="s">
        <v>1347</v>
      </c>
      <c r="H2121" t="s">
        <v>1346</v>
      </c>
      <c r="I2121">
        <v>474</v>
      </c>
      <c r="K2121" t="s">
        <v>5041</v>
      </c>
      <c r="L2121">
        <v>46295</v>
      </c>
      <c r="M2121">
        <v>100547</v>
      </c>
      <c r="N2121">
        <v>100</v>
      </c>
      <c r="O2121">
        <v>46286</v>
      </c>
      <c r="P2121">
        <v>374</v>
      </c>
    </row>
    <row r="2122" spans="1:16" x14ac:dyDescent="0.4">
      <c r="A2122">
        <v>1932</v>
      </c>
      <c r="B2122" t="s">
        <v>4915</v>
      </c>
      <c r="G2122" t="s">
        <v>2757</v>
      </c>
      <c r="H2122" t="s">
        <v>2756</v>
      </c>
      <c r="I2122">
        <v>482</v>
      </c>
      <c r="K2122" t="s">
        <v>4872</v>
      </c>
      <c r="L2122">
        <v>46295</v>
      </c>
      <c r="M2122">
        <v>100547</v>
      </c>
      <c r="N2122">
        <v>50</v>
      </c>
      <c r="O2122">
        <v>46286</v>
      </c>
      <c r="P2122">
        <v>432</v>
      </c>
    </row>
    <row r="2123" spans="1:16" x14ac:dyDescent="0.4">
      <c r="A2123">
        <v>1934</v>
      </c>
      <c r="B2123" t="s">
        <v>4915</v>
      </c>
      <c r="G2123" t="s">
        <v>1582</v>
      </c>
      <c r="H2123" t="s">
        <v>1581</v>
      </c>
      <c r="I2123">
        <v>571</v>
      </c>
      <c r="K2123" t="s">
        <v>5129</v>
      </c>
      <c r="L2123">
        <v>46295</v>
      </c>
      <c r="M2123">
        <v>100547</v>
      </c>
      <c r="N2123">
        <v>50</v>
      </c>
      <c r="O2123">
        <v>46286</v>
      </c>
      <c r="P2123">
        <v>521</v>
      </c>
    </row>
    <row r="2124" spans="1:16" x14ac:dyDescent="0.4">
      <c r="A2124">
        <v>2115</v>
      </c>
      <c r="B2124" t="s">
        <v>4915</v>
      </c>
      <c r="G2124" t="s">
        <v>1600</v>
      </c>
      <c r="H2124" t="s">
        <v>1599</v>
      </c>
      <c r="I2124">
        <v>681</v>
      </c>
      <c r="K2124" t="s">
        <v>5037</v>
      </c>
      <c r="L2124">
        <v>46286</v>
      </c>
      <c r="M2124">
        <v>100547</v>
      </c>
      <c r="N2124">
        <v>50</v>
      </c>
      <c r="O2124">
        <v>46286</v>
      </c>
      <c r="P2124">
        <v>631</v>
      </c>
    </row>
    <row r="2125" spans="1:16" x14ac:dyDescent="0.4">
      <c r="A2125">
        <v>1935</v>
      </c>
      <c r="B2125" t="s">
        <v>4915</v>
      </c>
      <c r="G2125" t="s">
        <v>1600</v>
      </c>
      <c r="H2125" t="s">
        <v>1599</v>
      </c>
      <c r="I2125">
        <v>696</v>
      </c>
      <c r="K2125" t="s">
        <v>5037</v>
      </c>
      <c r="L2125">
        <v>46295</v>
      </c>
      <c r="M2125">
        <v>100547</v>
      </c>
      <c r="N2125">
        <v>15</v>
      </c>
      <c r="O2125">
        <v>46286</v>
      </c>
      <c r="P2125">
        <v>681</v>
      </c>
    </row>
    <row r="2126" spans="1:16" x14ac:dyDescent="0.4">
      <c r="A2126">
        <v>1936</v>
      </c>
      <c r="B2126" t="s">
        <v>4915</v>
      </c>
      <c r="G2126" t="s">
        <v>1331</v>
      </c>
      <c r="H2126" t="s">
        <v>5133</v>
      </c>
      <c r="I2126">
        <v>734</v>
      </c>
      <c r="K2126" t="s">
        <v>5134</v>
      </c>
      <c r="L2126">
        <v>46295</v>
      </c>
      <c r="M2126">
        <v>100547</v>
      </c>
      <c r="N2126">
        <v>50</v>
      </c>
      <c r="O2126">
        <v>46286</v>
      </c>
      <c r="P2126">
        <v>684</v>
      </c>
    </row>
    <row r="2127" spans="1:16" x14ac:dyDescent="0.4">
      <c r="A2127">
        <v>1187</v>
      </c>
      <c r="B2127" t="s">
        <v>4915</v>
      </c>
      <c r="G2127" t="s">
        <v>3535</v>
      </c>
      <c r="H2127" t="s">
        <v>3534</v>
      </c>
      <c r="I2127">
        <v>30</v>
      </c>
      <c r="K2127" t="s">
        <v>5046</v>
      </c>
      <c r="L2127">
        <v>46276</v>
      </c>
      <c r="M2127">
        <v>100550</v>
      </c>
      <c r="N2127">
        <v>20</v>
      </c>
      <c r="O2127">
        <v>46287</v>
      </c>
      <c r="P2127">
        <v>10</v>
      </c>
    </row>
    <row r="2128" spans="1:16" x14ac:dyDescent="0.4">
      <c r="A2128">
        <v>1183</v>
      </c>
      <c r="B2128" t="s">
        <v>4915</v>
      </c>
      <c r="G2128" t="s">
        <v>3598</v>
      </c>
      <c r="H2128" t="s">
        <v>3597</v>
      </c>
      <c r="I2128">
        <v>50</v>
      </c>
      <c r="K2128" t="s">
        <v>5044</v>
      </c>
      <c r="L2128">
        <v>46276</v>
      </c>
      <c r="M2128">
        <v>100550</v>
      </c>
      <c r="N2128">
        <v>20</v>
      </c>
      <c r="O2128">
        <v>46287</v>
      </c>
      <c r="P2128">
        <v>30</v>
      </c>
    </row>
    <row r="2129" spans="1:16" x14ac:dyDescent="0.4">
      <c r="A2129">
        <v>1185</v>
      </c>
      <c r="B2129" t="s">
        <v>4915</v>
      </c>
      <c r="G2129" t="s">
        <v>3530</v>
      </c>
      <c r="H2129" t="s">
        <v>5049</v>
      </c>
      <c r="I2129">
        <v>58</v>
      </c>
      <c r="K2129" t="s">
        <v>5005</v>
      </c>
      <c r="L2129">
        <v>46276</v>
      </c>
      <c r="M2129">
        <v>100550</v>
      </c>
      <c r="N2129">
        <v>20</v>
      </c>
      <c r="O2129">
        <v>46287</v>
      </c>
      <c r="P2129">
        <v>38</v>
      </c>
    </row>
    <row r="2130" spans="1:16" x14ac:dyDescent="0.4">
      <c r="A2130">
        <v>1184</v>
      </c>
      <c r="B2130" t="s">
        <v>4915</v>
      </c>
      <c r="G2130" t="s">
        <v>3538</v>
      </c>
      <c r="H2130" t="s">
        <v>3537</v>
      </c>
      <c r="I2130">
        <v>69</v>
      </c>
      <c r="K2130" t="s">
        <v>5047</v>
      </c>
      <c r="L2130">
        <v>46276</v>
      </c>
      <c r="M2130">
        <v>100550</v>
      </c>
      <c r="N2130">
        <v>20</v>
      </c>
      <c r="O2130">
        <v>46287</v>
      </c>
      <c r="P2130">
        <v>49</v>
      </c>
    </row>
    <row r="2131" spans="1:16" x14ac:dyDescent="0.4">
      <c r="A2131">
        <v>1186</v>
      </c>
      <c r="B2131" t="s">
        <v>4915</v>
      </c>
      <c r="G2131" t="s">
        <v>3551</v>
      </c>
      <c r="H2131" t="s">
        <v>5043</v>
      </c>
      <c r="I2131">
        <v>69</v>
      </c>
      <c r="K2131" t="s">
        <v>5004</v>
      </c>
      <c r="L2131">
        <v>46276</v>
      </c>
      <c r="M2131">
        <v>100550</v>
      </c>
      <c r="N2131">
        <v>20</v>
      </c>
      <c r="O2131">
        <v>46287</v>
      </c>
      <c r="P2131">
        <v>49</v>
      </c>
    </row>
    <row r="2132" spans="1:16" x14ac:dyDescent="0.4">
      <c r="A2132">
        <v>1363</v>
      </c>
      <c r="B2132" t="s">
        <v>4915</v>
      </c>
      <c r="D2132" t="s">
        <v>4928</v>
      </c>
      <c r="G2132" t="s">
        <v>5011</v>
      </c>
      <c r="H2132" t="s">
        <v>5012</v>
      </c>
      <c r="I2132">
        <v>6</v>
      </c>
      <c r="K2132" t="s">
        <v>5008</v>
      </c>
      <c r="L2132">
        <v>46275</v>
      </c>
      <c r="M2132">
        <v>100551</v>
      </c>
      <c r="N2132">
        <v>6</v>
      </c>
      <c r="O2132">
        <v>46287</v>
      </c>
      <c r="P2132">
        <v>0</v>
      </c>
    </row>
    <row r="2133" spans="1:16" x14ac:dyDescent="0.4">
      <c r="A2133">
        <v>793</v>
      </c>
      <c r="B2133" t="s">
        <v>4915</v>
      </c>
      <c r="G2133" t="s">
        <v>5006</v>
      </c>
      <c r="H2133" t="s">
        <v>5007</v>
      </c>
      <c r="I2133">
        <v>15</v>
      </c>
      <c r="K2133" t="s">
        <v>5008</v>
      </c>
      <c r="L2133">
        <v>46276</v>
      </c>
      <c r="M2133">
        <v>100551</v>
      </c>
      <c r="N2133">
        <v>15</v>
      </c>
      <c r="O2133">
        <v>46287</v>
      </c>
      <c r="P2133">
        <v>0</v>
      </c>
    </row>
    <row r="2134" spans="1:16" x14ac:dyDescent="0.4">
      <c r="A2134">
        <v>2009</v>
      </c>
      <c r="B2134" t="s">
        <v>4915</v>
      </c>
      <c r="D2134" t="s">
        <v>4901</v>
      </c>
      <c r="E2134" t="s">
        <v>5161</v>
      </c>
      <c r="F2134" t="s">
        <v>5147</v>
      </c>
      <c r="G2134" t="s">
        <v>5009</v>
      </c>
      <c r="H2134" t="s">
        <v>5010</v>
      </c>
      <c r="I2134">
        <v>20</v>
      </c>
      <c r="K2134" t="s">
        <v>5008</v>
      </c>
      <c r="L2134">
        <v>46293</v>
      </c>
      <c r="M2134">
        <v>100551</v>
      </c>
      <c r="N2134">
        <v>20</v>
      </c>
      <c r="O2134">
        <v>46293</v>
      </c>
      <c r="P2134">
        <v>0</v>
      </c>
    </row>
    <row r="2135" spans="1:16" x14ac:dyDescent="0.4">
      <c r="A2135">
        <v>2010</v>
      </c>
      <c r="B2135" t="s">
        <v>4915</v>
      </c>
      <c r="G2135" t="s">
        <v>5016</v>
      </c>
      <c r="H2135" t="s">
        <v>5017</v>
      </c>
      <c r="I2135">
        <v>20</v>
      </c>
      <c r="K2135" t="s">
        <v>5018</v>
      </c>
      <c r="L2135">
        <v>46293</v>
      </c>
      <c r="M2135">
        <v>100551</v>
      </c>
      <c r="N2135">
        <v>20</v>
      </c>
      <c r="O2135">
        <v>46293</v>
      </c>
      <c r="P2135">
        <v>0</v>
      </c>
    </row>
    <row r="2136" spans="1:16" x14ac:dyDescent="0.4">
      <c r="A2136">
        <v>788</v>
      </c>
      <c r="B2136" t="s">
        <v>4915</v>
      </c>
      <c r="G2136" t="s">
        <v>3273</v>
      </c>
      <c r="H2136" t="s">
        <v>3272</v>
      </c>
      <c r="I2136">
        <v>28</v>
      </c>
      <c r="K2136" t="s">
        <v>3271</v>
      </c>
      <c r="L2136">
        <v>46276</v>
      </c>
      <c r="M2136">
        <v>100551</v>
      </c>
      <c r="N2136">
        <v>20</v>
      </c>
      <c r="O2136">
        <v>46287</v>
      </c>
      <c r="P2136">
        <v>8</v>
      </c>
    </row>
    <row r="2137" spans="1:16" x14ac:dyDescent="0.4">
      <c r="A2137">
        <v>795</v>
      </c>
      <c r="B2137" t="s">
        <v>4915</v>
      </c>
      <c r="G2137" t="s">
        <v>3419</v>
      </c>
      <c r="H2137" t="s">
        <v>3418</v>
      </c>
      <c r="I2137">
        <v>30</v>
      </c>
      <c r="K2137" t="s">
        <v>3420</v>
      </c>
      <c r="L2137">
        <v>46276</v>
      </c>
      <c r="M2137">
        <v>100551</v>
      </c>
      <c r="N2137">
        <v>20</v>
      </c>
      <c r="O2137">
        <v>46287</v>
      </c>
      <c r="P2137">
        <v>10</v>
      </c>
    </row>
    <row r="2138" spans="1:16" x14ac:dyDescent="0.4">
      <c r="A2138">
        <v>787</v>
      </c>
      <c r="B2138" t="s">
        <v>4915</v>
      </c>
      <c r="G2138" t="s">
        <v>3270</v>
      </c>
      <c r="H2138" t="s">
        <v>3269</v>
      </c>
      <c r="I2138">
        <v>31</v>
      </c>
      <c r="K2138" t="s">
        <v>3271</v>
      </c>
      <c r="L2138">
        <v>46276</v>
      </c>
      <c r="M2138">
        <v>100551</v>
      </c>
      <c r="N2138">
        <v>20</v>
      </c>
      <c r="O2138">
        <v>46287</v>
      </c>
      <c r="P2138">
        <v>11</v>
      </c>
    </row>
    <row r="2139" spans="1:16" x14ac:dyDescent="0.4">
      <c r="A2139">
        <v>789</v>
      </c>
      <c r="B2139" t="s">
        <v>4915</v>
      </c>
      <c r="G2139" t="s">
        <v>3275</v>
      </c>
      <c r="H2139" t="s">
        <v>3274</v>
      </c>
      <c r="I2139">
        <v>44</v>
      </c>
      <c r="K2139" t="s">
        <v>3276</v>
      </c>
      <c r="L2139">
        <v>46276</v>
      </c>
      <c r="M2139">
        <v>100551</v>
      </c>
      <c r="N2139">
        <v>20</v>
      </c>
      <c r="O2139">
        <v>46287</v>
      </c>
      <c r="P2139">
        <v>24</v>
      </c>
    </row>
    <row r="2140" spans="1:16" x14ac:dyDescent="0.4">
      <c r="A2140">
        <v>791</v>
      </c>
      <c r="B2140" t="s">
        <v>4915</v>
      </c>
      <c r="G2140" t="s">
        <v>3425</v>
      </c>
      <c r="H2140" t="s">
        <v>3424</v>
      </c>
      <c r="I2140">
        <v>67</v>
      </c>
      <c r="K2140" t="s">
        <v>3426</v>
      </c>
      <c r="L2140">
        <v>46276</v>
      </c>
      <c r="M2140">
        <v>100551</v>
      </c>
      <c r="N2140">
        <v>20</v>
      </c>
      <c r="O2140">
        <v>46287</v>
      </c>
      <c r="P2140">
        <v>47</v>
      </c>
    </row>
    <row r="2141" spans="1:16" x14ac:dyDescent="0.4">
      <c r="A2141">
        <v>794</v>
      </c>
      <c r="B2141" t="s">
        <v>4915</v>
      </c>
      <c r="G2141" t="s">
        <v>3452</v>
      </c>
      <c r="H2141" t="s">
        <v>3451</v>
      </c>
      <c r="I2141">
        <v>80</v>
      </c>
      <c r="K2141" t="s">
        <v>3239</v>
      </c>
      <c r="L2141">
        <v>46276</v>
      </c>
      <c r="M2141">
        <v>100551</v>
      </c>
      <c r="N2141">
        <v>20</v>
      </c>
      <c r="O2141">
        <v>46287</v>
      </c>
      <c r="P2141">
        <v>60</v>
      </c>
    </row>
    <row r="2142" spans="1:16" x14ac:dyDescent="0.4">
      <c r="A2142">
        <v>1364</v>
      </c>
      <c r="B2142" t="s">
        <v>4915</v>
      </c>
      <c r="D2142" t="s">
        <v>4901</v>
      </c>
      <c r="G2142" t="s">
        <v>3213</v>
      </c>
      <c r="H2142" t="s">
        <v>3212</v>
      </c>
      <c r="I2142">
        <v>100</v>
      </c>
      <c r="K2142" t="s">
        <v>5021</v>
      </c>
      <c r="L2142">
        <v>46275</v>
      </c>
      <c r="M2142">
        <v>100551</v>
      </c>
      <c r="N2142">
        <v>20</v>
      </c>
      <c r="O2142">
        <v>46287</v>
      </c>
      <c r="P2142">
        <v>80</v>
      </c>
    </row>
    <row r="2143" spans="1:16" x14ac:dyDescent="0.4">
      <c r="A2143">
        <v>792</v>
      </c>
      <c r="B2143" t="s">
        <v>4915</v>
      </c>
      <c r="G2143" t="s">
        <v>5019</v>
      </c>
      <c r="H2143" t="s">
        <v>3633</v>
      </c>
      <c r="I2143">
        <v>119</v>
      </c>
      <c r="K2143" t="s">
        <v>5020</v>
      </c>
      <c r="L2143">
        <v>46276</v>
      </c>
      <c r="M2143">
        <v>100551</v>
      </c>
      <c r="N2143">
        <v>40</v>
      </c>
      <c r="O2143">
        <v>46287</v>
      </c>
      <c r="P2143">
        <v>79</v>
      </c>
    </row>
    <row r="2144" spans="1:16" x14ac:dyDescent="0.4">
      <c r="A2144">
        <v>2283</v>
      </c>
      <c r="B2144" t="s">
        <v>4915</v>
      </c>
      <c r="G2144" t="s">
        <v>5013</v>
      </c>
      <c r="H2144" t="s">
        <v>5014</v>
      </c>
      <c r="I2144">
        <v>126</v>
      </c>
      <c r="K2144" t="s">
        <v>5015</v>
      </c>
      <c r="L2144">
        <v>46303</v>
      </c>
      <c r="M2144">
        <v>100551</v>
      </c>
      <c r="N2144">
        <v>20</v>
      </c>
      <c r="O2144">
        <v>46303</v>
      </c>
      <c r="P2144">
        <v>106</v>
      </c>
    </row>
    <row r="2145" spans="1:16" x14ac:dyDescent="0.4">
      <c r="A2145">
        <v>818</v>
      </c>
      <c r="B2145" t="s">
        <v>4915</v>
      </c>
      <c r="G2145" t="s">
        <v>385</v>
      </c>
      <c r="H2145" t="s">
        <v>384</v>
      </c>
      <c r="I2145">
        <v>246</v>
      </c>
      <c r="K2145" t="s">
        <v>4944</v>
      </c>
      <c r="L2145">
        <v>46275</v>
      </c>
      <c r="M2145">
        <v>100551</v>
      </c>
      <c r="N2145">
        <v>20</v>
      </c>
      <c r="O2145">
        <v>46287</v>
      </c>
      <c r="P2145">
        <v>226</v>
      </c>
    </row>
    <row r="2146" spans="1:16" x14ac:dyDescent="0.4">
      <c r="A2146">
        <v>1679</v>
      </c>
      <c r="B2146" t="s">
        <v>4915</v>
      </c>
      <c r="G2146" t="s">
        <v>1833</v>
      </c>
      <c r="H2146" t="s">
        <v>5035</v>
      </c>
      <c r="I2146">
        <v>1</v>
      </c>
      <c r="K2146" t="s">
        <v>4979</v>
      </c>
      <c r="L2146">
        <v>46280</v>
      </c>
      <c r="M2146">
        <v>100554</v>
      </c>
      <c r="N2146">
        <v>1</v>
      </c>
      <c r="O2146">
        <v>46288</v>
      </c>
      <c r="P2146">
        <v>0</v>
      </c>
    </row>
    <row r="2147" spans="1:16" x14ac:dyDescent="0.4">
      <c r="A2147">
        <v>1167</v>
      </c>
      <c r="B2147" t="s">
        <v>4915</v>
      </c>
      <c r="G2147" t="s">
        <v>1833</v>
      </c>
      <c r="H2147" t="s">
        <v>5035</v>
      </c>
      <c r="I2147">
        <v>34</v>
      </c>
      <c r="K2147" t="s">
        <v>4979</v>
      </c>
      <c r="L2147">
        <v>46280</v>
      </c>
      <c r="M2147">
        <v>100554</v>
      </c>
      <c r="N2147">
        <v>13</v>
      </c>
      <c r="O2147">
        <v>46288</v>
      </c>
      <c r="P2147">
        <v>21</v>
      </c>
    </row>
    <row r="2148" spans="1:16" x14ac:dyDescent="0.4">
      <c r="A2148">
        <v>2124</v>
      </c>
      <c r="B2148" t="s">
        <v>4915</v>
      </c>
      <c r="D2148" t="s">
        <v>4901</v>
      </c>
      <c r="E2148" t="s">
        <v>5171</v>
      </c>
      <c r="F2148" t="s">
        <v>4939</v>
      </c>
      <c r="G2148" t="s">
        <v>1833</v>
      </c>
      <c r="H2148" t="s">
        <v>5035</v>
      </c>
      <c r="I2148">
        <v>52</v>
      </c>
      <c r="K2148" t="s">
        <v>4979</v>
      </c>
      <c r="L2148">
        <v>46275</v>
      </c>
      <c r="M2148">
        <v>100554</v>
      </c>
      <c r="N2148">
        <v>12</v>
      </c>
      <c r="O2148">
        <v>46288</v>
      </c>
      <c r="P2148">
        <v>40</v>
      </c>
    </row>
    <row r="2149" spans="1:16" x14ac:dyDescent="0.4">
      <c r="A2149">
        <v>1983</v>
      </c>
      <c r="B2149" t="s">
        <v>4915</v>
      </c>
      <c r="G2149" t="s">
        <v>477</v>
      </c>
      <c r="H2149" t="s">
        <v>476</v>
      </c>
      <c r="I2149">
        <v>144</v>
      </c>
      <c r="K2149" t="s">
        <v>4851</v>
      </c>
      <c r="L2149">
        <v>46295</v>
      </c>
      <c r="M2149">
        <v>100564</v>
      </c>
      <c r="N2149">
        <v>22</v>
      </c>
      <c r="O2149">
        <v>46288</v>
      </c>
      <c r="P2149">
        <v>122</v>
      </c>
    </row>
    <row r="2150" spans="1:16" x14ac:dyDescent="0.4">
      <c r="A2150">
        <v>745</v>
      </c>
      <c r="B2150" t="s">
        <v>4915</v>
      </c>
      <c r="G2150" t="s">
        <v>3369</v>
      </c>
      <c r="H2150" t="s">
        <v>3368</v>
      </c>
      <c r="I2150">
        <v>1</v>
      </c>
      <c r="K2150" t="s">
        <v>5005</v>
      </c>
      <c r="L2150">
        <v>46275</v>
      </c>
      <c r="M2150">
        <v>100572</v>
      </c>
      <c r="N2150">
        <v>1</v>
      </c>
      <c r="O2150">
        <v>46288</v>
      </c>
      <c r="P2150">
        <v>0</v>
      </c>
    </row>
    <row r="2151" spans="1:16" x14ac:dyDescent="0.4">
      <c r="A2151">
        <v>744</v>
      </c>
      <c r="B2151" t="s">
        <v>4915</v>
      </c>
      <c r="G2151" t="s">
        <v>3412</v>
      </c>
      <c r="H2151" t="s">
        <v>3411</v>
      </c>
      <c r="I2151">
        <v>74</v>
      </c>
      <c r="K2151" t="s">
        <v>1829</v>
      </c>
      <c r="L2151">
        <v>46275</v>
      </c>
      <c r="M2151">
        <v>100572</v>
      </c>
      <c r="N2151">
        <v>20</v>
      </c>
      <c r="O2151">
        <v>46288</v>
      </c>
      <c r="P2151">
        <v>54</v>
      </c>
    </row>
    <row r="2152" spans="1:16" x14ac:dyDescent="0.4">
      <c r="A2152">
        <v>2630</v>
      </c>
      <c r="B2152" t="s">
        <v>4915</v>
      </c>
      <c r="D2152" t="s">
        <v>4901</v>
      </c>
      <c r="E2152" t="s">
        <v>4936</v>
      </c>
      <c r="F2152" t="s">
        <v>4939</v>
      </c>
      <c r="G2152" t="s">
        <v>3303</v>
      </c>
      <c r="H2152" t="s">
        <v>3302</v>
      </c>
      <c r="I2152">
        <v>18</v>
      </c>
      <c r="K2152" t="s">
        <v>5005</v>
      </c>
      <c r="L2152">
        <v>46287</v>
      </c>
      <c r="M2152">
        <v>100572</v>
      </c>
      <c r="N2152">
        <v>15</v>
      </c>
      <c r="O2152">
        <v>46301</v>
      </c>
      <c r="P2152">
        <v>3</v>
      </c>
    </row>
    <row r="2153" spans="1:16" x14ac:dyDescent="0.4">
      <c r="A2153">
        <v>2631</v>
      </c>
      <c r="B2153" t="s">
        <v>4915</v>
      </c>
      <c r="G2153" t="s">
        <v>3303</v>
      </c>
      <c r="H2153" t="s">
        <v>3302</v>
      </c>
      <c r="I2153">
        <v>5</v>
      </c>
      <c r="K2153" t="s">
        <v>5005</v>
      </c>
      <c r="L2153">
        <v>46301</v>
      </c>
      <c r="M2153">
        <v>100572</v>
      </c>
      <c r="N2153">
        <v>5</v>
      </c>
      <c r="O2153">
        <v>46301</v>
      </c>
      <c r="P2153">
        <v>0</v>
      </c>
    </row>
    <row r="2154" spans="1:16" x14ac:dyDescent="0.4">
      <c r="A2154">
        <v>1702</v>
      </c>
      <c r="B2154" t="s">
        <v>4915</v>
      </c>
      <c r="D2154" t="s">
        <v>4901</v>
      </c>
      <c r="E2154" t="s">
        <v>4936</v>
      </c>
      <c r="F2154" t="s">
        <v>4937</v>
      </c>
      <c r="G2154" t="s">
        <v>3369</v>
      </c>
      <c r="H2154" t="s">
        <v>3368</v>
      </c>
      <c r="I2154">
        <v>19</v>
      </c>
      <c r="K2154" t="s">
        <v>5005</v>
      </c>
      <c r="L2154">
        <v>46281</v>
      </c>
      <c r="M2154">
        <v>100572</v>
      </c>
      <c r="N2154">
        <v>19</v>
      </c>
      <c r="O2154">
        <v>46288</v>
      </c>
      <c r="P2154">
        <v>0</v>
      </c>
    </row>
    <row r="2155" spans="1:16" x14ac:dyDescent="0.4">
      <c r="A2155">
        <v>2354</v>
      </c>
      <c r="B2155" t="s">
        <v>4915</v>
      </c>
      <c r="G2155" t="s">
        <v>3459</v>
      </c>
      <c r="H2155" t="s">
        <v>3458</v>
      </c>
      <c r="I2155">
        <v>2</v>
      </c>
      <c r="K2155" t="s">
        <v>5050</v>
      </c>
      <c r="L2155">
        <v>46296</v>
      </c>
      <c r="M2155">
        <v>100573</v>
      </c>
      <c r="N2155">
        <v>1</v>
      </c>
      <c r="O2155">
        <v>46296</v>
      </c>
      <c r="P2155">
        <v>1</v>
      </c>
    </row>
    <row r="2156" spans="1:16" x14ac:dyDescent="0.4">
      <c r="A2156">
        <v>1700</v>
      </c>
      <c r="B2156" t="s">
        <v>4915</v>
      </c>
      <c r="G2156" t="s">
        <v>3459</v>
      </c>
      <c r="H2156" t="s">
        <v>3458</v>
      </c>
      <c r="I2156">
        <v>19</v>
      </c>
      <c r="K2156" t="s">
        <v>5050</v>
      </c>
      <c r="L2156">
        <v>46276</v>
      </c>
      <c r="M2156">
        <v>100573</v>
      </c>
      <c r="N2156">
        <v>19</v>
      </c>
      <c r="O2156">
        <v>46287</v>
      </c>
      <c r="P2156">
        <v>0</v>
      </c>
    </row>
    <row r="2157" spans="1:16" x14ac:dyDescent="0.4">
      <c r="A2157">
        <v>1699</v>
      </c>
      <c r="B2157" t="s">
        <v>4915</v>
      </c>
      <c r="G2157" t="s">
        <v>3457</v>
      </c>
      <c r="H2157" t="s">
        <v>3456</v>
      </c>
      <c r="I2157">
        <v>27</v>
      </c>
      <c r="K2157" t="s">
        <v>5005</v>
      </c>
      <c r="L2157">
        <v>46276</v>
      </c>
      <c r="M2157">
        <v>100573</v>
      </c>
      <c r="N2157">
        <v>20</v>
      </c>
      <c r="O2157">
        <v>46287</v>
      </c>
      <c r="P2157">
        <v>7</v>
      </c>
    </row>
    <row r="2158" spans="1:16" x14ac:dyDescent="0.4">
      <c r="A2158">
        <v>1400</v>
      </c>
      <c r="B2158" t="s">
        <v>4915</v>
      </c>
      <c r="G2158" t="s">
        <v>1361</v>
      </c>
      <c r="H2158" t="s">
        <v>1360</v>
      </c>
      <c r="I2158">
        <v>43</v>
      </c>
      <c r="K2158" t="s">
        <v>4968</v>
      </c>
      <c r="L2158">
        <v>46283</v>
      </c>
      <c r="M2158">
        <v>100574</v>
      </c>
      <c r="N2158">
        <v>20</v>
      </c>
      <c r="O2158">
        <v>46287</v>
      </c>
      <c r="P2158">
        <v>23</v>
      </c>
    </row>
    <row r="2159" spans="1:16" x14ac:dyDescent="0.4">
      <c r="A2159">
        <v>1180</v>
      </c>
      <c r="B2159" t="s">
        <v>4915</v>
      </c>
      <c r="G2159" t="s">
        <v>3578</v>
      </c>
      <c r="H2159" t="s">
        <v>3577</v>
      </c>
      <c r="I2159">
        <v>49</v>
      </c>
      <c r="K2159" t="s">
        <v>5053</v>
      </c>
      <c r="L2159">
        <v>46276</v>
      </c>
      <c r="M2159">
        <v>100574</v>
      </c>
      <c r="N2159">
        <v>20</v>
      </c>
      <c r="O2159">
        <v>46287</v>
      </c>
      <c r="P2159">
        <v>29</v>
      </c>
    </row>
    <row r="2160" spans="1:16" x14ac:dyDescent="0.4">
      <c r="A2160">
        <v>1178</v>
      </c>
      <c r="B2160" t="s">
        <v>4915</v>
      </c>
      <c r="G2160" t="s">
        <v>3636</v>
      </c>
      <c r="H2160" t="s">
        <v>3635</v>
      </c>
      <c r="I2160">
        <v>52</v>
      </c>
      <c r="K2160" t="s">
        <v>5051</v>
      </c>
      <c r="L2160">
        <v>46276</v>
      </c>
      <c r="M2160">
        <v>100574</v>
      </c>
      <c r="N2160">
        <v>20</v>
      </c>
      <c r="O2160">
        <v>46287</v>
      </c>
      <c r="P2160">
        <v>32</v>
      </c>
    </row>
    <row r="2161" spans="1:16" x14ac:dyDescent="0.4">
      <c r="A2161">
        <v>1179</v>
      </c>
      <c r="B2161" t="s">
        <v>4915</v>
      </c>
      <c r="G2161" t="s">
        <v>3396</v>
      </c>
      <c r="H2161" t="s">
        <v>3395</v>
      </c>
      <c r="I2161">
        <v>113</v>
      </c>
      <c r="K2161" t="s">
        <v>5052</v>
      </c>
      <c r="L2161">
        <v>46276</v>
      </c>
      <c r="M2161">
        <v>100574</v>
      </c>
      <c r="N2161">
        <v>20</v>
      </c>
      <c r="O2161">
        <v>46287</v>
      </c>
      <c r="P2161">
        <v>93</v>
      </c>
    </row>
    <row r="2162" spans="1:16" x14ac:dyDescent="0.4">
      <c r="A2162">
        <v>1405</v>
      </c>
      <c r="B2162" t="s">
        <v>4915</v>
      </c>
      <c r="G2162" t="s">
        <v>2809</v>
      </c>
      <c r="H2162" t="s">
        <v>2808</v>
      </c>
      <c r="I2162">
        <v>231</v>
      </c>
      <c r="K2162" t="s">
        <v>4869</v>
      </c>
      <c r="L2162">
        <v>46283</v>
      </c>
      <c r="M2162">
        <v>100574</v>
      </c>
      <c r="N2162">
        <v>20</v>
      </c>
      <c r="O2162">
        <v>46287</v>
      </c>
      <c r="P2162">
        <v>211</v>
      </c>
    </row>
    <row r="2163" spans="1:16" x14ac:dyDescent="0.4">
      <c r="A2163">
        <v>1182</v>
      </c>
      <c r="B2163" t="s">
        <v>4915</v>
      </c>
      <c r="G2163" t="s">
        <v>3202</v>
      </c>
      <c r="H2163" t="s">
        <v>3201</v>
      </c>
      <c r="I2163">
        <v>2040</v>
      </c>
      <c r="K2163" t="s">
        <v>4970</v>
      </c>
      <c r="L2163">
        <v>46276</v>
      </c>
      <c r="M2163">
        <v>100574</v>
      </c>
      <c r="N2163">
        <v>440</v>
      </c>
      <c r="O2163">
        <v>46287</v>
      </c>
      <c r="P2163">
        <v>1600</v>
      </c>
    </row>
    <row r="2164" spans="1:16" x14ac:dyDescent="0.4">
      <c r="A2164">
        <v>771</v>
      </c>
      <c r="B2164" t="s">
        <v>4915</v>
      </c>
      <c r="G2164" t="s">
        <v>3766</v>
      </c>
      <c r="H2164" t="s">
        <v>3765</v>
      </c>
      <c r="I2164">
        <v>8</v>
      </c>
      <c r="K2164" t="s">
        <v>3426</v>
      </c>
      <c r="L2164">
        <v>46275</v>
      </c>
      <c r="M2164">
        <v>100575</v>
      </c>
      <c r="N2164">
        <v>8</v>
      </c>
      <c r="O2164">
        <v>46288</v>
      </c>
      <c r="P2164">
        <v>0</v>
      </c>
    </row>
    <row r="2165" spans="1:16" x14ac:dyDescent="0.4">
      <c r="A2165">
        <v>759</v>
      </c>
      <c r="B2165" t="s">
        <v>4915</v>
      </c>
      <c r="G2165" t="s">
        <v>3430</v>
      </c>
      <c r="H2165" t="s">
        <v>3429</v>
      </c>
      <c r="I2165">
        <v>18</v>
      </c>
      <c r="K2165" t="s">
        <v>2026</v>
      </c>
      <c r="L2165">
        <v>46275</v>
      </c>
      <c r="M2165">
        <v>100575</v>
      </c>
      <c r="N2165">
        <v>13</v>
      </c>
      <c r="O2165">
        <v>46288</v>
      </c>
      <c r="P2165">
        <v>5</v>
      </c>
    </row>
    <row r="2166" spans="1:16" x14ac:dyDescent="0.4">
      <c r="A2166">
        <v>1163</v>
      </c>
      <c r="B2166" t="s">
        <v>4915</v>
      </c>
      <c r="G2166" t="s">
        <v>3342</v>
      </c>
      <c r="H2166" t="s">
        <v>3341</v>
      </c>
      <c r="I2166">
        <v>26</v>
      </c>
      <c r="K2166" t="s">
        <v>3343</v>
      </c>
      <c r="L2166">
        <v>46281</v>
      </c>
      <c r="M2166">
        <v>100575</v>
      </c>
      <c r="N2166">
        <v>20</v>
      </c>
      <c r="O2166">
        <v>46288</v>
      </c>
      <c r="P2166">
        <v>6</v>
      </c>
    </row>
    <row r="2167" spans="1:16" x14ac:dyDescent="0.4">
      <c r="A2167">
        <v>756</v>
      </c>
      <c r="B2167" t="s">
        <v>4915</v>
      </c>
      <c r="G2167" t="s">
        <v>5000</v>
      </c>
      <c r="H2167">
        <v>0</v>
      </c>
      <c r="I2167">
        <v>33</v>
      </c>
      <c r="K2167" t="s">
        <v>3271</v>
      </c>
      <c r="L2167">
        <v>46275</v>
      </c>
      <c r="M2167">
        <v>100575</v>
      </c>
      <c r="N2167">
        <v>20</v>
      </c>
      <c r="O2167">
        <v>46288</v>
      </c>
      <c r="P2167">
        <v>13</v>
      </c>
    </row>
    <row r="2168" spans="1:16" x14ac:dyDescent="0.4">
      <c r="A2168">
        <v>746</v>
      </c>
      <c r="B2168" t="s">
        <v>4915</v>
      </c>
      <c r="G2168" t="s">
        <v>3756</v>
      </c>
      <c r="H2168" t="s">
        <v>3755</v>
      </c>
      <c r="I2168">
        <v>34</v>
      </c>
      <c r="K2168" t="s">
        <v>5002</v>
      </c>
      <c r="L2168">
        <v>46275</v>
      </c>
      <c r="M2168">
        <v>100575</v>
      </c>
      <c r="N2168">
        <v>20</v>
      </c>
      <c r="O2168">
        <v>46288</v>
      </c>
      <c r="P2168">
        <v>14</v>
      </c>
    </row>
    <row r="2169" spans="1:16" x14ac:dyDescent="0.4">
      <c r="A2169">
        <v>757</v>
      </c>
      <c r="B2169" t="s">
        <v>4915</v>
      </c>
      <c r="G2169" t="s">
        <v>3334</v>
      </c>
      <c r="H2169" t="s">
        <v>3333</v>
      </c>
      <c r="I2169">
        <v>49</v>
      </c>
      <c r="K2169" t="s">
        <v>3335</v>
      </c>
      <c r="L2169">
        <v>46275</v>
      </c>
      <c r="M2169">
        <v>100575</v>
      </c>
      <c r="N2169">
        <v>20</v>
      </c>
      <c r="O2169">
        <v>46288</v>
      </c>
      <c r="P2169">
        <v>29</v>
      </c>
    </row>
    <row r="2170" spans="1:16" x14ac:dyDescent="0.4">
      <c r="A2170">
        <v>766</v>
      </c>
      <c r="B2170" t="s">
        <v>4915</v>
      </c>
      <c r="G2170" t="s">
        <v>3752</v>
      </c>
      <c r="H2170" t="s">
        <v>3751</v>
      </c>
      <c r="I2170">
        <v>49</v>
      </c>
      <c r="K2170" t="s">
        <v>5001</v>
      </c>
      <c r="L2170">
        <v>46275</v>
      </c>
      <c r="M2170">
        <v>100575</v>
      </c>
      <c r="N2170">
        <v>39</v>
      </c>
      <c r="O2170">
        <v>46288</v>
      </c>
      <c r="P2170">
        <v>10</v>
      </c>
    </row>
    <row r="2171" spans="1:16" x14ac:dyDescent="0.4">
      <c r="A2171">
        <v>755</v>
      </c>
      <c r="B2171" t="s">
        <v>4915</v>
      </c>
      <c r="G2171" t="s">
        <v>3199</v>
      </c>
      <c r="H2171" t="s">
        <v>3198</v>
      </c>
      <c r="I2171">
        <v>51</v>
      </c>
      <c r="K2171" t="s">
        <v>3200</v>
      </c>
      <c r="L2171">
        <v>46275</v>
      </c>
      <c r="M2171">
        <v>100575</v>
      </c>
      <c r="N2171">
        <v>20</v>
      </c>
      <c r="O2171">
        <v>46288</v>
      </c>
      <c r="P2171">
        <v>31</v>
      </c>
    </row>
    <row r="2172" spans="1:16" x14ac:dyDescent="0.4">
      <c r="A2172">
        <v>754</v>
      </c>
      <c r="B2172" t="s">
        <v>4915</v>
      </c>
      <c r="G2172" t="s">
        <v>3196</v>
      </c>
      <c r="H2172" t="s">
        <v>3195</v>
      </c>
      <c r="I2172">
        <v>53</v>
      </c>
      <c r="K2172" t="s">
        <v>3197</v>
      </c>
      <c r="L2172">
        <v>46275</v>
      </c>
      <c r="M2172">
        <v>100575</v>
      </c>
      <c r="N2172">
        <v>20</v>
      </c>
      <c r="O2172">
        <v>46288</v>
      </c>
      <c r="P2172">
        <v>33</v>
      </c>
    </row>
    <row r="2173" spans="1:16" x14ac:dyDescent="0.4">
      <c r="A2173">
        <v>763</v>
      </c>
      <c r="B2173" t="s">
        <v>4915</v>
      </c>
      <c r="G2173" t="s">
        <v>3414</v>
      </c>
      <c r="H2173" t="s">
        <v>3413</v>
      </c>
      <c r="I2173">
        <v>54</v>
      </c>
      <c r="K2173" t="s">
        <v>3415</v>
      </c>
      <c r="L2173">
        <v>46275</v>
      </c>
      <c r="M2173">
        <v>100575</v>
      </c>
      <c r="N2173">
        <v>20</v>
      </c>
      <c r="O2173">
        <v>46288</v>
      </c>
      <c r="P2173">
        <v>34</v>
      </c>
    </row>
    <row r="2174" spans="1:16" x14ac:dyDescent="0.4">
      <c r="A2174">
        <v>764</v>
      </c>
      <c r="B2174" t="s">
        <v>4915</v>
      </c>
      <c r="G2174" t="s">
        <v>3417</v>
      </c>
      <c r="H2174" t="s">
        <v>3416</v>
      </c>
      <c r="I2174">
        <v>54</v>
      </c>
      <c r="K2174" t="s">
        <v>3415</v>
      </c>
      <c r="L2174">
        <v>46275</v>
      </c>
      <c r="M2174">
        <v>100575</v>
      </c>
      <c r="N2174">
        <v>20</v>
      </c>
      <c r="O2174">
        <v>46288</v>
      </c>
      <c r="P2174">
        <v>34</v>
      </c>
    </row>
    <row r="2175" spans="1:16" x14ac:dyDescent="0.4">
      <c r="A2175">
        <v>747</v>
      </c>
      <c r="B2175" t="s">
        <v>4915</v>
      </c>
      <c r="G2175" t="s">
        <v>3754</v>
      </c>
      <c r="H2175" t="s">
        <v>3753</v>
      </c>
      <c r="I2175">
        <v>56</v>
      </c>
      <c r="K2175" t="s">
        <v>5002</v>
      </c>
      <c r="L2175">
        <v>46275</v>
      </c>
      <c r="M2175">
        <v>100575</v>
      </c>
      <c r="N2175">
        <v>20</v>
      </c>
      <c r="O2175">
        <v>46288</v>
      </c>
      <c r="P2175">
        <v>36</v>
      </c>
    </row>
    <row r="2176" spans="1:16" x14ac:dyDescent="0.4">
      <c r="A2176">
        <v>753</v>
      </c>
      <c r="B2176" t="s">
        <v>4915</v>
      </c>
      <c r="G2176" t="s">
        <v>3278</v>
      </c>
      <c r="H2176" t="s">
        <v>3277</v>
      </c>
      <c r="I2176">
        <v>56</v>
      </c>
      <c r="K2176" t="s">
        <v>3271</v>
      </c>
      <c r="L2176">
        <v>46275</v>
      </c>
      <c r="M2176">
        <v>100575</v>
      </c>
      <c r="N2176">
        <v>20</v>
      </c>
      <c r="O2176">
        <v>46288</v>
      </c>
      <c r="P2176">
        <v>36</v>
      </c>
    </row>
    <row r="2177" spans="1:16" x14ac:dyDescent="0.4">
      <c r="A2177">
        <v>768</v>
      </c>
      <c r="B2177" t="s">
        <v>4915</v>
      </c>
      <c r="G2177" t="s">
        <v>3772</v>
      </c>
      <c r="H2177" t="s">
        <v>3771</v>
      </c>
      <c r="I2177">
        <v>65</v>
      </c>
      <c r="K2177" t="s">
        <v>3426</v>
      </c>
      <c r="L2177">
        <v>46275</v>
      </c>
      <c r="M2177">
        <v>100575</v>
      </c>
      <c r="N2177">
        <v>20</v>
      </c>
      <c r="O2177">
        <v>46288</v>
      </c>
      <c r="P2177">
        <v>45</v>
      </c>
    </row>
    <row r="2178" spans="1:16" x14ac:dyDescent="0.4">
      <c r="A2178">
        <v>765</v>
      </c>
      <c r="B2178" t="s">
        <v>4915</v>
      </c>
      <c r="G2178" t="s">
        <v>3770</v>
      </c>
      <c r="H2178" t="s">
        <v>3769</v>
      </c>
      <c r="I2178">
        <v>66</v>
      </c>
      <c r="K2178" t="s">
        <v>3426</v>
      </c>
      <c r="L2178">
        <v>46275</v>
      </c>
      <c r="M2178">
        <v>100575</v>
      </c>
      <c r="N2178">
        <v>20</v>
      </c>
      <c r="O2178">
        <v>46288</v>
      </c>
      <c r="P2178">
        <v>46</v>
      </c>
    </row>
    <row r="2179" spans="1:16" x14ac:dyDescent="0.4">
      <c r="A2179">
        <v>1597</v>
      </c>
      <c r="B2179" t="s">
        <v>4915</v>
      </c>
      <c r="G2179" t="s">
        <v>2457</v>
      </c>
      <c r="H2179" t="s">
        <v>2456</v>
      </c>
      <c r="I2179">
        <v>70</v>
      </c>
      <c r="K2179" t="s">
        <v>4954</v>
      </c>
      <c r="L2179">
        <v>46282</v>
      </c>
      <c r="M2179">
        <v>100575</v>
      </c>
      <c r="N2179">
        <v>20</v>
      </c>
      <c r="O2179">
        <v>46288</v>
      </c>
      <c r="P2179">
        <v>50</v>
      </c>
    </row>
    <row r="2180" spans="1:16" x14ac:dyDescent="0.4">
      <c r="A2180">
        <v>752</v>
      </c>
      <c r="B2180" t="s">
        <v>4915</v>
      </c>
      <c r="G2180" t="s">
        <v>3768</v>
      </c>
      <c r="H2180" t="s">
        <v>3767</v>
      </c>
      <c r="I2180">
        <v>75</v>
      </c>
      <c r="K2180" t="s">
        <v>3426</v>
      </c>
      <c r="L2180">
        <v>46275</v>
      </c>
      <c r="M2180">
        <v>100575</v>
      </c>
      <c r="N2180">
        <v>20</v>
      </c>
      <c r="O2180">
        <v>46288</v>
      </c>
      <c r="P2180">
        <v>55</v>
      </c>
    </row>
    <row r="2181" spans="1:16" x14ac:dyDescent="0.4">
      <c r="A2181">
        <v>760</v>
      </c>
      <c r="B2181" t="s">
        <v>4915</v>
      </c>
      <c r="G2181" t="s">
        <v>3436</v>
      </c>
      <c r="H2181" t="s">
        <v>3435</v>
      </c>
      <c r="I2181">
        <v>85</v>
      </c>
      <c r="K2181" t="s">
        <v>2026</v>
      </c>
      <c r="L2181">
        <v>46275</v>
      </c>
      <c r="M2181">
        <v>100575</v>
      </c>
      <c r="N2181">
        <v>60</v>
      </c>
      <c r="O2181">
        <v>46288</v>
      </c>
      <c r="P2181">
        <v>25</v>
      </c>
    </row>
    <row r="2182" spans="1:16" x14ac:dyDescent="0.4">
      <c r="A2182">
        <v>1708</v>
      </c>
      <c r="B2182" t="s">
        <v>4915</v>
      </c>
      <c r="D2182" t="s">
        <v>4901</v>
      </c>
      <c r="E2182" t="s">
        <v>5148</v>
      </c>
      <c r="F2182" t="s">
        <v>4939</v>
      </c>
      <c r="G2182" t="s">
        <v>3766</v>
      </c>
      <c r="H2182" t="s">
        <v>3765</v>
      </c>
      <c r="I2182">
        <v>100</v>
      </c>
      <c r="K2182" t="s">
        <v>3426</v>
      </c>
      <c r="L2182">
        <v>46279</v>
      </c>
      <c r="M2182">
        <v>100575</v>
      </c>
      <c r="N2182">
        <v>12</v>
      </c>
      <c r="O2182">
        <v>46288</v>
      </c>
      <c r="P2182">
        <v>88</v>
      </c>
    </row>
    <row r="2183" spans="1:16" x14ac:dyDescent="0.4">
      <c r="A2183">
        <v>772</v>
      </c>
      <c r="B2183" t="s">
        <v>4915</v>
      </c>
      <c r="G2183" t="s">
        <v>3764</v>
      </c>
      <c r="H2183" t="s">
        <v>3763</v>
      </c>
      <c r="I2183">
        <v>101</v>
      </c>
      <c r="K2183" t="s">
        <v>3426</v>
      </c>
      <c r="L2183">
        <v>46275</v>
      </c>
      <c r="M2183">
        <v>100575</v>
      </c>
      <c r="N2183">
        <v>20</v>
      </c>
      <c r="O2183">
        <v>46288</v>
      </c>
      <c r="P2183">
        <v>81</v>
      </c>
    </row>
    <row r="2184" spans="1:16" x14ac:dyDescent="0.4">
      <c r="A2184">
        <v>750</v>
      </c>
      <c r="B2184" t="s">
        <v>4915</v>
      </c>
      <c r="G2184" t="s">
        <v>2513</v>
      </c>
      <c r="H2184" t="s">
        <v>2512</v>
      </c>
      <c r="I2184">
        <v>112</v>
      </c>
      <c r="K2184" t="s">
        <v>4955</v>
      </c>
      <c r="L2184">
        <v>46275</v>
      </c>
      <c r="M2184">
        <v>100575</v>
      </c>
      <c r="N2184">
        <v>20</v>
      </c>
      <c r="O2184">
        <v>46288</v>
      </c>
      <c r="P2184">
        <v>92</v>
      </c>
    </row>
    <row r="2185" spans="1:16" x14ac:dyDescent="0.4">
      <c r="A2185">
        <v>1358</v>
      </c>
      <c r="B2185" t="s">
        <v>4915</v>
      </c>
      <c r="D2185" t="s">
        <v>4901</v>
      </c>
      <c r="E2185" t="s">
        <v>5148</v>
      </c>
      <c r="F2185" t="s">
        <v>4939</v>
      </c>
      <c r="G2185" t="s">
        <v>3434</v>
      </c>
      <c r="H2185" t="s">
        <v>3433</v>
      </c>
      <c r="I2185">
        <v>190</v>
      </c>
      <c r="K2185" t="s">
        <v>2026</v>
      </c>
      <c r="L2185">
        <v>46286</v>
      </c>
      <c r="M2185">
        <v>100575</v>
      </c>
      <c r="N2185">
        <v>100</v>
      </c>
      <c r="O2185">
        <v>46288</v>
      </c>
      <c r="P2185">
        <v>90</v>
      </c>
    </row>
    <row r="2186" spans="1:16" x14ac:dyDescent="0.4">
      <c r="A2186">
        <v>761</v>
      </c>
      <c r="B2186" t="s">
        <v>4915</v>
      </c>
      <c r="G2186" t="s">
        <v>3444</v>
      </c>
      <c r="H2186" t="s">
        <v>3443</v>
      </c>
      <c r="I2186">
        <v>218</v>
      </c>
      <c r="K2186" t="s">
        <v>3239</v>
      </c>
      <c r="L2186">
        <v>46275</v>
      </c>
      <c r="M2186">
        <v>100575</v>
      </c>
      <c r="N2186">
        <v>20</v>
      </c>
      <c r="O2186">
        <v>46288</v>
      </c>
      <c r="P2186">
        <v>198</v>
      </c>
    </row>
    <row r="2187" spans="1:16" x14ac:dyDescent="0.4">
      <c r="A2187">
        <v>762</v>
      </c>
      <c r="B2187" t="s">
        <v>4915</v>
      </c>
      <c r="G2187" t="s">
        <v>3446</v>
      </c>
      <c r="H2187" t="s">
        <v>3445</v>
      </c>
      <c r="I2187">
        <v>218</v>
      </c>
      <c r="K2187" t="s">
        <v>3239</v>
      </c>
      <c r="L2187">
        <v>46275</v>
      </c>
      <c r="M2187">
        <v>100575</v>
      </c>
      <c r="N2187">
        <v>20</v>
      </c>
      <c r="O2187">
        <v>46288</v>
      </c>
      <c r="P2187">
        <v>198</v>
      </c>
    </row>
    <row r="2188" spans="1:16" x14ac:dyDescent="0.4">
      <c r="A2188">
        <v>770</v>
      </c>
      <c r="B2188" t="s">
        <v>4915</v>
      </c>
      <c r="G2188" t="s">
        <v>2561</v>
      </c>
      <c r="H2188" t="s">
        <v>2560</v>
      </c>
      <c r="I2188">
        <v>266</v>
      </c>
      <c r="K2188" t="s">
        <v>2564</v>
      </c>
      <c r="L2188">
        <v>46275</v>
      </c>
      <c r="M2188">
        <v>100575</v>
      </c>
      <c r="N2188">
        <v>20</v>
      </c>
      <c r="O2188">
        <v>46288</v>
      </c>
      <c r="P2188">
        <v>246</v>
      </c>
    </row>
    <row r="2189" spans="1:16" x14ac:dyDescent="0.4">
      <c r="A2189">
        <v>767</v>
      </c>
      <c r="B2189" t="s">
        <v>4915</v>
      </c>
      <c r="G2189" t="s">
        <v>3760</v>
      </c>
      <c r="H2189" t="s">
        <v>3759</v>
      </c>
      <c r="I2189">
        <v>270</v>
      </c>
      <c r="K2189" t="s">
        <v>5002</v>
      </c>
      <c r="L2189">
        <v>46275</v>
      </c>
      <c r="M2189">
        <v>100575</v>
      </c>
      <c r="N2189">
        <v>20</v>
      </c>
      <c r="O2189">
        <v>46288</v>
      </c>
      <c r="P2189">
        <v>250</v>
      </c>
    </row>
    <row r="2190" spans="1:16" x14ac:dyDescent="0.4">
      <c r="A2190">
        <v>769</v>
      </c>
      <c r="B2190" t="s">
        <v>4915</v>
      </c>
      <c r="G2190" t="s">
        <v>3758</v>
      </c>
      <c r="H2190" t="s">
        <v>3757</v>
      </c>
      <c r="I2190">
        <v>275</v>
      </c>
      <c r="K2190" t="s">
        <v>5002</v>
      </c>
      <c r="L2190">
        <v>46275</v>
      </c>
      <c r="M2190">
        <v>100575</v>
      </c>
      <c r="N2190">
        <v>20</v>
      </c>
      <c r="O2190">
        <v>46288</v>
      </c>
      <c r="P2190">
        <v>255</v>
      </c>
    </row>
    <row r="2191" spans="1:16" x14ac:dyDescent="0.4">
      <c r="A2191">
        <v>758</v>
      </c>
      <c r="B2191" t="s">
        <v>4915</v>
      </c>
      <c r="G2191" t="s">
        <v>3432</v>
      </c>
      <c r="H2191" t="s">
        <v>3431</v>
      </c>
      <c r="I2191">
        <v>306</v>
      </c>
      <c r="K2191" t="s">
        <v>2026</v>
      </c>
      <c r="L2191">
        <v>46275</v>
      </c>
      <c r="M2191">
        <v>100575</v>
      </c>
      <c r="N2191">
        <v>20</v>
      </c>
      <c r="O2191">
        <v>46288</v>
      </c>
      <c r="P2191">
        <v>286</v>
      </c>
    </row>
    <row r="2192" spans="1:16" x14ac:dyDescent="0.4">
      <c r="A2192">
        <v>751</v>
      </c>
      <c r="B2192" t="s">
        <v>4915</v>
      </c>
      <c r="G2192" t="s">
        <v>2563</v>
      </c>
      <c r="H2192" t="s">
        <v>2562</v>
      </c>
      <c r="I2192">
        <v>429</v>
      </c>
      <c r="K2192" t="s">
        <v>2564</v>
      </c>
      <c r="L2192">
        <v>46275</v>
      </c>
      <c r="M2192">
        <v>100575</v>
      </c>
      <c r="N2192">
        <v>100</v>
      </c>
      <c r="O2192">
        <v>46288</v>
      </c>
      <c r="P2192">
        <v>329</v>
      </c>
    </row>
    <row r="2193" spans="1:16" x14ac:dyDescent="0.4">
      <c r="A2193">
        <v>1598</v>
      </c>
      <c r="B2193" t="s">
        <v>4915</v>
      </c>
      <c r="G2193" t="s">
        <v>2555</v>
      </c>
      <c r="H2193" t="s">
        <v>2554</v>
      </c>
      <c r="I2193">
        <v>647</v>
      </c>
      <c r="K2193" t="s">
        <v>4871</v>
      </c>
      <c r="L2193">
        <v>46282</v>
      </c>
      <c r="M2193">
        <v>100575</v>
      </c>
      <c r="N2193">
        <v>20</v>
      </c>
      <c r="O2193">
        <v>46288</v>
      </c>
      <c r="P2193">
        <v>627</v>
      </c>
    </row>
    <row r="2194" spans="1:16" x14ac:dyDescent="0.4">
      <c r="A2194">
        <v>1888</v>
      </c>
      <c r="B2194" t="s">
        <v>4915</v>
      </c>
      <c r="G2194" t="s">
        <v>2503</v>
      </c>
      <c r="H2194" t="s">
        <v>2502</v>
      </c>
      <c r="I2194">
        <v>480</v>
      </c>
      <c r="K2194" t="s">
        <v>4970</v>
      </c>
      <c r="L2194">
        <v>46295</v>
      </c>
      <c r="M2194">
        <v>100581</v>
      </c>
      <c r="N2194">
        <v>200</v>
      </c>
      <c r="O2194">
        <v>46287</v>
      </c>
      <c r="P2194">
        <v>280</v>
      </c>
    </row>
    <row r="2195" spans="1:16" x14ac:dyDescent="0.4">
      <c r="A2195">
        <v>1729</v>
      </c>
      <c r="B2195" t="s">
        <v>4915</v>
      </c>
      <c r="G2195" t="s">
        <v>3760</v>
      </c>
      <c r="H2195" t="s">
        <v>3759</v>
      </c>
      <c r="I2195">
        <v>250</v>
      </c>
      <c r="K2195" t="s">
        <v>5002</v>
      </c>
      <c r="L2195">
        <v>46288</v>
      </c>
      <c r="M2195">
        <v>100945</v>
      </c>
      <c r="N2195">
        <v>100</v>
      </c>
      <c r="O2195">
        <v>46288</v>
      </c>
      <c r="P2195">
        <v>150</v>
      </c>
    </row>
    <row r="2196" spans="1:16" x14ac:dyDescent="0.4">
      <c r="A2196">
        <v>1731</v>
      </c>
      <c r="B2196" t="s">
        <v>4915</v>
      </c>
      <c r="G2196" t="s">
        <v>3758</v>
      </c>
      <c r="H2196" t="s">
        <v>3757</v>
      </c>
      <c r="I2196">
        <v>255</v>
      </c>
      <c r="K2196" t="s">
        <v>5002</v>
      </c>
      <c r="L2196">
        <v>46288</v>
      </c>
      <c r="M2196">
        <v>100945</v>
      </c>
      <c r="N2196">
        <v>100</v>
      </c>
      <c r="O2196">
        <v>46288</v>
      </c>
      <c r="P2196">
        <v>155</v>
      </c>
    </row>
    <row r="2197" spans="1:16" x14ac:dyDescent="0.4">
      <c r="A2197">
        <v>1318</v>
      </c>
      <c r="B2197" t="s">
        <v>4915</v>
      </c>
      <c r="G2197" t="s">
        <v>3900</v>
      </c>
      <c r="H2197" t="s">
        <v>3899</v>
      </c>
      <c r="I2197">
        <v>5</v>
      </c>
      <c r="K2197" t="s">
        <v>4739</v>
      </c>
      <c r="L2197">
        <v>46287</v>
      </c>
      <c r="M2197">
        <v>100947</v>
      </c>
      <c r="N2197">
        <v>2</v>
      </c>
      <c r="O2197">
        <v>46301</v>
      </c>
      <c r="P2197">
        <v>3</v>
      </c>
    </row>
    <row r="2198" spans="1:16" x14ac:dyDescent="0.4">
      <c r="A2198">
        <v>394</v>
      </c>
      <c r="B2198" t="s">
        <v>4915</v>
      </c>
      <c r="G2198" t="s">
        <v>4010</v>
      </c>
      <c r="H2198" t="s">
        <v>4009</v>
      </c>
      <c r="I2198">
        <v>10</v>
      </c>
      <c r="K2198" t="s">
        <v>4002</v>
      </c>
      <c r="L2198">
        <v>46253</v>
      </c>
      <c r="M2198">
        <v>100947</v>
      </c>
      <c r="N2198">
        <v>1</v>
      </c>
      <c r="O2198">
        <v>46301</v>
      </c>
      <c r="P2198">
        <v>9</v>
      </c>
    </row>
    <row r="2199" spans="1:16" x14ac:dyDescent="0.4">
      <c r="A2199">
        <v>1290</v>
      </c>
      <c r="B2199" t="s">
        <v>4915</v>
      </c>
      <c r="G2199" t="s">
        <v>3991</v>
      </c>
      <c r="H2199" t="s">
        <v>3990</v>
      </c>
      <c r="I2199">
        <v>11</v>
      </c>
      <c r="K2199" t="s">
        <v>3782</v>
      </c>
      <c r="L2199">
        <v>46287</v>
      </c>
      <c r="M2199">
        <v>100947</v>
      </c>
      <c r="N2199">
        <v>1</v>
      </c>
      <c r="O2199">
        <v>46301</v>
      </c>
      <c r="P2199">
        <v>10</v>
      </c>
    </row>
    <row r="2200" spans="1:16" x14ac:dyDescent="0.4">
      <c r="A2200">
        <v>1343</v>
      </c>
      <c r="B2200" t="s">
        <v>4915</v>
      </c>
      <c r="G2200" t="s">
        <v>3982</v>
      </c>
      <c r="H2200" t="s">
        <v>3981</v>
      </c>
      <c r="I2200">
        <v>30</v>
      </c>
      <c r="K2200" t="s">
        <v>3983</v>
      </c>
      <c r="L2200">
        <v>46287</v>
      </c>
      <c r="M2200">
        <v>100947</v>
      </c>
      <c r="N2200">
        <v>1</v>
      </c>
      <c r="O2200">
        <v>46301</v>
      </c>
      <c r="P2200">
        <v>29</v>
      </c>
    </row>
    <row r="2201" spans="1:16" x14ac:dyDescent="0.4">
      <c r="A2201">
        <v>1346</v>
      </c>
      <c r="B2201" t="s">
        <v>4915</v>
      </c>
      <c r="G2201" t="s">
        <v>3912</v>
      </c>
      <c r="H2201" t="s">
        <v>3911</v>
      </c>
      <c r="I2201">
        <v>41</v>
      </c>
      <c r="K2201" t="s">
        <v>3913</v>
      </c>
      <c r="L2201">
        <v>46287</v>
      </c>
      <c r="M2201">
        <v>100947</v>
      </c>
      <c r="N2201">
        <v>1</v>
      </c>
      <c r="O2201">
        <v>46301</v>
      </c>
      <c r="P2201">
        <v>40</v>
      </c>
    </row>
    <row r="2202" spans="1:16" x14ac:dyDescent="0.4">
      <c r="A2202">
        <v>1376</v>
      </c>
      <c r="B2202" t="s">
        <v>4915</v>
      </c>
      <c r="G2202" t="s">
        <v>2254</v>
      </c>
      <c r="H2202" t="s">
        <v>2253</v>
      </c>
      <c r="I2202">
        <v>327</v>
      </c>
      <c r="K2202" t="s">
        <v>4851</v>
      </c>
      <c r="L2202">
        <v>46279</v>
      </c>
      <c r="M2202">
        <v>100951</v>
      </c>
      <c r="N2202">
        <v>2</v>
      </c>
      <c r="O2202">
        <v>46294</v>
      </c>
      <c r="P2202">
        <v>325</v>
      </c>
    </row>
    <row r="2203" spans="1:16" x14ac:dyDescent="0.4">
      <c r="A2203">
        <v>1377</v>
      </c>
      <c r="B2203" t="s">
        <v>4915</v>
      </c>
      <c r="G2203" t="s">
        <v>2148</v>
      </c>
      <c r="H2203" t="s">
        <v>2147</v>
      </c>
      <c r="I2203">
        <v>593</v>
      </c>
      <c r="K2203" t="s">
        <v>4863</v>
      </c>
      <c r="L2203">
        <v>46279</v>
      </c>
      <c r="M2203">
        <v>100951</v>
      </c>
      <c r="N2203">
        <v>1</v>
      </c>
      <c r="O2203">
        <v>46294</v>
      </c>
      <c r="P2203">
        <v>592</v>
      </c>
    </row>
    <row r="2204" spans="1:16" x14ac:dyDescent="0.4">
      <c r="A2204">
        <v>1378</v>
      </c>
      <c r="B2204" t="s">
        <v>4915</v>
      </c>
      <c r="G2204" t="s">
        <v>2145</v>
      </c>
      <c r="H2204" t="s">
        <v>2144</v>
      </c>
      <c r="I2204">
        <v>709</v>
      </c>
      <c r="K2204" t="s">
        <v>4863</v>
      </c>
      <c r="L2204">
        <v>46279</v>
      </c>
      <c r="M2204">
        <v>100951</v>
      </c>
      <c r="N2204">
        <v>1</v>
      </c>
      <c r="O2204">
        <v>46294</v>
      </c>
      <c r="P2204">
        <v>708</v>
      </c>
    </row>
    <row r="2205" spans="1:16" x14ac:dyDescent="0.4">
      <c r="A2205">
        <v>1687</v>
      </c>
      <c r="B2205" t="s">
        <v>4915</v>
      </c>
      <c r="D2205" t="s">
        <v>4901</v>
      </c>
      <c r="E2205" t="s">
        <v>5153</v>
      </c>
      <c r="F2205" t="s">
        <v>5147</v>
      </c>
      <c r="G2205" t="s">
        <v>1135</v>
      </c>
      <c r="H2205" t="s">
        <v>1134</v>
      </c>
      <c r="I2205">
        <v>53</v>
      </c>
      <c r="K2205" t="s">
        <v>5034</v>
      </c>
      <c r="L2205">
        <v>46286</v>
      </c>
      <c r="M2205">
        <v>101317</v>
      </c>
      <c r="N2205">
        <v>53</v>
      </c>
      <c r="O2205">
        <v>46293</v>
      </c>
      <c r="P2205">
        <v>0</v>
      </c>
    </row>
    <row r="2206" spans="1:16" x14ac:dyDescent="0.4">
      <c r="A2206">
        <v>2078</v>
      </c>
      <c r="B2206" t="s">
        <v>4915</v>
      </c>
      <c r="G2206" t="s">
        <v>477</v>
      </c>
      <c r="H2206" t="s">
        <v>476</v>
      </c>
      <c r="I2206">
        <v>122</v>
      </c>
      <c r="K2206" t="s">
        <v>4851</v>
      </c>
      <c r="L2206">
        <v>46288</v>
      </c>
      <c r="M2206">
        <v>101318</v>
      </c>
      <c r="N2206">
        <v>14</v>
      </c>
      <c r="O2206">
        <v>46288</v>
      </c>
      <c r="P2206">
        <v>108</v>
      </c>
    </row>
    <row r="2207" spans="1:16" x14ac:dyDescent="0.4">
      <c r="A2207">
        <v>284</v>
      </c>
      <c r="B2207" t="s">
        <v>4915</v>
      </c>
      <c r="G2207" t="s">
        <v>2132</v>
      </c>
      <c r="H2207" t="s">
        <v>2131</v>
      </c>
      <c r="I2207">
        <v>1</v>
      </c>
      <c r="K2207" t="s">
        <v>4852</v>
      </c>
      <c r="L2207">
        <v>46232</v>
      </c>
      <c r="M2207">
        <v>101320</v>
      </c>
      <c r="N2207">
        <v>1</v>
      </c>
      <c r="O2207">
        <v>46296</v>
      </c>
      <c r="P2207">
        <v>0</v>
      </c>
    </row>
    <row r="2208" spans="1:16" x14ac:dyDescent="0.4">
      <c r="A2208">
        <v>289</v>
      </c>
      <c r="B2208" t="s">
        <v>4915</v>
      </c>
      <c r="G2208" t="s">
        <v>2150</v>
      </c>
      <c r="H2208" t="s">
        <v>2149</v>
      </c>
      <c r="I2208">
        <v>176</v>
      </c>
      <c r="K2208" t="s">
        <v>4850</v>
      </c>
      <c r="L2208">
        <v>46232</v>
      </c>
      <c r="M2208">
        <v>101320</v>
      </c>
      <c r="N2208">
        <v>5</v>
      </c>
      <c r="O2208">
        <v>46296</v>
      </c>
      <c r="P2208">
        <v>171</v>
      </c>
    </row>
    <row r="2209" spans="1:16" x14ac:dyDescent="0.4">
      <c r="A2209">
        <v>283</v>
      </c>
      <c r="B2209" t="s">
        <v>4915</v>
      </c>
      <c r="G2209" t="s">
        <v>2125</v>
      </c>
      <c r="H2209" t="s">
        <v>2124</v>
      </c>
      <c r="I2209">
        <v>220</v>
      </c>
      <c r="K2209" t="s">
        <v>4852</v>
      </c>
      <c r="L2209">
        <v>46232</v>
      </c>
      <c r="M2209">
        <v>101320</v>
      </c>
      <c r="N2209">
        <v>5</v>
      </c>
      <c r="O2209">
        <v>46296</v>
      </c>
      <c r="P2209">
        <v>215</v>
      </c>
    </row>
    <row r="2210" spans="1:16" x14ac:dyDescent="0.4">
      <c r="A2210">
        <v>245</v>
      </c>
      <c r="B2210" t="s">
        <v>4915</v>
      </c>
      <c r="G2210" t="s">
        <v>2128</v>
      </c>
      <c r="H2210" t="s">
        <v>2127</v>
      </c>
      <c r="I2210">
        <v>98</v>
      </c>
      <c r="K2210" t="s">
        <v>4852</v>
      </c>
      <c r="L2210">
        <v>46232</v>
      </c>
      <c r="M2210">
        <v>101320</v>
      </c>
      <c r="N2210">
        <v>5</v>
      </c>
      <c r="O2210">
        <v>46296</v>
      </c>
      <c r="P2210">
        <v>93</v>
      </c>
    </row>
    <row r="2211" spans="1:16" x14ac:dyDescent="0.4">
      <c r="A2211">
        <v>246</v>
      </c>
      <c r="B2211" t="s">
        <v>4915</v>
      </c>
      <c r="G2211" t="s">
        <v>2307</v>
      </c>
      <c r="H2211" t="s">
        <v>2306</v>
      </c>
      <c r="I2211">
        <v>26</v>
      </c>
      <c r="K2211" t="s">
        <v>4859</v>
      </c>
      <c r="L2211">
        <v>46232</v>
      </c>
      <c r="M2211">
        <v>101320</v>
      </c>
      <c r="N2211">
        <v>5</v>
      </c>
      <c r="O2211">
        <v>46296</v>
      </c>
      <c r="P2211">
        <v>21</v>
      </c>
    </row>
    <row r="2212" spans="1:16" x14ac:dyDescent="0.4">
      <c r="A2212">
        <v>277</v>
      </c>
      <c r="B2212" t="s">
        <v>4915</v>
      </c>
      <c r="G2212" t="s">
        <v>2236</v>
      </c>
      <c r="H2212" t="s">
        <v>2235</v>
      </c>
      <c r="I2212">
        <v>307</v>
      </c>
      <c r="K2212" t="s">
        <v>4851</v>
      </c>
      <c r="L2212">
        <v>46232</v>
      </c>
      <c r="M2212">
        <v>101320</v>
      </c>
      <c r="N2212">
        <v>5</v>
      </c>
      <c r="O2212">
        <v>46296</v>
      </c>
      <c r="P2212">
        <v>302</v>
      </c>
    </row>
    <row r="2213" spans="1:16" x14ac:dyDescent="0.4">
      <c r="A2213">
        <v>290</v>
      </c>
      <c r="B2213" t="s">
        <v>4915</v>
      </c>
      <c r="G2213" t="s">
        <v>2155</v>
      </c>
      <c r="H2213" t="s">
        <v>2154</v>
      </c>
      <c r="I2213">
        <v>247</v>
      </c>
      <c r="K2213" t="s">
        <v>4863</v>
      </c>
      <c r="L2213">
        <v>46232</v>
      </c>
      <c r="M2213">
        <v>101320</v>
      </c>
      <c r="N2213">
        <v>5</v>
      </c>
      <c r="O2213">
        <v>46296</v>
      </c>
      <c r="P2213">
        <v>242</v>
      </c>
    </row>
    <row r="2214" spans="1:16" x14ac:dyDescent="0.4">
      <c r="A2214">
        <v>285</v>
      </c>
      <c r="B2214" t="s">
        <v>4915</v>
      </c>
      <c r="G2214" t="s">
        <v>2134</v>
      </c>
      <c r="H2214" t="s">
        <v>2133</v>
      </c>
      <c r="I2214">
        <v>299</v>
      </c>
      <c r="K2214" t="s">
        <v>4852</v>
      </c>
      <c r="L2214">
        <v>46232</v>
      </c>
      <c r="M2214">
        <v>101320</v>
      </c>
      <c r="N2214">
        <v>5</v>
      </c>
      <c r="O2214">
        <v>46296</v>
      </c>
      <c r="P2214">
        <v>294</v>
      </c>
    </row>
    <row r="2215" spans="1:16" x14ac:dyDescent="0.4">
      <c r="A2215">
        <v>286</v>
      </c>
      <c r="B2215" t="s">
        <v>4915</v>
      </c>
      <c r="G2215" t="s">
        <v>2136</v>
      </c>
      <c r="H2215" t="s">
        <v>2135</v>
      </c>
      <c r="I2215">
        <v>1017</v>
      </c>
      <c r="K2215" t="s">
        <v>4852</v>
      </c>
      <c r="L2215">
        <v>46232</v>
      </c>
      <c r="M2215">
        <v>101320</v>
      </c>
      <c r="N2215">
        <v>5</v>
      </c>
      <c r="O2215">
        <v>46296</v>
      </c>
      <c r="P2215">
        <v>1012</v>
      </c>
    </row>
    <row r="2216" spans="1:16" x14ac:dyDescent="0.4">
      <c r="A2216">
        <v>295</v>
      </c>
      <c r="B2216" t="s">
        <v>4915</v>
      </c>
      <c r="G2216" t="s">
        <v>2130</v>
      </c>
      <c r="H2216" t="s">
        <v>2129</v>
      </c>
      <c r="I2216">
        <v>230</v>
      </c>
      <c r="K2216" t="s">
        <v>4852</v>
      </c>
      <c r="L2216">
        <v>46232</v>
      </c>
      <c r="M2216">
        <v>101320</v>
      </c>
      <c r="N2216">
        <v>10</v>
      </c>
      <c r="O2216">
        <v>46296</v>
      </c>
      <c r="P2216">
        <v>220</v>
      </c>
    </row>
    <row r="2217" spans="1:16" x14ac:dyDescent="0.4">
      <c r="A2217">
        <v>1691</v>
      </c>
      <c r="B2217" t="s">
        <v>4915</v>
      </c>
      <c r="G2217" t="s">
        <v>2641</v>
      </c>
      <c r="H2217" t="s">
        <v>2640</v>
      </c>
      <c r="I2217">
        <v>56</v>
      </c>
      <c r="K2217" t="s">
        <v>4869</v>
      </c>
      <c r="L2217">
        <v>46279</v>
      </c>
      <c r="M2217">
        <v>101321</v>
      </c>
      <c r="N2217">
        <v>26</v>
      </c>
      <c r="O2217">
        <v>46293</v>
      </c>
      <c r="P2217">
        <v>30</v>
      </c>
    </row>
    <row r="2218" spans="1:16" x14ac:dyDescent="0.4">
      <c r="A2218">
        <v>2125</v>
      </c>
      <c r="B2218" t="s">
        <v>4915</v>
      </c>
      <c r="G2218" t="s">
        <v>1833</v>
      </c>
      <c r="H2218" t="s">
        <v>5035</v>
      </c>
      <c r="I2218">
        <v>40</v>
      </c>
      <c r="K2218" t="s">
        <v>4979</v>
      </c>
      <c r="L2218">
        <v>46288</v>
      </c>
      <c r="M2218">
        <v>101322</v>
      </c>
      <c r="N2218">
        <v>4</v>
      </c>
      <c r="O2218">
        <v>46294</v>
      </c>
      <c r="P2218">
        <v>36</v>
      </c>
    </row>
    <row r="2219" spans="1:16" x14ac:dyDescent="0.4">
      <c r="A2219">
        <v>1618</v>
      </c>
      <c r="B2219" t="s">
        <v>4915</v>
      </c>
      <c r="G2219" t="s">
        <v>2462</v>
      </c>
      <c r="H2219" t="s">
        <v>5029</v>
      </c>
      <c r="I2219">
        <v>77</v>
      </c>
      <c r="K2219" t="s">
        <v>5030</v>
      </c>
      <c r="L2219">
        <v>46280</v>
      </c>
      <c r="M2219">
        <v>101322</v>
      </c>
      <c r="N2219">
        <v>12</v>
      </c>
      <c r="O2219">
        <v>46294</v>
      </c>
      <c r="P2219">
        <v>65</v>
      </c>
    </row>
    <row r="2220" spans="1:16" x14ac:dyDescent="0.4">
      <c r="A2220">
        <v>2120</v>
      </c>
      <c r="B2220" t="s">
        <v>4915</v>
      </c>
      <c r="G2220" t="s">
        <v>2641</v>
      </c>
      <c r="H2220" t="s">
        <v>2640</v>
      </c>
      <c r="I2220">
        <v>20</v>
      </c>
      <c r="K2220" t="s">
        <v>4869</v>
      </c>
      <c r="L2220">
        <v>46282</v>
      </c>
      <c r="M2220">
        <v>101323</v>
      </c>
      <c r="N2220">
        <v>20</v>
      </c>
      <c r="O2220">
        <v>46293</v>
      </c>
      <c r="P2220">
        <v>0</v>
      </c>
    </row>
    <row r="2221" spans="1:16" x14ac:dyDescent="0.4">
      <c r="A2221">
        <v>926</v>
      </c>
      <c r="B2221" t="s">
        <v>4915</v>
      </c>
      <c r="D2221" t="s">
        <v>4916</v>
      </c>
      <c r="G2221" t="s">
        <v>31</v>
      </c>
      <c r="H2221" t="s">
        <v>30</v>
      </c>
      <c r="I2221">
        <v>34</v>
      </c>
      <c r="K2221" t="s">
        <v>4861</v>
      </c>
      <c r="L2221">
        <v>46276</v>
      </c>
      <c r="M2221">
        <v>101323</v>
      </c>
      <c r="N2221">
        <v>34</v>
      </c>
      <c r="O2221">
        <v>46293</v>
      </c>
      <c r="P2221">
        <v>0</v>
      </c>
    </row>
    <row r="2222" spans="1:16" x14ac:dyDescent="0.4">
      <c r="A2222">
        <v>928</v>
      </c>
      <c r="B2222" t="s">
        <v>4915</v>
      </c>
      <c r="D2222" t="s">
        <v>4916</v>
      </c>
      <c r="G2222" t="s">
        <v>459</v>
      </c>
      <c r="H2222" t="s">
        <v>458</v>
      </c>
      <c r="I2222">
        <v>37</v>
      </c>
      <c r="K2222" t="s">
        <v>5072</v>
      </c>
      <c r="L2222">
        <v>46276</v>
      </c>
      <c r="M2222">
        <v>101323</v>
      </c>
      <c r="N2222">
        <v>37</v>
      </c>
      <c r="O2222">
        <v>46293</v>
      </c>
      <c r="P2222">
        <v>0</v>
      </c>
    </row>
    <row r="2223" spans="1:16" x14ac:dyDescent="0.4">
      <c r="A2223">
        <v>958</v>
      </c>
      <c r="B2223" t="s">
        <v>4915</v>
      </c>
      <c r="D2223" t="s">
        <v>4916</v>
      </c>
      <c r="G2223" t="s">
        <v>457</v>
      </c>
      <c r="H2223" t="s">
        <v>456</v>
      </c>
      <c r="I2223">
        <v>52</v>
      </c>
      <c r="K2223" t="s">
        <v>5075</v>
      </c>
      <c r="L2223">
        <v>46276</v>
      </c>
      <c r="M2223">
        <v>101323</v>
      </c>
      <c r="N2223">
        <v>40</v>
      </c>
      <c r="O2223">
        <v>46293</v>
      </c>
      <c r="P2223">
        <v>12</v>
      </c>
    </row>
    <row r="2224" spans="1:16" x14ac:dyDescent="0.4">
      <c r="A2224">
        <v>998</v>
      </c>
      <c r="B2224" t="s">
        <v>4915</v>
      </c>
      <c r="D2224" t="s">
        <v>4916</v>
      </c>
      <c r="G2224" t="s">
        <v>374</v>
      </c>
      <c r="H2224" t="s">
        <v>5087</v>
      </c>
      <c r="I2224">
        <v>105</v>
      </c>
      <c r="K2224" t="s">
        <v>5088</v>
      </c>
      <c r="L2224">
        <v>46276</v>
      </c>
      <c r="M2224">
        <v>101323</v>
      </c>
      <c r="N2224">
        <v>20</v>
      </c>
      <c r="O2224">
        <v>46293</v>
      </c>
      <c r="P2224">
        <v>85</v>
      </c>
    </row>
    <row r="2225" spans="1:16" x14ac:dyDescent="0.4">
      <c r="A2225">
        <v>2122</v>
      </c>
      <c r="B2225" t="s">
        <v>4915</v>
      </c>
      <c r="G2225" t="s">
        <v>385</v>
      </c>
      <c r="H2225" t="s">
        <v>384</v>
      </c>
      <c r="I2225">
        <v>106</v>
      </c>
      <c r="K2225" t="s">
        <v>4944</v>
      </c>
      <c r="L2225">
        <v>46282</v>
      </c>
      <c r="M2225">
        <v>101323</v>
      </c>
      <c r="N2225">
        <v>40</v>
      </c>
      <c r="O2225">
        <v>46293</v>
      </c>
      <c r="P2225">
        <v>66</v>
      </c>
    </row>
    <row r="2226" spans="1:16" x14ac:dyDescent="0.4">
      <c r="A2226">
        <v>999</v>
      </c>
      <c r="B2226" t="s">
        <v>4915</v>
      </c>
      <c r="D2226" t="s">
        <v>4916</v>
      </c>
      <c r="G2226" t="s">
        <v>2700</v>
      </c>
      <c r="H2226" t="s">
        <v>2699</v>
      </c>
      <c r="I2226">
        <v>113</v>
      </c>
      <c r="K2226" t="s">
        <v>4869</v>
      </c>
      <c r="L2226">
        <v>46276</v>
      </c>
      <c r="M2226">
        <v>101323</v>
      </c>
      <c r="N2226">
        <v>20</v>
      </c>
      <c r="O2226">
        <v>46293</v>
      </c>
      <c r="P2226">
        <v>93</v>
      </c>
    </row>
    <row r="2227" spans="1:16" x14ac:dyDescent="0.4">
      <c r="A2227">
        <v>1006</v>
      </c>
      <c r="B2227" t="s">
        <v>4915</v>
      </c>
      <c r="D2227" t="s">
        <v>4916</v>
      </c>
      <c r="G2227" t="s">
        <v>377</v>
      </c>
      <c r="H2227" t="s">
        <v>5094</v>
      </c>
      <c r="I2227">
        <v>125</v>
      </c>
      <c r="K2227" t="s">
        <v>4979</v>
      </c>
      <c r="L2227">
        <v>46276</v>
      </c>
      <c r="M2227">
        <v>101323</v>
      </c>
      <c r="N2227">
        <v>20</v>
      </c>
      <c r="O2227">
        <v>46293</v>
      </c>
      <c r="P2227">
        <v>105</v>
      </c>
    </row>
    <row r="2228" spans="1:16" x14ac:dyDescent="0.4">
      <c r="A2228">
        <v>1009</v>
      </c>
      <c r="B2228" t="s">
        <v>4915</v>
      </c>
      <c r="D2228" t="s">
        <v>4916</v>
      </c>
      <c r="G2228" t="s">
        <v>342</v>
      </c>
      <c r="H2228" t="s">
        <v>341</v>
      </c>
      <c r="I2228">
        <v>127</v>
      </c>
      <c r="K2228" t="s">
        <v>5095</v>
      </c>
      <c r="L2228">
        <v>46276</v>
      </c>
      <c r="M2228">
        <v>101323</v>
      </c>
      <c r="N2228">
        <v>20</v>
      </c>
      <c r="O2228">
        <v>46293</v>
      </c>
      <c r="P2228">
        <v>107</v>
      </c>
    </row>
    <row r="2229" spans="1:16" x14ac:dyDescent="0.4">
      <c r="A2229">
        <v>1011</v>
      </c>
      <c r="B2229" t="s">
        <v>4915</v>
      </c>
      <c r="D2229" t="s">
        <v>4916</v>
      </c>
      <c r="G2229" t="s">
        <v>357</v>
      </c>
      <c r="H2229" t="s">
        <v>356</v>
      </c>
      <c r="I2229">
        <v>128</v>
      </c>
      <c r="K2229" t="s">
        <v>5097</v>
      </c>
      <c r="L2229">
        <v>46276</v>
      </c>
      <c r="M2229">
        <v>101323</v>
      </c>
      <c r="N2229">
        <v>20</v>
      </c>
      <c r="O2229">
        <v>46293</v>
      </c>
      <c r="P2229">
        <v>108</v>
      </c>
    </row>
    <row r="2230" spans="1:16" x14ac:dyDescent="0.4">
      <c r="A2230">
        <v>1017</v>
      </c>
      <c r="B2230" t="s">
        <v>4915</v>
      </c>
      <c r="D2230" t="s">
        <v>4916</v>
      </c>
      <c r="G2230" t="s">
        <v>345</v>
      </c>
      <c r="H2230" t="s">
        <v>344</v>
      </c>
      <c r="I2230">
        <v>137</v>
      </c>
      <c r="K2230" t="s">
        <v>5005</v>
      </c>
      <c r="L2230">
        <v>46276</v>
      </c>
      <c r="M2230">
        <v>101323</v>
      </c>
      <c r="N2230">
        <v>20</v>
      </c>
      <c r="O2230">
        <v>46293</v>
      </c>
      <c r="P2230">
        <v>117</v>
      </c>
    </row>
    <row r="2231" spans="1:16" x14ac:dyDescent="0.4">
      <c r="A2231">
        <v>1018</v>
      </c>
      <c r="B2231" t="s">
        <v>4915</v>
      </c>
      <c r="D2231" t="s">
        <v>4916</v>
      </c>
      <c r="G2231" t="s">
        <v>360</v>
      </c>
      <c r="H2231" t="s">
        <v>359</v>
      </c>
      <c r="I2231">
        <v>138</v>
      </c>
      <c r="K2231" t="s">
        <v>5097</v>
      </c>
      <c r="L2231">
        <v>46276</v>
      </c>
      <c r="M2231">
        <v>101323</v>
      </c>
      <c r="N2231">
        <v>20</v>
      </c>
      <c r="O2231">
        <v>46293</v>
      </c>
      <c r="P2231">
        <v>118</v>
      </c>
    </row>
    <row r="2232" spans="1:16" x14ac:dyDescent="0.4">
      <c r="A2232">
        <v>1019</v>
      </c>
      <c r="B2232" t="s">
        <v>4915</v>
      </c>
      <c r="D2232" t="s">
        <v>4916</v>
      </c>
      <c r="G2232" t="s">
        <v>349</v>
      </c>
      <c r="H2232" t="s">
        <v>348</v>
      </c>
      <c r="I2232">
        <v>139</v>
      </c>
      <c r="K2232" t="s">
        <v>4861</v>
      </c>
      <c r="L2232">
        <v>46276</v>
      </c>
      <c r="M2232">
        <v>101323</v>
      </c>
      <c r="N2232">
        <v>20</v>
      </c>
      <c r="O2232">
        <v>46293</v>
      </c>
      <c r="P2232">
        <v>119</v>
      </c>
    </row>
    <row r="2233" spans="1:16" x14ac:dyDescent="0.4">
      <c r="A2233">
        <v>1026</v>
      </c>
      <c r="B2233" t="s">
        <v>4915</v>
      </c>
      <c r="D2233" t="s">
        <v>4916</v>
      </c>
      <c r="G2233" t="s">
        <v>1534</v>
      </c>
      <c r="H2233" t="s">
        <v>1533</v>
      </c>
      <c r="I2233">
        <v>174</v>
      </c>
      <c r="K2233" t="s">
        <v>5024</v>
      </c>
      <c r="L2233">
        <v>46276</v>
      </c>
      <c r="M2233">
        <v>101323</v>
      </c>
      <c r="N2233">
        <v>20</v>
      </c>
      <c r="O2233">
        <v>46293</v>
      </c>
      <c r="P2233">
        <v>154</v>
      </c>
    </row>
    <row r="2234" spans="1:16" x14ac:dyDescent="0.4">
      <c r="A2234">
        <v>1028</v>
      </c>
      <c r="B2234" t="s">
        <v>4915</v>
      </c>
      <c r="D2234" t="s">
        <v>4916</v>
      </c>
      <c r="G2234" t="s">
        <v>425</v>
      </c>
      <c r="H2234" t="s">
        <v>424</v>
      </c>
      <c r="I2234">
        <v>176</v>
      </c>
      <c r="K2234" t="s">
        <v>5102</v>
      </c>
      <c r="L2234">
        <v>46276</v>
      </c>
      <c r="M2234">
        <v>101323</v>
      </c>
      <c r="N2234">
        <v>20</v>
      </c>
      <c r="O2234">
        <v>46293</v>
      </c>
      <c r="P2234">
        <v>156</v>
      </c>
    </row>
    <row r="2235" spans="1:16" x14ac:dyDescent="0.4">
      <c r="A2235">
        <v>1031</v>
      </c>
      <c r="B2235" t="s">
        <v>4915</v>
      </c>
      <c r="D2235" t="s">
        <v>4916</v>
      </c>
      <c r="G2235" t="s">
        <v>2807</v>
      </c>
      <c r="H2235" t="s">
        <v>2806</v>
      </c>
      <c r="I2235">
        <v>182</v>
      </c>
      <c r="K2235" t="s">
        <v>4947</v>
      </c>
      <c r="L2235">
        <v>46276</v>
      </c>
      <c r="M2235">
        <v>101323</v>
      </c>
      <c r="N2235">
        <v>20</v>
      </c>
      <c r="O2235">
        <v>46293</v>
      </c>
      <c r="P2235">
        <v>162</v>
      </c>
    </row>
    <row r="2236" spans="1:16" x14ac:dyDescent="0.4">
      <c r="A2236">
        <v>1040</v>
      </c>
      <c r="B2236" t="s">
        <v>4915</v>
      </c>
      <c r="D2236" t="s">
        <v>4916</v>
      </c>
      <c r="G2236" t="s">
        <v>347</v>
      </c>
      <c r="H2236" t="s">
        <v>346</v>
      </c>
      <c r="I2236">
        <v>237</v>
      </c>
      <c r="K2236" t="s">
        <v>5095</v>
      </c>
      <c r="L2236">
        <v>46276</v>
      </c>
      <c r="M2236">
        <v>101323</v>
      </c>
      <c r="N2236">
        <v>20</v>
      </c>
      <c r="O2236">
        <v>46293</v>
      </c>
      <c r="P2236">
        <v>217</v>
      </c>
    </row>
    <row r="2237" spans="1:16" x14ac:dyDescent="0.4">
      <c r="A2237">
        <v>1041</v>
      </c>
      <c r="B2237" t="s">
        <v>4915</v>
      </c>
      <c r="D2237" t="s">
        <v>4916</v>
      </c>
      <c r="G2237" t="s">
        <v>445</v>
      </c>
      <c r="H2237" t="s">
        <v>444</v>
      </c>
      <c r="I2237">
        <v>245</v>
      </c>
      <c r="K2237" t="s">
        <v>4944</v>
      </c>
      <c r="L2237">
        <v>46276</v>
      </c>
      <c r="M2237">
        <v>101323</v>
      </c>
      <c r="N2237">
        <v>20</v>
      </c>
      <c r="O2237">
        <v>46293</v>
      </c>
      <c r="P2237">
        <v>225</v>
      </c>
    </row>
    <row r="2238" spans="1:16" x14ac:dyDescent="0.4">
      <c r="A2238">
        <v>1042</v>
      </c>
      <c r="B2238" t="s">
        <v>4915</v>
      </c>
      <c r="D2238" t="s">
        <v>4916</v>
      </c>
      <c r="G2238" t="s">
        <v>574</v>
      </c>
      <c r="H2238" t="s">
        <v>573</v>
      </c>
      <c r="I2238">
        <v>250</v>
      </c>
      <c r="K2238" t="s">
        <v>5106</v>
      </c>
      <c r="L2238">
        <v>46276</v>
      </c>
      <c r="M2238">
        <v>101323</v>
      </c>
      <c r="N2238">
        <v>20</v>
      </c>
      <c r="O2238">
        <v>46293</v>
      </c>
      <c r="P2238">
        <v>230</v>
      </c>
    </row>
    <row r="2239" spans="1:16" x14ac:dyDescent="0.4">
      <c r="A2239">
        <v>1044</v>
      </c>
      <c r="B2239" t="s">
        <v>4915</v>
      </c>
      <c r="D2239" t="s">
        <v>4916</v>
      </c>
      <c r="G2239" t="s">
        <v>461</v>
      </c>
      <c r="H2239" t="s">
        <v>460</v>
      </c>
      <c r="I2239">
        <v>260</v>
      </c>
      <c r="K2239" t="s">
        <v>4944</v>
      </c>
      <c r="L2239">
        <v>46276</v>
      </c>
      <c r="M2239">
        <v>101323</v>
      </c>
      <c r="N2239">
        <v>20</v>
      </c>
      <c r="O2239">
        <v>46293</v>
      </c>
      <c r="P2239">
        <v>240</v>
      </c>
    </row>
    <row r="2240" spans="1:16" x14ac:dyDescent="0.4">
      <c r="A2240">
        <v>1045</v>
      </c>
      <c r="B2240" t="s">
        <v>4915</v>
      </c>
      <c r="D2240" t="s">
        <v>4916</v>
      </c>
      <c r="G2240" t="s">
        <v>560</v>
      </c>
      <c r="H2240" t="s">
        <v>559</v>
      </c>
      <c r="I2240">
        <v>264</v>
      </c>
      <c r="K2240" t="s">
        <v>5107</v>
      </c>
      <c r="L2240">
        <v>46276</v>
      </c>
      <c r="M2240">
        <v>101323</v>
      </c>
      <c r="N2240">
        <v>20</v>
      </c>
      <c r="O2240">
        <v>46293</v>
      </c>
      <c r="P2240">
        <v>244</v>
      </c>
    </row>
    <row r="2241" spans="1:16" x14ac:dyDescent="0.4">
      <c r="A2241">
        <v>1046</v>
      </c>
      <c r="B2241" t="s">
        <v>4915</v>
      </c>
      <c r="D2241" t="s">
        <v>4916</v>
      </c>
      <c r="G2241" t="s">
        <v>465</v>
      </c>
      <c r="H2241" t="s">
        <v>464</v>
      </c>
      <c r="I2241">
        <v>275</v>
      </c>
      <c r="K2241" t="s">
        <v>4944</v>
      </c>
      <c r="L2241">
        <v>46276</v>
      </c>
      <c r="M2241">
        <v>101323</v>
      </c>
      <c r="N2241">
        <v>20</v>
      </c>
      <c r="O2241">
        <v>46293</v>
      </c>
      <c r="P2241">
        <v>255</v>
      </c>
    </row>
    <row r="2242" spans="1:16" x14ac:dyDescent="0.4">
      <c r="A2242">
        <v>1047</v>
      </c>
      <c r="B2242" t="s">
        <v>4915</v>
      </c>
      <c r="D2242" t="s">
        <v>4916</v>
      </c>
      <c r="G2242" t="s">
        <v>547</v>
      </c>
      <c r="H2242" t="s">
        <v>546</v>
      </c>
      <c r="I2242">
        <v>281</v>
      </c>
      <c r="K2242" t="s">
        <v>5108</v>
      </c>
      <c r="L2242">
        <v>46276</v>
      </c>
      <c r="M2242">
        <v>101323</v>
      </c>
      <c r="N2242">
        <v>20</v>
      </c>
      <c r="O2242">
        <v>46293</v>
      </c>
      <c r="P2242">
        <v>261</v>
      </c>
    </row>
    <row r="2243" spans="1:16" x14ac:dyDescent="0.4">
      <c r="A2243">
        <v>1048</v>
      </c>
      <c r="B2243" t="s">
        <v>4915</v>
      </c>
      <c r="D2243" t="s">
        <v>4916</v>
      </c>
      <c r="G2243" t="s">
        <v>395</v>
      </c>
      <c r="H2243" t="s">
        <v>394</v>
      </c>
      <c r="I2243">
        <v>285</v>
      </c>
      <c r="K2243" t="s">
        <v>5109</v>
      </c>
      <c r="L2243">
        <v>46276</v>
      </c>
      <c r="M2243">
        <v>101323</v>
      </c>
      <c r="N2243">
        <v>20</v>
      </c>
      <c r="O2243">
        <v>46293</v>
      </c>
      <c r="P2243">
        <v>265</v>
      </c>
    </row>
    <row r="2244" spans="1:16" x14ac:dyDescent="0.4">
      <c r="A2244">
        <v>1052</v>
      </c>
      <c r="B2244" t="s">
        <v>4915</v>
      </c>
      <c r="D2244" t="s">
        <v>4916</v>
      </c>
      <c r="G2244" t="s">
        <v>351</v>
      </c>
      <c r="H2244" t="s">
        <v>350</v>
      </c>
      <c r="I2244">
        <v>343</v>
      </c>
      <c r="K2244" t="s">
        <v>5102</v>
      </c>
      <c r="L2244">
        <v>46276</v>
      </c>
      <c r="M2244">
        <v>101323</v>
      </c>
      <c r="N2244">
        <v>20</v>
      </c>
      <c r="O2244">
        <v>46293</v>
      </c>
      <c r="P2244">
        <v>323</v>
      </c>
    </row>
    <row r="2245" spans="1:16" x14ac:dyDescent="0.4">
      <c r="A2245">
        <v>1053</v>
      </c>
      <c r="B2245" t="s">
        <v>4915</v>
      </c>
      <c r="D2245" t="s">
        <v>4916</v>
      </c>
      <c r="G2245" t="s">
        <v>5110</v>
      </c>
      <c r="H2245" t="s">
        <v>2661</v>
      </c>
      <c r="I2245">
        <v>351</v>
      </c>
      <c r="K2245" t="s">
        <v>5101</v>
      </c>
      <c r="L2245">
        <v>46276</v>
      </c>
      <c r="M2245">
        <v>101323</v>
      </c>
      <c r="N2245">
        <v>20</v>
      </c>
      <c r="O2245">
        <v>46293</v>
      </c>
      <c r="P2245">
        <v>331</v>
      </c>
    </row>
    <row r="2246" spans="1:16" x14ac:dyDescent="0.4">
      <c r="A2246">
        <v>1059</v>
      </c>
      <c r="B2246" t="s">
        <v>4915</v>
      </c>
      <c r="D2246" t="s">
        <v>4916</v>
      </c>
      <c r="G2246" t="s">
        <v>2694</v>
      </c>
      <c r="H2246" t="s">
        <v>2693</v>
      </c>
      <c r="I2246">
        <v>360</v>
      </c>
      <c r="K2246" t="s">
        <v>5114</v>
      </c>
      <c r="L2246">
        <v>46276</v>
      </c>
      <c r="M2246">
        <v>101323</v>
      </c>
      <c r="N2246">
        <v>20</v>
      </c>
      <c r="O2246">
        <v>46293</v>
      </c>
      <c r="P2246">
        <v>340</v>
      </c>
    </row>
    <row r="2247" spans="1:16" x14ac:dyDescent="0.4">
      <c r="A2247">
        <v>1062</v>
      </c>
      <c r="B2247" t="s">
        <v>4915</v>
      </c>
      <c r="D2247" t="s">
        <v>4916</v>
      </c>
      <c r="G2247" t="s">
        <v>397</v>
      </c>
      <c r="H2247" t="s">
        <v>396</v>
      </c>
      <c r="I2247">
        <v>410</v>
      </c>
      <c r="K2247" t="s">
        <v>5109</v>
      </c>
      <c r="L2247">
        <v>46276</v>
      </c>
      <c r="M2247">
        <v>101323</v>
      </c>
      <c r="N2247">
        <v>20</v>
      </c>
      <c r="O2247">
        <v>46293</v>
      </c>
      <c r="P2247">
        <v>390</v>
      </c>
    </row>
    <row r="2248" spans="1:16" x14ac:dyDescent="0.4">
      <c r="A2248">
        <v>1063</v>
      </c>
      <c r="B2248" t="s">
        <v>4915</v>
      </c>
      <c r="D2248" t="s">
        <v>4916</v>
      </c>
      <c r="G2248" t="s">
        <v>540</v>
      </c>
      <c r="H2248" t="s">
        <v>539</v>
      </c>
      <c r="I2248">
        <v>412</v>
      </c>
      <c r="K2248" t="s">
        <v>5108</v>
      </c>
      <c r="L2248">
        <v>46276</v>
      </c>
      <c r="M2248">
        <v>101323</v>
      </c>
      <c r="N2248">
        <v>20</v>
      </c>
      <c r="O2248">
        <v>46293</v>
      </c>
      <c r="P2248">
        <v>392</v>
      </c>
    </row>
    <row r="2249" spans="1:16" x14ac:dyDescent="0.4">
      <c r="A2249">
        <v>1064</v>
      </c>
      <c r="B2249" t="s">
        <v>4915</v>
      </c>
      <c r="D2249" t="s">
        <v>4916</v>
      </c>
      <c r="G2249" t="s">
        <v>551</v>
      </c>
      <c r="H2249" t="s">
        <v>550</v>
      </c>
      <c r="I2249">
        <v>413</v>
      </c>
      <c r="K2249" t="s">
        <v>5108</v>
      </c>
      <c r="L2249">
        <v>46276</v>
      </c>
      <c r="M2249">
        <v>101323</v>
      </c>
      <c r="N2249">
        <v>20</v>
      </c>
      <c r="O2249">
        <v>46293</v>
      </c>
      <c r="P2249">
        <v>393</v>
      </c>
    </row>
    <row r="2250" spans="1:16" x14ac:dyDescent="0.4">
      <c r="A2250">
        <v>1066</v>
      </c>
      <c r="B2250" t="s">
        <v>4915</v>
      </c>
      <c r="D2250" t="s">
        <v>4916</v>
      </c>
      <c r="G2250" t="s">
        <v>5117</v>
      </c>
      <c r="H2250" t="s">
        <v>2659</v>
      </c>
      <c r="I2250">
        <v>419</v>
      </c>
      <c r="K2250" t="s">
        <v>5101</v>
      </c>
      <c r="L2250">
        <v>46276</v>
      </c>
      <c r="M2250">
        <v>101323</v>
      </c>
      <c r="N2250">
        <v>20</v>
      </c>
      <c r="O2250">
        <v>46293</v>
      </c>
      <c r="P2250">
        <v>399</v>
      </c>
    </row>
    <row r="2251" spans="1:16" x14ac:dyDescent="0.4">
      <c r="A2251">
        <v>1067</v>
      </c>
      <c r="B2251" t="s">
        <v>4915</v>
      </c>
      <c r="D2251" t="s">
        <v>4916</v>
      </c>
      <c r="G2251" t="s">
        <v>558</v>
      </c>
      <c r="H2251" t="s">
        <v>557</v>
      </c>
      <c r="I2251">
        <v>423</v>
      </c>
      <c r="K2251" t="s">
        <v>5107</v>
      </c>
      <c r="L2251">
        <v>46276</v>
      </c>
      <c r="M2251">
        <v>101323</v>
      </c>
      <c r="N2251">
        <v>20</v>
      </c>
      <c r="O2251">
        <v>46293</v>
      </c>
      <c r="P2251">
        <v>403</v>
      </c>
    </row>
    <row r="2252" spans="1:16" x14ac:dyDescent="0.4">
      <c r="A2252">
        <v>1068</v>
      </c>
      <c r="B2252" t="s">
        <v>4915</v>
      </c>
      <c r="D2252" t="s">
        <v>4916</v>
      </c>
      <c r="G2252" t="s">
        <v>339</v>
      </c>
      <c r="H2252" t="s">
        <v>338</v>
      </c>
      <c r="I2252">
        <v>426</v>
      </c>
      <c r="K2252" t="s">
        <v>5109</v>
      </c>
      <c r="L2252">
        <v>46276</v>
      </c>
      <c r="M2252">
        <v>101323</v>
      </c>
      <c r="N2252">
        <v>20</v>
      </c>
      <c r="O2252">
        <v>46293</v>
      </c>
      <c r="P2252">
        <v>406</v>
      </c>
    </row>
    <row r="2253" spans="1:16" x14ac:dyDescent="0.4">
      <c r="A2253">
        <v>1069</v>
      </c>
      <c r="B2253" t="s">
        <v>4915</v>
      </c>
      <c r="D2253" t="s">
        <v>4916</v>
      </c>
      <c r="G2253" t="s">
        <v>569</v>
      </c>
      <c r="H2253" t="s">
        <v>568</v>
      </c>
      <c r="I2253">
        <v>430</v>
      </c>
      <c r="K2253" t="s">
        <v>5107</v>
      </c>
      <c r="L2253">
        <v>46276</v>
      </c>
      <c r="M2253">
        <v>101323</v>
      </c>
      <c r="N2253">
        <v>20</v>
      </c>
      <c r="O2253">
        <v>46293</v>
      </c>
      <c r="P2253">
        <v>410</v>
      </c>
    </row>
    <row r="2254" spans="1:16" x14ac:dyDescent="0.4">
      <c r="A2254">
        <v>1070</v>
      </c>
      <c r="B2254" t="s">
        <v>4915</v>
      </c>
      <c r="D2254" t="s">
        <v>4916</v>
      </c>
      <c r="G2254" t="s">
        <v>404</v>
      </c>
      <c r="H2254" t="s">
        <v>403</v>
      </c>
      <c r="I2254">
        <v>432</v>
      </c>
      <c r="K2254" t="s">
        <v>5118</v>
      </c>
      <c r="L2254">
        <v>46276</v>
      </c>
      <c r="M2254">
        <v>101323</v>
      </c>
      <c r="N2254">
        <v>20</v>
      </c>
      <c r="O2254">
        <v>46293</v>
      </c>
      <c r="P2254">
        <v>412</v>
      </c>
    </row>
    <row r="2255" spans="1:16" x14ac:dyDescent="0.4">
      <c r="A2255">
        <v>1071</v>
      </c>
      <c r="B2255" t="s">
        <v>4915</v>
      </c>
      <c r="D2255" t="s">
        <v>4916</v>
      </c>
      <c r="G2255" t="s">
        <v>566</v>
      </c>
      <c r="H2255" t="s">
        <v>565</v>
      </c>
      <c r="I2255">
        <v>433</v>
      </c>
      <c r="K2255" t="s">
        <v>5119</v>
      </c>
      <c r="L2255">
        <v>46276</v>
      </c>
      <c r="M2255">
        <v>101323</v>
      </c>
      <c r="N2255">
        <v>20</v>
      </c>
      <c r="O2255">
        <v>46293</v>
      </c>
      <c r="P2255">
        <v>413</v>
      </c>
    </row>
    <row r="2256" spans="1:16" x14ac:dyDescent="0.4">
      <c r="A2256">
        <v>1164</v>
      </c>
      <c r="B2256" t="s">
        <v>4915</v>
      </c>
      <c r="G2256" t="s">
        <v>579</v>
      </c>
      <c r="H2256" t="s">
        <v>578</v>
      </c>
      <c r="I2256">
        <v>454</v>
      </c>
      <c r="K2256" t="s">
        <v>5122</v>
      </c>
      <c r="L2256">
        <v>46281</v>
      </c>
      <c r="M2256">
        <v>101323</v>
      </c>
      <c r="N2256">
        <v>20</v>
      </c>
      <c r="O2256">
        <v>46293</v>
      </c>
      <c r="P2256">
        <v>434</v>
      </c>
    </row>
    <row r="2257" spans="1:16" x14ac:dyDescent="0.4">
      <c r="A2257">
        <v>1075</v>
      </c>
      <c r="B2257" t="s">
        <v>4915</v>
      </c>
      <c r="D2257" t="s">
        <v>4916</v>
      </c>
      <c r="G2257" t="s">
        <v>545</v>
      </c>
      <c r="H2257" t="s">
        <v>544</v>
      </c>
      <c r="I2257">
        <v>476</v>
      </c>
      <c r="K2257" t="s">
        <v>5108</v>
      </c>
      <c r="L2257">
        <v>46276</v>
      </c>
      <c r="M2257">
        <v>101323</v>
      </c>
      <c r="N2257">
        <v>20</v>
      </c>
      <c r="O2257">
        <v>46293</v>
      </c>
      <c r="P2257">
        <v>456</v>
      </c>
    </row>
    <row r="2258" spans="1:16" x14ac:dyDescent="0.4">
      <c r="A2258">
        <v>1076</v>
      </c>
      <c r="B2258" t="s">
        <v>4915</v>
      </c>
      <c r="D2258" t="s">
        <v>4916</v>
      </c>
      <c r="G2258" t="s">
        <v>577</v>
      </c>
      <c r="H2258" t="s">
        <v>576</v>
      </c>
      <c r="I2258">
        <v>477</v>
      </c>
      <c r="K2258" t="s">
        <v>5121</v>
      </c>
      <c r="L2258">
        <v>46276</v>
      </c>
      <c r="M2258">
        <v>101323</v>
      </c>
      <c r="N2258">
        <v>20</v>
      </c>
      <c r="O2258">
        <v>46293</v>
      </c>
      <c r="P2258">
        <v>457</v>
      </c>
    </row>
    <row r="2259" spans="1:16" x14ac:dyDescent="0.4">
      <c r="A2259">
        <v>1077</v>
      </c>
      <c r="B2259" t="s">
        <v>4915</v>
      </c>
      <c r="D2259" t="s">
        <v>4916</v>
      </c>
      <c r="G2259" t="s">
        <v>399</v>
      </c>
      <c r="H2259" t="s">
        <v>398</v>
      </c>
      <c r="I2259">
        <v>479</v>
      </c>
      <c r="K2259" t="s">
        <v>4944</v>
      </c>
      <c r="L2259">
        <v>46276</v>
      </c>
      <c r="M2259">
        <v>101323</v>
      </c>
      <c r="N2259">
        <v>20</v>
      </c>
      <c r="O2259">
        <v>46293</v>
      </c>
      <c r="P2259">
        <v>459</v>
      </c>
    </row>
    <row r="2260" spans="1:16" x14ac:dyDescent="0.4">
      <c r="A2260">
        <v>1080</v>
      </c>
      <c r="B2260" t="s">
        <v>4915</v>
      </c>
      <c r="D2260" t="s">
        <v>4916</v>
      </c>
      <c r="G2260" t="s">
        <v>542</v>
      </c>
      <c r="H2260" t="s">
        <v>541</v>
      </c>
      <c r="I2260">
        <v>494</v>
      </c>
      <c r="K2260" t="s">
        <v>5121</v>
      </c>
      <c r="L2260">
        <v>46276</v>
      </c>
      <c r="M2260">
        <v>101323</v>
      </c>
      <c r="N2260">
        <v>20</v>
      </c>
      <c r="O2260">
        <v>46293</v>
      </c>
      <c r="P2260">
        <v>474</v>
      </c>
    </row>
    <row r="2261" spans="1:16" x14ac:dyDescent="0.4">
      <c r="A2261">
        <v>1085</v>
      </c>
      <c r="B2261" t="s">
        <v>4915</v>
      </c>
      <c r="D2261" t="s">
        <v>4916</v>
      </c>
      <c r="G2261" t="s">
        <v>556</v>
      </c>
      <c r="H2261" t="s">
        <v>555</v>
      </c>
      <c r="I2261">
        <v>520</v>
      </c>
      <c r="K2261" t="s">
        <v>5107</v>
      </c>
      <c r="L2261">
        <v>46276</v>
      </c>
      <c r="M2261">
        <v>101323</v>
      </c>
      <c r="N2261">
        <v>20</v>
      </c>
      <c r="O2261">
        <v>46293</v>
      </c>
      <c r="P2261">
        <v>500</v>
      </c>
    </row>
    <row r="2262" spans="1:16" x14ac:dyDescent="0.4">
      <c r="A2262">
        <v>1086</v>
      </c>
      <c r="B2262" t="s">
        <v>4915</v>
      </c>
      <c r="D2262" t="s">
        <v>4916</v>
      </c>
      <c r="G2262" t="s">
        <v>423</v>
      </c>
      <c r="H2262" t="s">
        <v>422</v>
      </c>
      <c r="I2262">
        <v>533</v>
      </c>
      <c r="K2262" t="s">
        <v>5126</v>
      </c>
      <c r="L2262">
        <v>46276</v>
      </c>
      <c r="M2262">
        <v>101323</v>
      </c>
      <c r="N2262">
        <v>20</v>
      </c>
      <c r="O2262">
        <v>46293</v>
      </c>
      <c r="P2262">
        <v>513</v>
      </c>
    </row>
    <row r="2263" spans="1:16" x14ac:dyDescent="0.4">
      <c r="A2263">
        <v>1088</v>
      </c>
      <c r="B2263" t="s">
        <v>4915</v>
      </c>
      <c r="D2263" t="s">
        <v>4916</v>
      </c>
      <c r="G2263" t="s">
        <v>538</v>
      </c>
      <c r="H2263" t="s">
        <v>537</v>
      </c>
      <c r="I2263">
        <v>599</v>
      </c>
      <c r="K2263" t="s">
        <v>5108</v>
      </c>
      <c r="L2263">
        <v>46276</v>
      </c>
      <c r="M2263">
        <v>101323</v>
      </c>
      <c r="N2263">
        <v>20</v>
      </c>
      <c r="O2263">
        <v>46293</v>
      </c>
      <c r="P2263">
        <v>579</v>
      </c>
    </row>
    <row r="2264" spans="1:16" x14ac:dyDescent="0.4">
      <c r="A2264">
        <v>1091</v>
      </c>
      <c r="B2264" t="s">
        <v>4915</v>
      </c>
      <c r="D2264" t="s">
        <v>4916</v>
      </c>
      <c r="G2264" t="s">
        <v>412</v>
      </c>
      <c r="H2264" t="s">
        <v>411</v>
      </c>
      <c r="I2264">
        <v>700</v>
      </c>
      <c r="K2264" t="s">
        <v>5118</v>
      </c>
      <c r="L2264">
        <v>46276</v>
      </c>
      <c r="M2264">
        <v>101323</v>
      </c>
      <c r="N2264">
        <v>20</v>
      </c>
      <c r="O2264">
        <v>46293</v>
      </c>
      <c r="P2264">
        <v>680</v>
      </c>
    </row>
    <row r="2265" spans="1:16" x14ac:dyDescent="0.4">
      <c r="A2265">
        <v>1093</v>
      </c>
      <c r="B2265" t="s">
        <v>4915</v>
      </c>
      <c r="D2265" t="s">
        <v>4916</v>
      </c>
      <c r="G2265" t="s">
        <v>401</v>
      </c>
      <c r="H2265" t="s">
        <v>400</v>
      </c>
      <c r="I2265">
        <v>756</v>
      </c>
      <c r="K2265" t="s">
        <v>5131</v>
      </c>
      <c r="L2265">
        <v>46276</v>
      </c>
      <c r="M2265">
        <v>101323</v>
      </c>
      <c r="N2265">
        <v>20</v>
      </c>
      <c r="O2265">
        <v>46293</v>
      </c>
      <c r="P2265">
        <v>736</v>
      </c>
    </row>
    <row r="2266" spans="1:16" x14ac:dyDescent="0.4">
      <c r="A2266">
        <v>1095</v>
      </c>
      <c r="B2266" t="s">
        <v>4915</v>
      </c>
      <c r="D2266" t="s">
        <v>4916</v>
      </c>
      <c r="G2266" t="s">
        <v>5132</v>
      </c>
      <c r="H2266" t="s">
        <v>2789</v>
      </c>
      <c r="I2266">
        <v>761</v>
      </c>
      <c r="K2266" t="s">
        <v>4869</v>
      </c>
      <c r="L2266">
        <v>46276</v>
      </c>
      <c r="M2266">
        <v>101323</v>
      </c>
      <c r="N2266">
        <v>20</v>
      </c>
      <c r="O2266">
        <v>46293</v>
      </c>
      <c r="P2266">
        <v>741</v>
      </c>
    </row>
    <row r="2267" spans="1:16" x14ac:dyDescent="0.4">
      <c r="A2267">
        <v>1097</v>
      </c>
      <c r="B2267" t="s">
        <v>4915</v>
      </c>
      <c r="D2267" t="s">
        <v>4916</v>
      </c>
      <c r="G2267" t="s">
        <v>5135</v>
      </c>
      <c r="H2267" t="s">
        <v>5136</v>
      </c>
      <c r="I2267">
        <v>877</v>
      </c>
      <c r="K2267" t="s">
        <v>5125</v>
      </c>
      <c r="L2267">
        <v>46276</v>
      </c>
      <c r="M2267">
        <v>101323</v>
      </c>
      <c r="N2267">
        <v>80</v>
      </c>
      <c r="O2267">
        <v>46293</v>
      </c>
      <c r="P2267">
        <v>797</v>
      </c>
    </row>
    <row r="2268" spans="1:16" x14ac:dyDescent="0.4">
      <c r="A2268">
        <v>1099</v>
      </c>
      <c r="B2268" t="s">
        <v>4915</v>
      </c>
      <c r="D2268" t="s">
        <v>4916</v>
      </c>
      <c r="G2268" t="s">
        <v>410</v>
      </c>
      <c r="H2268" t="s">
        <v>409</v>
      </c>
      <c r="I2268">
        <v>1443</v>
      </c>
      <c r="K2268" t="s">
        <v>5126</v>
      </c>
      <c r="L2268">
        <v>46276</v>
      </c>
      <c r="M2268">
        <v>101323</v>
      </c>
      <c r="N2268">
        <v>20</v>
      </c>
      <c r="O2268">
        <v>46293</v>
      </c>
      <c r="P2268">
        <v>1423</v>
      </c>
    </row>
    <row r="2269" spans="1:16" x14ac:dyDescent="0.4">
      <c r="A2269">
        <v>1804</v>
      </c>
      <c r="B2269" t="s">
        <v>4915</v>
      </c>
      <c r="G2269" t="s">
        <v>842</v>
      </c>
      <c r="H2269" t="s">
        <v>841</v>
      </c>
      <c r="I2269">
        <v>15</v>
      </c>
      <c r="K2269" t="s">
        <v>4998</v>
      </c>
      <c r="L2269">
        <v>46294</v>
      </c>
      <c r="M2269">
        <v>101324</v>
      </c>
      <c r="N2269">
        <v>15</v>
      </c>
      <c r="O2269">
        <v>46294</v>
      </c>
      <c r="P2269">
        <v>0</v>
      </c>
    </row>
    <row r="2270" spans="1:16" x14ac:dyDescent="0.4">
      <c r="A2270">
        <v>1808</v>
      </c>
      <c r="B2270" t="s">
        <v>4915</v>
      </c>
      <c r="G2270" t="s">
        <v>1054</v>
      </c>
      <c r="H2270" t="s">
        <v>1053</v>
      </c>
      <c r="I2270">
        <v>18</v>
      </c>
      <c r="K2270" t="s">
        <v>4992</v>
      </c>
      <c r="L2270">
        <v>46294</v>
      </c>
      <c r="M2270">
        <v>101324</v>
      </c>
      <c r="N2270">
        <v>12</v>
      </c>
      <c r="O2270">
        <v>46294</v>
      </c>
      <c r="P2270">
        <v>6</v>
      </c>
    </row>
    <row r="2271" spans="1:16" x14ac:dyDescent="0.4">
      <c r="A2271">
        <v>2513</v>
      </c>
      <c r="B2271" t="s">
        <v>4915</v>
      </c>
      <c r="G2271" t="s">
        <v>4971</v>
      </c>
      <c r="H2271" t="s">
        <v>4972</v>
      </c>
      <c r="I2271">
        <v>77</v>
      </c>
      <c r="K2271" t="s">
        <v>4973</v>
      </c>
      <c r="L2271">
        <v>46296</v>
      </c>
      <c r="M2271">
        <v>101324</v>
      </c>
      <c r="N2271">
        <v>12</v>
      </c>
      <c r="O2271">
        <v>46296</v>
      </c>
      <c r="P2271">
        <v>65</v>
      </c>
    </row>
    <row r="2272" spans="1:16" x14ac:dyDescent="0.4">
      <c r="A2272">
        <v>1815</v>
      </c>
      <c r="B2272" t="s">
        <v>4915</v>
      </c>
      <c r="G2272" t="s">
        <v>985</v>
      </c>
      <c r="H2272" t="s">
        <v>984</v>
      </c>
      <c r="I2272">
        <v>89</v>
      </c>
      <c r="K2272" t="s">
        <v>4932</v>
      </c>
      <c r="L2272">
        <v>46294</v>
      </c>
      <c r="M2272">
        <v>101324</v>
      </c>
      <c r="N2272">
        <v>12</v>
      </c>
      <c r="O2272">
        <v>46294</v>
      </c>
      <c r="P2272">
        <v>77</v>
      </c>
    </row>
    <row r="2273" spans="1:16" x14ac:dyDescent="0.4">
      <c r="A2273">
        <v>1817</v>
      </c>
      <c r="B2273" t="s">
        <v>4915</v>
      </c>
      <c r="G2273" t="s">
        <v>1057</v>
      </c>
      <c r="H2273" t="s">
        <v>1056</v>
      </c>
      <c r="I2273">
        <v>95</v>
      </c>
      <c r="K2273" t="s">
        <v>4991</v>
      </c>
      <c r="L2273">
        <v>46294</v>
      </c>
      <c r="M2273">
        <v>101324</v>
      </c>
      <c r="N2273">
        <v>12</v>
      </c>
      <c r="O2273">
        <v>46294</v>
      </c>
      <c r="P2273">
        <v>83</v>
      </c>
    </row>
    <row r="2274" spans="1:16" x14ac:dyDescent="0.4">
      <c r="A2274">
        <v>2205</v>
      </c>
      <c r="B2274" t="s">
        <v>4915</v>
      </c>
      <c r="D2274" t="s">
        <v>4901</v>
      </c>
      <c r="E2274" t="s">
        <v>5154</v>
      </c>
      <c r="F2274" t="s">
        <v>5147</v>
      </c>
      <c r="G2274" t="s">
        <v>842</v>
      </c>
      <c r="H2274" t="s">
        <v>841</v>
      </c>
      <c r="I2274">
        <v>100</v>
      </c>
      <c r="K2274" t="s">
        <v>4998</v>
      </c>
      <c r="L2274">
        <v>46288</v>
      </c>
      <c r="M2274">
        <v>101324</v>
      </c>
      <c r="N2274">
        <v>4</v>
      </c>
      <c r="O2274">
        <v>46294</v>
      </c>
      <c r="P2274">
        <v>96</v>
      </c>
    </row>
    <row r="2275" spans="1:16" x14ac:dyDescent="0.4">
      <c r="A2275">
        <v>1821</v>
      </c>
      <c r="B2275" t="s">
        <v>4915</v>
      </c>
      <c r="G2275" t="s">
        <v>880</v>
      </c>
      <c r="H2275" t="s">
        <v>879</v>
      </c>
      <c r="I2275">
        <v>120</v>
      </c>
      <c r="K2275" t="s">
        <v>4988</v>
      </c>
      <c r="L2275">
        <v>46294</v>
      </c>
      <c r="M2275">
        <v>101324</v>
      </c>
      <c r="N2275">
        <v>19</v>
      </c>
      <c r="O2275">
        <v>46294</v>
      </c>
      <c r="P2275">
        <v>101</v>
      </c>
    </row>
    <row r="2276" spans="1:16" x14ac:dyDescent="0.4">
      <c r="A2276">
        <v>2000</v>
      </c>
      <c r="B2276" t="s">
        <v>4915</v>
      </c>
      <c r="G2276" t="s">
        <v>840</v>
      </c>
      <c r="H2276" t="s">
        <v>839</v>
      </c>
      <c r="I2276">
        <v>148</v>
      </c>
      <c r="K2276" t="s">
        <v>4740</v>
      </c>
      <c r="L2276">
        <v>46294</v>
      </c>
      <c r="M2276">
        <v>101324</v>
      </c>
      <c r="N2276">
        <v>12</v>
      </c>
      <c r="O2276">
        <v>46294</v>
      </c>
      <c r="P2276">
        <v>136</v>
      </c>
    </row>
    <row r="2277" spans="1:16" x14ac:dyDescent="0.4">
      <c r="A2277">
        <v>1824</v>
      </c>
      <c r="B2277" t="s">
        <v>4915</v>
      </c>
      <c r="G2277" t="s">
        <v>877</v>
      </c>
      <c r="H2277" t="s">
        <v>876</v>
      </c>
      <c r="I2277">
        <v>170</v>
      </c>
      <c r="K2277" t="s">
        <v>4988</v>
      </c>
      <c r="L2277">
        <v>46294</v>
      </c>
      <c r="M2277">
        <v>101324</v>
      </c>
      <c r="N2277">
        <v>19</v>
      </c>
      <c r="O2277">
        <v>46294</v>
      </c>
      <c r="P2277">
        <v>151</v>
      </c>
    </row>
    <row r="2278" spans="1:16" x14ac:dyDescent="0.4">
      <c r="A2278">
        <v>1825</v>
      </c>
      <c r="B2278" t="s">
        <v>4915</v>
      </c>
      <c r="G2278" t="s">
        <v>967</v>
      </c>
      <c r="H2278" t="s">
        <v>966</v>
      </c>
      <c r="I2278">
        <v>199</v>
      </c>
      <c r="K2278" t="s">
        <v>4965</v>
      </c>
      <c r="L2278">
        <v>46294</v>
      </c>
      <c r="M2278">
        <v>101324</v>
      </c>
      <c r="N2278">
        <v>24</v>
      </c>
      <c r="O2278">
        <v>46294</v>
      </c>
      <c r="P2278">
        <v>175</v>
      </c>
    </row>
    <row r="2279" spans="1:16" x14ac:dyDescent="0.4">
      <c r="A2279">
        <v>1809</v>
      </c>
      <c r="B2279" t="s">
        <v>4915</v>
      </c>
      <c r="G2279" t="s">
        <v>1046</v>
      </c>
      <c r="H2279" t="s">
        <v>1045</v>
      </c>
      <c r="I2279">
        <v>210</v>
      </c>
      <c r="K2279" t="s">
        <v>4990</v>
      </c>
      <c r="L2279">
        <v>46294</v>
      </c>
      <c r="M2279">
        <v>101324</v>
      </c>
      <c r="N2279">
        <v>24</v>
      </c>
      <c r="O2279">
        <v>46294</v>
      </c>
      <c r="P2279">
        <v>186</v>
      </c>
    </row>
    <row r="2280" spans="1:16" x14ac:dyDescent="0.4">
      <c r="A2280">
        <v>2090</v>
      </c>
      <c r="B2280" t="s">
        <v>4915</v>
      </c>
      <c r="G2280" t="s">
        <v>1005</v>
      </c>
      <c r="H2280" t="s">
        <v>1004</v>
      </c>
      <c r="I2280">
        <v>258</v>
      </c>
      <c r="K2280" t="s">
        <v>4871</v>
      </c>
      <c r="L2280">
        <v>46283</v>
      </c>
      <c r="M2280">
        <v>101324</v>
      </c>
      <c r="N2280">
        <v>12</v>
      </c>
      <c r="O2280">
        <v>46294</v>
      </c>
      <c r="P2280">
        <v>246</v>
      </c>
    </row>
    <row r="2281" spans="1:16" x14ac:dyDescent="0.4">
      <c r="A2281">
        <v>1830</v>
      </c>
      <c r="B2281" t="s">
        <v>4915</v>
      </c>
      <c r="G2281" t="s">
        <v>884</v>
      </c>
      <c r="H2281" t="s">
        <v>883</v>
      </c>
      <c r="I2281">
        <v>287</v>
      </c>
      <c r="K2281" t="s">
        <v>4943</v>
      </c>
      <c r="L2281">
        <v>46294</v>
      </c>
      <c r="M2281">
        <v>101324</v>
      </c>
      <c r="N2281">
        <v>19</v>
      </c>
      <c r="O2281">
        <v>46294</v>
      </c>
      <c r="P2281">
        <v>268</v>
      </c>
    </row>
    <row r="2282" spans="1:16" x14ac:dyDescent="0.4">
      <c r="A2282">
        <v>1784</v>
      </c>
      <c r="B2282" t="s">
        <v>4915</v>
      </c>
      <c r="G2282" t="s">
        <v>1322</v>
      </c>
      <c r="H2282" t="s">
        <v>5145</v>
      </c>
      <c r="I2282">
        <v>5</v>
      </c>
      <c r="K2282" t="s">
        <v>5054</v>
      </c>
      <c r="L2282">
        <v>46294</v>
      </c>
      <c r="M2282">
        <v>101325</v>
      </c>
      <c r="N2282">
        <v>2</v>
      </c>
      <c r="O2282">
        <v>46295</v>
      </c>
      <c r="P2282">
        <v>3</v>
      </c>
    </row>
    <row r="2283" spans="1:16" x14ac:dyDescent="0.4">
      <c r="A2283">
        <v>1789</v>
      </c>
      <c r="B2283" t="s">
        <v>4915</v>
      </c>
      <c r="G2283" t="s">
        <v>7</v>
      </c>
      <c r="H2283" t="s">
        <v>2676</v>
      </c>
      <c r="I2283">
        <v>20</v>
      </c>
      <c r="K2283" t="s">
        <v>5092</v>
      </c>
      <c r="L2283">
        <v>46294</v>
      </c>
      <c r="M2283">
        <v>101325</v>
      </c>
      <c r="N2283">
        <v>2</v>
      </c>
      <c r="O2283">
        <v>46295</v>
      </c>
      <c r="P2283">
        <v>18</v>
      </c>
    </row>
    <row r="2284" spans="1:16" x14ac:dyDescent="0.4">
      <c r="A2284">
        <v>1741</v>
      </c>
      <c r="B2284" t="s">
        <v>4915</v>
      </c>
      <c r="G2284" t="s">
        <v>2675</v>
      </c>
      <c r="H2284" t="s">
        <v>2674</v>
      </c>
      <c r="I2284">
        <v>22</v>
      </c>
      <c r="K2284" t="s">
        <v>5096</v>
      </c>
      <c r="L2284">
        <v>46294</v>
      </c>
      <c r="M2284">
        <v>101325</v>
      </c>
      <c r="N2284">
        <v>2</v>
      </c>
      <c r="O2284">
        <v>46295</v>
      </c>
      <c r="P2284">
        <v>20</v>
      </c>
    </row>
    <row r="2285" spans="1:16" x14ac:dyDescent="0.4">
      <c r="A2285">
        <v>1742</v>
      </c>
      <c r="B2285" t="s">
        <v>4915</v>
      </c>
      <c r="G2285" t="s">
        <v>2666</v>
      </c>
      <c r="H2285" t="s">
        <v>2665</v>
      </c>
      <c r="I2285">
        <v>45</v>
      </c>
      <c r="K2285" t="s">
        <v>5096</v>
      </c>
      <c r="L2285">
        <v>46294</v>
      </c>
      <c r="M2285">
        <v>101325</v>
      </c>
      <c r="N2285">
        <v>2</v>
      </c>
      <c r="O2285">
        <v>46295</v>
      </c>
      <c r="P2285">
        <v>43</v>
      </c>
    </row>
    <row r="2286" spans="1:16" x14ac:dyDescent="0.4">
      <c r="A2286">
        <v>1908</v>
      </c>
      <c r="B2286" t="s">
        <v>4915</v>
      </c>
      <c r="G2286" t="s">
        <v>8</v>
      </c>
      <c r="H2286" t="s">
        <v>2678</v>
      </c>
      <c r="I2286">
        <v>55</v>
      </c>
      <c r="K2286" t="s">
        <v>5092</v>
      </c>
      <c r="L2286">
        <v>46295</v>
      </c>
      <c r="M2286">
        <v>101325</v>
      </c>
      <c r="N2286">
        <v>2</v>
      </c>
      <c r="O2286">
        <v>46295</v>
      </c>
      <c r="P2286">
        <v>53</v>
      </c>
    </row>
    <row r="2287" spans="1:16" x14ac:dyDescent="0.4">
      <c r="A2287">
        <v>1912</v>
      </c>
      <c r="B2287" t="s">
        <v>4915</v>
      </c>
      <c r="G2287" t="s">
        <v>2673</v>
      </c>
      <c r="H2287" t="s">
        <v>2672</v>
      </c>
      <c r="I2287">
        <v>67</v>
      </c>
      <c r="K2287" t="s">
        <v>5096</v>
      </c>
      <c r="L2287">
        <v>46295</v>
      </c>
      <c r="M2287">
        <v>101325</v>
      </c>
      <c r="N2287">
        <v>2</v>
      </c>
      <c r="O2287">
        <v>46295</v>
      </c>
      <c r="P2287">
        <v>65</v>
      </c>
    </row>
    <row r="2288" spans="1:16" x14ac:dyDescent="0.4">
      <c r="A2288">
        <v>1920</v>
      </c>
      <c r="B2288" t="s">
        <v>4915</v>
      </c>
      <c r="G2288" t="s">
        <v>707</v>
      </c>
      <c r="H2288" t="s">
        <v>706</v>
      </c>
      <c r="I2288">
        <v>161</v>
      </c>
      <c r="K2288" t="s">
        <v>4956</v>
      </c>
      <c r="L2288">
        <v>46295</v>
      </c>
      <c r="M2288">
        <v>101325</v>
      </c>
      <c r="N2288">
        <v>2</v>
      </c>
      <c r="O2288">
        <v>46295</v>
      </c>
      <c r="P2288">
        <v>159</v>
      </c>
    </row>
    <row r="2289" spans="1:16" x14ac:dyDescent="0.4">
      <c r="A2289">
        <v>1786</v>
      </c>
      <c r="B2289" t="s">
        <v>4915</v>
      </c>
      <c r="G2289" t="s">
        <v>1662</v>
      </c>
      <c r="H2289" t="s">
        <v>1661</v>
      </c>
      <c r="I2289">
        <v>184</v>
      </c>
      <c r="K2289" t="s">
        <v>5026</v>
      </c>
      <c r="L2289">
        <v>46294</v>
      </c>
      <c r="M2289">
        <v>101325</v>
      </c>
      <c r="N2289">
        <v>2</v>
      </c>
      <c r="O2289">
        <v>46295</v>
      </c>
      <c r="P2289">
        <v>182</v>
      </c>
    </row>
    <row r="2290" spans="1:16" x14ac:dyDescent="0.4">
      <c r="A2290">
        <v>1923</v>
      </c>
      <c r="B2290" t="s">
        <v>4915</v>
      </c>
      <c r="G2290" t="s">
        <v>1334</v>
      </c>
      <c r="H2290" t="s">
        <v>5112</v>
      </c>
      <c r="I2290">
        <v>298</v>
      </c>
      <c r="K2290" t="s">
        <v>5113</v>
      </c>
      <c r="L2290">
        <v>46295</v>
      </c>
      <c r="M2290">
        <v>101325</v>
      </c>
      <c r="N2290">
        <v>2</v>
      </c>
      <c r="O2290">
        <v>46295</v>
      </c>
      <c r="P2290">
        <v>296</v>
      </c>
    </row>
    <row r="2291" spans="1:16" x14ac:dyDescent="0.4">
      <c r="A2291">
        <v>1013</v>
      </c>
      <c r="B2291" t="s">
        <v>4915</v>
      </c>
      <c r="D2291" t="s">
        <v>4916</v>
      </c>
      <c r="G2291" t="s">
        <v>393</v>
      </c>
      <c r="H2291" t="s">
        <v>392</v>
      </c>
      <c r="I2291">
        <v>132</v>
      </c>
      <c r="K2291" t="s">
        <v>4958</v>
      </c>
      <c r="L2291">
        <v>46276</v>
      </c>
      <c r="M2291">
        <v>101333</v>
      </c>
      <c r="N2291">
        <v>20</v>
      </c>
      <c r="O2291">
        <v>46293</v>
      </c>
      <c r="P2291">
        <v>112</v>
      </c>
    </row>
    <row r="2292" spans="1:16" x14ac:dyDescent="0.4">
      <c r="A2292">
        <v>1793</v>
      </c>
      <c r="B2292" t="s">
        <v>4915</v>
      </c>
      <c r="G2292" t="s">
        <v>2778</v>
      </c>
      <c r="H2292" t="s">
        <v>2777</v>
      </c>
      <c r="I2292">
        <v>46</v>
      </c>
      <c r="K2292" t="s">
        <v>4949</v>
      </c>
      <c r="L2292">
        <v>46294</v>
      </c>
      <c r="M2292">
        <v>102584</v>
      </c>
      <c r="N2292">
        <v>15</v>
      </c>
      <c r="O2292">
        <v>46295</v>
      </c>
      <c r="P2292">
        <v>31</v>
      </c>
    </row>
    <row r="2293" spans="1:16" x14ac:dyDescent="0.4">
      <c r="A2293">
        <v>1768</v>
      </c>
      <c r="B2293" t="s">
        <v>4915</v>
      </c>
      <c r="G2293" t="s">
        <v>1354</v>
      </c>
      <c r="H2293" t="s">
        <v>1353</v>
      </c>
      <c r="I2293">
        <v>60</v>
      </c>
      <c r="K2293" t="s">
        <v>4957</v>
      </c>
      <c r="L2293">
        <v>46294</v>
      </c>
      <c r="M2293">
        <v>102584</v>
      </c>
      <c r="N2293">
        <v>15</v>
      </c>
      <c r="O2293">
        <v>46295</v>
      </c>
      <c r="P2293">
        <v>45</v>
      </c>
    </row>
    <row r="2294" spans="1:16" x14ac:dyDescent="0.4">
      <c r="A2294">
        <v>1670</v>
      </c>
      <c r="B2294" t="s">
        <v>4915</v>
      </c>
      <c r="G2294" t="s">
        <v>1580</v>
      </c>
      <c r="H2294" t="s">
        <v>1579</v>
      </c>
      <c r="I2294">
        <v>73</v>
      </c>
      <c r="K2294" t="s">
        <v>5041</v>
      </c>
      <c r="L2294">
        <v>46280</v>
      </c>
      <c r="M2294">
        <v>102584</v>
      </c>
      <c r="N2294">
        <v>15</v>
      </c>
      <c r="O2294">
        <v>46295</v>
      </c>
      <c r="P2294">
        <v>58</v>
      </c>
    </row>
    <row r="2295" spans="1:16" x14ac:dyDescent="0.4">
      <c r="A2295">
        <v>1662</v>
      </c>
      <c r="B2295" t="s">
        <v>4915</v>
      </c>
      <c r="G2295" t="s">
        <v>1289</v>
      </c>
      <c r="H2295" t="s">
        <v>1288</v>
      </c>
      <c r="I2295">
        <v>102</v>
      </c>
      <c r="K2295" t="s">
        <v>4999</v>
      </c>
      <c r="L2295">
        <v>46280</v>
      </c>
      <c r="M2295">
        <v>102584</v>
      </c>
      <c r="N2295">
        <v>15</v>
      </c>
      <c r="O2295">
        <v>46295</v>
      </c>
      <c r="P2295">
        <v>87</v>
      </c>
    </row>
    <row r="2296" spans="1:16" x14ac:dyDescent="0.4">
      <c r="A2296">
        <v>1661</v>
      </c>
      <c r="B2296" t="s">
        <v>4915</v>
      </c>
      <c r="G2296" t="s">
        <v>5157</v>
      </c>
      <c r="H2296" t="s">
        <v>703</v>
      </c>
      <c r="I2296">
        <v>109</v>
      </c>
      <c r="K2296" t="s">
        <v>5036</v>
      </c>
      <c r="L2296">
        <v>46280</v>
      </c>
      <c r="M2296">
        <v>102584</v>
      </c>
      <c r="N2296">
        <v>15</v>
      </c>
      <c r="O2296">
        <v>46295</v>
      </c>
      <c r="P2296">
        <v>94</v>
      </c>
    </row>
    <row r="2297" spans="1:16" x14ac:dyDescent="0.4">
      <c r="A2297">
        <v>1676</v>
      </c>
      <c r="B2297" t="s">
        <v>4915</v>
      </c>
      <c r="G2297" t="s">
        <v>1638</v>
      </c>
      <c r="H2297" t="s">
        <v>1637</v>
      </c>
      <c r="I2297">
        <v>121</v>
      </c>
      <c r="K2297" t="s">
        <v>5038</v>
      </c>
      <c r="L2297">
        <v>46280</v>
      </c>
      <c r="M2297">
        <v>102584</v>
      </c>
      <c r="N2297">
        <v>15</v>
      </c>
      <c r="O2297">
        <v>46295</v>
      </c>
      <c r="P2297">
        <v>106</v>
      </c>
    </row>
    <row r="2298" spans="1:16" x14ac:dyDescent="0.4">
      <c r="A2298">
        <v>1665</v>
      </c>
      <c r="B2298" t="s">
        <v>4915</v>
      </c>
      <c r="G2298" t="s">
        <v>1318</v>
      </c>
      <c r="H2298" t="s">
        <v>1317</v>
      </c>
      <c r="I2298">
        <v>133</v>
      </c>
      <c r="K2298" t="s">
        <v>4999</v>
      </c>
      <c r="L2298">
        <v>46280</v>
      </c>
      <c r="M2298">
        <v>102584</v>
      </c>
      <c r="N2298">
        <v>15</v>
      </c>
      <c r="O2298">
        <v>46295</v>
      </c>
      <c r="P2298">
        <v>118</v>
      </c>
    </row>
    <row r="2299" spans="1:16" x14ac:dyDescent="0.4">
      <c r="A2299">
        <v>1671</v>
      </c>
      <c r="B2299" t="s">
        <v>4915</v>
      </c>
      <c r="G2299" t="s">
        <v>1594</v>
      </c>
      <c r="H2299" t="s">
        <v>1593</v>
      </c>
      <c r="I2299">
        <v>149</v>
      </c>
      <c r="K2299" t="s">
        <v>5037</v>
      </c>
      <c r="L2299">
        <v>46280</v>
      </c>
      <c r="M2299">
        <v>102584</v>
      </c>
      <c r="N2299">
        <v>15</v>
      </c>
      <c r="O2299">
        <v>46295</v>
      </c>
      <c r="P2299">
        <v>134</v>
      </c>
    </row>
    <row r="2300" spans="1:16" x14ac:dyDescent="0.4">
      <c r="A2300">
        <v>1674</v>
      </c>
      <c r="B2300" t="s">
        <v>4915</v>
      </c>
      <c r="G2300" t="s">
        <v>1618</v>
      </c>
      <c r="H2300" t="s">
        <v>1617</v>
      </c>
      <c r="I2300">
        <v>158</v>
      </c>
      <c r="K2300" t="s">
        <v>4867</v>
      </c>
      <c r="L2300">
        <v>46280</v>
      </c>
      <c r="M2300">
        <v>102584</v>
      </c>
      <c r="N2300">
        <v>15</v>
      </c>
      <c r="O2300">
        <v>46295</v>
      </c>
      <c r="P2300">
        <v>143</v>
      </c>
    </row>
    <row r="2301" spans="1:16" x14ac:dyDescent="0.4">
      <c r="A2301">
        <v>1673</v>
      </c>
      <c r="B2301" t="s">
        <v>4915</v>
      </c>
      <c r="G2301" t="s">
        <v>1598</v>
      </c>
      <c r="H2301" t="s">
        <v>1597</v>
      </c>
      <c r="I2301">
        <v>197</v>
      </c>
      <c r="K2301" t="s">
        <v>5037</v>
      </c>
      <c r="L2301">
        <v>46280</v>
      </c>
      <c r="M2301">
        <v>102584</v>
      </c>
      <c r="N2301">
        <v>15</v>
      </c>
      <c r="O2301">
        <v>46295</v>
      </c>
      <c r="P2301">
        <v>182</v>
      </c>
    </row>
    <row r="2302" spans="1:16" x14ac:dyDescent="0.4">
      <c r="A2302">
        <v>1672</v>
      </c>
      <c r="B2302" t="s">
        <v>4915</v>
      </c>
      <c r="G2302" t="s">
        <v>1596</v>
      </c>
      <c r="H2302" t="s">
        <v>1595</v>
      </c>
      <c r="I2302">
        <v>292</v>
      </c>
      <c r="K2302" t="s">
        <v>5037</v>
      </c>
      <c r="L2302">
        <v>46280</v>
      </c>
      <c r="M2302">
        <v>102584</v>
      </c>
      <c r="N2302">
        <v>15</v>
      </c>
      <c r="O2302">
        <v>46295</v>
      </c>
      <c r="P2302">
        <v>277</v>
      </c>
    </row>
    <row r="2303" spans="1:16" x14ac:dyDescent="0.4">
      <c r="A2303">
        <v>1641</v>
      </c>
      <c r="B2303" t="s">
        <v>4915</v>
      </c>
      <c r="G2303" t="s">
        <v>1167</v>
      </c>
      <c r="H2303" t="s">
        <v>1166</v>
      </c>
      <c r="I2303">
        <v>304</v>
      </c>
      <c r="K2303" t="s">
        <v>4952</v>
      </c>
      <c r="L2303">
        <v>46280</v>
      </c>
      <c r="M2303">
        <v>102584</v>
      </c>
      <c r="N2303">
        <v>15</v>
      </c>
      <c r="O2303">
        <v>46295</v>
      </c>
      <c r="P2303">
        <v>289</v>
      </c>
    </row>
    <row r="2304" spans="1:16" x14ac:dyDescent="0.4">
      <c r="A2304">
        <v>1640</v>
      </c>
      <c r="B2304" t="s">
        <v>4915</v>
      </c>
      <c r="G2304" t="s">
        <v>1173</v>
      </c>
      <c r="H2304" t="s">
        <v>1172</v>
      </c>
      <c r="I2304">
        <v>309</v>
      </c>
      <c r="K2304" t="s">
        <v>4952</v>
      </c>
      <c r="L2304">
        <v>46280</v>
      </c>
      <c r="M2304">
        <v>102584</v>
      </c>
      <c r="N2304">
        <v>15</v>
      </c>
      <c r="O2304">
        <v>46295</v>
      </c>
      <c r="P2304">
        <v>294</v>
      </c>
    </row>
    <row r="2305" spans="1:16" x14ac:dyDescent="0.4">
      <c r="A2305">
        <v>1666</v>
      </c>
      <c r="B2305" t="s">
        <v>4915</v>
      </c>
      <c r="G2305" t="s">
        <v>1342</v>
      </c>
      <c r="H2305" t="s">
        <v>1341</v>
      </c>
      <c r="I2305">
        <v>359</v>
      </c>
      <c r="K2305" t="s">
        <v>5039</v>
      </c>
      <c r="L2305">
        <v>46280</v>
      </c>
      <c r="M2305">
        <v>102584</v>
      </c>
      <c r="N2305">
        <v>15</v>
      </c>
      <c r="O2305">
        <v>46295</v>
      </c>
      <c r="P2305">
        <v>344</v>
      </c>
    </row>
    <row r="2306" spans="1:16" x14ac:dyDescent="0.4">
      <c r="A2306">
        <v>1792</v>
      </c>
      <c r="B2306" t="s">
        <v>4915</v>
      </c>
      <c r="G2306" t="s">
        <v>2746</v>
      </c>
      <c r="H2306" t="s">
        <v>2745</v>
      </c>
      <c r="I2306">
        <v>367</v>
      </c>
      <c r="K2306" t="s">
        <v>4948</v>
      </c>
      <c r="L2306">
        <v>46294</v>
      </c>
      <c r="M2306">
        <v>102584</v>
      </c>
      <c r="N2306">
        <v>15</v>
      </c>
      <c r="O2306">
        <v>46295</v>
      </c>
      <c r="P2306">
        <v>352</v>
      </c>
    </row>
    <row r="2307" spans="1:16" x14ac:dyDescent="0.4">
      <c r="A2307">
        <v>1794</v>
      </c>
      <c r="B2307" t="s">
        <v>4915</v>
      </c>
      <c r="G2307" t="s">
        <v>2780</v>
      </c>
      <c r="H2307" t="s">
        <v>2779</v>
      </c>
      <c r="I2307">
        <v>501</v>
      </c>
      <c r="K2307" t="s">
        <v>4949</v>
      </c>
      <c r="L2307">
        <v>46294</v>
      </c>
      <c r="M2307">
        <v>102584</v>
      </c>
      <c r="N2307">
        <v>15</v>
      </c>
      <c r="O2307">
        <v>46295</v>
      </c>
      <c r="P2307">
        <v>486</v>
      </c>
    </row>
    <row r="2308" spans="1:16" x14ac:dyDescent="0.4">
      <c r="A2308">
        <v>1681</v>
      </c>
      <c r="B2308" t="s">
        <v>4915</v>
      </c>
      <c r="G2308" t="s">
        <v>2645</v>
      </c>
      <c r="H2308" t="s">
        <v>2644</v>
      </c>
      <c r="I2308">
        <v>568</v>
      </c>
      <c r="K2308" t="s">
        <v>4869</v>
      </c>
      <c r="L2308">
        <v>46280</v>
      </c>
      <c r="M2308">
        <v>102584</v>
      </c>
      <c r="N2308">
        <v>15</v>
      </c>
      <c r="O2308">
        <v>46295</v>
      </c>
      <c r="P2308">
        <v>553</v>
      </c>
    </row>
    <row r="2309" spans="1:16" x14ac:dyDescent="0.4">
      <c r="A2309">
        <v>1686</v>
      </c>
      <c r="B2309" t="s">
        <v>4915</v>
      </c>
      <c r="G2309" t="s">
        <v>2792</v>
      </c>
      <c r="H2309" t="s">
        <v>2791</v>
      </c>
      <c r="I2309">
        <v>895</v>
      </c>
      <c r="K2309" t="s">
        <v>4869</v>
      </c>
      <c r="L2309">
        <v>46280</v>
      </c>
      <c r="M2309">
        <v>102584</v>
      </c>
      <c r="N2309">
        <v>15</v>
      </c>
      <c r="O2309">
        <v>46295</v>
      </c>
      <c r="P2309">
        <v>880</v>
      </c>
    </row>
    <row r="2310" spans="1:16" x14ac:dyDescent="0.4">
      <c r="A2310">
        <v>1669</v>
      </c>
      <c r="B2310" t="s">
        <v>4915</v>
      </c>
      <c r="G2310" t="s">
        <v>1556</v>
      </c>
      <c r="H2310" t="s">
        <v>1555</v>
      </c>
      <c r="I2310">
        <v>925</v>
      </c>
      <c r="K2310" t="s">
        <v>4851</v>
      </c>
      <c r="L2310">
        <v>46280</v>
      </c>
      <c r="M2310">
        <v>102584</v>
      </c>
      <c r="N2310">
        <v>15</v>
      </c>
      <c r="O2310">
        <v>46295</v>
      </c>
      <c r="P2310">
        <v>910</v>
      </c>
    </row>
    <row r="2311" spans="1:16" x14ac:dyDescent="0.4">
      <c r="A2311">
        <v>2652</v>
      </c>
      <c r="B2311" t="s">
        <v>4915</v>
      </c>
      <c r="D2311" t="s">
        <v>4901</v>
      </c>
      <c r="E2311" t="s">
        <v>5174</v>
      </c>
      <c r="F2311" t="s">
        <v>5147</v>
      </c>
      <c r="G2311" t="s">
        <v>1119</v>
      </c>
      <c r="H2311" t="s">
        <v>1118</v>
      </c>
      <c r="I2311">
        <v>10</v>
      </c>
      <c r="K2311" t="s">
        <v>4958</v>
      </c>
      <c r="L2311">
        <v>46280</v>
      </c>
      <c r="M2311">
        <v>102595</v>
      </c>
      <c r="N2311">
        <v>10</v>
      </c>
      <c r="O2311">
        <v>46296</v>
      </c>
      <c r="P2311">
        <v>0</v>
      </c>
    </row>
    <row r="2312" spans="1:16" x14ac:dyDescent="0.4">
      <c r="A2312">
        <v>2653</v>
      </c>
      <c r="B2312" t="s">
        <v>4915</v>
      </c>
      <c r="D2312" t="s">
        <v>4901</v>
      </c>
      <c r="E2312" t="s">
        <v>4936</v>
      </c>
      <c r="F2312" t="s">
        <v>4939</v>
      </c>
      <c r="G2312" t="s">
        <v>1119</v>
      </c>
      <c r="H2312" t="s">
        <v>1118</v>
      </c>
      <c r="I2312">
        <v>119</v>
      </c>
      <c r="K2312" t="s">
        <v>4958</v>
      </c>
      <c r="L2312">
        <v>46307</v>
      </c>
      <c r="M2312">
        <v>102595</v>
      </c>
      <c r="N2312">
        <v>29</v>
      </c>
      <c r="O2312">
        <v>46296</v>
      </c>
      <c r="P2312">
        <v>90</v>
      </c>
    </row>
    <row r="2313" spans="1:16" x14ac:dyDescent="0.4">
      <c r="A2313">
        <v>1939</v>
      </c>
      <c r="B2313" t="s">
        <v>4915</v>
      </c>
      <c r="D2313" t="s">
        <v>4901</v>
      </c>
      <c r="E2313" t="s">
        <v>5153</v>
      </c>
      <c r="F2313" t="s">
        <v>5147</v>
      </c>
      <c r="G2313" t="s">
        <v>635</v>
      </c>
      <c r="H2313" t="s">
        <v>634</v>
      </c>
      <c r="I2313">
        <v>22</v>
      </c>
      <c r="K2313" t="s">
        <v>5024</v>
      </c>
      <c r="L2313">
        <v>46296</v>
      </c>
      <c r="M2313">
        <v>102902</v>
      </c>
      <c r="N2313">
        <v>22</v>
      </c>
      <c r="O2313">
        <v>46296</v>
      </c>
      <c r="P2313">
        <v>0</v>
      </c>
    </row>
    <row r="2314" spans="1:16" x14ac:dyDescent="0.4">
      <c r="A2314">
        <v>2094</v>
      </c>
      <c r="B2314" t="s">
        <v>4915</v>
      </c>
      <c r="G2314" t="s">
        <v>2848</v>
      </c>
      <c r="H2314" t="s">
        <v>2847</v>
      </c>
      <c r="I2314">
        <v>430</v>
      </c>
      <c r="K2314" t="s">
        <v>4869</v>
      </c>
      <c r="L2314">
        <v>46281</v>
      </c>
      <c r="M2314">
        <v>102902</v>
      </c>
      <c r="N2314">
        <v>50</v>
      </c>
      <c r="O2314">
        <v>46296</v>
      </c>
      <c r="P2314">
        <v>380</v>
      </c>
    </row>
    <row r="2315" spans="1:16" x14ac:dyDescent="0.4">
      <c r="A2315">
        <v>1142</v>
      </c>
      <c r="B2315" t="s">
        <v>4915</v>
      </c>
      <c r="G2315" t="s">
        <v>4971</v>
      </c>
      <c r="H2315" t="s">
        <v>4972</v>
      </c>
      <c r="I2315">
        <v>25</v>
      </c>
      <c r="K2315" t="s">
        <v>4973</v>
      </c>
      <c r="L2315">
        <v>46276</v>
      </c>
      <c r="M2315">
        <v>102914</v>
      </c>
      <c r="N2315">
        <v>9</v>
      </c>
      <c r="O2315">
        <v>46301</v>
      </c>
      <c r="P2315">
        <v>16</v>
      </c>
    </row>
    <row r="2316" spans="1:16" x14ac:dyDescent="0.4">
      <c r="A2316">
        <v>2223</v>
      </c>
      <c r="B2316" t="s">
        <v>4915</v>
      </c>
      <c r="G2316" t="s">
        <v>773</v>
      </c>
      <c r="H2316" t="s">
        <v>772</v>
      </c>
      <c r="I2316">
        <v>38</v>
      </c>
      <c r="K2316" t="s">
        <v>4996</v>
      </c>
      <c r="L2316">
        <v>46295</v>
      </c>
      <c r="M2316">
        <v>102914</v>
      </c>
      <c r="N2316">
        <v>10</v>
      </c>
      <c r="O2316">
        <v>46301</v>
      </c>
      <c r="P2316">
        <v>28</v>
      </c>
    </row>
    <row r="2317" spans="1:16" x14ac:dyDescent="0.4">
      <c r="A2317">
        <v>2231</v>
      </c>
      <c r="B2317" t="s">
        <v>4915</v>
      </c>
      <c r="G2317" t="s">
        <v>2771</v>
      </c>
      <c r="H2317" t="s">
        <v>2770</v>
      </c>
      <c r="I2317">
        <v>40</v>
      </c>
      <c r="K2317" t="s">
        <v>4949</v>
      </c>
      <c r="L2317">
        <v>46295</v>
      </c>
      <c r="M2317">
        <v>102914</v>
      </c>
      <c r="N2317">
        <v>20</v>
      </c>
      <c r="O2317">
        <v>46301</v>
      </c>
      <c r="P2317">
        <v>20</v>
      </c>
    </row>
    <row r="2318" spans="1:16" x14ac:dyDescent="0.4">
      <c r="A2318">
        <v>2232</v>
      </c>
      <c r="B2318" t="s">
        <v>4915</v>
      </c>
      <c r="G2318" t="s">
        <v>1043</v>
      </c>
      <c r="H2318" t="s">
        <v>1042</v>
      </c>
      <c r="I2318">
        <v>62</v>
      </c>
      <c r="K2318" t="s">
        <v>4995</v>
      </c>
      <c r="L2318">
        <v>46295</v>
      </c>
      <c r="M2318">
        <v>102914</v>
      </c>
      <c r="N2318">
        <v>20</v>
      </c>
      <c r="O2318">
        <v>46301</v>
      </c>
      <c r="P2318">
        <v>42</v>
      </c>
    </row>
    <row r="2319" spans="1:16" x14ac:dyDescent="0.4">
      <c r="A2319">
        <v>2225</v>
      </c>
      <c r="B2319" t="s">
        <v>4915</v>
      </c>
      <c r="G2319" t="s">
        <v>716</v>
      </c>
      <c r="H2319" t="s">
        <v>4974</v>
      </c>
      <c r="I2319">
        <v>65</v>
      </c>
      <c r="K2319" t="s">
        <v>4975</v>
      </c>
      <c r="L2319">
        <v>46295</v>
      </c>
      <c r="M2319">
        <v>102914</v>
      </c>
      <c r="N2319">
        <v>20</v>
      </c>
      <c r="O2319">
        <v>46301</v>
      </c>
      <c r="P2319">
        <v>45</v>
      </c>
    </row>
    <row r="2320" spans="1:16" x14ac:dyDescent="0.4">
      <c r="A2320">
        <v>2226</v>
      </c>
      <c r="B2320" t="s">
        <v>4915</v>
      </c>
      <c r="G2320" t="s">
        <v>985</v>
      </c>
      <c r="H2320" t="s">
        <v>984</v>
      </c>
      <c r="I2320">
        <v>67</v>
      </c>
      <c r="K2320" t="s">
        <v>4932</v>
      </c>
      <c r="L2320">
        <v>46295</v>
      </c>
      <c r="M2320">
        <v>102914</v>
      </c>
      <c r="N2320">
        <v>20</v>
      </c>
      <c r="O2320">
        <v>46301</v>
      </c>
      <c r="P2320">
        <v>47</v>
      </c>
    </row>
    <row r="2321" spans="1:16" x14ac:dyDescent="0.4">
      <c r="A2321">
        <v>2227</v>
      </c>
      <c r="B2321" t="s">
        <v>4915</v>
      </c>
      <c r="G2321" t="s">
        <v>1057</v>
      </c>
      <c r="H2321" t="s">
        <v>1056</v>
      </c>
      <c r="I2321">
        <v>73</v>
      </c>
      <c r="K2321" t="s">
        <v>4991</v>
      </c>
      <c r="L2321">
        <v>46295</v>
      </c>
      <c r="M2321">
        <v>102914</v>
      </c>
      <c r="N2321">
        <v>20</v>
      </c>
      <c r="O2321">
        <v>46301</v>
      </c>
      <c r="P2321">
        <v>53</v>
      </c>
    </row>
    <row r="2322" spans="1:16" x14ac:dyDescent="0.4">
      <c r="A2322">
        <v>2236</v>
      </c>
      <c r="B2322" t="s">
        <v>4915</v>
      </c>
      <c r="G2322" t="s">
        <v>699</v>
      </c>
      <c r="H2322" t="s">
        <v>4976</v>
      </c>
      <c r="I2322">
        <v>75</v>
      </c>
      <c r="K2322" t="s">
        <v>4975</v>
      </c>
      <c r="L2322">
        <v>46295</v>
      </c>
      <c r="M2322">
        <v>102914</v>
      </c>
      <c r="N2322">
        <v>20</v>
      </c>
      <c r="O2322">
        <v>46301</v>
      </c>
      <c r="P2322">
        <v>55</v>
      </c>
    </row>
    <row r="2323" spans="1:16" x14ac:dyDescent="0.4">
      <c r="A2323">
        <v>2233</v>
      </c>
      <c r="B2323" t="s">
        <v>4915</v>
      </c>
      <c r="G2323" t="s">
        <v>696</v>
      </c>
      <c r="H2323" t="s">
        <v>4980</v>
      </c>
      <c r="I2323">
        <v>77</v>
      </c>
      <c r="K2323" t="s">
        <v>4981</v>
      </c>
      <c r="L2323">
        <v>46295</v>
      </c>
      <c r="M2323">
        <v>102914</v>
      </c>
      <c r="N2323">
        <v>20</v>
      </c>
      <c r="O2323">
        <v>46301</v>
      </c>
      <c r="P2323">
        <v>57</v>
      </c>
    </row>
    <row r="2324" spans="1:16" x14ac:dyDescent="0.4">
      <c r="A2324">
        <v>2220</v>
      </c>
      <c r="B2324" t="s">
        <v>4915</v>
      </c>
      <c r="G2324" t="s">
        <v>842</v>
      </c>
      <c r="H2324" t="s">
        <v>841</v>
      </c>
      <c r="I2324">
        <v>86</v>
      </c>
      <c r="K2324" t="s">
        <v>4998</v>
      </c>
      <c r="L2324">
        <v>46295</v>
      </c>
      <c r="M2324">
        <v>102914</v>
      </c>
      <c r="N2324">
        <v>20</v>
      </c>
      <c r="O2324">
        <v>46301</v>
      </c>
      <c r="P2324">
        <v>66</v>
      </c>
    </row>
    <row r="2325" spans="1:16" x14ac:dyDescent="0.4">
      <c r="A2325">
        <v>2229</v>
      </c>
      <c r="B2325" t="s">
        <v>4915</v>
      </c>
      <c r="G2325" t="s">
        <v>880</v>
      </c>
      <c r="H2325" t="s">
        <v>879</v>
      </c>
      <c r="I2325">
        <v>91</v>
      </c>
      <c r="K2325" t="s">
        <v>4988</v>
      </c>
      <c r="L2325">
        <v>46295</v>
      </c>
      <c r="M2325">
        <v>102914</v>
      </c>
      <c r="N2325">
        <v>20</v>
      </c>
      <c r="O2325">
        <v>46301</v>
      </c>
      <c r="P2325">
        <v>71</v>
      </c>
    </row>
    <row r="2326" spans="1:16" x14ac:dyDescent="0.4">
      <c r="A2326">
        <v>2238</v>
      </c>
      <c r="B2326" t="s">
        <v>4915</v>
      </c>
      <c r="G2326" t="s">
        <v>5156</v>
      </c>
      <c r="H2326" t="s">
        <v>701</v>
      </c>
      <c r="I2326">
        <v>106</v>
      </c>
      <c r="K2326" t="s">
        <v>4985</v>
      </c>
      <c r="L2326">
        <v>46295</v>
      </c>
      <c r="M2326">
        <v>102914</v>
      </c>
      <c r="N2326">
        <v>20</v>
      </c>
      <c r="O2326">
        <v>46301</v>
      </c>
      <c r="P2326">
        <v>86</v>
      </c>
    </row>
    <row r="2327" spans="1:16" x14ac:dyDescent="0.4">
      <c r="A2327">
        <v>2234</v>
      </c>
      <c r="B2327" t="s">
        <v>4915</v>
      </c>
      <c r="G2327" t="s">
        <v>709</v>
      </c>
      <c r="H2327" t="s">
        <v>708</v>
      </c>
      <c r="I2327">
        <v>106</v>
      </c>
      <c r="K2327" t="s">
        <v>4985</v>
      </c>
      <c r="L2327">
        <v>46295</v>
      </c>
      <c r="M2327">
        <v>102914</v>
      </c>
      <c r="N2327">
        <v>20</v>
      </c>
      <c r="O2327">
        <v>46301</v>
      </c>
      <c r="P2327">
        <v>86</v>
      </c>
    </row>
    <row r="2328" spans="1:16" x14ac:dyDescent="0.4">
      <c r="A2328">
        <v>2230</v>
      </c>
      <c r="B2328" t="s">
        <v>4915</v>
      </c>
      <c r="G2328" t="s">
        <v>840</v>
      </c>
      <c r="H2328" t="s">
        <v>839</v>
      </c>
      <c r="I2328">
        <v>126</v>
      </c>
      <c r="K2328" t="s">
        <v>4740</v>
      </c>
      <c r="L2328">
        <v>46295</v>
      </c>
      <c r="M2328">
        <v>102914</v>
      </c>
      <c r="N2328">
        <v>20</v>
      </c>
      <c r="O2328">
        <v>46301</v>
      </c>
      <c r="P2328">
        <v>106</v>
      </c>
    </row>
    <row r="2329" spans="1:16" x14ac:dyDescent="0.4">
      <c r="A2329">
        <v>2241</v>
      </c>
      <c r="B2329" t="s">
        <v>4915</v>
      </c>
      <c r="G2329" t="s">
        <v>782</v>
      </c>
      <c r="H2329" t="s">
        <v>781</v>
      </c>
      <c r="I2329">
        <v>135</v>
      </c>
      <c r="K2329" t="s">
        <v>4987</v>
      </c>
      <c r="L2329">
        <v>46295</v>
      </c>
      <c r="M2329">
        <v>102914</v>
      </c>
      <c r="N2329">
        <v>20</v>
      </c>
      <c r="O2329">
        <v>46301</v>
      </c>
      <c r="P2329">
        <v>115</v>
      </c>
    </row>
    <row r="2330" spans="1:16" x14ac:dyDescent="0.4">
      <c r="A2330">
        <v>2242</v>
      </c>
      <c r="B2330" t="s">
        <v>4915</v>
      </c>
      <c r="G2330" t="s">
        <v>664</v>
      </c>
      <c r="H2330" t="s">
        <v>663</v>
      </c>
      <c r="I2330">
        <v>136</v>
      </c>
      <c r="K2330" t="s">
        <v>4985</v>
      </c>
      <c r="L2330">
        <v>46295</v>
      </c>
      <c r="M2330">
        <v>102914</v>
      </c>
      <c r="N2330">
        <v>20</v>
      </c>
      <c r="O2330">
        <v>46301</v>
      </c>
      <c r="P2330">
        <v>116</v>
      </c>
    </row>
    <row r="2331" spans="1:16" x14ac:dyDescent="0.4">
      <c r="A2331">
        <v>2235</v>
      </c>
      <c r="B2331" t="s">
        <v>4915</v>
      </c>
      <c r="G2331" t="s">
        <v>877</v>
      </c>
      <c r="H2331" t="s">
        <v>876</v>
      </c>
      <c r="I2331">
        <v>141</v>
      </c>
      <c r="K2331" t="s">
        <v>4988</v>
      </c>
      <c r="L2331">
        <v>46295</v>
      </c>
      <c r="M2331">
        <v>102914</v>
      </c>
      <c r="N2331">
        <v>20</v>
      </c>
      <c r="O2331">
        <v>46301</v>
      </c>
      <c r="P2331">
        <v>121</v>
      </c>
    </row>
    <row r="2332" spans="1:16" x14ac:dyDescent="0.4">
      <c r="A2332">
        <v>2222</v>
      </c>
      <c r="B2332" t="s">
        <v>4915</v>
      </c>
      <c r="G2332" t="s">
        <v>1054</v>
      </c>
      <c r="H2332" t="s">
        <v>1053</v>
      </c>
      <c r="I2332">
        <v>150</v>
      </c>
      <c r="K2332" t="s">
        <v>4992</v>
      </c>
      <c r="L2332">
        <v>46295</v>
      </c>
      <c r="M2332">
        <v>102914</v>
      </c>
      <c r="N2332">
        <v>20</v>
      </c>
      <c r="O2332">
        <v>46301</v>
      </c>
      <c r="P2332">
        <v>130</v>
      </c>
    </row>
    <row r="2333" spans="1:16" x14ac:dyDescent="0.4">
      <c r="A2333">
        <v>2239</v>
      </c>
      <c r="B2333" t="s">
        <v>4915</v>
      </c>
      <c r="G2333" t="s">
        <v>967</v>
      </c>
      <c r="H2333" t="s">
        <v>966</v>
      </c>
      <c r="I2333">
        <v>155</v>
      </c>
      <c r="K2333" t="s">
        <v>4965</v>
      </c>
      <c r="L2333">
        <v>46295</v>
      </c>
      <c r="M2333">
        <v>102914</v>
      </c>
      <c r="N2333">
        <v>40</v>
      </c>
      <c r="O2333">
        <v>46301</v>
      </c>
      <c r="P2333">
        <v>115</v>
      </c>
    </row>
    <row r="2334" spans="1:16" x14ac:dyDescent="0.4">
      <c r="A2334">
        <v>2240</v>
      </c>
      <c r="B2334" t="s">
        <v>4915</v>
      </c>
      <c r="G2334" t="s">
        <v>1046</v>
      </c>
      <c r="H2334" t="s">
        <v>1045</v>
      </c>
      <c r="I2334">
        <v>166</v>
      </c>
      <c r="K2334" t="s">
        <v>4990</v>
      </c>
      <c r="L2334">
        <v>46295</v>
      </c>
      <c r="M2334">
        <v>102914</v>
      </c>
      <c r="N2334">
        <v>40</v>
      </c>
      <c r="O2334">
        <v>46301</v>
      </c>
      <c r="P2334">
        <v>126</v>
      </c>
    </row>
    <row r="2335" spans="1:16" x14ac:dyDescent="0.4">
      <c r="A2335">
        <v>2224</v>
      </c>
      <c r="B2335" t="s">
        <v>4915</v>
      </c>
      <c r="G2335" t="s">
        <v>639</v>
      </c>
      <c r="H2335" t="s">
        <v>638</v>
      </c>
      <c r="I2335">
        <v>170</v>
      </c>
      <c r="K2335" t="s">
        <v>4984</v>
      </c>
      <c r="L2335">
        <v>46295</v>
      </c>
      <c r="M2335">
        <v>102914</v>
      </c>
      <c r="N2335">
        <v>20</v>
      </c>
      <c r="O2335">
        <v>46301</v>
      </c>
      <c r="P2335">
        <v>150</v>
      </c>
    </row>
    <row r="2336" spans="1:16" x14ac:dyDescent="0.4">
      <c r="A2336">
        <v>2244</v>
      </c>
      <c r="B2336" t="s">
        <v>4915</v>
      </c>
      <c r="G2336" t="s">
        <v>729</v>
      </c>
      <c r="H2336" t="s">
        <v>728</v>
      </c>
      <c r="I2336">
        <v>215</v>
      </c>
      <c r="K2336" t="s">
        <v>4985</v>
      </c>
      <c r="L2336">
        <v>46295</v>
      </c>
      <c r="M2336">
        <v>102914</v>
      </c>
      <c r="N2336">
        <v>20</v>
      </c>
      <c r="O2336">
        <v>46301</v>
      </c>
      <c r="P2336">
        <v>195</v>
      </c>
    </row>
    <row r="2337" spans="1:16" x14ac:dyDescent="0.4">
      <c r="A2337">
        <v>2245</v>
      </c>
      <c r="B2337" t="s">
        <v>4915</v>
      </c>
      <c r="G2337" t="s">
        <v>645</v>
      </c>
      <c r="H2337" t="s">
        <v>4982</v>
      </c>
      <c r="I2337">
        <v>216</v>
      </c>
      <c r="K2337" t="s">
        <v>4983</v>
      </c>
      <c r="L2337">
        <v>46295</v>
      </c>
      <c r="M2337">
        <v>102914</v>
      </c>
      <c r="N2337">
        <v>20</v>
      </c>
      <c r="O2337">
        <v>46301</v>
      </c>
      <c r="P2337">
        <v>196</v>
      </c>
    </row>
    <row r="2338" spans="1:16" x14ac:dyDescent="0.4">
      <c r="A2338">
        <v>2246</v>
      </c>
      <c r="B2338" t="s">
        <v>4915</v>
      </c>
      <c r="G2338" t="s">
        <v>4997</v>
      </c>
      <c r="H2338" t="s">
        <v>624</v>
      </c>
      <c r="I2338">
        <v>244</v>
      </c>
      <c r="K2338" t="s">
        <v>4998</v>
      </c>
      <c r="L2338">
        <v>46295</v>
      </c>
      <c r="M2338">
        <v>102914</v>
      </c>
      <c r="N2338">
        <v>20</v>
      </c>
      <c r="O2338">
        <v>46301</v>
      </c>
      <c r="P2338">
        <v>224</v>
      </c>
    </row>
    <row r="2339" spans="1:16" x14ac:dyDescent="0.4">
      <c r="A2339">
        <v>2243</v>
      </c>
      <c r="B2339" t="s">
        <v>4915</v>
      </c>
      <c r="G2339" t="s">
        <v>884</v>
      </c>
      <c r="H2339" t="s">
        <v>883</v>
      </c>
      <c r="I2339">
        <v>258</v>
      </c>
      <c r="K2339" t="s">
        <v>4943</v>
      </c>
      <c r="L2339">
        <v>46295</v>
      </c>
      <c r="M2339">
        <v>102914</v>
      </c>
      <c r="N2339">
        <v>20</v>
      </c>
      <c r="O2339">
        <v>46301</v>
      </c>
      <c r="P2339">
        <v>238</v>
      </c>
    </row>
    <row r="2340" spans="1:16" x14ac:dyDescent="0.4">
      <c r="A2340">
        <v>2247</v>
      </c>
      <c r="B2340" t="s">
        <v>4915</v>
      </c>
      <c r="G2340" t="s">
        <v>4993</v>
      </c>
      <c r="H2340" t="s">
        <v>2651</v>
      </c>
      <c r="I2340">
        <v>259</v>
      </c>
      <c r="K2340" t="s">
        <v>4948</v>
      </c>
      <c r="L2340">
        <v>46295</v>
      </c>
      <c r="M2340">
        <v>102914</v>
      </c>
      <c r="N2340">
        <v>20</v>
      </c>
      <c r="O2340">
        <v>46301</v>
      </c>
      <c r="P2340">
        <v>239</v>
      </c>
    </row>
    <row r="2341" spans="1:16" x14ac:dyDescent="0.4">
      <c r="A2341">
        <v>2248</v>
      </c>
      <c r="B2341" t="s">
        <v>4915</v>
      </c>
      <c r="G2341" t="s">
        <v>2477</v>
      </c>
      <c r="H2341" t="s">
        <v>2476</v>
      </c>
      <c r="I2341">
        <v>329</v>
      </c>
      <c r="K2341" t="s">
        <v>4943</v>
      </c>
      <c r="L2341">
        <v>46295</v>
      </c>
      <c r="M2341">
        <v>102914</v>
      </c>
      <c r="N2341">
        <v>20</v>
      </c>
      <c r="O2341">
        <v>46301</v>
      </c>
      <c r="P2341">
        <v>309</v>
      </c>
    </row>
    <row r="2342" spans="1:16" x14ac:dyDescent="0.4">
      <c r="A2342">
        <v>2249</v>
      </c>
      <c r="B2342" t="s">
        <v>4915</v>
      </c>
      <c r="G2342" t="s">
        <v>4977</v>
      </c>
      <c r="H2342" t="s">
        <v>4978</v>
      </c>
      <c r="I2342">
        <v>334</v>
      </c>
      <c r="K2342" t="s">
        <v>4979</v>
      </c>
      <c r="L2342">
        <v>46295</v>
      </c>
      <c r="M2342">
        <v>102914</v>
      </c>
      <c r="N2342">
        <v>20</v>
      </c>
      <c r="O2342">
        <v>46301</v>
      </c>
      <c r="P2342">
        <v>314</v>
      </c>
    </row>
    <row r="2343" spans="1:16" x14ac:dyDescent="0.4">
      <c r="A2343">
        <v>2250</v>
      </c>
      <c r="B2343" t="s">
        <v>4915</v>
      </c>
      <c r="G2343" t="s">
        <v>4994</v>
      </c>
      <c r="H2343" t="s">
        <v>2697</v>
      </c>
      <c r="I2343">
        <v>520</v>
      </c>
      <c r="K2343" t="s">
        <v>4948</v>
      </c>
      <c r="L2343">
        <v>46295</v>
      </c>
      <c r="M2343">
        <v>102914</v>
      </c>
      <c r="N2343">
        <v>20</v>
      </c>
      <c r="O2343">
        <v>46301</v>
      </c>
      <c r="P2343">
        <v>500</v>
      </c>
    </row>
    <row r="2344" spans="1:16" x14ac:dyDescent="0.4">
      <c r="A2344">
        <v>2252</v>
      </c>
      <c r="B2344" t="s">
        <v>4915</v>
      </c>
      <c r="G2344" t="s">
        <v>795</v>
      </c>
      <c r="H2344" t="s">
        <v>794</v>
      </c>
      <c r="I2344">
        <v>566</v>
      </c>
      <c r="K2344" t="s">
        <v>4989</v>
      </c>
      <c r="L2344">
        <v>46295</v>
      </c>
      <c r="M2344">
        <v>102914</v>
      </c>
      <c r="N2344">
        <v>40</v>
      </c>
      <c r="O2344">
        <v>46301</v>
      </c>
      <c r="P2344">
        <v>526</v>
      </c>
    </row>
    <row r="2345" spans="1:16" x14ac:dyDescent="0.4">
      <c r="A2345">
        <v>2251</v>
      </c>
      <c r="B2345" t="s">
        <v>4915</v>
      </c>
      <c r="G2345" t="s">
        <v>661</v>
      </c>
      <c r="H2345" t="s">
        <v>660</v>
      </c>
      <c r="I2345">
        <v>666</v>
      </c>
      <c r="K2345" t="s">
        <v>5130</v>
      </c>
      <c r="L2345">
        <v>46295</v>
      </c>
      <c r="M2345">
        <v>102914</v>
      </c>
      <c r="N2345">
        <v>20</v>
      </c>
      <c r="O2345">
        <v>46301</v>
      </c>
      <c r="P2345">
        <v>646</v>
      </c>
    </row>
    <row r="2346" spans="1:16" x14ac:dyDescent="0.4">
      <c r="A2346">
        <v>2253</v>
      </c>
      <c r="B2346" t="s">
        <v>4915</v>
      </c>
      <c r="G2346" t="s">
        <v>650</v>
      </c>
      <c r="H2346" t="s">
        <v>649</v>
      </c>
      <c r="I2346">
        <v>682</v>
      </c>
      <c r="K2346" t="s">
        <v>4986</v>
      </c>
      <c r="L2346">
        <v>46295</v>
      </c>
      <c r="M2346">
        <v>102914</v>
      </c>
      <c r="N2346">
        <v>40</v>
      </c>
      <c r="O2346">
        <v>46301</v>
      </c>
      <c r="P2346">
        <v>642</v>
      </c>
    </row>
    <row r="2347" spans="1:16" x14ac:dyDescent="0.4">
      <c r="A2347">
        <v>1897</v>
      </c>
      <c r="B2347" t="s">
        <v>4915</v>
      </c>
      <c r="G2347" t="s">
        <v>1123</v>
      </c>
      <c r="H2347" t="s">
        <v>4917</v>
      </c>
      <c r="I2347">
        <v>6</v>
      </c>
      <c r="K2347" t="s">
        <v>4918</v>
      </c>
      <c r="L2347">
        <v>46295</v>
      </c>
      <c r="M2347">
        <v>102915</v>
      </c>
      <c r="N2347">
        <v>6</v>
      </c>
      <c r="O2347">
        <v>46303</v>
      </c>
      <c r="P2347">
        <v>0</v>
      </c>
    </row>
    <row r="2348" spans="1:16" x14ac:dyDescent="0.4">
      <c r="A2348">
        <v>1572</v>
      </c>
      <c r="B2348" t="s">
        <v>4915</v>
      </c>
      <c r="D2348" t="s">
        <v>4901</v>
      </c>
      <c r="E2348" t="s">
        <v>4936</v>
      </c>
      <c r="F2348" t="s">
        <v>4937</v>
      </c>
      <c r="G2348" t="s">
        <v>362</v>
      </c>
      <c r="H2348" t="s">
        <v>5022</v>
      </c>
      <c r="I2348">
        <v>15</v>
      </c>
      <c r="K2348" t="s">
        <v>5023</v>
      </c>
      <c r="L2348">
        <v>46294</v>
      </c>
      <c r="M2348">
        <v>102915</v>
      </c>
      <c r="N2348">
        <v>15</v>
      </c>
      <c r="O2348">
        <v>46303</v>
      </c>
      <c r="P2348">
        <v>0</v>
      </c>
    </row>
    <row r="2349" spans="1:16" x14ac:dyDescent="0.4">
      <c r="A2349">
        <v>2493</v>
      </c>
      <c r="B2349" t="s">
        <v>4915</v>
      </c>
      <c r="D2349" t="s">
        <v>4928</v>
      </c>
      <c r="G2349" t="s">
        <v>1186</v>
      </c>
      <c r="H2349" t="s">
        <v>1185</v>
      </c>
      <c r="I2349">
        <v>21</v>
      </c>
      <c r="K2349" t="s">
        <v>4970</v>
      </c>
      <c r="L2349">
        <v>46303</v>
      </c>
      <c r="M2349">
        <v>102915</v>
      </c>
      <c r="N2349">
        <v>21</v>
      </c>
      <c r="O2349">
        <v>46303</v>
      </c>
      <c r="P2349">
        <v>0</v>
      </c>
    </row>
    <row r="2350" spans="1:16" x14ac:dyDescent="0.4">
      <c r="A2350">
        <v>2023</v>
      </c>
      <c r="B2350" t="s">
        <v>4915</v>
      </c>
      <c r="D2350" t="s">
        <v>4901</v>
      </c>
      <c r="E2350" t="s">
        <v>5146</v>
      </c>
      <c r="F2350" t="s">
        <v>5147</v>
      </c>
      <c r="G2350" t="s">
        <v>2641</v>
      </c>
      <c r="H2350" t="s">
        <v>2640</v>
      </c>
      <c r="I2350">
        <v>120</v>
      </c>
      <c r="K2350" t="s">
        <v>4869</v>
      </c>
      <c r="L2350">
        <v>46296</v>
      </c>
      <c r="M2350">
        <v>102915</v>
      </c>
      <c r="N2350">
        <v>20</v>
      </c>
      <c r="O2350">
        <v>46303</v>
      </c>
      <c r="P2350">
        <v>100</v>
      </c>
    </row>
    <row r="2351" spans="1:16" x14ac:dyDescent="0.4">
      <c r="A2351">
        <v>2121</v>
      </c>
      <c r="B2351" t="s">
        <v>4915</v>
      </c>
      <c r="G2351" t="s">
        <v>1190</v>
      </c>
      <c r="H2351" t="s">
        <v>1189</v>
      </c>
      <c r="I2351">
        <v>185</v>
      </c>
      <c r="K2351" t="s">
        <v>4953</v>
      </c>
      <c r="L2351">
        <v>46282</v>
      </c>
      <c r="M2351">
        <v>102915</v>
      </c>
      <c r="N2351">
        <v>20</v>
      </c>
      <c r="O2351">
        <v>46303</v>
      </c>
      <c r="P2351">
        <v>165</v>
      </c>
    </row>
    <row r="2352" spans="1:16" x14ac:dyDescent="0.4">
      <c r="A2352">
        <v>1575</v>
      </c>
      <c r="B2352" t="s">
        <v>4915</v>
      </c>
      <c r="G2352" t="s">
        <v>1123</v>
      </c>
      <c r="H2352" t="s">
        <v>4917</v>
      </c>
      <c r="I2352">
        <v>206</v>
      </c>
      <c r="K2352" t="s">
        <v>4918</v>
      </c>
      <c r="L2352">
        <v>46282</v>
      </c>
      <c r="M2352">
        <v>102915</v>
      </c>
      <c r="N2352">
        <v>14</v>
      </c>
      <c r="O2352">
        <v>46303</v>
      </c>
      <c r="P2352">
        <v>192</v>
      </c>
    </row>
    <row r="2353" spans="1:16" x14ac:dyDescent="0.4">
      <c r="A2353">
        <v>1634</v>
      </c>
      <c r="B2353" t="s">
        <v>4915</v>
      </c>
      <c r="G2353" t="s">
        <v>4950</v>
      </c>
      <c r="H2353" t="s">
        <v>2691</v>
      </c>
      <c r="I2353">
        <v>302</v>
      </c>
      <c r="K2353" t="s">
        <v>4951</v>
      </c>
      <c r="L2353">
        <v>46280</v>
      </c>
      <c r="M2353">
        <v>102915</v>
      </c>
      <c r="N2353">
        <v>20</v>
      </c>
      <c r="O2353">
        <v>46303</v>
      </c>
      <c r="P2353">
        <v>282</v>
      </c>
    </row>
    <row r="2354" spans="1:16" x14ac:dyDescent="0.4">
      <c r="A2354">
        <v>2193</v>
      </c>
      <c r="B2354" t="s">
        <v>4915</v>
      </c>
      <c r="G2354" t="s">
        <v>2655</v>
      </c>
      <c r="H2354" t="s">
        <v>2654</v>
      </c>
      <c r="I2354">
        <v>3</v>
      </c>
      <c r="K2354" t="s">
        <v>4948</v>
      </c>
      <c r="L2354">
        <v>46294</v>
      </c>
      <c r="M2354">
        <v>102916</v>
      </c>
      <c r="N2354">
        <v>3</v>
      </c>
      <c r="O2354">
        <v>46302</v>
      </c>
      <c r="P2354">
        <v>0</v>
      </c>
    </row>
    <row r="2355" spans="1:16" x14ac:dyDescent="0.4">
      <c r="A2355">
        <v>2201</v>
      </c>
      <c r="B2355" t="s">
        <v>4915</v>
      </c>
      <c r="G2355" t="s">
        <v>385</v>
      </c>
      <c r="H2355" t="s">
        <v>384</v>
      </c>
      <c r="I2355">
        <v>6</v>
      </c>
      <c r="K2355" t="s">
        <v>4944</v>
      </c>
      <c r="L2355">
        <v>46294</v>
      </c>
      <c r="M2355">
        <v>102916</v>
      </c>
      <c r="N2355">
        <v>6</v>
      </c>
      <c r="O2355">
        <v>46302</v>
      </c>
      <c r="P2355">
        <v>0</v>
      </c>
    </row>
    <row r="2356" spans="1:16" x14ac:dyDescent="0.4">
      <c r="A2356">
        <v>2182</v>
      </c>
      <c r="B2356" t="s">
        <v>4915</v>
      </c>
      <c r="G2356" t="s">
        <v>1207</v>
      </c>
      <c r="H2356" t="s">
        <v>1206</v>
      </c>
      <c r="I2356">
        <v>9</v>
      </c>
      <c r="K2356" t="s">
        <v>4953</v>
      </c>
      <c r="L2356">
        <v>46294</v>
      </c>
      <c r="M2356">
        <v>102916</v>
      </c>
      <c r="N2356">
        <v>9</v>
      </c>
      <c r="O2356">
        <v>46302</v>
      </c>
      <c r="P2356">
        <v>0</v>
      </c>
    </row>
    <row r="2357" spans="1:16" x14ac:dyDescent="0.4">
      <c r="A2357">
        <v>2195</v>
      </c>
      <c r="B2357" t="s">
        <v>4915</v>
      </c>
      <c r="G2357" t="s">
        <v>2706</v>
      </c>
      <c r="H2357" t="s">
        <v>2705</v>
      </c>
      <c r="I2357">
        <v>10</v>
      </c>
      <c r="K2357" t="s">
        <v>4948</v>
      </c>
      <c r="L2357">
        <v>46294</v>
      </c>
      <c r="M2357">
        <v>102916</v>
      </c>
      <c r="N2357">
        <v>10</v>
      </c>
      <c r="O2357">
        <v>46302</v>
      </c>
      <c r="P2357">
        <v>0</v>
      </c>
    </row>
    <row r="2358" spans="1:16" x14ac:dyDescent="0.4">
      <c r="A2358">
        <v>2178</v>
      </c>
      <c r="B2358" t="s">
        <v>4915</v>
      </c>
      <c r="G2358" t="s">
        <v>2696</v>
      </c>
      <c r="H2358" t="s">
        <v>2695</v>
      </c>
      <c r="I2358">
        <v>42</v>
      </c>
      <c r="K2358" t="s">
        <v>4869</v>
      </c>
      <c r="L2358">
        <v>46294</v>
      </c>
      <c r="M2358">
        <v>102916</v>
      </c>
      <c r="N2358">
        <v>20</v>
      </c>
      <c r="O2358">
        <v>46302</v>
      </c>
      <c r="P2358">
        <v>22</v>
      </c>
    </row>
    <row r="2359" spans="1:16" x14ac:dyDescent="0.4">
      <c r="A2359">
        <v>2202</v>
      </c>
      <c r="B2359" t="s">
        <v>4915</v>
      </c>
      <c r="G2359" t="s">
        <v>1858</v>
      </c>
      <c r="H2359" t="s">
        <v>1857</v>
      </c>
      <c r="I2359">
        <v>50</v>
      </c>
      <c r="K2359" t="s">
        <v>5137</v>
      </c>
      <c r="L2359">
        <v>46294</v>
      </c>
      <c r="M2359">
        <v>102916</v>
      </c>
      <c r="N2359">
        <v>40</v>
      </c>
      <c r="O2359">
        <v>46302</v>
      </c>
      <c r="P2359">
        <v>10</v>
      </c>
    </row>
    <row r="2360" spans="1:16" x14ac:dyDescent="0.4">
      <c r="A2360">
        <v>2186</v>
      </c>
      <c r="B2360" t="s">
        <v>4915</v>
      </c>
      <c r="G2360" t="s">
        <v>2813</v>
      </c>
      <c r="H2360" t="s">
        <v>2812</v>
      </c>
      <c r="I2360">
        <v>66</v>
      </c>
      <c r="K2360" t="s">
        <v>4947</v>
      </c>
      <c r="L2360">
        <v>46294</v>
      </c>
      <c r="M2360">
        <v>102916</v>
      </c>
      <c r="N2360">
        <v>20</v>
      </c>
      <c r="O2360">
        <v>46302</v>
      </c>
      <c r="P2360">
        <v>46</v>
      </c>
    </row>
    <row r="2361" spans="1:16" x14ac:dyDescent="0.4">
      <c r="A2361">
        <v>2187</v>
      </c>
      <c r="B2361" t="s">
        <v>4915</v>
      </c>
      <c r="G2361" t="s">
        <v>1052</v>
      </c>
      <c r="H2361" t="s">
        <v>1051</v>
      </c>
      <c r="I2361">
        <v>70</v>
      </c>
      <c r="K2361" t="s">
        <v>4943</v>
      </c>
      <c r="L2361">
        <v>46294</v>
      </c>
      <c r="M2361">
        <v>102916</v>
      </c>
      <c r="N2361">
        <v>20</v>
      </c>
      <c r="O2361">
        <v>46302</v>
      </c>
      <c r="P2361">
        <v>50</v>
      </c>
    </row>
    <row r="2362" spans="1:16" x14ac:dyDescent="0.4">
      <c r="A2362">
        <v>2188</v>
      </c>
      <c r="B2362" t="s">
        <v>4915</v>
      </c>
      <c r="G2362" t="s">
        <v>1050</v>
      </c>
      <c r="H2362" t="s">
        <v>1049</v>
      </c>
      <c r="I2362">
        <v>70</v>
      </c>
      <c r="K2362" t="s">
        <v>4943</v>
      </c>
      <c r="L2362">
        <v>46294</v>
      </c>
      <c r="M2362">
        <v>102916</v>
      </c>
      <c r="N2362">
        <v>20</v>
      </c>
      <c r="O2362">
        <v>46302</v>
      </c>
      <c r="P2362">
        <v>50</v>
      </c>
    </row>
    <row r="2363" spans="1:16" x14ac:dyDescent="0.4">
      <c r="A2363">
        <v>2180</v>
      </c>
      <c r="B2363" t="s">
        <v>4915</v>
      </c>
      <c r="G2363" t="s">
        <v>2762</v>
      </c>
      <c r="H2363" t="s">
        <v>2761</v>
      </c>
      <c r="I2363">
        <v>75</v>
      </c>
      <c r="K2363" t="s">
        <v>4945</v>
      </c>
      <c r="L2363">
        <v>46294</v>
      </c>
      <c r="M2363">
        <v>102916</v>
      </c>
      <c r="N2363">
        <v>20</v>
      </c>
      <c r="O2363">
        <v>46302</v>
      </c>
      <c r="P2363">
        <v>55</v>
      </c>
    </row>
    <row r="2364" spans="1:16" x14ac:dyDescent="0.4">
      <c r="A2364">
        <v>2194</v>
      </c>
      <c r="B2364" t="s">
        <v>4915</v>
      </c>
      <c r="G2364" t="s">
        <v>2879</v>
      </c>
      <c r="H2364" t="s">
        <v>2878</v>
      </c>
      <c r="I2364">
        <v>84</v>
      </c>
      <c r="K2364" t="s">
        <v>4946</v>
      </c>
      <c r="L2364">
        <v>46294</v>
      </c>
      <c r="M2364">
        <v>102916</v>
      </c>
      <c r="N2364">
        <v>20</v>
      </c>
      <c r="O2364">
        <v>46302</v>
      </c>
      <c r="P2364">
        <v>64</v>
      </c>
    </row>
    <row r="2365" spans="1:16" x14ac:dyDescent="0.4">
      <c r="A2365">
        <v>2200</v>
      </c>
      <c r="B2365" t="s">
        <v>4915</v>
      </c>
      <c r="G2365" t="s">
        <v>1328</v>
      </c>
      <c r="H2365" t="s">
        <v>4941</v>
      </c>
      <c r="I2365">
        <v>96</v>
      </c>
      <c r="K2365" t="s">
        <v>4942</v>
      </c>
      <c r="L2365">
        <v>46294</v>
      </c>
      <c r="M2365">
        <v>102916</v>
      </c>
      <c r="N2365">
        <v>40</v>
      </c>
      <c r="O2365">
        <v>46302</v>
      </c>
      <c r="P2365">
        <v>56</v>
      </c>
    </row>
    <row r="2366" spans="1:16" x14ac:dyDescent="0.4">
      <c r="A2366">
        <v>2105</v>
      </c>
      <c r="B2366" t="s">
        <v>4915</v>
      </c>
      <c r="G2366" t="s">
        <v>477</v>
      </c>
      <c r="H2366" t="s">
        <v>476</v>
      </c>
      <c r="I2366">
        <v>100</v>
      </c>
      <c r="K2366" t="s">
        <v>4851</v>
      </c>
      <c r="L2366">
        <v>46283</v>
      </c>
      <c r="M2366">
        <v>102916</v>
      </c>
      <c r="N2366">
        <v>20</v>
      </c>
      <c r="O2366">
        <v>46302</v>
      </c>
      <c r="P2366">
        <v>80</v>
      </c>
    </row>
    <row r="2367" spans="1:16" x14ac:dyDescent="0.4">
      <c r="A2367">
        <v>2181</v>
      </c>
      <c r="B2367" t="s">
        <v>4915</v>
      </c>
      <c r="G2367" t="s">
        <v>1148</v>
      </c>
      <c r="H2367" t="s">
        <v>1147</v>
      </c>
      <c r="I2367">
        <v>103</v>
      </c>
      <c r="K2367" t="s">
        <v>4851</v>
      </c>
      <c r="L2367">
        <v>46294</v>
      </c>
      <c r="M2367">
        <v>102916</v>
      </c>
      <c r="N2367">
        <v>20</v>
      </c>
      <c r="O2367">
        <v>46302</v>
      </c>
      <c r="P2367">
        <v>83</v>
      </c>
    </row>
    <row r="2368" spans="1:16" x14ac:dyDescent="0.4">
      <c r="A2368">
        <v>2196</v>
      </c>
      <c r="B2368" t="s">
        <v>4915</v>
      </c>
      <c r="G2368" t="s">
        <v>2755</v>
      </c>
      <c r="H2368" t="s">
        <v>2754</v>
      </c>
      <c r="I2368">
        <v>147</v>
      </c>
      <c r="K2368" t="s">
        <v>4869</v>
      </c>
      <c r="L2368">
        <v>46294</v>
      </c>
      <c r="M2368">
        <v>102916</v>
      </c>
      <c r="N2368">
        <v>20</v>
      </c>
      <c r="O2368">
        <v>46302</v>
      </c>
      <c r="P2368">
        <v>127</v>
      </c>
    </row>
    <row r="2369" spans="1:16" x14ac:dyDescent="0.4">
      <c r="A2369">
        <v>2190</v>
      </c>
      <c r="B2369" t="s">
        <v>4915</v>
      </c>
      <c r="G2369" t="s">
        <v>2671</v>
      </c>
      <c r="H2369" t="s">
        <v>2670</v>
      </c>
      <c r="I2369">
        <v>150</v>
      </c>
      <c r="K2369" t="s">
        <v>4872</v>
      </c>
      <c r="L2369">
        <v>46294</v>
      </c>
      <c r="M2369">
        <v>102916</v>
      </c>
      <c r="N2369">
        <v>20</v>
      </c>
      <c r="O2369">
        <v>46302</v>
      </c>
      <c r="P2369">
        <v>130</v>
      </c>
    </row>
    <row r="2370" spans="1:16" x14ac:dyDescent="0.4">
      <c r="A2370">
        <v>2192</v>
      </c>
      <c r="B2370" t="s">
        <v>4915</v>
      </c>
      <c r="G2370" t="s">
        <v>2753</v>
      </c>
      <c r="H2370" t="s">
        <v>2752</v>
      </c>
      <c r="I2370">
        <v>152</v>
      </c>
      <c r="K2370" t="s">
        <v>4872</v>
      </c>
      <c r="L2370">
        <v>46294</v>
      </c>
      <c r="M2370">
        <v>102916</v>
      </c>
      <c r="N2370">
        <v>20</v>
      </c>
      <c r="O2370">
        <v>46302</v>
      </c>
      <c r="P2370">
        <v>132</v>
      </c>
    </row>
    <row r="2371" spans="1:16" x14ac:dyDescent="0.4">
      <c r="A2371">
        <v>2191</v>
      </c>
      <c r="B2371" t="s">
        <v>4915</v>
      </c>
      <c r="G2371" t="s">
        <v>2842</v>
      </c>
      <c r="H2371" t="s">
        <v>2841</v>
      </c>
      <c r="I2371">
        <v>155</v>
      </c>
      <c r="K2371" t="s">
        <v>4869</v>
      </c>
      <c r="L2371">
        <v>46294</v>
      </c>
      <c r="M2371">
        <v>102916</v>
      </c>
      <c r="N2371">
        <v>20</v>
      </c>
      <c r="O2371">
        <v>46302</v>
      </c>
      <c r="P2371">
        <v>135</v>
      </c>
    </row>
    <row r="2372" spans="1:16" x14ac:dyDescent="0.4">
      <c r="A2372">
        <v>2197</v>
      </c>
      <c r="B2372" t="s">
        <v>4915</v>
      </c>
      <c r="G2372" t="s">
        <v>2786</v>
      </c>
      <c r="H2372" t="s">
        <v>2785</v>
      </c>
      <c r="I2372">
        <v>166</v>
      </c>
      <c r="K2372" t="s">
        <v>4949</v>
      </c>
      <c r="L2372">
        <v>46294</v>
      </c>
      <c r="M2372">
        <v>102916</v>
      </c>
      <c r="N2372">
        <v>20</v>
      </c>
      <c r="O2372">
        <v>46302</v>
      </c>
      <c r="P2372">
        <v>146</v>
      </c>
    </row>
    <row r="2373" spans="1:16" x14ac:dyDescent="0.4">
      <c r="A2373">
        <v>2198</v>
      </c>
      <c r="B2373" t="s">
        <v>4915</v>
      </c>
      <c r="G2373" t="s">
        <v>2750</v>
      </c>
      <c r="H2373" t="s">
        <v>2749</v>
      </c>
      <c r="I2373">
        <v>174</v>
      </c>
      <c r="K2373" t="s">
        <v>4872</v>
      </c>
      <c r="L2373">
        <v>46294</v>
      </c>
      <c r="M2373">
        <v>102916</v>
      </c>
      <c r="N2373">
        <v>20</v>
      </c>
      <c r="O2373">
        <v>46302</v>
      </c>
      <c r="P2373">
        <v>154</v>
      </c>
    </row>
    <row r="2374" spans="1:16" x14ac:dyDescent="0.4">
      <c r="A2374">
        <v>2184</v>
      </c>
      <c r="B2374" t="s">
        <v>4915</v>
      </c>
      <c r="G2374" t="s">
        <v>1167</v>
      </c>
      <c r="H2374" t="s">
        <v>1166</v>
      </c>
      <c r="I2374">
        <v>249</v>
      </c>
      <c r="K2374" t="s">
        <v>4952</v>
      </c>
      <c r="L2374">
        <v>46294</v>
      </c>
      <c r="M2374">
        <v>102916</v>
      </c>
      <c r="N2374">
        <v>20</v>
      </c>
      <c r="O2374">
        <v>46302</v>
      </c>
      <c r="P2374">
        <v>229</v>
      </c>
    </row>
    <row r="2375" spans="1:16" x14ac:dyDescent="0.4">
      <c r="A2375">
        <v>2183</v>
      </c>
      <c r="B2375" t="s">
        <v>4915</v>
      </c>
      <c r="G2375" t="s">
        <v>1173</v>
      </c>
      <c r="H2375" t="s">
        <v>1172</v>
      </c>
      <c r="I2375">
        <v>254</v>
      </c>
      <c r="K2375" t="s">
        <v>4952</v>
      </c>
      <c r="L2375">
        <v>46294</v>
      </c>
      <c r="M2375">
        <v>102916</v>
      </c>
      <c r="N2375">
        <v>20</v>
      </c>
      <c r="O2375">
        <v>46302</v>
      </c>
      <c r="P2375">
        <v>234</v>
      </c>
    </row>
    <row r="2376" spans="1:16" x14ac:dyDescent="0.4">
      <c r="A2376">
        <v>2185</v>
      </c>
      <c r="B2376" t="s">
        <v>4915</v>
      </c>
      <c r="G2376" t="s">
        <v>2774</v>
      </c>
      <c r="H2376" t="s">
        <v>2773</v>
      </c>
      <c r="I2376">
        <v>275</v>
      </c>
      <c r="K2376" t="s">
        <v>4949</v>
      </c>
      <c r="L2376">
        <v>46294</v>
      </c>
      <c r="M2376">
        <v>102916</v>
      </c>
      <c r="N2376">
        <v>20</v>
      </c>
      <c r="O2376">
        <v>46302</v>
      </c>
      <c r="P2376">
        <v>255</v>
      </c>
    </row>
    <row r="2377" spans="1:16" x14ac:dyDescent="0.4">
      <c r="A2377">
        <v>2020</v>
      </c>
      <c r="B2377" t="s">
        <v>4915</v>
      </c>
      <c r="D2377" t="s">
        <v>4901</v>
      </c>
      <c r="E2377" t="s">
        <v>5146</v>
      </c>
      <c r="F2377" t="s">
        <v>5147</v>
      </c>
      <c r="G2377" t="s">
        <v>2638</v>
      </c>
      <c r="H2377" t="s">
        <v>2637</v>
      </c>
      <c r="I2377">
        <v>300</v>
      </c>
      <c r="K2377" t="s">
        <v>4869</v>
      </c>
      <c r="L2377">
        <v>46296</v>
      </c>
      <c r="M2377">
        <v>102916</v>
      </c>
      <c r="N2377">
        <v>20</v>
      </c>
      <c r="O2377">
        <v>46302</v>
      </c>
      <c r="P2377">
        <v>280</v>
      </c>
    </row>
    <row r="2378" spans="1:16" x14ac:dyDescent="0.4">
      <c r="A2378">
        <v>2033</v>
      </c>
      <c r="B2378" t="s">
        <v>4915</v>
      </c>
      <c r="D2378" t="s">
        <v>4901</v>
      </c>
      <c r="E2378" t="s">
        <v>5146</v>
      </c>
      <c r="F2378" t="s">
        <v>5147</v>
      </c>
      <c r="G2378" t="s">
        <v>2706</v>
      </c>
      <c r="H2378" t="s">
        <v>2705</v>
      </c>
      <c r="I2378">
        <v>350</v>
      </c>
      <c r="K2378" t="s">
        <v>4948</v>
      </c>
      <c r="L2378">
        <v>46296</v>
      </c>
      <c r="M2378">
        <v>102916</v>
      </c>
      <c r="N2378">
        <v>10</v>
      </c>
      <c r="O2378">
        <v>46302</v>
      </c>
      <c r="P2378">
        <v>340</v>
      </c>
    </row>
    <row r="2379" spans="1:16" x14ac:dyDescent="0.4">
      <c r="A2379">
        <v>2031</v>
      </c>
      <c r="B2379" t="s">
        <v>4915</v>
      </c>
      <c r="D2379" t="s">
        <v>4901</v>
      </c>
      <c r="E2379" t="s">
        <v>5146</v>
      </c>
      <c r="F2379" t="s">
        <v>5147</v>
      </c>
      <c r="G2379" t="s">
        <v>2765</v>
      </c>
      <c r="H2379" t="s">
        <v>2764</v>
      </c>
      <c r="I2379">
        <v>400</v>
      </c>
      <c r="K2379" t="s">
        <v>4945</v>
      </c>
      <c r="L2379">
        <v>46296</v>
      </c>
      <c r="M2379">
        <v>102916</v>
      </c>
      <c r="N2379">
        <v>20</v>
      </c>
      <c r="O2379">
        <v>46302</v>
      </c>
      <c r="P2379">
        <v>380</v>
      </c>
    </row>
    <row r="2380" spans="1:16" x14ac:dyDescent="0.4">
      <c r="A2380">
        <v>2189</v>
      </c>
      <c r="B2380" t="s">
        <v>4915</v>
      </c>
      <c r="G2380" t="s">
        <v>1009</v>
      </c>
      <c r="H2380" t="s">
        <v>1008</v>
      </c>
      <c r="I2380">
        <v>474</v>
      </c>
      <c r="K2380" t="s">
        <v>4851</v>
      </c>
      <c r="L2380">
        <v>46294</v>
      </c>
      <c r="M2380">
        <v>102916</v>
      </c>
      <c r="N2380">
        <v>20</v>
      </c>
      <c r="O2380">
        <v>46302</v>
      </c>
      <c r="P2380">
        <v>454</v>
      </c>
    </row>
    <row r="2381" spans="1:16" x14ac:dyDescent="0.4">
      <c r="A2381">
        <v>739</v>
      </c>
      <c r="B2381" t="s">
        <v>4915</v>
      </c>
      <c r="G2381" t="s">
        <v>2857</v>
      </c>
      <c r="H2381" t="s">
        <v>2856</v>
      </c>
      <c r="I2381">
        <v>26</v>
      </c>
      <c r="K2381" t="s">
        <v>4933</v>
      </c>
      <c r="L2381">
        <v>46275</v>
      </c>
      <c r="M2381">
        <v>102919</v>
      </c>
      <c r="N2381">
        <v>26</v>
      </c>
      <c r="O2381">
        <v>46301</v>
      </c>
      <c r="P2381">
        <v>0</v>
      </c>
    </row>
    <row r="2382" spans="1:16" x14ac:dyDescent="0.4">
      <c r="A2382">
        <v>737</v>
      </c>
      <c r="B2382" t="s">
        <v>4915</v>
      </c>
      <c r="D2382" t="s">
        <v>4901</v>
      </c>
      <c r="G2382" t="s">
        <v>2857</v>
      </c>
      <c r="H2382" t="s">
        <v>2856</v>
      </c>
      <c r="I2382">
        <v>50</v>
      </c>
      <c r="K2382" t="s">
        <v>4933</v>
      </c>
      <c r="L2382">
        <v>46268</v>
      </c>
      <c r="M2382">
        <v>102919</v>
      </c>
      <c r="N2382">
        <v>4</v>
      </c>
      <c r="O2382">
        <v>46301</v>
      </c>
      <c r="P2382">
        <v>46</v>
      </c>
    </row>
    <row r="2383" spans="1:16" x14ac:dyDescent="0.4">
      <c r="A2383">
        <v>1375</v>
      </c>
      <c r="B2383" t="s">
        <v>4915</v>
      </c>
      <c r="G2383" t="s">
        <v>4843</v>
      </c>
      <c r="H2383" t="s">
        <v>2775</v>
      </c>
      <c r="I2383">
        <v>121</v>
      </c>
      <c r="K2383" t="s">
        <v>4869</v>
      </c>
      <c r="L2383">
        <v>46279</v>
      </c>
      <c r="M2383">
        <v>102919</v>
      </c>
      <c r="N2383">
        <v>30</v>
      </c>
      <c r="O2383">
        <v>46301</v>
      </c>
      <c r="P2383">
        <v>91</v>
      </c>
    </row>
    <row r="2384" spans="1:16" x14ac:dyDescent="0.4">
      <c r="A2384">
        <v>2002</v>
      </c>
      <c r="B2384" t="s">
        <v>4915</v>
      </c>
      <c r="G2384" t="s">
        <v>2148</v>
      </c>
      <c r="H2384" t="s">
        <v>2147</v>
      </c>
      <c r="I2384">
        <v>592</v>
      </c>
      <c r="K2384" t="s">
        <v>4863</v>
      </c>
      <c r="L2384">
        <v>46294</v>
      </c>
      <c r="M2384">
        <v>102919</v>
      </c>
      <c r="N2384">
        <v>30</v>
      </c>
      <c r="O2384">
        <v>46301</v>
      </c>
      <c r="P2384">
        <v>562</v>
      </c>
    </row>
    <row r="2385" spans="1:16" x14ac:dyDescent="0.4">
      <c r="A2385">
        <v>2001</v>
      </c>
      <c r="B2385" t="s">
        <v>4915</v>
      </c>
      <c r="G2385" t="s">
        <v>2145</v>
      </c>
      <c r="H2385" t="s">
        <v>2144</v>
      </c>
      <c r="I2385">
        <v>708</v>
      </c>
      <c r="K2385" t="s">
        <v>4863</v>
      </c>
      <c r="L2385">
        <v>46294</v>
      </c>
      <c r="M2385">
        <v>102919</v>
      </c>
      <c r="N2385">
        <v>30</v>
      </c>
      <c r="O2385">
        <v>46301</v>
      </c>
      <c r="P2385">
        <v>678</v>
      </c>
    </row>
    <row r="2386" spans="1:16" x14ac:dyDescent="0.4">
      <c r="A2386">
        <v>2003</v>
      </c>
      <c r="B2386" t="s">
        <v>4915</v>
      </c>
      <c r="G2386" t="s">
        <v>2254</v>
      </c>
      <c r="H2386" t="s">
        <v>2253</v>
      </c>
      <c r="I2386">
        <v>325</v>
      </c>
      <c r="K2386" t="s">
        <v>4851</v>
      </c>
      <c r="L2386">
        <v>46294</v>
      </c>
      <c r="M2386">
        <v>102919</v>
      </c>
      <c r="N2386">
        <v>60</v>
      </c>
      <c r="O2386">
        <v>46301</v>
      </c>
      <c r="P2386">
        <v>265</v>
      </c>
    </row>
    <row r="2387" spans="1:16" x14ac:dyDescent="0.4">
      <c r="A2387">
        <v>1989</v>
      </c>
      <c r="B2387" t="s">
        <v>4915</v>
      </c>
      <c r="G2387" t="s">
        <v>1322</v>
      </c>
      <c r="H2387" t="s">
        <v>5145</v>
      </c>
      <c r="I2387">
        <v>3</v>
      </c>
      <c r="K2387" t="s">
        <v>5054</v>
      </c>
      <c r="L2387">
        <v>46295</v>
      </c>
      <c r="M2387">
        <v>102925</v>
      </c>
      <c r="N2387">
        <v>3</v>
      </c>
      <c r="O2387">
        <v>46301</v>
      </c>
      <c r="P2387">
        <v>0</v>
      </c>
    </row>
    <row r="2388" spans="1:16" x14ac:dyDescent="0.4">
      <c r="A2388">
        <v>2394</v>
      </c>
      <c r="B2388" t="s">
        <v>4915</v>
      </c>
      <c r="D2388" t="s">
        <v>4928</v>
      </c>
      <c r="G2388" t="s">
        <v>1998</v>
      </c>
      <c r="H2388" t="s">
        <v>1997</v>
      </c>
      <c r="I2388">
        <v>7</v>
      </c>
      <c r="K2388" t="s">
        <v>5141</v>
      </c>
      <c r="L2388">
        <v>46276</v>
      </c>
      <c r="M2388">
        <v>102925</v>
      </c>
      <c r="N2388">
        <v>7</v>
      </c>
      <c r="O2388">
        <v>46301</v>
      </c>
      <c r="P2388">
        <v>0</v>
      </c>
    </row>
    <row r="2389" spans="1:16" x14ac:dyDescent="0.4">
      <c r="A2389">
        <v>1762</v>
      </c>
      <c r="B2389" t="s">
        <v>4915</v>
      </c>
      <c r="G2389" t="s">
        <v>1998</v>
      </c>
      <c r="H2389" t="s">
        <v>1997</v>
      </c>
      <c r="I2389">
        <v>13</v>
      </c>
      <c r="K2389" t="s">
        <v>5141</v>
      </c>
      <c r="L2389">
        <v>46294</v>
      </c>
      <c r="M2389">
        <v>102925</v>
      </c>
      <c r="N2389">
        <v>13</v>
      </c>
      <c r="O2389">
        <v>46301</v>
      </c>
      <c r="P2389">
        <v>0</v>
      </c>
    </row>
    <row r="2390" spans="1:16" x14ac:dyDescent="0.4">
      <c r="A2390">
        <v>1995</v>
      </c>
      <c r="B2390" t="s">
        <v>4915</v>
      </c>
      <c r="G2390" t="s">
        <v>7</v>
      </c>
      <c r="H2390" t="s">
        <v>2676</v>
      </c>
      <c r="I2390">
        <v>18</v>
      </c>
      <c r="K2390" t="s">
        <v>5092</v>
      </c>
      <c r="L2390">
        <v>46295</v>
      </c>
      <c r="M2390">
        <v>102925</v>
      </c>
      <c r="N2390">
        <v>18</v>
      </c>
      <c r="O2390">
        <v>46301</v>
      </c>
      <c r="P2390">
        <v>0</v>
      </c>
    </row>
    <row r="2391" spans="1:16" x14ac:dyDescent="0.4">
      <c r="A2391">
        <v>1994</v>
      </c>
      <c r="B2391" t="s">
        <v>4915</v>
      </c>
      <c r="G2391" t="s">
        <v>2675</v>
      </c>
      <c r="H2391" t="s">
        <v>2674</v>
      </c>
      <c r="I2391">
        <v>20</v>
      </c>
      <c r="K2391" t="s">
        <v>5096</v>
      </c>
      <c r="L2391">
        <v>46295</v>
      </c>
      <c r="M2391">
        <v>102925</v>
      </c>
      <c r="N2391">
        <v>20</v>
      </c>
      <c r="O2391">
        <v>46301</v>
      </c>
      <c r="P2391">
        <v>0</v>
      </c>
    </row>
    <row r="2392" spans="1:16" x14ac:dyDescent="0.4">
      <c r="A2392">
        <v>1915</v>
      </c>
      <c r="B2392" t="s">
        <v>4915</v>
      </c>
      <c r="G2392" t="s">
        <v>2778</v>
      </c>
      <c r="H2392" t="s">
        <v>2777</v>
      </c>
      <c r="I2392">
        <v>21</v>
      </c>
      <c r="K2392" t="s">
        <v>4949</v>
      </c>
      <c r="L2392">
        <v>46295</v>
      </c>
      <c r="M2392">
        <v>102925</v>
      </c>
      <c r="N2392">
        <v>20</v>
      </c>
      <c r="O2392">
        <v>46301</v>
      </c>
      <c r="P2392">
        <v>1</v>
      </c>
    </row>
    <row r="2393" spans="1:16" x14ac:dyDescent="0.4">
      <c r="A2393">
        <v>2013</v>
      </c>
      <c r="B2393" t="s">
        <v>4915</v>
      </c>
      <c r="D2393" t="s">
        <v>4901</v>
      </c>
      <c r="E2393" t="s">
        <v>5149</v>
      </c>
      <c r="F2393" t="s">
        <v>5147</v>
      </c>
      <c r="G2393" t="s">
        <v>1322</v>
      </c>
      <c r="H2393" t="s">
        <v>5145</v>
      </c>
      <c r="I2393">
        <v>24</v>
      </c>
      <c r="K2393" t="s">
        <v>5054</v>
      </c>
      <c r="L2393">
        <v>46296</v>
      </c>
      <c r="M2393">
        <v>102925</v>
      </c>
      <c r="N2393">
        <v>17</v>
      </c>
      <c r="O2393">
        <v>46301</v>
      </c>
      <c r="P2393">
        <v>7</v>
      </c>
    </row>
    <row r="2394" spans="1:16" x14ac:dyDescent="0.4">
      <c r="A2394">
        <v>2255</v>
      </c>
      <c r="B2394" t="s">
        <v>4915</v>
      </c>
      <c r="G2394" t="s">
        <v>1354</v>
      </c>
      <c r="H2394" t="s">
        <v>1353</v>
      </c>
      <c r="I2394">
        <v>28</v>
      </c>
      <c r="K2394" t="s">
        <v>4957</v>
      </c>
      <c r="L2394">
        <v>46303</v>
      </c>
      <c r="M2394">
        <v>102925</v>
      </c>
      <c r="N2394">
        <v>20</v>
      </c>
      <c r="O2394">
        <v>46301</v>
      </c>
      <c r="P2394">
        <v>8</v>
      </c>
    </row>
    <row r="2395" spans="1:16" x14ac:dyDescent="0.4">
      <c r="A2395">
        <v>1763</v>
      </c>
      <c r="B2395" t="s">
        <v>4915</v>
      </c>
      <c r="G2395" t="s">
        <v>2000</v>
      </c>
      <c r="H2395" t="s">
        <v>1999</v>
      </c>
      <c r="I2395">
        <v>33</v>
      </c>
      <c r="K2395" t="s">
        <v>5144</v>
      </c>
      <c r="L2395">
        <v>46294</v>
      </c>
      <c r="M2395">
        <v>102925</v>
      </c>
      <c r="N2395">
        <v>20</v>
      </c>
      <c r="O2395">
        <v>46301</v>
      </c>
      <c r="P2395">
        <v>13</v>
      </c>
    </row>
    <row r="2396" spans="1:16" x14ac:dyDescent="0.4">
      <c r="A2396">
        <v>1997</v>
      </c>
      <c r="B2396" t="s">
        <v>4915</v>
      </c>
      <c r="G2396" t="s">
        <v>2666</v>
      </c>
      <c r="H2396" t="s">
        <v>2665</v>
      </c>
      <c r="I2396">
        <v>43</v>
      </c>
      <c r="K2396" t="s">
        <v>5096</v>
      </c>
      <c r="L2396">
        <v>46295</v>
      </c>
      <c r="M2396">
        <v>102925</v>
      </c>
      <c r="N2396">
        <v>20</v>
      </c>
      <c r="O2396">
        <v>46301</v>
      </c>
      <c r="P2396">
        <v>23</v>
      </c>
    </row>
    <row r="2397" spans="1:16" x14ac:dyDescent="0.4">
      <c r="A2397">
        <v>1996</v>
      </c>
      <c r="B2397" t="s">
        <v>4915</v>
      </c>
      <c r="G2397" t="s">
        <v>8</v>
      </c>
      <c r="H2397" t="s">
        <v>2678</v>
      </c>
      <c r="I2397">
        <v>53</v>
      </c>
      <c r="K2397" t="s">
        <v>5092</v>
      </c>
      <c r="L2397">
        <v>46295</v>
      </c>
      <c r="M2397">
        <v>102925</v>
      </c>
      <c r="N2397">
        <v>20</v>
      </c>
      <c r="O2397">
        <v>46301</v>
      </c>
      <c r="P2397">
        <v>33</v>
      </c>
    </row>
    <row r="2398" spans="1:16" x14ac:dyDescent="0.4">
      <c r="A2398">
        <v>1765</v>
      </c>
      <c r="B2398" t="s">
        <v>4915</v>
      </c>
      <c r="G2398" t="s">
        <v>1988</v>
      </c>
      <c r="H2398" t="s">
        <v>1987</v>
      </c>
      <c r="I2398">
        <v>55</v>
      </c>
      <c r="K2398" t="s">
        <v>5109</v>
      </c>
      <c r="L2398">
        <v>46294</v>
      </c>
      <c r="M2398">
        <v>102925</v>
      </c>
      <c r="N2398">
        <v>20</v>
      </c>
      <c r="O2398">
        <v>46301</v>
      </c>
      <c r="P2398">
        <v>35</v>
      </c>
    </row>
    <row r="2399" spans="1:16" x14ac:dyDescent="0.4">
      <c r="A2399">
        <v>1909</v>
      </c>
      <c r="B2399" t="s">
        <v>4915</v>
      </c>
      <c r="G2399" t="s">
        <v>2668</v>
      </c>
      <c r="H2399" t="s">
        <v>2667</v>
      </c>
      <c r="I2399">
        <v>60</v>
      </c>
      <c r="K2399" t="s">
        <v>5093</v>
      </c>
      <c r="L2399">
        <v>46295</v>
      </c>
      <c r="M2399">
        <v>102925</v>
      </c>
      <c r="N2399">
        <v>20</v>
      </c>
      <c r="O2399">
        <v>46301</v>
      </c>
      <c r="P2399">
        <v>40</v>
      </c>
    </row>
    <row r="2400" spans="1:16" x14ac:dyDescent="0.4">
      <c r="A2400">
        <v>1993</v>
      </c>
      <c r="B2400" t="s">
        <v>4915</v>
      </c>
      <c r="G2400" t="s">
        <v>2673</v>
      </c>
      <c r="H2400" t="s">
        <v>2672</v>
      </c>
      <c r="I2400">
        <v>65</v>
      </c>
      <c r="K2400" t="s">
        <v>5096</v>
      </c>
      <c r="L2400">
        <v>46295</v>
      </c>
      <c r="M2400">
        <v>102925</v>
      </c>
      <c r="N2400">
        <v>20</v>
      </c>
      <c r="O2400">
        <v>46301</v>
      </c>
      <c r="P2400">
        <v>45</v>
      </c>
    </row>
    <row r="2401" spans="1:16" x14ac:dyDescent="0.4">
      <c r="A2401">
        <v>1775</v>
      </c>
      <c r="B2401" t="s">
        <v>4915</v>
      </c>
      <c r="G2401" t="s">
        <v>1305</v>
      </c>
      <c r="H2401" t="s">
        <v>1304</v>
      </c>
      <c r="I2401">
        <v>67</v>
      </c>
      <c r="K2401" t="s">
        <v>5143</v>
      </c>
      <c r="L2401">
        <v>46294</v>
      </c>
      <c r="M2401">
        <v>102925</v>
      </c>
      <c r="N2401">
        <v>20</v>
      </c>
      <c r="O2401">
        <v>46301</v>
      </c>
      <c r="P2401">
        <v>47</v>
      </c>
    </row>
    <row r="2402" spans="1:16" x14ac:dyDescent="0.4">
      <c r="A2402">
        <v>1750</v>
      </c>
      <c r="B2402" t="s">
        <v>4915</v>
      </c>
      <c r="G2402" t="s">
        <v>1887</v>
      </c>
      <c r="H2402" t="s">
        <v>1886</v>
      </c>
      <c r="I2402">
        <v>70</v>
      </c>
      <c r="K2402" t="s">
        <v>5104</v>
      </c>
      <c r="L2402">
        <v>46294</v>
      </c>
      <c r="M2402">
        <v>102925</v>
      </c>
      <c r="N2402">
        <v>20</v>
      </c>
      <c r="O2402">
        <v>46301</v>
      </c>
      <c r="P2402">
        <v>50</v>
      </c>
    </row>
    <row r="2403" spans="1:16" x14ac:dyDescent="0.4">
      <c r="A2403">
        <v>1752</v>
      </c>
      <c r="B2403" t="s">
        <v>4915</v>
      </c>
      <c r="G2403" t="s">
        <v>1973</v>
      </c>
      <c r="H2403" t="s">
        <v>1972</v>
      </c>
      <c r="I2403">
        <v>86</v>
      </c>
      <c r="K2403" t="s">
        <v>5141</v>
      </c>
      <c r="L2403">
        <v>46294</v>
      </c>
      <c r="M2403">
        <v>102925</v>
      </c>
      <c r="N2403">
        <v>20</v>
      </c>
      <c r="O2403">
        <v>46301</v>
      </c>
      <c r="P2403">
        <v>66</v>
      </c>
    </row>
    <row r="2404" spans="1:16" x14ac:dyDescent="0.4">
      <c r="A2404">
        <v>1776</v>
      </c>
      <c r="B2404" t="s">
        <v>4915</v>
      </c>
      <c r="G2404" t="s">
        <v>1308</v>
      </c>
      <c r="H2404" t="s">
        <v>1307</v>
      </c>
      <c r="I2404">
        <v>112</v>
      </c>
      <c r="K2404" t="s">
        <v>4999</v>
      </c>
      <c r="L2404">
        <v>46294</v>
      </c>
      <c r="M2404">
        <v>102925</v>
      </c>
      <c r="N2404">
        <v>20</v>
      </c>
      <c r="O2404">
        <v>46301</v>
      </c>
      <c r="P2404">
        <v>92</v>
      </c>
    </row>
    <row r="2405" spans="1:16" x14ac:dyDescent="0.4">
      <c r="A2405">
        <v>1916</v>
      </c>
      <c r="B2405" t="s">
        <v>4915</v>
      </c>
      <c r="G2405" t="s">
        <v>2657</v>
      </c>
      <c r="H2405" t="s">
        <v>2656</v>
      </c>
      <c r="I2405">
        <v>115</v>
      </c>
      <c r="K2405" t="s">
        <v>5101</v>
      </c>
      <c r="L2405">
        <v>46295</v>
      </c>
      <c r="M2405">
        <v>102925</v>
      </c>
      <c r="N2405">
        <v>20</v>
      </c>
      <c r="O2405">
        <v>46301</v>
      </c>
      <c r="P2405">
        <v>95</v>
      </c>
    </row>
    <row r="2406" spans="1:16" x14ac:dyDescent="0.4">
      <c r="A2406">
        <v>1774</v>
      </c>
      <c r="B2406" t="s">
        <v>4915</v>
      </c>
      <c r="G2406" t="s">
        <v>1668</v>
      </c>
      <c r="H2406" t="s">
        <v>1667</v>
      </c>
      <c r="I2406">
        <v>118</v>
      </c>
      <c r="K2406" t="s">
        <v>5041</v>
      </c>
      <c r="L2406">
        <v>46294</v>
      </c>
      <c r="M2406">
        <v>102925</v>
      </c>
      <c r="N2406">
        <v>20</v>
      </c>
      <c r="O2406">
        <v>46301</v>
      </c>
      <c r="P2406">
        <v>98</v>
      </c>
    </row>
    <row r="2407" spans="1:16" x14ac:dyDescent="0.4">
      <c r="A2407">
        <v>1918</v>
      </c>
      <c r="B2407" t="s">
        <v>4915</v>
      </c>
      <c r="G2407" t="s">
        <v>1892</v>
      </c>
      <c r="H2407" t="s">
        <v>5103</v>
      </c>
      <c r="I2407">
        <v>120</v>
      </c>
      <c r="K2407" t="s">
        <v>5104</v>
      </c>
      <c r="L2407">
        <v>46295</v>
      </c>
      <c r="M2407">
        <v>102925</v>
      </c>
      <c r="N2407">
        <v>20</v>
      </c>
      <c r="O2407">
        <v>46301</v>
      </c>
      <c r="P2407">
        <v>100</v>
      </c>
    </row>
    <row r="2408" spans="1:16" x14ac:dyDescent="0.4">
      <c r="A2408">
        <v>1759</v>
      </c>
      <c r="B2408" t="s">
        <v>4915</v>
      </c>
      <c r="G2408" t="s">
        <v>2005</v>
      </c>
      <c r="H2408" t="s">
        <v>2004</v>
      </c>
      <c r="I2408">
        <v>120</v>
      </c>
      <c r="K2408" t="s">
        <v>5142</v>
      </c>
      <c r="L2408">
        <v>46294</v>
      </c>
      <c r="M2408">
        <v>102925</v>
      </c>
      <c r="N2408">
        <v>20</v>
      </c>
      <c r="O2408">
        <v>46301</v>
      </c>
      <c r="P2408">
        <v>100</v>
      </c>
    </row>
    <row r="2409" spans="1:16" x14ac:dyDescent="0.4">
      <c r="A2409">
        <v>1764</v>
      </c>
      <c r="B2409" t="s">
        <v>4915</v>
      </c>
      <c r="G2409" t="s">
        <v>2002</v>
      </c>
      <c r="H2409" t="s">
        <v>2001</v>
      </c>
      <c r="I2409">
        <v>120</v>
      </c>
      <c r="K2409" t="s">
        <v>5142</v>
      </c>
      <c r="L2409">
        <v>46294</v>
      </c>
      <c r="M2409">
        <v>102925</v>
      </c>
      <c r="N2409">
        <v>20</v>
      </c>
      <c r="O2409">
        <v>46301</v>
      </c>
      <c r="P2409">
        <v>100</v>
      </c>
    </row>
    <row r="2410" spans="1:16" x14ac:dyDescent="0.4">
      <c r="A2410">
        <v>2096</v>
      </c>
      <c r="B2410" t="s">
        <v>4915</v>
      </c>
      <c r="G2410" t="s">
        <v>1813</v>
      </c>
      <c r="H2410" t="s">
        <v>1812</v>
      </c>
      <c r="I2410">
        <v>125</v>
      </c>
      <c r="K2410" t="s">
        <v>5137</v>
      </c>
      <c r="L2410">
        <v>46287</v>
      </c>
      <c r="M2410">
        <v>102925</v>
      </c>
      <c r="N2410">
        <v>20</v>
      </c>
      <c r="O2410">
        <v>46301</v>
      </c>
      <c r="P2410">
        <v>105</v>
      </c>
    </row>
    <row r="2411" spans="1:16" x14ac:dyDescent="0.4">
      <c r="A2411">
        <v>1988</v>
      </c>
      <c r="B2411" t="s">
        <v>4915</v>
      </c>
      <c r="G2411" t="s">
        <v>1344</v>
      </c>
      <c r="H2411" t="s">
        <v>1343</v>
      </c>
      <c r="I2411">
        <v>126</v>
      </c>
      <c r="K2411" t="s">
        <v>5041</v>
      </c>
      <c r="L2411">
        <v>46295</v>
      </c>
      <c r="M2411">
        <v>102925</v>
      </c>
      <c r="N2411">
        <v>14</v>
      </c>
      <c r="O2411">
        <v>46301</v>
      </c>
      <c r="P2411">
        <v>112</v>
      </c>
    </row>
    <row r="2412" spans="1:16" x14ac:dyDescent="0.4">
      <c r="A2412">
        <v>2021</v>
      </c>
      <c r="B2412" t="s">
        <v>4915</v>
      </c>
      <c r="D2412" t="s">
        <v>4901</v>
      </c>
      <c r="E2412" t="s">
        <v>5146</v>
      </c>
      <c r="F2412" t="s">
        <v>5147</v>
      </c>
      <c r="G2412" t="s">
        <v>7</v>
      </c>
      <c r="H2412" t="s">
        <v>2676</v>
      </c>
      <c r="I2412">
        <v>129</v>
      </c>
      <c r="K2412" t="s">
        <v>5092</v>
      </c>
      <c r="L2412">
        <v>46296</v>
      </c>
      <c r="M2412">
        <v>102925</v>
      </c>
      <c r="N2412">
        <v>2</v>
      </c>
      <c r="O2412">
        <v>46301</v>
      </c>
      <c r="P2412">
        <v>127</v>
      </c>
    </row>
    <row r="2413" spans="1:16" x14ac:dyDescent="0.4">
      <c r="A2413">
        <v>1755</v>
      </c>
      <c r="B2413" t="s">
        <v>4915</v>
      </c>
      <c r="G2413" t="s">
        <v>1849</v>
      </c>
      <c r="H2413" t="s">
        <v>1848</v>
      </c>
      <c r="I2413">
        <v>134</v>
      </c>
      <c r="K2413" t="s">
        <v>5140</v>
      </c>
      <c r="L2413">
        <v>46294</v>
      </c>
      <c r="M2413">
        <v>102925</v>
      </c>
      <c r="N2413">
        <v>20</v>
      </c>
      <c r="O2413">
        <v>46301</v>
      </c>
      <c r="P2413">
        <v>114</v>
      </c>
    </row>
    <row r="2414" spans="1:16" x14ac:dyDescent="0.4">
      <c r="A2414">
        <v>1745</v>
      </c>
      <c r="B2414" t="s">
        <v>4915</v>
      </c>
      <c r="G2414" t="s">
        <v>1990</v>
      </c>
      <c r="H2414" t="s">
        <v>1989</v>
      </c>
      <c r="I2414">
        <v>135</v>
      </c>
      <c r="K2414" t="s">
        <v>5141</v>
      </c>
      <c r="L2414">
        <v>46294</v>
      </c>
      <c r="M2414">
        <v>102925</v>
      </c>
      <c r="N2414">
        <v>20</v>
      </c>
      <c r="O2414">
        <v>46301</v>
      </c>
      <c r="P2414">
        <v>115</v>
      </c>
    </row>
    <row r="2415" spans="1:16" x14ac:dyDescent="0.4">
      <c r="A2415">
        <v>1771</v>
      </c>
      <c r="B2415" t="s">
        <v>4915</v>
      </c>
      <c r="G2415" t="s">
        <v>1373</v>
      </c>
      <c r="H2415" t="s">
        <v>1372</v>
      </c>
      <c r="I2415">
        <v>139</v>
      </c>
      <c r="K2415" t="s">
        <v>5123</v>
      </c>
      <c r="L2415">
        <v>46294</v>
      </c>
      <c r="M2415">
        <v>102925</v>
      </c>
      <c r="N2415">
        <v>20</v>
      </c>
      <c r="O2415">
        <v>46301</v>
      </c>
      <c r="P2415">
        <v>119</v>
      </c>
    </row>
    <row r="2416" spans="1:16" x14ac:dyDescent="0.4">
      <c r="A2416">
        <v>1795</v>
      </c>
      <c r="B2416" t="s">
        <v>4915</v>
      </c>
      <c r="G2416" t="s">
        <v>1844</v>
      </c>
      <c r="H2416" t="s">
        <v>1843</v>
      </c>
      <c r="I2416">
        <v>140</v>
      </c>
      <c r="K2416" t="s">
        <v>5140</v>
      </c>
      <c r="L2416">
        <v>46294</v>
      </c>
      <c r="M2416">
        <v>102925</v>
      </c>
      <c r="N2416">
        <v>40</v>
      </c>
      <c r="O2416">
        <v>46301</v>
      </c>
      <c r="P2416">
        <v>100</v>
      </c>
    </row>
    <row r="2417" spans="1:16" x14ac:dyDescent="0.4">
      <c r="A2417">
        <v>1990</v>
      </c>
      <c r="B2417" t="s">
        <v>4915</v>
      </c>
      <c r="G2417" t="s">
        <v>707</v>
      </c>
      <c r="H2417" t="s">
        <v>706</v>
      </c>
      <c r="I2417">
        <v>159</v>
      </c>
      <c r="K2417" t="s">
        <v>4956</v>
      </c>
      <c r="L2417">
        <v>46295</v>
      </c>
      <c r="M2417">
        <v>102925</v>
      </c>
      <c r="N2417">
        <v>20</v>
      </c>
      <c r="O2417">
        <v>46301</v>
      </c>
      <c r="P2417">
        <v>139</v>
      </c>
    </row>
    <row r="2418" spans="1:16" x14ac:dyDescent="0.4">
      <c r="A2418">
        <v>1758</v>
      </c>
      <c r="B2418" t="s">
        <v>4915</v>
      </c>
      <c r="G2418" t="s">
        <v>1996</v>
      </c>
      <c r="H2418" t="s">
        <v>1995</v>
      </c>
      <c r="I2418">
        <v>170</v>
      </c>
      <c r="K2418" t="s">
        <v>5141</v>
      </c>
      <c r="L2418">
        <v>46294</v>
      </c>
      <c r="M2418">
        <v>102925</v>
      </c>
      <c r="N2418">
        <v>20</v>
      </c>
      <c r="O2418">
        <v>46301</v>
      </c>
      <c r="P2418">
        <v>150</v>
      </c>
    </row>
    <row r="2419" spans="1:16" x14ac:dyDescent="0.4">
      <c r="A2419">
        <v>1761</v>
      </c>
      <c r="B2419" t="s">
        <v>4915</v>
      </c>
      <c r="G2419" t="s">
        <v>4541</v>
      </c>
      <c r="H2419" t="s">
        <v>5139</v>
      </c>
      <c r="I2419">
        <v>170</v>
      </c>
      <c r="K2419" t="s">
        <v>5125</v>
      </c>
      <c r="L2419">
        <v>46294</v>
      </c>
      <c r="M2419">
        <v>102925</v>
      </c>
      <c r="N2419">
        <v>20</v>
      </c>
      <c r="O2419">
        <v>46301</v>
      </c>
      <c r="P2419">
        <v>150</v>
      </c>
    </row>
    <row r="2420" spans="1:16" x14ac:dyDescent="0.4">
      <c r="A2420">
        <v>1749</v>
      </c>
      <c r="B2420" t="s">
        <v>4915</v>
      </c>
      <c r="G2420" t="s">
        <v>1890</v>
      </c>
      <c r="H2420" t="s">
        <v>1889</v>
      </c>
      <c r="I2420">
        <v>181</v>
      </c>
      <c r="K2420" t="s">
        <v>5137</v>
      </c>
      <c r="L2420">
        <v>46294</v>
      </c>
      <c r="M2420">
        <v>102925</v>
      </c>
      <c r="N2420">
        <v>20</v>
      </c>
      <c r="O2420">
        <v>46301</v>
      </c>
      <c r="P2420">
        <v>161</v>
      </c>
    </row>
    <row r="2421" spans="1:16" x14ac:dyDescent="0.4">
      <c r="A2421">
        <v>1991</v>
      </c>
      <c r="B2421" t="s">
        <v>4915</v>
      </c>
      <c r="G2421" t="s">
        <v>1662</v>
      </c>
      <c r="H2421" t="s">
        <v>1661</v>
      </c>
      <c r="I2421">
        <v>182</v>
      </c>
      <c r="K2421" t="s">
        <v>5026</v>
      </c>
      <c r="L2421">
        <v>46295</v>
      </c>
      <c r="M2421">
        <v>102925</v>
      </c>
      <c r="N2421">
        <v>20</v>
      </c>
      <c r="O2421">
        <v>46301</v>
      </c>
      <c r="P2421">
        <v>162</v>
      </c>
    </row>
    <row r="2422" spans="1:16" x14ac:dyDescent="0.4">
      <c r="A2422">
        <v>1770</v>
      </c>
      <c r="B2422" t="s">
        <v>4915</v>
      </c>
      <c r="G2422" t="s">
        <v>1370</v>
      </c>
      <c r="H2422" t="s">
        <v>1369</v>
      </c>
      <c r="I2422">
        <v>184</v>
      </c>
      <c r="K2422" t="s">
        <v>5123</v>
      </c>
      <c r="L2422">
        <v>46294</v>
      </c>
      <c r="M2422">
        <v>102925</v>
      </c>
      <c r="N2422">
        <v>20</v>
      </c>
      <c r="O2422">
        <v>46301</v>
      </c>
      <c r="P2422">
        <v>164</v>
      </c>
    </row>
    <row r="2423" spans="1:16" x14ac:dyDescent="0.4">
      <c r="A2423">
        <v>1772</v>
      </c>
      <c r="B2423" t="s">
        <v>4915</v>
      </c>
      <c r="G2423" t="s">
        <v>1664</v>
      </c>
      <c r="H2423" t="s">
        <v>1663</v>
      </c>
      <c r="I2423">
        <v>197</v>
      </c>
      <c r="K2423" t="s">
        <v>5038</v>
      </c>
      <c r="L2423">
        <v>46294</v>
      </c>
      <c r="M2423">
        <v>102925</v>
      </c>
      <c r="N2423">
        <v>20</v>
      </c>
      <c r="O2423">
        <v>46301</v>
      </c>
      <c r="P2423">
        <v>177</v>
      </c>
    </row>
    <row r="2424" spans="1:16" x14ac:dyDescent="0.4">
      <c r="A2424">
        <v>1751</v>
      </c>
      <c r="B2424" t="s">
        <v>4915</v>
      </c>
      <c r="G2424" t="s">
        <v>1992</v>
      </c>
      <c r="H2424" t="s">
        <v>1991</v>
      </c>
      <c r="I2424">
        <v>213</v>
      </c>
      <c r="K2424" t="s">
        <v>5144</v>
      </c>
      <c r="L2424">
        <v>46294</v>
      </c>
      <c r="M2424">
        <v>102925</v>
      </c>
      <c r="N2424">
        <v>20</v>
      </c>
      <c r="O2424">
        <v>46301</v>
      </c>
      <c r="P2424">
        <v>193</v>
      </c>
    </row>
    <row r="2425" spans="1:16" x14ac:dyDescent="0.4">
      <c r="A2425">
        <v>1746</v>
      </c>
      <c r="B2425" t="s">
        <v>4915</v>
      </c>
      <c r="G2425" t="s">
        <v>1522</v>
      </c>
      <c r="H2425" t="s">
        <v>1521</v>
      </c>
      <c r="I2425">
        <v>221</v>
      </c>
      <c r="K2425" t="s">
        <v>5074</v>
      </c>
      <c r="L2425">
        <v>46294</v>
      </c>
      <c r="M2425">
        <v>102925</v>
      </c>
      <c r="N2425">
        <v>20</v>
      </c>
      <c r="O2425">
        <v>46301</v>
      </c>
      <c r="P2425">
        <v>201</v>
      </c>
    </row>
    <row r="2426" spans="1:16" x14ac:dyDescent="0.4">
      <c r="A2426">
        <v>1773</v>
      </c>
      <c r="B2426" t="s">
        <v>4915</v>
      </c>
      <c r="G2426" t="s">
        <v>1666</v>
      </c>
      <c r="H2426" t="s">
        <v>1665</v>
      </c>
      <c r="I2426">
        <v>240</v>
      </c>
      <c r="K2426" t="s">
        <v>5038</v>
      </c>
      <c r="L2426">
        <v>46294</v>
      </c>
      <c r="M2426">
        <v>102925</v>
      </c>
      <c r="N2426">
        <v>20</v>
      </c>
      <c r="O2426">
        <v>46301</v>
      </c>
      <c r="P2426">
        <v>220</v>
      </c>
    </row>
    <row r="2427" spans="1:16" x14ac:dyDescent="0.4">
      <c r="A2427">
        <v>1922</v>
      </c>
      <c r="B2427" t="s">
        <v>4915</v>
      </c>
      <c r="G2427" t="s">
        <v>1867</v>
      </c>
      <c r="H2427" t="s">
        <v>1866</v>
      </c>
      <c r="I2427">
        <v>241</v>
      </c>
      <c r="K2427" t="s">
        <v>5081</v>
      </c>
      <c r="L2427">
        <v>46295</v>
      </c>
      <c r="M2427">
        <v>102925</v>
      </c>
      <c r="N2427">
        <v>20</v>
      </c>
      <c r="O2427">
        <v>46301</v>
      </c>
      <c r="P2427">
        <v>221</v>
      </c>
    </row>
    <row r="2428" spans="1:16" x14ac:dyDescent="0.4">
      <c r="A2428">
        <v>1753</v>
      </c>
      <c r="B2428" t="s">
        <v>4915</v>
      </c>
      <c r="G2428" t="s">
        <v>1994</v>
      </c>
      <c r="H2428" t="s">
        <v>1993</v>
      </c>
      <c r="I2428">
        <v>243</v>
      </c>
      <c r="K2428" t="s">
        <v>5144</v>
      </c>
      <c r="L2428">
        <v>46294</v>
      </c>
      <c r="M2428">
        <v>102925</v>
      </c>
      <c r="N2428">
        <v>20</v>
      </c>
      <c r="O2428">
        <v>46301</v>
      </c>
      <c r="P2428">
        <v>223</v>
      </c>
    </row>
    <row r="2429" spans="1:16" x14ac:dyDescent="0.4">
      <c r="A2429">
        <v>1769</v>
      </c>
      <c r="B2429" t="s">
        <v>4915</v>
      </c>
      <c r="G2429" t="s">
        <v>1314</v>
      </c>
      <c r="H2429" t="s">
        <v>1313</v>
      </c>
      <c r="I2429">
        <v>244</v>
      </c>
      <c r="K2429" t="s">
        <v>4995</v>
      </c>
      <c r="L2429">
        <v>46294</v>
      </c>
      <c r="M2429">
        <v>102925</v>
      </c>
      <c r="N2429">
        <v>20</v>
      </c>
      <c r="O2429">
        <v>46301</v>
      </c>
      <c r="P2429">
        <v>224</v>
      </c>
    </row>
    <row r="2430" spans="1:16" x14ac:dyDescent="0.4">
      <c r="A2430">
        <v>2108</v>
      </c>
      <c r="B2430" t="s">
        <v>4915</v>
      </c>
      <c r="G2430" t="s">
        <v>1530</v>
      </c>
      <c r="H2430" t="s">
        <v>5124</v>
      </c>
      <c r="I2430">
        <v>260</v>
      </c>
      <c r="K2430" t="s">
        <v>5125</v>
      </c>
      <c r="L2430">
        <v>46286</v>
      </c>
      <c r="M2430">
        <v>102925</v>
      </c>
      <c r="N2430">
        <v>40</v>
      </c>
      <c r="O2430">
        <v>46301</v>
      </c>
      <c r="P2430">
        <v>220</v>
      </c>
    </row>
    <row r="2431" spans="1:16" x14ac:dyDescent="0.4">
      <c r="A2431">
        <v>1747</v>
      </c>
      <c r="B2431" t="s">
        <v>4915</v>
      </c>
      <c r="G2431" t="s">
        <v>1856</v>
      </c>
      <c r="H2431" t="s">
        <v>1855</v>
      </c>
      <c r="I2431">
        <v>267</v>
      </c>
      <c r="K2431" t="s">
        <v>5140</v>
      </c>
      <c r="L2431">
        <v>46294</v>
      </c>
      <c r="M2431">
        <v>102925</v>
      </c>
      <c r="N2431">
        <v>20</v>
      </c>
      <c r="O2431">
        <v>46301</v>
      </c>
      <c r="P2431">
        <v>247</v>
      </c>
    </row>
    <row r="2432" spans="1:16" x14ac:dyDescent="0.4">
      <c r="A2432">
        <v>2279</v>
      </c>
      <c r="B2432" t="s">
        <v>4915</v>
      </c>
      <c r="G2432" t="s">
        <v>2746</v>
      </c>
      <c r="H2432" t="s">
        <v>2745</v>
      </c>
      <c r="I2432">
        <v>272</v>
      </c>
      <c r="K2432" t="s">
        <v>4948</v>
      </c>
      <c r="L2432">
        <v>46303</v>
      </c>
      <c r="M2432">
        <v>102925</v>
      </c>
      <c r="N2432">
        <v>20</v>
      </c>
      <c r="O2432">
        <v>46301</v>
      </c>
      <c r="P2432">
        <v>252</v>
      </c>
    </row>
    <row r="2433" spans="1:16" x14ac:dyDescent="0.4">
      <c r="A2433">
        <v>2107</v>
      </c>
      <c r="B2433" t="s">
        <v>4915</v>
      </c>
      <c r="G2433" t="s">
        <v>1349</v>
      </c>
      <c r="H2433" t="s">
        <v>1348</v>
      </c>
      <c r="I2433">
        <v>279</v>
      </c>
      <c r="K2433" t="s">
        <v>5039</v>
      </c>
      <c r="L2433">
        <v>46286</v>
      </c>
      <c r="M2433">
        <v>102925</v>
      </c>
      <c r="N2433">
        <v>20</v>
      </c>
      <c r="O2433">
        <v>46301</v>
      </c>
      <c r="P2433">
        <v>259</v>
      </c>
    </row>
    <row r="2434" spans="1:16" x14ac:dyDescent="0.4">
      <c r="A2434">
        <v>1760</v>
      </c>
      <c r="B2434" t="s">
        <v>4915</v>
      </c>
      <c r="G2434" t="s">
        <v>1980</v>
      </c>
      <c r="H2434" t="s">
        <v>1979</v>
      </c>
      <c r="I2434">
        <v>283</v>
      </c>
      <c r="K2434" t="s">
        <v>5141</v>
      </c>
      <c r="L2434">
        <v>46294</v>
      </c>
      <c r="M2434">
        <v>102925</v>
      </c>
      <c r="N2434">
        <v>20</v>
      </c>
      <c r="O2434">
        <v>46301</v>
      </c>
      <c r="P2434">
        <v>263</v>
      </c>
    </row>
    <row r="2435" spans="1:16" x14ac:dyDescent="0.4">
      <c r="A2435">
        <v>1992</v>
      </c>
      <c r="B2435" t="s">
        <v>4915</v>
      </c>
      <c r="G2435" t="s">
        <v>1334</v>
      </c>
      <c r="H2435" t="s">
        <v>5112</v>
      </c>
      <c r="I2435">
        <v>296</v>
      </c>
      <c r="K2435" t="s">
        <v>5113</v>
      </c>
      <c r="L2435">
        <v>46295</v>
      </c>
      <c r="M2435">
        <v>102925</v>
      </c>
      <c r="N2435">
        <v>20</v>
      </c>
      <c r="O2435">
        <v>46301</v>
      </c>
      <c r="P2435">
        <v>276</v>
      </c>
    </row>
    <row r="2436" spans="1:16" x14ac:dyDescent="0.4">
      <c r="A2436">
        <v>1925</v>
      </c>
      <c r="B2436" t="s">
        <v>4915</v>
      </c>
      <c r="G2436" t="s">
        <v>969</v>
      </c>
      <c r="H2436" t="s">
        <v>4931</v>
      </c>
      <c r="I2436">
        <v>299</v>
      </c>
      <c r="K2436" t="s">
        <v>4932</v>
      </c>
      <c r="L2436">
        <v>46295</v>
      </c>
      <c r="M2436">
        <v>102925</v>
      </c>
      <c r="N2436">
        <v>20</v>
      </c>
      <c r="O2436">
        <v>46301</v>
      </c>
      <c r="P2436">
        <v>279</v>
      </c>
    </row>
    <row r="2437" spans="1:16" x14ac:dyDescent="0.4">
      <c r="A2437">
        <v>2117</v>
      </c>
      <c r="B2437" t="s">
        <v>4915</v>
      </c>
      <c r="G2437" t="s">
        <v>1584</v>
      </c>
      <c r="H2437" t="s">
        <v>1583</v>
      </c>
      <c r="I2437">
        <v>337</v>
      </c>
      <c r="K2437" t="s">
        <v>5037</v>
      </c>
      <c r="L2437">
        <v>46286</v>
      </c>
      <c r="M2437">
        <v>102925</v>
      </c>
      <c r="N2437">
        <v>20</v>
      </c>
      <c r="O2437">
        <v>46301</v>
      </c>
      <c r="P2437">
        <v>317</v>
      </c>
    </row>
    <row r="2438" spans="1:16" x14ac:dyDescent="0.4">
      <c r="A2438">
        <v>2118</v>
      </c>
      <c r="B2438" t="s">
        <v>4915</v>
      </c>
      <c r="G2438" t="s">
        <v>1532</v>
      </c>
      <c r="H2438" t="s">
        <v>1531</v>
      </c>
      <c r="I2438">
        <v>344</v>
      </c>
      <c r="K2438" t="s">
        <v>5024</v>
      </c>
      <c r="L2438">
        <v>46286</v>
      </c>
      <c r="M2438">
        <v>102925</v>
      </c>
      <c r="N2438">
        <v>20</v>
      </c>
      <c r="O2438">
        <v>46301</v>
      </c>
      <c r="P2438">
        <v>324</v>
      </c>
    </row>
    <row r="2439" spans="1:16" x14ac:dyDescent="0.4">
      <c r="A2439">
        <v>2112</v>
      </c>
      <c r="B2439" t="s">
        <v>4915</v>
      </c>
      <c r="G2439" t="s">
        <v>1347</v>
      </c>
      <c r="H2439" t="s">
        <v>1346</v>
      </c>
      <c r="I2439">
        <v>374</v>
      </c>
      <c r="K2439" t="s">
        <v>5041</v>
      </c>
      <c r="L2439">
        <v>46286</v>
      </c>
      <c r="M2439">
        <v>102925</v>
      </c>
      <c r="N2439">
        <v>40</v>
      </c>
      <c r="O2439">
        <v>46301</v>
      </c>
      <c r="P2439">
        <v>334</v>
      </c>
    </row>
    <row r="2440" spans="1:16" x14ac:dyDescent="0.4">
      <c r="A2440">
        <v>2111</v>
      </c>
      <c r="B2440" t="s">
        <v>4915</v>
      </c>
      <c r="G2440" t="s">
        <v>1710</v>
      </c>
      <c r="H2440" t="s">
        <v>1709</v>
      </c>
      <c r="I2440">
        <v>389</v>
      </c>
      <c r="K2440" t="s">
        <v>5123</v>
      </c>
      <c r="L2440">
        <v>46286</v>
      </c>
      <c r="M2440">
        <v>102925</v>
      </c>
      <c r="N2440">
        <v>20</v>
      </c>
      <c r="O2440">
        <v>46301</v>
      </c>
      <c r="P2440">
        <v>369</v>
      </c>
    </row>
    <row r="2441" spans="1:16" x14ac:dyDescent="0.4">
      <c r="A2441">
        <v>2280</v>
      </c>
      <c r="B2441" t="s">
        <v>4915</v>
      </c>
      <c r="G2441" t="s">
        <v>2780</v>
      </c>
      <c r="H2441" t="s">
        <v>2779</v>
      </c>
      <c r="I2441">
        <v>406</v>
      </c>
      <c r="K2441" t="s">
        <v>4949</v>
      </c>
      <c r="L2441">
        <v>46303</v>
      </c>
      <c r="M2441">
        <v>102925</v>
      </c>
      <c r="N2441">
        <v>20</v>
      </c>
      <c r="O2441">
        <v>46301</v>
      </c>
      <c r="P2441">
        <v>386</v>
      </c>
    </row>
    <row r="2442" spans="1:16" x14ac:dyDescent="0.4">
      <c r="A2442">
        <v>2113</v>
      </c>
      <c r="B2442" t="s">
        <v>4915</v>
      </c>
      <c r="G2442" t="s">
        <v>2757</v>
      </c>
      <c r="H2442" t="s">
        <v>2756</v>
      </c>
      <c r="I2442">
        <v>432</v>
      </c>
      <c r="K2442" t="s">
        <v>4872</v>
      </c>
      <c r="L2442">
        <v>46286</v>
      </c>
      <c r="M2442">
        <v>102925</v>
      </c>
      <c r="N2442">
        <v>20</v>
      </c>
      <c r="O2442">
        <v>46301</v>
      </c>
      <c r="P2442">
        <v>412</v>
      </c>
    </row>
    <row r="2443" spans="1:16" x14ac:dyDescent="0.4">
      <c r="A2443">
        <v>1748</v>
      </c>
      <c r="B2443" t="s">
        <v>4915</v>
      </c>
      <c r="G2443" t="s">
        <v>1895</v>
      </c>
      <c r="H2443" t="s">
        <v>1894</v>
      </c>
      <c r="I2443">
        <v>439</v>
      </c>
      <c r="K2443" t="s">
        <v>5024</v>
      </c>
      <c r="L2443">
        <v>46294</v>
      </c>
      <c r="M2443">
        <v>102925</v>
      </c>
      <c r="N2443">
        <v>20</v>
      </c>
      <c r="O2443">
        <v>46301</v>
      </c>
      <c r="P2443">
        <v>419</v>
      </c>
    </row>
    <row r="2444" spans="1:16" x14ac:dyDescent="0.4">
      <c r="A2444">
        <v>2114</v>
      </c>
      <c r="B2444" t="s">
        <v>4915</v>
      </c>
      <c r="G2444" t="s">
        <v>1582</v>
      </c>
      <c r="H2444" t="s">
        <v>1581</v>
      </c>
      <c r="I2444">
        <v>521</v>
      </c>
      <c r="K2444" t="s">
        <v>5129</v>
      </c>
      <c r="L2444">
        <v>46286</v>
      </c>
      <c r="M2444">
        <v>102925</v>
      </c>
      <c r="N2444">
        <v>20</v>
      </c>
      <c r="O2444">
        <v>46301</v>
      </c>
      <c r="P2444">
        <v>501</v>
      </c>
    </row>
    <row r="2445" spans="1:16" x14ac:dyDescent="0.4">
      <c r="A2445">
        <v>1744</v>
      </c>
      <c r="B2445" t="s">
        <v>4915</v>
      </c>
      <c r="G2445" t="s">
        <v>1847</v>
      </c>
      <c r="H2445" t="s">
        <v>1846</v>
      </c>
      <c r="I2445">
        <v>550</v>
      </c>
      <c r="K2445" t="s">
        <v>5140</v>
      </c>
      <c r="L2445">
        <v>46294</v>
      </c>
      <c r="M2445">
        <v>102925</v>
      </c>
      <c r="N2445">
        <v>20</v>
      </c>
      <c r="O2445">
        <v>46301</v>
      </c>
      <c r="P2445">
        <v>530</v>
      </c>
    </row>
    <row r="2446" spans="1:16" x14ac:dyDescent="0.4">
      <c r="A2446">
        <v>2119</v>
      </c>
      <c r="B2446" t="s">
        <v>4915</v>
      </c>
      <c r="G2446" t="s">
        <v>1600</v>
      </c>
      <c r="H2446" t="s">
        <v>1599</v>
      </c>
      <c r="I2446">
        <v>631</v>
      </c>
      <c r="K2446" t="s">
        <v>5037</v>
      </c>
      <c r="L2446">
        <v>46286</v>
      </c>
      <c r="M2446">
        <v>102925</v>
      </c>
      <c r="N2446">
        <v>20</v>
      </c>
      <c r="O2446">
        <v>46301</v>
      </c>
      <c r="P2446">
        <v>611</v>
      </c>
    </row>
    <row r="2447" spans="1:16" x14ac:dyDescent="0.4">
      <c r="A2447">
        <v>2116</v>
      </c>
      <c r="B2447" t="s">
        <v>4915</v>
      </c>
      <c r="G2447" t="s">
        <v>1331</v>
      </c>
      <c r="H2447" t="s">
        <v>5133</v>
      </c>
      <c r="I2447">
        <v>684</v>
      </c>
      <c r="K2447" t="s">
        <v>5134</v>
      </c>
      <c r="L2447">
        <v>46286</v>
      </c>
      <c r="M2447">
        <v>102925</v>
      </c>
      <c r="N2447">
        <v>20</v>
      </c>
      <c r="O2447">
        <v>46301</v>
      </c>
      <c r="P2447">
        <v>664</v>
      </c>
    </row>
    <row r="2448" spans="1:16" x14ac:dyDescent="0.4">
      <c r="A2448">
        <v>1937</v>
      </c>
      <c r="B2448" t="s">
        <v>4915</v>
      </c>
      <c r="G2448" t="s">
        <v>1159</v>
      </c>
      <c r="H2448" t="s">
        <v>1158</v>
      </c>
      <c r="I2448">
        <v>41</v>
      </c>
      <c r="K2448" t="s">
        <v>4970</v>
      </c>
      <c r="L2448">
        <v>46288</v>
      </c>
      <c r="M2448">
        <v>102926</v>
      </c>
      <c r="N2448">
        <v>17</v>
      </c>
      <c r="O2448">
        <v>46302</v>
      </c>
      <c r="P2448">
        <v>24</v>
      </c>
    </row>
    <row r="2449" spans="1:16" x14ac:dyDescent="0.4">
      <c r="A2449">
        <v>1881</v>
      </c>
      <c r="B2449" t="s">
        <v>4915</v>
      </c>
      <c r="G2449" t="s">
        <v>628</v>
      </c>
      <c r="H2449" t="s">
        <v>627</v>
      </c>
      <c r="I2449">
        <v>58</v>
      </c>
      <c r="K2449" t="s">
        <v>4965</v>
      </c>
      <c r="L2449">
        <v>46295</v>
      </c>
      <c r="M2449">
        <v>102926</v>
      </c>
      <c r="N2449">
        <v>20</v>
      </c>
      <c r="O2449">
        <v>46302</v>
      </c>
      <c r="P2449">
        <v>38</v>
      </c>
    </row>
    <row r="2450" spans="1:16" x14ac:dyDescent="0.4">
      <c r="A2450">
        <v>1887</v>
      </c>
      <c r="B2450" t="s">
        <v>4915</v>
      </c>
      <c r="G2450" t="s">
        <v>2622</v>
      </c>
      <c r="H2450" t="s">
        <v>2621</v>
      </c>
      <c r="I2450">
        <v>61</v>
      </c>
      <c r="K2450" t="s">
        <v>5036</v>
      </c>
      <c r="L2450">
        <v>46295</v>
      </c>
      <c r="M2450">
        <v>102926</v>
      </c>
      <c r="N2450">
        <v>20</v>
      </c>
      <c r="O2450">
        <v>46302</v>
      </c>
      <c r="P2450">
        <v>41</v>
      </c>
    </row>
    <row r="2451" spans="1:16" x14ac:dyDescent="0.4">
      <c r="A2451">
        <v>1621</v>
      </c>
      <c r="B2451" t="s">
        <v>4915</v>
      </c>
      <c r="D2451" t="s">
        <v>4901</v>
      </c>
      <c r="E2451" t="s">
        <v>5164</v>
      </c>
      <c r="F2451" t="s">
        <v>5147</v>
      </c>
      <c r="G2451" t="s">
        <v>1199</v>
      </c>
      <c r="H2451" t="s">
        <v>1198</v>
      </c>
      <c r="I2451">
        <v>80</v>
      </c>
      <c r="K2451" t="s">
        <v>4966</v>
      </c>
      <c r="L2451">
        <v>46280</v>
      </c>
      <c r="M2451">
        <v>102926</v>
      </c>
      <c r="N2451">
        <v>20</v>
      </c>
      <c r="O2451">
        <v>46302</v>
      </c>
      <c r="P2451">
        <v>60</v>
      </c>
    </row>
    <row r="2452" spans="1:16" x14ac:dyDescent="0.4">
      <c r="A2452">
        <v>1884</v>
      </c>
      <c r="B2452" t="s">
        <v>4915</v>
      </c>
      <c r="G2452" t="s">
        <v>1854</v>
      </c>
      <c r="H2452" t="s">
        <v>1853</v>
      </c>
      <c r="I2452">
        <v>94</v>
      </c>
      <c r="K2452" t="s">
        <v>4866</v>
      </c>
      <c r="L2452">
        <v>46295</v>
      </c>
      <c r="M2452">
        <v>102926</v>
      </c>
      <c r="N2452">
        <v>20</v>
      </c>
      <c r="O2452">
        <v>46302</v>
      </c>
      <c r="P2452">
        <v>74</v>
      </c>
    </row>
    <row r="2453" spans="1:16" x14ac:dyDescent="0.4">
      <c r="A2453">
        <v>1886</v>
      </c>
      <c r="B2453" t="s">
        <v>4915</v>
      </c>
      <c r="G2453" t="s">
        <v>2809</v>
      </c>
      <c r="H2453" t="s">
        <v>2808</v>
      </c>
      <c r="I2453">
        <v>141</v>
      </c>
      <c r="K2453" t="s">
        <v>4869</v>
      </c>
      <c r="L2453">
        <v>46295</v>
      </c>
      <c r="M2453">
        <v>102926</v>
      </c>
      <c r="N2453">
        <v>20</v>
      </c>
      <c r="O2453">
        <v>46302</v>
      </c>
      <c r="P2453">
        <v>121</v>
      </c>
    </row>
    <row r="2454" spans="1:16" x14ac:dyDescent="0.4">
      <c r="A2454">
        <v>1891</v>
      </c>
      <c r="B2454" t="s">
        <v>4915</v>
      </c>
      <c r="G2454" t="s">
        <v>1562</v>
      </c>
      <c r="H2454" t="s">
        <v>1561</v>
      </c>
      <c r="I2454">
        <v>148</v>
      </c>
      <c r="K2454" t="s">
        <v>4968</v>
      </c>
      <c r="L2454">
        <v>46295</v>
      </c>
      <c r="M2454">
        <v>102926</v>
      </c>
      <c r="N2454">
        <v>20</v>
      </c>
      <c r="O2454">
        <v>46302</v>
      </c>
      <c r="P2454">
        <v>128</v>
      </c>
    </row>
    <row r="2455" spans="1:16" x14ac:dyDescent="0.4">
      <c r="A2455">
        <v>1882</v>
      </c>
      <c r="B2455" t="s">
        <v>4915</v>
      </c>
      <c r="G2455" t="s">
        <v>658</v>
      </c>
      <c r="H2455" t="s">
        <v>657</v>
      </c>
      <c r="I2455">
        <v>154</v>
      </c>
      <c r="K2455" t="s">
        <v>4967</v>
      </c>
      <c r="L2455">
        <v>46295</v>
      </c>
      <c r="M2455">
        <v>102926</v>
      </c>
      <c r="N2455">
        <v>20</v>
      </c>
      <c r="O2455">
        <v>46302</v>
      </c>
      <c r="P2455">
        <v>134</v>
      </c>
    </row>
    <row r="2456" spans="1:16" x14ac:dyDescent="0.4">
      <c r="A2456">
        <v>1880</v>
      </c>
      <c r="B2456" t="s">
        <v>4915</v>
      </c>
      <c r="G2456" t="s">
        <v>1001</v>
      </c>
      <c r="H2456" t="s">
        <v>1000</v>
      </c>
      <c r="I2456">
        <v>236</v>
      </c>
      <c r="K2456" t="s">
        <v>4851</v>
      </c>
      <c r="L2456">
        <v>46295</v>
      </c>
      <c r="M2456">
        <v>102926</v>
      </c>
      <c r="N2456">
        <v>20</v>
      </c>
      <c r="O2456">
        <v>46302</v>
      </c>
      <c r="P2456">
        <v>216</v>
      </c>
    </row>
    <row r="2457" spans="1:16" x14ac:dyDescent="0.4">
      <c r="A2457">
        <v>2097</v>
      </c>
      <c r="B2457" t="s">
        <v>4915</v>
      </c>
      <c r="G2457" t="s">
        <v>2503</v>
      </c>
      <c r="H2457" t="s">
        <v>2502</v>
      </c>
      <c r="I2457">
        <v>280</v>
      </c>
      <c r="K2457" t="s">
        <v>4970</v>
      </c>
      <c r="L2457">
        <v>46287</v>
      </c>
      <c r="M2457">
        <v>102926</v>
      </c>
      <c r="N2457">
        <v>80</v>
      </c>
      <c r="O2457">
        <v>46302</v>
      </c>
      <c r="P2457">
        <v>200</v>
      </c>
    </row>
    <row r="2458" spans="1:16" x14ac:dyDescent="0.4">
      <c r="A2458">
        <v>1890</v>
      </c>
      <c r="B2458" t="s">
        <v>4915</v>
      </c>
      <c r="G2458" t="s">
        <v>1389</v>
      </c>
      <c r="H2458" t="s">
        <v>1388</v>
      </c>
      <c r="I2458">
        <v>294</v>
      </c>
      <c r="K2458" t="s">
        <v>4968</v>
      </c>
      <c r="L2458">
        <v>46295</v>
      </c>
      <c r="M2458">
        <v>102926</v>
      </c>
      <c r="N2458">
        <v>20</v>
      </c>
      <c r="O2458">
        <v>46302</v>
      </c>
      <c r="P2458">
        <v>274</v>
      </c>
    </row>
    <row r="2459" spans="1:16" x14ac:dyDescent="0.4">
      <c r="A2459">
        <v>1889</v>
      </c>
      <c r="B2459" t="s">
        <v>4915</v>
      </c>
      <c r="G2459" t="s">
        <v>1387</v>
      </c>
      <c r="H2459" t="s">
        <v>1386</v>
      </c>
      <c r="I2459">
        <v>378</v>
      </c>
      <c r="K2459" t="s">
        <v>4968</v>
      </c>
      <c r="L2459">
        <v>46295</v>
      </c>
      <c r="M2459">
        <v>102926</v>
      </c>
      <c r="N2459">
        <v>20</v>
      </c>
      <c r="O2459">
        <v>46302</v>
      </c>
      <c r="P2459">
        <v>358</v>
      </c>
    </row>
    <row r="2460" spans="1:16" x14ac:dyDescent="0.4">
      <c r="A2460">
        <v>1885</v>
      </c>
      <c r="B2460" t="s">
        <v>4915</v>
      </c>
      <c r="G2460" t="s">
        <v>1146</v>
      </c>
      <c r="H2460" t="s">
        <v>1145</v>
      </c>
      <c r="I2460">
        <v>388</v>
      </c>
      <c r="K2460" t="s">
        <v>4871</v>
      </c>
      <c r="L2460">
        <v>46295</v>
      </c>
      <c r="M2460">
        <v>102926</v>
      </c>
      <c r="N2460">
        <v>20</v>
      </c>
      <c r="O2460">
        <v>46302</v>
      </c>
      <c r="P2460">
        <v>368</v>
      </c>
    </row>
    <row r="2461" spans="1:16" x14ac:dyDescent="0.4">
      <c r="A2461">
        <v>1892</v>
      </c>
      <c r="B2461" t="s">
        <v>4915</v>
      </c>
      <c r="G2461" t="s">
        <v>1587</v>
      </c>
      <c r="H2461" t="s">
        <v>1586</v>
      </c>
      <c r="I2461">
        <v>450</v>
      </c>
      <c r="K2461" t="s">
        <v>4970</v>
      </c>
      <c r="L2461">
        <v>46295</v>
      </c>
      <c r="M2461">
        <v>102926</v>
      </c>
      <c r="N2461">
        <v>40</v>
      </c>
      <c r="O2461">
        <v>46302</v>
      </c>
      <c r="P2461">
        <v>410</v>
      </c>
    </row>
    <row r="2462" spans="1:16" x14ac:dyDescent="0.4">
      <c r="A2462">
        <v>1605</v>
      </c>
      <c r="B2462" t="s">
        <v>4915</v>
      </c>
      <c r="G2462" t="s">
        <v>748</v>
      </c>
      <c r="H2462" t="s">
        <v>747</v>
      </c>
      <c r="I2462">
        <v>5</v>
      </c>
      <c r="K2462" t="s">
        <v>4956</v>
      </c>
      <c r="L2462">
        <v>46282</v>
      </c>
      <c r="M2462">
        <v>102928</v>
      </c>
      <c r="N2462">
        <v>5</v>
      </c>
      <c r="O2462">
        <v>46302</v>
      </c>
      <c r="P2462">
        <v>0</v>
      </c>
    </row>
    <row r="2463" spans="1:16" x14ac:dyDescent="0.4">
      <c r="A2463">
        <v>1592</v>
      </c>
      <c r="B2463" t="s">
        <v>4915</v>
      </c>
      <c r="G2463" t="s">
        <v>479</v>
      </c>
      <c r="H2463" t="s">
        <v>4959</v>
      </c>
      <c r="I2463">
        <v>8</v>
      </c>
      <c r="K2463" t="s">
        <v>4864</v>
      </c>
      <c r="L2463">
        <v>46282</v>
      </c>
      <c r="M2463">
        <v>102928</v>
      </c>
      <c r="N2463">
        <v>8</v>
      </c>
      <c r="O2463">
        <v>46302</v>
      </c>
      <c r="P2463">
        <v>0</v>
      </c>
    </row>
    <row r="2464" spans="1:16" x14ac:dyDescent="0.4">
      <c r="A2464">
        <v>1593</v>
      </c>
      <c r="B2464" t="s">
        <v>4915</v>
      </c>
      <c r="G2464" t="s">
        <v>844</v>
      </c>
      <c r="H2464" t="s">
        <v>843</v>
      </c>
      <c r="I2464">
        <v>31</v>
      </c>
      <c r="K2464" t="s">
        <v>4957</v>
      </c>
      <c r="L2464">
        <v>46282</v>
      </c>
      <c r="M2464">
        <v>102928</v>
      </c>
      <c r="N2464">
        <v>20</v>
      </c>
      <c r="O2464">
        <v>46302</v>
      </c>
      <c r="P2464">
        <v>11</v>
      </c>
    </row>
    <row r="2465" spans="1:16" x14ac:dyDescent="0.4">
      <c r="A2465">
        <v>1714</v>
      </c>
      <c r="B2465" t="s">
        <v>4915</v>
      </c>
      <c r="G2465" t="s">
        <v>2457</v>
      </c>
      <c r="H2465" t="s">
        <v>2456</v>
      </c>
      <c r="I2465">
        <v>50</v>
      </c>
      <c r="K2465" t="s">
        <v>4954</v>
      </c>
      <c r="L2465">
        <v>46288</v>
      </c>
      <c r="M2465">
        <v>102928</v>
      </c>
      <c r="N2465">
        <v>20</v>
      </c>
      <c r="O2465">
        <v>46302</v>
      </c>
      <c r="P2465">
        <v>30</v>
      </c>
    </row>
    <row r="2466" spans="1:16" x14ac:dyDescent="0.4">
      <c r="A2466">
        <v>1604</v>
      </c>
      <c r="B2466" t="s">
        <v>4915</v>
      </c>
      <c r="G2466" t="s">
        <v>750</v>
      </c>
      <c r="H2466" t="s">
        <v>749</v>
      </c>
      <c r="I2466">
        <v>58</v>
      </c>
      <c r="K2466" t="s">
        <v>4956</v>
      </c>
      <c r="L2466">
        <v>46282</v>
      </c>
      <c r="M2466">
        <v>102928</v>
      </c>
      <c r="N2466">
        <v>20</v>
      </c>
      <c r="O2466">
        <v>46302</v>
      </c>
      <c r="P2466">
        <v>38</v>
      </c>
    </row>
    <row r="2467" spans="1:16" x14ac:dyDescent="0.4">
      <c r="A2467">
        <v>1608</v>
      </c>
      <c r="B2467" t="s">
        <v>4915</v>
      </c>
      <c r="G2467" t="s">
        <v>2499</v>
      </c>
      <c r="H2467" t="s">
        <v>2498</v>
      </c>
      <c r="I2467">
        <v>60</v>
      </c>
      <c r="K2467" t="s">
        <v>4955</v>
      </c>
      <c r="L2467">
        <v>46282</v>
      </c>
      <c r="M2467">
        <v>102928</v>
      </c>
      <c r="N2467">
        <v>40</v>
      </c>
      <c r="O2467">
        <v>46302</v>
      </c>
      <c r="P2467">
        <v>20</v>
      </c>
    </row>
    <row r="2468" spans="1:16" x14ac:dyDescent="0.4">
      <c r="A2468">
        <v>1603</v>
      </c>
      <c r="B2468" t="s">
        <v>4915</v>
      </c>
      <c r="G2468" t="s">
        <v>631</v>
      </c>
      <c r="H2468" t="s">
        <v>4964</v>
      </c>
      <c r="I2468">
        <v>67</v>
      </c>
      <c r="K2468" t="s">
        <v>4864</v>
      </c>
      <c r="L2468">
        <v>46282</v>
      </c>
      <c r="M2468">
        <v>102928</v>
      </c>
      <c r="N2468">
        <v>20</v>
      </c>
      <c r="O2468">
        <v>46302</v>
      </c>
      <c r="P2468">
        <v>47</v>
      </c>
    </row>
    <row r="2469" spans="1:16" x14ac:dyDescent="0.4">
      <c r="A2469">
        <v>1490</v>
      </c>
      <c r="B2469" t="s">
        <v>4915</v>
      </c>
      <c r="G2469" t="s">
        <v>2601</v>
      </c>
      <c r="H2469" t="s">
        <v>2600</v>
      </c>
      <c r="I2469">
        <v>71</v>
      </c>
      <c r="K2469" t="s">
        <v>4851</v>
      </c>
      <c r="L2469">
        <v>46282</v>
      </c>
      <c r="M2469">
        <v>102928</v>
      </c>
      <c r="N2469">
        <v>40</v>
      </c>
      <c r="O2469">
        <v>46302</v>
      </c>
      <c r="P2469">
        <v>31</v>
      </c>
    </row>
    <row r="2470" spans="1:16" x14ac:dyDescent="0.4">
      <c r="A2470">
        <v>1591</v>
      </c>
      <c r="B2470" t="s">
        <v>4915</v>
      </c>
      <c r="G2470" t="s">
        <v>2473</v>
      </c>
      <c r="H2470" t="s">
        <v>2472</v>
      </c>
      <c r="I2470">
        <v>75</v>
      </c>
      <c r="K2470" t="s">
        <v>4958</v>
      </c>
      <c r="L2470">
        <v>46282</v>
      </c>
      <c r="M2470">
        <v>102928</v>
      </c>
      <c r="N2470">
        <v>20</v>
      </c>
      <c r="O2470">
        <v>46302</v>
      </c>
      <c r="P2470">
        <v>55</v>
      </c>
    </row>
    <row r="2471" spans="1:16" x14ac:dyDescent="0.4">
      <c r="A2471">
        <v>2456</v>
      </c>
      <c r="B2471" t="s">
        <v>4915</v>
      </c>
      <c r="D2471" t="s">
        <v>4901</v>
      </c>
      <c r="E2471" t="s">
        <v>5164</v>
      </c>
      <c r="F2471" t="s">
        <v>5147</v>
      </c>
      <c r="G2471" t="s">
        <v>748</v>
      </c>
      <c r="H2471" t="s">
        <v>747</v>
      </c>
      <c r="I2471">
        <v>100</v>
      </c>
      <c r="K2471" t="s">
        <v>4956</v>
      </c>
      <c r="L2471">
        <v>46280</v>
      </c>
      <c r="M2471">
        <v>102928</v>
      </c>
      <c r="N2471">
        <v>15</v>
      </c>
      <c r="O2471">
        <v>46302</v>
      </c>
      <c r="P2471">
        <v>85</v>
      </c>
    </row>
    <row r="2472" spans="1:16" x14ac:dyDescent="0.4">
      <c r="A2472">
        <v>2457</v>
      </c>
      <c r="B2472" t="s">
        <v>4915</v>
      </c>
      <c r="D2472" t="s">
        <v>4901</v>
      </c>
      <c r="E2472" t="s">
        <v>5148</v>
      </c>
      <c r="F2472" t="s">
        <v>4939</v>
      </c>
      <c r="G2472" t="s">
        <v>479</v>
      </c>
      <c r="H2472" t="s">
        <v>4959</v>
      </c>
      <c r="I2472">
        <v>100</v>
      </c>
      <c r="K2472" t="s">
        <v>4864</v>
      </c>
      <c r="L2472">
        <v>46279</v>
      </c>
      <c r="M2472">
        <v>102928</v>
      </c>
      <c r="N2472">
        <v>12</v>
      </c>
      <c r="O2472">
        <v>46302</v>
      </c>
      <c r="P2472">
        <v>88</v>
      </c>
    </row>
    <row r="2473" spans="1:16" x14ac:dyDescent="0.4">
      <c r="A2473">
        <v>1492</v>
      </c>
      <c r="B2473" t="s">
        <v>4915</v>
      </c>
      <c r="G2473" t="s">
        <v>2479</v>
      </c>
      <c r="H2473" t="s">
        <v>5138</v>
      </c>
      <c r="I2473">
        <v>114</v>
      </c>
      <c r="K2473" t="s">
        <v>5109</v>
      </c>
      <c r="L2473">
        <v>46282</v>
      </c>
      <c r="M2473">
        <v>102928</v>
      </c>
      <c r="N2473">
        <v>20</v>
      </c>
      <c r="O2473">
        <v>46302</v>
      </c>
      <c r="P2473">
        <v>94</v>
      </c>
    </row>
    <row r="2474" spans="1:16" x14ac:dyDescent="0.4">
      <c r="A2474">
        <v>1599</v>
      </c>
      <c r="B2474" t="s">
        <v>4915</v>
      </c>
      <c r="G2474" t="s">
        <v>2454</v>
      </c>
      <c r="H2474" t="s">
        <v>2453</v>
      </c>
      <c r="I2474">
        <v>133</v>
      </c>
      <c r="K2474" t="s">
        <v>4955</v>
      </c>
      <c r="L2474">
        <v>46282</v>
      </c>
      <c r="M2474">
        <v>102928</v>
      </c>
      <c r="N2474">
        <v>20</v>
      </c>
      <c r="O2474">
        <v>46302</v>
      </c>
      <c r="P2474">
        <v>113</v>
      </c>
    </row>
    <row r="2475" spans="1:16" x14ac:dyDescent="0.4">
      <c r="A2475">
        <v>1596</v>
      </c>
      <c r="B2475" t="s">
        <v>4915</v>
      </c>
      <c r="G2475" t="s">
        <v>2475</v>
      </c>
      <c r="H2475" t="s">
        <v>2474</v>
      </c>
      <c r="I2475">
        <v>153</v>
      </c>
      <c r="K2475" t="s">
        <v>4958</v>
      </c>
      <c r="L2475">
        <v>46282</v>
      </c>
      <c r="M2475">
        <v>102928</v>
      </c>
      <c r="N2475">
        <v>20</v>
      </c>
      <c r="O2475">
        <v>46302</v>
      </c>
      <c r="P2475">
        <v>133</v>
      </c>
    </row>
    <row r="2476" spans="1:16" x14ac:dyDescent="0.4">
      <c r="A2476">
        <v>1602</v>
      </c>
      <c r="B2476" t="s">
        <v>4915</v>
      </c>
      <c r="G2476" t="s">
        <v>633</v>
      </c>
      <c r="H2476" t="s">
        <v>4963</v>
      </c>
      <c r="I2476">
        <v>179</v>
      </c>
      <c r="K2476" t="s">
        <v>4864</v>
      </c>
      <c r="L2476">
        <v>46282</v>
      </c>
      <c r="M2476">
        <v>102928</v>
      </c>
      <c r="N2476">
        <v>20</v>
      </c>
      <c r="O2476">
        <v>46302</v>
      </c>
      <c r="P2476">
        <v>159</v>
      </c>
    </row>
    <row r="2477" spans="1:16" x14ac:dyDescent="0.4">
      <c r="A2477">
        <v>1606</v>
      </c>
      <c r="B2477" t="s">
        <v>4915</v>
      </c>
      <c r="G2477" t="s">
        <v>2784</v>
      </c>
      <c r="H2477" t="s">
        <v>2783</v>
      </c>
      <c r="I2477">
        <v>180</v>
      </c>
      <c r="K2477" t="s">
        <v>4869</v>
      </c>
      <c r="L2477">
        <v>46282</v>
      </c>
      <c r="M2477">
        <v>102928</v>
      </c>
      <c r="N2477">
        <v>20</v>
      </c>
      <c r="O2477">
        <v>46302</v>
      </c>
      <c r="P2477">
        <v>160</v>
      </c>
    </row>
    <row r="2478" spans="1:16" x14ac:dyDescent="0.4">
      <c r="A2478">
        <v>1607</v>
      </c>
      <c r="B2478" t="s">
        <v>4915</v>
      </c>
      <c r="G2478" t="s">
        <v>2782</v>
      </c>
      <c r="H2478" t="s">
        <v>2781</v>
      </c>
      <c r="I2478">
        <v>189</v>
      </c>
      <c r="K2478" t="s">
        <v>4869</v>
      </c>
      <c r="L2478">
        <v>46282</v>
      </c>
      <c r="M2478">
        <v>102928</v>
      </c>
      <c r="N2478">
        <v>20</v>
      </c>
      <c r="O2478">
        <v>46302</v>
      </c>
      <c r="P2478">
        <v>169</v>
      </c>
    </row>
    <row r="2479" spans="1:16" x14ac:dyDescent="0.4">
      <c r="A2479">
        <v>1496</v>
      </c>
      <c r="B2479" t="s">
        <v>4915</v>
      </c>
      <c r="G2479" t="s">
        <v>2553</v>
      </c>
      <c r="H2479" t="s">
        <v>2552</v>
      </c>
      <c r="I2479">
        <v>192</v>
      </c>
      <c r="K2479" t="s">
        <v>4871</v>
      </c>
      <c r="L2479">
        <v>46282</v>
      </c>
      <c r="M2479">
        <v>102928</v>
      </c>
      <c r="N2479">
        <v>40</v>
      </c>
      <c r="O2479">
        <v>46302</v>
      </c>
      <c r="P2479">
        <v>152</v>
      </c>
    </row>
    <row r="2480" spans="1:16" x14ac:dyDescent="0.4">
      <c r="A2480">
        <v>1594</v>
      </c>
      <c r="B2480" t="s">
        <v>4915</v>
      </c>
      <c r="G2480" t="s">
        <v>2501</v>
      </c>
      <c r="H2480" t="s">
        <v>2500</v>
      </c>
      <c r="I2480">
        <v>209</v>
      </c>
      <c r="K2480" t="s">
        <v>4955</v>
      </c>
      <c r="L2480">
        <v>46282</v>
      </c>
      <c r="M2480">
        <v>102928</v>
      </c>
      <c r="N2480">
        <v>20</v>
      </c>
      <c r="O2480">
        <v>46302</v>
      </c>
      <c r="P2480">
        <v>189</v>
      </c>
    </row>
    <row r="2481" spans="1:16" x14ac:dyDescent="0.4">
      <c r="A2481">
        <v>2257</v>
      </c>
      <c r="B2481" t="s">
        <v>4915</v>
      </c>
      <c r="G2481" t="s">
        <v>1005</v>
      </c>
      <c r="H2481" t="s">
        <v>1004</v>
      </c>
      <c r="I2481">
        <v>216</v>
      </c>
      <c r="K2481" t="s">
        <v>4871</v>
      </c>
      <c r="L2481">
        <v>46302</v>
      </c>
      <c r="M2481">
        <v>102928</v>
      </c>
      <c r="N2481">
        <v>20</v>
      </c>
      <c r="O2481">
        <v>46302</v>
      </c>
      <c r="P2481">
        <v>196</v>
      </c>
    </row>
    <row r="2482" spans="1:16" x14ac:dyDescent="0.4">
      <c r="A2482">
        <v>1590</v>
      </c>
      <c r="B2482" t="s">
        <v>4915</v>
      </c>
      <c r="D2482" t="s">
        <v>4901</v>
      </c>
      <c r="E2482" t="s">
        <v>5148</v>
      </c>
      <c r="F2482" t="s">
        <v>4939</v>
      </c>
      <c r="G2482" t="s">
        <v>243</v>
      </c>
      <c r="H2482" t="s">
        <v>4961</v>
      </c>
      <c r="I2482">
        <v>250</v>
      </c>
      <c r="K2482" t="s">
        <v>4864</v>
      </c>
      <c r="L2482">
        <v>46293</v>
      </c>
      <c r="M2482">
        <v>102928</v>
      </c>
      <c r="N2482">
        <v>20</v>
      </c>
      <c r="O2482">
        <v>46302</v>
      </c>
      <c r="P2482">
        <v>230</v>
      </c>
    </row>
    <row r="2483" spans="1:16" x14ac:dyDescent="0.4">
      <c r="A2483">
        <v>1600</v>
      </c>
      <c r="B2483" t="s">
        <v>4915</v>
      </c>
      <c r="G2483" t="s">
        <v>246</v>
      </c>
      <c r="H2483" t="s">
        <v>4960</v>
      </c>
      <c r="I2483">
        <v>378</v>
      </c>
      <c r="K2483" t="s">
        <v>4864</v>
      </c>
      <c r="L2483">
        <v>46282</v>
      </c>
      <c r="M2483">
        <v>102928</v>
      </c>
      <c r="N2483">
        <v>20</v>
      </c>
      <c r="O2483">
        <v>46302</v>
      </c>
      <c r="P2483">
        <v>358</v>
      </c>
    </row>
    <row r="2484" spans="1:16" x14ac:dyDescent="0.4">
      <c r="A2484">
        <v>1595</v>
      </c>
      <c r="B2484" t="s">
        <v>4915</v>
      </c>
      <c r="G2484" t="s">
        <v>2566</v>
      </c>
      <c r="H2484" t="s">
        <v>2565</v>
      </c>
      <c r="I2484">
        <v>429</v>
      </c>
      <c r="K2484" t="s">
        <v>4851</v>
      </c>
      <c r="L2484">
        <v>46282</v>
      </c>
      <c r="M2484">
        <v>102928</v>
      </c>
      <c r="N2484">
        <v>20</v>
      </c>
      <c r="O2484">
        <v>46302</v>
      </c>
      <c r="P2484">
        <v>409</v>
      </c>
    </row>
    <row r="2485" spans="1:16" x14ac:dyDescent="0.4">
      <c r="A2485">
        <v>1601</v>
      </c>
      <c r="B2485" t="s">
        <v>4915</v>
      </c>
      <c r="G2485" t="s">
        <v>723</v>
      </c>
      <c r="H2485" t="s">
        <v>4962</v>
      </c>
      <c r="I2485">
        <v>526</v>
      </c>
      <c r="K2485" t="s">
        <v>4864</v>
      </c>
      <c r="L2485">
        <v>46282</v>
      </c>
      <c r="M2485">
        <v>102928</v>
      </c>
      <c r="N2485">
        <v>20</v>
      </c>
      <c r="O2485">
        <v>46302</v>
      </c>
      <c r="P2485">
        <v>506</v>
      </c>
    </row>
    <row r="2486" spans="1:16" x14ac:dyDescent="0.4">
      <c r="A2486">
        <v>1713</v>
      </c>
      <c r="B2486" t="s">
        <v>4915</v>
      </c>
      <c r="G2486" t="s">
        <v>2555</v>
      </c>
      <c r="H2486" t="s">
        <v>2554</v>
      </c>
      <c r="I2486">
        <v>627</v>
      </c>
      <c r="K2486" t="s">
        <v>4871</v>
      </c>
      <c r="L2486">
        <v>46288</v>
      </c>
      <c r="M2486">
        <v>102928</v>
      </c>
      <c r="N2486">
        <v>20</v>
      </c>
      <c r="O2486">
        <v>46302</v>
      </c>
      <c r="P2486">
        <v>607</v>
      </c>
    </row>
    <row r="2487" spans="1:16" x14ac:dyDescent="0.4">
      <c r="A2487">
        <v>1967</v>
      </c>
      <c r="B2487" t="s">
        <v>4915</v>
      </c>
      <c r="D2487" t="s">
        <v>4901</v>
      </c>
      <c r="E2487" t="s">
        <v>4936</v>
      </c>
      <c r="F2487" t="s">
        <v>4939</v>
      </c>
      <c r="G2487" t="s">
        <v>3303</v>
      </c>
      <c r="H2487" t="s">
        <v>3302</v>
      </c>
      <c r="I2487">
        <v>18</v>
      </c>
      <c r="K2487" t="s">
        <v>5005</v>
      </c>
      <c r="L2487">
        <v>46301</v>
      </c>
      <c r="M2487">
        <v>102952</v>
      </c>
      <c r="N2487">
        <v>1</v>
      </c>
      <c r="O2487">
        <v>46301</v>
      </c>
      <c r="P2487">
        <v>17</v>
      </c>
    </row>
    <row r="2488" spans="1:16" x14ac:dyDescent="0.4">
      <c r="A2488">
        <v>2601</v>
      </c>
      <c r="B2488" t="s">
        <v>4915</v>
      </c>
      <c r="G2488" t="s">
        <v>3337</v>
      </c>
      <c r="H2488" t="s">
        <v>3336</v>
      </c>
      <c r="I2488">
        <v>113</v>
      </c>
      <c r="K2488" t="s">
        <v>3338</v>
      </c>
      <c r="L2488">
        <v>46307</v>
      </c>
      <c r="M2488">
        <v>102956</v>
      </c>
      <c r="N2488">
        <v>7</v>
      </c>
      <c r="O2488">
        <v>46297</v>
      </c>
      <c r="P2488">
        <v>106</v>
      </c>
    </row>
    <row r="2489" spans="1:16" x14ac:dyDescent="0.4">
      <c r="A2489">
        <v>2600</v>
      </c>
      <c r="B2489" t="s">
        <v>4915</v>
      </c>
      <c r="G2489" t="s">
        <v>3340</v>
      </c>
      <c r="H2489" t="s">
        <v>3339</v>
      </c>
      <c r="I2489">
        <v>27</v>
      </c>
      <c r="K2489" t="s">
        <v>3338</v>
      </c>
      <c r="L2489">
        <v>46307</v>
      </c>
      <c r="M2489">
        <v>102956</v>
      </c>
      <c r="N2489">
        <v>7</v>
      </c>
      <c r="O2489">
        <v>46297</v>
      </c>
      <c r="P2489">
        <v>20</v>
      </c>
    </row>
    <row r="2490" spans="1:16" x14ac:dyDescent="0.4">
      <c r="A2490">
        <v>2043</v>
      </c>
      <c r="B2490" t="s">
        <v>4915</v>
      </c>
      <c r="D2490" t="s">
        <v>4901</v>
      </c>
      <c r="E2490" t="s">
        <v>5146</v>
      </c>
      <c r="F2490" t="s">
        <v>5147</v>
      </c>
      <c r="G2490" t="s">
        <v>2786</v>
      </c>
      <c r="H2490" t="s">
        <v>2785</v>
      </c>
      <c r="I2490">
        <v>300</v>
      </c>
      <c r="K2490" t="s">
        <v>4949</v>
      </c>
      <c r="L2490">
        <v>46296</v>
      </c>
      <c r="M2490">
        <v>103215</v>
      </c>
      <c r="N2490">
        <v>5</v>
      </c>
      <c r="O2490">
        <v>46301</v>
      </c>
      <c r="P2490">
        <v>295</v>
      </c>
    </row>
    <row r="2491" spans="1:16" x14ac:dyDescent="0.4">
      <c r="A2491">
        <v>2259</v>
      </c>
      <c r="B2491" t="s">
        <v>4915</v>
      </c>
      <c r="G2491" t="s">
        <v>465</v>
      </c>
      <c r="H2491" t="s">
        <v>464</v>
      </c>
      <c r="I2491">
        <v>225</v>
      </c>
      <c r="K2491" t="s">
        <v>4944</v>
      </c>
      <c r="L2491">
        <v>46302</v>
      </c>
      <c r="M2491">
        <v>103222</v>
      </c>
      <c r="N2491">
        <v>1</v>
      </c>
      <c r="O2491">
        <v>46301</v>
      </c>
      <c r="P2491">
        <v>224</v>
      </c>
    </row>
    <row r="2492" spans="1:16" x14ac:dyDescent="0.4">
      <c r="A2492">
        <v>1314</v>
      </c>
      <c r="B2492" t="s">
        <v>4915</v>
      </c>
      <c r="G2492" t="s">
        <v>3827</v>
      </c>
      <c r="H2492" t="s">
        <v>3826</v>
      </c>
      <c r="I2492">
        <v>9</v>
      </c>
      <c r="K2492" t="s">
        <v>3823</v>
      </c>
      <c r="L2492">
        <v>46287</v>
      </c>
      <c r="M2492">
        <v>103223</v>
      </c>
      <c r="N2492">
        <v>1</v>
      </c>
      <c r="O2492">
        <v>46301</v>
      </c>
      <c r="P2492">
        <v>8</v>
      </c>
    </row>
    <row r="2493" spans="1:16" x14ac:dyDescent="0.4">
      <c r="A2493">
        <v>1268</v>
      </c>
      <c r="B2493" t="s">
        <v>4915</v>
      </c>
      <c r="D2493" t="s">
        <v>5152</v>
      </c>
      <c r="G2493" t="s">
        <v>2907</v>
      </c>
      <c r="H2493" t="s">
        <v>2906</v>
      </c>
      <c r="I2493">
        <v>11</v>
      </c>
      <c r="K2493" t="s">
        <v>2992</v>
      </c>
      <c r="L2493">
        <v>46287</v>
      </c>
      <c r="M2493">
        <v>103223</v>
      </c>
      <c r="N2493">
        <v>2</v>
      </c>
      <c r="O2493">
        <v>46301</v>
      </c>
      <c r="P2493">
        <v>9</v>
      </c>
    </row>
    <row r="2494" spans="1:16" x14ac:dyDescent="0.4">
      <c r="A2494">
        <v>1246</v>
      </c>
      <c r="B2494" t="s">
        <v>4915</v>
      </c>
      <c r="D2494" t="s">
        <v>5152</v>
      </c>
      <c r="G2494" t="s">
        <v>4006</v>
      </c>
      <c r="H2494" t="s">
        <v>4005</v>
      </c>
      <c r="I2494">
        <v>13</v>
      </c>
      <c r="K2494" t="s">
        <v>4002</v>
      </c>
      <c r="L2494">
        <v>46287</v>
      </c>
      <c r="M2494">
        <v>103223</v>
      </c>
      <c r="N2494">
        <v>1</v>
      </c>
      <c r="O2494">
        <v>46301</v>
      </c>
      <c r="P2494">
        <v>12</v>
      </c>
    </row>
    <row r="2495" spans="1:16" x14ac:dyDescent="0.4">
      <c r="A2495">
        <v>1251</v>
      </c>
      <c r="B2495" t="s">
        <v>4915</v>
      </c>
      <c r="D2495" t="s">
        <v>5152</v>
      </c>
      <c r="G2495" t="s">
        <v>3997</v>
      </c>
      <c r="H2495" t="s">
        <v>3996</v>
      </c>
      <c r="I2495">
        <v>18</v>
      </c>
      <c r="K2495" t="s">
        <v>3896</v>
      </c>
      <c r="L2495">
        <v>46287</v>
      </c>
      <c r="M2495">
        <v>103223</v>
      </c>
      <c r="N2495">
        <v>1</v>
      </c>
      <c r="O2495">
        <v>46301</v>
      </c>
      <c r="P2495">
        <v>17</v>
      </c>
    </row>
    <row r="2496" spans="1:16" x14ac:dyDescent="0.4">
      <c r="A2496">
        <v>1293</v>
      </c>
      <c r="B2496" t="s">
        <v>4915</v>
      </c>
      <c r="G2496" t="s">
        <v>3873</v>
      </c>
      <c r="H2496" t="s">
        <v>3872</v>
      </c>
      <c r="I2496">
        <v>19</v>
      </c>
      <c r="K2496" t="s">
        <v>3867</v>
      </c>
      <c r="L2496">
        <v>46287</v>
      </c>
      <c r="M2496">
        <v>103223</v>
      </c>
      <c r="N2496">
        <v>1</v>
      </c>
      <c r="O2496">
        <v>46301</v>
      </c>
      <c r="P2496">
        <v>18</v>
      </c>
    </row>
    <row r="2497" spans="1:16" x14ac:dyDescent="0.4">
      <c r="A2497">
        <v>1324</v>
      </c>
      <c r="B2497" t="s">
        <v>4915</v>
      </c>
      <c r="G2497" t="s">
        <v>3932</v>
      </c>
      <c r="H2497" t="s">
        <v>3931</v>
      </c>
      <c r="I2497">
        <v>26</v>
      </c>
      <c r="K2497" t="s">
        <v>3585</v>
      </c>
      <c r="L2497">
        <v>46287</v>
      </c>
      <c r="M2497">
        <v>103223</v>
      </c>
      <c r="N2497">
        <v>1</v>
      </c>
      <c r="O2497">
        <v>46301</v>
      </c>
      <c r="P2497">
        <v>25</v>
      </c>
    </row>
    <row r="2498" spans="1:16" x14ac:dyDescent="0.4">
      <c r="A2498">
        <v>2266</v>
      </c>
      <c r="B2498" t="s">
        <v>4915</v>
      </c>
      <c r="D2498" t="s">
        <v>4901</v>
      </c>
      <c r="E2498" t="s">
        <v>4938</v>
      </c>
      <c r="F2498" t="s">
        <v>4939</v>
      </c>
      <c r="G2498" t="s">
        <v>3939</v>
      </c>
      <c r="H2498" t="s">
        <v>3938</v>
      </c>
      <c r="I2498">
        <v>50</v>
      </c>
      <c r="K2498" t="s">
        <v>3585</v>
      </c>
      <c r="L2498">
        <v>46293</v>
      </c>
      <c r="M2498">
        <v>103223</v>
      </c>
      <c r="N2498">
        <v>1</v>
      </c>
      <c r="O2498">
        <v>46301</v>
      </c>
      <c r="P2498">
        <v>49</v>
      </c>
    </row>
    <row r="2499" spans="1:16" x14ac:dyDescent="0.4">
      <c r="A2499">
        <v>1362</v>
      </c>
      <c r="B2499" t="s">
        <v>4915</v>
      </c>
      <c r="G2499" t="s">
        <v>4001</v>
      </c>
      <c r="H2499" t="s">
        <v>4000</v>
      </c>
      <c r="I2499">
        <v>185</v>
      </c>
      <c r="K2499" t="s">
        <v>4002</v>
      </c>
      <c r="L2499">
        <v>46287</v>
      </c>
      <c r="M2499">
        <v>103223</v>
      </c>
      <c r="N2499">
        <v>1</v>
      </c>
      <c r="O2499">
        <v>46301</v>
      </c>
      <c r="P2499">
        <v>184</v>
      </c>
    </row>
    <row r="2500" spans="1:16" x14ac:dyDescent="0.4">
      <c r="A2500">
        <v>2301</v>
      </c>
      <c r="B2500" t="s">
        <v>4915</v>
      </c>
      <c r="D2500" t="s">
        <v>4901</v>
      </c>
      <c r="E2500" t="s">
        <v>4936</v>
      </c>
      <c r="F2500" t="s">
        <v>4939</v>
      </c>
      <c r="G2500" t="s">
        <v>3207</v>
      </c>
      <c r="H2500" t="s">
        <v>3206</v>
      </c>
      <c r="I2500">
        <v>1</v>
      </c>
      <c r="K2500" t="s">
        <v>5005</v>
      </c>
      <c r="L2500">
        <v>46281</v>
      </c>
      <c r="M2500">
        <v>103227</v>
      </c>
      <c r="N2500">
        <v>1</v>
      </c>
      <c r="O2500">
        <v>46302</v>
      </c>
      <c r="P2500">
        <v>0</v>
      </c>
    </row>
    <row r="2501" spans="1:16" x14ac:dyDescent="0.4">
      <c r="A2501">
        <v>1971</v>
      </c>
      <c r="B2501" t="s">
        <v>4915</v>
      </c>
      <c r="D2501" t="s">
        <v>4901</v>
      </c>
      <c r="E2501" t="s">
        <v>4936</v>
      </c>
      <c r="F2501" t="s">
        <v>4939</v>
      </c>
      <c r="G2501" t="s">
        <v>3457</v>
      </c>
      <c r="H2501" t="s">
        <v>3456</v>
      </c>
      <c r="I2501">
        <v>6</v>
      </c>
      <c r="K2501" t="s">
        <v>5005</v>
      </c>
      <c r="L2501">
        <v>46301</v>
      </c>
      <c r="M2501">
        <v>103227</v>
      </c>
      <c r="N2501">
        <v>6</v>
      </c>
      <c r="O2501">
        <v>46302</v>
      </c>
      <c r="P2501">
        <v>0</v>
      </c>
    </row>
    <row r="2502" spans="1:16" x14ac:dyDescent="0.4">
      <c r="A2502">
        <v>2303</v>
      </c>
      <c r="B2502" t="s">
        <v>4915</v>
      </c>
      <c r="D2502" t="s">
        <v>4901</v>
      </c>
      <c r="E2502" t="s">
        <v>4936</v>
      </c>
      <c r="F2502" t="s">
        <v>4939</v>
      </c>
      <c r="G2502" t="s">
        <v>3457</v>
      </c>
      <c r="H2502" t="s">
        <v>3456</v>
      </c>
      <c r="I2502">
        <v>6</v>
      </c>
      <c r="K2502" t="s">
        <v>5005</v>
      </c>
      <c r="L2502">
        <v>46279</v>
      </c>
      <c r="M2502">
        <v>103227</v>
      </c>
      <c r="N2502">
        <v>6</v>
      </c>
      <c r="O2502">
        <v>46302</v>
      </c>
      <c r="P2502">
        <v>0</v>
      </c>
    </row>
    <row r="2503" spans="1:16" x14ac:dyDescent="0.4">
      <c r="A2503">
        <v>1704</v>
      </c>
      <c r="B2503" t="s">
        <v>4915</v>
      </c>
      <c r="G2503" t="s">
        <v>3457</v>
      </c>
      <c r="H2503" t="s">
        <v>3456</v>
      </c>
      <c r="I2503">
        <v>7</v>
      </c>
      <c r="K2503" t="s">
        <v>5005</v>
      </c>
      <c r="L2503">
        <v>46287</v>
      </c>
      <c r="M2503">
        <v>103227</v>
      </c>
      <c r="N2503">
        <v>7</v>
      </c>
      <c r="O2503">
        <v>46302</v>
      </c>
      <c r="P2503">
        <v>0</v>
      </c>
    </row>
    <row r="2504" spans="1:16" x14ac:dyDescent="0.4">
      <c r="A2504">
        <v>2300</v>
      </c>
      <c r="B2504" t="s">
        <v>4915</v>
      </c>
      <c r="D2504" t="s">
        <v>4901</v>
      </c>
      <c r="E2504" t="s">
        <v>4936</v>
      </c>
      <c r="F2504" t="s">
        <v>4939</v>
      </c>
      <c r="G2504" t="s">
        <v>3207</v>
      </c>
      <c r="H2504" t="s">
        <v>3206</v>
      </c>
      <c r="I2504">
        <v>14</v>
      </c>
      <c r="K2504" t="s">
        <v>5005</v>
      </c>
      <c r="L2504">
        <v>46281</v>
      </c>
      <c r="M2504">
        <v>103227</v>
      </c>
      <c r="N2504">
        <v>14</v>
      </c>
      <c r="O2504">
        <v>46302</v>
      </c>
      <c r="P2504">
        <v>0</v>
      </c>
    </row>
    <row r="2505" spans="1:16" x14ac:dyDescent="0.4">
      <c r="A2505">
        <v>2304</v>
      </c>
      <c r="B2505" t="s">
        <v>4915</v>
      </c>
      <c r="D2505" t="s">
        <v>4901</v>
      </c>
      <c r="E2505" t="s">
        <v>4936</v>
      </c>
      <c r="F2505" t="s">
        <v>4939</v>
      </c>
      <c r="G2505" t="s">
        <v>3457</v>
      </c>
      <c r="H2505" t="s">
        <v>3456</v>
      </c>
      <c r="I2505">
        <v>14</v>
      </c>
      <c r="K2505" t="s">
        <v>5005</v>
      </c>
      <c r="L2505">
        <v>46281</v>
      </c>
      <c r="M2505">
        <v>103227</v>
      </c>
      <c r="N2505">
        <v>14</v>
      </c>
      <c r="O2505">
        <v>46302</v>
      </c>
      <c r="P2505">
        <v>0</v>
      </c>
    </row>
    <row r="2506" spans="1:16" x14ac:dyDescent="0.4">
      <c r="A2506">
        <v>1949</v>
      </c>
      <c r="B2506" t="s">
        <v>4915</v>
      </c>
      <c r="D2506" t="s">
        <v>4901</v>
      </c>
      <c r="E2506" t="s">
        <v>4936</v>
      </c>
      <c r="F2506" t="s">
        <v>4939</v>
      </c>
      <c r="G2506" t="s">
        <v>3457</v>
      </c>
      <c r="H2506" t="s">
        <v>3456</v>
      </c>
      <c r="I2506">
        <v>24</v>
      </c>
      <c r="K2506" t="s">
        <v>5005</v>
      </c>
      <c r="L2506">
        <v>46296</v>
      </c>
      <c r="M2506">
        <v>103227</v>
      </c>
      <c r="N2506">
        <v>7</v>
      </c>
      <c r="O2506">
        <v>46302</v>
      </c>
      <c r="P2506">
        <v>17</v>
      </c>
    </row>
    <row r="2507" spans="1:16" x14ac:dyDescent="0.4">
      <c r="A2507">
        <v>2302</v>
      </c>
      <c r="B2507" t="s">
        <v>4915</v>
      </c>
      <c r="D2507" t="s">
        <v>4901</v>
      </c>
      <c r="E2507" t="s">
        <v>4936</v>
      </c>
      <c r="F2507" t="s">
        <v>4939</v>
      </c>
      <c r="G2507" t="s">
        <v>3207</v>
      </c>
      <c r="H2507" t="s">
        <v>3206</v>
      </c>
      <c r="I2507">
        <v>30</v>
      </c>
      <c r="K2507" t="s">
        <v>5005</v>
      </c>
      <c r="L2507">
        <v>46302</v>
      </c>
      <c r="M2507">
        <v>103227</v>
      </c>
      <c r="N2507">
        <v>15</v>
      </c>
      <c r="O2507">
        <v>46302</v>
      </c>
      <c r="P2507">
        <v>15</v>
      </c>
    </row>
    <row r="2508" spans="1:16" x14ac:dyDescent="0.4">
      <c r="A2508">
        <v>2305</v>
      </c>
      <c r="B2508" t="s">
        <v>4915</v>
      </c>
      <c r="D2508" t="s">
        <v>4901</v>
      </c>
      <c r="E2508" t="s">
        <v>5175</v>
      </c>
      <c r="F2508" t="s">
        <v>4939</v>
      </c>
      <c r="G2508" t="s">
        <v>3459</v>
      </c>
      <c r="H2508" t="s">
        <v>3458</v>
      </c>
      <c r="I2508">
        <v>50</v>
      </c>
      <c r="K2508" t="s">
        <v>5050</v>
      </c>
      <c r="L2508">
        <v>46295</v>
      </c>
      <c r="M2508">
        <v>103227</v>
      </c>
      <c r="N2508">
        <v>40</v>
      </c>
      <c r="O2508">
        <v>46302</v>
      </c>
      <c r="P2508">
        <v>10</v>
      </c>
    </row>
    <row r="2509" spans="1:16" x14ac:dyDescent="0.4">
      <c r="A2509">
        <v>1973</v>
      </c>
      <c r="B2509" t="s">
        <v>4915</v>
      </c>
      <c r="D2509" t="s">
        <v>4901</v>
      </c>
      <c r="E2509" t="s">
        <v>4936</v>
      </c>
      <c r="F2509" t="s">
        <v>4939</v>
      </c>
      <c r="G2509" t="s">
        <v>3627</v>
      </c>
      <c r="H2509" t="s">
        <v>5048</v>
      </c>
      <c r="I2509">
        <v>3</v>
      </c>
      <c r="K2509" t="s">
        <v>5005</v>
      </c>
      <c r="L2509">
        <v>46301</v>
      </c>
      <c r="M2509">
        <v>103228</v>
      </c>
      <c r="N2509">
        <v>3</v>
      </c>
      <c r="O2509">
        <v>46303</v>
      </c>
      <c r="P2509">
        <v>0</v>
      </c>
    </row>
    <row r="2510" spans="1:16" x14ac:dyDescent="0.4">
      <c r="A2510">
        <v>1953</v>
      </c>
      <c r="B2510" t="s">
        <v>4915</v>
      </c>
      <c r="D2510" t="s">
        <v>4901</v>
      </c>
      <c r="E2510" t="s">
        <v>4936</v>
      </c>
      <c r="F2510" t="s">
        <v>4939</v>
      </c>
      <c r="G2510" t="s">
        <v>3627</v>
      </c>
      <c r="H2510" t="s">
        <v>5048</v>
      </c>
      <c r="I2510">
        <v>6</v>
      </c>
      <c r="K2510" t="s">
        <v>5005</v>
      </c>
      <c r="L2510">
        <v>46296</v>
      </c>
      <c r="M2510">
        <v>103228</v>
      </c>
      <c r="N2510">
        <v>6</v>
      </c>
      <c r="O2510">
        <v>46303</v>
      </c>
      <c r="P2510">
        <v>0</v>
      </c>
    </row>
    <row r="2511" spans="1:16" x14ac:dyDescent="0.4">
      <c r="A2511">
        <v>2286</v>
      </c>
      <c r="B2511" t="s">
        <v>4915</v>
      </c>
      <c r="D2511" t="s">
        <v>4901</v>
      </c>
      <c r="E2511" t="s">
        <v>4936</v>
      </c>
      <c r="F2511" t="s">
        <v>4939</v>
      </c>
      <c r="G2511" t="s">
        <v>3627</v>
      </c>
      <c r="H2511" t="s">
        <v>5048</v>
      </c>
      <c r="I2511">
        <v>6</v>
      </c>
      <c r="K2511" t="s">
        <v>5005</v>
      </c>
      <c r="L2511">
        <v>46295</v>
      </c>
      <c r="M2511">
        <v>103228</v>
      </c>
      <c r="N2511">
        <v>6</v>
      </c>
      <c r="O2511">
        <v>46303</v>
      </c>
      <c r="P2511">
        <v>0</v>
      </c>
    </row>
    <row r="2512" spans="1:16" x14ac:dyDescent="0.4">
      <c r="A2512">
        <v>1958</v>
      </c>
      <c r="B2512" t="s">
        <v>4915</v>
      </c>
      <c r="D2512" t="s">
        <v>4901</v>
      </c>
      <c r="E2512" t="s">
        <v>4936</v>
      </c>
      <c r="F2512" t="s">
        <v>4939</v>
      </c>
      <c r="G2512" t="s">
        <v>3530</v>
      </c>
      <c r="H2512" t="s">
        <v>5049</v>
      </c>
      <c r="I2512">
        <v>10</v>
      </c>
      <c r="K2512" t="s">
        <v>5005</v>
      </c>
      <c r="L2512">
        <v>46296</v>
      </c>
      <c r="M2512">
        <v>103228</v>
      </c>
      <c r="N2512">
        <v>2</v>
      </c>
      <c r="O2512">
        <v>46303</v>
      </c>
      <c r="P2512">
        <v>8</v>
      </c>
    </row>
    <row r="2513" spans="1:16" x14ac:dyDescent="0.4">
      <c r="A2513">
        <v>2086</v>
      </c>
      <c r="B2513" t="s">
        <v>4915</v>
      </c>
      <c r="G2513" t="s">
        <v>3535</v>
      </c>
      <c r="H2513" t="s">
        <v>3534</v>
      </c>
      <c r="I2513">
        <v>10</v>
      </c>
      <c r="K2513" t="s">
        <v>5046</v>
      </c>
      <c r="L2513">
        <v>46287</v>
      </c>
      <c r="M2513">
        <v>103228</v>
      </c>
      <c r="N2513">
        <v>10</v>
      </c>
      <c r="O2513">
        <v>46303</v>
      </c>
      <c r="P2513">
        <v>0</v>
      </c>
    </row>
    <row r="2514" spans="1:16" x14ac:dyDescent="0.4">
      <c r="A2514">
        <v>2287</v>
      </c>
      <c r="B2514" t="s">
        <v>4915</v>
      </c>
      <c r="D2514" t="s">
        <v>4901</v>
      </c>
      <c r="E2514" t="s">
        <v>4936</v>
      </c>
      <c r="F2514" t="s">
        <v>4939</v>
      </c>
      <c r="G2514" t="s">
        <v>3627</v>
      </c>
      <c r="H2514" t="s">
        <v>5048</v>
      </c>
      <c r="I2514">
        <v>24</v>
      </c>
      <c r="K2514" t="s">
        <v>5005</v>
      </c>
      <c r="L2514">
        <v>46295</v>
      </c>
      <c r="M2514">
        <v>103228</v>
      </c>
      <c r="N2514">
        <v>24</v>
      </c>
      <c r="O2514">
        <v>46303</v>
      </c>
      <c r="P2514">
        <v>0</v>
      </c>
    </row>
    <row r="2515" spans="1:16" x14ac:dyDescent="0.4">
      <c r="A2515">
        <v>2082</v>
      </c>
      <c r="B2515" t="s">
        <v>4915</v>
      </c>
      <c r="G2515" t="s">
        <v>3598</v>
      </c>
      <c r="H2515" t="s">
        <v>3597</v>
      </c>
      <c r="I2515">
        <v>30</v>
      </c>
      <c r="K2515" t="s">
        <v>5044</v>
      </c>
      <c r="L2515">
        <v>46287</v>
      </c>
      <c r="M2515">
        <v>103228</v>
      </c>
      <c r="N2515">
        <v>30</v>
      </c>
      <c r="O2515">
        <v>46303</v>
      </c>
      <c r="P2515">
        <v>0</v>
      </c>
    </row>
    <row r="2516" spans="1:16" x14ac:dyDescent="0.4">
      <c r="A2516">
        <v>2084</v>
      </c>
      <c r="B2516" t="s">
        <v>4915</v>
      </c>
      <c r="G2516" t="s">
        <v>3530</v>
      </c>
      <c r="H2516" t="s">
        <v>5049</v>
      </c>
      <c r="I2516">
        <v>38</v>
      </c>
      <c r="K2516" t="s">
        <v>5005</v>
      </c>
      <c r="L2516">
        <v>46287</v>
      </c>
      <c r="M2516">
        <v>103228</v>
      </c>
      <c r="N2516">
        <v>38</v>
      </c>
      <c r="O2516">
        <v>46303</v>
      </c>
      <c r="P2516">
        <v>0</v>
      </c>
    </row>
    <row r="2517" spans="1:16" x14ac:dyDescent="0.4">
      <c r="A2517">
        <v>2083</v>
      </c>
      <c r="B2517" t="s">
        <v>4915</v>
      </c>
      <c r="G2517" t="s">
        <v>3538</v>
      </c>
      <c r="H2517" t="s">
        <v>3537</v>
      </c>
      <c r="I2517">
        <v>49</v>
      </c>
      <c r="K2517" t="s">
        <v>5047</v>
      </c>
      <c r="L2517">
        <v>46287</v>
      </c>
      <c r="M2517">
        <v>103228</v>
      </c>
      <c r="N2517">
        <v>40</v>
      </c>
      <c r="O2517">
        <v>46303</v>
      </c>
      <c r="P2517">
        <v>9</v>
      </c>
    </row>
    <row r="2518" spans="1:16" x14ac:dyDescent="0.4">
      <c r="A2518">
        <v>2085</v>
      </c>
      <c r="B2518" t="s">
        <v>4915</v>
      </c>
      <c r="G2518" t="s">
        <v>3551</v>
      </c>
      <c r="H2518" t="s">
        <v>5043</v>
      </c>
      <c r="I2518">
        <v>49</v>
      </c>
      <c r="K2518" t="s">
        <v>5004</v>
      </c>
      <c r="L2518">
        <v>46287</v>
      </c>
      <c r="M2518">
        <v>103228</v>
      </c>
      <c r="N2518">
        <v>40</v>
      </c>
      <c r="O2518">
        <v>46303</v>
      </c>
      <c r="P2518">
        <v>9</v>
      </c>
    </row>
    <row r="2519" spans="1:16" x14ac:dyDescent="0.4">
      <c r="A2519">
        <v>2288</v>
      </c>
      <c r="B2519" t="s">
        <v>4915</v>
      </c>
      <c r="D2519" t="s">
        <v>4901</v>
      </c>
      <c r="E2519" t="s">
        <v>5167</v>
      </c>
      <c r="F2519" t="s">
        <v>4937</v>
      </c>
      <c r="G2519" t="s">
        <v>3598</v>
      </c>
      <c r="H2519" t="s">
        <v>3597</v>
      </c>
      <c r="I2519">
        <v>100</v>
      </c>
      <c r="K2519" t="s">
        <v>5044</v>
      </c>
      <c r="L2519">
        <v>46293</v>
      </c>
      <c r="M2519">
        <v>103228</v>
      </c>
      <c r="N2519">
        <v>10</v>
      </c>
      <c r="O2519">
        <v>46303</v>
      </c>
      <c r="P2519">
        <v>90</v>
      </c>
    </row>
    <row r="2520" spans="1:16" x14ac:dyDescent="0.4">
      <c r="A2520">
        <v>2518</v>
      </c>
      <c r="B2520" t="s">
        <v>4915</v>
      </c>
      <c r="G2520" t="s">
        <v>5016</v>
      </c>
      <c r="H2520" t="s">
        <v>5017</v>
      </c>
      <c r="I2520">
        <v>97</v>
      </c>
      <c r="K2520" t="s">
        <v>5018</v>
      </c>
      <c r="L2520">
        <v>46307</v>
      </c>
      <c r="M2520">
        <v>103229</v>
      </c>
      <c r="N2520">
        <v>40</v>
      </c>
      <c r="O2520">
        <v>46307</v>
      </c>
      <c r="P2520">
        <v>57</v>
      </c>
    </row>
    <row r="2521" spans="1:16" x14ac:dyDescent="0.4">
      <c r="A2521">
        <v>2254</v>
      </c>
      <c r="B2521" t="s">
        <v>4915</v>
      </c>
      <c r="G2521" t="s">
        <v>3213</v>
      </c>
      <c r="H2521" t="s">
        <v>3212</v>
      </c>
      <c r="I2521">
        <v>62</v>
      </c>
      <c r="K2521" t="s">
        <v>5021</v>
      </c>
      <c r="L2521">
        <v>46303</v>
      </c>
      <c r="M2521">
        <v>103229</v>
      </c>
      <c r="N2521">
        <v>40</v>
      </c>
      <c r="O2521">
        <v>46307</v>
      </c>
      <c r="P2521">
        <v>22</v>
      </c>
    </row>
    <row r="2522" spans="1:16" x14ac:dyDescent="0.4">
      <c r="A2522">
        <v>1368</v>
      </c>
      <c r="B2522" t="s">
        <v>4915</v>
      </c>
      <c r="G2522" t="s">
        <v>3275</v>
      </c>
      <c r="H2522" t="s">
        <v>3274</v>
      </c>
      <c r="I2522">
        <v>24</v>
      </c>
      <c r="K2522" t="s">
        <v>3276</v>
      </c>
      <c r="L2522">
        <v>46287</v>
      </c>
      <c r="M2522">
        <v>103229</v>
      </c>
      <c r="N2522">
        <v>24</v>
      </c>
      <c r="O2522">
        <v>46307</v>
      </c>
      <c r="P2522">
        <v>0</v>
      </c>
    </row>
    <row r="2523" spans="1:16" x14ac:dyDescent="0.4">
      <c r="A2523">
        <v>2612</v>
      </c>
      <c r="B2523" t="s">
        <v>4915</v>
      </c>
      <c r="D2523" t="s">
        <v>4901</v>
      </c>
      <c r="E2523" t="s">
        <v>5148</v>
      </c>
      <c r="F2523" t="s">
        <v>4939</v>
      </c>
      <c r="G2523" t="s">
        <v>3275</v>
      </c>
      <c r="H2523" t="s">
        <v>3274</v>
      </c>
      <c r="I2523">
        <v>200</v>
      </c>
      <c r="K2523" t="s">
        <v>3276</v>
      </c>
      <c r="L2523">
        <v>46288</v>
      </c>
      <c r="M2523">
        <v>103229</v>
      </c>
      <c r="N2523">
        <v>16</v>
      </c>
      <c r="O2523">
        <v>46307</v>
      </c>
      <c r="P2523">
        <v>184</v>
      </c>
    </row>
    <row r="2524" spans="1:16" x14ac:dyDescent="0.4">
      <c r="A2524">
        <v>2610</v>
      </c>
      <c r="B2524" t="s">
        <v>4915</v>
      </c>
      <c r="D2524" t="s">
        <v>4901</v>
      </c>
      <c r="E2524" t="s">
        <v>5173</v>
      </c>
      <c r="F2524" t="s">
        <v>5147</v>
      </c>
      <c r="G2524" t="s">
        <v>385</v>
      </c>
      <c r="H2524" t="s">
        <v>384</v>
      </c>
      <c r="I2524">
        <v>150</v>
      </c>
      <c r="K2524" t="s">
        <v>4944</v>
      </c>
      <c r="L2524">
        <v>46302</v>
      </c>
      <c r="M2524">
        <v>103229</v>
      </c>
      <c r="N2524">
        <v>40</v>
      </c>
      <c r="O2524">
        <v>46307</v>
      </c>
      <c r="P2524">
        <v>110</v>
      </c>
    </row>
    <row r="2525" spans="1:16" x14ac:dyDescent="0.4">
      <c r="A2525">
        <v>1370</v>
      </c>
      <c r="B2525" t="s">
        <v>4915</v>
      </c>
      <c r="G2525" t="s">
        <v>3425</v>
      </c>
      <c r="H2525" t="s">
        <v>3424</v>
      </c>
      <c r="I2525">
        <v>47</v>
      </c>
      <c r="K2525" t="s">
        <v>3426</v>
      </c>
      <c r="L2525">
        <v>46287</v>
      </c>
      <c r="M2525">
        <v>103229</v>
      </c>
      <c r="N2525">
        <v>40</v>
      </c>
      <c r="O2525">
        <v>46307</v>
      </c>
      <c r="P2525">
        <v>7</v>
      </c>
    </row>
    <row r="2526" spans="1:16" x14ac:dyDescent="0.4">
      <c r="A2526">
        <v>1371</v>
      </c>
      <c r="B2526" t="s">
        <v>4915</v>
      </c>
      <c r="G2526" t="s">
        <v>3452</v>
      </c>
      <c r="H2526" t="s">
        <v>3451</v>
      </c>
      <c r="I2526">
        <v>60</v>
      </c>
      <c r="K2526" t="s">
        <v>3239</v>
      </c>
      <c r="L2526">
        <v>46287</v>
      </c>
      <c r="M2526">
        <v>103229</v>
      </c>
      <c r="N2526">
        <v>40</v>
      </c>
      <c r="O2526">
        <v>46307</v>
      </c>
      <c r="P2526">
        <v>20</v>
      </c>
    </row>
    <row r="2527" spans="1:16" x14ac:dyDescent="0.4">
      <c r="A2527">
        <v>2284</v>
      </c>
      <c r="B2527" t="s">
        <v>4915</v>
      </c>
      <c r="G2527" t="s">
        <v>5013</v>
      </c>
      <c r="H2527" t="s">
        <v>5014</v>
      </c>
      <c r="I2527">
        <v>106</v>
      </c>
      <c r="K2527" t="s">
        <v>5015</v>
      </c>
      <c r="L2527">
        <v>46303</v>
      </c>
      <c r="M2527">
        <v>103229</v>
      </c>
      <c r="N2527">
        <v>40</v>
      </c>
      <c r="O2527">
        <v>46307</v>
      </c>
      <c r="P2527">
        <v>66</v>
      </c>
    </row>
    <row r="2528" spans="1:16" x14ac:dyDescent="0.4">
      <c r="A2528">
        <v>2611</v>
      </c>
      <c r="B2528" t="s">
        <v>4915</v>
      </c>
      <c r="D2528" t="s">
        <v>4901</v>
      </c>
      <c r="E2528" t="s">
        <v>5161</v>
      </c>
      <c r="F2528" t="s">
        <v>5147</v>
      </c>
      <c r="G2528" t="s">
        <v>5011</v>
      </c>
      <c r="H2528" t="s">
        <v>5012</v>
      </c>
      <c r="I2528">
        <v>150</v>
      </c>
      <c r="K2528" t="s">
        <v>5008</v>
      </c>
      <c r="L2528">
        <v>46307</v>
      </c>
      <c r="M2528">
        <v>103229</v>
      </c>
      <c r="N2528">
        <v>40</v>
      </c>
      <c r="O2528">
        <v>46307</v>
      </c>
      <c r="P2528">
        <v>110</v>
      </c>
    </row>
    <row r="2529" spans="1:16" x14ac:dyDescent="0.4">
      <c r="A2529">
        <v>2613</v>
      </c>
      <c r="B2529" t="s">
        <v>4915</v>
      </c>
      <c r="D2529" t="s">
        <v>4901</v>
      </c>
      <c r="E2529" t="s">
        <v>5148</v>
      </c>
      <c r="F2529" t="s">
        <v>4939</v>
      </c>
      <c r="G2529" t="s">
        <v>3419</v>
      </c>
      <c r="H2529" t="s">
        <v>3418</v>
      </c>
      <c r="I2529">
        <v>200</v>
      </c>
      <c r="K2529" t="s">
        <v>3420</v>
      </c>
      <c r="L2529">
        <v>46293</v>
      </c>
      <c r="M2529">
        <v>103229</v>
      </c>
      <c r="N2529">
        <v>30</v>
      </c>
      <c r="O2529">
        <v>46307</v>
      </c>
      <c r="P2529">
        <v>170</v>
      </c>
    </row>
    <row r="2530" spans="1:16" x14ac:dyDescent="0.4">
      <c r="A2530">
        <v>1372</v>
      </c>
      <c r="B2530" t="s">
        <v>4915</v>
      </c>
      <c r="G2530" t="s">
        <v>3419</v>
      </c>
      <c r="H2530" t="s">
        <v>3418</v>
      </c>
      <c r="I2530">
        <v>10</v>
      </c>
      <c r="K2530" t="s">
        <v>3420</v>
      </c>
      <c r="L2530">
        <v>46287</v>
      </c>
      <c r="M2530">
        <v>103229</v>
      </c>
      <c r="N2530">
        <v>10</v>
      </c>
      <c r="O2530">
        <v>46307</v>
      </c>
      <c r="P2530">
        <v>0</v>
      </c>
    </row>
    <row r="2531" spans="1:16" x14ac:dyDescent="0.4">
      <c r="A2531">
        <v>1373</v>
      </c>
      <c r="B2531" t="s">
        <v>4915</v>
      </c>
      <c r="G2531" t="s">
        <v>5019</v>
      </c>
      <c r="H2531" t="s">
        <v>3633</v>
      </c>
      <c r="I2531">
        <v>79</v>
      </c>
      <c r="K2531" t="s">
        <v>5020</v>
      </c>
      <c r="L2531">
        <v>46287</v>
      </c>
      <c r="M2531">
        <v>103229</v>
      </c>
      <c r="N2531">
        <v>79</v>
      </c>
      <c r="O2531">
        <v>46307</v>
      </c>
      <c r="P2531">
        <v>0</v>
      </c>
    </row>
    <row r="2532" spans="1:16" x14ac:dyDescent="0.4">
      <c r="A2532">
        <v>1581</v>
      </c>
      <c r="B2532" t="s">
        <v>4915</v>
      </c>
      <c r="G2532" t="s">
        <v>3202</v>
      </c>
      <c r="H2532" t="s">
        <v>3201</v>
      </c>
      <c r="I2532">
        <v>1600</v>
      </c>
      <c r="K2532" t="s">
        <v>4970</v>
      </c>
      <c r="L2532">
        <v>46287</v>
      </c>
      <c r="M2532">
        <v>103230</v>
      </c>
      <c r="N2532">
        <v>880</v>
      </c>
      <c r="O2532">
        <v>46307</v>
      </c>
      <c r="P2532">
        <v>720</v>
      </c>
    </row>
    <row r="2533" spans="1:16" x14ac:dyDescent="0.4">
      <c r="A2533">
        <v>1582</v>
      </c>
      <c r="B2533" t="s">
        <v>4915</v>
      </c>
      <c r="G2533" t="s">
        <v>3636</v>
      </c>
      <c r="H2533" t="s">
        <v>3635</v>
      </c>
      <c r="I2533">
        <v>32</v>
      </c>
      <c r="K2533" t="s">
        <v>5051</v>
      </c>
      <c r="L2533">
        <v>46287</v>
      </c>
      <c r="M2533">
        <v>103230</v>
      </c>
      <c r="N2533">
        <v>32</v>
      </c>
      <c r="O2533">
        <v>46307</v>
      </c>
      <c r="P2533">
        <v>0</v>
      </c>
    </row>
    <row r="2534" spans="1:16" x14ac:dyDescent="0.4">
      <c r="A2534">
        <v>1615</v>
      </c>
      <c r="B2534" t="s">
        <v>4915</v>
      </c>
      <c r="G2534" t="s">
        <v>1361</v>
      </c>
      <c r="H2534" t="s">
        <v>1360</v>
      </c>
      <c r="I2534">
        <v>3</v>
      </c>
      <c r="K2534" t="s">
        <v>4968</v>
      </c>
      <c r="L2534">
        <v>46280</v>
      </c>
      <c r="M2534">
        <v>103230</v>
      </c>
      <c r="N2534">
        <v>3</v>
      </c>
      <c r="O2534">
        <v>46307</v>
      </c>
      <c r="P2534">
        <v>0</v>
      </c>
    </row>
    <row r="2535" spans="1:16" x14ac:dyDescent="0.4">
      <c r="A2535">
        <v>1584</v>
      </c>
      <c r="B2535" t="s">
        <v>4915</v>
      </c>
      <c r="G2535" t="s">
        <v>3578</v>
      </c>
      <c r="H2535" t="s">
        <v>3577</v>
      </c>
      <c r="I2535">
        <v>29</v>
      </c>
      <c r="K2535" t="s">
        <v>5053</v>
      </c>
      <c r="L2535">
        <v>46287</v>
      </c>
      <c r="M2535">
        <v>103230</v>
      </c>
      <c r="N2535">
        <v>29</v>
      </c>
      <c r="O2535">
        <v>46307</v>
      </c>
      <c r="P2535">
        <v>0</v>
      </c>
    </row>
    <row r="2536" spans="1:16" x14ac:dyDescent="0.4">
      <c r="A2536">
        <v>2363</v>
      </c>
      <c r="B2536" t="s">
        <v>4915</v>
      </c>
      <c r="G2536" t="s">
        <v>2809</v>
      </c>
      <c r="H2536" t="s">
        <v>2808</v>
      </c>
      <c r="I2536">
        <v>121</v>
      </c>
      <c r="K2536" t="s">
        <v>4869</v>
      </c>
      <c r="L2536">
        <v>46302</v>
      </c>
      <c r="M2536">
        <v>103230</v>
      </c>
      <c r="N2536">
        <v>40</v>
      </c>
      <c r="O2536">
        <v>46307</v>
      </c>
      <c r="P2536">
        <v>81</v>
      </c>
    </row>
    <row r="2537" spans="1:16" x14ac:dyDescent="0.4">
      <c r="A2537">
        <v>1586</v>
      </c>
      <c r="B2537" t="s">
        <v>4915</v>
      </c>
      <c r="G2537" t="s">
        <v>3396</v>
      </c>
      <c r="H2537" t="s">
        <v>3395</v>
      </c>
      <c r="I2537">
        <v>93</v>
      </c>
      <c r="K2537" t="s">
        <v>5052</v>
      </c>
      <c r="L2537">
        <v>46287</v>
      </c>
      <c r="M2537">
        <v>103230</v>
      </c>
      <c r="N2537">
        <v>40</v>
      </c>
      <c r="O2537">
        <v>46307</v>
      </c>
      <c r="P2537">
        <v>53</v>
      </c>
    </row>
    <row r="2538" spans="1:16" x14ac:dyDescent="0.4">
      <c r="A2538">
        <v>1720</v>
      </c>
      <c r="B2538" t="s">
        <v>4915</v>
      </c>
      <c r="G2538" t="s">
        <v>5000</v>
      </c>
      <c r="H2538">
        <v>0</v>
      </c>
      <c r="I2538">
        <v>13</v>
      </c>
      <c r="K2538" t="s">
        <v>3271</v>
      </c>
      <c r="L2538">
        <v>46288</v>
      </c>
      <c r="M2538">
        <v>103231</v>
      </c>
      <c r="N2538">
        <v>13</v>
      </c>
      <c r="O2538">
        <v>46307</v>
      </c>
      <c r="P2538">
        <v>0</v>
      </c>
    </row>
    <row r="2539" spans="1:16" x14ac:dyDescent="0.4">
      <c r="A2539">
        <v>1711</v>
      </c>
      <c r="B2539" t="s">
        <v>4915</v>
      </c>
      <c r="G2539" t="s">
        <v>3756</v>
      </c>
      <c r="H2539" t="s">
        <v>3755</v>
      </c>
      <c r="I2539">
        <v>14</v>
      </c>
      <c r="K2539" t="s">
        <v>5002</v>
      </c>
      <c r="L2539">
        <v>46288</v>
      </c>
      <c r="M2539">
        <v>103231</v>
      </c>
      <c r="N2539">
        <v>6</v>
      </c>
      <c r="O2539">
        <v>46307</v>
      </c>
      <c r="P2539">
        <v>8</v>
      </c>
    </row>
    <row r="2540" spans="1:16" x14ac:dyDescent="0.4">
      <c r="A2540">
        <v>2076</v>
      </c>
      <c r="B2540" t="s">
        <v>4915</v>
      </c>
      <c r="G2540" t="s">
        <v>3337</v>
      </c>
      <c r="H2540" t="s">
        <v>3336</v>
      </c>
      <c r="I2540">
        <v>20</v>
      </c>
      <c r="K2540" t="s">
        <v>3338</v>
      </c>
      <c r="L2540">
        <v>46293</v>
      </c>
      <c r="M2540">
        <v>103231</v>
      </c>
      <c r="N2540">
        <v>20</v>
      </c>
      <c r="O2540">
        <v>46307</v>
      </c>
      <c r="P2540">
        <v>0</v>
      </c>
    </row>
    <row r="2541" spans="1:16" x14ac:dyDescent="0.4">
      <c r="A2541">
        <v>1736</v>
      </c>
      <c r="B2541" t="s">
        <v>4915</v>
      </c>
      <c r="G2541" t="s">
        <v>3436</v>
      </c>
      <c r="H2541" t="s">
        <v>3435</v>
      </c>
      <c r="I2541">
        <v>25</v>
      </c>
      <c r="K2541" t="s">
        <v>2026</v>
      </c>
      <c r="L2541">
        <v>46288</v>
      </c>
      <c r="M2541">
        <v>103231</v>
      </c>
      <c r="N2541">
        <v>25</v>
      </c>
      <c r="O2541">
        <v>46307</v>
      </c>
      <c r="P2541">
        <v>0</v>
      </c>
    </row>
    <row r="2542" spans="1:16" x14ac:dyDescent="0.4">
      <c r="A2542">
        <v>1721</v>
      </c>
      <c r="B2542" t="s">
        <v>4915</v>
      </c>
      <c r="G2542" t="s">
        <v>3334</v>
      </c>
      <c r="H2542" t="s">
        <v>3333</v>
      </c>
      <c r="I2542">
        <v>29</v>
      </c>
      <c r="K2542" t="s">
        <v>3335</v>
      </c>
      <c r="L2542">
        <v>46288</v>
      </c>
      <c r="M2542">
        <v>103231</v>
      </c>
      <c r="N2542">
        <v>19</v>
      </c>
      <c r="O2542">
        <v>46307</v>
      </c>
      <c r="P2542">
        <v>10</v>
      </c>
    </row>
    <row r="2543" spans="1:16" x14ac:dyDescent="0.4">
      <c r="A2543">
        <v>2375</v>
      </c>
      <c r="B2543" t="s">
        <v>4915</v>
      </c>
      <c r="G2543" t="s">
        <v>2457</v>
      </c>
      <c r="H2543" t="s">
        <v>2456</v>
      </c>
      <c r="I2543">
        <v>30</v>
      </c>
      <c r="K2543" t="s">
        <v>4954</v>
      </c>
      <c r="L2543">
        <v>46302</v>
      </c>
      <c r="M2543">
        <v>103231</v>
      </c>
      <c r="N2543">
        <v>30</v>
      </c>
      <c r="O2543">
        <v>46307</v>
      </c>
      <c r="P2543">
        <v>0</v>
      </c>
    </row>
    <row r="2544" spans="1:16" x14ac:dyDescent="0.4">
      <c r="A2544">
        <v>1719</v>
      </c>
      <c r="B2544" t="s">
        <v>4915</v>
      </c>
      <c r="G2544" t="s">
        <v>3199</v>
      </c>
      <c r="H2544" t="s">
        <v>3198</v>
      </c>
      <c r="I2544">
        <v>31</v>
      </c>
      <c r="K2544" t="s">
        <v>3200</v>
      </c>
      <c r="L2544">
        <v>46288</v>
      </c>
      <c r="M2544">
        <v>103231</v>
      </c>
      <c r="N2544">
        <v>11</v>
      </c>
      <c r="O2544">
        <v>46307</v>
      </c>
      <c r="P2544">
        <v>20</v>
      </c>
    </row>
    <row r="2545" spans="1:16" x14ac:dyDescent="0.4">
      <c r="A2545">
        <v>1718</v>
      </c>
      <c r="B2545" t="s">
        <v>4915</v>
      </c>
      <c r="G2545" t="s">
        <v>3196</v>
      </c>
      <c r="H2545" t="s">
        <v>3195</v>
      </c>
      <c r="I2545">
        <v>33</v>
      </c>
      <c r="K2545" t="s">
        <v>3197</v>
      </c>
      <c r="L2545">
        <v>46288</v>
      </c>
      <c r="M2545">
        <v>103231</v>
      </c>
      <c r="N2545">
        <v>13</v>
      </c>
      <c r="O2545">
        <v>46307</v>
      </c>
      <c r="P2545">
        <v>20</v>
      </c>
    </row>
    <row r="2546" spans="1:16" x14ac:dyDescent="0.4">
      <c r="A2546">
        <v>1712</v>
      </c>
      <c r="B2546" t="s">
        <v>4915</v>
      </c>
      <c r="G2546" t="s">
        <v>3754</v>
      </c>
      <c r="H2546" t="s">
        <v>3753</v>
      </c>
      <c r="I2546">
        <v>36</v>
      </c>
      <c r="K2546" t="s">
        <v>5002</v>
      </c>
      <c r="L2546">
        <v>46288</v>
      </c>
      <c r="M2546">
        <v>103231</v>
      </c>
      <c r="N2546">
        <v>28</v>
      </c>
      <c r="O2546">
        <v>46307</v>
      </c>
      <c r="P2546">
        <v>8</v>
      </c>
    </row>
    <row r="2547" spans="1:16" x14ac:dyDescent="0.4">
      <c r="A2547">
        <v>1717</v>
      </c>
      <c r="B2547" t="s">
        <v>4915</v>
      </c>
      <c r="G2547" t="s">
        <v>3278</v>
      </c>
      <c r="H2547" t="s">
        <v>3277</v>
      </c>
      <c r="I2547">
        <v>36</v>
      </c>
      <c r="K2547" t="s">
        <v>3271</v>
      </c>
      <c r="L2547">
        <v>46288</v>
      </c>
      <c r="M2547">
        <v>103231</v>
      </c>
      <c r="N2547">
        <v>36</v>
      </c>
      <c r="O2547">
        <v>46307</v>
      </c>
      <c r="P2547">
        <v>0</v>
      </c>
    </row>
    <row r="2548" spans="1:16" x14ac:dyDescent="0.4">
      <c r="A2548">
        <v>2075</v>
      </c>
      <c r="B2548" t="s">
        <v>4915</v>
      </c>
      <c r="G2548" t="s">
        <v>3340</v>
      </c>
      <c r="H2548" t="s">
        <v>3339</v>
      </c>
      <c r="I2548">
        <v>43</v>
      </c>
      <c r="K2548" t="s">
        <v>3338</v>
      </c>
      <c r="L2548">
        <v>46293</v>
      </c>
      <c r="M2548">
        <v>103231</v>
      </c>
      <c r="N2548">
        <v>40</v>
      </c>
      <c r="O2548">
        <v>46307</v>
      </c>
      <c r="P2548">
        <v>3</v>
      </c>
    </row>
    <row r="2549" spans="1:16" x14ac:dyDescent="0.4">
      <c r="A2549">
        <v>1940</v>
      </c>
      <c r="B2549" t="s">
        <v>4915</v>
      </c>
      <c r="D2549" t="s">
        <v>4901</v>
      </c>
      <c r="E2549" t="s">
        <v>5148</v>
      </c>
      <c r="F2549" t="s">
        <v>4939</v>
      </c>
      <c r="G2549" t="s">
        <v>3278</v>
      </c>
      <c r="H2549" t="s">
        <v>3277</v>
      </c>
      <c r="I2549">
        <v>52</v>
      </c>
      <c r="K2549" t="s">
        <v>3271</v>
      </c>
      <c r="L2549">
        <v>46296</v>
      </c>
      <c r="M2549">
        <v>103231</v>
      </c>
      <c r="N2549">
        <v>4</v>
      </c>
      <c r="O2549">
        <v>46307</v>
      </c>
      <c r="P2549">
        <v>48</v>
      </c>
    </row>
    <row r="2550" spans="1:16" x14ac:dyDescent="0.4">
      <c r="A2550">
        <v>1716</v>
      </c>
      <c r="B2550" t="s">
        <v>4915</v>
      </c>
      <c r="G2550" t="s">
        <v>3768</v>
      </c>
      <c r="H2550" t="s">
        <v>3767</v>
      </c>
      <c r="I2550">
        <v>55</v>
      </c>
      <c r="K2550" t="s">
        <v>3426</v>
      </c>
      <c r="L2550">
        <v>46288</v>
      </c>
      <c r="M2550">
        <v>103231</v>
      </c>
      <c r="N2550">
        <v>40</v>
      </c>
      <c r="O2550">
        <v>46307</v>
      </c>
      <c r="P2550">
        <v>15</v>
      </c>
    </row>
    <row r="2551" spans="1:16" x14ac:dyDescent="0.4">
      <c r="A2551">
        <v>1734</v>
      </c>
      <c r="B2551" t="s">
        <v>4915</v>
      </c>
      <c r="G2551" t="s">
        <v>3764</v>
      </c>
      <c r="H2551" t="s">
        <v>3763</v>
      </c>
      <c r="I2551">
        <v>81</v>
      </c>
      <c r="K2551" t="s">
        <v>3426</v>
      </c>
      <c r="L2551">
        <v>46288</v>
      </c>
      <c r="M2551">
        <v>103231</v>
      </c>
      <c r="N2551">
        <v>40</v>
      </c>
      <c r="O2551">
        <v>46307</v>
      </c>
      <c r="P2551">
        <v>41</v>
      </c>
    </row>
    <row r="2552" spans="1:16" x14ac:dyDescent="0.4">
      <c r="A2552">
        <v>2077</v>
      </c>
      <c r="B2552" t="s">
        <v>4915</v>
      </c>
      <c r="G2552" t="s">
        <v>3434</v>
      </c>
      <c r="H2552" t="s">
        <v>3433</v>
      </c>
      <c r="I2552">
        <v>87</v>
      </c>
      <c r="K2552" t="s">
        <v>2026</v>
      </c>
      <c r="L2552">
        <v>46293</v>
      </c>
      <c r="M2552">
        <v>103231</v>
      </c>
      <c r="N2552">
        <v>87</v>
      </c>
      <c r="O2552">
        <v>46307</v>
      </c>
      <c r="P2552">
        <v>0</v>
      </c>
    </row>
    <row r="2553" spans="1:16" x14ac:dyDescent="0.4">
      <c r="A2553">
        <v>1733</v>
      </c>
      <c r="B2553" t="s">
        <v>4915</v>
      </c>
      <c r="G2553" t="s">
        <v>3766</v>
      </c>
      <c r="H2553" t="s">
        <v>3765</v>
      </c>
      <c r="I2553">
        <v>88</v>
      </c>
      <c r="K2553" t="s">
        <v>3426</v>
      </c>
      <c r="L2553">
        <v>46288</v>
      </c>
      <c r="M2553">
        <v>103231</v>
      </c>
      <c r="N2553">
        <v>40</v>
      </c>
      <c r="O2553">
        <v>46307</v>
      </c>
      <c r="P2553">
        <v>48</v>
      </c>
    </row>
    <row r="2554" spans="1:16" x14ac:dyDescent="0.4">
      <c r="A2554">
        <v>1715</v>
      </c>
      <c r="B2554" t="s">
        <v>4915</v>
      </c>
      <c r="G2554" t="s">
        <v>2513</v>
      </c>
      <c r="H2554" t="s">
        <v>2512</v>
      </c>
      <c r="I2554">
        <v>92</v>
      </c>
      <c r="K2554" t="s">
        <v>4955</v>
      </c>
      <c r="L2554">
        <v>46288</v>
      </c>
      <c r="M2554">
        <v>103231</v>
      </c>
      <c r="N2554">
        <v>40</v>
      </c>
      <c r="O2554">
        <v>46307</v>
      </c>
      <c r="P2554">
        <v>52</v>
      </c>
    </row>
    <row r="2555" spans="1:16" x14ac:dyDescent="0.4">
      <c r="A2555">
        <v>2547</v>
      </c>
      <c r="B2555" t="s">
        <v>4915</v>
      </c>
      <c r="D2555" t="s">
        <v>4901</v>
      </c>
      <c r="E2555" t="s">
        <v>5148</v>
      </c>
      <c r="F2555" t="s">
        <v>4939</v>
      </c>
      <c r="G2555" t="s">
        <v>5000</v>
      </c>
      <c r="H2555">
        <v>0</v>
      </c>
      <c r="I2555">
        <v>100</v>
      </c>
      <c r="K2555" t="s">
        <v>3271</v>
      </c>
      <c r="L2555">
        <v>46279</v>
      </c>
      <c r="M2555">
        <v>103231</v>
      </c>
      <c r="N2555">
        <v>27</v>
      </c>
      <c r="O2555">
        <v>46307</v>
      </c>
      <c r="P2555">
        <v>73</v>
      </c>
    </row>
    <row r="2556" spans="1:16" x14ac:dyDescent="0.4">
      <c r="A2556">
        <v>2074</v>
      </c>
      <c r="B2556" t="s">
        <v>4915</v>
      </c>
      <c r="D2556" t="s">
        <v>4901</v>
      </c>
      <c r="E2556" t="s">
        <v>5148</v>
      </c>
      <c r="F2556" t="s">
        <v>4939</v>
      </c>
      <c r="G2556" t="s">
        <v>3337</v>
      </c>
      <c r="H2556" t="s">
        <v>3336</v>
      </c>
      <c r="I2556">
        <v>156</v>
      </c>
      <c r="K2556" t="s">
        <v>3338</v>
      </c>
      <c r="L2556">
        <v>46288</v>
      </c>
      <c r="M2556">
        <v>103231</v>
      </c>
      <c r="N2556">
        <v>20</v>
      </c>
      <c r="O2556">
        <v>46307</v>
      </c>
      <c r="P2556">
        <v>136</v>
      </c>
    </row>
    <row r="2557" spans="1:16" x14ac:dyDescent="0.4">
      <c r="A2557">
        <v>1732</v>
      </c>
      <c r="B2557" t="s">
        <v>4915</v>
      </c>
      <c r="G2557" t="s">
        <v>2561</v>
      </c>
      <c r="H2557" t="s">
        <v>2560</v>
      </c>
      <c r="I2557">
        <v>246</v>
      </c>
      <c r="K2557" t="s">
        <v>2564</v>
      </c>
      <c r="L2557">
        <v>46288</v>
      </c>
      <c r="M2557">
        <v>103231</v>
      </c>
      <c r="N2557">
        <v>40</v>
      </c>
      <c r="O2557">
        <v>46307</v>
      </c>
      <c r="P2557">
        <v>206</v>
      </c>
    </row>
    <row r="2558" spans="1:16" x14ac:dyDescent="0.4">
      <c r="A2558">
        <v>2016</v>
      </c>
      <c r="B2558" t="s">
        <v>4915</v>
      </c>
      <c r="D2558" t="s">
        <v>4901</v>
      </c>
      <c r="E2558" t="s">
        <v>5149</v>
      </c>
      <c r="F2558" t="s">
        <v>5147</v>
      </c>
      <c r="G2558" t="s">
        <v>2457</v>
      </c>
      <c r="H2558" t="s">
        <v>2456</v>
      </c>
      <c r="I2558">
        <v>250</v>
      </c>
      <c r="K2558" t="s">
        <v>4954</v>
      </c>
      <c r="L2558">
        <v>46296</v>
      </c>
      <c r="M2558">
        <v>103231</v>
      </c>
      <c r="N2558">
        <v>10</v>
      </c>
      <c r="O2558">
        <v>46307</v>
      </c>
      <c r="P2558">
        <v>240</v>
      </c>
    </row>
    <row r="2559" spans="1:16" x14ac:dyDescent="0.4">
      <c r="A2559">
        <v>1722</v>
      </c>
      <c r="B2559" t="s">
        <v>4915</v>
      </c>
      <c r="G2559" t="s">
        <v>3432</v>
      </c>
      <c r="H2559" t="s">
        <v>3431</v>
      </c>
      <c r="I2559">
        <v>286</v>
      </c>
      <c r="K2559" t="s">
        <v>2026</v>
      </c>
      <c r="L2559">
        <v>46288</v>
      </c>
      <c r="M2559">
        <v>103231</v>
      </c>
      <c r="N2559">
        <v>40</v>
      </c>
      <c r="O2559">
        <v>46307</v>
      </c>
      <c r="P2559">
        <v>246</v>
      </c>
    </row>
    <row r="2560" spans="1:16" x14ac:dyDescent="0.4">
      <c r="A2560">
        <v>1356</v>
      </c>
      <c r="B2560" t="s">
        <v>4915</v>
      </c>
      <c r="D2560" t="s">
        <v>4901</v>
      </c>
      <c r="E2560" t="s">
        <v>5148</v>
      </c>
      <c r="F2560" t="s">
        <v>4939</v>
      </c>
      <c r="G2560" t="s">
        <v>3434</v>
      </c>
      <c r="H2560" t="s">
        <v>3433</v>
      </c>
      <c r="I2560">
        <v>310</v>
      </c>
      <c r="K2560" t="s">
        <v>2026</v>
      </c>
      <c r="L2560">
        <v>46286</v>
      </c>
      <c r="M2560">
        <v>103231</v>
      </c>
      <c r="N2560">
        <v>113</v>
      </c>
      <c r="O2560">
        <v>46307</v>
      </c>
      <c r="P2560">
        <v>197</v>
      </c>
    </row>
    <row r="2561" spans="1:16" x14ac:dyDescent="0.4">
      <c r="A2561">
        <v>1737</v>
      </c>
      <c r="B2561" t="s">
        <v>4915</v>
      </c>
      <c r="G2561" t="s">
        <v>2563</v>
      </c>
      <c r="H2561" t="s">
        <v>2562</v>
      </c>
      <c r="I2561">
        <v>329</v>
      </c>
      <c r="K2561" t="s">
        <v>2564</v>
      </c>
      <c r="L2561">
        <v>46288</v>
      </c>
      <c r="M2561">
        <v>103231</v>
      </c>
      <c r="N2561">
        <v>200</v>
      </c>
      <c r="O2561">
        <v>46307</v>
      </c>
      <c r="P2561">
        <v>129</v>
      </c>
    </row>
    <row r="2562" spans="1:16" x14ac:dyDescent="0.4">
      <c r="A2562">
        <v>2376</v>
      </c>
      <c r="B2562" t="s">
        <v>4915</v>
      </c>
      <c r="G2562" t="s">
        <v>2555</v>
      </c>
      <c r="H2562" t="s">
        <v>2554</v>
      </c>
      <c r="I2562">
        <v>607</v>
      </c>
      <c r="K2562" t="s">
        <v>4871</v>
      </c>
      <c r="L2562">
        <v>46302</v>
      </c>
      <c r="M2562">
        <v>103231</v>
      </c>
      <c r="N2562">
        <v>40</v>
      </c>
      <c r="O2562">
        <v>46307</v>
      </c>
      <c r="P2562">
        <v>567</v>
      </c>
    </row>
    <row r="2563" spans="1:16" x14ac:dyDescent="0.4">
      <c r="A2563">
        <v>1361</v>
      </c>
      <c r="B2563" t="s">
        <v>4915</v>
      </c>
      <c r="D2563" t="s">
        <v>4901</v>
      </c>
      <c r="E2563" t="s">
        <v>5148</v>
      </c>
      <c r="F2563" t="s">
        <v>4939</v>
      </c>
      <c r="G2563" t="s">
        <v>3436</v>
      </c>
      <c r="H2563" t="s">
        <v>3435</v>
      </c>
      <c r="I2563">
        <v>620</v>
      </c>
      <c r="K2563" t="s">
        <v>2026</v>
      </c>
      <c r="L2563">
        <v>46286</v>
      </c>
      <c r="M2563">
        <v>103231</v>
      </c>
      <c r="N2563">
        <v>95</v>
      </c>
      <c r="O2563">
        <v>46307</v>
      </c>
      <c r="P2563">
        <v>525</v>
      </c>
    </row>
    <row r="2564" spans="1:16" x14ac:dyDescent="0.4">
      <c r="A2564">
        <v>2462</v>
      </c>
      <c r="B2564" t="s">
        <v>4915</v>
      </c>
      <c r="G2564" t="s">
        <v>773</v>
      </c>
      <c r="H2564" t="s">
        <v>772</v>
      </c>
      <c r="I2564">
        <v>28</v>
      </c>
      <c r="K2564" t="s">
        <v>4996</v>
      </c>
      <c r="L2564">
        <v>46301</v>
      </c>
      <c r="M2564">
        <v>103233</v>
      </c>
      <c r="N2564">
        <v>10</v>
      </c>
      <c r="O2564">
        <v>46308</v>
      </c>
      <c r="P2564">
        <v>18</v>
      </c>
    </row>
    <row r="2565" spans="1:16" x14ac:dyDescent="0.4">
      <c r="A2565">
        <v>2228</v>
      </c>
      <c r="B2565" t="s">
        <v>4915</v>
      </c>
      <c r="G2565" t="s">
        <v>847</v>
      </c>
      <c r="H2565" t="s">
        <v>846</v>
      </c>
      <c r="I2565">
        <v>37</v>
      </c>
      <c r="K2565" t="s">
        <v>4958</v>
      </c>
      <c r="L2565">
        <v>46295</v>
      </c>
      <c r="M2565">
        <v>103233</v>
      </c>
      <c r="N2565">
        <v>10</v>
      </c>
      <c r="O2565">
        <v>46308</v>
      </c>
      <c r="P2565">
        <v>27</v>
      </c>
    </row>
    <row r="2566" spans="1:16" x14ac:dyDescent="0.4">
      <c r="A2566">
        <v>2469</v>
      </c>
      <c r="B2566" t="s">
        <v>4915</v>
      </c>
      <c r="G2566" t="s">
        <v>1043</v>
      </c>
      <c r="H2566" t="s">
        <v>1042</v>
      </c>
      <c r="I2566">
        <v>42</v>
      </c>
      <c r="K2566" t="s">
        <v>4995</v>
      </c>
      <c r="L2566">
        <v>46301</v>
      </c>
      <c r="M2566">
        <v>103233</v>
      </c>
      <c r="N2566">
        <v>10</v>
      </c>
      <c r="O2566">
        <v>46308</v>
      </c>
      <c r="P2566">
        <v>32</v>
      </c>
    </row>
    <row r="2567" spans="1:16" x14ac:dyDescent="0.4">
      <c r="A2567">
        <v>2483</v>
      </c>
      <c r="B2567" t="s">
        <v>4915</v>
      </c>
      <c r="G2567" t="s">
        <v>716</v>
      </c>
      <c r="H2567" t="s">
        <v>4974</v>
      </c>
      <c r="I2567">
        <v>45</v>
      </c>
      <c r="K2567" t="s">
        <v>4975</v>
      </c>
      <c r="L2567">
        <v>46301</v>
      </c>
      <c r="M2567">
        <v>103233</v>
      </c>
      <c r="N2567">
        <v>10</v>
      </c>
      <c r="O2567">
        <v>46308</v>
      </c>
      <c r="P2567">
        <v>35</v>
      </c>
    </row>
    <row r="2568" spans="1:16" x14ac:dyDescent="0.4">
      <c r="A2568">
        <v>2471</v>
      </c>
      <c r="B2568" t="s">
        <v>4915</v>
      </c>
      <c r="G2568" t="s">
        <v>985</v>
      </c>
      <c r="H2568" t="s">
        <v>984</v>
      </c>
      <c r="I2568">
        <v>47</v>
      </c>
      <c r="K2568" t="s">
        <v>4932</v>
      </c>
      <c r="L2568">
        <v>46301</v>
      </c>
      <c r="M2568">
        <v>103233</v>
      </c>
      <c r="N2568">
        <v>7</v>
      </c>
      <c r="O2568">
        <v>46308</v>
      </c>
      <c r="P2568">
        <v>40</v>
      </c>
    </row>
    <row r="2569" spans="1:16" x14ac:dyDescent="0.4">
      <c r="A2569">
        <v>2470</v>
      </c>
      <c r="B2569" t="s">
        <v>4915</v>
      </c>
      <c r="G2569" t="s">
        <v>1057</v>
      </c>
      <c r="H2569" t="s">
        <v>1056</v>
      </c>
      <c r="I2569">
        <v>53</v>
      </c>
      <c r="K2569" t="s">
        <v>4991</v>
      </c>
      <c r="L2569">
        <v>46301</v>
      </c>
      <c r="M2569">
        <v>103233</v>
      </c>
      <c r="N2569">
        <v>10</v>
      </c>
      <c r="O2569">
        <v>46308</v>
      </c>
      <c r="P2569">
        <v>43</v>
      </c>
    </row>
    <row r="2570" spans="1:16" x14ac:dyDescent="0.4">
      <c r="A2570">
        <v>2486</v>
      </c>
      <c r="B2570" t="s">
        <v>4915</v>
      </c>
      <c r="G2570" t="s">
        <v>699</v>
      </c>
      <c r="H2570" t="s">
        <v>4976</v>
      </c>
      <c r="I2570">
        <v>55</v>
      </c>
      <c r="K2570" t="s">
        <v>4975</v>
      </c>
      <c r="L2570">
        <v>46301</v>
      </c>
      <c r="M2570">
        <v>103233</v>
      </c>
      <c r="N2570">
        <v>10</v>
      </c>
      <c r="O2570">
        <v>46308</v>
      </c>
      <c r="P2570">
        <v>45</v>
      </c>
    </row>
    <row r="2571" spans="1:16" x14ac:dyDescent="0.4">
      <c r="A2571">
        <v>2485</v>
      </c>
      <c r="B2571" t="s">
        <v>4915</v>
      </c>
      <c r="G2571" t="s">
        <v>696</v>
      </c>
      <c r="H2571" t="s">
        <v>4980</v>
      </c>
      <c r="I2571">
        <v>57</v>
      </c>
      <c r="K2571" t="s">
        <v>4981</v>
      </c>
      <c r="L2571">
        <v>46301</v>
      </c>
      <c r="M2571">
        <v>103233</v>
      </c>
      <c r="N2571">
        <v>10</v>
      </c>
      <c r="O2571">
        <v>46308</v>
      </c>
      <c r="P2571">
        <v>47</v>
      </c>
    </row>
    <row r="2572" spans="1:16" x14ac:dyDescent="0.4">
      <c r="A2572">
        <v>2468</v>
      </c>
      <c r="B2572" t="s">
        <v>4915</v>
      </c>
      <c r="G2572" t="s">
        <v>842</v>
      </c>
      <c r="H2572" t="s">
        <v>841</v>
      </c>
      <c r="I2572">
        <v>66</v>
      </c>
      <c r="K2572" t="s">
        <v>4998</v>
      </c>
      <c r="L2572">
        <v>46301</v>
      </c>
      <c r="M2572">
        <v>103233</v>
      </c>
      <c r="N2572">
        <v>10</v>
      </c>
      <c r="O2572">
        <v>46308</v>
      </c>
      <c r="P2572">
        <v>56</v>
      </c>
    </row>
    <row r="2573" spans="1:16" x14ac:dyDescent="0.4">
      <c r="A2573">
        <v>2465</v>
      </c>
      <c r="B2573" t="s">
        <v>4915</v>
      </c>
      <c r="G2573" t="s">
        <v>880</v>
      </c>
      <c r="H2573" t="s">
        <v>879</v>
      </c>
      <c r="I2573">
        <v>71</v>
      </c>
      <c r="K2573" t="s">
        <v>4988</v>
      </c>
      <c r="L2573">
        <v>46301</v>
      </c>
      <c r="M2573">
        <v>103233</v>
      </c>
      <c r="N2573">
        <v>10</v>
      </c>
      <c r="O2573">
        <v>46308</v>
      </c>
      <c r="P2573">
        <v>61</v>
      </c>
    </row>
    <row r="2574" spans="1:16" x14ac:dyDescent="0.4">
      <c r="A2574">
        <v>2464</v>
      </c>
      <c r="B2574" t="s">
        <v>4915</v>
      </c>
      <c r="G2574" t="s">
        <v>5156</v>
      </c>
      <c r="H2574" t="s">
        <v>701</v>
      </c>
      <c r="I2574">
        <v>86</v>
      </c>
      <c r="K2574" t="s">
        <v>4985</v>
      </c>
      <c r="L2574">
        <v>46301</v>
      </c>
      <c r="M2574">
        <v>103233</v>
      </c>
      <c r="N2574">
        <v>10</v>
      </c>
      <c r="O2574">
        <v>46308</v>
      </c>
      <c r="P2574">
        <v>76</v>
      </c>
    </row>
    <row r="2575" spans="1:16" x14ac:dyDescent="0.4">
      <c r="A2575">
        <v>2478</v>
      </c>
      <c r="B2575" t="s">
        <v>4915</v>
      </c>
      <c r="G2575" t="s">
        <v>709</v>
      </c>
      <c r="H2575" t="s">
        <v>708</v>
      </c>
      <c r="I2575">
        <v>86</v>
      </c>
      <c r="K2575" t="s">
        <v>4985</v>
      </c>
      <c r="L2575">
        <v>46301</v>
      </c>
      <c r="M2575">
        <v>103233</v>
      </c>
      <c r="N2575">
        <v>10</v>
      </c>
      <c r="O2575">
        <v>46308</v>
      </c>
      <c r="P2575">
        <v>76</v>
      </c>
    </row>
    <row r="2576" spans="1:16" x14ac:dyDescent="0.4">
      <c r="A2576">
        <v>2473</v>
      </c>
      <c r="B2576" t="s">
        <v>4915</v>
      </c>
      <c r="G2576" t="s">
        <v>840</v>
      </c>
      <c r="H2576" t="s">
        <v>839</v>
      </c>
      <c r="I2576">
        <v>106</v>
      </c>
      <c r="K2576" t="s">
        <v>4740</v>
      </c>
      <c r="L2576">
        <v>46301</v>
      </c>
      <c r="M2576">
        <v>103233</v>
      </c>
      <c r="N2576">
        <v>10</v>
      </c>
      <c r="O2576">
        <v>46308</v>
      </c>
      <c r="P2576">
        <v>96</v>
      </c>
    </row>
    <row r="2577" spans="1:16" x14ac:dyDescent="0.4">
      <c r="A2577">
        <v>2490</v>
      </c>
      <c r="B2577" t="s">
        <v>4915</v>
      </c>
      <c r="G2577" t="s">
        <v>967</v>
      </c>
      <c r="H2577" t="s">
        <v>966</v>
      </c>
      <c r="I2577">
        <v>115</v>
      </c>
      <c r="K2577" t="s">
        <v>4965</v>
      </c>
      <c r="L2577">
        <v>46301</v>
      </c>
      <c r="M2577">
        <v>103233</v>
      </c>
      <c r="N2577">
        <v>20</v>
      </c>
      <c r="O2577">
        <v>46308</v>
      </c>
      <c r="P2577">
        <v>95</v>
      </c>
    </row>
    <row r="2578" spans="1:16" x14ac:dyDescent="0.4">
      <c r="A2578">
        <v>2463</v>
      </c>
      <c r="B2578" t="s">
        <v>4915</v>
      </c>
      <c r="G2578" t="s">
        <v>664</v>
      </c>
      <c r="H2578" t="s">
        <v>663</v>
      </c>
      <c r="I2578">
        <v>116</v>
      </c>
      <c r="K2578" t="s">
        <v>4985</v>
      </c>
      <c r="L2578">
        <v>46301</v>
      </c>
      <c r="M2578">
        <v>103233</v>
      </c>
      <c r="N2578">
        <v>10</v>
      </c>
      <c r="O2578">
        <v>46308</v>
      </c>
      <c r="P2578">
        <v>106</v>
      </c>
    </row>
    <row r="2579" spans="1:16" x14ac:dyDescent="0.4">
      <c r="A2579">
        <v>2466</v>
      </c>
      <c r="B2579" t="s">
        <v>4915</v>
      </c>
      <c r="G2579" t="s">
        <v>877</v>
      </c>
      <c r="H2579" t="s">
        <v>876</v>
      </c>
      <c r="I2579">
        <v>121</v>
      </c>
      <c r="K2579" t="s">
        <v>4988</v>
      </c>
      <c r="L2579">
        <v>46301</v>
      </c>
      <c r="M2579">
        <v>103233</v>
      </c>
      <c r="N2579">
        <v>10</v>
      </c>
      <c r="O2579">
        <v>46308</v>
      </c>
      <c r="P2579">
        <v>111</v>
      </c>
    </row>
    <row r="2580" spans="1:16" x14ac:dyDescent="0.4">
      <c r="A2580">
        <v>2489</v>
      </c>
      <c r="B2580" t="s">
        <v>4915</v>
      </c>
      <c r="G2580" t="s">
        <v>1046</v>
      </c>
      <c r="H2580" t="s">
        <v>1045</v>
      </c>
      <c r="I2580">
        <v>126</v>
      </c>
      <c r="K2580" t="s">
        <v>4990</v>
      </c>
      <c r="L2580">
        <v>46301</v>
      </c>
      <c r="M2580">
        <v>103233</v>
      </c>
      <c r="N2580">
        <v>20</v>
      </c>
      <c r="O2580">
        <v>46308</v>
      </c>
      <c r="P2580">
        <v>106</v>
      </c>
    </row>
    <row r="2581" spans="1:16" x14ac:dyDescent="0.4">
      <c r="A2581">
        <v>2472</v>
      </c>
      <c r="B2581" t="s">
        <v>4915</v>
      </c>
      <c r="G2581" t="s">
        <v>1054</v>
      </c>
      <c r="H2581" t="s">
        <v>1053</v>
      </c>
      <c r="I2581">
        <v>130</v>
      </c>
      <c r="K2581" t="s">
        <v>4992</v>
      </c>
      <c r="L2581">
        <v>46301</v>
      </c>
      <c r="M2581">
        <v>103233</v>
      </c>
      <c r="N2581">
        <v>10</v>
      </c>
      <c r="O2581">
        <v>46308</v>
      </c>
      <c r="P2581">
        <v>120</v>
      </c>
    </row>
    <row r="2582" spans="1:16" x14ac:dyDescent="0.4">
      <c r="A2582">
        <v>2481</v>
      </c>
      <c r="B2582" t="s">
        <v>4915</v>
      </c>
      <c r="G2582" t="s">
        <v>639</v>
      </c>
      <c r="H2582" t="s">
        <v>638</v>
      </c>
      <c r="I2582">
        <v>150</v>
      </c>
      <c r="K2582" t="s">
        <v>4984</v>
      </c>
      <c r="L2582">
        <v>46301</v>
      </c>
      <c r="M2582">
        <v>103233</v>
      </c>
      <c r="N2582">
        <v>10</v>
      </c>
      <c r="O2582">
        <v>46308</v>
      </c>
      <c r="P2582">
        <v>140</v>
      </c>
    </row>
    <row r="2583" spans="1:16" x14ac:dyDescent="0.4">
      <c r="A2583">
        <v>2479</v>
      </c>
      <c r="B2583" t="s">
        <v>4915</v>
      </c>
      <c r="G2583" t="s">
        <v>729</v>
      </c>
      <c r="H2583" t="s">
        <v>728</v>
      </c>
      <c r="I2583">
        <v>195</v>
      </c>
      <c r="K2583" t="s">
        <v>4985</v>
      </c>
      <c r="L2583">
        <v>46301</v>
      </c>
      <c r="M2583">
        <v>103233</v>
      </c>
      <c r="N2583">
        <v>10</v>
      </c>
      <c r="O2583">
        <v>46308</v>
      </c>
      <c r="P2583">
        <v>185</v>
      </c>
    </row>
    <row r="2584" spans="1:16" x14ac:dyDescent="0.4">
      <c r="A2584">
        <v>2482</v>
      </c>
      <c r="B2584" t="s">
        <v>4915</v>
      </c>
      <c r="G2584" t="s">
        <v>645</v>
      </c>
      <c r="H2584" t="s">
        <v>4982</v>
      </c>
      <c r="I2584">
        <v>196</v>
      </c>
      <c r="K2584" t="s">
        <v>4983</v>
      </c>
      <c r="L2584">
        <v>46301</v>
      </c>
      <c r="M2584">
        <v>103233</v>
      </c>
      <c r="N2584">
        <v>10</v>
      </c>
      <c r="O2584">
        <v>46308</v>
      </c>
      <c r="P2584">
        <v>186</v>
      </c>
    </row>
    <row r="2585" spans="1:16" x14ac:dyDescent="0.4">
      <c r="A2585">
        <v>2477</v>
      </c>
      <c r="B2585" t="s">
        <v>4915</v>
      </c>
      <c r="G2585" t="s">
        <v>4997</v>
      </c>
      <c r="H2585" t="s">
        <v>624</v>
      </c>
      <c r="I2585">
        <v>224</v>
      </c>
      <c r="K2585" t="s">
        <v>4998</v>
      </c>
      <c r="L2585">
        <v>46301</v>
      </c>
      <c r="M2585">
        <v>103233</v>
      </c>
      <c r="N2585">
        <v>10</v>
      </c>
      <c r="O2585">
        <v>46308</v>
      </c>
      <c r="P2585">
        <v>214</v>
      </c>
    </row>
    <row r="2586" spans="1:16" x14ac:dyDescent="0.4">
      <c r="A2586">
        <v>2467</v>
      </c>
      <c r="B2586" t="s">
        <v>4915</v>
      </c>
      <c r="G2586" t="s">
        <v>884</v>
      </c>
      <c r="H2586" t="s">
        <v>883</v>
      </c>
      <c r="I2586">
        <v>238</v>
      </c>
      <c r="K2586" t="s">
        <v>4943</v>
      </c>
      <c r="L2586">
        <v>46301</v>
      </c>
      <c r="M2586">
        <v>103233</v>
      </c>
      <c r="N2586">
        <v>10</v>
      </c>
      <c r="O2586">
        <v>46308</v>
      </c>
      <c r="P2586">
        <v>228</v>
      </c>
    </row>
    <row r="2587" spans="1:16" x14ac:dyDescent="0.4">
      <c r="A2587">
        <v>2475</v>
      </c>
      <c r="B2587" t="s">
        <v>4915</v>
      </c>
      <c r="G2587" t="s">
        <v>4993</v>
      </c>
      <c r="H2587" t="s">
        <v>2651</v>
      </c>
      <c r="I2587">
        <v>239</v>
      </c>
      <c r="K2587" t="s">
        <v>4948</v>
      </c>
      <c r="L2587">
        <v>46301</v>
      </c>
      <c r="M2587">
        <v>103233</v>
      </c>
      <c r="N2587">
        <v>10</v>
      </c>
      <c r="O2587">
        <v>46308</v>
      </c>
      <c r="P2587">
        <v>229</v>
      </c>
    </row>
    <row r="2588" spans="1:16" x14ac:dyDescent="0.4">
      <c r="A2588">
        <v>2484</v>
      </c>
      <c r="B2588" t="s">
        <v>4915</v>
      </c>
      <c r="G2588" t="s">
        <v>4977</v>
      </c>
      <c r="H2588" t="s">
        <v>4978</v>
      </c>
      <c r="I2588">
        <v>314</v>
      </c>
      <c r="K2588" t="s">
        <v>4979</v>
      </c>
      <c r="L2588">
        <v>46301</v>
      </c>
      <c r="M2588">
        <v>103233</v>
      </c>
      <c r="N2588">
        <v>10</v>
      </c>
      <c r="O2588">
        <v>46308</v>
      </c>
      <c r="P2588">
        <v>304</v>
      </c>
    </row>
    <row r="2589" spans="1:16" x14ac:dyDescent="0.4">
      <c r="A2589">
        <v>2488</v>
      </c>
      <c r="B2589" t="s">
        <v>4915</v>
      </c>
      <c r="G2589" t="s">
        <v>4994</v>
      </c>
      <c r="H2589" t="s">
        <v>2697</v>
      </c>
      <c r="I2589">
        <v>500</v>
      </c>
      <c r="K2589" t="s">
        <v>4948</v>
      </c>
      <c r="L2589">
        <v>46301</v>
      </c>
      <c r="M2589">
        <v>103233</v>
      </c>
      <c r="N2589">
        <v>10</v>
      </c>
      <c r="O2589">
        <v>46308</v>
      </c>
      <c r="P2589">
        <v>490</v>
      </c>
    </row>
    <row r="2590" spans="1:16" x14ac:dyDescent="0.4">
      <c r="A2590">
        <v>2491</v>
      </c>
      <c r="B2590" t="s">
        <v>4915</v>
      </c>
      <c r="G2590" t="s">
        <v>650</v>
      </c>
      <c r="H2590" t="s">
        <v>649</v>
      </c>
      <c r="I2590">
        <v>642</v>
      </c>
      <c r="K2590" t="s">
        <v>4986</v>
      </c>
      <c r="L2590">
        <v>46301</v>
      </c>
      <c r="M2590">
        <v>103233</v>
      </c>
      <c r="N2590">
        <v>20</v>
      </c>
      <c r="O2590">
        <v>46308</v>
      </c>
      <c r="P2590">
        <v>622</v>
      </c>
    </row>
    <row r="2591" spans="1:16" x14ac:dyDescent="0.4">
      <c r="A2591">
        <v>2203</v>
      </c>
      <c r="B2591" t="s">
        <v>4915</v>
      </c>
      <c r="G2591" t="s">
        <v>2462</v>
      </c>
      <c r="H2591" t="s">
        <v>5029</v>
      </c>
      <c r="I2591">
        <v>65</v>
      </c>
      <c r="K2591" t="s">
        <v>5030</v>
      </c>
      <c r="L2591">
        <v>46294</v>
      </c>
      <c r="M2591">
        <v>103699</v>
      </c>
      <c r="N2591">
        <v>5</v>
      </c>
      <c r="O2591">
        <v>46303</v>
      </c>
      <c r="P2591">
        <v>60</v>
      </c>
    </row>
    <row r="2592" spans="1:16" x14ac:dyDescent="0.4">
      <c r="A2592">
        <v>2217</v>
      </c>
      <c r="B2592" t="s">
        <v>4915</v>
      </c>
      <c r="G2592" t="s">
        <v>1005</v>
      </c>
      <c r="H2592" t="s">
        <v>1004</v>
      </c>
      <c r="I2592">
        <v>246</v>
      </c>
      <c r="K2592" t="s">
        <v>4871</v>
      </c>
      <c r="L2592">
        <v>46294</v>
      </c>
      <c r="M2592">
        <v>103703</v>
      </c>
      <c r="N2592">
        <v>30</v>
      </c>
      <c r="O2592">
        <v>46302</v>
      </c>
      <c r="P2592">
        <v>216</v>
      </c>
    </row>
    <row r="2593" spans="1:16" x14ac:dyDescent="0.4">
      <c r="A2593">
        <v>1944</v>
      </c>
      <c r="B2593" t="s">
        <v>4915</v>
      </c>
      <c r="D2593" t="s">
        <v>4901</v>
      </c>
      <c r="E2593" t="s">
        <v>4938</v>
      </c>
      <c r="F2593" t="s">
        <v>4939</v>
      </c>
      <c r="G2593" t="s">
        <v>3929</v>
      </c>
      <c r="H2593" t="s">
        <v>3928</v>
      </c>
      <c r="I2593">
        <v>12</v>
      </c>
      <c r="K2593" t="s">
        <v>3930</v>
      </c>
      <c r="L2593">
        <v>46301</v>
      </c>
      <c r="M2593">
        <v>103708</v>
      </c>
      <c r="N2593">
        <v>10</v>
      </c>
      <c r="O2593">
        <v>46302</v>
      </c>
      <c r="P2593">
        <v>2</v>
      </c>
    </row>
    <row r="2594" spans="1:16" x14ac:dyDescent="0.4">
      <c r="A2594">
        <v>2149</v>
      </c>
      <c r="B2594" t="s">
        <v>4915</v>
      </c>
      <c r="G2594" t="s">
        <v>465</v>
      </c>
      <c r="H2594" t="s">
        <v>464</v>
      </c>
      <c r="I2594">
        <v>255</v>
      </c>
      <c r="K2594" t="s">
        <v>4944</v>
      </c>
      <c r="L2594">
        <v>46293</v>
      </c>
      <c r="M2594">
        <v>103708</v>
      </c>
      <c r="N2594">
        <v>30</v>
      </c>
      <c r="O2594">
        <v>46302</v>
      </c>
      <c r="P2594">
        <v>225</v>
      </c>
    </row>
    <row r="2595" spans="1:16" x14ac:dyDescent="0.4">
      <c r="A2595">
        <v>1930</v>
      </c>
      <c r="B2595" t="s">
        <v>4915</v>
      </c>
      <c r="G2595" t="s">
        <v>2746</v>
      </c>
      <c r="H2595" t="s">
        <v>2745</v>
      </c>
      <c r="I2595">
        <v>342</v>
      </c>
      <c r="K2595" t="s">
        <v>4948</v>
      </c>
      <c r="L2595">
        <v>46295</v>
      </c>
      <c r="M2595">
        <v>103712</v>
      </c>
      <c r="N2595">
        <v>70</v>
      </c>
      <c r="O2595">
        <v>46303</v>
      </c>
      <c r="P2595">
        <v>272</v>
      </c>
    </row>
    <row r="2596" spans="1:16" x14ac:dyDescent="0.4">
      <c r="A2596">
        <v>1933</v>
      </c>
      <c r="B2596" t="s">
        <v>4915</v>
      </c>
      <c r="G2596" t="s">
        <v>2780</v>
      </c>
      <c r="H2596" t="s">
        <v>2779</v>
      </c>
      <c r="I2596">
        <v>476</v>
      </c>
      <c r="K2596" t="s">
        <v>4949</v>
      </c>
      <c r="L2596">
        <v>46295</v>
      </c>
      <c r="M2596">
        <v>103712</v>
      </c>
      <c r="N2596">
        <v>70</v>
      </c>
      <c r="O2596">
        <v>46303</v>
      </c>
      <c r="P2596">
        <v>406</v>
      </c>
    </row>
    <row r="2597" spans="1:16" x14ac:dyDescent="0.4">
      <c r="A2597">
        <v>2285</v>
      </c>
      <c r="B2597" t="s">
        <v>4915</v>
      </c>
      <c r="D2597" t="s">
        <v>4901</v>
      </c>
      <c r="E2597" t="s">
        <v>5153</v>
      </c>
      <c r="F2597" t="s">
        <v>5147</v>
      </c>
      <c r="G2597" t="s">
        <v>761</v>
      </c>
      <c r="H2597" t="s">
        <v>760</v>
      </c>
      <c r="I2597">
        <v>50</v>
      </c>
      <c r="K2597" t="s">
        <v>533</v>
      </c>
      <c r="L2597">
        <v>46287</v>
      </c>
      <c r="M2597">
        <v>103718</v>
      </c>
      <c r="N2597">
        <v>50</v>
      </c>
      <c r="O2597">
        <v>46302</v>
      </c>
      <c r="P2597">
        <v>0</v>
      </c>
    </row>
    <row r="2598" spans="1:16" x14ac:dyDescent="0.4">
      <c r="A2598">
        <v>1838</v>
      </c>
      <c r="B2598" t="s">
        <v>4915</v>
      </c>
      <c r="G2598" t="s">
        <v>1354</v>
      </c>
      <c r="H2598" t="s">
        <v>1353</v>
      </c>
      <c r="I2598">
        <v>45</v>
      </c>
      <c r="K2598" t="s">
        <v>4957</v>
      </c>
      <c r="L2598">
        <v>46295</v>
      </c>
      <c r="M2598">
        <v>103724</v>
      </c>
      <c r="N2598">
        <v>17</v>
      </c>
      <c r="O2598">
        <v>46303</v>
      </c>
      <c r="P2598">
        <v>28</v>
      </c>
    </row>
    <row r="2599" spans="1:16" x14ac:dyDescent="0.4">
      <c r="A2599">
        <v>2126</v>
      </c>
      <c r="B2599" t="s">
        <v>4915</v>
      </c>
      <c r="G2599" t="s">
        <v>339</v>
      </c>
      <c r="H2599" t="s">
        <v>338</v>
      </c>
      <c r="I2599">
        <v>406</v>
      </c>
      <c r="K2599" t="s">
        <v>5109</v>
      </c>
      <c r="L2599">
        <v>46293</v>
      </c>
      <c r="M2599">
        <v>103965</v>
      </c>
      <c r="N2599">
        <v>10</v>
      </c>
      <c r="O2599">
        <v>46303</v>
      </c>
      <c r="P2599">
        <v>396</v>
      </c>
    </row>
    <row r="2600" spans="1:16" x14ac:dyDescent="0.4">
      <c r="A2600">
        <v>2106</v>
      </c>
      <c r="B2600" t="s">
        <v>4915</v>
      </c>
      <c r="G2600" t="s">
        <v>3213</v>
      </c>
      <c r="H2600" t="s">
        <v>3212</v>
      </c>
      <c r="I2600">
        <v>66</v>
      </c>
      <c r="K2600" t="s">
        <v>5021</v>
      </c>
      <c r="L2600">
        <v>46283</v>
      </c>
      <c r="M2600">
        <v>103971</v>
      </c>
      <c r="N2600">
        <v>4</v>
      </c>
      <c r="O2600">
        <v>46303</v>
      </c>
      <c r="P2600">
        <v>62</v>
      </c>
    </row>
    <row r="2601" spans="1:16" x14ac:dyDescent="0.4">
      <c r="A2601">
        <v>1956</v>
      </c>
      <c r="B2601" t="s">
        <v>4915</v>
      </c>
      <c r="D2601" t="s">
        <v>4901</v>
      </c>
      <c r="E2601" t="s">
        <v>4936</v>
      </c>
      <c r="F2601" t="s">
        <v>4939</v>
      </c>
      <c r="G2601" t="s">
        <v>1119</v>
      </c>
      <c r="H2601" t="s">
        <v>1118</v>
      </c>
      <c r="I2601">
        <v>18</v>
      </c>
      <c r="K2601" t="s">
        <v>4958</v>
      </c>
      <c r="L2601">
        <v>46296</v>
      </c>
      <c r="M2601">
        <v>104212</v>
      </c>
      <c r="N2601">
        <v>18</v>
      </c>
      <c r="O2601">
        <v>46303</v>
      </c>
      <c r="P2601">
        <v>0</v>
      </c>
    </row>
    <row r="2602" spans="1:16" x14ac:dyDescent="0.4">
      <c r="A2602">
        <v>1976</v>
      </c>
      <c r="B2602" t="s">
        <v>4915</v>
      </c>
      <c r="D2602" t="s">
        <v>4901</v>
      </c>
      <c r="E2602" t="s">
        <v>4936</v>
      </c>
      <c r="F2602" t="s">
        <v>4939</v>
      </c>
      <c r="G2602" t="s">
        <v>1119</v>
      </c>
      <c r="H2602" t="s">
        <v>1118</v>
      </c>
      <c r="I2602">
        <v>58</v>
      </c>
      <c r="K2602" t="s">
        <v>4958</v>
      </c>
      <c r="L2602">
        <v>46301</v>
      </c>
      <c r="M2602">
        <v>104212</v>
      </c>
      <c r="N2602">
        <v>58</v>
      </c>
      <c r="O2602">
        <v>46303</v>
      </c>
      <c r="P2602">
        <v>0</v>
      </c>
    </row>
    <row r="2603" spans="1:16" x14ac:dyDescent="0.4">
      <c r="A2603">
        <v>2615</v>
      </c>
      <c r="B2603" t="s">
        <v>4915</v>
      </c>
      <c r="G2603" t="s">
        <v>3213</v>
      </c>
      <c r="H2603" t="s">
        <v>3212</v>
      </c>
      <c r="I2603">
        <v>22</v>
      </c>
      <c r="K2603" t="s">
        <v>5021</v>
      </c>
      <c r="L2603">
        <v>46307</v>
      </c>
      <c r="M2603">
        <v>104224</v>
      </c>
      <c r="N2603">
        <v>2</v>
      </c>
      <c r="O2603">
        <v>46307</v>
      </c>
      <c r="P2603">
        <v>20</v>
      </c>
    </row>
    <row r="2604" spans="1:16" x14ac:dyDescent="0.4">
      <c r="A2604">
        <v>2565</v>
      </c>
      <c r="B2604" t="s">
        <v>4915</v>
      </c>
      <c r="G2604" t="s">
        <v>3432</v>
      </c>
      <c r="H2604" t="s">
        <v>3431</v>
      </c>
      <c r="I2604">
        <v>246</v>
      </c>
      <c r="K2604" t="s">
        <v>2026</v>
      </c>
      <c r="L2604">
        <v>46307</v>
      </c>
      <c r="M2604">
        <v>104753</v>
      </c>
      <c r="N2604">
        <v>4</v>
      </c>
      <c r="O2604">
        <v>46307</v>
      </c>
      <c r="P2604">
        <v>242</v>
      </c>
    </row>
    <row r="2605" spans="1:16" x14ac:dyDescent="0.4">
      <c r="A2605">
        <v>2567</v>
      </c>
      <c r="B2605" t="s">
        <v>4915</v>
      </c>
      <c r="G2605" t="s">
        <v>3766</v>
      </c>
      <c r="H2605" t="s">
        <v>3765</v>
      </c>
      <c r="I2605">
        <v>48</v>
      </c>
      <c r="K2605" t="s">
        <v>3426</v>
      </c>
      <c r="L2605">
        <v>46307</v>
      </c>
      <c r="M2605">
        <v>104753</v>
      </c>
      <c r="N2605">
        <v>4</v>
      </c>
      <c r="O2605">
        <v>46307</v>
      </c>
      <c r="P2605">
        <v>44</v>
      </c>
    </row>
    <row r="2606" spans="1:16" x14ac:dyDescent="0.4">
      <c r="A2606">
        <v>2557</v>
      </c>
      <c r="B2606" t="s">
        <v>4915</v>
      </c>
      <c r="G2606" t="s">
        <v>3768</v>
      </c>
      <c r="H2606" t="s">
        <v>3767</v>
      </c>
      <c r="I2606">
        <v>15</v>
      </c>
      <c r="K2606" t="s">
        <v>3426</v>
      </c>
      <c r="L2606">
        <v>46307</v>
      </c>
      <c r="M2606">
        <v>104753</v>
      </c>
      <c r="N2606">
        <v>6</v>
      </c>
      <c r="O2606">
        <v>46307</v>
      </c>
      <c r="P2606">
        <v>9</v>
      </c>
    </row>
    <row r="2607" spans="1:16" x14ac:dyDescent="0.4">
      <c r="A2607">
        <v>1727</v>
      </c>
      <c r="B2607" t="s">
        <v>4915</v>
      </c>
      <c r="G2607" t="s">
        <v>3417</v>
      </c>
      <c r="H2607" t="s">
        <v>3416</v>
      </c>
      <c r="I2607">
        <v>34</v>
      </c>
      <c r="K2607" t="s">
        <v>3415</v>
      </c>
      <c r="L2607">
        <v>46288</v>
      </c>
      <c r="M2607">
        <v>104753</v>
      </c>
      <c r="N2607">
        <v>6</v>
      </c>
      <c r="O2607">
        <v>46307</v>
      </c>
      <c r="P2607">
        <v>28</v>
      </c>
    </row>
    <row r="2608" spans="1:16" x14ac:dyDescent="0.4">
      <c r="A2608">
        <v>1726</v>
      </c>
      <c r="B2608" t="s">
        <v>4915</v>
      </c>
      <c r="G2608" t="s">
        <v>3414</v>
      </c>
      <c r="H2608" t="s">
        <v>3413</v>
      </c>
      <c r="I2608">
        <v>34</v>
      </c>
      <c r="K2608" t="s">
        <v>3415</v>
      </c>
      <c r="L2608">
        <v>46288</v>
      </c>
      <c r="M2608">
        <v>104753</v>
      </c>
      <c r="N2608">
        <v>6</v>
      </c>
      <c r="O2608">
        <v>46307</v>
      </c>
      <c r="P2608">
        <v>28</v>
      </c>
    </row>
    <row r="2609" spans="1:16" x14ac:dyDescent="0.4">
      <c r="A2609">
        <v>1725</v>
      </c>
      <c r="B2609" t="s">
        <v>4915</v>
      </c>
      <c r="G2609" t="s">
        <v>3446</v>
      </c>
      <c r="H2609" t="s">
        <v>3445</v>
      </c>
      <c r="I2609">
        <v>198</v>
      </c>
      <c r="K2609" t="s">
        <v>3239</v>
      </c>
      <c r="L2609">
        <v>46288</v>
      </c>
      <c r="M2609">
        <v>104753</v>
      </c>
      <c r="N2609">
        <v>6</v>
      </c>
      <c r="O2609">
        <v>46307</v>
      </c>
      <c r="P2609">
        <v>192</v>
      </c>
    </row>
    <row r="2610" spans="1:16" x14ac:dyDescent="0.4">
      <c r="A2610">
        <v>1724</v>
      </c>
      <c r="B2610" t="s">
        <v>4915</v>
      </c>
      <c r="G2610" t="s">
        <v>3444</v>
      </c>
      <c r="H2610" t="s">
        <v>3443</v>
      </c>
      <c r="I2610">
        <v>198</v>
      </c>
      <c r="K2610" t="s">
        <v>3239</v>
      </c>
      <c r="L2610">
        <v>46288</v>
      </c>
      <c r="M2610">
        <v>104753</v>
      </c>
      <c r="N2610">
        <v>6</v>
      </c>
      <c r="O2610">
        <v>46307</v>
      </c>
      <c r="P2610">
        <v>192</v>
      </c>
    </row>
    <row r="2611" spans="1:16" x14ac:dyDescent="0.4">
      <c r="A2611">
        <v>1723</v>
      </c>
      <c r="B2611" t="s">
        <v>4915</v>
      </c>
      <c r="G2611" t="s">
        <v>3342</v>
      </c>
      <c r="H2611" t="s">
        <v>3341</v>
      </c>
      <c r="I2611">
        <v>6</v>
      </c>
      <c r="K2611" t="s">
        <v>3343</v>
      </c>
      <c r="L2611">
        <v>46288</v>
      </c>
      <c r="M2611">
        <v>104753</v>
      </c>
      <c r="N2611">
        <v>6</v>
      </c>
      <c r="O2611">
        <v>46307</v>
      </c>
      <c r="P2611">
        <v>0</v>
      </c>
    </row>
    <row r="2612" spans="1:16" x14ac:dyDescent="0.4">
      <c r="A2612">
        <v>2568</v>
      </c>
      <c r="B2612" t="s">
        <v>4915</v>
      </c>
      <c r="G2612" t="s">
        <v>3764</v>
      </c>
      <c r="H2612" t="s">
        <v>3763</v>
      </c>
      <c r="I2612">
        <v>41</v>
      </c>
      <c r="K2612" t="s">
        <v>3426</v>
      </c>
      <c r="L2612">
        <v>46307</v>
      </c>
      <c r="M2612">
        <v>104753</v>
      </c>
      <c r="N2612">
        <v>6</v>
      </c>
      <c r="O2612">
        <v>46307</v>
      </c>
      <c r="P2612">
        <v>35</v>
      </c>
    </row>
    <row r="2613" spans="1:16" x14ac:dyDescent="0.4">
      <c r="A2613">
        <v>2556</v>
      </c>
      <c r="B2613" t="s">
        <v>4915</v>
      </c>
      <c r="G2613" t="s">
        <v>2513</v>
      </c>
      <c r="H2613" t="s">
        <v>2512</v>
      </c>
      <c r="I2613">
        <v>52</v>
      </c>
      <c r="K2613" t="s">
        <v>4955</v>
      </c>
      <c r="L2613">
        <v>46307</v>
      </c>
      <c r="M2613">
        <v>104753</v>
      </c>
      <c r="N2613">
        <v>8</v>
      </c>
      <c r="O2613">
        <v>46307</v>
      </c>
      <c r="P2613">
        <v>44</v>
      </c>
    </row>
    <row r="2614" spans="1:16" x14ac:dyDescent="0.4">
      <c r="A2614">
        <v>2079</v>
      </c>
      <c r="B2614" t="s">
        <v>4915</v>
      </c>
      <c r="G2614" t="s">
        <v>3758</v>
      </c>
      <c r="H2614" t="s">
        <v>3757</v>
      </c>
      <c r="I2614">
        <v>155</v>
      </c>
      <c r="K2614" t="s">
        <v>5002</v>
      </c>
      <c r="L2614">
        <v>46288</v>
      </c>
      <c r="M2614">
        <v>104753</v>
      </c>
      <c r="N2614">
        <v>8</v>
      </c>
      <c r="O2614">
        <v>46307</v>
      </c>
      <c r="P2614">
        <v>147</v>
      </c>
    </row>
    <row r="2615" spans="1:16" x14ac:dyDescent="0.4">
      <c r="A2615">
        <v>1728</v>
      </c>
      <c r="B2615" t="s">
        <v>4915</v>
      </c>
      <c r="G2615" t="s">
        <v>3770</v>
      </c>
      <c r="H2615" t="s">
        <v>3769</v>
      </c>
      <c r="I2615">
        <v>46</v>
      </c>
      <c r="K2615" t="s">
        <v>3426</v>
      </c>
      <c r="L2615">
        <v>46288</v>
      </c>
      <c r="M2615">
        <v>104753</v>
      </c>
      <c r="N2615">
        <v>8</v>
      </c>
      <c r="O2615">
        <v>46307</v>
      </c>
      <c r="P2615">
        <v>38</v>
      </c>
    </row>
    <row r="2616" spans="1:16" x14ac:dyDescent="0.4">
      <c r="A2616">
        <v>2080</v>
      </c>
      <c r="B2616" t="s">
        <v>4915</v>
      </c>
      <c r="G2616" t="s">
        <v>3760</v>
      </c>
      <c r="H2616" t="s">
        <v>3759</v>
      </c>
      <c r="I2616">
        <v>150</v>
      </c>
      <c r="K2616" t="s">
        <v>5002</v>
      </c>
      <c r="L2616">
        <v>46288</v>
      </c>
      <c r="M2616">
        <v>104753</v>
      </c>
      <c r="N2616">
        <v>8</v>
      </c>
      <c r="O2616">
        <v>46307</v>
      </c>
      <c r="P2616">
        <v>142</v>
      </c>
    </row>
    <row r="2617" spans="1:16" x14ac:dyDescent="0.4">
      <c r="A2617">
        <v>1730</v>
      </c>
      <c r="B2617" t="s">
        <v>4915</v>
      </c>
      <c r="G2617" t="s">
        <v>3772</v>
      </c>
      <c r="H2617" t="s">
        <v>3771</v>
      </c>
      <c r="I2617">
        <v>45</v>
      </c>
      <c r="K2617" t="s">
        <v>3426</v>
      </c>
      <c r="L2617">
        <v>46288</v>
      </c>
      <c r="M2617">
        <v>104753</v>
      </c>
      <c r="N2617">
        <v>8</v>
      </c>
      <c r="O2617">
        <v>46307</v>
      </c>
      <c r="P2617">
        <v>37</v>
      </c>
    </row>
    <row r="2618" spans="1:16" x14ac:dyDescent="0.4">
      <c r="A2618">
        <v>2548</v>
      </c>
      <c r="B2618" t="s">
        <v>4915</v>
      </c>
      <c r="G2618" t="s">
        <v>3756</v>
      </c>
      <c r="H2618" t="s">
        <v>3755</v>
      </c>
      <c r="I2618">
        <v>8</v>
      </c>
      <c r="K2618" t="s">
        <v>5002</v>
      </c>
      <c r="L2618">
        <v>46307</v>
      </c>
      <c r="M2618">
        <v>104753</v>
      </c>
      <c r="N2618">
        <v>8</v>
      </c>
      <c r="O2618">
        <v>46307</v>
      </c>
      <c r="P2618">
        <v>0</v>
      </c>
    </row>
    <row r="2619" spans="1:16" x14ac:dyDescent="0.4">
      <c r="A2619">
        <v>2552</v>
      </c>
      <c r="B2619" t="s">
        <v>4915</v>
      </c>
      <c r="G2619" t="s">
        <v>3754</v>
      </c>
      <c r="H2619" t="s">
        <v>3753</v>
      </c>
      <c r="I2619">
        <v>8</v>
      </c>
      <c r="K2619" t="s">
        <v>5002</v>
      </c>
      <c r="L2619">
        <v>46307</v>
      </c>
      <c r="M2619">
        <v>104753</v>
      </c>
      <c r="N2619">
        <v>8</v>
      </c>
      <c r="O2619">
        <v>46307</v>
      </c>
      <c r="P2619">
        <v>0</v>
      </c>
    </row>
    <row r="2620" spans="1:16" x14ac:dyDescent="0.4">
      <c r="A2620">
        <v>2561</v>
      </c>
      <c r="B2620" t="s">
        <v>4915</v>
      </c>
      <c r="G2620" t="s">
        <v>5000</v>
      </c>
      <c r="H2620">
        <v>0</v>
      </c>
      <c r="I2620">
        <v>73</v>
      </c>
      <c r="K2620" t="s">
        <v>3271</v>
      </c>
      <c r="L2620">
        <v>46307</v>
      </c>
      <c r="M2620">
        <v>104753</v>
      </c>
      <c r="N2620">
        <v>8</v>
      </c>
      <c r="O2620">
        <v>46307</v>
      </c>
      <c r="P2620">
        <v>65</v>
      </c>
    </row>
    <row r="2621" spans="1:16" x14ac:dyDescent="0.4">
      <c r="A2621">
        <v>2566</v>
      </c>
      <c r="B2621" t="s">
        <v>4915</v>
      </c>
      <c r="G2621" t="s">
        <v>2561</v>
      </c>
      <c r="H2621" t="s">
        <v>2560</v>
      </c>
      <c r="I2621">
        <v>206</v>
      </c>
      <c r="K2621" t="s">
        <v>2564</v>
      </c>
      <c r="L2621">
        <v>46307</v>
      </c>
      <c r="M2621">
        <v>104753</v>
      </c>
      <c r="N2621">
        <v>8</v>
      </c>
      <c r="O2621">
        <v>46307</v>
      </c>
      <c r="P2621">
        <v>198</v>
      </c>
    </row>
    <row r="2622" spans="1:16" x14ac:dyDescent="0.4">
      <c r="A2622">
        <v>2551</v>
      </c>
      <c r="B2622" t="s">
        <v>4915</v>
      </c>
      <c r="G2622" t="s">
        <v>3334</v>
      </c>
      <c r="H2622" t="s">
        <v>3333</v>
      </c>
      <c r="I2622">
        <v>10</v>
      </c>
      <c r="K2622" t="s">
        <v>3335</v>
      </c>
      <c r="L2622">
        <v>46307</v>
      </c>
      <c r="M2622">
        <v>104753</v>
      </c>
      <c r="N2622">
        <v>10</v>
      </c>
      <c r="O2622">
        <v>46307</v>
      </c>
      <c r="P2622">
        <v>0</v>
      </c>
    </row>
    <row r="2623" spans="1:16" x14ac:dyDescent="0.4">
      <c r="A2623">
        <v>2559</v>
      </c>
      <c r="B2623" t="s">
        <v>4915</v>
      </c>
      <c r="G2623" t="s">
        <v>3278</v>
      </c>
      <c r="H2623" t="s">
        <v>3277</v>
      </c>
      <c r="I2623">
        <v>48</v>
      </c>
      <c r="K2623" t="s">
        <v>3271</v>
      </c>
      <c r="L2623">
        <v>46307</v>
      </c>
      <c r="M2623">
        <v>104753</v>
      </c>
      <c r="N2623">
        <v>10</v>
      </c>
      <c r="O2623">
        <v>46307</v>
      </c>
      <c r="P2623">
        <v>38</v>
      </c>
    </row>
    <row r="2624" spans="1:16" x14ac:dyDescent="0.4">
      <c r="A2624">
        <v>1735</v>
      </c>
      <c r="B2624" t="s">
        <v>4915</v>
      </c>
      <c r="G2624" t="s">
        <v>3752</v>
      </c>
      <c r="H2624" t="s">
        <v>3751</v>
      </c>
      <c r="I2624">
        <v>10</v>
      </c>
      <c r="K2624" t="s">
        <v>5001</v>
      </c>
      <c r="L2624">
        <v>46288</v>
      </c>
      <c r="M2624">
        <v>104753</v>
      </c>
      <c r="N2624">
        <v>10</v>
      </c>
      <c r="O2624">
        <v>46307</v>
      </c>
      <c r="P2624">
        <v>0</v>
      </c>
    </row>
    <row r="2625" spans="1:16" x14ac:dyDescent="0.4">
      <c r="A2625">
        <v>2056</v>
      </c>
      <c r="B2625" t="s">
        <v>4915</v>
      </c>
      <c r="D2625" t="s">
        <v>4901</v>
      </c>
      <c r="E2625" t="s">
        <v>5160</v>
      </c>
      <c r="F2625" t="s">
        <v>5147</v>
      </c>
      <c r="G2625" t="s">
        <v>3752</v>
      </c>
      <c r="H2625" t="s">
        <v>3751</v>
      </c>
      <c r="I2625">
        <v>100</v>
      </c>
      <c r="K2625" t="s">
        <v>5001</v>
      </c>
      <c r="L2625">
        <v>46297</v>
      </c>
      <c r="M2625">
        <v>104753</v>
      </c>
      <c r="N2625">
        <v>6</v>
      </c>
      <c r="O2625">
        <v>46307</v>
      </c>
      <c r="P2625">
        <v>94</v>
      </c>
    </row>
    <row r="2626" spans="1:16" x14ac:dyDescent="0.4">
      <c r="A2626">
        <v>2569</v>
      </c>
      <c r="B2626" t="s">
        <v>4915</v>
      </c>
      <c r="G2626" t="s">
        <v>3436</v>
      </c>
      <c r="H2626" t="s">
        <v>3435</v>
      </c>
      <c r="I2626">
        <v>525</v>
      </c>
      <c r="K2626" t="s">
        <v>2026</v>
      </c>
      <c r="L2626">
        <v>46307</v>
      </c>
      <c r="M2626">
        <v>104753</v>
      </c>
      <c r="N2626">
        <v>18</v>
      </c>
      <c r="O2626">
        <v>46307</v>
      </c>
      <c r="P2626">
        <v>507</v>
      </c>
    </row>
    <row r="2627" spans="1:16" x14ac:dyDescent="0.4">
      <c r="A2627">
        <v>2549</v>
      </c>
      <c r="B2627" t="s">
        <v>4915</v>
      </c>
      <c r="G2627" t="s">
        <v>3199</v>
      </c>
      <c r="H2627" t="s">
        <v>3198</v>
      </c>
      <c r="I2627">
        <v>20</v>
      </c>
      <c r="K2627" t="s">
        <v>3200</v>
      </c>
      <c r="L2627">
        <v>46307</v>
      </c>
      <c r="M2627">
        <v>104753</v>
      </c>
      <c r="N2627">
        <v>20</v>
      </c>
      <c r="O2627">
        <v>46307</v>
      </c>
      <c r="P2627">
        <v>0</v>
      </c>
    </row>
    <row r="2628" spans="1:16" x14ac:dyDescent="0.4">
      <c r="A2628">
        <v>2550</v>
      </c>
      <c r="B2628" t="s">
        <v>4915</v>
      </c>
      <c r="G2628" t="s">
        <v>3196</v>
      </c>
      <c r="H2628" t="s">
        <v>3195</v>
      </c>
      <c r="I2628">
        <v>20</v>
      </c>
      <c r="K2628" t="s">
        <v>3197</v>
      </c>
      <c r="L2628">
        <v>46307</v>
      </c>
      <c r="M2628">
        <v>104753</v>
      </c>
      <c r="N2628">
        <v>20</v>
      </c>
      <c r="O2628">
        <v>46307</v>
      </c>
      <c r="P2628">
        <v>0</v>
      </c>
    </row>
    <row r="2629" spans="1:16" x14ac:dyDescent="0.4">
      <c r="A2629">
        <v>2562</v>
      </c>
      <c r="B2629" t="s">
        <v>4915</v>
      </c>
      <c r="G2629" t="s">
        <v>3340</v>
      </c>
      <c r="H2629" t="s">
        <v>3339</v>
      </c>
      <c r="I2629">
        <v>3</v>
      </c>
      <c r="K2629" t="s">
        <v>3338</v>
      </c>
      <c r="L2629">
        <v>46307</v>
      </c>
      <c r="M2629">
        <v>104753</v>
      </c>
      <c r="N2629">
        <v>3</v>
      </c>
      <c r="O2629">
        <v>46307</v>
      </c>
      <c r="P2629">
        <v>0</v>
      </c>
    </row>
    <row r="2630" spans="1:16" x14ac:dyDescent="0.4">
      <c r="A2630">
        <v>2071</v>
      </c>
      <c r="B2630" t="s">
        <v>4915</v>
      </c>
      <c r="D2630" t="s">
        <v>4901</v>
      </c>
      <c r="E2630" t="s">
        <v>5148</v>
      </c>
      <c r="F2630" t="s">
        <v>4939</v>
      </c>
      <c r="G2630" t="s">
        <v>3340</v>
      </c>
      <c r="H2630" t="s">
        <v>3339</v>
      </c>
      <c r="I2630">
        <v>50</v>
      </c>
      <c r="K2630" t="s">
        <v>3338</v>
      </c>
      <c r="L2630">
        <v>46288</v>
      </c>
      <c r="M2630">
        <v>104753</v>
      </c>
      <c r="N2630">
        <v>23</v>
      </c>
      <c r="O2630">
        <v>46307</v>
      </c>
      <c r="P2630">
        <v>27</v>
      </c>
    </row>
    <row r="2631" spans="1:16" x14ac:dyDescent="0.4">
      <c r="A2631">
        <v>2563</v>
      </c>
      <c r="B2631" t="s">
        <v>4915</v>
      </c>
      <c r="G2631" t="s">
        <v>3337</v>
      </c>
      <c r="H2631" t="s">
        <v>3336</v>
      </c>
      <c r="I2631">
        <v>136</v>
      </c>
      <c r="K2631" t="s">
        <v>3338</v>
      </c>
      <c r="L2631">
        <v>46307</v>
      </c>
      <c r="M2631">
        <v>104753</v>
      </c>
      <c r="N2631">
        <v>23</v>
      </c>
      <c r="O2631">
        <v>46307</v>
      </c>
      <c r="P2631">
        <v>113</v>
      </c>
    </row>
    <row r="2632" spans="1:16" x14ac:dyDescent="0.4">
      <c r="A2632">
        <v>2571</v>
      </c>
      <c r="B2632" t="s">
        <v>4915</v>
      </c>
      <c r="G2632" t="s">
        <v>2563</v>
      </c>
      <c r="H2632" t="s">
        <v>2562</v>
      </c>
      <c r="I2632">
        <v>129</v>
      </c>
      <c r="K2632" t="s">
        <v>2564</v>
      </c>
      <c r="L2632">
        <v>46307</v>
      </c>
      <c r="M2632">
        <v>104753</v>
      </c>
      <c r="N2632">
        <v>30</v>
      </c>
      <c r="O2632">
        <v>46307</v>
      </c>
      <c r="P2632">
        <v>99</v>
      </c>
    </row>
    <row r="2633" spans="1:16" x14ac:dyDescent="0.4">
      <c r="A2633">
        <v>2554</v>
      </c>
      <c r="B2633" t="s">
        <v>4915</v>
      </c>
      <c r="G2633" t="s">
        <v>2457</v>
      </c>
      <c r="H2633" t="s">
        <v>2456</v>
      </c>
      <c r="I2633">
        <v>240</v>
      </c>
      <c r="K2633" t="s">
        <v>4954</v>
      </c>
      <c r="L2633">
        <v>46307</v>
      </c>
      <c r="M2633">
        <v>104753</v>
      </c>
      <c r="N2633">
        <v>30</v>
      </c>
      <c r="O2633">
        <v>46307</v>
      </c>
      <c r="P2633">
        <v>210</v>
      </c>
    </row>
    <row r="2634" spans="1:16" x14ac:dyDescent="0.4">
      <c r="A2634">
        <v>1893</v>
      </c>
      <c r="B2634" t="s">
        <v>4915</v>
      </c>
      <c r="G2634" t="s">
        <v>1159</v>
      </c>
      <c r="H2634" t="s">
        <v>1158</v>
      </c>
      <c r="I2634">
        <v>141</v>
      </c>
      <c r="K2634" t="s">
        <v>4970</v>
      </c>
      <c r="L2634">
        <v>46295</v>
      </c>
      <c r="M2634" t="s">
        <v>4904</v>
      </c>
      <c r="N2634">
        <v>100</v>
      </c>
      <c r="O2634">
        <v>46288</v>
      </c>
      <c r="P2634">
        <v>41</v>
      </c>
    </row>
    <row r="2635" spans="1:16" x14ac:dyDescent="0.4">
      <c r="A2635">
        <v>353</v>
      </c>
      <c r="B2635" t="s">
        <v>4915</v>
      </c>
      <c r="D2635" t="s">
        <v>4901</v>
      </c>
      <c r="G2635" t="s">
        <v>4733</v>
      </c>
      <c r="H2635" t="s">
        <v>3941</v>
      </c>
      <c r="I2635">
        <v>200</v>
      </c>
      <c r="K2635" t="s">
        <v>3943</v>
      </c>
      <c r="L2635">
        <v>46234</v>
      </c>
      <c r="M2635" t="s">
        <v>4904</v>
      </c>
      <c r="N2635">
        <v>200</v>
      </c>
      <c r="O2635">
        <v>46234</v>
      </c>
      <c r="P2635">
        <v>0</v>
      </c>
    </row>
    <row r="2636" spans="1:16" x14ac:dyDescent="0.4">
      <c r="A2636">
        <v>354</v>
      </c>
      <c r="B2636" t="s">
        <v>4915</v>
      </c>
      <c r="D2636" t="s">
        <v>4901</v>
      </c>
      <c r="G2636" t="s">
        <v>3945</v>
      </c>
      <c r="H2636" t="s">
        <v>3944</v>
      </c>
      <c r="I2636">
        <v>200</v>
      </c>
      <c r="K2636" t="s">
        <v>3946</v>
      </c>
      <c r="L2636">
        <v>46234</v>
      </c>
      <c r="M2636" t="s">
        <v>4904</v>
      </c>
      <c r="N2636">
        <v>200</v>
      </c>
      <c r="O2636">
        <v>46234</v>
      </c>
      <c r="P2636">
        <v>0</v>
      </c>
    </row>
    <row r="2637" spans="1:16" x14ac:dyDescent="0.4">
      <c r="A2637">
        <v>1098</v>
      </c>
      <c r="B2637" t="s">
        <v>4915</v>
      </c>
      <c r="D2637" t="s">
        <v>4916</v>
      </c>
      <c r="G2637" t="s">
        <v>1041</v>
      </c>
      <c r="H2637" t="s">
        <v>1040</v>
      </c>
      <c r="I2637">
        <v>2071</v>
      </c>
      <c r="K2637" t="s">
        <v>4970</v>
      </c>
      <c r="L2637">
        <v>46276</v>
      </c>
      <c r="M2637" t="s">
        <v>4904</v>
      </c>
      <c r="N2637">
        <v>1000</v>
      </c>
      <c r="O2637">
        <v>46288</v>
      </c>
      <c r="P2637">
        <v>1071</v>
      </c>
    </row>
    <row r="2638" spans="1:16" x14ac:dyDescent="0.4">
      <c r="A2638">
        <v>2686</v>
      </c>
      <c r="B2638" t="s">
        <v>4576</v>
      </c>
      <c r="G2638" t="s">
        <v>2757</v>
      </c>
      <c r="H2638" t="s">
        <v>2756</v>
      </c>
      <c r="I2638">
        <v>382</v>
      </c>
      <c r="K2638" t="s">
        <v>4872</v>
      </c>
      <c r="L2638">
        <v>46297</v>
      </c>
      <c r="P2638">
        <v>382</v>
      </c>
    </row>
    <row r="2639" spans="1:16" x14ac:dyDescent="0.4">
      <c r="A2639">
        <v>2687</v>
      </c>
      <c r="B2639" t="s">
        <v>4576</v>
      </c>
      <c r="G2639" t="s">
        <v>1349</v>
      </c>
      <c r="H2639" t="s">
        <v>1348</v>
      </c>
      <c r="I2639">
        <v>229</v>
      </c>
      <c r="K2639" t="s">
        <v>5039</v>
      </c>
      <c r="L2639">
        <v>46297</v>
      </c>
      <c r="P2639">
        <v>229</v>
      </c>
    </row>
    <row r="2640" spans="1:16" x14ac:dyDescent="0.4">
      <c r="A2640">
        <v>2688</v>
      </c>
      <c r="B2640" t="s">
        <v>4576</v>
      </c>
      <c r="G2640" t="s">
        <v>1582</v>
      </c>
      <c r="H2640" t="s">
        <v>1581</v>
      </c>
      <c r="I2640">
        <v>471</v>
      </c>
      <c r="K2640" t="s">
        <v>5129</v>
      </c>
      <c r="L2640">
        <v>46297</v>
      </c>
      <c r="P2640">
        <v>471</v>
      </c>
    </row>
    <row r="2641" spans="1:16" x14ac:dyDescent="0.4">
      <c r="A2641">
        <v>2689</v>
      </c>
      <c r="B2641" t="s">
        <v>4576</v>
      </c>
      <c r="G2641" t="s">
        <v>1584</v>
      </c>
      <c r="H2641" t="s">
        <v>1583</v>
      </c>
      <c r="I2641">
        <v>287</v>
      </c>
      <c r="K2641" t="s">
        <v>5037</v>
      </c>
      <c r="L2641">
        <v>46297</v>
      </c>
      <c r="P2641">
        <v>287</v>
      </c>
    </row>
    <row r="2642" spans="1:16" x14ac:dyDescent="0.4">
      <c r="A2642">
        <v>2690</v>
      </c>
      <c r="B2642" t="s">
        <v>4576</v>
      </c>
      <c r="G2642" t="s">
        <v>1600</v>
      </c>
      <c r="H2642" t="s">
        <v>1599</v>
      </c>
      <c r="I2642">
        <v>581</v>
      </c>
      <c r="K2642" t="s">
        <v>5037</v>
      </c>
      <c r="L2642">
        <v>46297</v>
      </c>
      <c r="P2642">
        <v>581</v>
      </c>
    </row>
    <row r="2643" spans="1:16" x14ac:dyDescent="0.4">
      <c r="A2643">
        <v>2691</v>
      </c>
      <c r="B2643" t="s">
        <v>4576</v>
      </c>
      <c r="G2643" t="s">
        <v>1710</v>
      </c>
      <c r="H2643" t="s">
        <v>1709</v>
      </c>
      <c r="I2643">
        <v>339</v>
      </c>
      <c r="K2643" t="s">
        <v>5123</v>
      </c>
      <c r="L2643">
        <v>46297</v>
      </c>
      <c r="P2643">
        <v>339</v>
      </c>
    </row>
    <row r="2644" spans="1:16" x14ac:dyDescent="0.4">
      <c r="A2644">
        <v>2692</v>
      </c>
      <c r="B2644" t="s">
        <v>4576</v>
      </c>
      <c r="G2644" t="s">
        <v>1331</v>
      </c>
      <c r="H2644" t="s">
        <v>5133</v>
      </c>
      <c r="I2644">
        <v>634</v>
      </c>
      <c r="K2644" t="s">
        <v>5134</v>
      </c>
      <c r="L2644">
        <v>46297</v>
      </c>
      <c r="P2644">
        <v>634</v>
      </c>
    </row>
    <row r="2645" spans="1:16" x14ac:dyDescent="0.4">
      <c r="A2645">
        <v>2693</v>
      </c>
      <c r="B2645" t="s">
        <v>4576</v>
      </c>
      <c r="G2645" t="s">
        <v>1532</v>
      </c>
      <c r="H2645" t="s">
        <v>1531</v>
      </c>
      <c r="I2645">
        <v>294</v>
      </c>
      <c r="K2645" t="s">
        <v>5024</v>
      </c>
      <c r="L2645">
        <v>46297</v>
      </c>
      <c r="P2645">
        <v>294</v>
      </c>
    </row>
    <row r="2646" spans="1:16" x14ac:dyDescent="0.4">
      <c r="A2646">
        <v>2694</v>
      </c>
      <c r="B2646" t="s">
        <v>4576</v>
      </c>
      <c r="G2646" t="s">
        <v>1344</v>
      </c>
      <c r="H2646" t="s">
        <v>1343</v>
      </c>
      <c r="I2646">
        <v>52</v>
      </c>
      <c r="K2646" t="s">
        <v>5041</v>
      </c>
      <c r="L2646">
        <v>46297</v>
      </c>
      <c r="P2646">
        <v>52</v>
      </c>
    </row>
    <row r="2647" spans="1:16" x14ac:dyDescent="0.4">
      <c r="A2647">
        <v>2695</v>
      </c>
      <c r="B2647" t="s">
        <v>4576</v>
      </c>
      <c r="G2647" t="s">
        <v>1347</v>
      </c>
      <c r="H2647" t="s">
        <v>1346</v>
      </c>
      <c r="I2647">
        <v>274</v>
      </c>
      <c r="K2647" t="s">
        <v>5041</v>
      </c>
      <c r="L2647">
        <v>46297</v>
      </c>
      <c r="P2647">
        <v>274</v>
      </c>
    </row>
    <row r="2648" spans="1:16" x14ac:dyDescent="0.4">
      <c r="A2648">
        <v>2696</v>
      </c>
      <c r="B2648" t="s">
        <v>4576</v>
      </c>
      <c r="G2648" t="s">
        <v>1530</v>
      </c>
      <c r="H2648" t="s">
        <v>5124</v>
      </c>
      <c r="I2648">
        <v>160</v>
      </c>
      <c r="K2648" t="s">
        <v>5125</v>
      </c>
      <c r="L2648">
        <v>46297</v>
      </c>
      <c r="P2648">
        <v>160</v>
      </c>
    </row>
    <row r="2649" spans="1:16" x14ac:dyDescent="0.4">
      <c r="A2649">
        <v>2697</v>
      </c>
      <c r="P2649">
        <v>0</v>
      </c>
    </row>
    <row r="2650" spans="1:16" x14ac:dyDescent="0.4">
      <c r="A2650">
        <v>2698</v>
      </c>
      <c r="P2650">
        <v>0</v>
      </c>
    </row>
    <row r="2651" spans="1:16" x14ac:dyDescent="0.4">
      <c r="A2651">
        <v>2699</v>
      </c>
      <c r="P2651">
        <v>0</v>
      </c>
    </row>
    <row r="2652" spans="1:16" x14ac:dyDescent="0.4">
      <c r="A2652">
        <v>2700</v>
      </c>
      <c r="P2652">
        <v>0</v>
      </c>
    </row>
    <row r="2653" spans="1:16" x14ac:dyDescent="0.4">
      <c r="A2653">
        <v>2701</v>
      </c>
      <c r="P2653">
        <v>0</v>
      </c>
    </row>
    <row r="2654" spans="1:16" x14ac:dyDescent="0.4">
      <c r="A2654">
        <v>2702</v>
      </c>
      <c r="P2654">
        <v>0</v>
      </c>
    </row>
    <row r="2655" spans="1:16" x14ac:dyDescent="0.4">
      <c r="A2655">
        <v>2703</v>
      </c>
      <c r="P2655">
        <v>0</v>
      </c>
    </row>
    <row r="2656" spans="1:16" x14ac:dyDescent="0.4">
      <c r="A2656">
        <v>2704</v>
      </c>
      <c r="P2656">
        <v>0</v>
      </c>
    </row>
    <row r="2657" spans="1:16" x14ac:dyDescent="0.4">
      <c r="A2657">
        <v>2705</v>
      </c>
      <c r="P2657">
        <v>0</v>
      </c>
    </row>
    <row r="2658" spans="1:16" x14ac:dyDescent="0.4">
      <c r="A2658">
        <v>2706</v>
      </c>
      <c r="P2658">
        <v>0</v>
      </c>
    </row>
    <row r="2659" spans="1:16" x14ac:dyDescent="0.4">
      <c r="A2659">
        <v>2707</v>
      </c>
      <c r="P2659">
        <v>0</v>
      </c>
    </row>
    <row r="2660" spans="1:16" x14ac:dyDescent="0.4">
      <c r="A2660">
        <v>2708</v>
      </c>
      <c r="P2660">
        <v>0</v>
      </c>
    </row>
    <row r="2661" spans="1:16" x14ac:dyDescent="0.4">
      <c r="A2661">
        <v>2709</v>
      </c>
      <c r="P2661">
        <v>0</v>
      </c>
    </row>
    <row r="2662" spans="1:16" x14ac:dyDescent="0.4">
      <c r="A2662">
        <v>2710</v>
      </c>
      <c r="P2662">
        <v>0</v>
      </c>
    </row>
    <row r="2663" spans="1:16" x14ac:dyDescent="0.4">
      <c r="A2663">
        <v>2711</v>
      </c>
      <c r="P2663">
        <v>0</v>
      </c>
    </row>
    <row r="2664" spans="1:16" x14ac:dyDescent="0.4">
      <c r="A2664">
        <v>2712</v>
      </c>
      <c r="P2664">
        <v>0</v>
      </c>
    </row>
    <row r="2665" spans="1:16" x14ac:dyDescent="0.4">
      <c r="A2665">
        <v>2713</v>
      </c>
      <c r="P2665">
        <v>0</v>
      </c>
    </row>
    <row r="2666" spans="1:16" x14ac:dyDescent="0.4">
      <c r="A2666">
        <v>2714</v>
      </c>
      <c r="P2666">
        <v>0</v>
      </c>
    </row>
    <row r="2667" spans="1:16" x14ac:dyDescent="0.4">
      <c r="A2667">
        <v>2715</v>
      </c>
      <c r="P2667">
        <v>0</v>
      </c>
    </row>
    <row r="2668" spans="1:16" x14ac:dyDescent="0.4">
      <c r="A2668">
        <v>2716</v>
      </c>
      <c r="P2668">
        <v>0</v>
      </c>
    </row>
    <row r="2669" spans="1:16" x14ac:dyDescent="0.4">
      <c r="A2669">
        <v>2717</v>
      </c>
      <c r="P2669">
        <v>0</v>
      </c>
    </row>
    <row r="2670" spans="1:16" x14ac:dyDescent="0.4">
      <c r="A2670">
        <v>2718</v>
      </c>
      <c r="P2670">
        <v>0</v>
      </c>
    </row>
    <row r="2671" spans="1:16" x14ac:dyDescent="0.4">
      <c r="A2671">
        <v>2719</v>
      </c>
      <c r="P2671">
        <v>0</v>
      </c>
    </row>
    <row r="2672" spans="1:16" x14ac:dyDescent="0.4">
      <c r="A2672">
        <v>2720</v>
      </c>
      <c r="P2672">
        <v>0</v>
      </c>
    </row>
    <row r="2673" spans="1:16" x14ac:dyDescent="0.4">
      <c r="A2673">
        <v>2721</v>
      </c>
      <c r="P2673">
        <v>0</v>
      </c>
    </row>
    <row r="2674" spans="1:16" x14ac:dyDescent="0.4">
      <c r="A2674">
        <v>2722</v>
      </c>
      <c r="P2674">
        <v>0</v>
      </c>
    </row>
    <row r="2675" spans="1:16" x14ac:dyDescent="0.4">
      <c r="A2675">
        <v>2723</v>
      </c>
      <c r="P2675">
        <v>0</v>
      </c>
    </row>
    <row r="2676" spans="1:16" x14ac:dyDescent="0.4">
      <c r="A2676">
        <v>2724</v>
      </c>
      <c r="P2676">
        <v>0</v>
      </c>
    </row>
    <row r="2677" spans="1:16" x14ac:dyDescent="0.4">
      <c r="A2677">
        <v>2725</v>
      </c>
      <c r="P2677">
        <v>0</v>
      </c>
    </row>
    <row r="2678" spans="1:16" x14ac:dyDescent="0.4">
      <c r="A2678">
        <v>2726</v>
      </c>
      <c r="P2678">
        <v>0</v>
      </c>
    </row>
    <row r="2679" spans="1:16" x14ac:dyDescent="0.4">
      <c r="A2679">
        <v>2727</v>
      </c>
      <c r="P2679">
        <v>0</v>
      </c>
    </row>
    <row r="2680" spans="1:16" x14ac:dyDescent="0.4">
      <c r="A2680">
        <v>2728</v>
      </c>
      <c r="P2680">
        <v>0</v>
      </c>
    </row>
    <row r="2681" spans="1:16" x14ac:dyDescent="0.4">
      <c r="A2681">
        <v>2729</v>
      </c>
      <c r="P2681">
        <v>0</v>
      </c>
    </row>
    <row r="2682" spans="1:16" x14ac:dyDescent="0.4">
      <c r="A2682">
        <v>2730</v>
      </c>
      <c r="P2682">
        <v>0</v>
      </c>
    </row>
    <row r="2683" spans="1:16" x14ac:dyDescent="0.4">
      <c r="A2683">
        <v>2731</v>
      </c>
      <c r="P2683">
        <v>0</v>
      </c>
    </row>
    <row r="2684" spans="1:16" x14ac:dyDescent="0.4">
      <c r="A2684">
        <v>2732</v>
      </c>
      <c r="P2684">
        <v>0</v>
      </c>
    </row>
    <row r="2685" spans="1:16" x14ac:dyDescent="0.4">
      <c r="A2685">
        <v>2733</v>
      </c>
      <c r="P2685">
        <v>0</v>
      </c>
    </row>
    <row r="2686" spans="1:16" x14ac:dyDescent="0.4">
      <c r="A2686">
        <v>2734</v>
      </c>
      <c r="P2686">
        <v>0</v>
      </c>
    </row>
    <row r="2687" spans="1:16" x14ac:dyDescent="0.4">
      <c r="A2687">
        <v>2735</v>
      </c>
      <c r="P2687">
        <v>0</v>
      </c>
    </row>
    <row r="2688" spans="1:16" x14ac:dyDescent="0.4">
      <c r="A2688">
        <v>2736</v>
      </c>
      <c r="P2688">
        <v>0</v>
      </c>
    </row>
    <row r="2689" spans="1:16" x14ac:dyDescent="0.4">
      <c r="A2689">
        <v>2737</v>
      </c>
      <c r="P2689">
        <v>0</v>
      </c>
    </row>
    <row r="2690" spans="1:16" x14ac:dyDescent="0.4">
      <c r="A2690">
        <v>2738</v>
      </c>
      <c r="P2690">
        <v>0</v>
      </c>
    </row>
    <row r="2691" spans="1:16" x14ac:dyDescent="0.4">
      <c r="A2691">
        <v>2739</v>
      </c>
      <c r="P2691">
        <v>0</v>
      </c>
    </row>
    <row r="2692" spans="1:16" x14ac:dyDescent="0.4">
      <c r="A2692">
        <v>2740</v>
      </c>
      <c r="P2692">
        <v>0</v>
      </c>
    </row>
    <row r="2693" spans="1:16" x14ac:dyDescent="0.4">
      <c r="A2693">
        <v>2741</v>
      </c>
      <c r="P2693">
        <v>0</v>
      </c>
    </row>
    <row r="2694" spans="1:16" x14ac:dyDescent="0.4">
      <c r="A2694">
        <v>2742</v>
      </c>
      <c r="P2694">
        <v>0</v>
      </c>
    </row>
    <row r="2695" spans="1:16" x14ac:dyDescent="0.4">
      <c r="A2695">
        <v>2743</v>
      </c>
      <c r="P2695">
        <v>0</v>
      </c>
    </row>
    <row r="2696" spans="1:16" x14ac:dyDescent="0.4">
      <c r="A2696">
        <v>2744</v>
      </c>
      <c r="P2696">
        <v>0</v>
      </c>
    </row>
    <row r="2697" spans="1:16" x14ac:dyDescent="0.4">
      <c r="A2697">
        <v>2745</v>
      </c>
      <c r="P2697">
        <v>0</v>
      </c>
    </row>
    <row r="2698" spans="1:16" x14ac:dyDescent="0.4">
      <c r="A2698">
        <v>2746</v>
      </c>
      <c r="P2698">
        <v>0</v>
      </c>
    </row>
    <row r="2699" spans="1:16" x14ac:dyDescent="0.4">
      <c r="A2699">
        <v>2747</v>
      </c>
      <c r="P2699">
        <v>0</v>
      </c>
    </row>
    <row r="2700" spans="1:16" x14ac:dyDescent="0.4">
      <c r="A2700">
        <v>2748</v>
      </c>
      <c r="P2700">
        <v>0</v>
      </c>
    </row>
    <row r="2701" spans="1:16" x14ac:dyDescent="0.4">
      <c r="A2701">
        <v>2749</v>
      </c>
      <c r="P2701">
        <v>0</v>
      </c>
    </row>
    <row r="2702" spans="1:16" x14ac:dyDescent="0.4">
      <c r="A2702">
        <v>2750</v>
      </c>
      <c r="P2702">
        <v>0</v>
      </c>
    </row>
    <row r="2703" spans="1:16" x14ac:dyDescent="0.4">
      <c r="A2703">
        <v>2751</v>
      </c>
      <c r="P2703">
        <v>0</v>
      </c>
    </row>
    <row r="2704" spans="1:16" x14ac:dyDescent="0.4">
      <c r="A2704">
        <v>2752</v>
      </c>
      <c r="P2704">
        <v>0</v>
      </c>
    </row>
    <row r="2705" spans="1:16" x14ac:dyDescent="0.4">
      <c r="A2705">
        <v>2753</v>
      </c>
      <c r="P2705">
        <v>0</v>
      </c>
    </row>
    <row r="2706" spans="1:16" x14ac:dyDescent="0.4">
      <c r="A2706">
        <v>2754</v>
      </c>
      <c r="P2706">
        <v>0</v>
      </c>
    </row>
    <row r="2707" spans="1:16" x14ac:dyDescent="0.4">
      <c r="A2707">
        <v>2755</v>
      </c>
      <c r="P2707">
        <v>0</v>
      </c>
    </row>
    <row r="2708" spans="1:16" x14ac:dyDescent="0.4">
      <c r="A2708">
        <v>2756</v>
      </c>
      <c r="P2708">
        <v>0</v>
      </c>
    </row>
    <row r="2709" spans="1:16" x14ac:dyDescent="0.4">
      <c r="A2709">
        <v>2757</v>
      </c>
      <c r="P2709">
        <v>0</v>
      </c>
    </row>
    <row r="2710" spans="1:16" x14ac:dyDescent="0.4">
      <c r="A2710">
        <v>2758</v>
      </c>
      <c r="P2710">
        <v>0</v>
      </c>
    </row>
    <row r="2711" spans="1:16" x14ac:dyDescent="0.4">
      <c r="A2711">
        <v>2759</v>
      </c>
      <c r="P2711">
        <v>0</v>
      </c>
    </row>
    <row r="2712" spans="1:16" x14ac:dyDescent="0.4">
      <c r="A2712">
        <v>2760</v>
      </c>
      <c r="P2712">
        <v>0</v>
      </c>
    </row>
    <row r="2713" spans="1:16" x14ac:dyDescent="0.4">
      <c r="A2713">
        <v>2761</v>
      </c>
      <c r="P2713">
        <v>0</v>
      </c>
    </row>
    <row r="2714" spans="1:16" x14ac:dyDescent="0.4">
      <c r="A2714">
        <v>2762</v>
      </c>
      <c r="P2714">
        <v>0</v>
      </c>
    </row>
    <row r="2715" spans="1:16" x14ac:dyDescent="0.4">
      <c r="A2715">
        <v>2763</v>
      </c>
      <c r="P2715">
        <v>0</v>
      </c>
    </row>
    <row r="2716" spans="1:16" x14ac:dyDescent="0.4">
      <c r="A2716">
        <v>2764</v>
      </c>
      <c r="P2716">
        <v>0</v>
      </c>
    </row>
    <row r="2717" spans="1:16" x14ac:dyDescent="0.4">
      <c r="A2717">
        <v>2765</v>
      </c>
      <c r="P2717">
        <v>0</v>
      </c>
    </row>
    <row r="2718" spans="1:16" x14ac:dyDescent="0.4">
      <c r="A2718">
        <v>2766</v>
      </c>
      <c r="P2718">
        <v>0</v>
      </c>
    </row>
    <row r="2719" spans="1:16" x14ac:dyDescent="0.4">
      <c r="A2719">
        <v>2767</v>
      </c>
      <c r="P2719">
        <v>0</v>
      </c>
    </row>
    <row r="2720" spans="1:16" x14ac:dyDescent="0.4">
      <c r="A2720">
        <v>2768</v>
      </c>
      <c r="P2720">
        <v>0</v>
      </c>
    </row>
    <row r="2721" spans="1:16" x14ac:dyDescent="0.4">
      <c r="A2721">
        <v>2769</v>
      </c>
      <c r="P2721">
        <v>0</v>
      </c>
    </row>
    <row r="2722" spans="1:16" x14ac:dyDescent="0.4">
      <c r="A2722">
        <v>2770</v>
      </c>
      <c r="P2722">
        <v>0</v>
      </c>
    </row>
    <row r="2723" spans="1:16" x14ac:dyDescent="0.4">
      <c r="A2723">
        <v>2771</v>
      </c>
      <c r="P2723">
        <v>0</v>
      </c>
    </row>
    <row r="2724" spans="1:16" x14ac:dyDescent="0.4">
      <c r="A2724">
        <v>2772</v>
      </c>
      <c r="P2724">
        <v>0</v>
      </c>
    </row>
    <row r="2725" spans="1:16" x14ac:dyDescent="0.4">
      <c r="A2725">
        <v>2773</v>
      </c>
      <c r="P2725">
        <v>0</v>
      </c>
    </row>
    <row r="2726" spans="1:16" x14ac:dyDescent="0.4">
      <c r="A2726">
        <v>2774</v>
      </c>
      <c r="P2726">
        <v>0</v>
      </c>
    </row>
    <row r="2727" spans="1:16" x14ac:dyDescent="0.4">
      <c r="A2727">
        <v>2775</v>
      </c>
      <c r="P2727">
        <v>0</v>
      </c>
    </row>
    <row r="2728" spans="1:16" x14ac:dyDescent="0.4">
      <c r="A2728">
        <v>2776</v>
      </c>
      <c r="P2728">
        <v>0</v>
      </c>
    </row>
    <row r="2729" spans="1:16" x14ac:dyDescent="0.4">
      <c r="A2729">
        <v>2777</v>
      </c>
      <c r="P2729">
        <v>0</v>
      </c>
    </row>
    <row r="2730" spans="1:16" x14ac:dyDescent="0.4">
      <c r="A2730">
        <v>2778</v>
      </c>
      <c r="P2730">
        <v>0</v>
      </c>
    </row>
    <row r="2731" spans="1:16" x14ac:dyDescent="0.4">
      <c r="A2731">
        <v>2779</v>
      </c>
      <c r="P2731">
        <v>0</v>
      </c>
    </row>
    <row r="2732" spans="1:16" x14ac:dyDescent="0.4">
      <c r="A2732">
        <v>2780</v>
      </c>
      <c r="P2732">
        <v>0</v>
      </c>
    </row>
    <row r="2733" spans="1:16" x14ac:dyDescent="0.4">
      <c r="A2733">
        <v>2781</v>
      </c>
      <c r="P2733">
        <v>0</v>
      </c>
    </row>
    <row r="2734" spans="1:16" x14ac:dyDescent="0.4">
      <c r="A2734">
        <v>2782</v>
      </c>
      <c r="P2734">
        <v>0</v>
      </c>
    </row>
    <row r="2735" spans="1:16" x14ac:dyDescent="0.4">
      <c r="A2735">
        <v>2783</v>
      </c>
      <c r="P2735">
        <v>0</v>
      </c>
    </row>
    <row r="2736" spans="1:16" x14ac:dyDescent="0.4">
      <c r="A2736">
        <v>2784</v>
      </c>
      <c r="P2736">
        <v>0</v>
      </c>
    </row>
    <row r="2737" spans="1:16" x14ac:dyDescent="0.4">
      <c r="A2737">
        <v>2785</v>
      </c>
      <c r="P2737">
        <v>0</v>
      </c>
    </row>
    <row r="2738" spans="1:16" x14ac:dyDescent="0.4">
      <c r="A2738">
        <v>2786</v>
      </c>
      <c r="P2738">
        <v>0</v>
      </c>
    </row>
    <row r="2739" spans="1:16" x14ac:dyDescent="0.4">
      <c r="A2739">
        <v>2787</v>
      </c>
      <c r="P2739">
        <v>0</v>
      </c>
    </row>
    <row r="2740" spans="1:16" x14ac:dyDescent="0.4">
      <c r="A2740">
        <v>2788</v>
      </c>
      <c r="P2740">
        <v>0</v>
      </c>
    </row>
    <row r="2741" spans="1:16" x14ac:dyDescent="0.4">
      <c r="A2741">
        <v>2789</v>
      </c>
      <c r="P2741">
        <v>0</v>
      </c>
    </row>
    <row r="2742" spans="1:16" x14ac:dyDescent="0.4">
      <c r="A2742">
        <v>2790</v>
      </c>
      <c r="P2742">
        <v>0</v>
      </c>
    </row>
    <row r="2743" spans="1:16" x14ac:dyDescent="0.4">
      <c r="A2743">
        <v>2791</v>
      </c>
      <c r="P2743">
        <v>0</v>
      </c>
    </row>
    <row r="2744" spans="1:16" x14ac:dyDescent="0.4">
      <c r="A2744">
        <v>2792</v>
      </c>
      <c r="P2744">
        <v>0</v>
      </c>
    </row>
    <row r="2745" spans="1:16" x14ac:dyDescent="0.4">
      <c r="A2745">
        <v>2793</v>
      </c>
      <c r="P2745">
        <v>0</v>
      </c>
    </row>
    <row r="2746" spans="1:16" x14ac:dyDescent="0.4">
      <c r="A2746">
        <v>2794</v>
      </c>
      <c r="P2746">
        <v>0</v>
      </c>
    </row>
    <row r="2747" spans="1:16" x14ac:dyDescent="0.4">
      <c r="A2747">
        <v>2795</v>
      </c>
      <c r="P2747">
        <v>0</v>
      </c>
    </row>
    <row r="2748" spans="1:16" x14ac:dyDescent="0.4">
      <c r="A2748">
        <v>2796</v>
      </c>
      <c r="P2748">
        <v>0</v>
      </c>
    </row>
    <row r="2749" spans="1:16" x14ac:dyDescent="0.4">
      <c r="A2749">
        <v>2797</v>
      </c>
      <c r="P2749">
        <v>0</v>
      </c>
    </row>
    <row r="2750" spans="1:16" x14ac:dyDescent="0.4">
      <c r="A2750">
        <v>2798</v>
      </c>
      <c r="P2750">
        <v>0</v>
      </c>
    </row>
    <row r="2751" spans="1:16" x14ac:dyDescent="0.4">
      <c r="A2751">
        <v>2799</v>
      </c>
      <c r="P2751">
        <v>0</v>
      </c>
    </row>
    <row r="2752" spans="1:16" x14ac:dyDescent="0.4">
      <c r="A2752">
        <v>2800</v>
      </c>
      <c r="P2752">
        <v>0</v>
      </c>
    </row>
    <row r="2753" spans="1:16" x14ac:dyDescent="0.4">
      <c r="A2753">
        <v>2801</v>
      </c>
      <c r="P2753">
        <v>0</v>
      </c>
    </row>
    <row r="2754" spans="1:16" x14ac:dyDescent="0.4">
      <c r="A2754">
        <v>2802</v>
      </c>
      <c r="P2754">
        <v>0</v>
      </c>
    </row>
    <row r="2755" spans="1:16" x14ac:dyDescent="0.4">
      <c r="A2755">
        <v>2803</v>
      </c>
      <c r="P2755">
        <v>0</v>
      </c>
    </row>
    <row r="2756" spans="1:16" x14ac:dyDescent="0.4">
      <c r="A2756">
        <v>2804</v>
      </c>
      <c r="P2756">
        <v>0</v>
      </c>
    </row>
    <row r="2757" spans="1:16" x14ac:dyDescent="0.4">
      <c r="A2757">
        <v>2805</v>
      </c>
      <c r="P2757">
        <v>0</v>
      </c>
    </row>
    <row r="2758" spans="1:16" x14ac:dyDescent="0.4">
      <c r="A2758">
        <v>2806</v>
      </c>
      <c r="P2758">
        <v>0</v>
      </c>
    </row>
    <row r="2759" spans="1:16" x14ac:dyDescent="0.4">
      <c r="A2759">
        <v>2807</v>
      </c>
      <c r="P2759">
        <v>0</v>
      </c>
    </row>
    <row r="2760" spans="1:16" x14ac:dyDescent="0.4">
      <c r="A2760">
        <v>2808</v>
      </c>
      <c r="P2760">
        <v>0</v>
      </c>
    </row>
    <row r="2761" spans="1:16" x14ac:dyDescent="0.4">
      <c r="A2761">
        <v>2809</v>
      </c>
      <c r="P2761">
        <v>0</v>
      </c>
    </row>
    <row r="2762" spans="1:16" x14ac:dyDescent="0.4">
      <c r="A2762">
        <v>2810</v>
      </c>
      <c r="P2762">
        <v>0</v>
      </c>
    </row>
    <row r="2763" spans="1:16" x14ac:dyDescent="0.4">
      <c r="A2763">
        <v>2811</v>
      </c>
      <c r="P2763">
        <v>0</v>
      </c>
    </row>
    <row r="2764" spans="1:16" x14ac:dyDescent="0.4">
      <c r="A2764">
        <v>2812</v>
      </c>
      <c r="P2764">
        <v>0</v>
      </c>
    </row>
    <row r="2765" spans="1:16" x14ac:dyDescent="0.4">
      <c r="A2765">
        <v>2813</v>
      </c>
      <c r="P2765">
        <v>0</v>
      </c>
    </row>
    <row r="2766" spans="1:16" x14ac:dyDescent="0.4">
      <c r="A2766">
        <v>2814</v>
      </c>
      <c r="P2766">
        <v>0</v>
      </c>
    </row>
    <row r="2767" spans="1:16" x14ac:dyDescent="0.4">
      <c r="A2767">
        <v>2815</v>
      </c>
      <c r="P2767">
        <v>0</v>
      </c>
    </row>
    <row r="2768" spans="1:16" x14ac:dyDescent="0.4">
      <c r="A2768">
        <v>2816</v>
      </c>
      <c r="P2768">
        <v>0</v>
      </c>
    </row>
    <row r="2769" spans="1:16" x14ac:dyDescent="0.4">
      <c r="A2769">
        <v>2817</v>
      </c>
      <c r="P2769">
        <v>0</v>
      </c>
    </row>
    <row r="2770" spans="1:16" x14ac:dyDescent="0.4">
      <c r="A2770">
        <v>2818</v>
      </c>
      <c r="P2770">
        <v>0</v>
      </c>
    </row>
    <row r="2771" spans="1:16" x14ac:dyDescent="0.4">
      <c r="A2771">
        <v>2819</v>
      </c>
      <c r="P2771">
        <v>0</v>
      </c>
    </row>
    <row r="2772" spans="1:16" x14ac:dyDescent="0.4">
      <c r="A2772">
        <v>2820</v>
      </c>
      <c r="P2772">
        <v>0</v>
      </c>
    </row>
    <row r="2773" spans="1:16" x14ac:dyDescent="0.4">
      <c r="A2773">
        <v>2821</v>
      </c>
      <c r="P2773">
        <v>0</v>
      </c>
    </row>
    <row r="2774" spans="1:16" x14ac:dyDescent="0.4">
      <c r="A2774">
        <v>2822</v>
      </c>
      <c r="P2774">
        <v>0</v>
      </c>
    </row>
    <row r="2775" spans="1:16" x14ac:dyDescent="0.4">
      <c r="A2775">
        <v>2823</v>
      </c>
      <c r="P2775">
        <v>0</v>
      </c>
    </row>
    <row r="2776" spans="1:16" x14ac:dyDescent="0.4">
      <c r="A2776">
        <v>2824</v>
      </c>
      <c r="P277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A826-3768-4B4F-A3AA-E80355D90A13}">
  <sheetPr>
    <pageSetUpPr fitToPage="1"/>
  </sheetPr>
  <dimension ref="B1:U2775"/>
  <sheetViews>
    <sheetView tabSelected="1" workbookViewId="0">
      <pane ySplit="6" topLeftCell="A802" activePane="bottomLeft" state="frozen"/>
      <selection pane="bottomLeft" activeCell="P603" sqref="P603"/>
    </sheetView>
  </sheetViews>
  <sheetFormatPr defaultColWidth="9" defaultRowHeight="15.6" x14ac:dyDescent="0.4"/>
  <cols>
    <col min="1" max="1" width="2.69921875" style="1" customWidth="1"/>
    <col min="2" max="2" width="5.09765625" style="1" customWidth="1"/>
    <col min="3" max="3" width="9.19921875" style="4" bestFit="1" customWidth="1"/>
    <col min="4" max="4" width="9.19921875" style="4" customWidth="1"/>
    <col min="5" max="5" width="9.59765625" style="4" bestFit="1" customWidth="1"/>
    <col min="6" max="6" width="9.59765625" style="4" customWidth="1"/>
    <col min="7" max="7" width="11.09765625" style="4" bestFit="1" customWidth="1"/>
    <col min="8" max="8" width="13.09765625" style="4" bestFit="1" customWidth="1"/>
    <col min="9" max="9" width="19.796875" style="17" customWidth="1"/>
    <col min="10" max="10" width="9.19921875" style="4" bestFit="1" customWidth="1"/>
    <col min="11" max="11" width="9.19921875" style="4" customWidth="1"/>
    <col min="12" max="12" width="9.19921875" style="4" bestFit="1" customWidth="1"/>
    <col min="13" max="13" width="11.09765625" style="18" bestFit="1" customWidth="1"/>
    <col min="14" max="14" width="11.09765625" style="4" bestFit="1" customWidth="1"/>
    <col min="15" max="16" width="13" style="4" bestFit="1" customWidth="1"/>
    <col min="17" max="17" width="11.09765625" style="18" bestFit="1" customWidth="1"/>
    <col min="18" max="18" width="9" style="4"/>
    <col min="19" max="16384" width="9" style="1"/>
  </cols>
  <sheetData>
    <row r="1" spans="2:21" x14ac:dyDescent="0.4">
      <c r="U1" s="9"/>
    </row>
    <row r="2" spans="2:21" ht="30" x14ac:dyDescent="0.4">
      <c r="B2" s="3" t="s">
        <v>4552</v>
      </c>
      <c r="U2" s="9"/>
    </row>
    <row r="3" spans="2:21" ht="16.5" customHeight="1" x14ac:dyDescent="0.4">
      <c r="B3" s="3"/>
      <c r="J3" s="2" t="s">
        <v>4556</v>
      </c>
      <c r="P3" s="2" t="s">
        <v>4555</v>
      </c>
      <c r="U3" s="9"/>
    </row>
    <row r="4" spans="2:21" x14ac:dyDescent="0.4">
      <c r="J4" s="27">
        <f>IFERROR(INDEX(입출고현황[Column9],4),0)</f>
        <v>445979</v>
      </c>
      <c r="P4" s="26">
        <f>IFERROR(IF(INDEX(입출고현황[#All],7,13)="담당자",INDEX(입출고현황[Column15],4),INDEX(입출고현황[Column14],4)),0)</f>
        <v>50622</v>
      </c>
      <c r="U4" s="9"/>
    </row>
    <row r="5" spans="2:21" ht="19.2" x14ac:dyDescent="0.4">
      <c r="B5" s="54" t="s">
        <v>18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5" t="s">
        <v>14</v>
      </c>
      <c r="O5" s="55"/>
      <c r="P5" s="55"/>
      <c r="Q5" s="55"/>
      <c r="R5" s="13"/>
    </row>
    <row r="6" spans="2:21" ht="19.2" x14ac:dyDescent="0.4">
      <c r="B6" s="8" t="s">
        <v>17</v>
      </c>
      <c r="C6" s="8" t="s">
        <v>0</v>
      </c>
      <c r="D6" s="8" t="s">
        <v>4692</v>
      </c>
      <c r="E6" s="8" t="s">
        <v>1</v>
      </c>
      <c r="F6" s="8" t="s">
        <v>4575</v>
      </c>
      <c r="G6" s="8" t="s">
        <v>6</v>
      </c>
      <c r="H6" s="8" t="s">
        <v>2</v>
      </c>
      <c r="I6" s="8" t="s">
        <v>3</v>
      </c>
      <c r="J6" s="8" t="s">
        <v>4</v>
      </c>
      <c r="K6" s="8" t="s">
        <v>4600</v>
      </c>
      <c r="L6" s="8" t="s">
        <v>9</v>
      </c>
      <c r="M6" s="20" t="s">
        <v>5</v>
      </c>
      <c r="N6" s="6" t="s">
        <v>6</v>
      </c>
      <c r="O6" s="6" t="s">
        <v>11</v>
      </c>
      <c r="P6" s="6" t="s">
        <v>15</v>
      </c>
      <c r="Q6" s="19" t="s">
        <v>12</v>
      </c>
      <c r="R6" s="7" t="s">
        <v>13</v>
      </c>
    </row>
    <row r="7" spans="2:21" x14ac:dyDescent="0.35">
      <c r="B7" s="9">
        <f t="array" ref="B7:R2775">_xlfn.LET(_xlpm.t,입출고현황[#All],_xlpm.o,INDEX(_xlpm.t,7,13)="담당자",_xlpm.d,_xlfn.DROP(_xlpm.t,7),_xlpm.x,IF(_xlpm.o,_xlfn.TAKE(_xlpm.d,,17),_xlfn.LET(_xlpm.y,_xlfn.TAKE(_xlpm.d,,16),_xlfn.HSTACK(_xlfn.TAKE(_xlpm.y,,12),IF(_xlfn.SEQUENCE(ROWS(_xlpm.y))&gt;0,"",""),_xlfn.DROP(_xlpm.y,,12)))),_xlpm.k,_xlfn.SEQUENCE(,COLUMNS(_xlpm.x)),IF((_xlpm.x=0)*(_xlpm.k&lt;&gt;9)*(_xlpm.k&lt;&gt;17)*(((_xlpm.k&lt;&gt;15)+(_xlpm.k=15)*(INDEX(_xlpm.x,,14)=0))&gt;0),"",_xlpm.x))</f>
        <v>2445</v>
      </c>
      <c r="C7" s="9" t="str">
        <v>출고재고</v>
      </c>
      <c r="D7" s="9" t="str">
        <v/>
      </c>
      <c r="E7" s="9" t="str">
        <v/>
      </c>
      <c r="F7" s="9" t="str">
        <v/>
      </c>
      <c r="G7" s="9" t="str">
        <v/>
      </c>
      <c r="H7" s="9" t="str">
        <v>RA-3-3B</v>
      </c>
      <c r="I7" s="11" t="str">
        <v>RA-3-3B]DCM CONTROL-B</v>
      </c>
      <c r="J7" s="9">
        <v>412</v>
      </c>
      <c r="K7" s="9" t="str">
        <v/>
      </c>
      <c r="L7" s="9" t="str">
        <v>G2-1</v>
      </c>
      <c r="M7" s="12">
        <v>46301</v>
      </c>
      <c r="N7" s="5" t="str">
        <v/>
      </c>
      <c r="O7" s="5">
        <v>102930</v>
      </c>
      <c r="P7" s="5">
        <v>30</v>
      </c>
      <c r="Q7" s="14">
        <v>46297</v>
      </c>
      <c r="R7" s="15">
        <v>382</v>
      </c>
    </row>
    <row r="8" spans="2:21" x14ac:dyDescent="0.35">
      <c r="B8" s="9">
        <v>2439</v>
      </c>
      <c r="C8" s="9" t="str">
        <v>출고재고</v>
      </c>
      <c r="D8" s="9" t="str">
        <v/>
      </c>
      <c r="E8" s="9" t="str">
        <v/>
      </c>
      <c r="F8" s="9" t="str">
        <v/>
      </c>
      <c r="G8" s="9" t="str">
        <v/>
      </c>
      <c r="H8" s="9" t="str">
        <v>RA-06M-0432</v>
      </c>
      <c r="I8" s="11" t="str">
        <v>RA-06M-0432]FLANGE TUBE TILT SHAFT B</v>
      </c>
      <c r="J8" s="9">
        <v>259</v>
      </c>
      <c r="K8" s="9" t="str">
        <v/>
      </c>
      <c r="L8" s="9" t="str">
        <v>H4-1</v>
      </c>
      <c r="M8" s="12">
        <v>46301</v>
      </c>
      <c r="N8" s="5" t="str">
        <v/>
      </c>
      <c r="O8" s="5">
        <v>102930</v>
      </c>
      <c r="P8" s="5">
        <v>30</v>
      </c>
      <c r="Q8" s="14">
        <v>46297</v>
      </c>
      <c r="R8" s="15">
        <v>229</v>
      </c>
    </row>
    <row r="9" spans="2:21" x14ac:dyDescent="0.35">
      <c r="B9" s="9">
        <v>2436</v>
      </c>
      <c r="C9" s="9" t="str">
        <v>출고재고</v>
      </c>
      <c r="D9" s="9" t="str">
        <v/>
      </c>
      <c r="E9" s="9" t="str">
        <v/>
      </c>
      <c r="F9" s="9" t="str">
        <v/>
      </c>
      <c r="G9" s="9" t="str">
        <v/>
      </c>
      <c r="H9" s="9" t="str">
        <v>RA-06V-0241</v>
      </c>
      <c r="I9" s="11" t="str">
        <v>RA-06V-0241]GUIDE TUBE TILT MICRO SW</v>
      </c>
      <c r="J9" s="9">
        <v>501</v>
      </c>
      <c r="K9" s="9" t="str">
        <v/>
      </c>
      <c r="L9" s="9" t="str">
        <v>H4-3</v>
      </c>
      <c r="M9" s="12">
        <v>46301</v>
      </c>
      <c r="N9" s="5" t="str">
        <v/>
      </c>
      <c r="O9" s="5">
        <v>102930</v>
      </c>
      <c r="P9" s="5">
        <v>30</v>
      </c>
      <c r="Q9" s="14">
        <v>46297</v>
      </c>
      <c r="R9" s="15">
        <v>471</v>
      </c>
    </row>
    <row r="10" spans="2:21" x14ac:dyDescent="0.35">
      <c r="B10" s="9">
        <v>2437</v>
      </c>
      <c r="C10" s="9" t="str">
        <v>출고재고</v>
      </c>
      <c r="D10" s="9" t="str">
        <v/>
      </c>
      <c r="E10" s="9" t="str">
        <v/>
      </c>
      <c r="F10" s="9" t="str">
        <v/>
      </c>
      <c r="G10" s="9" t="str">
        <v/>
      </c>
      <c r="H10" s="9" t="str">
        <v>RA-06V-0242</v>
      </c>
      <c r="I10" s="11" t="str">
        <v>RA-06V-0242]BRK TUBE TILT MICRO SW</v>
      </c>
      <c r="J10" s="9">
        <v>317</v>
      </c>
      <c r="K10" s="9" t="str">
        <v/>
      </c>
      <c r="L10" s="9" t="str">
        <v>H3-3</v>
      </c>
      <c r="M10" s="12">
        <v>46301</v>
      </c>
      <c r="N10" s="5" t="str">
        <v/>
      </c>
      <c r="O10" s="5">
        <v>102930</v>
      </c>
      <c r="P10" s="5">
        <v>30</v>
      </c>
      <c r="Q10" s="14">
        <v>46297</v>
      </c>
      <c r="R10" s="15">
        <v>287</v>
      </c>
    </row>
    <row r="11" spans="2:21" x14ac:dyDescent="0.35">
      <c r="B11" s="9">
        <v>2438</v>
      </c>
      <c r="C11" s="9" t="str">
        <v>출고재고</v>
      </c>
      <c r="D11" s="9" t="str">
        <v/>
      </c>
      <c r="E11" s="9" t="str">
        <v/>
      </c>
      <c r="F11" s="9" t="str">
        <v/>
      </c>
      <c r="G11" s="9" t="str">
        <v/>
      </c>
      <c r="H11" s="9" t="str">
        <v>RA-06V-0866</v>
      </c>
      <c r="I11" s="11" t="str">
        <v>RA-06V-0866]BRK TUBE TILT MICRO SW</v>
      </c>
      <c r="J11" s="9">
        <v>611</v>
      </c>
      <c r="K11" s="9" t="str">
        <v/>
      </c>
      <c r="L11" s="9" t="str">
        <v>H3-3</v>
      </c>
      <c r="M11" s="12">
        <v>46301</v>
      </c>
      <c r="N11" s="5" t="str">
        <v/>
      </c>
      <c r="O11" s="5">
        <v>102930</v>
      </c>
      <c r="P11" s="5">
        <v>30</v>
      </c>
      <c r="Q11" s="14">
        <v>46297</v>
      </c>
      <c r="R11" s="15">
        <v>581</v>
      </c>
    </row>
    <row r="12" spans="2:21" x14ac:dyDescent="0.35">
      <c r="B12" s="9">
        <v>2433</v>
      </c>
      <c r="C12" s="9" t="str">
        <v>출고재고</v>
      </c>
      <c r="D12" s="9" t="str">
        <v/>
      </c>
      <c r="E12" s="9" t="str">
        <v/>
      </c>
      <c r="F12" s="9" t="str">
        <v/>
      </c>
      <c r="G12" s="9" t="str">
        <v/>
      </c>
      <c r="H12" s="9" t="str">
        <v>RA-06V-3253</v>
      </c>
      <c r="I12" s="11" t="str">
        <v>RA-06V-3253]HLDR DC GEARED MOT (M+)</v>
      </c>
      <c r="J12" s="9">
        <v>369</v>
      </c>
      <c r="K12" s="9" t="str">
        <v/>
      </c>
      <c r="L12" s="9" t="str">
        <v>I2-1</v>
      </c>
      <c r="M12" s="12">
        <v>46301</v>
      </c>
      <c r="N12" s="5" t="str">
        <v/>
      </c>
      <c r="O12" s="5">
        <v>102930</v>
      </c>
      <c r="P12" s="5">
        <v>30</v>
      </c>
      <c r="Q12" s="14">
        <v>46297</v>
      </c>
      <c r="R12" s="15">
        <v>339</v>
      </c>
    </row>
    <row r="13" spans="2:21" x14ac:dyDescent="0.35">
      <c r="B13" s="9">
        <v>2435</v>
      </c>
      <c r="C13" s="9" t="str">
        <v>출고재고</v>
      </c>
      <c r="D13" s="9" t="str">
        <v/>
      </c>
      <c r="E13" s="9" t="str">
        <v/>
      </c>
      <c r="F13" s="9" t="str">
        <v/>
      </c>
      <c r="G13" s="9" t="str">
        <v/>
      </c>
      <c r="H13" s="9" t="str">
        <v>RA-06A-5005</v>
      </c>
      <c r="I13" s="11" t="str">
        <v>RA-06A-5005]Bd ASSY'-DC MOT Bd</v>
      </c>
      <c r="J13" s="9">
        <v>664</v>
      </c>
      <c r="K13" s="9" t="str">
        <v/>
      </c>
      <c r="L13" s="9" t="str">
        <v>A3-2, A3-3</v>
      </c>
      <c r="M13" s="12">
        <v>46301</v>
      </c>
      <c r="N13" s="5" t="str">
        <v/>
      </c>
      <c r="O13" s="5">
        <v>102930</v>
      </c>
      <c r="P13" s="5">
        <v>30</v>
      </c>
      <c r="Q13" s="14">
        <v>46297</v>
      </c>
      <c r="R13" s="15">
        <v>634</v>
      </c>
    </row>
    <row r="14" spans="2:21" x14ac:dyDescent="0.35">
      <c r="B14" s="9">
        <v>2434</v>
      </c>
      <c r="C14" s="9" t="str">
        <v>출고재고</v>
      </c>
      <c r="D14" s="9" t="str">
        <v/>
      </c>
      <c r="E14" s="9" t="str">
        <v/>
      </c>
      <c r="F14" s="9" t="str">
        <v/>
      </c>
      <c r="G14" s="9" t="str">
        <v/>
      </c>
      <c r="H14" s="9" t="str">
        <v>RA-06S-5091</v>
      </c>
      <c r="I14" s="11" t="str">
        <v>RA-06S-5091] DC motor(HDSG56-3448C-615)</v>
      </c>
      <c r="J14" s="9">
        <v>324</v>
      </c>
      <c r="K14" s="9" t="str">
        <v/>
      </c>
      <c r="L14" s="9" t="str">
        <v>Q</v>
      </c>
      <c r="M14" s="12">
        <v>46301</v>
      </c>
      <c r="N14" s="5" t="str">
        <v/>
      </c>
      <c r="O14" s="5">
        <v>102930</v>
      </c>
      <c r="P14" s="5">
        <v>30</v>
      </c>
      <c r="Q14" s="14">
        <v>46297</v>
      </c>
      <c r="R14" s="15">
        <v>294</v>
      </c>
    </row>
    <row r="15" spans="2:21" x14ac:dyDescent="0.35">
      <c r="B15" s="9">
        <v>2395</v>
      </c>
      <c r="C15" s="9" t="str">
        <v>출고재고</v>
      </c>
      <c r="D15" s="9" t="str">
        <v/>
      </c>
      <c r="E15" s="9" t="str">
        <v/>
      </c>
      <c r="F15" s="9" t="str">
        <v/>
      </c>
      <c r="G15" s="9" t="str">
        <v/>
      </c>
      <c r="H15" s="9" t="str">
        <v>RA-06M-0243</v>
      </c>
      <c r="I15" s="11" t="str">
        <v>RA-06M-0243]BLK TUBE TILT LIMIT</v>
      </c>
      <c r="J15" s="9">
        <v>112</v>
      </c>
      <c r="K15" s="9" t="str">
        <v/>
      </c>
      <c r="L15" s="9" t="str">
        <v>I3-3</v>
      </c>
      <c r="M15" s="12">
        <v>46301</v>
      </c>
      <c r="N15" s="5" t="str">
        <v/>
      </c>
      <c r="O15" s="5">
        <v>102930</v>
      </c>
      <c r="P15" s="5">
        <v>60</v>
      </c>
      <c r="Q15" s="14">
        <v>46297</v>
      </c>
      <c r="R15" s="15">
        <v>52</v>
      </c>
    </row>
    <row r="16" spans="2:21" x14ac:dyDescent="0.35">
      <c r="B16" s="9">
        <v>2454</v>
      </c>
      <c r="C16" s="9" t="str">
        <v>출고재고</v>
      </c>
      <c r="D16" s="9" t="str">
        <v/>
      </c>
      <c r="E16" s="9" t="str">
        <v/>
      </c>
      <c r="F16" s="9" t="str">
        <v/>
      </c>
      <c r="G16" s="9" t="str">
        <v/>
      </c>
      <c r="H16" s="9" t="str">
        <v>RA-06M-0244</v>
      </c>
      <c r="I16" s="11" t="str">
        <v>RA-06M-0244]PIN TUBE TILT LIMIT</v>
      </c>
      <c r="J16" s="9">
        <v>334</v>
      </c>
      <c r="K16" s="9" t="str">
        <v/>
      </c>
      <c r="L16" s="9" t="str">
        <v>I3-3</v>
      </c>
      <c r="M16" s="12">
        <v>46301</v>
      </c>
      <c r="N16" s="5" t="str">
        <v/>
      </c>
      <c r="O16" s="5">
        <v>102930</v>
      </c>
      <c r="P16" s="5">
        <v>60</v>
      </c>
      <c r="Q16" s="14">
        <v>46297</v>
      </c>
      <c r="R16" s="15">
        <v>274</v>
      </c>
    </row>
    <row r="17" spans="2:18" x14ac:dyDescent="0.35">
      <c r="B17" s="9">
        <v>2455</v>
      </c>
      <c r="C17" s="9" t="str">
        <v>출고재고</v>
      </c>
      <c r="D17" s="9" t="str">
        <v/>
      </c>
      <c r="E17" s="9" t="str">
        <v/>
      </c>
      <c r="F17" s="9" t="str">
        <v/>
      </c>
      <c r="G17" s="9" t="str">
        <v/>
      </c>
      <c r="H17" s="9" t="str">
        <v>RA-06S-5018</v>
      </c>
      <c r="I17" s="11" t="str">
        <v>RA-06S-5018]MICRO SWITCH</v>
      </c>
      <c r="J17" s="9">
        <v>220</v>
      </c>
      <c r="K17" s="9" t="str">
        <v/>
      </c>
      <c r="L17" s="9" t="str">
        <v>A12-3</v>
      </c>
      <c r="M17" s="12">
        <v>46301</v>
      </c>
      <c r="N17" s="5" t="str">
        <v/>
      </c>
      <c r="O17" s="5">
        <v>102930</v>
      </c>
      <c r="P17" s="5">
        <v>60</v>
      </c>
      <c r="Q17" s="14">
        <v>46297</v>
      </c>
      <c r="R17" s="15">
        <v>160</v>
      </c>
    </row>
    <row r="18" spans="2:18" x14ac:dyDescent="0.35">
      <c r="B18" s="9">
        <v>2051</v>
      </c>
      <c r="C18" s="9" t="str">
        <v>가용재고</v>
      </c>
      <c r="D18" s="9" t="str">
        <v/>
      </c>
      <c r="E18" s="9" t="str">
        <v>입고</v>
      </c>
      <c r="F18" s="9" t="str">
        <v>대영하네스</v>
      </c>
      <c r="G18" s="9" t="str">
        <v>유영국</v>
      </c>
      <c r="H18" s="9" t="str">
        <v>RA-3-3B</v>
      </c>
      <c r="I18" s="11" t="str">
        <v>RA-3-3B]DCM CONTROL-B</v>
      </c>
      <c r="J18" s="9">
        <v>300</v>
      </c>
      <c r="K18" s="9" t="str">
        <v/>
      </c>
      <c r="L18" s="9" t="str">
        <v>G2-1</v>
      </c>
      <c r="M18" s="12">
        <v>46296</v>
      </c>
      <c r="N18" s="5" t="str">
        <v/>
      </c>
      <c r="O18" s="5" t="str">
        <v/>
      </c>
      <c r="P18" s="5" t="str">
        <v/>
      </c>
      <c r="Q18" s="14" t="str">
        <v/>
      </c>
      <c r="R18" s="15">
        <v>300</v>
      </c>
    </row>
    <row r="19" spans="2:18" x14ac:dyDescent="0.35">
      <c r="B19" s="9">
        <v>1979</v>
      </c>
      <c r="C19" s="9" t="str">
        <v>가용재고</v>
      </c>
      <c r="D19" s="9" t="str">
        <v/>
      </c>
      <c r="E19" s="9" t="str">
        <v>입고</v>
      </c>
      <c r="F19" s="9" t="str">
        <v>A&amp;T</v>
      </c>
      <c r="G19" s="9" t="str">
        <v>장동은</v>
      </c>
      <c r="H19" s="9" t="str">
        <v>RA-06M-0243</v>
      </c>
      <c r="I19" s="11" t="str">
        <v>RA-06M-0243]BLK TUBE TILT LIMIT</v>
      </c>
      <c r="J19" s="9">
        <v>300</v>
      </c>
      <c r="K19" s="9" t="str">
        <v/>
      </c>
      <c r="L19" s="9" t="str">
        <v>I3-3</v>
      </c>
      <c r="M19" s="12">
        <v>46301</v>
      </c>
      <c r="N19" s="5" t="str">
        <v/>
      </c>
      <c r="O19" s="5" t="str">
        <v/>
      </c>
      <c r="P19" s="5" t="str">
        <v/>
      </c>
      <c r="Q19" s="14" t="str">
        <v/>
      </c>
      <c r="R19" s="15">
        <v>300</v>
      </c>
    </row>
    <row r="20" spans="2:18" x14ac:dyDescent="0.35">
      <c r="B20" s="9">
        <v>1981</v>
      </c>
      <c r="C20" s="9" t="str">
        <v>가용재고</v>
      </c>
      <c r="D20" s="9" t="str">
        <v/>
      </c>
      <c r="E20" s="9" t="str">
        <v>입고</v>
      </c>
      <c r="F20" s="9" t="str">
        <v>A&amp;T</v>
      </c>
      <c r="G20" s="9" t="str">
        <v>장동은</v>
      </c>
      <c r="H20" s="9" t="str">
        <v>RA-06M-0244</v>
      </c>
      <c r="I20" s="11" t="str">
        <v>RA-06M-0244]PIN TUBE TILT LIMIT</v>
      </c>
      <c r="J20" s="9">
        <v>300</v>
      </c>
      <c r="K20" s="9" t="str">
        <v/>
      </c>
      <c r="L20" s="9" t="str">
        <v>I3-3</v>
      </c>
      <c r="M20" s="12">
        <v>46301</v>
      </c>
      <c r="N20" s="5" t="str">
        <v/>
      </c>
      <c r="O20" s="5" t="str">
        <v/>
      </c>
      <c r="P20" s="5" t="str">
        <v/>
      </c>
      <c r="Q20" s="14" t="str">
        <v/>
      </c>
      <c r="R20" s="15">
        <v>300</v>
      </c>
    </row>
    <row r="21" spans="2:18" x14ac:dyDescent="0.35">
      <c r="B21" s="9">
        <v>2030</v>
      </c>
      <c r="C21" s="9" t="str">
        <v>가용재고</v>
      </c>
      <c r="D21" s="9" t="str">
        <v/>
      </c>
      <c r="E21" s="9" t="str">
        <v>입고</v>
      </c>
      <c r="F21" s="9" t="str">
        <v>대영하네스</v>
      </c>
      <c r="G21" s="9" t="str">
        <v>유영국</v>
      </c>
      <c r="H21" s="9" t="str">
        <v>RA-5-2</v>
      </c>
      <c r="I21" s="11" t="str">
        <v>RA-5-2_2]EARTH CEPH</v>
      </c>
      <c r="J21" s="9">
        <v>200</v>
      </c>
      <c r="K21" s="9" t="str">
        <v/>
      </c>
      <c r="L21" s="9" t="str">
        <v>G4</v>
      </c>
      <c r="M21" s="12">
        <v>46296</v>
      </c>
      <c r="N21" s="5" t="str">
        <v/>
      </c>
      <c r="O21" s="5" t="str">
        <v/>
      </c>
      <c r="P21" s="5" t="str">
        <v/>
      </c>
      <c r="Q21" s="14" t="str">
        <v/>
      </c>
      <c r="R21" s="15">
        <v>200</v>
      </c>
    </row>
    <row r="22" spans="2:18" x14ac:dyDescent="0.35">
      <c r="B22" s="9">
        <v>1355</v>
      </c>
      <c r="C22" s="9" t="str">
        <v>가용재고</v>
      </c>
      <c r="D22" s="9" t="str">
        <v/>
      </c>
      <c r="E22" s="9" t="str">
        <v>입고</v>
      </c>
      <c r="F22" s="9" t="str">
        <v>진광</v>
      </c>
      <c r="G22" s="9" t="str">
        <v>장동은</v>
      </c>
      <c r="H22" s="9" t="str">
        <v>RA-03A-0315</v>
      </c>
      <c r="I22" s="11" t="str">
        <v>RA-03A-0315]ASM CAS CLMN LWR (L)</v>
      </c>
      <c r="J22" s="9">
        <v>300</v>
      </c>
      <c r="K22" s="9" t="str">
        <v/>
      </c>
      <c r="L22" s="9" t="str">
        <v>V</v>
      </c>
      <c r="M22" s="12">
        <v>46286</v>
      </c>
      <c r="N22" s="5" t="str">
        <v/>
      </c>
      <c r="O22" s="5" t="str">
        <v/>
      </c>
      <c r="P22" s="5" t="str">
        <v/>
      </c>
      <c r="Q22" s="14" t="str">
        <v/>
      </c>
      <c r="R22" s="15">
        <v>300</v>
      </c>
    </row>
    <row r="23" spans="2:18" x14ac:dyDescent="0.35">
      <c r="B23" s="9">
        <v>1354</v>
      </c>
      <c r="C23" s="9" t="str">
        <v>가용재고</v>
      </c>
      <c r="D23" s="9" t="str">
        <v/>
      </c>
      <c r="E23" s="9" t="str">
        <v>입고</v>
      </c>
      <c r="F23" s="9" t="str">
        <v>진광</v>
      </c>
      <c r="G23" s="9" t="str">
        <v>장동은</v>
      </c>
      <c r="H23" s="9" t="str">
        <v>RA-03A-0314</v>
      </c>
      <c r="I23" s="11" t="str">
        <v>RA-03A-0314]ASM CAS CLMN LWR (R)</v>
      </c>
      <c r="J23" s="9">
        <v>300</v>
      </c>
      <c r="K23" s="9" t="str">
        <v/>
      </c>
      <c r="L23" s="9" t="str">
        <v>V</v>
      </c>
      <c r="M23" s="12">
        <v>46286</v>
      </c>
      <c r="N23" s="5" t="str">
        <v/>
      </c>
      <c r="O23" s="5" t="str">
        <v/>
      </c>
      <c r="P23" s="5" t="str">
        <v/>
      </c>
      <c r="Q23" s="14" t="str">
        <v/>
      </c>
      <c r="R23" s="15">
        <v>300</v>
      </c>
    </row>
    <row r="24" spans="2:18" x14ac:dyDescent="0.35">
      <c r="B24" s="9">
        <v>1961</v>
      </c>
      <c r="C24" s="9" t="str">
        <v>가용재고</v>
      </c>
      <c r="D24" s="9" t="str">
        <v/>
      </c>
      <c r="E24" s="9" t="str">
        <v>입고</v>
      </c>
      <c r="F24" s="9" t="str">
        <v>A&amp;T</v>
      </c>
      <c r="G24" s="9" t="str">
        <v>장동은</v>
      </c>
      <c r="H24" s="9" t="str">
        <v>RA-09A-2754</v>
      </c>
      <c r="I24" s="11" t="str">
        <v>RA-09A-2754]ASM CT HEADREST (A+) (VN)</v>
      </c>
      <c r="J24" s="9">
        <v>18</v>
      </c>
      <c r="K24" s="9" t="str">
        <v/>
      </c>
      <c r="L24" s="9" t="str">
        <v>O3</v>
      </c>
      <c r="M24" s="12">
        <v>46296</v>
      </c>
      <c r="N24" s="5" t="str">
        <v/>
      </c>
      <c r="O24" s="5" t="str">
        <v/>
      </c>
      <c r="P24" s="5" t="str">
        <v/>
      </c>
      <c r="Q24" s="14" t="str">
        <v/>
      </c>
      <c r="R24" s="15">
        <v>18</v>
      </c>
    </row>
    <row r="25" spans="2:18" x14ac:dyDescent="0.35">
      <c r="B25" s="9">
        <v>1962</v>
      </c>
      <c r="C25" s="9" t="str">
        <v>가용재고</v>
      </c>
      <c r="D25" s="9" t="str">
        <v/>
      </c>
      <c r="E25" s="9" t="str">
        <v>입고</v>
      </c>
      <c r="F25" s="9" t="str">
        <v>A&amp;T</v>
      </c>
      <c r="G25" s="9" t="str">
        <v>장동은</v>
      </c>
      <c r="H25" s="9" t="str">
        <v>RA-09A-2754</v>
      </c>
      <c r="I25" s="11" t="str">
        <v>RA-09A-2754]ASM CT HEADREST (A+) (VN)</v>
      </c>
      <c r="J25" s="9">
        <v>47</v>
      </c>
      <c r="K25" s="9" t="str">
        <v/>
      </c>
      <c r="L25" s="9" t="str">
        <v>O3</v>
      </c>
      <c r="M25" s="12">
        <v>46296</v>
      </c>
      <c r="N25" s="5" t="str">
        <v/>
      </c>
      <c r="O25" s="5" t="str">
        <v/>
      </c>
      <c r="P25" s="5" t="str">
        <v/>
      </c>
      <c r="Q25" s="14" t="str">
        <v/>
      </c>
      <c r="R25" s="15">
        <v>47</v>
      </c>
    </row>
    <row r="26" spans="2:18" x14ac:dyDescent="0.35">
      <c r="B26" s="9">
        <v>1960</v>
      </c>
      <c r="C26" s="9" t="str">
        <v>가용재고</v>
      </c>
      <c r="D26" s="9" t="str">
        <v/>
      </c>
      <c r="E26" s="9" t="str">
        <v>입고</v>
      </c>
      <c r="F26" s="9" t="str">
        <v>A&amp;T</v>
      </c>
      <c r="G26" s="9" t="str">
        <v>장동은</v>
      </c>
      <c r="H26" s="9" t="str">
        <v>RA-09A-2754</v>
      </c>
      <c r="I26" s="11" t="str">
        <v>RA-09A-2754]ASM CT HEADREST (A+) (VN)</v>
      </c>
      <c r="J26" s="9">
        <v>52</v>
      </c>
      <c r="K26" s="9" t="str">
        <v/>
      </c>
      <c r="L26" s="9" t="str">
        <v>O3</v>
      </c>
      <c r="M26" s="12">
        <v>46296</v>
      </c>
      <c r="N26" s="5" t="str">
        <v/>
      </c>
      <c r="O26" s="5" t="str">
        <v/>
      </c>
      <c r="P26" s="5" t="str">
        <v/>
      </c>
      <c r="Q26" s="14" t="str">
        <v/>
      </c>
      <c r="R26" s="15">
        <v>52</v>
      </c>
    </row>
    <row r="27" spans="2:18" x14ac:dyDescent="0.35">
      <c r="B27" s="9">
        <v>2040</v>
      </c>
      <c r="C27" s="9" t="str">
        <v>가용재고</v>
      </c>
      <c r="D27" s="9" t="str">
        <v/>
      </c>
      <c r="E27" s="9" t="str">
        <v>입고</v>
      </c>
      <c r="F27" s="9" t="str">
        <v>대영하네스</v>
      </c>
      <c r="G27" s="9" t="str">
        <v>유영국</v>
      </c>
      <c r="H27" s="9" t="str">
        <v>RA-5-6</v>
      </c>
      <c r="I27" s="11" t="str">
        <v>RA-5-6]EARTH SHAFT TO PC</v>
      </c>
      <c r="J27" s="9">
        <v>250</v>
      </c>
      <c r="K27" s="9" t="str">
        <v/>
      </c>
      <c r="L27" s="9" t="str">
        <v>G4</v>
      </c>
      <c r="M27" s="12">
        <v>46296</v>
      </c>
      <c r="N27" s="5" t="str">
        <v/>
      </c>
      <c r="O27" s="5" t="str">
        <v/>
      </c>
      <c r="P27" s="5" t="str">
        <v/>
      </c>
      <c r="Q27" s="14" t="str">
        <v/>
      </c>
      <c r="R27" s="15">
        <v>250</v>
      </c>
    </row>
    <row r="28" spans="2:18" x14ac:dyDescent="0.35">
      <c r="B28" s="9">
        <v>2068</v>
      </c>
      <c r="C28" s="9" t="str">
        <v>가용재고</v>
      </c>
      <c r="D28" s="9" t="str">
        <v/>
      </c>
      <c r="E28" s="9" t="str">
        <v>입고</v>
      </c>
      <c r="F28" s="9" t="str">
        <v>Bach tung</v>
      </c>
      <c r="G28" s="9" t="str">
        <v>유영국</v>
      </c>
      <c r="H28" s="9" t="str">
        <v>RA-08M-0623</v>
      </c>
      <c r="I28" s="11" t="str">
        <v>RA-08M-0623]PIN STOPPER</v>
      </c>
      <c r="J28" s="9">
        <v>100</v>
      </c>
      <c r="K28" s="9" t="str">
        <v/>
      </c>
      <c r="L28" s="9" t="str">
        <v>E2-1</v>
      </c>
      <c r="M28" s="12">
        <v>46302</v>
      </c>
      <c r="N28" s="5" t="str">
        <v/>
      </c>
      <c r="O28" s="5" t="str">
        <v/>
      </c>
      <c r="P28" s="5" t="str">
        <v/>
      </c>
      <c r="Q28" s="14" t="str">
        <v/>
      </c>
      <c r="R28" s="15">
        <v>100</v>
      </c>
    </row>
    <row r="29" spans="2:18" x14ac:dyDescent="0.35">
      <c r="B29" s="9">
        <v>707</v>
      </c>
      <c r="C29" s="9" t="str">
        <v>가용재고</v>
      </c>
      <c r="D29" s="9" t="str">
        <v/>
      </c>
      <c r="E29" s="9" t="str">
        <v>기초</v>
      </c>
      <c r="F29" s="9" t="str">
        <v/>
      </c>
      <c r="G29" s="9" t="str">
        <v/>
      </c>
      <c r="H29" s="9" t="str">
        <v>RE-03A-1030</v>
      </c>
      <c r="I29" s="11" t="str">
        <v>RE-03A-1030]ASM COLUMN MODULE</v>
      </c>
      <c r="J29" s="9">
        <v>0</v>
      </c>
      <c r="K29" s="9" t="str">
        <v/>
      </c>
      <c r="L29" s="9" t="str">
        <v>K8</v>
      </c>
      <c r="M29" s="12">
        <v>46275</v>
      </c>
      <c r="N29" s="5" t="str">
        <v/>
      </c>
      <c r="O29" s="5" t="str">
        <v/>
      </c>
      <c r="P29" s="5" t="str">
        <v/>
      </c>
      <c r="Q29" s="14" t="str">
        <v/>
      </c>
      <c r="R29" s="15">
        <v>0</v>
      </c>
    </row>
    <row r="30" spans="2:18" x14ac:dyDescent="0.35">
      <c r="B30" s="9">
        <v>2627</v>
      </c>
      <c r="C30" s="9" t="str">
        <v>가용재고</v>
      </c>
      <c r="D30" s="9" t="str">
        <v/>
      </c>
      <c r="E30" s="9" t="str">
        <v>입고</v>
      </c>
      <c r="F30" s="9" t="str">
        <v>A&amp;T</v>
      </c>
      <c r="G30" s="9" t="str">
        <v>장동은</v>
      </c>
      <c r="H30" s="9" t="str">
        <v>RE-03A-1030</v>
      </c>
      <c r="I30" s="11" t="str">
        <v>RE-03A-1030]ASM COLUMN MODULE</v>
      </c>
      <c r="J30" s="9">
        <v>3</v>
      </c>
      <c r="K30" s="9" t="str">
        <v/>
      </c>
      <c r="L30" s="9" t="str">
        <v>K8</v>
      </c>
      <c r="M30" s="12">
        <v>46302</v>
      </c>
      <c r="N30" s="5" t="str">
        <v/>
      </c>
      <c r="O30" s="5" t="str">
        <v/>
      </c>
      <c r="P30" s="5" t="str">
        <v/>
      </c>
      <c r="Q30" s="14" t="str">
        <v/>
      </c>
      <c r="R30" s="15">
        <v>3</v>
      </c>
    </row>
    <row r="31" spans="2:18" x14ac:dyDescent="0.35">
      <c r="B31" s="9">
        <v>2015</v>
      </c>
      <c r="C31" s="9" t="str">
        <v>가용재고</v>
      </c>
      <c r="D31" s="9" t="str">
        <v/>
      </c>
      <c r="E31" s="9" t="str">
        <v>입고</v>
      </c>
      <c r="F31" s="9" t="str">
        <v>Bach tung</v>
      </c>
      <c r="G31" s="9" t="str">
        <v>유영국</v>
      </c>
      <c r="H31" s="9" t="str">
        <v>RE-05A-0512</v>
      </c>
      <c r="I31" s="11" t="str">
        <v>RE-05A-0512]ASM ROTATOR WEIGH</v>
      </c>
      <c r="J31" s="9">
        <v>50</v>
      </c>
      <c r="K31" s="9" t="str">
        <v/>
      </c>
      <c r="L31" s="9" t="str">
        <v xml:space="preserve">4F  </v>
      </c>
      <c r="M31" s="12">
        <v>46296</v>
      </c>
      <c r="N31" s="5" t="str">
        <v/>
      </c>
      <c r="O31" s="5" t="str">
        <v/>
      </c>
      <c r="P31" s="5" t="str">
        <v/>
      </c>
      <c r="Q31" s="14" t="str">
        <v/>
      </c>
      <c r="R31" s="15">
        <v>50</v>
      </c>
    </row>
    <row r="32" spans="2:18" x14ac:dyDescent="0.35">
      <c r="B32" s="9">
        <v>1947</v>
      </c>
      <c r="C32" s="9" t="str">
        <v>가용재고</v>
      </c>
      <c r="D32" s="9" t="str">
        <v/>
      </c>
      <c r="E32" s="9" t="str">
        <v>입고</v>
      </c>
      <c r="F32" s="9" t="str">
        <v>진광</v>
      </c>
      <c r="G32" s="9" t="str">
        <v>장동은</v>
      </c>
      <c r="H32" s="9" t="str">
        <v>RE-01T-0104</v>
      </c>
      <c r="I32" s="11" t="str">
        <v>RE-01T-0104]RUBBER CAP DECO</v>
      </c>
      <c r="J32" s="9">
        <v>2000</v>
      </c>
      <c r="K32" s="9" t="str">
        <v/>
      </c>
      <c r="L32" s="9" t="str">
        <v>W</v>
      </c>
      <c r="M32" s="12">
        <v>46297</v>
      </c>
      <c r="N32" s="5" t="str">
        <v/>
      </c>
      <c r="O32" s="5" t="str">
        <v/>
      </c>
      <c r="P32" s="5" t="str">
        <v/>
      </c>
      <c r="Q32" s="14" t="str">
        <v/>
      </c>
      <c r="R32" s="15">
        <v>2000</v>
      </c>
    </row>
    <row r="33" spans="2:18" x14ac:dyDescent="0.35">
      <c r="B33" s="9">
        <v>1709</v>
      </c>
      <c r="C33" s="9" t="str">
        <v>가용재고</v>
      </c>
      <c r="D33" s="9" t="str">
        <v/>
      </c>
      <c r="E33" s="9" t="str">
        <v>입고</v>
      </c>
      <c r="F33" s="9" t="str">
        <v>진광</v>
      </c>
      <c r="G33" s="9" t="str">
        <v>장동은</v>
      </c>
      <c r="H33" s="9" t="str">
        <v>RE-09T-0902</v>
      </c>
      <c r="I33" s="11" t="str">
        <v>RE-09T-0902]CAS CHINREST LOW</v>
      </c>
      <c r="J33" s="9">
        <v>100</v>
      </c>
      <c r="K33" s="9" t="str">
        <v/>
      </c>
      <c r="L33" s="9" t="str">
        <v>3A-22</v>
      </c>
      <c r="M33" s="12">
        <v>46279</v>
      </c>
      <c r="N33" s="5" t="str">
        <v/>
      </c>
      <c r="O33" s="5" t="str">
        <v/>
      </c>
      <c r="P33" s="5" t="str">
        <v/>
      </c>
      <c r="Q33" s="14" t="str">
        <v/>
      </c>
      <c r="R33" s="15">
        <v>100</v>
      </c>
    </row>
    <row r="34" spans="2:18" x14ac:dyDescent="0.35">
      <c r="B34" s="9">
        <v>1147</v>
      </c>
      <c r="C34" s="9" t="str">
        <v>가용재고</v>
      </c>
      <c r="D34" s="9" t="str">
        <v/>
      </c>
      <c r="E34" s="9" t="str">
        <v>입고</v>
      </c>
      <c r="F34" s="9" t="str">
        <v>월드덴탈</v>
      </c>
      <c r="G34" s="9" t="str">
        <v>곽동준</v>
      </c>
      <c r="H34" s="9" t="str">
        <v>RA-09S-0389</v>
      </c>
      <c r="I34" s="11" t="str">
        <v>RA-09S-0389]CVR BITE BLK VINYL CVR</v>
      </c>
      <c r="J34" s="9">
        <v>455</v>
      </c>
      <c r="K34" s="9" t="str">
        <v/>
      </c>
      <c r="L34" s="9" t="str">
        <v>L1-1</v>
      </c>
      <c r="M34" s="12">
        <v>46279</v>
      </c>
      <c r="N34" s="5" t="str">
        <v/>
      </c>
      <c r="O34" s="5" t="str">
        <v/>
      </c>
      <c r="P34" s="5" t="str">
        <v/>
      </c>
      <c r="Q34" s="14" t="str">
        <v/>
      </c>
      <c r="R34" s="15">
        <v>455</v>
      </c>
    </row>
    <row r="35" spans="2:18" x14ac:dyDescent="0.35">
      <c r="B35" s="9">
        <v>1941</v>
      </c>
      <c r="C35" s="9" t="str">
        <v>가용재고</v>
      </c>
      <c r="D35" s="9" t="str">
        <v/>
      </c>
      <c r="E35" s="9" t="str">
        <v>입고</v>
      </c>
      <c r="F35" s="9" t="str">
        <v>진광</v>
      </c>
      <c r="G35" s="9" t="str">
        <v>장동은</v>
      </c>
      <c r="H35" s="9" t="str">
        <v>RE-02T-0247</v>
      </c>
      <c r="I35" s="11" t="str">
        <v>RE-02T-0247]CAS VERT TOP</v>
      </c>
      <c r="J35" s="9">
        <v>50</v>
      </c>
      <c r="K35" s="9" t="str">
        <v/>
      </c>
      <c r="L35" s="9" t="str">
        <v>3A-14</v>
      </c>
      <c r="M35" s="12">
        <v>46296</v>
      </c>
      <c r="N35" s="5" t="str">
        <v/>
      </c>
      <c r="O35" s="5" t="str">
        <v/>
      </c>
      <c r="P35" s="5" t="str">
        <v/>
      </c>
      <c r="Q35" s="14" t="str">
        <v/>
      </c>
      <c r="R35" s="15">
        <v>50</v>
      </c>
    </row>
    <row r="36" spans="2:18" x14ac:dyDescent="0.35">
      <c r="B36" s="9">
        <v>1359</v>
      </c>
      <c r="C36" s="9" t="str">
        <v>가용재고</v>
      </c>
      <c r="D36" s="9" t="str">
        <v/>
      </c>
      <c r="E36" s="9" t="str">
        <v>입고</v>
      </c>
      <c r="F36" s="9" t="str">
        <v>진광</v>
      </c>
      <c r="G36" s="9" t="str">
        <v>장동은</v>
      </c>
      <c r="H36" s="9" t="str">
        <v>RE-04T-0453</v>
      </c>
      <c r="I36" s="11" t="str">
        <v>RE-04T-0453]CAP HANDLE B</v>
      </c>
      <c r="J36" s="9">
        <v>80</v>
      </c>
      <c r="K36" s="9" t="str">
        <v/>
      </c>
      <c r="L36" s="9" t="str">
        <v>3L14-2</v>
      </c>
      <c r="M36" s="12">
        <v>46286</v>
      </c>
      <c r="N36" s="5" t="str">
        <v/>
      </c>
      <c r="O36" s="5" t="str">
        <v/>
      </c>
      <c r="P36" s="5" t="str">
        <v/>
      </c>
      <c r="Q36" s="14" t="str">
        <v/>
      </c>
      <c r="R36" s="15">
        <v>80</v>
      </c>
    </row>
    <row r="37" spans="2:18" x14ac:dyDescent="0.35">
      <c r="B37" s="9">
        <v>1360</v>
      </c>
      <c r="C37" s="9" t="str">
        <v>가용재고</v>
      </c>
      <c r="D37" s="9" t="str">
        <v/>
      </c>
      <c r="E37" s="9" t="str">
        <v>입고</v>
      </c>
      <c r="F37" s="9" t="str">
        <v>진광</v>
      </c>
      <c r="G37" s="9" t="str">
        <v>장동은</v>
      </c>
      <c r="H37" s="9" t="str">
        <v>RE-04T-0453</v>
      </c>
      <c r="I37" s="11" t="str">
        <v>RE-04T-0453]CAP HANDLE B</v>
      </c>
      <c r="J37" s="9">
        <v>300</v>
      </c>
      <c r="K37" s="9" t="str">
        <v/>
      </c>
      <c r="L37" s="9" t="str">
        <v>3L14-2</v>
      </c>
      <c r="M37" s="12">
        <v>46286</v>
      </c>
      <c r="N37" s="5" t="str">
        <v/>
      </c>
      <c r="O37" s="5" t="str">
        <v/>
      </c>
      <c r="P37" s="5" t="str">
        <v/>
      </c>
      <c r="Q37" s="14" t="str">
        <v/>
      </c>
      <c r="R37" s="15">
        <v>300</v>
      </c>
    </row>
    <row r="38" spans="2:18" x14ac:dyDescent="0.35">
      <c r="B38" s="9">
        <v>316</v>
      </c>
      <c r="C38" s="9" t="str">
        <v>가용재고</v>
      </c>
      <c r="D38" s="9" t="str">
        <v/>
      </c>
      <c r="E38" s="9" t="str">
        <v>기초</v>
      </c>
      <c r="F38" s="9" t="str">
        <v/>
      </c>
      <c r="G38" s="9" t="str">
        <v/>
      </c>
      <c r="H38" s="9" t="str">
        <v>RA-02A-2740</v>
      </c>
      <c r="I38" s="11" t="str">
        <v>RA-02A-2740]ASM VERT TOTAL (A+) (VN)</v>
      </c>
      <c r="J38" s="9">
        <v>0</v>
      </c>
      <c r="K38" s="9" t="str">
        <v/>
      </c>
      <c r="L38" s="9" t="str">
        <v>P</v>
      </c>
      <c r="M38" s="12">
        <v>46253</v>
      </c>
      <c r="N38" s="5" t="str">
        <v/>
      </c>
      <c r="O38" s="5" t="str">
        <v/>
      </c>
      <c r="P38" s="5" t="str">
        <v/>
      </c>
      <c r="Q38" s="14" t="str">
        <v/>
      </c>
      <c r="R38" s="15">
        <v>0</v>
      </c>
    </row>
    <row r="39" spans="2:18" x14ac:dyDescent="0.35">
      <c r="B39" s="9">
        <v>170</v>
      </c>
      <c r="C39" s="9" t="str">
        <v>가용재고</v>
      </c>
      <c r="D39" s="9" t="str">
        <v/>
      </c>
      <c r="E39" s="9" t="str">
        <v>기초</v>
      </c>
      <c r="F39" s="9" t="str">
        <v/>
      </c>
      <c r="G39" s="9" t="str">
        <v/>
      </c>
      <c r="H39" s="9" t="str">
        <v>RA-08M-2677</v>
      </c>
      <c r="I39" s="11" t="str">
        <v>RA-08M-2677]DRUM SCAN CEPH HEADREST (VW)</v>
      </c>
      <c r="J39" s="9">
        <v>0</v>
      </c>
      <c r="K39" s="9" t="str">
        <v/>
      </c>
      <c r="L39" s="9" t="str">
        <v>E2-2</v>
      </c>
      <c r="M39" s="12">
        <v>46232</v>
      </c>
      <c r="N39" s="5" t="str">
        <v/>
      </c>
      <c r="O39" s="5" t="str">
        <v/>
      </c>
      <c r="P39" s="5" t="str">
        <v/>
      </c>
      <c r="Q39" s="14" t="str">
        <v/>
      </c>
      <c r="R39" s="15">
        <v>0</v>
      </c>
    </row>
    <row r="40" spans="2:18" x14ac:dyDescent="0.35">
      <c r="B40" s="9">
        <v>171</v>
      </c>
      <c r="C40" s="9" t="str">
        <v>가용재고</v>
      </c>
      <c r="D40" s="9" t="str">
        <v/>
      </c>
      <c r="E40" s="9" t="str">
        <v>기초</v>
      </c>
      <c r="F40" s="9" t="str">
        <v/>
      </c>
      <c r="G40" s="9" t="str">
        <v/>
      </c>
      <c r="H40" s="9" t="str">
        <v>RA-08M-2679</v>
      </c>
      <c r="I40" s="11" t="str">
        <v>RA-08M-2679]SHAFT CEPH AXIS BODY (VW)</v>
      </c>
      <c r="J40" s="9">
        <v>0</v>
      </c>
      <c r="K40" s="9" t="str">
        <v/>
      </c>
      <c r="L40" s="9" t="str">
        <v>E1-2</v>
      </c>
      <c r="M40" s="12">
        <v>46232</v>
      </c>
      <c r="N40" s="5" t="str">
        <v/>
      </c>
      <c r="O40" s="5" t="str">
        <v/>
      </c>
      <c r="P40" s="5" t="str">
        <v/>
      </c>
      <c r="Q40" s="14" t="str">
        <v/>
      </c>
      <c r="R40" s="15">
        <v>0</v>
      </c>
    </row>
    <row r="41" spans="2:18" x14ac:dyDescent="0.35">
      <c r="B41" s="9">
        <v>172</v>
      </c>
      <c r="C41" s="9" t="str">
        <v>가용재고</v>
      </c>
      <c r="D41" s="9" t="str">
        <v/>
      </c>
      <c r="E41" s="9" t="str">
        <v>기초</v>
      </c>
      <c r="F41" s="9" t="str">
        <v/>
      </c>
      <c r="G41" s="9" t="str">
        <v/>
      </c>
      <c r="H41" s="9" t="str">
        <v>RA-08M-2705</v>
      </c>
      <c r="I41" s="11" t="str">
        <v>RA-08M-2705]BLK CEPH AXIS BODY TOP (VW)</v>
      </c>
      <c r="J41" s="9">
        <v>0</v>
      </c>
      <c r="K41" s="9" t="str">
        <v/>
      </c>
      <c r="L41" s="9" t="str">
        <v>E1-2</v>
      </c>
      <c r="M41" s="12">
        <v>46232</v>
      </c>
      <c r="N41" s="5" t="str">
        <v/>
      </c>
      <c r="O41" s="5" t="str">
        <v/>
      </c>
      <c r="P41" s="5" t="str">
        <v/>
      </c>
      <c r="Q41" s="14" t="str">
        <v/>
      </c>
      <c r="R41" s="15">
        <v>0</v>
      </c>
    </row>
    <row r="42" spans="2:18" x14ac:dyDescent="0.35">
      <c r="B42" s="9">
        <v>174</v>
      </c>
      <c r="C42" s="9" t="str">
        <v>가용재고</v>
      </c>
      <c r="D42" s="9" t="str">
        <v/>
      </c>
      <c r="E42" s="9" t="str">
        <v>기초</v>
      </c>
      <c r="F42" s="9" t="str">
        <v/>
      </c>
      <c r="G42" s="9" t="str">
        <v/>
      </c>
      <c r="H42" s="9" t="str">
        <v>RA-08M-2707</v>
      </c>
      <c r="I42" s="11" t="str">
        <v>RA-08M-2707]BLK CEPH AXIS BODY REAR (VW)</v>
      </c>
      <c r="J42" s="9">
        <v>0</v>
      </c>
      <c r="K42" s="9" t="str">
        <v/>
      </c>
      <c r="L42" s="9" t="str">
        <v>E1-2</v>
      </c>
      <c r="M42" s="12">
        <v>46232</v>
      </c>
      <c r="N42" s="5" t="str">
        <v/>
      </c>
      <c r="O42" s="5" t="str">
        <v/>
      </c>
      <c r="P42" s="5" t="str">
        <v/>
      </c>
      <c r="Q42" s="14" t="str">
        <v/>
      </c>
      <c r="R42" s="15">
        <v>0</v>
      </c>
    </row>
    <row r="43" spans="2:18" x14ac:dyDescent="0.35">
      <c r="B43" s="9">
        <v>236</v>
      </c>
      <c r="C43" s="9" t="str">
        <v>가용재고</v>
      </c>
      <c r="D43" s="9" t="str">
        <v/>
      </c>
      <c r="E43" s="9" t="str">
        <v>기초</v>
      </c>
      <c r="F43" s="9" t="str">
        <v/>
      </c>
      <c r="G43" s="9" t="str">
        <v/>
      </c>
      <c r="H43" s="9" t="str">
        <v>RA-08M-1887</v>
      </c>
      <c r="I43" s="11" t="str">
        <v>RA-08M-1887]FRM Bas CEPH (VW)</v>
      </c>
      <c r="J43" s="9">
        <v>0</v>
      </c>
      <c r="K43" s="9" t="str">
        <v/>
      </c>
      <c r="L43" s="9" t="str">
        <v>E4-2</v>
      </c>
      <c r="M43" s="12">
        <v>46232</v>
      </c>
      <c r="N43" s="5" t="str">
        <v/>
      </c>
      <c r="O43" s="5" t="str">
        <v/>
      </c>
      <c r="P43" s="5" t="str">
        <v/>
      </c>
      <c r="Q43" s="14" t="str">
        <v/>
      </c>
      <c r="R43" s="15">
        <v>0</v>
      </c>
    </row>
    <row r="44" spans="2:18" x14ac:dyDescent="0.35">
      <c r="B44" s="9">
        <v>238</v>
      </c>
      <c r="C44" s="9" t="str">
        <v>가용재고</v>
      </c>
      <c r="D44" s="9" t="str">
        <v/>
      </c>
      <c r="E44" s="9" t="str">
        <v>기초</v>
      </c>
      <c r="F44" s="9" t="str">
        <v/>
      </c>
      <c r="G44" s="9" t="str">
        <v/>
      </c>
      <c r="H44" s="9" t="str">
        <v>RA-08M-2673</v>
      </c>
      <c r="I44" s="11" t="str">
        <v>RA-08M-2673]BRK CEPH AXIS BODY (VW)</v>
      </c>
      <c r="J44" s="9">
        <v>0</v>
      </c>
      <c r="K44" s="9" t="str">
        <v/>
      </c>
      <c r="L44" s="9" t="str">
        <v>E2-2</v>
      </c>
      <c r="M44" s="12">
        <v>46232</v>
      </c>
      <c r="N44" s="5" t="str">
        <v/>
      </c>
      <c r="O44" s="5" t="str">
        <v/>
      </c>
      <c r="P44" s="5" t="str">
        <v/>
      </c>
      <c r="Q44" s="14" t="str">
        <v/>
      </c>
      <c r="R44" s="15">
        <v>0</v>
      </c>
    </row>
    <row r="45" spans="2:18" x14ac:dyDescent="0.35">
      <c r="B45" s="9">
        <v>882</v>
      </c>
      <c r="C45" s="9" t="str">
        <v>가용재고</v>
      </c>
      <c r="D45" s="9" t="str">
        <v/>
      </c>
      <c r="E45" s="9" t="str">
        <v>기초</v>
      </c>
      <c r="F45" s="9" t="str">
        <v/>
      </c>
      <c r="G45" s="9" t="str">
        <v/>
      </c>
      <c r="H45" s="9" t="str">
        <v>RA-03V-0062</v>
      </c>
      <c r="I45" s="11" t="str">
        <v>RA-03V-0062]PLT CLMN BODY (LWR)</v>
      </c>
      <c r="J45" s="9">
        <v>0</v>
      </c>
      <c r="K45" s="9" t="str">
        <v/>
      </c>
      <c r="L45" s="9" t="str">
        <v>3G</v>
      </c>
      <c r="M45" s="12">
        <v>46276</v>
      </c>
      <c r="N45" s="5" t="str">
        <v/>
      </c>
      <c r="O45" s="5" t="str">
        <v/>
      </c>
      <c r="P45" s="5" t="str">
        <v/>
      </c>
      <c r="Q45" s="14" t="str">
        <v/>
      </c>
      <c r="R45" s="15">
        <v>0</v>
      </c>
    </row>
    <row r="46" spans="2:18" x14ac:dyDescent="0.35">
      <c r="B46" s="9">
        <v>883</v>
      </c>
      <c r="C46" s="9" t="str">
        <v>가용재고</v>
      </c>
      <c r="D46" s="9" t="str">
        <v/>
      </c>
      <c r="E46" s="9" t="str">
        <v>기초</v>
      </c>
      <c r="F46" s="9" t="str">
        <v/>
      </c>
      <c r="G46" s="9" t="str">
        <v/>
      </c>
      <c r="H46" s="9" t="str">
        <v>RA-05M-3359</v>
      </c>
      <c r="I46" s="11" t="str">
        <v>RA-05M-3359]FRM ROT WEIGHT (ST)</v>
      </c>
      <c r="J46" s="9">
        <v>0</v>
      </c>
      <c r="K46" s="9" t="str">
        <v/>
      </c>
      <c r="L46" s="9" t="str">
        <v>P</v>
      </c>
      <c r="M46" s="12">
        <v>46276</v>
      </c>
      <c r="N46" s="5" t="str">
        <v/>
      </c>
      <c r="O46" s="5" t="str">
        <v/>
      </c>
      <c r="P46" s="5" t="str">
        <v/>
      </c>
      <c r="Q46" s="14" t="str">
        <v/>
      </c>
      <c r="R46" s="15">
        <v>0</v>
      </c>
    </row>
    <row r="47" spans="2:18" x14ac:dyDescent="0.35">
      <c r="B47" s="9">
        <v>884</v>
      </c>
      <c r="C47" s="9" t="str">
        <v>가용재고</v>
      </c>
      <c r="D47" s="9" t="str">
        <v/>
      </c>
      <c r="E47" s="9" t="str">
        <v>기초</v>
      </c>
      <c r="F47" s="9" t="str">
        <v/>
      </c>
      <c r="G47" s="9" t="str">
        <v/>
      </c>
      <c r="H47" s="9" t="str">
        <v>RA-06A-2760</v>
      </c>
      <c r="I47" s="11" t="str">
        <v>RA-06A-2760]ASM COL MOVING (ST) (VN)</v>
      </c>
      <c r="J47" s="9">
        <v>0</v>
      </c>
      <c r="K47" s="9" t="str">
        <v/>
      </c>
      <c r="L47" s="9" t="str">
        <v>U</v>
      </c>
      <c r="M47" s="12">
        <v>46276</v>
      </c>
      <c r="N47" s="5" t="str">
        <v/>
      </c>
      <c r="O47" s="5" t="str">
        <v/>
      </c>
      <c r="P47" s="5" t="str">
        <v/>
      </c>
      <c r="Q47" s="14" t="str">
        <v/>
      </c>
      <c r="R47" s="15">
        <v>0</v>
      </c>
    </row>
    <row r="48" spans="2:18" x14ac:dyDescent="0.35">
      <c r="B48" s="9">
        <v>885</v>
      </c>
      <c r="C48" s="9" t="str">
        <v>가용재고</v>
      </c>
      <c r="D48" s="9" t="str">
        <v/>
      </c>
      <c r="E48" s="9" t="str">
        <v>기초</v>
      </c>
      <c r="F48" s="9" t="str">
        <v/>
      </c>
      <c r="G48" s="9" t="str">
        <v/>
      </c>
      <c r="H48" s="9" t="str">
        <v>RA-06A-6085</v>
      </c>
      <c r="I48" s="11" t="str">
        <v>RA-06A-6085]CAM_LAMP_S6</v>
      </c>
      <c r="J48" s="9">
        <v>0</v>
      </c>
      <c r="K48" s="9" t="str">
        <v/>
      </c>
      <c r="L48" s="9" t="str">
        <v>A7-1</v>
      </c>
      <c r="M48" s="12">
        <v>46276</v>
      </c>
      <c r="N48" s="5" t="str">
        <v/>
      </c>
      <c r="O48" s="5" t="str">
        <v/>
      </c>
      <c r="P48" s="5" t="str">
        <v/>
      </c>
      <c r="Q48" s="14" t="str">
        <v/>
      </c>
      <c r="R48" s="15">
        <v>0</v>
      </c>
    </row>
    <row r="49" spans="2:18" x14ac:dyDescent="0.35">
      <c r="B49" s="9">
        <v>279</v>
      </c>
      <c r="C49" s="9" t="str">
        <v>가용재고</v>
      </c>
      <c r="D49" s="9" t="str">
        <v/>
      </c>
      <c r="E49" s="9" t="str">
        <v/>
      </c>
      <c r="F49" s="9" t="str">
        <v/>
      </c>
      <c r="G49" s="9" t="str">
        <v/>
      </c>
      <c r="H49" s="9" t="str">
        <v>RA-08T-0177</v>
      </c>
      <c r="I49" s="11" t="str">
        <v/>
      </c>
      <c r="J49" s="9">
        <v>1</v>
      </c>
      <c r="K49" s="9" t="str">
        <v/>
      </c>
      <c r="L49" s="9" t="str">
        <v>S</v>
      </c>
      <c r="M49" s="12">
        <v>46232</v>
      </c>
      <c r="N49" s="5" t="str">
        <v/>
      </c>
      <c r="O49" s="5" t="str">
        <v/>
      </c>
      <c r="P49" s="5" t="str">
        <v/>
      </c>
      <c r="Q49" s="14" t="str">
        <v/>
      </c>
      <c r="R49" s="15">
        <v>1</v>
      </c>
    </row>
    <row r="50" spans="2:18" x14ac:dyDescent="0.35">
      <c r="B50" s="9">
        <v>1291</v>
      </c>
      <c r="C50" s="9" t="str">
        <v>가용재고</v>
      </c>
      <c r="D50" s="9" t="str">
        <v/>
      </c>
      <c r="E50" s="9" t="str">
        <v/>
      </c>
      <c r="F50" s="9" t="str">
        <v/>
      </c>
      <c r="G50" s="9" t="str">
        <v/>
      </c>
      <c r="H50" s="9" t="str">
        <v>RF-01V-0208</v>
      </c>
      <c r="I50" s="11" t="str">
        <v>RF-01V-0208]FRONT FRM</v>
      </c>
      <c r="J50" s="9">
        <v>1</v>
      </c>
      <c r="K50" s="9" t="str">
        <v/>
      </c>
      <c r="L50" s="9" t="str">
        <v>3C10</v>
      </c>
      <c r="M50" s="12">
        <v>46287</v>
      </c>
      <c r="N50" s="5" t="str">
        <v/>
      </c>
      <c r="O50" s="5" t="str">
        <v/>
      </c>
      <c r="P50" s="5" t="str">
        <v/>
      </c>
      <c r="Q50" s="14" t="str">
        <v/>
      </c>
      <c r="R50" s="15">
        <v>1</v>
      </c>
    </row>
    <row r="51" spans="2:18" x14ac:dyDescent="0.35">
      <c r="B51" s="9">
        <v>2355</v>
      </c>
      <c r="C51" s="9" t="str">
        <v>가용재고</v>
      </c>
      <c r="D51" s="9" t="str">
        <v/>
      </c>
      <c r="E51" s="9" t="str">
        <v/>
      </c>
      <c r="F51" s="9" t="str">
        <v/>
      </c>
      <c r="G51" s="9" t="str">
        <v/>
      </c>
      <c r="H51" s="9" t="str">
        <v>RE-05B-5101</v>
      </c>
      <c r="I51" s="11" t="str">
        <v>RE-05B-5101]eSUB Bd</v>
      </c>
      <c r="J51" s="9">
        <v>1</v>
      </c>
      <c r="K51" s="9" t="str">
        <v/>
      </c>
      <c r="L51" s="9" t="str">
        <v>K6-4</v>
      </c>
      <c r="M51" s="12">
        <v>46296</v>
      </c>
      <c r="N51" s="5" t="str">
        <v/>
      </c>
      <c r="O51" s="5" t="str">
        <v/>
      </c>
      <c r="P51" s="5" t="str">
        <v/>
      </c>
      <c r="Q51" s="14" t="str">
        <v/>
      </c>
      <c r="R51" s="15">
        <v>1</v>
      </c>
    </row>
    <row r="52" spans="2:18" x14ac:dyDescent="0.35">
      <c r="B52" s="9">
        <v>2451</v>
      </c>
      <c r="C52" s="9" t="str">
        <v>가용재고</v>
      </c>
      <c r="D52" s="9" t="str">
        <v/>
      </c>
      <c r="E52" s="9" t="str">
        <v/>
      </c>
      <c r="F52" s="9" t="str">
        <v/>
      </c>
      <c r="G52" s="9" t="str">
        <v/>
      </c>
      <c r="H52" s="9" t="str">
        <v>RA-5-4</v>
      </c>
      <c r="I52" s="11" t="str">
        <v>RA-5-4]EARTH ROT TO TUBE</v>
      </c>
      <c r="J52" s="9">
        <v>1</v>
      </c>
      <c r="K52" s="9" t="str">
        <v/>
      </c>
      <c r="L52" s="9" t="str">
        <v>G3-2</v>
      </c>
      <c r="M52" s="12">
        <v>46301</v>
      </c>
      <c r="N52" s="5" t="str">
        <v/>
      </c>
      <c r="O52" s="5" t="str">
        <v/>
      </c>
      <c r="P52" s="5" t="str">
        <v/>
      </c>
      <c r="Q52" s="14" t="str">
        <v/>
      </c>
      <c r="R52" s="15">
        <v>1</v>
      </c>
    </row>
    <row r="53" spans="2:18" x14ac:dyDescent="0.35">
      <c r="B53" s="9">
        <v>1959</v>
      </c>
      <c r="C53" s="9" t="str">
        <v>가용재고</v>
      </c>
      <c r="D53" s="9" t="str">
        <v/>
      </c>
      <c r="E53" s="9" t="str">
        <v>입고</v>
      </c>
      <c r="F53" s="9" t="str">
        <v>A&amp;T</v>
      </c>
      <c r="G53" s="9" t="str">
        <v>장동은</v>
      </c>
      <c r="H53" s="9" t="str">
        <v>RA-06A-2139</v>
      </c>
      <c r="I53" s="11" t="str">
        <v>RA-06A-2139]ASM BRK FAN SUP (A+)</v>
      </c>
      <c r="J53" s="9">
        <v>2</v>
      </c>
      <c r="K53" s="9" t="str">
        <v/>
      </c>
      <c r="L53" s="9" t="str">
        <v>N5</v>
      </c>
      <c r="M53" s="12">
        <v>46296</v>
      </c>
      <c r="N53" s="5" t="str">
        <v/>
      </c>
      <c r="O53" s="5" t="str">
        <v/>
      </c>
      <c r="P53" s="5" t="str">
        <v/>
      </c>
      <c r="Q53" s="14" t="str">
        <v/>
      </c>
      <c r="R53" s="15">
        <v>2</v>
      </c>
    </row>
    <row r="54" spans="2:18" x14ac:dyDescent="0.35">
      <c r="B54" s="9">
        <v>311</v>
      </c>
      <c r="C54" s="9" t="str">
        <v>가용재고</v>
      </c>
      <c r="D54" s="9" t="str">
        <v/>
      </c>
      <c r="E54" s="9" t="str">
        <v/>
      </c>
      <c r="F54" s="9" t="str">
        <v/>
      </c>
      <c r="G54" s="9" t="str">
        <v/>
      </c>
      <c r="H54" s="9" t="str">
        <v>RA-08M-1887</v>
      </c>
      <c r="I54" s="11" t="str">
        <v>RA-08M-1887]FRM Bas CEPH (VW)</v>
      </c>
      <c r="J54" s="9">
        <v>2</v>
      </c>
      <c r="K54" s="9" t="str">
        <v/>
      </c>
      <c r="L54" s="9" t="str">
        <v>E4-2</v>
      </c>
      <c r="M54" s="12">
        <v>46233</v>
      </c>
      <c r="N54" s="5" t="str">
        <v/>
      </c>
      <c r="O54" s="5" t="str">
        <v/>
      </c>
      <c r="P54" s="5" t="str">
        <v/>
      </c>
      <c r="Q54" s="14" t="str">
        <v/>
      </c>
      <c r="R54" s="15">
        <v>2</v>
      </c>
    </row>
    <row r="55" spans="2:18" x14ac:dyDescent="0.35">
      <c r="B55" s="9">
        <v>478</v>
      </c>
      <c r="C55" s="9" t="str">
        <v>가용재고</v>
      </c>
      <c r="D55" s="9" t="str">
        <v/>
      </c>
      <c r="E55" s="9" t="str">
        <v/>
      </c>
      <c r="F55" s="9" t="str">
        <v/>
      </c>
      <c r="G55" s="9" t="str">
        <v/>
      </c>
      <c r="H55" s="9" t="str">
        <v>RF-01M-0398</v>
      </c>
      <c r="I55" s="11" t="str">
        <v>RF-01M-0398]COVER TOP</v>
      </c>
      <c r="J55" s="9">
        <v>2</v>
      </c>
      <c r="K55" s="9" t="str">
        <v/>
      </c>
      <c r="L55" s="9" t="str">
        <v>3E5</v>
      </c>
      <c r="M55" s="12">
        <v>46259</v>
      </c>
      <c r="N55" s="5" t="str">
        <v/>
      </c>
      <c r="O55" s="5" t="str">
        <v/>
      </c>
      <c r="P55" s="5" t="str">
        <v/>
      </c>
      <c r="Q55" s="14" t="str">
        <v/>
      </c>
      <c r="R55" s="15">
        <v>2</v>
      </c>
    </row>
    <row r="56" spans="2:18" x14ac:dyDescent="0.35">
      <c r="B56" s="9">
        <v>886</v>
      </c>
      <c r="C56" s="9" t="str">
        <v>가용재고</v>
      </c>
      <c r="D56" s="9" t="str">
        <v/>
      </c>
      <c r="E56" s="9" t="str">
        <v>기초</v>
      </c>
      <c r="F56" s="9" t="str">
        <v/>
      </c>
      <c r="G56" s="9" t="str">
        <v/>
      </c>
      <c r="H56" s="9" t="str">
        <v>RA-05M-3801</v>
      </c>
      <c r="I56" s="11" t="str">
        <v>RA-05M-3801]FRM ROT Bas (MG)</v>
      </c>
      <c r="J56" s="9">
        <v>2</v>
      </c>
      <c r="K56" s="9" t="str">
        <v/>
      </c>
      <c r="L56" s="9" t="str">
        <v>T</v>
      </c>
      <c r="M56" s="12">
        <v>46276</v>
      </c>
      <c r="N56" s="5" t="str">
        <v/>
      </c>
      <c r="O56" s="5" t="str">
        <v/>
      </c>
      <c r="P56" s="5" t="str">
        <v/>
      </c>
      <c r="Q56" s="14" t="str">
        <v/>
      </c>
      <c r="R56" s="15">
        <v>2</v>
      </c>
    </row>
    <row r="57" spans="2:18" x14ac:dyDescent="0.35">
      <c r="B57" s="9">
        <v>1258</v>
      </c>
      <c r="C57" s="9" t="str">
        <v>가용재고</v>
      </c>
      <c r="D57" s="9" t="str">
        <v/>
      </c>
      <c r="E57" s="9" t="str">
        <v>반납</v>
      </c>
      <c r="F57" s="9" t="str">
        <v/>
      </c>
      <c r="G57" s="9" t="str">
        <v/>
      </c>
      <c r="H57" s="9" t="str">
        <v>RF-01V-0209</v>
      </c>
      <c r="I57" s="11" t="str">
        <v>RF-01V-0209]FRONT BRK TOP</v>
      </c>
      <c r="J57" s="9">
        <v>2</v>
      </c>
      <c r="K57" s="9" t="str">
        <v/>
      </c>
      <c r="L57" s="9" t="str">
        <v>3L4-5</v>
      </c>
      <c r="M57" s="12">
        <v>46287</v>
      </c>
      <c r="N57" s="5" t="str">
        <v/>
      </c>
      <c r="O57" s="5" t="str">
        <v/>
      </c>
      <c r="P57" s="5" t="str">
        <v/>
      </c>
      <c r="Q57" s="14" t="str">
        <v/>
      </c>
      <c r="R57" s="15">
        <v>2</v>
      </c>
    </row>
    <row r="58" spans="2:18" x14ac:dyDescent="0.35">
      <c r="B58" s="9">
        <v>1289</v>
      </c>
      <c r="C58" s="9" t="str">
        <v>가용재고</v>
      </c>
      <c r="D58" s="9" t="str">
        <v/>
      </c>
      <c r="E58" s="9" t="str">
        <v/>
      </c>
      <c r="F58" s="9" t="str">
        <v/>
      </c>
      <c r="G58" s="9" t="str">
        <v/>
      </c>
      <c r="H58" s="9" t="str">
        <v>RF-01T-0255</v>
      </c>
      <c r="I58" s="11" t="str">
        <v>RF-01T-0255]CVR FRONT MID R</v>
      </c>
      <c r="J58" s="9">
        <v>2</v>
      </c>
      <c r="K58" s="9" t="str">
        <v/>
      </c>
      <c r="L58" s="9" t="str">
        <v>3L3-1</v>
      </c>
      <c r="M58" s="12">
        <v>46287</v>
      </c>
      <c r="N58" s="5" t="str">
        <v/>
      </c>
      <c r="O58" s="5" t="str">
        <v/>
      </c>
      <c r="P58" s="5" t="str">
        <v/>
      </c>
      <c r="Q58" s="14" t="str">
        <v/>
      </c>
      <c r="R58" s="15">
        <v>2</v>
      </c>
    </row>
    <row r="59" spans="2:18" x14ac:dyDescent="0.35">
      <c r="B59" s="9">
        <v>1984</v>
      </c>
      <c r="C59" s="9" t="str">
        <v>가용재고</v>
      </c>
      <c r="D59" s="9" t="str">
        <v/>
      </c>
      <c r="E59" s="9" t="str">
        <v>입고</v>
      </c>
      <c r="F59" s="9" t="str">
        <v>A&amp;T</v>
      </c>
      <c r="G59" s="9" t="str">
        <v>장동은</v>
      </c>
      <c r="H59" s="9" t="str">
        <v>RE-04A-1040</v>
      </c>
      <c r="I59" s="11" t="str">
        <v>RE-04A-1040]ASM ARM MODULE</v>
      </c>
      <c r="J59" s="9">
        <v>2</v>
      </c>
      <c r="K59" s="9" t="str">
        <v/>
      </c>
      <c r="L59" s="9" t="str">
        <v>K8</v>
      </c>
      <c r="M59" s="12">
        <v>46281</v>
      </c>
      <c r="N59" s="5" t="str">
        <v/>
      </c>
      <c r="O59" s="5" t="str">
        <v/>
      </c>
      <c r="P59" s="5" t="str">
        <v/>
      </c>
      <c r="Q59" s="14" t="str">
        <v/>
      </c>
      <c r="R59" s="15">
        <v>2</v>
      </c>
    </row>
    <row r="60" spans="2:18" x14ac:dyDescent="0.35">
      <c r="B60" s="9">
        <v>2258</v>
      </c>
      <c r="C60" s="9" t="str">
        <v>가용재고</v>
      </c>
      <c r="D60" s="9" t="str">
        <v/>
      </c>
      <c r="E60" s="9" t="str">
        <v/>
      </c>
      <c r="F60" s="9" t="str">
        <v/>
      </c>
      <c r="G60" s="9" t="str">
        <v/>
      </c>
      <c r="H60" s="9" t="str">
        <v>RF-01S-5085</v>
      </c>
      <c r="I60" s="11" t="str">
        <v>RF-01S-5085]FACE CAM</v>
      </c>
      <c r="J60" s="9">
        <v>2</v>
      </c>
      <c r="K60" s="9" t="str">
        <v/>
      </c>
      <c r="L60" s="9" t="str">
        <v>3F9</v>
      </c>
      <c r="M60" s="12">
        <v>46302</v>
      </c>
      <c r="N60" s="5" t="str">
        <v/>
      </c>
      <c r="O60" s="5" t="str">
        <v/>
      </c>
      <c r="P60" s="5" t="str">
        <v/>
      </c>
      <c r="Q60" s="14" t="str">
        <v/>
      </c>
      <c r="R60" s="15">
        <v>2</v>
      </c>
    </row>
    <row r="61" spans="2:18" x14ac:dyDescent="0.35">
      <c r="B61" s="9">
        <v>2352</v>
      </c>
      <c r="C61" s="9" t="str">
        <v>가용재고</v>
      </c>
      <c r="D61" s="9" t="str">
        <v/>
      </c>
      <c r="E61" s="9" t="str">
        <v/>
      </c>
      <c r="F61" s="9" t="str">
        <v/>
      </c>
      <c r="G61" s="9" t="str">
        <v/>
      </c>
      <c r="H61" s="9" t="str">
        <v>RF-01S-5083</v>
      </c>
      <c r="I61" s="11" t="str">
        <v>RF-01S-5083]CAM Trigger_L-R harness</v>
      </c>
      <c r="J61" s="9">
        <v>2</v>
      </c>
      <c r="K61" s="9" t="str">
        <v/>
      </c>
      <c r="L61" s="9" t="str">
        <v>3L3-3</v>
      </c>
      <c r="M61" s="12">
        <v>46295</v>
      </c>
      <c r="N61" s="5" t="str">
        <v/>
      </c>
      <c r="O61" s="5" t="str">
        <v/>
      </c>
      <c r="P61" s="5" t="str">
        <v/>
      </c>
      <c r="Q61" s="14" t="str">
        <v/>
      </c>
      <c r="R61" s="15">
        <v>2</v>
      </c>
    </row>
    <row r="62" spans="2:18" x14ac:dyDescent="0.35">
      <c r="B62" s="9">
        <v>274</v>
      </c>
      <c r="C62" s="9" t="str">
        <v>가용재고</v>
      </c>
      <c r="D62" s="9" t="str">
        <v/>
      </c>
      <c r="E62" s="9" t="str">
        <v/>
      </c>
      <c r="F62" s="9" t="str">
        <v/>
      </c>
      <c r="G62" s="9" t="str">
        <v/>
      </c>
      <c r="H62" s="9" t="str">
        <v>RA-08A-0611</v>
      </c>
      <c r="I62" s="11" t="str">
        <v>RA-08A-0611]ASM EARLOD Mdl</v>
      </c>
      <c r="J62" s="9">
        <v>3</v>
      </c>
      <c r="K62" s="9" t="str">
        <v/>
      </c>
      <c r="L62" s="9" t="str">
        <v>E1-6</v>
      </c>
      <c r="M62" s="12">
        <v>46232</v>
      </c>
      <c r="N62" s="5" t="str">
        <v/>
      </c>
      <c r="O62" s="5" t="str">
        <v/>
      </c>
      <c r="P62" s="5" t="str">
        <v/>
      </c>
      <c r="Q62" s="14" t="str">
        <v/>
      </c>
      <c r="R62" s="15">
        <v>3</v>
      </c>
    </row>
    <row r="63" spans="2:18" x14ac:dyDescent="0.35">
      <c r="B63" s="9">
        <v>887</v>
      </c>
      <c r="C63" s="9" t="str">
        <v>가용재고</v>
      </c>
      <c r="D63" s="9" t="str">
        <v/>
      </c>
      <c r="E63" s="9" t="str">
        <v>기초</v>
      </c>
      <c r="F63" s="9" t="str">
        <v/>
      </c>
      <c r="G63" s="9" t="str">
        <v/>
      </c>
      <c r="H63" s="9" t="str">
        <v>RA-06A-6084</v>
      </c>
      <c r="I63" s="11" t="str">
        <v>RA-06A-6084]CAMP_LAMP_S2</v>
      </c>
      <c r="J63" s="9">
        <v>3</v>
      </c>
      <c r="K63" s="9" t="str">
        <v/>
      </c>
      <c r="L63" s="9" t="str">
        <v>A7-1, A7-4</v>
      </c>
      <c r="M63" s="12">
        <v>46276</v>
      </c>
      <c r="N63" s="5" t="str">
        <v/>
      </c>
      <c r="O63" s="5" t="str">
        <v/>
      </c>
      <c r="P63" s="5" t="str">
        <v/>
      </c>
      <c r="Q63" s="14" t="str">
        <v/>
      </c>
      <c r="R63" s="15">
        <v>3</v>
      </c>
    </row>
    <row r="64" spans="2:18" x14ac:dyDescent="0.35">
      <c r="B64" s="9">
        <v>1952</v>
      </c>
      <c r="C64" s="9" t="str">
        <v>가용재고</v>
      </c>
      <c r="D64" s="9" t="str">
        <v/>
      </c>
      <c r="E64" s="9" t="str">
        <v>입고</v>
      </c>
      <c r="F64" s="9" t="str">
        <v>A&amp;T</v>
      </c>
      <c r="G64" s="9" t="str">
        <v>장동은</v>
      </c>
      <c r="H64" s="9" t="str">
        <v>RF-20A-0378</v>
      </c>
      <c r="I64" s="11" t="str">
        <v>MODULE ARM LEFT</v>
      </c>
      <c r="J64" s="9">
        <v>3</v>
      </c>
      <c r="K64" s="9" t="str">
        <v/>
      </c>
      <c r="L64" s="9" t="str">
        <v>94760</v>
      </c>
      <c r="M64" s="12">
        <v>46296</v>
      </c>
      <c r="N64" s="5" t="str">
        <v/>
      </c>
      <c r="O64" s="5" t="str">
        <v/>
      </c>
      <c r="P64" s="5" t="str">
        <v/>
      </c>
      <c r="Q64" s="14" t="str">
        <v/>
      </c>
      <c r="R64" s="15">
        <v>3</v>
      </c>
    </row>
    <row r="65" spans="2:18" x14ac:dyDescent="0.35">
      <c r="B65" s="9">
        <v>2088</v>
      </c>
      <c r="C65" s="9" t="str">
        <v>가용재고</v>
      </c>
      <c r="D65" s="9" t="str">
        <v/>
      </c>
      <c r="E65" s="9" t="str">
        <v/>
      </c>
      <c r="F65" s="9" t="str">
        <v/>
      </c>
      <c r="G65" s="9" t="str">
        <v/>
      </c>
      <c r="H65" s="9" t="str">
        <v>RA-06A-2760</v>
      </c>
      <c r="I65" s="11" t="str">
        <v>RA-06A-2760]ASM COL MOVING (ST) (VN)</v>
      </c>
      <c r="J65" s="9">
        <v>3</v>
      </c>
      <c r="K65" s="9" t="str">
        <v/>
      </c>
      <c r="L65" s="9" t="str">
        <v>U</v>
      </c>
      <c r="M65" s="12">
        <v>46287</v>
      </c>
      <c r="N65" s="5" t="str">
        <v/>
      </c>
      <c r="O65" s="5" t="str">
        <v/>
      </c>
      <c r="P65" s="5" t="str">
        <v/>
      </c>
      <c r="Q65" s="14" t="str">
        <v/>
      </c>
      <c r="R65" s="15">
        <v>3</v>
      </c>
    </row>
    <row r="66" spans="2:18" x14ac:dyDescent="0.35">
      <c r="B66" s="9">
        <v>2264</v>
      </c>
      <c r="C66" s="9" t="str">
        <v>가용재고</v>
      </c>
      <c r="D66" s="9" t="str">
        <v/>
      </c>
      <c r="E66" s="9" t="str">
        <v/>
      </c>
      <c r="F66" s="9" t="str">
        <v/>
      </c>
      <c r="G66" s="9" t="str">
        <v/>
      </c>
      <c r="H66" s="9" t="str">
        <v>RF-01M-0396</v>
      </c>
      <c r="I66" s="11" t="str">
        <v>RF-01M-0396]FRAME PIPE ALIGN</v>
      </c>
      <c r="J66" s="9">
        <v>3</v>
      </c>
      <c r="K66" s="9" t="str">
        <v/>
      </c>
      <c r="L66" s="9" t="str">
        <v>3C10</v>
      </c>
      <c r="M66" s="12">
        <v>46301</v>
      </c>
      <c r="N66" s="5" t="str">
        <v/>
      </c>
      <c r="O66" s="5" t="str">
        <v/>
      </c>
      <c r="P66" s="5" t="str">
        <v/>
      </c>
      <c r="Q66" s="14" t="str">
        <v/>
      </c>
      <c r="R66" s="15">
        <v>3</v>
      </c>
    </row>
    <row r="67" spans="2:18" x14ac:dyDescent="0.35">
      <c r="B67" s="9">
        <v>308</v>
      </c>
      <c r="C67" s="9" t="str">
        <v>가용재고</v>
      </c>
      <c r="D67" s="9" t="str">
        <v/>
      </c>
      <c r="E67" s="9" t="str">
        <v/>
      </c>
      <c r="F67" s="9" t="str">
        <v/>
      </c>
      <c r="G67" s="9" t="str">
        <v/>
      </c>
      <c r="H67" s="9" t="str">
        <v>RA-08M-2679</v>
      </c>
      <c r="I67" s="11" t="str">
        <v>RA-08M-2679]SHAFT CEPH AXIS BODY (VW)</v>
      </c>
      <c r="J67" s="9">
        <v>4</v>
      </c>
      <c r="K67" s="9" t="str">
        <v/>
      </c>
      <c r="L67" s="9" t="str">
        <v>E1-2</v>
      </c>
      <c r="M67" s="12">
        <v>46233</v>
      </c>
      <c r="N67" s="5" t="str">
        <v/>
      </c>
      <c r="O67" s="5" t="str">
        <v/>
      </c>
      <c r="P67" s="5" t="str">
        <v/>
      </c>
      <c r="Q67" s="14" t="str">
        <v/>
      </c>
      <c r="R67" s="15">
        <v>4</v>
      </c>
    </row>
    <row r="68" spans="2:18" x14ac:dyDescent="0.35">
      <c r="B68" s="9">
        <v>309</v>
      </c>
      <c r="C68" s="9" t="str">
        <v>가용재고</v>
      </c>
      <c r="D68" s="9" t="str">
        <v/>
      </c>
      <c r="E68" s="9" t="str">
        <v/>
      </c>
      <c r="F68" s="9" t="str">
        <v/>
      </c>
      <c r="G68" s="9" t="str">
        <v/>
      </c>
      <c r="H68" s="9" t="str">
        <v>RA-08M-2705</v>
      </c>
      <c r="I68" s="11" t="str">
        <v>RA-08M-2705]BLK CEPH AXIS BODY TOP (VW)</v>
      </c>
      <c r="J68" s="9">
        <v>4</v>
      </c>
      <c r="K68" s="9" t="str">
        <v/>
      </c>
      <c r="L68" s="9" t="str">
        <v>E1-2</v>
      </c>
      <c r="M68" s="12">
        <v>46233</v>
      </c>
      <c r="N68" s="5" t="str">
        <v/>
      </c>
      <c r="O68" s="5" t="str">
        <v/>
      </c>
      <c r="P68" s="5" t="str">
        <v/>
      </c>
      <c r="Q68" s="14" t="str">
        <v/>
      </c>
      <c r="R68" s="15">
        <v>4</v>
      </c>
    </row>
    <row r="69" spans="2:18" x14ac:dyDescent="0.35">
      <c r="B69" s="9">
        <v>310</v>
      </c>
      <c r="C69" s="9" t="str">
        <v>가용재고</v>
      </c>
      <c r="D69" s="9" t="str">
        <v/>
      </c>
      <c r="E69" s="9" t="str">
        <v/>
      </c>
      <c r="F69" s="9" t="str">
        <v/>
      </c>
      <c r="G69" s="9" t="str">
        <v/>
      </c>
      <c r="H69" s="9" t="str">
        <v>RA-08M-2707</v>
      </c>
      <c r="I69" s="11" t="str">
        <v>RA-08M-2707]BLK CEPH AXIS BODY REAR (VW)</v>
      </c>
      <c r="J69" s="9">
        <v>4</v>
      </c>
      <c r="K69" s="9" t="str">
        <v/>
      </c>
      <c r="L69" s="9" t="str">
        <v>E1-2</v>
      </c>
      <c r="M69" s="12">
        <v>46233</v>
      </c>
      <c r="N69" s="5" t="str">
        <v/>
      </c>
      <c r="O69" s="5" t="str">
        <v/>
      </c>
      <c r="P69" s="5" t="str">
        <v/>
      </c>
      <c r="Q69" s="14" t="str">
        <v/>
      </c>
      <c r="R69" s="15">
        <v>4</v>
      </c>
    </row>
    <row r="70" spans="2:18" x14ac:dyDescent="0.35">
      <c r="B70" s="9">
        <v>477</v>
      </c>
      <c r="C70" s="9" t="str">
        <v>가용재고</v>
      </c>
      <c r="D70" s="9" t="str">
        <v/>
      </c>
      <c r="E70" s="9" t="str">
        <v/>
      </c>
      <c r="F70" s="9" t="str">
        <v/>
      </c>
      <c r="G70" s="9" t="str">
        <v/>
      </c>
      <c r="H70" s="9" t="str">
        <v>RF-01V-0209</v>
      </c>
      <c r="I70" s="11" t="str">
        <v>RF-01V-0209]FRONT BRK TOP</v>
      </c>
      <c r="J70" s="9">
        <v>5</v>
      </c>
      <c r="K70" s="9" t="str">
        <v/>
      </c>
      <c r="L70" s="9" t="str">
        <v>3L4-5</v>
      </c>
      <c r="M70" s="12">
        <v>46259</v>
      </c>
      <c r="N70" s="5" t="str">
        <v/>
      </c>
      <c r="O70" s="5" t="str">
        <v/>
      </c>
      <c r="P70" s="5" t="str">
        <v/>
      </c>
      <c r="Q70" s="14" t="str">
        <v/>
      </c>
      <c r="R70" s="15">
        <v>5</v>
      </c>
    </row>
    <row r="71" spans="2:18" x14ac:dyDescent="0.35">
      <c r="B71" s="9">
        <v>888</v>
      </c>
      <c r="C71" s="9" t="str">
        <v>가용재고</v>
      </c>
      <c r="D71" s="9" t="str">
        <v/>
      </c>
      <c r="E71" s="9" t="str">
        <v>기초</v>
      </c>
      <c r="F71" s="9" t="str">
        <v/>
      </c>
      <c r="G71" s="9" t="str">
        <v/>
      </c>
      <c r="H71" s="9" t="str">
        <v>RA-02V-3848</v>
      </c>
      <c r="I71" s="11" t="str">
        <v>RA-02V-3848]CVR VERT UPPER BACK (MG)</v>
      </c>
      <c r="J71" s="9">
        <v>5</v>
      </c>
      <c r="K71" s="9" t="str">
        <v/>
      </c>
      <c r="L71" s="9" t="str">
        <v>N2-3</v>
      </c>
      <c r="M71" s="12">
        <v>46276</v>
      </c>
      <c r="N71" s="5" t="str">
        <v/>
      </c>
      <c r="O71" s="5" t="str">
        <v/>
      </c>
      <c r="P71" s="5" t="str">
        <v/>
      </c>
      <c r="Q71" s="14" t="str">
        <v/>
      </c>
      <c r="R71" s="15">
        <v>5</v>
      </c>
    </row>
    <row r="72" spans="2:18" x14ac:dyDescent="0.35">
      <c r="B72" s="9">
        <v>889</v>
      </c>
      <c r="C72" s="9" t="str">
        <v>가용재고</v>
      </c>
      <c r="D72" s="9" t="str">
        <v/>
      </c>
      <c r="E72" s="9" t="str">
        <v>기초</v>
      </c>
      <c r="F72" s="9" t="str">
        <v/>
      </c>
      <c r="G72" s="9" t="str">
        <v/>
      </c>
      <c r="H72" s="9" t="str">
        <v>RA-03V-3861</v>
      </c>
      <c r="I72" s="11" t="str">
        <v>RA-03V-3861]BRK CLMN FRONT FIX R (MG)</v>
      </c>
      <c r="J72" s="9">
        <v>5</v>
      </c>
      <c r="K72" s="9" t="str">
        <v/>
      </c>
      <c r="L72" s="9" t="str">
        <v>N3-3</v>
      </c>
      <c r="M72" s="12">
        <v>46276</v>
      </c>
      <c r="N72" s="5" t="str">
        <v/>
      </c>
      <c r="O72" s="5" t="str">
        <v/>
      </c>
      <c r="P72" s="5" t="str">
        <v/>
      </c>
      <c r="Q72" s="14" t="str">
        <v/>
      </c>
      <c r="R72" s="15">
        <v>5</v>
      </c>
    </row>
    <row r="73" spans="2:18" x14ac:dyDescent="0.35">
      <c r="B73" s="9">
        <v>890</v>
      </c>
      <c r="C73" s="9" t="str">
        <v>가용재고</v>
      </c>
      <c r="D73" s="9" t="str">
        <v/>
      </c>
      <c r="E73" s="9" t="str">
        <v>기초</v>
      </c>
      <c r="F73" s="9" t="str">
        <v/>
      </c>
      <c r="G73" s="9" t="str">
        <v/>
      </c>
      <c r="H73" s="9" t="str">
        <v>RA-06S-6059</v>
      </c>
      <c r="I73" s="11" t="str">
        <v>RA-06S-6059]CAM</v>
      </c>
      <c r="J73" s="9">
        <v>5</v>
      </c>
      <c r="K73" s="9" t="str">
        <v/>
      </c>
      <c r="L73" s="9" t="str">
        <v>H2-1</v>
      </c>
      <c r="M73" s="12">
        <v>46276</v>
      </c>
      <c r="N73" s="5" t="str">
        <v/>
      </c>
      <c r="O73" s="5" t="str">
        <v/>
      </c>
      <c r="P73" s="5" t="str">
        <v/>
      </c>
      <c r="Q73" s="14" t="str">
        <v/>
      </c>
      <c r="R73" s="15">
        <v>5</v>
      </c>
    </row>
    <row r="74" spans="2:18" x14ac:dyDescent="0.35">
      <c r="B74" s="9">
        <v>1710</v>
      </c>
      <c r="C74" s="9" t="str">
        <v>가용재고</v>
      </c>
      <c r="D74" s="9" t="str">
        <v/>
      </c>
      <c r="E74" s="9" t="str">
        <v/>
      </c>
      <c r="F74" s="9" t="str">
        <v/>
      </c>
      <c r="G74" s="9" t="str">
        <v/>
      </c>
      <c r="H74" s="9" t="str">
        <v>RE-04T-0439</v>
      </c>
      <c r="I74" s="11" t="str">
        <v>RE-04T-0439]CAS HEADREST KNOB</v>
      </c>
      <c r="J74" s="9">
        <v>5</v>
      </c>
      <c r="K74" s="9" t="str">
        <v/>
      </c>
      <c r="L74" s="9" t="str">
        <v>3L14-2</v>
      </c>
      <c r="M74" s="12">
        <v>46288</v>
      </c>
      <c r="N74" s="5" t="str">
        <v/>
      </c>
      <c r="O74" s="5" t="str">
        <v/>
      </c>
      <c r="P74" s="5" t="str">
        <v/>
      </c>
      <c r="Q74" s="14" t="str">
        <v/>
      </c>
      <c r="R74" s="15">
        <v>5</v>
      </c>
    </row>
    <row r="75" spans="2:18" x14ac:dyDescent="0.35">
      <c r="B75" s="9">
        <v>239</v>
      </c>
      <c r="C75" s="9" t="str">
        <v>가용재고</v>
      </c>
      <c r="D75" s="9" t="str">
        <v/>
      </c>
      <c r="E75" s="9" t="str">
        <v/>
      </c>
      <c r="F75" s="9" t="str">
        <v/>
      </c>
      <c r="G75" s="9" t="str">
        <v/>
      </c>
      <c r="H75" s="9" t="str">
        <v>RA-08M-2706</v>
      </c>
      <c r="I75" s="11" t="str">
        <v>RA-08M-2706]BLK CEPH AXIS BODY FRONT(VW</v>
      </c>
      <c r="J75" s="9">
        <v>6</v>
      </c>
      <c r="K75" s="9" t="str">
        <v/>
      </c>
      <c r="L75" s="9" t="str">
        <v>E1-2</v>
      </c>
      <c r="M75" s="12">
        <v>46232</v>
      </c>
      <c r="N75" s="5" t="str">
        <v/>
      </c>
      <c r="O75" s="5" t="str">
        <v/>
      </c>
      <c r="P75" s="5" t="str">
        <v/>
      </c>
      <c r="Q75" s="14" t="str">
        <v/>
      </c>
      <c r="R75" s="15">
        <v>6</v>
      </c>
    </row>
    <row r="76" spans="2:18" x14ac:dyDescent="0.35">
      <c r="B76" s="9">
        <v>240</v>
      </c>
      <c r="C76" s="9" t="str">
        <v>가용재고</v>
      </c>
      <c r="D76" s="9" t="str">
        <v/>
      </c>
      <c r="E76" s="9" t="str">
        <v/>
      </c>
      <c r="F76" s="9" t="str">
        <v/>
      </c>
      <c r="G76" s="9" t="str">
        <v/>
      </c>
      <c r="H76" s="9" t="str">
        <v>RA-08M-2708</v>
      </c>
      <c r="I76" s="11" t="str">
        <v>RA-08M-2708]SHAFT CEPH AXIS BODY (VW)</v>
      </c>
      <c r="J76" s="9">
        <v>6</v>
      </c>
      <c r="K76" s="9" t="str">
        <v/>
      </c>
      <c r="L76" s="9" t="str">
        <v>E1-2</v>
      </c>
      <c r="M76" s="12">
        <v>46232</v>
      </c>
      <c r="N76" s="5" t="str">
        <v/>
      </c>
      <c r="O76" s="5" t="str">
        <v/>
      </c>
      <c r="P76" s="5" t="str">
        <v/>
      </c>
      <c r="Q76" s="14" t="str">
        <v/>
      </c>
      <c r="R76" s="15">
        <v>6</v>
      </c>
    </row>
    <row r="77" spans="2:18" x14ac:dyDescent="0.35">
      <c r="B77" s="9">
        <v>891</v>
      </c>
      <c r="C77" s="9" t="str">
        <v>가용재고</v>
      </c>
      <c r="D77" s="9" t="str">
        <v/>
      </c>
      <c r="E77" s="9" t="str">
        <v>기초</v>
      </c>
      <c r="F77" s="9" t="str">
        <v/>
      </c>
      <c r="G77" s="9" t="str">
        <v/>
      </c>
      <c r="H77" s="9" t="str">
        <v>RA-09A-2725</v>
      </c>
      <c r="I77" s="11" t="str">
        <v>RA-09A-2725]ASM CT HEADREST (A+)</v>
      </c>
      <c r="J77" s="9">
        <v>6</v>
      </c>
      <c r="K77" s="9" t="str">
        <v/>
      </c>
      <c r="L77" s="9" t="str">
        <v>N6</v>
      </c>
      <c r="M77" s="12">
        <v>46276</v>
      </c>
      <c r="N77" s="5" t="str">
        <v/>
      </c>
      <c r="O77" s="5" t="str">
        <v/>
      </c>
      <c r="P77" s="5" t="str">
        <v/>
      </c>
      <c r="Q77" s="14" t="str">
        <v/>
      </c>
      <c r="R77" s="15">
        <v>6</v>
      </c>
    </row>
    <row r="78" spans="2:18" x14ac:dyDescent="0.35">
      <c r="B78" s="9">
        <v>1311</v>
      </c>
      <c r="C78" s="9" t="str">
        <v>가용재고</v>
      </c>
      <c r="D78" s="9" t="str">
        <v/>
      </c>
      <c r="E78" s="9" t="str">
        <v/>
      </c>
      <c r="F78" s="9" t="str">
        <v/>
      </c>
      <c r="G78" s="9" t="str">
        <v/>
      </c>
      <c r="H78" s="9" t="str">
        <v>RF-01S-5087</v>
      </c>
      <c r="I78" s="11" t="str">
        <v>RF-01S-5087]CAM Cable_Face</v>
      </c>
      <c r="J78" s="9">
        <v>6</v>
      </c>
      <c r="K78" s="9" t="str">
        <v/>
      </c>
      <c r="L78" s="9" t="str">
        <v>3F1</v>
      </c>
      <c r="M78" s="12">
        <v>46287</v>
      </c>
      <c r="N78" s="5" t="str">
        <v/>
      </c>
      <c r="O78" s="5" t="str">
        <v/>
      </c>
      <c r="P78" s="5" t="str">
        <v/>
      </c>
      <c r="Q78" s="14" t="str">
        <v/>
      </c>
      <c r="R78" s="15">
        <v>6</v>
      </c>
    </row>
    <row r="79" spans="2:18" x14ac:dyDescent="0.35">
      <c r="B79" s="9">
        <v>1313</v>
      </c>
      <c r="C79" s="9" t="str">
        <v>가용재고</v>
      </c>
      <c r="D79" s="9" t="str">
        <v/>
      </c>
      <c r="E79" s="9" t="str">
        <v/>
      </c>
      <c r="F79" s="9" t="str">
        <v/>
      </c>
      <c r="G79" s="9" t="str">
        <v/>
      </c>
      <c r="H79" s="9" t="str">
        <v>RF-01B-5040</v>
      </c>
      <c r="I79" s="11" t="str">
        <v>RF-01B-5040]MAIN Bd</v>
      </c>
      <c r="J79" s="9">
        <v>6</v>
      </c>
      <c r="K79" s="9" t="str">
        <v/>
      </c>
      <c r="L79" s="9" t="str">
        <v>A5-4</v>
      </c>
      <c r="M79" s="12">
        <v>46287</v>
      </c>
      <c r="N79" s="5" t="str">
        <v/>
      </c>
      <c r="O79" s="5" t="str">
        <v/>
      </c>
      <c r="P79" s="5" t="str">
        <v/>
      </c>
      <c r="Q79" s="14" t="str">
        <v/>
      </c>
      <c r="R79" s="15">
        <v>6</v>
      </c>
    </row>
    <row r="80" spans="2:18" x14ac:dyDescent="0.35">
      <c r="B80" s="9">
        <v>1510</v>
      </c>
      <c r="C80" s="9" t="str">
        <v>가용재고</v>
      </c>
      <c r="D80" s="9" t="str">
        <v/>
      </c>
      <c r="E80" s="9" t="str">
        <v/>
      </c>
      <c r="F80" s="9" t="str">
        <v/>
      </c>
      <c r="G80" s="9" t="str">
        <v/>
      </c>
      <c r="H80" s="9" t="str">
        <v>RA-15-11</v>
      </c>
      <c r="I80" s="11" t="str">
        <v>RA-15-11]Fcol MOT Cable B</v>
      </c>
      <c r="J80" s="9">
        <v>6</v>
      </c>
      <c r="K80" s="9" t="str">
        <v/>
      </c>
      <c r="L80" s="9" t="str">
        <v>G3-7</v>
      </c>
      <c r="M80" s="12">
        <v>46282</v>
      </c>
      <c r="N80" s="5" t="str">
        <v/>
      </c>
      <c r="O80" s="5" t="str">
        <v/>
      </c>
      <c r="P80" s="5" t="str">
        <v/>
      </c>
      <c r="Q80" s="14" t="str">
        <v/>
      </c>
      <c r="R80" s="15">
        <v>6</v>
      </c>
    </row>
    <row r="81" spans="2:18" x14ac:dyDescent="0.35">
      <c r="B81" s="9">
        <v>2070</v>
      </c>
      <c r="C81" s="9" t="str">
        <v>가용재고</v>
      </c>
      <c r="D81" s="9" t="str">
        <v/>
      </c>
      <c r="E81" s="9" t="str">
        <v>입고</v>
      </c>
      <c r="F81" s="9" t="str">
        <v>Bach tung</v>
      </c>
      <c r="G81" s="9" t="str">
        <v>유영국</v>
      </c>
      <c r="H81" s="9" t="str">
        <v>RA-06A-2760</v>
      </c>
      <c r="I81" s="11" t="str">
        <v>RA-06A-2760]ASM COL MOVING (ST) (VN)</v>
      </c>
      <c r="J81" s="9">
        <v>6</v>
      </c>
      <c r="K81" s="9" t="str">
        <v/>
      </c>
      <c r="L81" s="9" t="str">
        <v>U</v>
      </c>
      <c r="M81" s="12">
        <v>46301</v>
      </c>
      <c r="N81" s="5" t="str">
        <v/>
      </c>
      <c r="O81" s="5" t="str">
        <v/>
      </c>
      <c r="P81" s="5" t="str">
        <v/>
      </c>
      <c r="Q81" s="14" t="str">
        <v/>
      </c>
      <c r="R81" s="15">
        <v>6</v>
      </c>
    </row>
    <row r="82" spans="2:18" x14ac:dyDescent="0.35">
      <c r="B82" s="9">
        <v>258</v>
      </c>
      <c r="C82" s="9" t="str">
        <v>가용재고</v>
      </c>
      <c r="D82" s="9" t="str">
        <v/>
      </c>
      <c r="E82" s="9" t="str">
        <v/>
      </c>
      <c r="F82" s="9" t="str">
        <v/>
      </c>
      <c r="G82" s="9" t="str">
        <v/>
      </c>
      <c r="H82" s="9" t="str">
        <v>RA-08V-2680</v>
      </c>
      <c r="I82" s="11" t="str">
        <v>RA-08V-2680]TILT ARM HINGE (VW)</v>
      </c>
      <c r="J82" s="9">
        <v>7</v>
      </c>
      <c r="K82" s="9" t="str">
        <v/>
      </c>
      <c r="L82" s="9" t="str">
        <v>E1-5</v>
      </c>
      <c r="M82" s="12">
        <v>46232</v>
      </c>
      <c r="N82" s="5" t="str">
        <v/>
      </c>
      <c r="O82" s="5" t="str">
        <v/>
      </c>
      <c r="P82" s="5" t="str">
        <v/>
      </c>
      <c r="Q82" s="14" t="str">
        <v/>
      </c>
      <c r="R82" s="15">
        <v>7</v>
      </c>
    </row>
    <row r="83" spans="2:18" x14ac:dyDescent="0.35">
      <c r="B83" s="9">
        <v>291</v>
      </c>
      <c r="C83" s="9" t="str">
        <v>가용재고</v>
      </c>
      <c r="D83" s="9" t="str">
        <v/>
      </c>
      <c r="E83" s="9" t="str">
        <v/>
      </c>
      <c r="F83" s="9" t="str">
        <v/>
      </c>
      <c r="G83" s="9" t="str">
        <v/>
      </c>
      <c r="H83" s="9" t="str">
        <v>RA-08M-2670</v>
      </c>
      <c r="I83" s="11" t="str">
        <v>RA-08M-2670]ARM CEPH BODY (VW)</v>
      </c>
      <c r="J83" s="9">
        <v>7</v>
      </c>
      <c r="K83" s="9" t="str">
        <v/>
      </c>
      <c r="L83" s="9" t="str">
        <v>E4-4</v>
      </c>
      <c r="M83" s="12">
        <v>46232</v>
      </c>
      <c r="N83" s="5" t="str">
        <v/>
      </c>
      <c r="O83" s="5" t="str">
        <v/>
      </c>
      <c r="P83" s="5" t="str">
        <v/>
      </c>
      <c r="Q83" s="14" t="str">
        <v/>
      </c>
      <c r="R83" s="15">
        <v>7</v>
      </c>
    </row>
    <row r="84" spans="2:18" x14ac:dyDescent="0.35">
      <c r="B84" s="9">
        <v>2441</v>
      </c>
      <c r="C84" s="9" t="str">
        <v>가용재고</v>
      </c>
      <c r="D84" s="9" t="str">
        <v/>
      </c>
      <c r="E84" s="9" t="str">
        <v/>
      </c>
      <c r="F84" s="9" t="str">
        <v/>
      </c>
      <c r="G84" s="9" t="str">
        <v/>
      </c>
      <c r="H84" s="9" t="str">
        <v>RA-06A-2761</v>
      </c>
      <c r="I84" s="11" t="str">
        <v>RA-06A-2761]ASM COL MOVING (A+) (VN)</v>
      </c>
      <c r="J84" s="9">
        <v>7</v>
      </c>
      <c r="K84" s="9" t="str">
        <v/>
      </c>
      <c r="L84" s="9" t="str">
        <v>U</v>
      </c>
      <c r="M84" s="12">
        <v>46301</v>
      </c>
      <c r="N84" s="5" t="str">
        <v/>
      </c>
      <c r="O84" s="5" t="str">
        <v/>
      </c>
      <c r="P84" s="5" t="str">
        <v/>
      </c>
      <c r="Q84" s="14" t="str">
        <v/>
      </c>
      <c r="R84" s="15">
        <v>7</v>
      </c>
    </row>
    <row r="85" spans="2:18" x14ac:dyDescent="0.35">
      <c r="B85" s="9">
        <v>275</v>
      </c>
      <c r="C85" s="9" t="str">
        <v>가용재고</v>
      </c>
      <c r="D85" s="9" t="str">
        <v/>
      </c>
      <c r="E85" s="9" t="str">
        <v/>
      </c>
      <c r="F85" s="9" t="str">
        <v/>
      </c>
      <c r="G85" s="9" t="str">
        <v/>
      </c>
      <c r="H85" s="9" t="str">
        <v>RA-08A-0744</v>
      </c>
      <c r="I85" s="11" t="str">
        <v/>
      </c>
      <c r="J85" s="9">
        <v>8</v>
      </c>
      <c r="K85" s="9" t="str">
        <v/>
      </c>
      <c r="L85" s="9" t="str">
        <v/>
      </c>
      <c r="M85" s="12">
        <v>46232</v>
      </c>
      <c r="N85" s="5" t="str">
        <v/>
      </c>
      <c r="O85" s="5" t="str">
        <v/>
      </c>
      <c r="P85" s="5" t="str">
        <v/>
      </c>
      <c r="Q85" s="14" t="str">
        <v/>
      </c>
      <c r="R85" s="15">
        <v>8</v>
      </c>
    </row>
    <row r="86" spans="2:18" x14ac:dyDescent="0.35">
      <c r="B86" s="9">
        <v>276</v>
      </c>
      <c r="C86" s="9" t="str">
        <v>가용재고</v>
      </c>
      <c r="D86" s="9" t="str">
        <v/>
      </c>
      <c r="E86" s="9" t="str">
        <v/>
      </c>
      <c r="F86" s="9" t="str">
        <v/>
      </c>
      <c r="G86" s="9" t="str">
        <v/>
      </c>
      <c r="H86" s="9" t="str">
        <v>RA-08A-0745</v>
      </c>
      <c r="I86" s="11" t="str">
        <v>RA-08A-0745]ASM OC EARLOD L</v>
      </c>
      <c r="J86" s="9">
        <v>8</v>
      </c>
      <c r="K86" s="9" t="str">
        <v/>
      </c>
      <c r="L86" s="9" t="str">
        <v>E1-6</v>
      </c>
      <c r="M86" s="12">
        <v>46232</v>
      </c>
      <c r="N86" s="5" t="str">
        <v/>
      </c>
      <c r="O86" s="5" t="str">
        <v/>
      </c>
      <c r="P86" s="5" t="str">
        <v/>
      </c>
      <c r="Q86" s="14" t="str">
        <v/>
      </c>
      <c r="R86" s="15">
        <v>8</v>
      </c>
    </row>
    <row r="87" spans="2:18" x14ac:dyDescent="0.35">
      <c r="B87" s="9">
        <v>1215</v>
      </c>
      <c r="C87" s="9" t="str">
        <v>가용재고</v>
      </c>
      <c r="D87" s="9" t="str">
        <v/>
      </c>
      <c r="E87" s="9" t="str">
        <v>반납</v>
      </c>
      <c r="F87" s="9" t="str">
        <v/>
      </c>
      <c r="G87" s="9" t="str">
        <v/>
      </c>
      <c r="H87" s="9" t="str">
        <v>RF-20A-0357</v>
      </c>
      <c r="I87" s="11" t="str">
        <v>MODULE BASE BOTTOM FRAME</v>
      </c>
      <c r="J87" s="9">
        <v>8</v>
      </c>
      <c r="K87" s="9" t="str">
        <v/>
      </c>
      <c r="L87" s="9" t="str">
        <v>3F3</v>
      </c>
      <c r="M87" s="12">
        <v>46287</v>
      </c>
      <c r="N87" s="5" t="str">
        <v/>
      </c>
      <c r="O87" s="5" t="str">
        <v/>
      </c>
      <c r="P87" s="5" t="str">
        <v/>
      </c>
      <c r="Q87" s="14" t="str">
        <v/>
      </c>
      <c r="R87" s="15">
        <v>8</v>
      </c>
    </row>
    <row r="88" spans="2:18" x14ac:dyDescent="0.35">
      <c r="B88" s="9">
        <v>1222</v>
      </c>
      <c r="C88" s="9" t="str">
        <v>가용재고</v>
      </c>
      <c r="D88" s="9" t="str">
        <v/>
      </c>
      <c r="E88" s="9" t="str">
        <v>반납</v>
      </c>
      <c r="F88" s="9" t="str">
        <v/>
      </c>
      <c r="G88" s="9" t="str">
        <v/>
      </c>
      <c r="H88" s="9" t="str">
        <v>RF-01B-5073</v>
      </c>
      <c r="I88" s="11" t="str">
        <v>RF-01B-5073]DMD FPC Cable</v>
      </c>
      <c r="J88" s="9">
        <v>8</v>
      </c>
      <c r="K88" s="9" t="str">
        <v/>
      </c>
      <c r="L88" s="9" t="str">
        <v>A5-3</v>
      </c>
      <c r="M88" s="12">
        <v>46287</v>
      </c>
      <c r="N88" s="5" t="str">
        <v/>
      </c>
      <c r="O88" s="5" t="str">
        <v/>
      </c>
      <c r="P88" s="5" t="str">
        <v/>
      </c>
      <c r="Q88" s="14" t="str">
        <v/>
      </c>
      <c r="R88" s="15">
        <v>8</v>
      </c>
    </row>
    <row r="89" spans="2:18" x14ac:dyDescent="0.35">
      <c r="B89" s="9">
        <v>1366</v>
      </c>
      <c r="C89" s="9" t="str">
        <v>가용재고</v>
      </c>
      <c r="D89" s="9" t="str">
        <v/>
      </c>
      <c r="E89" s="9" t="str">
        <v/>
      </c>
      <c r="F89" s="9" t="str">
        <v/>
      </c>
      <c r="G89" s="9" t="str">
        <v/>
      </c>
      <c r="H89" s="9" t="str">
        <v>RE-02T-0243</v>
      </c>
      <c r="I89" s="11" t="str">
        <v>RE-02T-0243]CAS VERT BOT R</v>
      </c>
      <c r="J89" s="9">
        <v>8</v>
      </c>
      <c r="K89" s="9" t="str">
        <v/>
      </c>
      <c r="L89" s="9" t="str">
        <v>3A-14</v>
      </c>
      <c r="M89" s="12">
        <v>46287</v>
      </c>
      <c r="N89" s="5" t="str">
        <v/>
      </c>
      <c r="O89" s="5" t="str">
        <v/>
      </c>
      <c r="P89" s="5" t="str">
        <v/>
      </c>
      <c r="Q89" s="14" t="str">
        <v/>
      </c>
      <c r="R89" s="15">
        <v>8</v>
      </c>
    </row>
    <row r="90" spans="2:18" x14ac:dyDescent="0.35">
      <c r="B90" s="9">
        <v>2273</v>
      </c>
      <c r="C90" s="9" t="str">
        <v>가용재고</v>
      </c>
      <c r="D90" s="9" t="str">
        <v/>
      </c>
      <c r="E90" s="9" t="str">
        <v/>
      </c>
      <c r="F90" s="9" t="str">
        <v/>
      </c>
      <c r="G90" s="9" t="str">
        <v/>
      </c>
      <c r="H90" s="9" t="str">
        <v>RF-01H-5054</v>
      </c>
      <c r="I90" s="11" t="str">
        <v>RF-01H-5054]DLP Power harness</v>
      </c>
      <c r="J90" s="9">
        <v>8</v>
      </c>
      <c r="K90" s="9" t="str">
        <v/>
      </c>
      <c r="L90" s="9" t="str">
        <v>3S3-4</v>
      </c>
      <c r="M90" s="12">
        <v>46301</v>
      </c>
      <c r="N90" s="5" t="str">
        <v/>
      </c>
      <c r="O90" s="5" t="str">
        <v/>
      </c>
      <c r="P90" s="5" t="str">
        <v/>
      </c>
      <c r="Q90" s="14" t="str">
        <v/>
      </c>
      <c r="R90" s="15">
        <v>8</v>
      </c>
    </row>
    <row r="91" spans="2:18" x14ac:dyDescent="0.35">
      <c r="B91" s="9">
        <v>2296</v>
      </c>
      <c r="C91" s="9" t="str">
        <v>가용재고</v>
      </c>
      <c r="D91" s="9" t="str">
        <v/>
      </c>
      <c r="E91" s="9" t="str">
        <v/>
      </c>
      <c r="F91" s="9" t="str">
        <v/>
      </c>
      <c r="G91" s="9" t="str">
        <v/>
      </c>
      <c r="H91" s="9" t="str">
        <v>RE-06A-0601</v>
      </c>
      <c r="I91" s="11" t="str">
        <v>RE-06A-0601]ASM COLLIMATOR MODULE</v>
      </c>
      <c r="J91" s="9">
        <v>8</v>
      </c>
      <c r="K91" s="9" t="str">
        <v/>
      </c>
      <c r="L91" s="9" t="str">
        <v>K8</v>
      </c>
      <c r="M91" s="12">
        <v>46303</v>
      </c>
      <c r="N91" s="5" t="str">
        <v/>
      </c>
      <c r="O91" s="5" t="str">
        <v/>
      </c>
      <c r="P91" s="5" t="str">
        <v/>
      </c>
      <c r="Q91" s="14" t="str">
        <v/>
      </c>
      <c r="R91" s="15">
        <v>8</v>
      </c>
    </row>
    <row r="92" spans="2:18" x14ac:dyDescent="0.35">
      <c r="B92" s="9">
        <v>2348</v>
      </c>
      <c r="C92" s="9" t="str">
        <v>가용재고</v>
      </c>
      <c r="D92" s="9" t="str">
        <v/>
      </c>
      <c r="E92" s="9" t="str">
        <v/>
      </c>
      <c r="F92" s="9" t="str">
        <v/>
      </c>
      <c r="G92" s="9" t="str">
        <v/>
      </c>
      <c r="H92" s="9" t="str">
        <v>RF-01S-5097</v>
      </c>
      <c r="I92" s="11" t="str">
        <v/>
      </c>
      <c r="J92" s="9">
        <v>8</v>
      </c>
      <c r="K92" s="9" t="str">
        <v/>
      </c>
      <c r="L92" s="9" t="str">
        <v>3F2</v>
      </c>
      <c r="M92" s="12">
        <v>46301</v>
      </c>
      <c r="N92" s="5" t="str">
        <v/>
      </c>
      <c r="O92" s="5" t="str">
        <v/>
      </c>
      <c r="P92" s="5" t="str">
        <v/>
      </c>
      <c r="Q92" s="14" t="str">
        <v/>
      </c>
      <c r="R92" s="15">
        <v>8</v>
      </c>
    </row>
    <row r="93" spans="2:18" x14ac:dyDescent="0.35">
      <c r="B93" s="9">
        <v>2424</v>
      </c>
      <c r="C93" s="9" t="str">
        <v>가용재고</v>
      </c>
      <c r="D93" s="9" t="str">
        <v/>
      </c>
      <c r="E93" s="9" t="str">
        <v/>
      </c>
      <c r="F93" s="9" t="str">
        <v/>
      </c>
      <c r="G93" s="9" t="str">
        <v/>
      </c>
      <c r="H93" s="9" t="str">
        <v>RA-06M-0520</v>
      </c>
      <c r="I93" s="11" t="str">
        <v>RA-06M-0520]HEATSINK</v>
      </c>
      <c r="J93" s="9">
        <v>8</v>
      </c>
      <c r="K93" s="9" t="str">
        <v/>
      </c>
      <c r="L93" s="9" t="str">
        <v>M1</v>
      </c>
      <c r="M93" s="12">
        <v>46301</v>
      </c>
      <c r="N93" s="5" t="str">
        <v/>
      </c>
      <c r="O93" s="5" t="str">
        <v/>
      </c>
      <c r="P93" s="5" t="str">
        <v/>
      </c>
      <c r="Q93" s="14" t="str">
        <v/>
      </c>
      <c r="R93" s="15">
        <v>8</v>
      </c>
    </row>
    <row r="94" spans="2:18" x14ac:dyDescent="0.35">
      <c r="B94" s="9">
        <v>470</v>
      </c>
      <c r="C94" s="9" t="str">
        <v>가용재고</v>
      </c>
      <c r="D94" s="9" t="str">
        <v/>
      </c>
      <c r="E94" s="9" t="str">
        <v/>
      </c>
      <c r="F94" s="9" t="str">
        <v/>
      </c>
      <c r="G94" s="9" t="str">
        <v/>
      </c>
      <c r="H94" s="9" t="str">
        <v>RF-01H-5052</v>
      </c>
      <c r="I94" s="11" t="str">
        <v>RF-01H-5052]USB TO SBC HARNESS</v>
      </c>
      <c r="J94" s="9">
        <v>9</v>
      </c>
      <c r="K94" s="9" t="str">
        <v/>
      </c>
      <c r="L94" s="9" t="str">
        <v>3S3-4</v>
      </c>
      <c r="M94" s="12">
        <v>46259</v>
      </c>
      <c r="N94" s="5" t="str">
        <v/>
      </c>
      <c r="O94" s="5" t="str">
        <v/>
      </c>
      <c r="P94" s="5" t="str">
        <v/>
      </c>
      <c r="Q94" s="14" t="str">
        <v/>
      </c>
      <c r="R94" s="15">
        <v>9</v>
      </c>
    </row>
    <row r="95" spans="2:18" x14ac:dyDescent="0.35">
      <c r="B95" s="9">
        <v>471</v>
      </c>
      <c r="C95" s="9" t="str">
        <v>가용재고</v>
      </c>
      <c r="D95" s="9" t="str">
        <v/>
      </c>
      <c r="E95" s="9" t="str">
        <v/>
      </c>
      <c r="F95" s="9" t="str">
        <v/>
      </c>
      <c r="G95" s="9" t="str">
        <v/>
      </c>
      <c r="H95" s="9" t="str">
        <v>RF-01T-0356</v>
      </c>
      <c r="I95" s="11" t="str">
        <v>RF-01T-0356]RUBBER CAP ARM</v>
      </c>
      <c r="J95" s="9">
        <v>9</v>
      </c>
      <c r="K95" s="9" t="str">
        <v/>
      </c>
      <c r="L95" s="9" t="str">
        <v>3L4-2</v>
      </c>
      <c r="M95" s="12">
        <v>46259</v>
      </c>
      <c r="N95" s="5" t="str">
        <v/>
      </c>
      <c r="O95" s="5" t="str">
        <v/>
      </c>
      <c r="P95" s="5" t="str">
        <v/>
      </c>
      <c r="Q95" s="14" t="str">
        <v/>
      </c>
      <c r="R95" s="15">
        <v>9</v>
      </c>
    </row>
    <row r="96" spans="2:18" x14ac:dyDescent="0.35">
      <c r="B96" s="9">
        <v>1237</v>
      </c>
      <c r="C96" s="9" t="str">
        <v>가용재고</v>
      </c>
      <c r="D96" s="9" t="str">
        <v/>
      </c>
      <c r="E96" s="9" t="str">
        <v>반납</v>
      </c>
      <c r="F96" s="9" t="str">
        <v/>
      </c>
      <c r="G96" s="9" t="str">
        <v/>
      </c>
      <c r="H96" s="9" t="str">
        <v>RF-20A-0280</v>
      </c>
      <c r="I96" s="11" t="str">
        <v>RF-20A-0280]MODULE DLP MCU BRACKET</v>
      </c>
      <c r="J96" s="9">
        <v>9</v>
      </c>
      <c r="K96" s="9" t="str">
        <v/>
      </c>
      <c r="L96" s="9" t="str">
        <v>3F2</v>
      </c>
      <c r="M96" s="12">
        <v>46287</v>
      </c>
      <c r="N96" s="5" t="str">
        <v/>
      </c>
      <c r="O96" s="5" t="str">
        <v/>
      </c>
      <c r="P96" s="5" t="str">
        <v/>
      </c>
      <c r="Q96" s="14" t="str">
        <v/>
      </c>
      <c r="R96" s="15">
        <v>9</v>
      </c>
    </row>
    <row r="97" spans="2:18" x14ac:dyDescent="0.35">
      <c r="B97" s="9">
        <v>1316</v>
      </c>
      <c r="C97" s="9" t="str">
        <v>가용재고</v>
      </c>
      <c r="D97" s="9" t="str">
        <v/>
      </c>
      <c r="E97" s="9" t="str">
        <v/>
      </c>
      <c r="F97" s="9" t="str">
        <v/>
      </c>
      <c r="G97" s="9" t="str">
        <v/>
      </c>
      <c r="H97" s="9" t="str">
        <v>RF-10A-2086</v>
      </c>
      <c r="I97" s="11" t="str">
        <v>RF-10A-2086]ASM JETSON NANO</v>
      </c>
      <c r="J97" s="9">
        <v>9</v>
      </c>
      <c r="K97" s="9" t="str">
        <v/>
      </c>
      <c r="L97" s="9" t="str">
        <v>A6-3</v>
      </c>
      <c r="M97" s="12">
        <v>46287</v>
      </c>
      <c r="N97" s="5" t="str">
        <v/>
      </c>
      <c r="O97" s="5" t="str">
        <v/>
      </c>
      <c r="P97" s="5" t="str">
        <v/>
      </c>
      <c r="Q97" s="14" t="str">
        <v/>
      </c>
      <c r="R97" s="15">
        <v>9</v>
      </c>
    </row>
    <row r="98" spans="2:18" x14ac:dyDescent="0.35">
      <c r="B98" s="9">
        <v>1903</v>
      </c>
      <c r="C98" s="9" t="str">
        <v>가용재고</v>
      </c>
      <c r="D98" s="9" t="str">
        <v/>
      </c>
      <c r="E98" s="9" t="str">
        <v/>
      </c>
      <c r="F98" s="9" t="str">
        <v/>
      </c>
      <c r="G98" s="9" t="str">
        <v/>
      </c>
      <c r="H98" s="9" t="str">
        <v>RA-06M-3317</v>
      </c>
      <c r="I98" s="11" t="str">
        <v>RA-06M-3317]BLK COL FIX UPPER (ST)</v>
      </c>
      <c r="J98" s="9">
        <v>9</v>
      </c>
      <c r="K98" s="9" t="str">
        <v/>
      </c>
      <c r="L98" s="9" t="str">
        <v>H2-3</v>
      </c>
      <c r="M98" s="12">
        <v>46295</v>
      </c>
      <c r="N98" s="5" t="str">
        <v/>
      </c>
      <c r="O98" s="5" t="str">
        <v/>
      </c>
      <c r="P98" s="5" t="str">
        <v/>
      </c>
      <c r="Q98" s="14" t="str">
        <v/>
      </c>
      <c r="R98" s="15">
        <v>9</v>
      </c>
    </row>
    <row r="99" spans="2:18" x14ac:dyDescent="0.35">
      <c r="B99" s="9">
        <v>2261</v>
      </c>
      <c r="C99" s="9" t="str">
        <v>가용재고</v>
      </c>
      <c r="D99" s="9" t="str">
        <v/>
      </c>
      <c r="E99" s="9" t="str">
        <v/>
      </c>
      <c r="F99" s="9" t="str">
        <v/>
      </c>
      <c r="G99" s="9" t="str">
        <v/>
      </c>
      <c r="H99" s="9" t="str">
        <v>RF-01T-0355</v>
      </c>
      <c r="I99" s="11" t="str">
        <v>RF-01T-0355]CAMERA CASE R</v>
      </c>
      <c r="J99" s="9">
        <v>9</v>
      </c>
      <c r="K99" s="9" t="str">
        <v/>
      </c>
      <c r="L99" s="9" t="str">
        <v>3E9</v>
      </c>
      <c r="M99" s="12">
        <v>46301</v>
      </c>
      <c r="N99" s="5" t="str">
        <v/>
      </c>
      <c r="O99" s="5" t="str">
        <v/>
      </c>
      <c r="P99" s="5" t="str">
        <v/>
      </c>
      <c r="Q99" s="14" t="str">
        <v/>
      </c>
      <c r="R99" s="15">
        <v>9</v>
      </c>
    </row>
    <row r="100" spans="2:18" x14ac:dyDescent="0.35">
      <c r="B100" s="9">
        <v>2267</v>
      </c>
      <c r="C100" s="9" t="str">
        <v>가용재고</v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>RD-00S-5201</v>
      </c>
      <c r="I100" s="11" t="str">
        <v>RD-00S-5201]USB A to B Cable</v>
      </c>
      <c r="J100" s="9">
        <v>9</v>
      </c>
      <c r="K100" s="9" t="str">
        <v/>
      </c>
      <c r="L100" s="9" t="str">
        <v>3S3-2</v>
      </c>
      <c r="M100" s="12">
        <v>46301</v>
      </c>
      <c r="N100" s="5" t="str">
        <v/>
      </c>
      <c r="O100" s="5" t="str">
        <v/>
      </c>
      <c r="P100" s="5" t="str">
        <v/>
      </c>
      <c r="Q100" s="14" t="str">
        <v/>
      </c>
      <c r="R100" s="15">
        <v>9</v>
      </c>
    </row>
    <row r="101" spans="2:18" x14ac:dyDescent="0.35">
      <c r="B101" s="9">
        <v>2295</v>
      </c>
      <c r="C101" s="9" t="str">
        <v>가용재고</v>
      </c>
      <c r="D101" s="9" t="str">
        <v/>
      </c>
      <c r="E101" s="9" t="str">
        <v/>
      </c>
      <c r="F101" s="9" t="str">
        <v/>
      </c>
      <c r="G101" s="9" t="str">
        <v/>
      </c>
      <c r="H101" s="9" t="str">
        <v>RE-06A-0630</v>
      </c>
      <c r="I101" s="11" t="str">
        <v>RE-06A-0630]ASM TUBE SHAFT BRASS</v>
      </c>
      <c r="J101" s="9">
        <v>9</v>
      </c>
      <c r="K101" s="9" t="str">
        <v/>
      </c>
      <c r="L101" s="9" t="str">
        <v>K7-2</v>
      </c>
      <c r="M101" s="12">
        <v>46303</v>
      </c>
      <c r="N101" s="5" t="str">
        <v/>
      </c>
      <c r="O101" s="5" t="str">
        <v/>
      </c>
      <c r="P101" s="5" t="str">
        <v/>
      </c>
      <c r="Q101" s="14" t="str">
        <v/>
      </c>
      <c r="R101" s="15">
        <v>9</v>
      </c>
    </row>
    <row r="102" spans="2:18" x14ac:dyDescent="0.35">
      <c r="B102" s="9">
        <v>2298</v>
      </c>
      <c r="C102" s="9" t="str">
        <v>가용재고</v>
      </c>
      <c r="D102" s="9" t="str">
        <v/>
      </c>
      <c r="E102" s="9" t="str">
        <v/>
      </c>
      <c r="F102" s="9" t="str">
        <v/>
      </c>
      <c r="G102" s="9" t="str">
        <v/>
      </c>
      <c r="H102" s="9" t="str">
        <v>RE-06H-5048</v>
      </c>
      <c r="I102" s="11" t="str">
        <v>RE-06H-5048]LASER H [LBM01-300]</v>
      </c>
      <c r="J102" s="9">
        <v>9</v>
      </c>
      <c r="K102" s="9" t="str">
        <v/>
      </c>
      <c r="L102" s="9" t="str">
        <v>F3-2</v>
      </c>
      <c r="M102" s="12">
        <v>46303</v>
      </c>
      <c r="N102" s="5" t="str">
        <v/>
      </c>
      <c r="O102" s="5" t="str">
        <v/>
      </c>
      <c r="P102" s="5" t="str">
        <v/>
      </c>
      <c r="Q102" s="14" t="str">
        <v/>
      </c>
      <c r="R102" s="15">
        <v>9</v>
      </c>
    </row>
    <row r="103" spans="2:18" x14ac:dyDescent="0.35">
      <c r="B103" s="9">
        <v>293</v>
      </c>
      <c r="C103" s="9" t="str">
        <v>가용재고</v>
      </c>
      <c r="D103" s="9" t="str">
        <v/>
      </c>
      <c r="E103" s="9" t="str">
        <v/>
      </c>
      <c r="F103" s="9" t="str">
        <v/>
      </c>
      <c r="G103" s="9" t="str">
        <v/>
      </c>
      <c r="H103" s="9" t="str">
        <v>C16-6808ZZ</v>
      </c>
      <c r="I103" s="11" t="str">
        <v>C16-6808ZZ]BALL B-Ring</v>
      </c>
      <c r="J103" s="9">
        <v>10</v>
      </c>
      <c r="K103" s="9" t="str">
        <v/>
      </c>
      <c r="L103" s="9" t="str">
        <v>3M1-4</v>
      </c>
      <c r="M103" s="12">
        <v>46232</v>
      </c>
      <c r="N103" s="5" t="str">
        <v/>
      </c>
      <c r="O103" s="5" t="str">
        <v/>
      </c>
      <c r="P103" s="5" t="str">
        <v/>
      </c>
      <c r="Q103" s="14" t="str">
        <v/>
      </c>
      <c r="R103" s="15">
        <v>10</v>
      </c>
    </row>
    <row r="104" spans="2:18" x14ac:dyDescent="0.35">
      <c r="B104" s="9">
        <v>398</v>
      </c>
      <c r="C104" s="9" t="str">
        <v>가용재고</v>
      </c>
      <c r="D104" s="9" t="str">
        <v/>
      </c>
      <c r="E104" s="9" t="str">
        <v>입고</v>
      </c>
      <c r="F104" s="9" t="str">
        <v/>
      </c>
      <c r="G104" s="9" t="str">
        <v/>
      </c>
      <c r="H104" s="9" t="str">
        <v>RF-01H-5065</v>
      </c>
      <c r="I104" s="11" t="str">
        <v>RF-01H-5065]Main Power harness</v>
      </c>
      <c r="J104" s="9">
        <v>10</v>
      </c>
      <c r="K104" s="9" t="str">
        <v/>
      </c>
      <c r="L104" s="9" t="str">
        <v>3S3-5</v>
      </c>
      <c r="M104" s="12">
        <v>46255</v>
      </c>
      <c r="N104" s="5" t="str">
        <v/>
      </c>
      <c r="O104" s="5" t="str">
        <v/>
      </c>
      <c r="P104" s="5" t="str">
        <v/>
      </c>
      <c r="Q104" s="14" t="str">
        <v/>
      </c>
      <c r="R104" s="15">
        <v>10</v>
      </c>
    </row>
    <row r="105" spans="2:18" x14ac:dyDescent="0.35">
      <c r="B105" s="9">
        <v>1807</v>
      </c>
      <c r="C105" s="9" t="str">
        <v>가용재고</v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>RA-03V-2066</v>
      </c>
      <c r="I105" s="11" t="str">
        <v>RA-03V-2066]BRK CLMN REAR CAS UPPER (A+)</v>
      </c>
      <c r="J105" s="9">
        <v>10</v>
      </c>
      <c r="K105" s="9" t="str">
        <v/>
      </c>
      <c r="L105" s="9" t="str">
        <v>B1-3</v>
      </c>
      <c r="M105" s="12">
        <v>46294</v>
      </c>
      <c r="N105" s="5" t="str">
        <v/>
      </c>
      <c r="O105" s="5" t="str">
        <v/>
      </c>
      <c r="P105" s="5" t="str">
        <v/>
      </c>
      <c r="Q105" s="14" t="str">
        <v/>
      </c>
      <c r="R105" s="15">
        <v>10</v>
      </c>
    </row>
    <row r="106" spans="2:18" x14ac:dyDescent="0.35">
      <c r="B106" s="9">
        <v>1945</v>
      </c>
      <c r="C106" s="9" t="str">
        <v>가용재고</v>
      </c>
      <c r="D106" s="9" t="str">
        <v/>
      </c>
      <c r="E106" s="9" t="str">
        <v>입고</v>
      </c>
      <c r="F106" s="9" t="str">
        <v>하이크로봇</v>
      </c>
      <c r="G106" s="9" t="str">
        <v>장동은</v>
      </c>
      <c r="H106" s="9" t="str">
        <v>RF-01S-5086</v>
      </c>
      <c r="I106" s="11" t="str">
        <v>RF-01S-5086]TEETH CAM</v>
      </c>
      <c r="J106" s="9">
        <v>10</v>
      </c>
      <c r="K106" s="9" t="str">
        <v/>
      </c>
      <c r="L106" s="9" t="str">
        <v>3F10</v>
      </c>
      <c r="M106" s="12">
        <v>46301</v>
      </c>
      <c r="N106" s="5" t="str">
        <v/>
      </c>
      <c r="O106" s="5" t="str">
        <v/>
      </c>
      <c r="P106" s="5" t="str">
        <v/>
      </c>
      <c r="Q106" s="14" t="str">
        <v/>
      </c>
      <c r="R106" s="15">
        <v>10</v>
      </c>
    </row>
    <row r="107" spans="2:18" x14ac:dyDescent="0.35">
      <c r="B107" s="9">
        <v>1946</v>
      </c>
      <c r="C107" s="9" t="str">
        <v>가용재고</v>
      </c>
      <c r="D107" s="9" t="str">
        <v/>
      </c>
      <c r="E107" s="9" t="str">
        <v>입고</v>
      </c>
      <c r="F107" s="9" t="str">
        <v>하이크로봇</v>
      </c>
      <c r="G107" s="9" t="str">
        <v>장동은</v>
      </c>
      <c r="H107" s="9" t="str">
        <v>RF-01S-5096</v>
      </c>
      <c r="I107" s="11" t="str">
        <v/>
      </c>
      <c r="J107" s="9">
        <v>10</v>
      </c>
      <c r="K107" s="9" t="str">
        <v/>
      </c>
      <c r="L107" s="9" t="str">
        <v>3F1</v>
      </c>
      <c r="M107" s="12">
        <v>46301</v>
      </c>
      <c r="N107" s="5" t="str">
        <v/>
      </c>
      <c r="O107" s="5" t="str">
        <v/>
      </c>
      <c r="P107" s="5" t="str">
        <v/>
      </c>
      <c r="Q107" s="14" t="str">
        <v/>
      </c>
      <c r="R107" s="15">
        <v>10</v>
      </c>
    </row>
    <row r="108" spans="2:18" x14ac:dyDescent="0.35">
      <c r="B108" s="9">
        <v>2262</v>
      </c>
      <c r="C108" s="9" t="str">
        <v>가용재고</v>
      </c>
      <c r="D108" s="9" t="str">
        <v/>
      </c>
      <c r="E108" s="9" t="str">
        <v/>
      </c>
      <c r="F108" s="9" t="str">
        <v/>
      </c>
      <c r="G108" s="9" t="str">
        <v/>
      </c>
      <c r="H108" s="9" t="str">
        <v>RF-01T-0210</v>
      </c>
      <c r="I108" s="11" t="str">
        <v>RF-01T-0210]CVR FRONT MID L</v>
      </c>
      <c r="J108" s="9">
        <v>10</v>
      </c>
      <c r="K108" s="9" t="str">
        <v/>
      </c>
      <c r="L108" s="9" t="str">
        <v>3L3-1</v>
      </c>
      <c r="M108" s="12">
        <v>46301</v>
      </c>
      <c r="N108" s="5" t="str">
        <v/>
      </c>
      <c r="O108" s="5" t="str">
        <v/>
      </c>
      <c r="P108" s="5" t="str">
        <v/>
      </c>
      <c r="Q108" s="14" t="str">
        <v/>
      </c>
      <c r="R108" s="15">
        <v>10</v>
      </c>
    </row>
    <row r="109" spans="2:18" x14ac:dyDescent="0.35">
      <c r="B109" s="9">
        <v>2340</v>
      </c>
      <c r="C109" s="9" t="str">
        <v>가용재고</v>
      </c>
      <c r="D109" s="9" t="str">
        <v/>
      </c>
      <c r="E109" s="9" t="str">
        <v/>
      </c>
      <c r="F109" s="9" t="str">
        <v/>
      </c>
      <c r="G109" s="9" t="str">
        <v/>
      </c>
      <c r="H109" s="9" t="str">
        <v>RA-07M-2786</v>
      </c>
      <c r="I109" s="11" t="str">
        <v>RA-07M-2786]PLT DET SNSR (IR)</v>
      </c>
      <c r="J109" s="9">
        <v>10</v>
      </c>
      <c r="K109" s="9" t="str">
        <v/>
      </c>
      <c r="L109" s="9" t="str">
        <v>J2-2</v>
      </c>
      <c r="M109" s="12">
        <v>46302</v>
      </c>
      <c r="N109" s="5" t="str">
        <v/>
      </c>
      <c r="O109" s="5" t="str">
        <v/>
      </c>
      <c r="P109" s="5" t="str">
        <v/>
      </c>
      <c r="Q109" s="14" t="str">
        <v/>
      </c>
      <c r="R109" s="15">
        <v>10</v>
      </c>
    </row>
    <row r="110" spans="2:18" x14ac:dyDescent="0.35">
      <c r="B110" s="9">
        <v>467</v>
      </c>
      <c r="C110" s="9" t="str">
        <v>가용재고</v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>RF-01T-0352</v>
      </c>
      <c r="I110" s="11" t="str">
        <v>RF-01T-0352]CAMERA CASE B</v>
      </c>
      <c r="J110" s="9">
        <v>11</v>
      </c>
      <c r="K110" s="9" t="str">
        <v/>
      </c>
      <c r="L110" s="9" t="str">
        <v>3E9</v>
      </c>
      <c r="M110" s="12">
        <v>46259</v>
      </c>
      <c r="N110" s="5" t="str">
        <v/>
      </c>
      <c r="O110" s="5" t="str">
        <v/>
      </c>
      <c r="P110" s="5" t="str">
        <v/>
      </c>
      <c r="Q110" s="14" t="str">
        <v/>
      </c>
      <c r="R110" s="15">
        <v>11</v>
      </c>
    </row>
    <row r="111" spans="2:18" x14ac:dyDescent="0.35">
      <c r="B111" s="9">
        <v>894</v>
      </c>
      <c r="C111" s="9" t="str">
        <v>가용재고</v>
      </c>
      <c r="D111" s="9" t="str">
        <v/>
      </c>
      <c r="E111" s="9" t="str">
        <v>기초</v>
      </c>
      <c r="F111" s="9" t="str">
        <v/>
      </c>
      <c r="G111" s="9" t="str">
        <v/>
      </c>
      <c r="H111" s="9" t="str">
        <v>RA-06V-3934</v>
      </c>
      <c r="I111" s="11" t="str">
        <v>RA-06V-3934]BRK TUBE CAS FRONT (MG)</v>
      </c>
      <c r="J111" s="9">
        <v>11</v>
      </c>
      <c r="K111" s="9" t="str">
        <v/>
      </c>
      <c r="L111" s="9" t="str">
        <v>N2-4</v>
      </c>
      <c r="M111" s="12">
        <v>46276</v>
      </c>
      <c r="N111" s="5" t="str">
        <v/>
      </c>
      <c r="O111" s="5" t="str">
        <v/>
      </c>
      <c r="P111" s="5" t="str">
        <v/>
      </c>
      <c r="Q111" s="14" t="str">
        <v/>
      </c>
      <c r="R111" s="15">
        <v>11</v>
      </c>
    </row>
    <row r="112" spans="2:18" x14ac:dyDescent="0.35">
      <c r="B112" s="9">
        <v>1191</v>
      </c>
      <c r="C112" s="9" t="str">
        <v>가용재고</v>
      </c>
      <c r="D112" s="9" t="str">
        <v/>
      </c>
      <c r="E112" s="9" t="str">
        <v>반납</v>
      </c>
      <c r="F112" s="9" t="str">
        <v/>
      </c>
      <c r="G112" s="9" t="str">
        <v/>
      </c>
      <c r="H112" s="9" t="str">
        <v>RF-01V-0293</v>
      </c>
      <c r="I112" s="11" t="str">
        <v>RF-01V-0293]BRK USB HLDR</v>
      </c>
      <c r="J112" s="9">
        <v>11</v>
      </c>
      <c r="K112" s="9" t="str">
        <v/>
      </c>
      <c r="L112" s="9" t="str">
        <v>3L4-5</v>
      </c>
      <c r="M112" s="12">
        <v>46287</v>
      </c>
      <c r="N112" s="5" t="str">
        <v/>
      </c>
      <c r="O112" s="5" t="str">
        <v/>
      </c>
      <c r="P112" s="5" t="str">
        <v/>
      </c>
      <c r="Q112" s="14" t="str">
        <v/>
      </c>
      <c r="R112" s="15">
        <v>11</v>
      </c>
    </row>
    <row r="113" spans="2:18" x14ac:dyDescent="0.35">
      <c r="B113" s="9">
        <v>1325</v>
      </c>
      <c r="C113" s="9" t="str">
        <v>가용재고</v>
      </c>
      <c r="D113" s="9" t="str">
        <v/>
      </c>
      <c r="E113" s="9" t="str">
        <v/>
      </c>
      <c r="F113" s="9" t="str">
        <v/>
      </c>
      <c r="G113" s="9" t="str">
        <v/>
      </c>
      <c r="H113" s="9" t="str">
        <v>RF-01M-0268</v>
      </c>
      <c r="I113" s="11" t="str">
        <v>RF-01M-0268]TEETH CAM BLK_HR</v>
      </c>
      <c r="J113" s="9">
        <v>11</v>
      </c>
      <c r="K113" s="9" t="str">
        <v/>
      </c>
      <c r="L113" s="9" t="str">
        <v>3S2-1</v>
      </c>
      <c r="M113" s="12">
        <v>46287</v>
      </c>
      <c r="N113" s="5" t="str">
        <v/>
      </c>
      <c r="O113" s="5" t="str">
        <v/>
      </c>
      <c r="P113" s="5" t="str">
        <v/>
      </c>
      <c r="Q113" s="14" t="str">
        <v/>
      </c>
      <c r="R113" s="15">
        <v>11</v>
      </c>
    </row>
    <row r="114" spans="2:18" x14ac:dyDescent="0.35">
      <c r="B114" s="9">
        <v>1340</v>
      </c>
      <c r="C114" s="9" t="str">
        <v>가용재고</v>
      </c>
      <c r="D114" s="9" t="str">
        <v/>
      </c>
      <c r="E114" s="9" t="str">
        <v/>
      </c>
      <c r="F114" s="9" t="str">
        <v/>
      </c>
      <c r="G114" s="9" t="str">
        <v/>
      </c>
      <c r="H114" s="9" t="str">
        <v>RF-01S-5030</v>
      </c>
      <c r="I114" s="11" t="str">
        <v/>
      </c>
      <c r="J114" s="9">
        <v>11</v>
      </c>
      <c r="K114" s="9" t="str">
        <v/>
      </c>
      <c r="L114" s="9" t="str">
        <v>3B21</v>
      </c>
      <c r="M114" s="12">
        <v>46287</v>
      </c>
      <c r="N114" s="5" t="str">
        <v/>
      </c>
      <c r="O114" s="5" t="str">
        <v/>
      </c>
      <c r="P114" s="5" t="str">
        <v/>
      </c>
      <c r="Q114" s="14" t="str">
        <v/>
      </c>
      <c r="R114" s="15">
        <v>11</v>
      </c>
    </row>
    <row r="115" spans="2:18" x14ac:dyDescent="0.35">
      <c r="B115" s="9">
        <v>1344</v>
      </c>
      <c r="C115" s="9" t="str">
        <v>가용재고</v>
      </c>
      <c r="D115" s="9" t="str">
        <v/>
      </c>
      <c r="E115" s="9" t="str">
        <v/>
      </c>
      <c r="F115" s="9" t="str">
        <v/>
      </c>
      <c r="G115" s="9" t="str">
        <v/>
      </c>
      <c r="H115" s="9" t="str">
        <v>RF-01S-5049</v>
      </c>
      <c r="I115" s="11" t="str">
        <v>RF-01S-5049]Face Lens</v>
      </c>
      <c r="J115" s="9">
        <v>11</v>
      </c>
      <c r="K115" s="9" t="str">
        <v/>
      </c>
      <c r="L115" s="9" t="str">
        <v>3L4-2</v>
      </c>
      <c r="M115" s="12">
        <v>46287</v>
      </c>
      <c r="N115" s="5" t="str">
        <v/>
      </c>
      <c r="O115" s="5" t="str">
        <v/>
      </c>
      <c r="P115" s="5" t="str">
        <v/>
      </c>
      <c r="Q115" s="14" t="str">
        <v/>
      </c>
      <c r="R115" s="15">
        <v>11</v>
      </c>
    </row>
    <row r="116" spans="2:18" x14ac:dyDescent="0.35">
      <c r="B116" s="9">
        <v>1365</v>
      </c>
      <c r="C116" s="9" t="str">
        <v>가용재고</v>
      </c>
      <c r="D116" s="9" t="str">
        <v/>
      </c>
      <c r="E116" s="9" t="str">
        <v/>
      </c>
      <c r="F116" s="9" t="str">
        <v/>
      </c>
      <c r="G116" s="9" t="str">
        <v/>
      </c>
      <c r="H116" s="9" t="str">
        <v>RE-02T-0242</v>
      </c>
      <c r="I116" s="11" t="str">
        <v>RE-02T-0242]CAS VERT BOT L</v>
      </c>
      <c r="J116" s="9">
        <v>11</v>
      </c>
      <c r="K116" s="9" t="str">
        <v/>
      </c>
      <c r="L116" s="9" t="str">
        <v>3A-14</v>
      </c>
      <c r="M116" s="12">
        <v>46287</v>
      </c>
      <c r="N116" s="5" t="str">
        <v/>
      </c>
      <c r="O116" s="5" t="str">
        <v/>
      </c>
      <c r="P116" s="5" t="str">
        <v/>
      </c>
      <c r="Q116" s="14" t="str">
        <v/>
      </c>
      <c r="R116" s="15">
        <v>11</v>
      </c>
    </row>
    <row r="117" spans="2:18" x14ac:dyDescent="0.35">
      <c r="B117" s="9">
        <v>1635</v>
      </c>
      <c r="C117" s="9" t="str">
        <v>가용재고</v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>RA-7-13</v>
      </c>
      <c r="I117" s="11" t="str">
        <v>RA-7-13]ADET POWER to SUB(NEW)</v>
      </c>
      <c r="J117" s="9">
        <v>11</v>
      </c>
      <c r="K117" s="9" t="str">
        <v/>
      </c>
      <c r="L117" s="9" t="str">
        <v>G1-2</v>
      </c>
      <c r="M117" s="12">
        <v>46280</v>
      </c>
      <c r="N117" s="5" t="str">
        <v/>
      </c>
      <c r="O117" s="5" t="str">
        <v/>
      </c>
      <c r="P117" s="5" t="str">
        <v/>
      </c>
      <c r="Q117" s="14" t="str">
        <v/>
      </c>
      <c r="R117" s="15">
        <v>11</v>
      </c>
    </row>
    <row r="118" spans="2:18" x14ac:dyDescent="0.35">
      <c r="B118" s="9">
        <v>2370</v>
      </c>
      <c r="C118" s="9" t="str">
        <v>가용재고</v>
      </c>
      <c r="D118" s="9" t="str">
        <v/>
      </c>
      <c r="E118" s="9" t="str">
        <v/>
      </c>
      <c r="F118" s="9" t="str">
        <v/>
      </c>
      <c r="G118" s="9" t="str">
        <v/>
      </c>
      <c r="H118" s="9" t="str">
        <v>RA-04A-2296</v>
      </c>
      <c r="I118" s="11" t="str">
        <v>RA-04A-2296]ASM HANDLE (A+)</v>
      </c>
      <c r="J118" s="9">
        <v>11</v>
      </c>
      <c r="K118" s="9" t="str">
        <v/>
      </c>
      <c r="L118" s="9" t="str">
        <v>M1</v>
      </c>
      <c r="M118" s="12">
        <v>46302</v>
      </c>
      <c r="N118" s="5" t="str">
        <v/>
      </c>
      <c r="O118" s="5" t="str">
        <v/>
      </c>
      <c r="P118" s="5" t="str">
        <v/>
      </c>
      <c r="Q118" s="14" t="str">
        <v/>
      </c>
      <c r="R118" s="15">
        <v>11</v>
      </c>
    </row>
    <row r="119" spans="2:18" x14ac:dyDescent="0.35">
      <c r="B119" s="9">
        <v>2147</v>
      </c>
      <c r="C119" s="9" t="str">
        <v>가용재고</v>
      </c>
      <c r="D119" s="9" t="str">
        <v/>
      </c>
      <c r="E119" s="9" t="str">
        <v/>
      </c>
      <c r="F119" s="9" t="str">
        <v/>
      </c>
      <c r="G119" s="9" t="str">
        <v/>
      </c>
      <c r="H119" s="9" t="str">
        <v>RA-02S-2003</v>
      </c>
      <c r="I119" s="11" t="str">
        <v>RA-02S-2003]LM SET (MGW9C-2-295)</v>
      </c>
      <c r="J119" s="9">
        <v>12</v>
      </c>
      <c r="K119" s="9" t="str">
        <v/>
      </c>
      <c r="L119" s="9" t="str">
        <v>D3-2</v>
      </c>
      <c r="M119" s="12">
        <v>46293</v>
      </c>
      <c r="N119" s="5" t="str">
        <v/>
      </c>
      <c r="O119" s="5" t="str">
        <v/>
      </c>
      <c r="P119" s="5" t="str">
        <v/>
      </c>
      <c r="Q119" s="14" t="str">
        <v/>
      </c>
      <c r="R119" s="15">
        <v>12</v>
      </c>
    </row>
    <row r="120" spans="2:18" x14ac:dyDescent="0.35">
      <c r="B120" s="9">
        <v>2269</v>
      </c>
      <c r="C120" s="9" t="str">
        <v>가용재고</v>
      </c>
      <c r="D120" s="9" t="str">
        <v/>
      </c>
      <c r="E120" s="9" t="str">
        <v/>
      </c>
      <c r="F120" s="9" t="str">
        <v/>
      </c>
      <c r="G120" s="9" t="str">
        <v/>
      </c>
      <c r="H120" s="9" t="str">
        <v>RF-01T-0353</v>
      </c>
      <c r="I120" s="11" t="str">
        <v>RF-01T-0353]WINDOW LED</v>
      </c>
      <c r="J120" s="9">
        <v>12</v>
      </c>
      <c r="K120" s="9" t="str">
        <v/>
      </c>
      <c r="L120" s="9" t="str">
        <v>3E9</v>
      </c>
      <c r="M120" s="12">
        <v>46301</v>
      </c>
      <c r="N120" s="5" t="str">
        <v/>
      </c>
      <c r="O120" s="5" t="str">
        <v/>
      </c>
      <c r="P120" s="5" t="str">
        <v/>
      </c>
      <c r="Q120" s="14" t="str">
        <v/>
      </c>
      <c r="R120" s="15">
        <v>12</v>
      </c>
    </row>
    <row r="121" spans="2:18" x14ac:dyDescent="0.35">
      <c r="B121" s="9">
        <v>299</v>
      </c>
      <c r="C121" s="9" t="str">
        <v>가용재고</v>
      </c>
      <c r="D121" s="9" t="str">
        <v/>
      </c>
      <c r="E121" s="9" t="str">
        <v/>
      </c>
      <c r="F121" s="9" t="str">
        <v/>
      </c>
      <c r="G121" s="9" t="str">
        <v/>
      </c>
      <c r="H121" s="9" t="str">
        <v>RA-08V-2671</v>
      </c>
      <c r="I121" s="11" t="str">
        <v>RA-08V-2671]BRK ROT CAS BRIDGE A (VW)</v>
      </c>
      <c r="J121" s="9">
        <v>13</v>
      </c>
      <c r="K121" s="9" t="str">
        <v/>
      </c>
      <c r="L121" s="9" t="str">
        <v>E1-5</v>
      </c>
      <c r="M121" s="12">
        <v>46232</v>
      </c>
      <c r="N121" s="5" t="str">
        <v/>
      </c>
      <c r="O121" s="5" t="str">
        <v/>
      </c>
      <c r="P121" s="5" t="str">
        <v/>
      </c>
      <c r="Q121" s="14" t="str">
        <v/>
      </c>
      <c r="R121" s="15">
        <v>13</v>
      </c>
    </row>
    <row r="122" spans="2:18" x14ac:dyDescent="0.35">
      <c r="B122" s="9">
        <v>465</v>
      </c>
      <c r="C122" s="9" t="str">
        <v>가용재고</v>
      </c>
      <c r="D122" s="9" t="str">
        <v/>
      </c>
      <c r="E122" s="9" t="str">
        <v/>
      </c>
      <c r="F122" s="9" t="str">
        <v/>
      </c>
      <c r="G122" s="9" t="str">
        <v/>
      </c>
      <c r="H122" s="9" t="str">
        <v>RF-01H-5069</v>
      </c>
      <c r="I122" s="11" t="str">
        <v>RF-01H-5069]LED_Bottom harness</v>
      </c>
      <c r="J122" s="9">
        <v>13</v>
      </c>
      <c r="K122" s="9" t="str">
        <v/>
      </c>
      <c r="L122" s="9" t="str">
        <v>3S3-5</v>
      </c>
      <c r="M122" s="12">
        <v>46259</v>
      </c>
      <c r="N122" s="5" t="str">
        <v/>
      </c>
      <c r="O122" s="5" t="str">
        <v/>
      </c>
      <c r="P122" s="5" t="str">
        <v/>
      </c>
      <c r="Q122" s="14" t="str">
        <v/>
      </c>
      <c r="R122" s="15">
        <v>13</v>
      </c>
    </row>
    <row r="123" spans="2:18" x14ac:dyDescent="0.35">
      <c r="B123" s="9">
        <v>1320</v>
      </c>
      <c r="C123" s="9" t="str">
        <v>가용재고</v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>RF-01H-5068</v>
      </c>
      <c r="I123" s="11" t="str">
        <v>RF-01H-5068]LED_Left harness</v>
      </c>
      <c r="J123" s="9">
        <v>13</v>
      </c>
      <c r="K123" s="9" t="str">
        <v/>
      </c>
      <c r="L123" s="9" t="str">
        <v>3S3-5</v>
      </c>
      <c r="M123" s="12">
        <v>46287</v>
      </c>
      <c r="N123" s="5" t="str">
        <v/>
      </c>
      <c r="O123" s="5" t="str">
        <v/>
      </c>
      <c r="P123" s="5" t="str">
        <v/>
      </c>
      <c r="Q123" s="14" t="str">
        <v/>
      </c>
      <c r="R123" s="15">
        <v>13</v>
      </c>
    </row>
    <row r="124" spans="2:18" x14ac:dyDescent="0.35">
      <c r="B124" s="9">
        <v>2419</v>
      </c>
      <c r="C124" s="9" t="str">
        <v>가용재고</v>
      </c>
      <c r="D124" s="9" t="str">
        <v/>
      </c>
      <c r="E124" s="9" t="str">
        <v/>
      </c>
      <c r="F124" s="9" t="str">
        <v/>
      </c>
      <c r="G124" s="9" t="str">
        <v/>
      </c>
      <c r="H124" s="9" t="str">
        <v>RA-07V-2789</v>
      </c>
      <c r="I124" s="11" t="str">
        <v>RA-07V-2789]PLT WEIGHT DET (IR)</v>
      </c>
      <c r="J124" s="9">
        <v>13</v>
      </c>
      <c r="K124" s="9" t="str">
        <v/>
      </c>
      <c r="L124" s="9" t="str">
        <v>O4</v>
      </c>
      <c r="M124" s="12">
        <v>46301</v>
      </c>
      <c r="N124" s="5" t="str">
        <v/>
      </c>
      <c r="O124" s="5" t="str">
        <v/>
      </c>
      <c r="P124" s="5" t="str">
        <v/>
      </c>
      <c r="Q124" s="14" t="str">
        <v/>
      </c>
      <c r="R124" s="15">
        <v>13</v>
      </c>
    </row>
    <row r="125" spans="2:18" x14ac:dyDescent="0.35">
      <c r="B125" s="9">
        <v>895</v>
      </c>
      <c r="C125" s="9" t="str">
        <v>가용재고</v>
      </c>
      <c r="D125" s="9" t="str">
        <v/>
      </c>
      <c r="E125" s="9" t="str">
        <v>기초</v>
      </c>
      <c r="F125" s="9" t="str">
        <v/>
      </c>
      <c r="G125" s="9" t="str">
        <v/>
      </c>
      <c r="H125" s="9" t="str">
        <v>RA-04S-5017</v>
      </c>
      <c r="I125" s="11" t="str">
        <v>RA-04S-5017]EMERGENCY S/W-K16-811</v>
      </c>
      <c r="J125" s="9">
        <v>14</v>
      </c>
      <c r="K125" s="9" t="str">
        <v/>
      </c>
      <c r="L125" s="9" t="str">
        <v>B1-1</v>
      </c>
      <c r="M125" s="12">
        <v>46276</v>
      </c>
      <c r="N125" s="5" t="str">
        <v/>
      </c>
      <c r="O125" s="5" t="str">
        <v/>
      </c>
      <c r="P125" s="5" t="str">
        <v/>
      </c>
      <c r="Q125" s="14" t="str">
        <v/>
      </c>
      <c r="R125" s="15">
        <v>14</v>
      </c>
    </row>
    <row r="126" spans="2:18" x14ac:dyDescent="0.35">
      <c r="B126" s="9">
        <v>2344</v>
      </c>
      <c r="C126" s="9" t="str">
        <v>가용재고</v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>RF-01S-5085</v>
      </c>
      <c r="I126" s="11" t="str">
        <v>RF-01S-5085]FACE CAM</v>
      </c>
      <c r="J126" s="9">
        <v>14</v>
      </c>
      <c r="K126" s="9" t="str">
        <v/>
      </c>
      <c r="L126" s="9" t="str">
        <v>3F9</v>
      </c>
      <c r="M126" s="12">
        <v>46295</v>
      </c>
      <c r="N126" s="5" t="str">
        <v/>
      </c>
      <c r="O126" s="5" t="str">
        <v/>
      </c>
      <c r="P126" s="5" t="str">
        <v/>
      </c>
      <c r="Q126" s="14" t="str">
        <v/>
      </c>
      <c r="R126" s="15">
        <v>14</v>
      </c>
    </row>
    <row r="127" spans="2:18" x14ac:dyDescent="0.35">
      <c r="B127" s="9">
        <v>251</v>
      </c>
      <c r="C127" s="9" t="str">
        <v>가용재고</v>
      </c>
      <c r="D127" s="9" t="str">
        <v/>
      </c>
      <c r="E127" s="9" t="str">
        <v/>
      </c>
      <c r="F127" s="9" t="str">
        <v/>
      </c>
      <c r="G127" s="9" t="str">
        <v/>
      </c>
      <c r="H127" s="9" t="str">
        <v>RA-08V-2663</v>
      </c>
      <c r="I127" s="11" t="str">
        <v>RA-08V-2663]HOOK CAS CEPH SNSR (L)</v>
      </c>
      <c r="J127" s="9">
        <v>15</v>
      </c>
      <c r="K127" s="9" t="str">
        <v/>
      </c>
      <c r="L127" s="9" t="str">
        <v>E2-5</v>
      </c>
      <c r="M127" s="12">
        <v>46232</v>
      </c>
      <c r="N127" s="5" t="str">
        <v/>
      </c>
      <c r="O127" s="5" t="str">
        <v/>
      </c>
      <c r="P127" s="5" t="str">
        <v/>
      </c>
      <c r="Q127" s="14" t="str">
        <v/>
      </c>
      <c r="R127" s="15">
        <v>15</v>
      </c>
    </row>
    <row r="128" spans="2:18" x14ac:dyDescent="0.35">
      <c r="B128" s="9">
        <v>259</v>
      </c>
      <c r="C128" s="9" t="str">
        <v>가용재고</v>
      </c>
      <c r="D128" s="9" t="str">
        <v/>
      </c>
      <c r="E128" s="9" t="str">
        <v/>
      </c>
      <c r="F128" s="9" t="str">
        <v/>
      </c>
      <c r="G128" s="9" t="str">
        <v/>
      </c>
      <c r="H128" s="9" t="str">
        <v>RA-08V-2681</v>
      </c>
      <c r="I128" s="11" t="str">
        <v>RA-08V-2681]PLT STOPPER GUIDE (VW)</v>
      </c>
      <c r="J128" s="9">
        <v>15</v>
      </c>
      <c r="K128" s="9" t="str">
        <v/>
      </c>
      <c r="L128" s="9" t="str">
        <v>E1-5</v>
      </c>
      <c r="M128" s="12">
        <v>46232</v>
      </c>
      <c r="N128" s="5" t="str">
        <v/>
      </c>
      <c r="O128" s="5" t="str">
        <v/>
      </c>
      <c r="P128" s="5" t="str">
        <v/>
      </c>
      <c r="Q128" s="14" t="str">
        <v/>
      </c>
      <c r="R128" s="15">
        <v>15</v>
      </c>
    </row>
    <row r="129" spans="2:18" x14ac:dyDescent="0.35">
      <c r="B129" s="9">
        <v>1306</v>
      </c>
      <c r="C129" s="9" t="str">
        <v>가용재고</v>
      </c>
      <c r="D129" s="9" t="str">
        <v/>
      </c>
      <c r="E129" s="9" t="str">
        <v/>
      </c>
      <c r="F129" s="9" t="str">
        <v/>
      </c>
      <c r="G129" s="9" t="str">
        <v/>
      </c>
      <c r="H129" s="9" t="str">
        <v>RF-20A-0378</v>
      </c>
      <c r="I129" s="11" t="str">
        <v>MODULE ARM LEFT</v>
      </c>
      <c r="J129" s="9">
        <v>15</v>
      </c>
      <c r="K129" s="9" t="str">
        <v/>
      </c>
      <c r="L129" s="9" t="str">
        <v>94760</v>
      </c>
      <c r="M129" s="12">
        <v>46287</v>
      </c>
      <c r="N129" s="5" t="str">
        <v/>
      </c>
      <c r="O129" s="5" t="str">
        <v/>
      </c>
      <c r="P129" s="5" t="str">
        <v/>
      </c>
      <c r="Q129" s="14" t="str">
        <v/>
      </c>
      <c r="R129" s="15">
        <v>15</v>
      </c>
    </row>
    <row r="130" spans="2:18" x14ac:dyDescent="0.35">
      <c r="B130" s="9">
        <v>1970</v>
      </c>
      <c r="C130" s="9" t="str">
        <v>가용재고</v>
      </c>
      <c r="D130" s="9" t="str">
        <v/>
      </c>
      <c r="E130" s="9" t="str">
        <v>입고</v>
      </c>
      <c r="F130" s="9" t="str">
        <v>A&amp;T</v>
      </c>
      <c r="G130" s="9" t="str">
        <v>장동은</v>
      </c>
      <c r="H130" s="9" t="str">
        <v>RF-01M-0396</v>
      </c>
      <c r="I130" s="11" t="str">
        <v>RF-01M-0396]FRAME PIPE ALIGN</v>
      </c>
      <c r="J130" s="9">
        <v>15</v>
      </c>
      <c r="K130" s="9" t="str">
        <v/>
      </c>
      <c r="L130" s="9" t="str">
        <v>3C10</v>
      </c>
      <c r="M130" s="12">
        <v>46301</v>
      </c>
      <c r="N130" s="5" t="str">
        <v/>
      </c>
      <c r="O130" s="5" t="str">
        <v/>
      </c>
      <c r="P130" s="5" t="str">
        <v/>
      </c>
      <c r="Q130" s="14" t="str">
        <v/>
      </c>
      <c r="R130" s="15">
        <v>15</v>
      </c>
    </row>
    <row r="131" spans="2:18" x14ac:dyDescent="0.35">
      <c r="B131" s="9">
        <v>2308</v>
      </c>
      <c r="C131" s="9" t="str">
        <v>가용재고</v>
      </c>
      <c r="D131" s="9" t="str">
        <v/>
      </c>
      <c r="E131" s="9" t="str">
        <v/>
      </c>
      <c r="F131" s="9" t="str">
        <v/>
      </c>
      <c r="G131" s="9" t="str">
        <v/>
      </c>
      <c r="H131" s="9" t="str">
        <v>RE-02A-1020</v>
      </c>
      <c r="I131" s="11" t="str">
        <v>RE-02A-1020]ASM VERTICAL MODULE</v>
      </c>
      <c r="J131" s="9">
        <v>15</v>
      </c>
      <c r="K131" s="9" t="str">
        <v/>
      </c>
      <c r="L131" s="9" t="str">
        <v>K8</v>
      </c>
      <c r="M131" s="12">
        <v>46302</v>
      </c>
      <c r="N131" s="5" t="str">
        <v/>
      </c>
      <c r="O131" s="5" t="str">
        <v/>
      </c>
      <c r="P131" s="5" t="str">
        <v/>
      </c>
      <c r="Q131" s="14" t="str">
        <v/>
      </c>
      <c r="R131" s="15">
        <v>15</v>
      </c>
    </row>
    <row r="132" spans="2:18" x14ac:dyDescent="0.35">
      <c r="B132" s="9">
        <v>252</v>
      </c>
      <c r="C132" s="9" t="str">
        <v>가용재고</v>
      </c>
      <c r="D132" s="9" t="str">
        <v/>
      </c>
      <c r="E132" s="9" t="str">
        <v/>
      </c>
      <c r="F132" s="9" t="str">
        <v/>
      </c>
      <c r="G132" s="9" t="str">
        <v/>
      </c>
      <c r="H132" s="9" t="str">
        <v>RA-08V-2665</v>
      </c>
      <c r="I132" s="11" t="str">
        <v>RA-08V-2665]BRK PUSH VIEWORKS POWER</v>
      </c>
      <c r="J132" s="9">
        <v>16</v>
      </c>
      <c r="K132" s="9" t="str">
        <v/>
      </c>
      <c r="L132" s="9" t="str">
        <v>E2-5</v>
      </c>
      <c r="M132" s="12">
        <v>46232</v>
      </c>
      <c r="N132" s="5" t="str">
        <v/>
      </c>
      <c r="O132" s="5" t="str">
        <v/>
      </c>
      <c r="P132" s="5" t="str">
        <v/>
      </c>
      <c r="Q132" s="14" t="str">
        <v/>
      </c>
      <c r="R132" s="15">
        <v>16</v>
      </c>
    </row>
    <row r="133" spans="2:18" x14ac:dyDescent="0.35">
      <c r="B133" s="9">
        <v>255</v>
      </c>
      <c r="C133" s="9" t="str">
        <v>가용재고</v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>RA-08V-2672</v>
      </c>
      <c r="I133" s="11" t="str">
        <v>RA-08V-2672]BRK SCAN CEPH BOT (VW)</v>
      </c>
      <c r="J133" s="9">
        <v>16</v>
      </c>
      <c r="K133" s="9" t="str">
        <v/>
      </c>
      <c r="L133" s="9" t="str">
        <v>E1-5</v>
      </c>
      <c r="M133" s="12">
        <v>46232</v>
      </c>
      <c r="N133" s="5" t="str">
        <v/>
      </c>
      <c r="O133" s="5" t="str">
        <v/>
      </c>
      <c r="P133" s="5" t="str">
        <v/>
      </c>
      <c r="Q133" s="14" t="str">
        <v/>
      </c>
      <c r="R133" s="15">
        <v>16</v>
      </c>
    </row>
    <row r="134" spans="2:18" x14ac:dyDescent="0.35">
      <c r="B134" s="9">
        <v>257</v>
      </c>
      <c r="C134" s="9" t="str">
        <v>가용재고</v>
      </c>
      <c r="D134" s="9" t="str">
        <v/>
      </c>
      <c r="E134" s="9" t="str">
        <v/>
      </c>
      <c r="F134" s="9" t="str">
        <v/>
      </c>
      <c r="G134" s="9" t="str">
        <v/>
      </c>
      <c r="H134" s="9" t="str">
        <v>RA-08V-2678</v>
      </c>
      <c r="I134" s="11" t="str">
        <v>RA-08V-2678]PLT DRUM MOUNT HEADREST (VW)</v>
      </c>
      <c r="J134" s="9">
        <v>16</v>
      </c>
      <c r="K134" s="9" t="str">
        <v/>
      </c>
      <c r="L134" s="9" t="str">
        <v>E1-5</v>
      </c>
      <c r="M134" s="12">
        <v>46232</v>
      </c>
      <c r="N134" s="5" t="str">
        <v/>
      </c>
      <c r="O134" s="5" t="str">
        <v/>
      </c>
      <c r="P134" s="5" t="str">
        <v/>
      </c>
      <c r="Q134" s="14" t="str">
        <v/>
      </c>
      <c r="R134" s="15">
        <v>16</v>
      </c>
    </row>
    <row r="135" spans="2:18" x14ac:dyDescent="0.35">
      <c r="B135" s="9">
        <v>262</v>
      </c>
      <c r="C135" s="9" t="str">
        <v>가용재고</v>
      </c>
      <c r="D135" s="9" t="str">
        <v/>
      </c>
      <c r="E135" s="9" t="str">
        <v/>
      </c>
      <c r="F135" s="9" t="str">
        <v/>
      </c>
      <c r="G135" s="9" t="str">
        <v/>
      </c>
      <c r="H135" s="9" t="str">
        <v>RA-08V-2691</v>
      </c>
      <c r="I135" s="11" t="str">
        <v>RA-08V-2691]HLDR CAS CEPH SNSR BOT (VW)</v>
      </c>
      <c r="J135" s="9">
        <v>16</v>
      </c>
      <c r="K135" s="9" t="str">
        <v/>
      </c>
      <c r="L135" s="9" t="str">
        <v>E2-6</v>
      </c>
      <c r="M135" s="12">
        <v>46232</v>
      </c>
      <c r="N135" s="5" t="str">
        <v/>
      </c>
      <c r="O135" s="5" t="str">
        <v/>
      </c>
      <c r="P135" s="5" t="str">
        <v/>
      </c>
      <c r="Q135" s="14" t="str">
        <v/>
      </c>
      <c r="R135" s="15">
        <v>16</v>
      </c>
    </row>
    <row r="136" spans="2:18" x14ac:dyDescent="0.35">
      <c r="B136" s="9">
        <v>1213</v>
      </c>
      <c r="C136" s="9" t="str">
        <v>가용재고</v>
      </c>
      <c r="D136" s="9" t="str">
        <v/>
      </c>
      <c r="E136" s="9" t="str">
        <v>반납</v>
      </c>
      <c r="F136" s="9" t="str">
        <v/>
      </c>
      <c r="G136" s="9" t="str">
        <v/>
      </c>
      <c r="H136" s="9" t="str">
        <v>RF-20A-0382</v>
      </c>
      <c r="I136" s="11" t="str">
        <v/>
      </c>
      <c r="J136" s="9">
        <v>16</v>
      </c>
      <c r="K136" s="9" t="str">
        <v/>
      </c>
      <c r="L136" s="9" t="str">
        <v>3C6</v>
      </c>
      <c r="M136" s="12">
        <v>46287</v>
      </c>
      <c r="N136" s="5" t="str">
        <v/>
      </c>
      <c r="O136" s="5" t="str">
        <v/>
      </c>
      <c r="P136" s="5" t="str">
        <v/>
      </c>
      <c r="Q136" s="14" t="str">
        <v/>
      </c>
      <c r="R136" s="15">
        <v>16</v>
      </c>
    </row>
    <row r="137" spans="2:18" x14ac:dyDescent="0.35">
      <c r="B137" s="9">
        <v>1231</v>
      </c>
      <c r="C137" s="9" t="str">
        <v>가용재고</v>
      </c>
      <c r="D137" s="9" t="str">
        <v/>
      </c>
      <c r="E137" s="9" t="str">
        <v>반납</v>
      </c>
      <c r="F137" s="9" t="str">
        <v/>
      </c>
      <c r="G137" s="9" t="str">
        <v/>
      </c>
      <c r="H137" s="9" t="str">
        <v>RF-01M-0395</v>
      </c>
      <c r="I137" s="11" t="str">
        <v>RF-01M-0395]BLOCK BASE BOTTOM</v>
      </c>
      <c r="J137" s="9">
        <v>16</v>
      </c>
      <c r="K137" s="9" t="str">
        <v/>
      </c>
      <c r="L137" s="9" t="str">
        <v>3E5</v>
      </c>
      <c r="M137" s="12">
        <v>46287</v>
      </c>
      <c r="N137" s="5" t="str">
        <v/>
      </c>
      <c r="O137" s="5" t="str">
        <v/>
      </c>
      <c r="P137" s="5" t="str">
        <v/>
      </c>
      <c r="Q137" s="14" t="str">
        <v/>
      </c>
      <c r="R137" s="15">
        <v>16</v>
      </c>
    </row>
    <row r="138" spans="2:18" x14ac:dyDescent="0.35">
      <c r="B138" s="9">
        <v>1262</v>
      </c>
      <c r="C138" s="9" t="str">
        <v>가용재고</v>
      </c>
      <c r="D138" s="9" t="str">
        <v/>
      </c>
      <c r="E138" s="9" t="str">
        <v>반납</v>
      </c>
      <c r="F138" s="9" t="str">
        <v/>
      </c>
      <c r="G138" s="9" t="str">
        <v/>
      </c>
      <c r="H138" s="9" t="str">
        <v>RF-01T-0172</v>
      </c>
      <c r="I138" s="11" t="str">
        <v>RF-01T-0172]ARM CVR REAR L</v>
      </c>
      <c r="J138" s="9">
        <v>16</v>
      </c>
      <c r="K138" s="9" t="str">
        <v/>
      </c>
      <c r="L138" s="9" t="str">
        <v>3B5</v>
      </c>
      <c r="M138" s="12">
        <v>46287</v>
      </c>
      <c r="N138" s="5" t="str">
        <v/>
      </c>
      <c r="O138" s="5" t="str">
        <v/>
      </c>
      <c r="P138" s="5" t="str">
        <v/>
      </c>
      <c r="Q138" s="14" t="str">
        <v/>
      </c>
      <c r="R138" s="15">
        <v>16</v>
      </c>
    </row>
    <row r="139" spans="2:18" x14ac:dyDescent="0.35">
      <c r="B139" s="9">
        <v>1883</v>
      </c>
      <c r="C139" s="9" t="str">
        <v>가용재고</v>
      </c>
      <c r="D139" s="9" t="str">
        <v/>
      </c>
      <c r="E139" s="9" t="str">
        <v/>
      </c>
      <c r="F139" s="9" t="str">
        <v/>
      </c>
      <c r="G139" s="9" t="str">
        <v/>
      </c>
      <c r="H139" s="9" t="str">
        <v>RA-03T-0076</v>
      </c>
      <c r="I139" s="11" t="str">
        <v>RA-03T-0076]CAS MIRROR DECO</v>
      </c>
      <c r="J139" s="9">
        <v>16</v>
      </c>
      <c r="K139" s="9" t="str">
        <v/>
      </c>
      <c r="L139" s="9" t="str">
        <v>S</v>
      </c>
      <c r="M139" s="12">
        <v>46295</v>
      </c>
      <c r="N139" s="5" t="str">
        <v/>
      </c>
      <c r="O139" s="5" t="str">
        <v/>
      </c>
      <c r="P139" s="5" t="str">
        <v/>
      </c>
      <c r="Q139" s="14" t="str">
        <v/>
      </c>
      <c r="R139" s="15">
        <v>16</v>
      </c>
    </row>
    <row r="140" spans="2:18" x14ac:dyDescent="0.35">
      <c r="B140" s="9">
        <v>1957</v>
      </c>
      <c r="C140" s="9" t="str">
        <v>가용재고</v>
      </c>
      <c r="D140" s="9" t="str">
        <v/>
      </c>
      <c r="E140" s="9" t="str">
        <v>입고</v>
      </c>
      <c r="F140" s="9" t="str">
        <v>A&amp;T</v>
      </c>
      <c r="G140" s="9" t="str">
        <v>장동은</v>
      </c>
      <c r="H140" s="9" t="str">
        <v>RE-06A-0601</v>
      </c>
      <c r="I140" s="11" t="str">
        <v>RE-06A-0601]ASM COLLIMATOR MODULE</v>
      </c>
      <c r="J140" s="9">
        <v>16</v>
      </c>
      <c r="K140" s="9" t="str">
        <v/>
      </c>
      <c r="L140" s="9" t="str">
        <v>K8</v>
      </c>
      <c r="M140" s="12">
        <v>46296</v>
      </c>
      <c r="N140" s="5" t="str">
        <v/>
      </c>
      <c r="O140" s="5" t="str">
        <v/>
      </c>
      <c r="P140" s="5" t="str">
        <v/>
      </c>
      <c r="Q140" s="14" t="str">
        <v/>
      </c>
      <c r="R140" s="15">
        <v>16</v>
      </c>
    </row>
    <row r="141" spans="2:18" x14ac:dyDescent="0.35">
      <c r="B141" s="9">
        <v>249</v>
      </c>
      <c r="C141" s="9" t="str">
        <v>가용재고</v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>RA-08V-1872</v>
      </c>
      <c r="I141" s="11" t="str">
        <v>RA-08V-1872]BLK MOUNT OCG SNSR (VW)</v>
      </c>
      <c r="J141" s="9">
        <v>17</v>
      </c>
      <c r="K141" s="9" t="str">
        <v/>
      </c>
      <c r="L141" s="9" t="str">
        <v>E2-5</v>
      </c>
      <c r="M141" s="12">
        <v>46232</v>
      </c>
      <c r="N141" s="5" t="str">
        <v/>
      </c>
      <c r="O141" s="5" t="str">
        <v/>
      </c>
      <c r="P141" s="5" t="str">
        <v/>
      </c>
      <c r="Q141" s="14" t="str">
        <v/>
      </c>
      <c r="R141" s="15">
        <v>17</v>
      </c>
    </row>
    <row r="142" spans="2:18" x14ac:dyDescent="0.35">
      <c r="B142" s="9">
        <v>339</v>
      </c>
      <c r="C142" s="9" t="str">
        <v>가용재고</v>
      </c>
      <c r="D142" s="9" t="str">
        <v/>
      </c>
      <c r="E142" s="9" t="str">
        <v>입고</v>
      </c>
      <c r="F142" s="9" t="str">
        <v/>
      </c>
      <c r="G142" s="9" t="str">
        <v/>
      </c>
      <c r="H142" s="9" t="str">
        <v>RF-01H-5070</v>
      </c>
      <c r="I142" s="11" t="str">
        <v>RF-01H-5070]Power Switch harness</v>
      </c>
      <c r="J142" s="9">
        <v>17</v>
      </c>
      <c r="K142" s="9" t="str">
        <v/>
      </c>
      <c r="L142" s="9" t="str">
        <v>3S3-6</v>
      </c>
      <c r="M142" s="12">
        <v>46253</v>
      </c>
      <c r="N142" s="5" t="str">
        <v/>
      </c>
      <c r="O142" s="5" t="str">
        <v/>
      </c>
      <c r="P142" s="5" t="str">
        <v/>
      </c>
      <c r="Q142" s="14" t="str">
        <v/>
      </c>
      <c r="R142" s="15">
        <v>17</v>
      </c>
    </row>
    <row r="143" spans="2:18" x14ac:dyDescent="0.35">
      <c r="B143" s="9">
        <v>896</v>
      </c>
      <c r="C143" s="9" t="str">
        <v>가용재고</v>
      </c>
      <c r="D143" s="9" t="str">
        <v/>
      </c>
      <c r="E143" s="9" t="str">
        <v>기초</v>
      </c>
      <c r="F143" s="9" t="str">
        <v/>
      </c>
      <c r="G143" s="9" t="str">
        <v/>
      </c>
      <c r="H143" s="9" t="str">
        <v>RA-02A-6082</v>
      </c>
      <c r="I143" s="11" t="str">
        <v>RA-02A-6082]INDICATOR_L Bd</v>
      </c>
      <c r="J143" s="9">
        <v>17</v>
      </c>
      <c r="K143" s="9" t="str">
        <v/>
      </c>
      <c r="L143" s="9" t="str">
        <v>A7-1</v>
      </c>
      <c r="M143" s="12">
        <v>46276</v>
      </c>
      <c r="N143" s="5" t="str">
        <v/>
      </c>
      <c r="O143" s="5" t="str">
        <v/>
      </c>
      <c r="P143" s="5" t="str">
        <v/>
      </c>
      <c r="Q143" s="14" t="str">
        <v/>
      </c>
      <c r="R143" s="15">
        <v>17</v>
      </c>
    </row>
    <row r="144" spans="2:18" x14ac:dyDescent="0.35">
      <c r="B144" s="9">
        <v>1225</v>
      </c>
      <c r="C144" s="9" t="str">
        <v>가용재고</v>
      </c>
      <c r="D144" s="9" t="str">
        <v/>
      </c>
      <c r="E144" s="9" t="str">
        <v>반납</v>
      </c>
      <c r="F144" s="9" t="str">
        <v/>
      </c>
      <c r="G144" s="9" t="str">
        <v/>
      </c>
      <c r="H144" s="9" t="str">
        <v>RF-01V-0197</v>
      </c>
      <c r="I144" s="11" t="str">
        <v>RF-01V-0197]JETSON BRK</v>
      </c>
      <c r="J144" s="9">
        <v>17</v>
      </c>
      <c r="K144" s="9" t="str">
        <v/>
      </c>
      <c r="L144" s="9" t="str">
        <v>3F3</v>
      </c>
      <c r="M144" s="12">
        <v>46287</v>
      </c>
      <c r="N144" s="5" t="str">
        <v/>
      </c>
      <c r="O144" s="5" t="str">
        <v/>
      </c>
      <c r="P144" s="5" t="str">
        <v/>
      </c>
      <c r="Q144" s="14" t="str">
        <v/>
      </c>
      <c r="R144" s="15">
        <v>17</v>
      </c>
    </row>
    <row r="145" spans="2:18" x14ac:dyDescent="0.35">
      <c r="B145" s="9">
        <v>1234</v>
      </c>
      <c r="C145" s="9" t="str">
        <v>가용재고</v>
      </c>
      <c r="D145" s="9" t="str">
        <v/>
      </c>
      <c r="E145" s="9" t="str">
        <v>반납</v>
      </c>
      <c r="F145" s="9" t="str">
        <v/>
      </c>
      <c r="G145" s="9" t="str">
        <v/>
      </c>
      <c r="H145" s="9" t="str">
        <v>RF-01M-0398</v>
      </c>
      <c r="I145" s="11" t="str">
        <v>RF-01M-0398]COVER TOP</v>
      </c>
      <c r="J145" s="9">
        <v>17</v>
      </c>
      <c r="K145" s="9" t="str">
        <v/>
      </c>
      <c r="L145" s="9" t="str">
        <v>3E5</v>
      </c>
      <c r="M145" s="12">
        <v>46287</v>
      </c>
      <c r="N145" s="5" t="str">
        <v/>
      </c>
      <c r="O145" s="5" t="str">
        <v/>
      </c>
      <c r="P145" s="5" t="str">
        <v/>
      </c>
      <c r="Q145" s="14" t="str">
        <v/>
      </c>
      <c r="R145" s="15">
        <v>17</v>
      </c>
    </row>
    <row r="146" spans="2:18" x14ac:dyDescent="0.35">
      <c r="B146" s="9">
        <v>2270</v>
      </c>
      <c r="C146" s="9" t="str">
        <v>가용재고</v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>RF-01T-0241</v>
      </c>
      <c r="I146" s="11" t="str">
        <v>RF-01T-0241]CAL Bas UPPER</v>
      </c>
      <c r="J146" s="9">
        <v>17</v>
      </c>
      <c r="K146" s="9" t="str">
        <v/>
      </c>
      <c r="L146" s="9" t="str">
        <v>3E5</v>
      </c>
      <c r="M146" s="12">
        <v>46301</v>
      </c>
      <c r="N146" s="5" t="str">
        <v/>
      </c>
      <c r="O146" s="5" t="str">
        <v/>
      </c>
      <c r="P146" s="5" t="str">
        <v/>
      </c>
      <c r="Q146" s="14" t="str">
        <v/>
      </c>
      <c r="R146" s="15">
        <v>17</v>
      </c>
    </row>
    <row r="147" spans="2:18" x14ac:dyDescent="0.35">
      <c r="B147" s="9">
        <v>2310</v>
      </c>
      <c r="C147" s="9" t="str">
        <v>가용재고</v>
      </c>
      <c r="D147" s="9" t="str">
        <v/>
      </c>
      <c r="E147" s="9" t="str">
        <v/>
      </c>
      <c r="F147" s="9" t="str">
        <v/>
      </c>
      <c r="G147" s="9" t="str">
        <v/>
      </c>
      <c r="H147" s="9" t="str">
        <v>RE-05A-1050</v>
      </c>
      <c r="I147" s="11" t="str">
        <v>RE-05A-1050]ASM ROTATOR MODULE</v>
      </c>
      <c r="J147" s="9">
        <v>17</v>
      </c>
      <c r="K147" s="9" t="str">
        <v/>
      </c>
      <c r="L147" s="9" t="str">
        <v>K8</v>
      </c>
      <c r="M147" s="12">
        <v>46302</v>
      </c>
      <c r="N147" s="5" t="str">
        <v/>
      </c>
      <c r="O147" s="5" t="str">
        <v/>
      </c>
      <c r="P147" s="5" t="str">
        <v/>
      </c>
      <c r="Q147" s="14" t="str">
        <v/>
      </c>
      <c r="R147" s="15">
        <v>17</v>
      </c>
    </row>
    <row r="148" spans="2:18" x14ac:dyDescent="0.35">
      <c r="B148" s="9">
        <v>261</v>
      </c>
      <c r="C148" s="9" t="str">
        <v>가용재고</v>
      </c>
      <c r="D148" s="9" t="str">
        <v/>
      </c>
      <c r="E148" s="9" t="str">
        <v/>
      </c>
      <c r="F148" s="9" t="str">
        <v/>
      </c>
      <c r="G148" s="9" t="str">
        <v/>
      </c>
      <c r="H148" s="9" t="str">
        <v>RA-08V-2688</v>
      </c>
      <c r="I148" s="11" t="str">
        <v>RA-08V-2688]SPACER WASHER HEADREST (VW)</v>
      </c>
      <c r="J148" s="9">
        <v>18</v>
      </c>
      <c r="K148" s="9" t="str">
        <v/>
      </c>
      <c r="L148" s="9" t="str">
        <v>E2-6</v>
      </c>
      <c r="M148" s="12">
        <v>46232</v>
      </c>
      <c r="N148" s="5" t="str">
        <v/>
      </c>
      <c r="O148" s="5" t="str">
        <v/>
      </c>
      <c r="P148" s="5" t="str">
        <v/>
      </c>
      <c r="Q148" s="14" t="str">
        <v/>
      </c>
      <c r="R148" s="15">
        <v>18</v>
      </c>
    </row>
    <row r="149" spans="2:18" x14ac:dyDescent="0.35">
      <c r="B149" s="9">
        <v>1221</v>
      </c>
      <c r="C149" s="9" t="str">
        <v>가용재고</v>
      </c>
      <c r="D149" s="9" t="str">
        <v/>
      </c>
      <c r="E149" s="9" t="str">
        <v>반납</v>
      </c>
      <c r="F149" s="9" t="str">
        <v/>
      </c>
      <c r="G149" s="9" t="str">
        <v/>
      </c>
      <c r="H149" s="9" t="str">
        <v>RF-01B-5040</v>
      </c>
      <c r="I149" s="11" t="str">
        <v>RF-01B-5040]MAIN Bd</v>
      </c>
      <c r="J149" s="9">
        <v>18</v>
      </c>
      <c r="K149" s="9" t="str">
        <v/>
      </c>
      <c r="L149" s="9" t="str">
        <v>A5-4</v>
      </c>
      <c r="M149" s="12">
        <v>46287</v>
      </c>
      <c r="N149" s="5" t="str">
        <v/>
      </c>
      <c r="O149" s="5" t="str">
        <v/>
      </c>
      <c r="P149" s="5" t="str">
        <v/>
      </c>
      <c r="Q149" s="14" t="str">
        <v/>
      </c>
      <c r="R149" s="15">
        <v>18</v>
      </c>
    </row>
    <row r="150" spans="2:18" x14ac:dyDescent="0.35">
      <c r="B150" s="9">
        <v>1233</v>
      </c>
      <c r="C150" s="9" t="str">
        <v>가용재고</v>
      </c>
      <c r="D150" s="9" t="str">
        <v/>
      </c>
      <c r="E150" s="9" t="str">
        <v>반납</v>
      </c>
      <c r="F150" s="9" t="str">
        <v/>
      </c>
      <c r="G150" s="9" t="str">
        <v/>
      </c>
      <c r="H150" s="9" t="str">
        <v>RF-01M-0397</v>
      </c>
      <c r="I150" s="11" t="str">
        <v>RF-01M-0397]COVER BOTTOM</v>
      </c>
      <c r="J150" s="9">
        <v>18</v>
      </c>
      <c r="K150" s="9" t="str">
        <v/>
      </c>
      <c r="L150" s="9" t="str">
        <v>3E5</v>
      </c>
      <c r="M150" s="12">
        <v>46287</v>
      </c>
      <c r="N150" s="5" t="str">
        <v/>
      </c>
      <c r="O150" s="5" t="str">
        <v/>
      </c>
      <c r="P150" s="5" t="str">
        <v/>
      </c>
      <c r="Q150" s="14" t="str">
        <v/>
      </c>
      <c r="R150" s="15">
        <v>18</v>
      </c>
    </row>
    <row r="151" spans="2:18" x14ac:dyDescent="0.35">
      <c r="B151" s="9">
        <v>1238</v>
      </c>
      <c r="C151" s="9" t="str">
        <v>가용재고</v>
      </c>
      <c r="D151" s="9" t="str">
        <v/>
      </c>
      <c r="E151" s="9" t="str">
        <v>반납</v>
      </c>
      <c r="F151" s="9" t="str">
        <v/>
      </c>
      <c r="G151" s="9" t="str">
        <v/>
      </c>
      <c r="H151" s="9" t="str">
        <v>RF-01S-5095</v>
      </c>
      <c r="I151" s="11" t="str">
        <v/>
      </c>
      <c r="J151" s="9">
        <v>18</v>
      </c>
      <c r="K151" s="9" t="str">
        <v/>
      </c>
      <c r="L151" s="9" t="str">
        <v>3F10</v>
      </c>
      <c r="M151" s="12">
        <v>46287</v>
      </c>
      <c r="N151" s="5" t="str">
        <v/>
      </c>
      <c r="O151" s="5" t="str">
        <v/>
      </c>
      <c r="P151" s="5" t="str">
        <v/>
      </c>
      <c r="Q151" s="14" t="str">
        <v/>
      </c>
      <c r="R151" s="15">
        <v>18</v>
      </c>
    </row>
    <row r="152" spans="2:18" x14ac:dyDescent="0.35">
      <c r="B152" s="9">
        <v>1263</v>
      </c>
      <c r="C152" s="9" t="str">
        <v>가용재고</v>
      </c>
      <c r="D152" s="9" t="str">
        <v/>
      </c>
      <c r="E152" s="9" t="str">
        <v>반납</v>
      </c>
      <c r="F152" s="9" t="str">
        <v/>
      </c>
      <c r="G152" s="9" t="str">
        <v/>
      </c>
      <c r="H152" s="9" t="str">
        <v>RF-01T-0196</v>
      </c>
      <c r="I152" s="11" t="str">
        <v>RF-01T-0196]CVR REAR</v>
      </c>
      <c r="J152" s="9">
        <v>18</v>
      </c>
      <c r="K152" s="9" t="str">
        <v/>
      </c>
      <c r="L152" s="9" t="str">
        <v>3I5</v>
      </c>
      <c r="M152" s="12">
        <v>46287</v>
      </c>
      <c r="N152" s="5" t="str">
        <v/>
      </c>
      <c r="O152" s="5" t="str">
        <v/>
      </c>
      <c r="P152" s="5" t="str">
        <v/>
      </c>
      <c r="Q152" s="14" t="str">
        <v/>
      </c>
      <c r="R152" s="15">
        <v>18</v>
      </c>
    </row>
    <row r="153" spans="2:18" x14ac:dyDescent="0.35">
      <c r="B153" s="9">
        <v>1269</v>
      </c>
      <c r="C153" s="9" t="str">
        <v>가용재고</v>
      </c>
      <c r="D153" s="9" t="str">
        <v/>
      </c>
      <c r="E153" s="9" t="str">
        <v>반납</v>
      </c>
      <c r="F153" s="9" t="str">
        <v/>
      </c>
      <c r="G153" s="9" t="str">
        <v/>
      </c>
      <c r="H153" s="9" t="str">
        <v>RF-01M-0256</v>
      </c>
      <c r="I153" s="11" t="str">
        <v>USB HOLDER FRONT</v>
      </c>
      <c r="J153" s="9">
        <v>18</v>
      </c>
      <c r="K153" s="9" t="str">
        <v/>
      </c>
      <c r="L153" s="9" t="str">
        <v>3L4-4</v>
      </c>
      <c r="M153" s="12">
        <v>46287</v>
      </c>
      <c r="N153" s="5" t="str">
        <v/>
      </c>
      <c r="O153" s="5" t="str">
        <v/>
      </c>
      <c r="P153" s="5" t="str">
        <v/>
      </c>
      <c r="Q153" s="14" t="str">
        <v/>
      </c>
      <c r="R153" s="15">
        <v>18</v>
      </c>
    </row>
    <row r="154" spans="2:18" x14ac:dyDescent="0.35">
      <c r="B154" s="9">
        <v>2274</v>
      </c>
      <c r="C154" s="9" t="str">
        <v>가용재고</v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>RF-01M-0200</v>
      </c>
      <c r="I154" s="11" t="str">
        <v>RF-01M-0200]MIRROR PLT</v>
      </c>
      <c r="J154" s="9">
        <v>18</v>
      </c>
      <c r="K154" s="9" t="str">
        <v/>
      </c>
      <c r="L154" s="9" t="str">
        <v>3L4-3</v>
      </c>
      <c r="M154" s="12">
        <v>46301</v>
      </c>
      <c r="N154" s="5" t="str">
        <v/>
      </c>
      <c r="O154" s="5" t="str">
        <v/>
      </c>
      <c r="P154" s="5" t="str">
        <v/>
      </c>
      <c r="Q154" s="14" t="str">
        <v/>
      </c>
      <c r="R154" s="15">
        <v>18</v>
      </c>
    </row>
    <row r="155" spans="2:18" x14ac:dyDescent="0.35">
      <c r="B155" s="9">
        <v>2521</v>
      </c>
      <c r="C155" s="9" t="str">
        <v>가용재고</v>
      </c>
      <c r="D155" s="9" t="str">
        <v/>
      </c>
      <c r="E155" s="9" t="str">
        <v/>
      </c>
      <c r="F155" s="9" t="str">
        <v/>
      </c>
      <c r="G155" s="9" t="str">
        <v/>
      </c>
      <c r="H155" s="9" t="str">
        <v>RA-03V-1639</v>
      </c>
      <c r="I155" s="11" t="str">
        <v>RA-03V-1639]PLT ELECT COMPONENT (VA)</v>
      </c>
      <c r="J155" s="9">
        <v>18</v>
      </c>
      <c r="K155" s="9" t="str">
        <v/>
      </c>
      <c r="L155" s="9" t="str">
        <v>M2</v>
      </c>
      <c r="M155" s="12">
        <v>46308</v>
      </c>
      <c r="N155" s="5" t="str">
        <v/>
      </c>
      <c r="O155" s="5" t="str">
        <v/>
      </c>
      <c r="P155" s="5" t="str">
        <v/>
      </c>
      <c r="Q155" s="14" t="str">
        <v/>
      </c>
      <c r="R155" s="15">
        <v>18</v>
      </c>
    </row>
    <row r="156" spans="2:18" x14ac:dyDescent="0.35">
      <c r="B156" s="9">
        <v>247</v>
      </c>
      <c r="C156" s="9" t="str">
        <v>가용재고</v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>RA-08V-0737</v>
      </c>
      <c r="I156" s="11" t="str">
        <v>RA-08V-0737]CVR OC HEADREST BOT</v>
      </c>
      <c r="J156" s="9">
        <v>19</v>
      </c>
      <c r="K156" s="9" t="str">
        <v/>
      </c>
      <c r="L156" s="9" t="str">
        <v>F1</v>
      </c>
      <c r="M156" s="12">
        <v>46232</v>
      </c>
      <c r="N156" s="5" t="str">
        <v/>
      </c>
      <c r="O156" s="5" t="str">
        <v/>
      </c>
      <c r="P156" s="5" t="str">
        <v/>
      </c>
      <c r="Q156" s="14" t="str">
        <v/>
      </c>
      <c r="R156" s="15">
        <v>19</v>
      </c>
    </row>
    <row r="157" spans="2:18" x14ac:dyDescent="0.35">
      <c r="B157" s="9">
        <v>250</v>
      </c>
      <c r="C157" s="9" t="str">
        <v>가용재고</v>
      </c>
      <c r="D157" s="9" t="str">
        <v/>
      </c>
      <c r="E157" s="9" t="str">
        <v/>
      </c>
      <c r="F157" s="9" t="str">
        <v/>
      </c>
      <c r="G157" s="9" t="str">
        <v/>
      </c>
      <c r="H157" s="9" t="str">
        <v>RA-08V-2662</v>
      </c>
      <c r="I157" s="11" t="str">
        <v>RA-08V-2662]HOOK CAS CEPH SNSR (R)</v>
      </c>
      <c r="J157" s="9">
        <v>19</v>
      </c>
      <c r="K157" s="9" t="str">
        <v/>
      </c>
      <c r="L157" s="9" t="str">
        <v>E2-5</v>
      </c>
      <c r="M157" s="12">
        <v>46232</v>
      </c>
      <c r="N157" s="5" t="str">
        <v/>
      </c>
      <c r="O157" s="5" t="str">
        <v/>
      </c>
      <c r="P157" s="5" t="str">
        <v/>
      </c>
      <c r="Q157" s="14" t="str">
        <v/>
      </c>
      <c r="R157" s="15">
        <v>19</v>
      </c>
    </row>
    <row r="158" spans="2:18" x14ac:dyDescent="0.35">
      <c r="B158" s="9">
        <v>254</v>
      </c>
      <c r="C158" s="9" t="str">
        <v>가용재고</v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>RA-08V-2667</v>
      </c>
      <c r="I158" s="11" t="str">
        <v>RA-08V-2667]BRK EARLOD FIX B (VW)</v>
      </c>
      <c r="J158" s="9">
        <v>19</v>
      </c>
      <c r="K158" s="9" t="str">
        <v/>
      </c>
      <c r="L158" s="9" t="str">
        <v>E1-5</v>
      </c>
      <c r="M158" s="12">
        <v>46232</v>
      </c>
      <c r="N158" s="5" t="str">
        <v/>
      </c>
      <c r="O158" s="5" t="str">
        <v/>
      </c>
      <c r="P158" s="5" t="str">
        <v/>
      </c>
      <c r="Q158" s="14" t="str">
        <v/>
      </c>
      <c r="R158" s="15">
        <v>19</v>
      </c>
    </row>
    <row r="159" spans="2:18" x14ac:dyDescent="0.35">
      <c r="B159" s="9">
        <v>260</v>
      </c>
      <c r="C159" s="9" t="str">
        <v>가용재고</v>
      </c>
      <c r="D159" s="9" t="str">
        <v/>
      </c>
      <c r="E159" s="9" t="str">
        <v/>
      </c>
      <c r="F159" s="9" t="str">
        <v/>
      </c>
      <c r="G159" s="9" t="str">
        <v/>
      </c>
      <c r="H159" s="9" t="str">
        <v>RA-08V-2683</v>
      </c>
      <c r="I159" s="11" t="str">
        <v>RA-08V-2683]PLT CEPH ARM FIX (VW)</v>
      </c>
      <c r="J159" s="9">
        <v>19</v>
      </c>
      <c r="K159" s="9" t="str">
        <v/>
      </c>
      <c r="L159" s="9" t="str">
        <v>E2-6</v>
      </c>
      <c r="M159" s="12">
        <v>46232</v>
      </c>
      <c r="N159" s="5" t="str">
        <v/>
      </c>
      <c r="O159" s="5" t="str">
        <v/>
      </c>
      <c r="P159" s="5" t="str">
        <v/>
      </c>
      <c r="Q159" s="14" t="str">
        <v/>
      </c>
      <c r="R159" s="15">
        <v>19</v>
      </c>
    </row>
    <row r="160" spans="2:18" x14ac:dyDescent="0.35">
      <c r="B160" s="9">
        <v>1349</v>
      </c>
      <c r="C160" s="9" t="str">
        <v>가용재고</v>
      </c>
      <c r="D160" s="9" t="str">
        <v/>
      </c>
      <c r="E160" s="9" t="str">
        <v/>
      </c>
      <c r="F160" s="9" t="str">
        <v/>
      </c>
      <c r="G160" s="9" t="str">
        <v/>
      </c>
      <c r="H160" s="9" t="str">
        <v>RF-01S-5094</v>
      </c>
      <c r="I160" s="11" t="str">
        <v/>
      </c>
      <c r="J160" s="9">
        <v>19</v>
      </c>
      <c r="K160" s="9" t="str">
        <v/>
      </c>
      <c r="L160" s="9" t="str">
        <v>3F10</v>
      </c>
      <c r="M160" s="12">
        <v>46287</v>
      </c>
      <c r="N160" s="5" t="str">
        <v/>
      </c>
      <c r="O160" s="5" t="str">
        <v/>
      </c>
      <c r="P160" s="5" t="str">
        <v/>
      </c>
      <c r="Q160" s="14" t="str">
        <v/>
      </c>
      <c r="R160" s="15">
        <v>19</v>
      </c>
    </row>
    <row r="161" spans="2:18" x14ac:dyDescent="0.35">
      <c r="B161" s="9">
        <v>248</v>
      </c>
      <c r="C161" s="9" t="str">
        <v>가용재고</v>
      </c>
      <c r="D161" s="9" t="str">
        <v/>
      </c>
      <c r="E161" s="9" t="str">
        <v/>
      </c>
      <c r="F161" s="9" t="str">
        <v/>
      </c>
      <c r="G161" s="9" t="str">
        <v/>
      </c>
      <c r="H161" s="9" t="str">
        <v>RA-08V-0974</v>
      </c>
      <c r="I161" s="11" t="str">
        <v>RA-08V-0974]BRK WIRE MOUNT</v>
      </c>
      <c r="J161" s="9">
        <v>20</v>
      </c>
      <c r="K161" s="9" t="str">
        <v/>
      </c>
      <c r="L161" s="9" t="str">
        <v>E1-3</v>
      </c>
      <c r="M161" s="12">
        <v>46232</v>
      </c>
      <c r="N161" s="5" t="str">
        <v/>
      </c>
      <c r="O161" s="5" t="str">
        <v/>
      </c>
      <c r="P161" s="5" t="str">
        <v/>
      </c>
      <c r="Q161" s="14" t="str">
        <v/>
      </c>
      <c r="R161" s="15">
        <v>20</v>
      </c>
    </row>
    <row r="162" spans="2:18" x14ac:dyDescent="0.35">
      <c r="B162" s="9">
        <v>399</v>
      </c>
      <c r="C162" s="9" t="str">
        <v>가용재고</v>
      </c>
      <c r="D162" s="9" t="str">
        <v/>
      </c>
      <c r="E162" s="9" t="str">
        <v>입고</v>
      </c>
      <c r="F162" s="9" t="str">
        <v/>
      </c>
      <c r="G162" s="9" t="str">
        <v/>
      </c>
      <c r="H162" s="9" t="str">
        <v>RF-01H-5070</v>
      </c>
      <c r="I162" s="11" t="str">
        <v>RF-01H-5070]Power Switch harness</v>
      </c>
      <c r="J162" s="9">
        <v>20</v>
      </c>
      <c r="K162" s="9" t="str">
        <v/>
      </c>
      <c r="L162" s="9" t="str">
        <v>3S3-6</v>
      </c>
      <c r="M162" s="12">
        <v>46255</v>
      </c>
      <c r="N162" s="5" t="str">
        <v/>
      </c>
      <c r="O162" s="5" t="str">
        <v/>
      </c>
      <c r="P162" s="5" t="str">
        <v/>
      </c>
      <c r="Q162" s="14" t="str">
        <v/>
      </c>
      <c r="R162" s="15">
        <v>20</v>
      </c>
    </row>
    <row r="163" spans="2:18" x14ac:dyDescent="0.35">
      <c r="B163" s="9">
        <v>458</v>
      </c>
      <c r="C163" s="9" t="str">
        <v>가용재고</v>
      </c>
      <c r="D163" s="9" t="str">
        <v/>
      </c>
      <c r="E163" s="9" t="str">
        <v/>
      </c>
      <c r="F163" s="9" t="str">
        <v/>
      </c>
      <c r="G163" s="9" t="str">
        <v/>
      </c>
      <c r="H163" s="9" t="str">
        <v>RF-01H-5067</v>
      </c>
      <c r="I163" s="11" t="str">
        <v>RF-01H-5067]LED_Right harness</v>
      </c>
      <c r="J163" s="9">
        <v>20</v>
      </c>
      <c r="K163" s="9" t="str">
        <v/>
      </c>
      <c r="L163" s="9" t="str">
        <v>3S3-5</v>
      </c>
      <c r="M163" s="12">
        <v>46259</v>
      </c>
      <c r="N163" s="5" t="str">
        <v/>
      </c>
      <c r="O163" s="5" t="str">
        <v/>
      </c>
      <c r="P163" s="5" t="str">
        <v/>
      </c>
      <c r="Q163" s="14" t="str">
        <v/>
      </c>
      <c r="R163" s="15">
        <v>20</v>
      </c>
    </row>
    <row r="164" spans="2:18" x14ac:dyDescent="0.35">
      <c r="B164" s="9">
        <v>897</v>
      </c>
      <c r="C164" s="9" t="str">
        <v>가용재고</v>
      </c>
      <c r="D164" s="9" t="str">
        <v/>
      </c>
      <c r="E164" s="9" t="str">
        <v>기초</v>
      </c>
      <c r="F164" s="9" t="str">
        <v/>
      </c>
      <c r="G164" s="9" t="str">
        <v/>
      </c>
      <c r="H164" s="9" t="str">
        <v>RA-01V-3822</v>
      </c>
      <c r="I164" s="11" t="str">
        <v>RA-01V-3822]BRK Bas CVR B (MG)</v>
      </c>
      <c r="J164" s="9">
        <v>20</v>
      </c>
      <c r="K164" s="9" t="str">
        <v/>
      </c>
      <c r="L164" s="9" t="str">
        <v>N2-3</v>
      </c>
      <c r="M164" s="12">
        <v>46276</v>
      </c>
      <c r="N164" s="5" t="str">
        <v/>
      </c>
      <c r="O164" s="5" t="str">
        <v/>
      </c>
      <c r="P164" s="5" t="str">
        <v/>
      </c>
      <c r="Q164" s="14" t="str">
        <v/>
      </c>
      <c r="R164" s="15">
        <v>20</v>
      </c>
    </row>
    <row r="165" spans="2:18" x14ac:dyDescent="0.35">
      <c r="B165" s="9">
        <v>898</v>
      </c>
      <c r="C165" s="9" t="str">
        <v>가용재고</v>
      </c>
      <c r="D165" s="9" t="str">
        <v/>
      </c>
      <c r="E165" s="9" t="str">
        <v>기초</v>
      </c>
      <c r="F165" s="9" t="str">
        <v/>
      </c>
      <c r="G165" s="9" t="str">
        <v/>
      </c>
      <c r="H165" s="9" t="str">
        <v>RA-01V-3823</v>
      </c>
      <c r="I165" s="11" t="str">
        <v>RA-01V-3823]BRK Bas CVR A (MG)</v>
      </c>
      <c r="J165" s="9">
        <v>20</v>
      </c>
      <c r="K165" s="9" t="str">
        <v/>
      </c>
      <c r="L165" s="9" t="str">
        <v>N2-3</v>
      </c>
      <c r="M165" s="12">
        <v>46276</v>
      </c>
      <c r="N165" s="5" t="str">
        <v/>
      </c>
      <c r="O165" s="5" t="str">
        <v/>
      </c>
      <c r="P165" s="5" t="str">
        <v/>
      </c>
      <c r="Q165" s="14" t="str">
        <v/>
      </c>
      <c r="R165" s="15">
        <v>20</v>
      </c>
    </row>
    <row r="166" spans="2:18" x14ac:dyDescent="0.35">
      <c r="B166" s="9">
        <v>899</v>
      </c>
      <c r="C166" s="9" t="str">
        <v>가용재고</v>
      </c>
      <c r="D166" s="9" t="str">
        <v/>
      </c>
      <c r="E166" s="9" t="str">
        <v>기초</v>
      </c>
      <c r="F166" s="9" t="str">
        <v/>
      </c>
      <c r="G166" s="9" t="str">
        <v/>
      </c>
      <c r="H166" s="9" t="str">
        <v>RA-05V-3922</v>
      </c>
      <c r="I166" s="11" t="str">
        <v>RA-05V-3922]BRK ROT BOT DECO (MG)</v>
      </c>
      <c r="J166" s="9">
        <v>20</v>
      </c>
      <c r="K166" s="9" t="str">
        <v/>
      </c>
      <c r="L166" s="9" t="str">
        <v>N3-3</v>
      </c>
      <c r="M166" s="12">
        <v>46276</v>
      </c>
      <c r="N166" s="5" t="str">
        <v/>
      </c>
      <c r="O166" s="5" t="str">
        <v/>
      </c>
      <c r="P166" s="5" t="str">
        <v/>
      </c>
      <c r="Q166" s="14" t="str">
        <v/>
      </c>
      <c r="R166" s="15">
        <v>20</v>
      </c>
    </row>
    <row r="167" spans="2:18" x14ac:dyDescent="0.35">
      <c r="B167" s="9">
        <v>1341</v>
      </c>
      <c r="C167" s="9" t="str">
        <v>가용재고</v>
      </c>
      <c r="D167" s="9" t="str">
        <v/>
      </c>
      <c r="E167" s="9" t="str">
        <v/>
      </c>
      <c r="F167" s="9" t="str">
        <v/>
      </c>
      <c r="G167" s="9" t="str">
        <v/>
      </c>
      <c r="H167" s="9" t="str">
        <v>RD-00S-5201</v>
      </c>
      <c r="I167" s="11" t="str">
        <v>RD-00S-5201]USB A to B Cable</v>
      </c>
      <c r="J167" s="9">
        <v>20</v>
      </c>
      <c r="K167" s="9" t="str">
        <v/>
      </c>
      <c r="L167" s="9" t="str">
        <v>3S3-2</v>
      </c>
      <c r="M167" s="12">
        <v>46287</v>
      </c>
      <c r="N167" s="5" t="str">
        <v/>
      </c>
      <c r="O167" s="5" t="str">
        <v/>
      </c>
      <c r="P167" s="5" t="str">
        <v/>
      </c>
      <c r="Q167" s="14" t="str">
        <v/>
      </c>
      <c r="R167" s="15">
        <v>20</v>
      </c>
    </row>
    <row r="168" spans="2:18" x14ac:dyDescent="0.35">
      <c r="B168" s="9">
        <v>1955</v>
      </c>
      <c r="C168" s="9" t="str">
        <v>가용재고</v>
      </c>
      <c r="D168" s="9" t="str">
        <v/>
      </c>
      <c r="E168" s="9" t="str">
        <v>입고</v>
      </c>
      <c r="F168" s="9" t="str">
        <v>A&amp;T</v>
      </c>
      <c r="G168" s="9" t="str">
        <v>장동은</v>
      </c>
      <c r="H168" s="9" t="str">
        <v>RF-20A-0369</v>
      </c>
      <c r="I168" s="11" t="str">
        <v>MODULE ARM RIGHT</v>
      </c>
      <c r="J168" s="9">
        <v>20</v>
      </c>
      <c r="K168" s="9" t="str">
        <v/>
      </c>
      <c r="L168" s="9" t="str">
        <v>3C6</v>
      </c>
      <c r="M168" s="12">
        <v>46296</v>
      </c>
      <c r="N168" s="5" t="str">
        <v/>
      </c>
      <c r="O168" s="5" t="str">
        <v/>
      </c>
      <c r="P168" s="5" t="str">
        <v/>
      </c>
      <c r="Q168" s="14" t="str">
        <v/>
      </c>
      <c r="R168" s="15">
        <v>20</v>
      </c>
    </row>
    <row r="169" spans="2:18" x14ac:dyDescent="0.35">
      <c r="B169" s="9">
        <v>2392</v>
      </c>
      <c r="C169" s="9" t="str">
        <v>가용재고</v>
      </c>
      <c r="D169" s="9" t="str">
        <v/>
      </c>
      <c r="E169" s="9" t="str">
        <v/>
      </c>
      <c r="F169" s="9" t="str">
        <v/>
      </c>
      <c r="G169" s="9" t="str">
        <v/>
      </c>
      <c r="H169" s="9" t="str">
        <v>RA-09M-1133</v>
      </c>
      <c r="I169" s="11" t="str">
        <v>RA-09M-1133]PIN GUIDE BITE</v>
      </c>
      <c r="J169" s="9">
        <v>20</v>
      </c>
      <c r="K169" s="9" t="str">
        <v/>
      </c>
      <c r="L169" s="9" t="str">
        <v>L1-1</v>
      </c>
      <c r="M169" s="12">
        <v>46302</v>
      </c>
      <c r="N169" s="5" t="str">
        <v/>
      </c>
      <c r="O169" s="5" t="str">
        <v/>
      </c>
      <c r="P169" s="5" t="str">
        <v/>
      </c>
      <c r="Q169" s="14" t="str">
        <v/>
      </c>
      <c r="R169" s="15">
        <v>20</v>
      </c>
    </row>
    <row r="170" spans="2:18" x14ac:dyDescent="0.35">
      <c r="B170" s="9">
        <v>2460</v>
      </c>
      <c r="C170" s="9" t="str">
        <v>가용재고</v>
      </c>
      <c r="D170" s="9" t="str">
        <v/>
      </c>
      <c r="E170" s="9" t="str">
        <v>입고</v>
      </c>
      <c r="F170" s="9" t="str">
        <v>다유</v>
      </c>
      <c r="G170" s="9" t="str">
        <v>유영국</v>
      </c>
      <c r="H170" s="9" t="str">
        <v>RA-03A-2713</v>
      </c>
      <c r="I170" s="11" t="str">
        <v>ASM COLUMN BODY</v>
      </c>
      <c r="J170" s="9">
        <v>20</v>
      </c>
      <c r="K170" s="9" t="str">
        <v/>
      </c>
      <c r="L170" s="9" t="str">
        <v>Q</v>
      </c>
      <c r="M170" s="12">
        <v>46307</v>
      </c>
      <c r="N170" s="5" t="str">
        <v/>
      </c>
      <c r="O170" s="5" t="str">
        <v/>
      </c>
      <c r="P170" s="5" t="str">
        <v/>
      </c>
      <c r="Q170" s="14" t="str">
        <v/>
      </c>
      <c r="R170" s="15">
        <v>20</v>
      </c>
    </row>
    <row r="171" spans="2:18" x14ac:dyDescent="0.35">
      <c r="B171" s="9">
        <v>2487</v>
      </c>
      <c r="C171" s="9" t="str">
        <v>가용재고</v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>RA-5-1</v>
      </c>
      <c r="I171" s="11" t="str">
        <v>RA-5-1]EARTH NF</v>
      </c>
      <c r="J171" s="9">
        <v>20</v>
      </c>
      <c r="K171" s="9" t="str">
        <v/>
      </c>
      <c r="L171" s="9" t="str">
        <v>G3-2</v>
      </c>
      <c r="M171" s="12">
        <v>46301</v>
      </c>
      <c r="N171" s="5" t="str">
        <v/>
      </c>
      <c r="O171" s="5" t="str">
        <v/>
      </c>
      <c r="P171" s="5" t="str">
        <v/>
      </c>
      <c r="Q171" s="14" t="str">
        <v/>
      </c>
      <c r="R171" s="15">
        <v>20</v>
      </c>
    </row>
    <row r="172" spans="2:18" x14ac:dyDescent="0.35">
      <c r="B172" s="9">
        <v>256</v>
      </c>
      <c r="C172" s="9" t="str">
        <v>가용재고</v>
      </c>
      <c r="D172" s="9" t="str">
        <v/>
      </c>
      <c r="E172" s="9" t="str">
        <v/>
      </c>
      <c r="F172" s="9" t="str">
        <v/>
      </c>
      <c r="G172" s="9" t="str">
        <v/>
      </c>
      <c r="H172" s="9" t="str">
        <v>RA-08V-2676</v>
      </c>
      <c r="I172" s="11" t="str">
        <v>RA-08V-2676]BRK MOUNT CEPH ARM (VW)</v>
      </c>
      <c r="J172" s="9">
        <v>21</v>
      </c>
      <c r="K172" s="9" t="str">
        <v/>
      </c>
      <c r="L172" s="9" t="str">
        <v>E1-5</v>
      </c>
      <c r="M172" s="12">
        <v>46232</v>
      </c>
      <c r="N172" s="5" t="str">
        <v/>
      </c>
      <c r="O172" s="5" t="str">
        <v/>
      </c>
      <c r="P172" s="5" t="str">
        <v/>
      </c>
      <c r="Q172" s="14" t="str">
        <v/>
      </c>
      <c r="R172" s="15">
        <v>21</v>
      </c>
    </row>
    <row r="173" spans="2:18" x14ac:dyDescent="0.35">
      <c r="B173" s="9">
        <v>457</v>
      </c>
      <c r="C173" s="9" t="str">
        <v>가용재고</v>
      </c>
      <c r="D173" s="9" t="str">
        <v/>
      </c>
      <c r="E173" s="9" t="str">
        <v/>
      </c>
      <c r="F173" s="9" t="str">
        <v/>
      </c>
      <c r="G173" s="9" t="str">
        <v/>
      </c>
      <c r="H173" s="9" t="str">
        <v>RF-01H-5055</v>
      </c>
      <c r="I173" s="11" t="str">
        <v>RF-01H-5055]LED Power harness</v>
      </c>
      <c r="J173" s="9">
        <v>21</v>
      </c>
      <c r="K173" s="9" t="str">
        <v/>
      </c>
      <c r="L173" s="9" t="str">
        <v>3S3-4</v>
      </c>
      <c r="M173" s="12">
        <v>46259</v>
      </c>
      <c r="N173" s="5" t="str">
        <v/>
      </c>
      <c r="O173" s="5" t="str">
        <v/>
      </c>
      <c r="P173" s="5" t="str">
        <v/>
      </c>
      <c r="Q173" s="14" t="str">
        <v/>
      </c>
      <c r="R173" s="15">
        <v>21</v>
      </c>
    </row>
    <row r="174" spans="2:18" x14ac:dyDescent="0.35">
      <c r="B174" s="9">
        <v>900</v>
      </c>
      <c r="C174" s="9" t="str">
        <v>가용재고</v>
      </c>
      <c r="D174" s="9" t="str">
        <v/>
      </c>
      <c r="E174" s="9" t="str">
        <v>기초</v>
      </c>
      <c r="F174" s="9" t="str">
        <v/>
      </c>
      <c r="G174" s="9" t="str">
        <v/>
      </c>
      <c r="H174" s="9" t="str">
        <v>RA-03T-3873</v>
      </c>
      <c r="I174" s="11" t="str">
        <v>RA-03T-3873]CAS CLMN BODY REAR R (MG)</v>
      </c>
      <c r="J174" s="9">
        <v>21</v>
      </c>
      <c r="K174" s="9" t="str">
        <v/>
      </c>
      <c r="L174" s="9" t="str">
        <v>4F CASE</v>
      </c>
      <c r="M174" s="12">
        <v>46276</v>
      </c>
      <c r="N174" s="5" t="str">
        <v/>
      </c>
      <c r="O174" s="5" t="str">
        <v/>
      </c>
      <c r="P174" s="5" t="str">
        <v/>
      </c>
      <c r="Q174" s="14" t="str">
        <v/>
      </c>
      <c r="R174" s="15">
        <v>21</v>
      </c>
    </row>
    <row r="175" spans="2:18" x14ac:dyDescent="0.35">
      <c r="B175" s="9">
        <v>901</v>
      </c>
      <c r="C175" s="9" t="str">
        <v>가용재고</v>
      </c>
      <c r="D175" s="9" t="str">
        <v/>
      </c>
      <c r="E175" s="9" t="str">
        <v>기초</v>
      </c>
      <c r="F175" s="9" t="str">
        <v/>
      </c>
      <c r="G175" s="9" t="str">
        <v/>
      </c>
      <c r="H175" s="9" t="str">
        <v>RA-03V-3859</v>
      </c>
      <c r="I175" s="11" t="str">
        <v>RA-03V-3859]BRK HORIZONTAL LASERBEAM(MG</v>
      </c>
      <c r="J175" s="9">
        <v>21</v>
      </c>
      <c r="K175" s="9" t="str">
        <v/>
      </c>
      <c r="L175" s="9" t="str">
        <v>N3-3</v>
      </c>
      <c r="M175" s="12">
        <v>46276</v>
      </c>
      <c r="N175" s="5" t="str">
        <v/>
      </c>
      <c r="O175" s="5" t="str">
        <v/>
      </c>
      <c r="P175" s="5" t="str">
        <v/>
      </c>
      <c r="Q175" s="14" t="str">
        <v/>
      </c>
      <c r="R175" s="15">
        <v>21</v>
      </c>
    </row>
    <row r="176" spans="2:18" x14ac:dyDescent="0.35">
      <c r="B176" s="9">
        <v>902</v>
      </c>
      <c r="C176" s="9" t="str">
        <v>가용재고</v>
      </c>
      <c r="D176" s="9" t="str">
        <v/>
      </c>
      <c r="E176" s="9" t="str">
        <v>기초</v>
      </c>
      <c r="F176" s="9" t="str">
        <v/>
      </c>
      <c r="G176" s="9" t="str">
        <v/>
      </c>
      <c r="H176" s="9" t="str">
        <v>RA-06M-3941</v>
      </c>
      <c r="I176" s="11" t="str">
        <v>RA-06M-3941]BLK LED SMOG R (MG)</v>
      </c>
      <c r="J176" s="9">
        <v>21</v>
      </c>
      <c r="K176" s="9" t="str">
        <v/>
      </c>
      <c r="L176" s="9" t="str">
        <v>N2-2</v>
      </c>
      <c r="M176" s="12">
        <v>46276</v>
      </c>
      <c r="N176" s="5" t="str">
        <v/>
      </c>
      <c r="O176" s="5" t="str">
        <v/>
      </c>
      <c r="P176" s="5" t="str">
        <v/>
      </c>
      <c r="Q176" s="14" t="str">
        <v/>
      </c>
      <c r="R176" s="15">
        <v>21</v>
      </c>
    </row>
    <row r="177" spans="2:18" x14ac:dyDescent="0.35">
      <c r="B177" s="9">
        <v>903</v>
      </c>
      <c r="C177" s="9" t="str">
        <v>가용재고</v>
      </c>
      <c r="D177" s="9" t="str">
        <v/>
      </c>
      <c r="E177" s="9" t="str">
        <v>기초</v>
      </c>
      <c r="F177" s="9" t="str">
        <v/>
      </c>
      <c r="G177" s="9" t="str">
        <v/>
      </c>
      <c r="H177" s="9" t="str">
        <v>RA-06M-3942</v>
      </c>
      <c r="I177" s="11" t="str">
        <v>RA-06M-3942]BLK LED SMOG L (MG)</v>
      </c>
      <c r="J177" s="9">
        <v>21</v>
      </c>
      <c r="K177" s="9" t="str">
        <v/>
      </c>
      <c r="L177" s="9" t="str">
        <v>N2-2</v>
      </c>
      <c r="M177" s="12">
        <v>46276</v>
      </c>
      <c r="N177" s="5" t="str">
        <v/>
      </c>
      <c r="O177" s="5" t="str">
        <v/>
      </c>
      <c r="P177" s="5" t="str">
        <v/>
      </c>
      <c r="Q177" s="14" t="str">
        <v/>
      </c>
      <c r="R177" s="15">
        <v>21</v>
      </c>
    </row>
    <row r="178" spans="2:18" x14ac:dyDescent="0.35">
      <c r="B178" s="9">
        <v>1228</v>
      </c>
      <c r="C178" s="9" t="str">
        <v>가용재고</v>
      </c>
      <c r="D178" s="9" t="str">
        <v/>
      </c>
      <c r="E178" s="9" t="str">
        <v>반납</v>
      </c>
      <c r="F178" s="9" t="str">
        <v/>
      </c>
      <c r="G178" s="9" t="str">
        <v/>
      </c>
      <c r="H178" s="9" t="str">
        <v>RF-01V-0254</v>
      </c>
      <c r="I178" s="11" t="str">
        <v>RF-01V-0254]REAR CVR TOP BRK</v>
      </c>
      <c r="J178" s="9">
        <v>21</v>
      </c>
      <c r="K178" s="9" t="str">
        <v/>
      </c>
      <c r="L178" s="9" t="str">
        <v>3L4-5</v>
      </c>
      <c r="M178" s="12">
        <v>46287</v>
      </c>
      <c r="N178" s="5" t="str">
        <v/>
      </c>
      <c r="O178" s="5" t="str">
        <v/>
      </c>
      <c r="P178" s="5" t="str">
        <v/>
      </c>
      <c r="Q178" s="14" t="str">
        <v/>
      </c>
      <c r="R178" s="15">
        <v>21</v>
      </c>
    </row>
    <row r="179" spans="2:18" x14ac:dyDescent="0.35">
      <c r="B179" s="9">
        <v>1229</v>
      </c>
      <c r="C179" s="9" t="str">
        <v>가용재고</v>
      </c>
      <c r="D179" s="9" t="str">
        <v/>
      </c>
      <c r="E179" s="9" t="str">
        <v>반납</v>
      </c>
      <c r="F179" s="9" t="str">
        <v/>
      </c>
      <c r="G179" s="9" t="str">
        <v/>
      </c>
      <c r="H179" s="9" t="str">
        <v>RF-01H-5052</v>
      </c>
      <c r="I179" s="11" t="str">
        <v>RF-01H-5052]USB TO SBC HARNESS</v>
      </c>
      <c r="J179" s="9">
        <v>21</v>
      </c>
      <c r="K179" s="9" t="str">
        <v/>
      </c>
      <c r="L179" s="9" t="str">
        <v>3S3-4</v>
      </c>
      <c r="M179" s="12">
        <v>46287</v>
      </c>
      <c r="N179" s="5" t="str">
        <v/>
      </c>
      <c r="O179" s="5" t="str">
        <v/>
      </c>
      <c r="P179" s="5" t="str">
        <v/>
      </c>
      <c r="Q179" s="14" t="str">
        <v/>
      </c>
      <c r="R179" s="15">
        <v>21</v>
      </c>
    </row>
    <row r="180" spans="2:18" x14ac:dyDescent="0.35">
      <c r="B180" s="9">
        <v>1247</v>
      </c>
      <c r="C180" s="9" t="str">
        <v>가용재고</v>
      </c>
      <c r="D180" s="9" t="str">
        <v/>
      </c>
      <c r="E180" s="9" t="str">
        <v>반납</v>
      </c>
      <c r="F180" s="9" t="str">
        <v/>
      </c>
      <c r="G180" s="9" t="str">
        <v/>
      </c>
      <c r="H180" s="9" t="str">
        <v>RF-01T-0355</v>
      </c>
      <c r="I180" s="11" t="str">
        <v>RF-01T-0355]CAMERA CASE R</v>
      </c>
      <c r="J180" s="9">
        <v>21</v>
      </c>
      <c r="K180" s="9" t="str">
        <v/>
      </c>
      <c r="L180" s="9" t="str">
        <v>3E9</v>
      </c>
      <c r="M180" s="12">
        <v>46287</v>
      </c>
      <c r="N180" s="5" t="str">
        <v/>
      </c>
      <c r="O180" s="5" t="str">
        <v/>
      </c>
      <c r="P180" s="5" t="str">
        <v/>
      </c>
      <c r="Q180" s="14" t="str">
        <v/>
      </c>
      <c r="R180" s="15">
        <v>21</v>
      </c>
    </row>
    <row r="181" spans="2:18" x14ac:dyDescent="0.35">
      <c r="B181" s="9">
        <v>1323</v>
      </c>
      <c r="C181" s="9" t="str">
        <v>가용재고</v>
      </c>
      <c r="D181" s="9" t="str">
        <v/>
      </c>
      <c r="E181" s="9" t="str">
        <v/>
      </c>
      <c r="F181" s="9" t="str">
        <v/>
      </c>
      <c r="G181" s="9" t="str">
        <v/>
      </c>
      <c r="H181" s="9" t="str">
        <v>RF-01S-5096</v>
      </c>
      <c r="I181" s="11" t="str">
        <v/>
      </c>
      <c r="J181" s="9">
        <v>21</v>
      </c>
      <c r="K181" s="9" t="str">
        <v/>
      </c>
      <c r="L181" s="9" t="str">
        <v>3F1</v>
      </c>
      <c r="M181" s="12">
        <v>46287</v>
      </c>
      <c r="N181" s="5" t="str">
        <v/>
      </c>
      <c r="O181" s="5" t="str">
        <v/>
      </c>
      <c r="P181" s="5" t="str">
        <v/>
      </c>
      <c r="Q181" s="14" t="str">
        <v/>
      </c>
      <c r="R181" s="15">
        <v>21</v>
      </c>
    </row>
    <row r="182" spans="2:18" x14ac:dyDescent="0.35">
      <c r="B182" s="9">
        <v>282</v>
      </c>
      <c r="C182" s="9" t="str">
        <v>가용재고</v>
      </c>
      <c r="D182" s="9" t="str">
        <v/>
      </c>
      <c r="E182" s="9" t="str">
        <v/>
      </c>
      <c r="F182" s="9" t="str">
        <v/>
      </c>
      <c r="G182" s="9" t="str">
        <v/>
      </c>
      <c r="H182" s="9" t="str">
        <v>RA-08T-2661</v>
      </c>
      <c r="I182" s="11" t="str">
        <v/>
      </c>
      <c r="J182" s="9">
        <v>22</v>
      </c>
      <c r="K182" s="9" t="str">
        <v/>
      </c>
      <c r="L182" s="9" t="str">
        <v>1층</v>
      </c>
      <c r="M182" s="12">
        <v>46232</v>
      </c>
      <c r="N182" s="5" t="str">
        <v/>
      </c>
      <c r="O182" s="5" t="str">
        <v/>
      </c>
      <c r="P182" s="5" t="str">
        <v/>
      </c>
      <c r="Q182" s="14" t="str">
        <v/>
      </c>
      <c r="R182" s="15">
        <v>22</v>
      </c>
    </row>
    <row r="183" spans="2:18" x14ac:dyDescent="0.35">
      <c r="B183" s="9">
        <v>292</v>
      </c>
      <c r="C183" s="9" t="str">
        <v>가용재고</v>
      </c>
      <c r="D183" s="9" t="str">
        <v/>
      </c>
      <c r="E183" s="9" t="str">
        <v/>
      </c>
      <c r="F183" s="9" t="str">
        <v/>
      </c>
      <c r="G183" s="9" t="str">
        <v/>
      </c>
      <c r="H183" s="9" t="str">
        <v>RA-08V-2664</v>
      </c>
      <c r="I183" s="11" t="str">
        <v>RA-08V-2664]HLDR CAS CEPH SNSR (RL) (VW)</v>
      </c>
      <c r="J183" s="9">
        <v>22</v>
      </c>
      <c r="K183" s="9" t="str">
        <v/>
      </c>
      <c r="L183" s="9" t="str">
        <v>E2-5</v>
      </c>
      <c r="M183" s="12">
        <v>46232</v>
      </c>
      <c r="N183" s="5" t="str">
        <v/>
      </c>
      <c r="O183" s="5" t="str">
        <v/>
      </c>
      <c r="P183" s="5" t="str">
        <v/>
      </c>
      <c r="Q183" s="14" t="str">
        <v/>
      </c>
      <c r="R183" s="15">
        <v>22</v>
      </c>
    </row>
    <row r="184" spans="2:18" x14ac:dyDescent="0.35">
      <c r="B184" s="9">
        <v>904</v>
      </c>
      <c r="C184" s="9" t="str">
        <v>가용재고</v>
      </c>
      <c r="D184" s="9" t="str">
        <v/>
      </c>
      <c r="E184" s="9" t="str">
        <v>기초</v>
      </c>
      <c r="F184" s="9" t="str">
        <v/>
      </c>
      <c r="G184" s="9" t="str">
        <v/>
      </c>
      <c r="H184" s="9" t="str">
        <v>RA-04V-3815</v>
      </c>
      <c r="I184" s="11" t="str">
        <v>RA-04V-3815]BRK THU CABLE GUIDE (MG)</v>
      </c>
      <c r="J184" s="9">
        <v>22</v>
      </c>
      <c r="K184" s="9" t="str">
        <v/>
      </c>
      <c r="L184" s="9" t="str">
        <v>N3-3</v>
      </c>
      <c r="M184" s="12">
        <v>46276</v>
      </c>
      <c r="N184" s="5" t="str">
        <v/>
      </c>
      <c r="O184" s="5" t="str">
        <v/>
      </c>
      <c r="P184" s="5" t="str">
        <v/>
      </c>
      <c r="Q184" s="14" t="str">
        <v/>
      </c>
      <c r="R184" s="15">
        <v>22</v>
      </c>
    </row>
    <row r="185" spans="2:18" x14ac:dyDescent="0.35">
      <c r="B185" s="9">
        <v>1195</v>
      </c>
      <c r="C185" s="9" t="str">
        <v>가용재고</v>
      </c>
      <c r="D185" s="9" t="str">
        <v/>
      </c>
      <c r="E185" s="9" t="str">
        <v>반납</v>
      </c>
      <c r="F185" s="9" t="str">
        <v/>
      </c>
      <c r="G185" s="9" t="str">
        <v/>
      </c>
      <c r="H185" s="9" t="str">
        <v>RF-01V-0208</v>
      </c>
      <c r="I185" s="11" t="str">
        <v>RF-01V-0208]FRONT FRM</v>
      </c>
      <c r="J185" s="9">
        <v>22</v>
      </c>
      <c r="K185" s="9" t="str">
        <v/>
      </c>
      <c r="L185" s="9" t="str">
        <v>3C10</v>
      </c>
      <c r="M185" s="12">
        <v>46287</v>
      </c>
      <c r="N185" s="5" t="str">
        <v/>
      </c>
      <c r="O185" s="5" t="str">
        <v/>
      </c>
      <c r="P185" s="5" t="str">
        <v/>
      </c>
      <c r="Q185" s="14" t="str">
        <v/>
      </c>
      <c r="R185" s="15">
        <v>22</v>
      </c>
    </row>
    <row r="186" spans="2:18" x14ac:dyDescent="0.35">
      <c r="B186" s="9">
        <v>1197</v>
      </c>
      <c r="C186" s="9" t="str">
        <v>가용재고</v>
      </c>
      <c r="D186" s="9" t="str">
        <v/>
      </c>
      <c r="E186" s="9" t="str">
        <v>반납</v>
      </c>
      <c r="F186" s="9" t="str">
        <v/>
      </c>
      <c r="G186" s="9" t="str">
        <v/>
      </c>
      <c r="H186" s="9" t="str">
        <v>RF-01G-0252</v>
      </c>
      <c r="I186" s="11" t="str">
        <v>RF-01G-0252]MOLDING FRONT MIRROR</v>
      </c>
      <c r="J186" s="9">
        <v>22</v>
      </c>
      <c r="K186" s="9" t="str">
        <v/>
      </c>
      <c r="L186" s="9" t="str">
        <v>3S3-1</v>
      </c>
      <c r="M186" s="12">
        <v>46287</v>
      </c>
      <c r="N186" s="5" t="str">
        <v/>
      </c>
      <c r="O186" s="5" t="str">
        <v/>
      </c>
      <c r="P186" s="5" t="str">
        <v/>
      </c>
      <c r="Q186" s="14" t="str">
        <v/>
      </c>
      <c r="R186" s="15">
        <v>22</v>
      </c>
    </row>
    <row r="187" spans="2:18" x14ac:dyDescent="0.35">
      <c r="B187" s="9">
        <v>1202</v>
      </c>
      <c r="C187" s="9" t="str">
        <v>가용재고</v>
      </c>
      <c r="D187" s="9" t="str">
        <v/>
      </c>
      <c r="E187" s="9" t="str">
        <v>반납</v>
      </c>
      <c r="F187" s="9" t="str">
        <v/>
      </c>
      <c r="G187" s="9" t="str">
        <v/>
      </c>
      <c r="H187" s="9" t="str">
        <v>RF-01B-5035</v>
      </c>
      <c r="I187" s="11" t="str">
        <v>RF-01B-5035]CONNECTOR Bd</v>
      </c>
      <c r="J187" s="9">
        <v>22</v>
      </c>
      <c r="K187" s="9" t="str">
        <v/>
      </c>
      <c r="L187" s="9" t="str">
        <v>A4-3</v>
      </c>
      <c r="M187" s="12">
        <v>46287</v>
      </c>
      <c r="N187" s="5" t="str">
        <v/>
      </c>
      <c r="O187" s="5" t="str">
        <v/>
      </c>
      <c r="P187" s="5" t="str">
        <v/>
      </c>
      <c r="Q187" s="14" t="str">
        <v/>
      </c>
      <c r="R187" s="15">
        <v>22</v>
      </c>
    </row>
    <row r="188" spans="2:18" x14ac:dyDescent="0.35">
      <c r="B188" s="9">
        <v>1214</v>
      </c>
      <c r="C188" s="9" t="str">
        <v>가용재고</v>
      </c>
      <c r="D188" s="9" t="str">
        <v/>
      </c>
      <c r="E188" s="9" t="str">
        <v>반납</v>
      </c>
      <c r="F188" s="9" t="str">
        <v/>
      </c>
      <c r="G188" s="9" t="str">
        <v/>
      </c>
      <c r="H188" s="9" t="str">
        <v>RF-20A-0381</v>
      </c>
      <c r="I188" s="11" t="str">
        <v/>
      </c>
      <c r="J188" s="9">
        <v>22</v>
      </c>
      <c r="K188" s="9" t="str">
        <v/>
      </c>
      <c r="L188" s="9" t="str">
        <v>3I5</v>
      </c>
      <c r="M188" s="12">
        <v>46287</v>
      </c>
      <c r="N188" s="5" t="str">
        <v/>
      </c>
      <c r="O188" s="5" t="str">
        <v/>
      </c>
      <c r="P188" s="5" t="str">
        <v/>
      </c>
      <c r="Q188" s="14" t="str">
        <v/>
      </c>
      <c r="R188" s="15">
        <v>22</v>
      </c>
    </row>
    <row r="189" spans="2:18" x14ac:dyDescent="0.35">
      <c r="B189" s="9">
        <v>1252</v>
      </c>
      <c r="C189" s="9" t="str">
        <v>가용재고</v>
      </c>
      <c r="D189" s="9" t="str">
        <v/>
      </c>
      <c r="E189" s="9" t="str">
        <v>반납</v>
      </c>
      <c r="F189" s="9" t="str">
        <v/>
      </c>
      <c r="G189" s="9" t="str">
        <v/>
      </c>
      <c r="H189" s="9" t="str">
        <v>RF-01H-5070</v>
      </c>
      <c r="I189" s="11" t="str">
        <v>RF-01H-5070]Power Switch harness</v>
      </c>
      <c r="J189" s="9">
        <v>22</v>
      </c>
      <c r="K189" s="9" t="str">
        <v/>
      </c>
      <c r="L189" s="9" t="str">
        <v>3S3-6</v>
      </c>
      <c r="M189" s="12">
        <v>46287</v>
      </c>
      <c r="N189" s="5" t="str">
        <v/>
      </c>
      <c r="O189" s="5" t="str">
        <v/>
      </c>
      <c r="P189" s="5" t="str">
        <v/>
      </c>
      <c r="Q189" s="14" t="str">
        <v/>
      </c>
      <c r="R189" s="15">
        <v>22</v>
      </c>
    </row>
    <row r="190" spans="2:18" x14ac:dyDescent="0.35">
      <c r="B190" s="9">
        <v>1255</v>
      </c>
      <c r="C190" s="9" t="str">
        <v>가용재고</v>
      </c>
      <c r="D190" s="9" t="str">
        <v/>
      </c>
      <c r="E190" s="9" t="str">
        <v>반납</v>
      </c>
      <c r="F190" s="9" t="str">
        <v/>
      </c>
      <c r="G190" s="9" t="str">
        <v/>
      </c>
      <c r="H190" s="9" t="str">
        <v>RF-01T-0352</v>
      </c>
      <c r="I190" s="11" t="str">
        <v>RF-01T-0352]CAMERA CASE B</v>
      </c>
      <c r="J190" s="9">
        <v>22</v>
      </c>
      <c r="K190" s="9" t="str">
        <v/>
      </c>
      <c r="L190" s="9" t="str">
        <v>3E9</v>
      </c>
      <c r="M190" s="12">
        <v>46287</v>
      </c>
      <c r="N190" s="5" t="str">
        <v/>
      </c>
      <c r="O190" s="5" t="str">
        <v/>
      </c>
      <c r="P190" s="5" t="str">
        <v/>
      </c>
      <c r="Q190" s="14" t="str">
        <v/>
      </c>
      <c r="R190" s="15">
        <v>22</v>
      </c>
    </row>
    <row r="191" spans="2:18" x14ac:dyDescent="0.35">
      <c r="B191" s="9">
        <v>1256</v>
      </c>
      <c r="C191" s="9" t="str">
        <v>가용재고</v>
      </c>
      <c r="D191" s="9" t="str">
        <v/>
      </c>
      <c r="E191" s="9" t="str">
        <v>반납</v>
      </c>
      <c r="F191" s="9" t="str">
        <v/>
      </c>
      <c r="G191" s="9" t="str">
        <v/>
      </c>
      <c r="H191" s="9" t="str">
        <v>RF-01H-5069</v>
      </c>
      <c r="I191" s="11" t="str">
        <v>RF-01H-5069]LED_Bottom harness</v>
      </c>
      <c r="J191" s="9">
        <v>22</v>
      </c>
      <c r="K191" s="9" t="str">
        <v/>
      </c>
      <c r="L191" s="9" t="str">
        <v>3S3-5</v>
      </c>
      <c r="M191" s="12">
        <v>46287</v>
      </c>
      <c r="N191" s="5" t="str">
        <v/>
      </c>
      <c r="O191" s="5" t="str">
        <v/>
      </c>
      <c r="P191" s="5" t="str">
        <v/>
      </c>
      <c r="Q191" s="14" t="str">
        <v/>
      </c>
      <c r="R191" s="15">
        <v>22</v>
      </c>
    </row>
    <row r="192" spans="2:18" x14ac:dyDescent="0.35">
      <c r="B192" s="9">
        <v>1257</v>
      </c>
      <c r="C192" s="9" t="str">
        <v>가용재고</v>
      </c>
      <c r="D192" s="9" t="str">
        <v/>
      </c>
      <c r="E192" s="9" t="str">
        <v>반납</v>
      </c>
      <c r="F192" s="9" t="str">
        <v/>
      </c>
      <c r="G192" s="9" t="str">
        <v/>
      </c>
      <c r="H192" s="9" t="str">
        <v>RF-01B-5039</v>
      </c>
      <c r="I192" s="11" t="str">
        <v>RF-01B-5039]POWER HUB Bd</v>
      </c>
      <c r="J192" s="9">
        <v>22</v>
      </c>
      <c r="K192" s="9" t="str">
        <v/>
      </c>
      <c r="L192" s="9" t="str">
        <v>A3-4</v>
      </c>
      <c r="M192" s="12">
        <v>46287</v>
      </c>
      <c r="N192" s="5" t="str">
        <v/>
      </c>
      <c r="O192" s="5" t="str">
        <v/>
      </c>
      <c r="P192" s="5" t="str">
        <v/>
      </c>
      <c r="Q192" s="14" t="str">
        <v/>
      </c>
      <c r="R192" s="15">
        <v>22</v>
      </c>
    </row>
    <row r="193" spans="2:18" x14ac:dyDescent="0.35">
      <c r="B193" s="9">
        <v>1261</v>
      </c>
      <c r="C193" s="9" t="str">
        <v>가용재고</v>
      </c>
      <c r="D193" s="9" t="str">
        <v/>
      </c>
      <c r="E193" s="9" t="str">
        <v>반납</v>
      </c>
      <c r="F193" s="9" t="str">
        <v/>
      </c>
      <c r="G193" s="9" t="str">
        <v/>
      </c>
      <c r="H193" s="9" t="str">
        <v>RF-01H-5067</v>
      </c>
      <c r="I193" s="11" t="str">
        <v>RF-01H-5067]LED_Right harness</v>
      </c>
      <c r="J193" s="9">
        <v>22</v>
      </c>
      <c r="K193" s="9" t="str">
        <v/>
      </c>
      <c r="L193" s="9" t="str">
        <v>3S3-5</v>
      </c>
      <c r="M193" s="12">
        <v>46287</v>
      </c>
      <c r="N193" s="5" t="str">
        <v/>
      </c>
      <c r="O193" s="5" t="str">
        <v/>
      </c>
      <c r="P193" s="5" t="str">
        <v/>
      </c>
      <c r="Q193" s="14" t="str">
        <v/>
      </c>
      <c r="R193" s="15">
        <v>22</v>
      </c>
    </row>
    <row r="194" spans="2:18" x14ac:dyDescent="0.35">
      <c r="B194" s="9">
        <v>2320</v>
      </c>
      <c r="C194" s="9" t="str">
        <v>가용재고</v>
      </c>
      <c r="D194" s="9" t="str">
        <v/>
      </c>
      <c r="E194" s="9" t="str">
        <v/>
      </c>
      <c r="F194" s="9" t="str">
        <v/>
      </c>
      <c r="G194" s="9" t="str">
        <v/>
      </c>
      <c r="H194" s="9" t="str">
        <v>RA-11-9</v>
      </c>
      <c r="I194" s="11" t="str">
        <v>RA-11-9]DC POWER MOT-A</v>
      </c>
      <c r="J194" s="9">
        <v>22</v>
      </c>
      <c r="K194" s="9" t="str">
        <v/>
      </c>
      <c r="L194" s="9" t="str">
        <v>G4</v>
      </c>
      <c r="M194" s="12">
        <v>46302</v>
      </c>
      <c r="N194" s="5" t="str">
        <v/>
      </c>
      <c r="O194" s="5" t="str">
        <v/>
      </c>
      <c r="P194" s="5" t="str">
        <v/>
      </c>
      <c r="Q194" s="14" t="str">
        <v/>
      </c>
      <c r="R194" s="15">
        <v>22</v>
      </c>
    </row>
    <row r="195" spans="2:18" x14ac:dyDescent="0.35">
      <c r="B195" s="9">
        <v>253</v>
      </c>
      <c r="C195" s="9" t="str">
        <v>가용재고</v>
      </c>
      <c r="D195" s="9" t="str">
        <v/>
      </c>
      <c r="E195" s="9" t="str">
        <v/>
      </c>
      <c r="F195" s="9" t="str">
        <v/>
      </c>
      <c r="G195" s="9" t="str">
        <v/>
      </c>
      <c r="H195" s="9" t="str">
        <v>RA-08V-2666</v>
      </c>
      <c r="I195" s="11" t="str">
        <v>RA-08V-2666]BRK EARLOD FIX A (VW)</v>
      </c>
      <c r="J195" s="9">
        <v>23</v>
      </c>
      <c r="K195" s="9" t="str">
        <v/>
      </c>
      <c r="L195" s="9" t="str">
        <v>E2-5</v>
      </c>
      <c r="M195" s="12">
        <v>46232</v>
      </c>
      <c r="N195" s="5" t="str">
        <v/>
      </c>
      <c r="O195" s="5" t="str">
        <v/>
      </c>
      <c r="P195" s="5" t="str">
        <v/>
      </c>
      <c r="Q195" s="14" t="str">
        <v/>
      </c>
      <c r="R195" s="15">
        <v>23</v>
      </c>
    </row>
    <row r="196" spans="2:18" x14ac:dyDescent="0.35">
      <c r="B196" s="9">
        <v>905</v>
      </c>
      <c r="C196" s="9" t="str">
        <v>가용재고</v>
      </c>
      <c r="D196" s="9" t="str">
        <v/>
      </c>
      <c r="E196" s="9" t="str">
        <v>기초</v>
      </c>
      <c r="F196" s="9" t="str">
        <v/>
      </c>
      <c r="G196" s="9" t="str">
        <v/>
      </c>
      <c r="H196" s="9" t="str">
        <v>RA-02V-3854</v>
      </c>
      <c r="I196" s="11" t="str">
        <v>RA-02V-3854]BRK INDICATOR GUIDE (MG)</v>
      </c>
      <c r="J196" s="9">
        <v>23</v>
      </c>
      <c r="K196" s="9" t="str">
        <v/>
      </c>
      <c r="L196" s="9" t="str">
        <v>N2-3</v>
      </c>
      <c r="M196" s="12">
        <v>46276</v>
      </c>
      <c r="N196" s="5" t="str">
        <v/>
      </c>
      <c r="O196" s="5" t="str">
        <v/>
      </c>
      <c r="P196" s="5" t="str">
        <v/>
      </c>
      <c r="Q196" s="14" t="str">
        <v/>
      </c>
      <c r="R196" s="15">
        <v>23</v>
      </c>
    </row>
    <row r="197" spans="2:18" x14ac:dyDescent="0.35">
      <c r="B197" s="9">
        <v>906</v>
      </c>
      <c r="C197" s="9" t="str">
        <v>가용재고</v>
      </c>
      <c r="D197" s="9" t="str">
        <v/>
      </c>
      <c r="E197" s="9" t="str">
        <v>기초</v>
      </c>
      <c r="F197" s="9" t="str">
        <v/>
      </c>
      <c r="G197" s="9" t="str">
        <v/>
      </c>
      <c r="H197" s="9" t="str">
        <v>RA-03V-3857</v>
      </c>
      <c r="I197" s="11" t="str">
        <v>RA-03V-3857]BRK CVR HORIZONTAL (MG)</v>
      </c>
      <c r="J197" s="9">
        <v>23</v>
      </c>
      <c r="K197" s="9" t="str">
        <v/>
      </c>
      <c r="L197" s="9" t="str">
        <v>N1-2</v>
      </c>
      <c r="M197" s="12">
        <v>46276</v>
      </c>
      <c r="N197" s="5" t="str">
        <v/>
      </c>
      <c r="O197" s="5" t="str">
        <v/>
      </c>
      <c r="P197" s="5" t="str">
        <v/>
      </c>
      <c r="Q197" s="14" t="str">
        <v/>
      </c>
      <c r="R197" s="15">
        <v>23</v>
      </c>
    </row>
    <row r="198" spans="2:18" x14ac:dyDescent="0.35">
      <c r="B198" s="9">
        <v>907</v>
      </c>
      <c r="C198" s="9" t="str">
        <v>가용재고</v>
      </c>
      <c r="D198" s="9" t="str">
        <v/>
      </c>
      <c r="E198" s="9" t="str">
        <v>기초</v>
      </c>
      <c r="F198" s="9" t="str">
        <v/>
      </c>
      <c r="G198" s="9" t="str">
        <v/>
      </c>
      <c r="H198" s="9" t="str">
        <v>RA-15-13R</v>
      </c>
      <c r="I198" s="11" t="str">
        <v>RA-15-13R]CAM-R</v>
      </c>
      <c r="J198" s="9">
        <v>23</v>
      </c>
      <c r="K198" s="9" t="str">
        <v/>
      </c>
      <c r="L198" s="9" t="str">
        <v>G2-7</v>
      </c>
      <c r="M198" s="12">
        <v>46276</v>
      </c>
      <c r="N198" s="5" t="str">
        <v/>
      </c>
      <c r="O198" s="5" t="str">
        <v/>
      </c>
      <c r="P198" s="5" t="str">
        <v/>
      </c>
      <c r="Q198" s="14" t="str">
        <v/>
      </c>
      <c r="R198" s="15">
        <v>23</v>
      </c>
    </row>
    <row r="199" spans="2:18" x14ac:dyDescent="0.35">
      <c r="B199" s="9">
        <v>1196</v>
      </c>
      <c r="C199" s="9" t="str">
        <v>가용재고</v>
      </c>
      <c r="D199" s="9" t="str">
        <v/>
      </c>
      <c r="E199" s="9" t="str">
        <v>반납</v>
      </c>
      <c r="F199" s="9" t="str">
        <v/>
      </c>
      <c r="G199" s="9" t="str">
        <v/>
      </c>
      <c r="H199" s="9" t="str">
        <v>RF-01B-5036</v>
      </c>
      <c r="I199" s="11" t="str">
        <v>RF-01B-5036] LED CENTER BOARD</v>
      </c>
      <c r="J199" s="9">
        <v>23</v>
      </c>
      <c r="K199" s="9" t="str">
        <v/>
      </c>
      <c r="L199" s="9" t="str">
        <v>A16</v>
      </c>
      <c r="M199" s="12">
        <v>46287</v>
      </c>
      <c r="N199" s="5" t="str">
        <v/>
      </c>
      <c r="O199" s="5" t="str">
        <v/>
      </c>
      <c r="P199" s="5" t="str">
        <v/>
      </c>
      <c r="Q199" s="14" t="str">
        <v/>
      </c>
      <c r="R199" s="15">
        <v>23</v>
      </c>
    </row>
    <row r="200" spans="2:18" x14ac:dyDescent="0.35">
      <c r="B200" s="9">
        <v>1209</v>
      </c>
      <c r="C200" s="9" t="str">
        <v>가용재고</v>
      </c>
      <c r="D200" s="9" t="str">
        <v/>
      </c>
      <c r="E200" s="9" t="str">
        <v>반납</v>
      </c>
      <c r="F200" s="9" t="str">
        <v/>
      </c>
      <c r="G200" s="9" t="str">
        <v/>
      </c>
      <c r="H200" s="9" t="str">
        <v>RF-01B-5034</v>
      </c>
      <c r="I200" s="11" t="str">
        <v>RF-01B-5034] POWER BUTTON BOARD</v>
      </c>
      <c r="J200" s="9">
        <v>23</v>
      </c>
      <c r="K200" s="9" t="str">
        <v/>
      </c>
      <c r="L200" s="9" t="str">
        <v>A4-2</v>
      </c>
      <c r="M200" s="12">
        <v>46287</v>
      </c>
      <c r="N200" s="5" t="str">
        <v/>
      </c>
      <c r="O200" s="5" t="str">
        <v/>
      </c>
      <c r="P200" s="5" t="str">
        <v/>
      </c>
      <c r="Q200" s="14" t="str">
        <v/>
      </c>
      <c r="R200" s="15">
        <v>23</v>
      </c>
    </row>
    <row r="201" spans="2:18" x14ac:dyDescent="0.35">
      <c r="B201" s="9">
        <v>1218</v>
      </c>
      <c r="C201" s="9" t="str">
        <v>가용재고</v>
      </c>
      <c r="D201" s="9" t="str">
        <v/>
      </c>
      <c r="E201" s="9" t="str">
        <v>반납</v>
      </c>
      <c r="F201" s="9" t="str">
        <v/>
      </c>
      <c r="G201" s="9" t="str">
        <v/>
      </c>
      <c r="H201" s="9" t="str">
        <v>RF-01S-5087</v>
      </c>
      <c r="I201" s="11" t="str">
        <v>RF-01S-5087]CAM Cable_Face</v>
      </c>
      <c r="J201" s="9">
        <v>23</v>
      </c>
      <c r="K201" s="9" t="str">
        <v/>
      </c>
      <c r="L201" s="9" t="str">
        <v>3F1</v>
      </c>
      <c r="M201" s="12">
        <v>46287</v>
      </c>
      <c r="N201" s="5" t="str">
        <v/>
      </c>
      <c r="O201" s="5" t="str">
        <v/>
      </c>
      <c r="P201" s="5" t="str">
        <v/>
      </c>
      <c r="Q201" s="14" t="str">
        <v/>
      </c>
      <c r="R201" s="15">
        <v>23</v>
      </c>
    </row>
    <row r="202" spans="2:18" x14ac:dyDescent="0.35">
      <c r="B202" s="9">
        <v>1260</v>
      </c>
      <c r="C202" s="9" t="str">
        <v>가용재고</v>
      </c>
      <c r="D202" s="9" t="str">
        <v/>
      </c>
      <c r="E202" s="9" t="str">
        <v>반납</v>
      </c>
      <c r="F202" s="9" t="str">
        <v/>
      </c>
      <c r="G202" s="9" t="str">
        <v/>
      </c>
      <c r="H202" s="9" t="str">
        <v>RF-01T-0354</v>
      </c>
      <c r="I202" s="11" t="str">
        <v>RF-01T-0354]CAMERA CASE L</v>
      </c>
      <c r="J202" s="9">
        <v>23</v>
      </c>
      <c r="K202" s="9" t="str">
        <v/>
      </c>
      <c r="L202" s="9" t="str">
        <v>3E9</v>
      </c>
      <c r="M202" s="12">
        <v>46287</v>
      </c>
      <c r="N202" s="5" t="str">
        <v/>
      </c>
      <c r="O202" s="5" t="str">
        <v/>
      </c>
      <c r="P202" s="5" t="str">
        <v/>
      </c>
      <c r="Q202" s="14" t="str">
        <v/>
      </c>
      <c r="R202" s="15">
        <v>23</v>
      </c>
    </row>
    <row r="203" spans="2:18" x14ac:dyDescent="0.35">
      <c r="B203" s="9">
        <v>2397</v>
      </c>
      <c r="C203" s="9" t="str">
        <v>가용재고</v>
      </c>
      <c r="D203" s="9" t="str">
        <v/>
      </c>
      <c r="E203" s="9" t="str">
        <v/>
      </c>
      <c r="F203" s="9" t="str">
        <v/>
      </c>
      <c r="G203" s="9" t="str">
        <v/>
      </c>
      <c r="H203" s="9" t="str">
        <v>RA-11-19</v>
      </c>
      <c r="I203" s="11" t="str">
        <v>RA-11-19]LED Power Cable</v>
      </c>
      <c r="J203" s="9">
        <v>23</v>
      </c>
      <c r="K203" s="9" t="str">
        <v/>
      </c>
      <c r="L203" s="9" t="str">
        <v>G2-5</v>
      </c>
      <c r="M203" s="12">
        <v>46301</v>
      </c>
      <c r="N203" s="5" t="str">
        <v/>
      </c>
      <c r="O203" s="5" t="str">
        <v/>
      </c>
      <c r="P203" s="5" t="str">
        <v/>
      </c>
      <c r="Q203" s="14" t="str">
        <v/>
      </c>
      <c r="R203" s="15">
        <v>23</v>
      </c>
    </row>
    <row r="204" spans="2:18" x14ac:dyDescent="0.35">
      <c r="B204" s="9">
        <v>908</v>
      </c>
      <c r="C204" s="9" t="str">
        <v>가용재고</v>
      </c>
      <c r="D204" s="9" t="str">
        <v/>
      </c>
      <c r="E204" s="9" t="str">
        <v>기초</v>
      </c>
      <c r="F204" s="9" t="str">
        <v/>
      </c>
      <c r="G204" s="9" t="str">
        <v/>
      </c>
      <c r="H204" s="9" t="str">
        <v>RA-02V-3844</v>
      </c>
      <c r="I204" s="11" t="str">
        <v>RA-02V-3844]BRK WINDOW INDICATOR (MG)</v>
      </c>
      <c r="J204" s="9">
        <v>24</v>
      </c>
      <c r="K204" s="9" t="str">
        <v/>
      </c>
      <c r="L204" s="9" t="str">
        <v>N2-3</v>
      </c>
      <c r="M204" s="12">
        <v>46276</v>
      </c>
      <c r="N204" s="5" t="str">
        <v/>
      </c>
      <c r="O204" s="5" t="str">
        <v/>
      </c>
      <c r="P204" s="5" t="str">
        <v/>
      </c>
      <c r="Q204" s="14" t="str">
        <v/>
      </c>
      <c r="R204" s="15">
        <v>24</v>
      </c>
    </row>
    <row r="205" spans="2:18" x14ac:dyDescent="0.35">
      <c r="B205" s="9">
        <v>909</v>
      </c>
      <c r="C205" s="9" t="str">
        <v>가용재고</v>
      </c>
      <c r="D205" s="9" t="str">
        <v/>
      </c>
      <c r="E205" s="9" t="str">
        <v>기초</v>
      </c>
      <c r="F205" s="9" t="str">
        <v/>
      </c>
      <c r="G205" s="9" t="str">
        <v/>
      </c>
      <c r="H205" s="9" t="str">
        <v>RA-04V-2294</v>
      </c>
      <c r="I205" s="11" t="str">
        <v>RA-04V-2294]FRM ARM BAS (A+)</v>
      </c>
      <c r="J205" s="9">
        <v>24</v>
      </c>
      <c r="K205" s="9" t="str">
        <v/>
      </c>
      <c r="L205" s="9" t="str">
        <v>3C4</v>
      </c>
      <c r="M205" s="12">
        <v>46276</v>
      </c>
      <c r="N205" s="5" t="str">
        <v/>
      </c>
      <c r="O205" s="5" t="str">
        <v/>
      </c>
      <c r="P205" s="5" t="str">
        <v/>
      </c>
      <c r="Q205" s="14" t="str">
        <v/>
      </c>
      <c r="R205" s="15">
        <v>24</v>
      </c>
    </row>
    <row r="206" spans="2:18" x14ac:dyDescent="0.35">
      <c r="B206" s="9">
        <v>1964</v>
      </c>
      <c r="C206" s="9" t="str">
        <v>가용재고</v>
      </c>
      <c r="D206" s="9" t="str">
        <v/>
      </c>
      <c r="E206" s="9" t="str">
        <v>입고</v>
      </c>
      <c r="F206" s="9" t="str">
        <v>A&amp;T</v>
      </c>
      <c r="G206" s="9" t="str">
        <v>장동은</v>
      </c>
      <c r="H206" s="9" t="str">
        <v>RA-02M-2004</v>
      </c>
      <c r="I206" s="11" t="str">
        <v>RA-02M-2004]BLK MOVING LWR (A+)</v>
      </c>
      <c r="J206" s="9">
        <v>24</v>
      </c>
      <c r="K206" s="9" t="str">
        <v/>
      </c>
      <c r="L206" s="9" t="str">
        <v>O3</v>
      </c>
      <c r="M206" s="12">
        <v>46296</v>
      </c>
      <c r="N206" s="5" t="str">
        <v/>
      </c>
      <c r="O206" s="5" t="str">
        <v/>
      </c>
      <c r="P206" s="5" t="str">
        <v/>
      </c>
      <c r="Q206" s="14" t="str">
        <v/>
      </c>
      <c r="R206" s="15">
        <v>24</v>
      </c>
    </row>
    <row r="207" spans="2:18" x14ac:dyDescent="0.35">
      <c r="B207" s="9">
        <v>910</v>
      </c>
      <c r="C207" s="9" t="str">
        <v>가용재고</v>
      </c>
      <c r="D207" s="9" t="str">
        <v/>
      </c>
      <c r="E207" s="9" t="str">
        <v>기초</v>
      </c>
      <c r="F207" s="9" t="str">
        <v/>
      </c>
      <c r="G207" s="9" t="str">
        <v/>
      </c>
      <c r="H207" s="9" t="str">
        <v>RA-09S-3983</v>
      </c>
      <c r="I207" s="11" t="str">
        <v>RA-09S-3983]STK FOOT (MG)</v>
      </c>
      <c r="J207" s="9">
        <v>25</v>
      </c>
      <c r="K207" s="9" t="str">
        <v/>
      </c>
      <c r="L207" s="9" t="str">
        <v>N3-1</v>
      </c>
      <c r="M207" s="12">
        <v>46276</v>
      </c>
      <c r="N207" s="5" t="str">
        <v/>
      </c>
      <c r="O207" s="5" t="str">
        <v/>
      </c>
      <c r="P207" s="5" t="str">
        <v/>
      </c>
      <c r="Q207" s="14" t="str">
        <v/>
      </c>
      <c r="R207" s="15">
        <v>25</v>
      </c>
    </row>
    <row r="208" spans="2:18" x14ac:dyDescent="0.35">
      <c r="B208" s="9">
        <v>911</v>
      </c>
      <c r="C208" s="9" t="str">
        <v>가용재고</v>
      </c>
      <c r="D208" s="9" t="str">
        <v/>
      </c>
      <c r="E208" s="9" t="str">
        <v>기초</v>
      </c>
      <c r="F208" s="9" t="str">
        <v/>
      </c>
      <c r="G208" s="9" t="str">
        <v/>
      </c>
      <c r="H208" s="9" t="str">
        <v>RA-09S-3984</v>
      </c>
      <c r="I208" s="11" t="str">
        <v>RA-09S-3984]FOOT STK JIG (MG)</v>
      </c>
      <c r="J208" s="9">
        <v>25</v>
      </c>
      <c r="K208" s="9" t="str">
        <v/>
      </c>
      <c r="L208" s="9" t="str">
        <v>N3-1</v>
      </c>
      <c r="M208" s="12">
        <v>46276</v>
      </c>
      <c r="N208" s="5" t="str">
        <v/>
      </c>
      <c r="O208" s="5" t="str">
        <v/>
      </c>
      <c r="P208" s="5" t="str">
        <v/>
      </c>
      <c r="Q208" s="14" t="str">
        <v/>
      </c>
      <c r="R208" s="15">
        <v>25</v>
      </c>
    </row>
    <row r="209" spans="2:18" x14ac:dyDescent="0.35">
      <c r="B209" s="9">
        <v>1211</v>
      </c>
      <c r="C209" s="9" t="str">
        <v>가용재고</v>
      </c>
      <c r="D209" s="9" t="str">
        <v/>
      </c>
      <c r="E209" s="9" t="str">
        <v>반납</v>
      </c>
      <c r="F209" s="9" t="str">
        <v/>
      </c>
      <c r="G209" s="9" t="str">
        <v/>
      </c>
      <c r="H209" s="9" t="str">
        <v>RF-20A-0383</v>
      </c>
      <c r="I209" s="11" t="str">
        <v/>
      </c>
      <c r="J209" s="9">
        <v>25</v>
      </c>
      <c r="K209" s="9" t="str">
        <v/>
      </c>
      <c r="L209" s="9" t="str">
        <v>3L1-3</v>
      </c>
      <c r="M209" s="12">
        <v>46287</v>
      </c>
      <c r="N209" s="5" t="str">
        <v/>
      </c>
      <c r="O209" s="5" t="str">
        <v/>
      </c>
      <c r="P209" s="5" t="str">
        <v/>
      </c>
      <c r="Q209" s="14" t="str">
        <v/>
      </c>
      <c r="R209" s="15">
        <v>25</v>
      </c>
    </row>
    <row r="210" spans="2:18" x14ac:dyDescent="0.35">
      <c r="B210" s="9">
        <v>2271</v>
      </c>
      <c r="C210" s="9" t="str">
        <v>가용재고</v>
      </c>
      <c r="D210" s="9" t="str">
        <v/>
      </c>
      <c r="E210" s="9" t="str">
        <v/>
      </c>
      <c r="F210" s="9" t="str">
        <v/>
      </c>
      <c r="G210" s="9" t="str">
        <v/>
      </c>
      <c r="H210" s="9" t="str">
        <v>RF-01S-5086</v>
      </c>
      <c r="I210" s="11" t="str">
        <v>RF-01S-5086]TEETH CAM</v>
      </c>
      <c r="J210" s="9">
        <v>25</v>
      </c>
      <c r="K210" s="9" t="str">
        <v/>
      </c>
      <c r="L210" s="9" t="str">
        <v>3F10</v>
      </c>
      <c r="M210" s="12">
        <v>46301</v>
      </c>
      <c r="N210" s="5" t="str">
        <v/>
      </c>
      <c r="O210" s="5" t="str">
        <v/>
      </c>
      <c r="P210" s="5" t="str">
        <v/>
      </c>
      <c r="Q210" s="14" t="str">
        <v/>
      </c>
      <c r="R210" s="15">
        <v>25</v>
      </c>
    </row>
    <row r="211" spans="2:18" x14ac:dyDescent="0.35">
      <c r="B211" s="9">
        <v>2516</v>
      </c>
      <c r="C211" s="9" t="str">
        <v>가용재고</v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>RA-04A-6035</v>
      </c>
      <c r="I211" s="11" t="str">
        <v>RA-04A-6035_4]Bd ASSY'-THU Bd</v>
      </c>
      <c r="J211" s="9">
        <v>25</v>
      </c>
      <c r="K211" s="9" t="str">
        <v/>
      </c>
      <c r="L211" s="9" t="str">
        <v>A1-1</v>
      </c>
      <c r="M211" s="12">
        <v>46296</v>
      </c>
      <c r="N211" s="5" t="str">
        <v/>
      </c>
      <c r="O211" s="5" t="str">
        <v/>
      </c>
      <c r="P211" s="5" t="str">
        <v/>
      </c>
      <c r="Q211" s="14" t="str">
        <v/>
      </c>
      <c r="R211" s="15">
        <v>25</v>
      </c>
    </row>
    <row r="212" spans="2:18" x14ac:dyDescent="0.35">
      <c r="B212" s="9">
        <v>244</v>
      </c>
      <c r="C212" s="9" t="str">
        <v>가용재고</v>
      </c>
      <c r="D212" s="9" t="str">
        <v/>
      </c>
      <c r="E212" s="9" t="str">
        <v/>
      </c>
      <c r="F212" s="9" t="str">
        <v/>
      </c>
      <c r="G212" s="9" t="str">
        <v/>
      </c>
      <c r="H212" s="9" t="str">
        <v>RA-08V-0604</v>
      </c>
      <c r="I212" s="11" t="str">
        <v>RA-08V-0604]STOPPER SCAN CEPH</v>
      </c>
      <c r="J212" s="9">
        <v>26</v>
      </c>
      <c r="K212" s="9" t="str">
        <v/>
      </c>
      <c r="L212" s="9" t="str">
        <v>E1-3</v>
      </c>
      <c r="M212" s="12">
        <v>46232</v>
      </c>
      <c r="N212" s="5" t="str">
        <v/>
      </c>
      <c r="O212" s="5" t="str">
        <v/>
      </c>
      <c r="P212" s="5" t="str">
        <v/>
      </c>
      <c r="Q212" s="14" t="str">
        <v/>
      </c>
      <c r="R212" s="15">
        <v>26</v>
      </c>
    </row>
    <row r="213" spans="2:18" x14ac:dyDescent="0.35">
      <c r="B213" s="9">
        <v>912</v>
      </c>
      <c r="C213" s="9" t="str">
        <v>가용재고</v>
      </c>
      <c r="D213" s="9" t="str">
        <v/>
      </c>
      <c r="E213" s="9" t="str">
        <v>기초</v>
      </c>
      <c r="F213" s="9" t="str">
        <v/>
      </c>
      <c r="G213" s="9" t="str">
        <v/>
      </c>
      <c r="H213" s="9" t="str">
        <v>RA-03T-3872</v>
      </c>
      <c r="I213" s="11" t="str">
        <v>RA-03T-3872]CAS CLMN BODY REAR L (MG)</v>
      </c>
      <c r="J213" s="9">
        <v>26</v>
      </c>
      <c r="K213" s="9" t="str">
        <v/>
      </c>
      <c r="L213" s="9" t="str">
        <v>4F CASE</v>
      </c>
      <c r="M213" s="12">
        <v>46276</v>
      </c>
      <c r="N213" s="5" t="str">
        <v/>
      </c>
      <c r="O213" s="5" t="str">
        <v/>
      </c>
      <c r="P213" s="5" t="str">
        <v/>
      </c>
      <c r="Q213" s="14" t="str">
        <v/>
      </c>
      <c r="R213" s="15">
        <v>26</v>
      </c>
    </row>
    <row r="214" spans="2:18" x14ac:dyDescent="0.35">
      <c r="B214" s="9">
        <v>1208</v>
      </c>
      <c r="C214" s="9" t="str">
        <v>가용재고</v>
      </c>
      <c r="D214" s="9" t="str">
        <v/>
      </c>
      <c r="E214" s="9" t="str">
        <v>반납</v>
      </c>
      <c r="F214" s="9" t="str">
        <v/>
      </c>
      <c r="G214" s="9" t="str">
        <v/>
      </c>
      <c r="H214" s="9" t="str">
        <v>RF-01T-0164</v>
      </c>
      <c r="I214" s="11" t="str">
        <v>RF-01T-0164]LED TOUCH INDIGATOR</v>
      </c>
      <c r="J214" s="9">
        <v>26</v>
      </c>
      <c r="K214" s="9" t="str">
        <v/>
      </c>
      <c r="L214" s="9" t="str">
        <v>3L3-5</v>
      </c>
      <c r="M214" s="12">
        <v>46287</v>
      </c>
      <c r="N214" s="5" t="str">
        <v/>
      </c>
      <c r="O214" s="5" t="str">
        <v/>
      </c>
      <c r="P214" s="5" t="str">
        <v/>
      </c>
      <c r="Q214" s="14" t="str">
        <v/>
      </c>
      <c r="R214" s="15">
        <v>26</v>
      </c>
    </row>
    <row r="215" spans="2:18" x14ac:dyDescent="0.35">
      <c r="B215" s="9">
        <v>2173</v>
      </c>
      <c r="C215" s="9" t="str">
        <v>가용재고</v>
      </c>
      <c r="D215" s="9" t="str">
        <v/>
      </c>
      <c r="E215" s="9" t="str">
        <v/>
      </c>
      <c r="F215" s="9" t="str">
        <v/>
      </c>
      <c r="G215" s="9" t="str">
        <v/>
      </c>
      <c r="H215" s="9" t="str">
        <v>RP-00S-5041</v>
      </c>
      <c r="I215" s="11" t="str">
        <v/>
      </c>
      <c r="J215" s="9">
        <v>26</v>
      </c>
      <c r="K215" s="9" t="str">
        <v/>
      </c>
      <c r="L215" s="9" t="str">
        <v>3B20</v>
      </c>
      <c r="M215" s="12">
        <v>46275</v>
      </c>
      <c r="N215" s="5" t="str">
        <v/>
      </c>
      <c r="O215" s="5" t="str">
        <v/>
      </c>
      <c r="P215" s="5" t="str">
        <v/>
      </c>
      <c r="Q215" s="14" t="str">
        <v/>
      </c>
      <c r="R215" s="15">
        <v>26</v>
      </c>
    </row>
    <row r="216" spans="2:18" x14ac:dyDescent="0.35">
      <c r="B216" s="9">
        <v>2531</v>
      </c>
      <c r="C216" s="9" t="str">
        <v>가용재고</v>
      </c>
      <c r="D216" s="9" t="str">
        <v/>
      </c>
      <c r="E216" s="9" t="str">
        <v/>
      </c>
      <c r="F216" s="9" t="str">
        <v/>
      </c>
      <c r="G216" s="9" t="str">
        <v/>
      </c>
      <c r="H216" s="9" t="str">
        <v>RA-04A-2748</v>
      </c>
      <c r="I216" s="11" t="str">
        <v>RA-04A-2748]ASM ARM SUB (A+) (VN)</v>
      </c>
      <c r="J216" s="9">
        <v>27</v>
      </c>
      <c r="K216" s="9" t="str">
        <v/>
      </c>
      <c r="L216" s="9" t="str">
        <v>T</v>
      </c>
      <c r="M216" s="12">
        <v>46308</v>
      </c>
      <c r="N216" s="5" t="str">
        <v/>
      </c>
      <c r="O216" s="5" t="str">
        <v/>
      </c>
      <c r="P216" s="5" t="str">
        <v/>
      </c>
      <c r="Q216" s="14" t="str">
        <v/>
      </c>
      <c r="R216" s="15">
        <v>27</v>
      </c>
    </row>
    <row r="217" spans="2:18" x14ac:dyDescent="0.35">
      <c r="B217" s="9">
        <v>913</v>
      </c>
      <c r="C217" s="9" t="str">
        <v>가용재고</v>
      </c>
      <c r="D217" s="9" t="str">
        <v/>
      </c>
      <c r="E217" s="9" t="str">
        <v>기초</v>
      </c>
      <c r="F217" s="9" t="str">
        <v/>
      </c>
      <c r="G217" s="9" t="str">
        <v/>
      </c>
      <c r="H217" s="9" t="str">
        <v>RA-04V-3882</v>
      </c>
      <c r="I217" s="11" t="str">
        <v>RA-04V-3882]BRK THU ARM (MG)</v>
      </c>
      <c r="J217" s="9">
        <v>28</v>
      </c>
      <c r="K217" s="9" t="str">
        <v/>
      </c>
      <c r="L217" s="9" t="str">
        <v>N3-3</v>
      </c>
      <c r="M217" s="12">
        <v>46276</v>
      </c>
      <c r="N217" s="5" t="str">
        <v/>
      </c>
      <c r="O217" s="5" t="str">
        <v/>
      </c>
      <c r="P217" s="5" t="str">
        <v/>
      </c>
      <c r="Q217" s="14" t="str">
        <v/>
      </c>
      <c r="R217" s="15">
        <v>28</v>
      </c>
    </row>
    <row r="218" spans="2:18" x14ac:dyDescent="0.35">
      <c r="B218" s="9">
        <v>1227</v>
      </c>
      <c r="C218" s="9" t="str">
        <v>가용재고</v>
      </c>
      <c r="D218" s="9" t="str">
        <v/>
      </c>
      <c r="E218" s="9" t="str">
        <v>반납</v>
      </c>
      <c r="F218" s="9" t="str">
        <v/>
      </c>
      <c r="G218" s="9" t="str">
        <v/>
      </c>
      <c r="H218" s="9" t="str">
        <v>RF-10A-2086</v>
      </c>
      <c r="I218" s="11" t="str">
        <v>RF-10A-2086]ASM JETSON NANO</v>
      </c>
      <c r="J218" s="9">
        <v>28</v>
      </c>
      <c r="K218" s="9" t="str">
        <v/>
      </c>
      <c r="L218" s="9" t="str">
        <v>A6-3</v>
      </c>
      <c r="M218" s="12">
        <v>46287</v>
      </c>
      <c r="N218" s="5" t="str">
        <v/>
      </c>
      <c r="O218" s="5" t="str">
        <v/>
      </c>
      <c r="P218" s="5" t="str">
        <v/>
      </c>
      <c r="Q218" s="14" t="str">
        <v/>
      </c>
      <c r="R218" s="15">
        <v>28</v>
      </c>
    </row>
    <row r="219" spans="2:18" x14ac:dyDescent="0.35">
      <c r="B219" s="9">
        <v>914</v>
      </c>
      <c r="C219" s="9" t="str">
        <v>가용재고</v>
      </c>
      <c r="D219" s="9" t="str">
        <v/>
      </c>
      <c r="E219" s="9" t="str">
        <v>기초</v>
      </c>
      <c r="F219" s="9" t="str">
        <v/>
      </c>
      <c r="G219" s="9" t="str">
        <v/>
      </c>
      <c r="H219" s="9" t="str">
        <v>RA-03S-6081</v>
      </c>
      <c r="I219" s="11" t="str">
        <v>RA-03S-6081]Main Switch</v>
      </c>
      <c r="J219" s="9">
        <v>29</v>
      </c>
      <c r="K219" s="9" t="str">
        <v/>
      </c>
      <c r="L219" s="9" t="str">
        <v>N3-1</v>
      </c>
      <c r="M219" s="12">
        <v>46276</v>
      </c>
      <c r="N219" s="5" t="str">
        <v/>
      </c>
      <c r="O219" s="5" t="str">
        <v/>
      </c>
      <c r="P219" s="5" t="str">
        <v/>
      </c>
      <c r="Q219" s="14" t="str">
        <v/>
      </c>
      <c r="R219" s="15">
        <v>29</v>
      </c>
    </row>
    <row r="220" spans="2:18" x14ac:dyDescent="0.35">
      <c r="B220" s="9">
        <v>1267</v>
      </c>
      <c r="C220" s="9" t="str">
        <v>가용재고</v>
      </c>
      <c r="D220" s="9" t="str">
        <v/>
      </c>
      <c r="E220" s="9" t="str">
        <v>반납</v>
      </c>
      <c r="F220" s="9" t="str">
        <v/>
      </c>
      <c r="G220" s="9" t="str">
        <v/>
      </c>
      <c r="H220" s="9" t="str">
        <v>RF-01S-5030</v>
      </c>
      <c r="I220" s="11" t="str">
        <v/>
      </c>
      <c r="J220" s="9">
        <v>29</v>
      </c>
      <c r="K220" s="9" t="str">
        <v/>
      </c>
      <c r="L220" s="9" t="str">
        <v>3B21</v>
      </c>
      <c r="M220" s="12">
        <v>46287</v>
      </c>
      <c r="N220" s="5" t="str">
        <v/>
      </c>
      <c r="O220" s="5" t="str">
        <v/>
      </c>
      <c r="P220" s="5" t="str">
        <v/>
      </c>
      <c r="Q220" s="14" t="str">
        <v/>
      </c>
      <c r="R220" s="15">
        <v>29</v>
      </c>
    </row>
    <row r="221" spans="2:18" x14ac:dyDescent="0.35">
      <c r="B221" s="9">
        <v>2260</v>
      </c>
      <c r="C221" s="9" t="str">
        <v>가용재고</v>
      </c>
      <c r="D221" s="9" t="str">
        <v/>
      </c>
      <c r="E221" s="9" t="str">
        <v/>
      </c>
      <c r="F221" s="9" t="str">
        <v/>
      </c>
      <c r="G221" s="9" t="str">
        <v/>
      </c>
      <c r="H221" s="9" t="str">
        <v>RF-01T-0190</v>
      </c>
      <c r="I221" s="11" t="str">
        <v>RF-01T-0190]CVR FRONT</v>
      </c>
      <c r="J221" s="9">
        <v>29</v>
      </c>
      <c r="K221" s="9" t="str">
        <v/>
      </c>
      <c r="L221" s="9" t="str">
        <v>3F4</v>
      </c>
      <c r="M221" s="12">
        <v>46301</v>
      </c>
      <c r="N221" s="5" t="str">
        <v/>
      </c>
      <c r="O221" s="5" t="str">
        <v/>
      </c>
      <c r="P221" s="5" t="str">
        <v/>
      </c>
      <c r="Q221" s="14" t="str">
        <v/>
      </c>
      <c r="R221" s="15">
        <v>29</v>
      </c>
    </row>
    <row r="222" spans="2:18" x14ac:dyDescent="0.35">
      <c r="B222" s="9">
        <v>2017</v>
      </c>
      <c r="C222" s="9" t="str">
        <v>가용재고</v>
      </c>
      <c r="D222" s="9" t="str">
        <v/>
      </c>
      <c r="E222" s="9" t="str">
        <v>입고</v>
      </c>
      <c r="F222" s="9" t="str">
        <v>Bach tung</v>
      </c>
      <c r="G222" s="9" t="str">
        <v>유영국</v>
      </c>
      <c r="H222" s="9" t="str">
        <v>RA-03A-0050</v>
      </c>
      <c r="I222" s="11" t="str">
        <v>RA-03A-0050_I]ASM HORIZONTAL LASER BEAM</v>
      </c>
      <c r="J222" s="9">
        <v>30</v>
      </c>
      <c r="K222" s="9" t="str">
        <v/>
      </c>
      <c r="L222" s="9" t="str">
        <v>O2</v>
      </c>
      <c r="M222" s="12">
        <v>46296</v>
      </c>
      <c r="N222" s="5" t="str">
        <v/>
      </c>
      <c r="O222" s="5" t="str">
        <v/>
      </c>
      <c r="P222" s="5" t="str">
        <v/>
      </c>
      <c r="Q222" s="14" t="str">
        <v/>
      </c>
      <c r="R222" s="15">
        <v>30</v>
      </c>
    </row>
    <row r="223" spans="2:18" x14ac:dyDescent="0.35">
      <c r="B223" s="9">
        <v>915</v>
      </c>
      <c r="C223" s="9" t="str">
        <v>가용재고</v>
      </c>
      <c r="D223" s="9" t="str">
        <v/>
      </c>
      <c r="E223" s="9" t="str">
        <v>기초</v>
      </c>
      <c r="F223" s="9" t="str">
        <v/>
      </c>
      <c r="G223" s="9" t="str">
        <v/>
      </c>
      <c r="H223" s="9" t="str">
        <v>RA-02A-6083</v>
      </c>
      <c r="I223" s="11" t="str">
        <v>RA-02A-6083]INDICATOR_R Bd</v>
      </c>
      <c r="J223" s="9">
        <v>30</v>
      </c>
      <c r="K223" s="9" t="str">
        <v/>
      </c>
      <c r="L223" s="9" t="str">
        <v>A7-1</v>
      </c>
      <c r="M223" s="12">
        <v>46276</v>
      </c>
      <c r="N223" s="5" t="str">
        <v/>
      </c>
      <c r="O223" s="5" t="str">
        <v/>
      </c>
      <c r="P223" s="5" t="str">
        <v/>
      </c>
      <c r="Q223" s="14" t="str">
        <v/>
      </c>
      <c r="R223" s="15">
        <v>30</v>
      </c>
    </row>
    <row r="224" spans="2:18" x14ac:dyDescent="0.35">
      <c r="B224" s="9">
        <v>916</v>
      </c>
      <c r="C224" s="9" t="str">
        <v>가용재고</v>
      </c>
      <c r="D224" s="9" t="str">
        <v/>
      </c>
      <c r="E224" s="9" t="str">
        <v>기초</v>
      </c>
      <c r="F224" s="9" t="str">
        <v/>
      </c>
      <c r="G224" s="9" t="str">
        <v/>
      </c>
      <c r="H224" s="9" t="str">
        <v>RA-02V-3841</v>
      </c>
      <c r="I224" s="11" t="str">
        <v>RA-02V-3841]CVR VERT BOT (MG)</v>
      </c>
      <c r="J224" s="9">
        <v>30</v>
      </c>
      <c r="K224" s="9" t="str">
        <v/>
      </c>
      <c r="L224" s="9" t="str">
        <v>N1-3</v>
      </c>
      <c r="M224" s="12">
        <v>46276</v>
      </c>
      <c r="N224" s="5" t="str">
        <v/>
      </c>
      <c r="O224" s="5" t="str">
        <v/>
      </c>
      <c r="P224" s="5" t="str">
        <v/>
      </c>
      <c r="Q224" s="14" t="str">
        <v/>
      </c>
      <c r="R224" s="15">
        <v>30</v>
      </c>
    </row>
    <row r="225" spans="2:18" x14ac:dyDescent="0.35">
      <c r="B225" s="9">
        <v>917</v>
      </c>
      <c r="C225" s="9" t="str">
        <v>가용재고</v>
      </c>
      <c r="D225" s="9" t="str">
        <v/>
      </c>
      <c r="E225" s="9" t="str">
        <v>기초</v>
      </c>
      <c r="F225" s="9" t="str">
        <v/>
      </c>
      <c r="G225" s="9" t="str">
        <v/>
      </c>
      <c r="H225" s="9" t="str">
        <v>RA-02V-3847</v>
      </c>
      <c r="I225" s="11" t="str">
        <v>RA-02V-3847]CVR VERT UPPER (MG)</v>
      </c>
      <c r="J225" s="9">
        <v>30</v>
      </c>
      <c r="K225" s="9" t="str">
        <v/>
      </c>
      <c r="L225" s="9" t="str">
        <v>N4</v>
      </c>
      <c r="M225" s="12">
        <v>46276</v>
      </c>
      <c r="N225" s="5" t="str">
        <v/>
      </c>
      <c r="O225" s="5" t="str">
        <v/>
      </c>
      <c r="P225" s="5" t="str">
        <v/>
      </c>
      <c r="Q225" s="14" t="str">
        <v/>
      </c>
      <c r="R225" s="15">
        <v>30</v>
      </c>
    </row>
    <row r="226" spans="2:18" x14ac:dyDescent="0.35">
      <c r="B226" s="9">
        <v>918</v>
      </c>
      <c r="C226" s="9" t="str">
        <v>가용재고</v>
      </c>
      <c r="D226" s="9" t="str">
        <v/>
      </c>
      <c r="E226" s="9" t="str">
        <v>기초</v>
      </c>
      <c r="F226" s="9" t="str">
        <v/>
      </c>
      <c r="G226" s="9" t="str">
        <v/>
      </c>
      <c r="H226" s="9" t="str">
        <v>RA-03V-3863</v>
      </c>
      <c r="I226" s="11" t="str">
        <v>RA-03V-3863]CVR PROTOR SWITCH (MG)</v>
      </c>
      <c r="J226" s="9">
        <v>30</v>
      </c>
      <c r="K226" s="9" t="str">
        <v/>
      </c>
      <c r="L226" s="9" t="str">
        <v>N3-3</v>
      </c>
      <c r="M226" s="12">
        <v>46276</v>
      </c>
      <c r="N226" s="5" t="str">
        <v/>
      </c>
      <c r="O226" s="5" t="str">
        <v/>
      </c>
      <c r="P226" s="5" t="str">
        <v/>
      </c>
      <c r="Q226" s="14" t="str">
        <v/>
      </c>
      <c r="R226" s="15">
        <v>30</v>
      </c>
    </row>
    <row r="227" spans="2:18" x14ac:dyDescent="0.35">
      <c r="B227" s="9">
        <v>919</v>
      </c>
      <c r="C227" s="9" t="str">
        <v>가용재고</v>
      </c>
      <c r="D227" s="9" t="str">
        <v/>
      </c>
      <c r="E227" s="9" t="str">
        <v>기초</v>
      </c>
      <c r="F227" s="9" t="str">
        <v/>
      </c>
      <c r="G227" s="9" t="str">
        <v/>
      </c>
      <c r="H227" s="9" t="str">
        <v>RA-04V-3887</v>
      </c>
      <c r="I227" s="11" t="str">
        <v/>
      </c>
      <c r="J227" s="9">
        <v>30</v>
      </c>
      <c r="K227" s="9" t="str">
        <v/>
      </c>
      <c r="L227" s="9" t="str">
        <v>N1-3</v>
      </c>
      <c r="M227" s="12">
        <v>46276</v>
      </c>
      <c r="N227" s="5" t="str">
        <v/>
      </c>
      <c r="O227" s="5" t="str">
        <v/>
      </c>
      <c r="P227" s="5" t="str">
        <v/>
      </c>
      <c r="Q227" s="14" t="str">
        <v/>
      </c>
      <c r="R227" s="15">
        <v>30</v>
      </c>
    </row>
    <row r="228" spans="2:18" x14ac:dyDescent="0.35">
      <c r="B228" s="9">
        <v>920</v>
      </c>
      <c r="C228" s="9" t="str">
        <v>가용재고</v>
      </c>
      <c r="D228" s="9" t="str">
        <v/>
      </c>
      <c r="E228" s="9" t="str">
        <v>기초</v>
      </c>
      <c r="F228" s="9" t="str">
        <v/>
      </c>
      <c r="G228" s="9" t="str">
        <v/>
      </c>
      <c r="H228" s="9" t="str">
        <v>RA-06S-6058</v>
      </c>
      <c r="I228" s="11" t="str">
        <v>RA-06S-6058]CAM I/F Bd</v>
      </c>
      <c r="J228" s="9">
        <v>30</v>
      </c>
      <c r="K228" s="9" t="str">
        <v/>
      </c>
      <c r="L228" s="9" t="str">
        <v>A7-2</v>
      </c>
      <c r="M228" s="12">
        <v>46276</v>
      </c>
      <c r="N228" s="5" t="str">
        <v/>
      </c>
      <c r="O228" s="5" t="str">
        <v/>
      </c>
      <c r="P228" s="5" t="str">
        <v/>
      </c>
      <c r="Q228" s="14" t="str">
        <v/>
      </c>
      <c r="R228" s="15">
        <v>30</v>
      </c>
    </row>
    <row r="229" spans="2:18" x14ac:dyDescent="0.35">
      <c r="B229" s="9">
        <v>1299</v>
      </c>
      <c r="C229" s="9" t="str">
        <v>가용재고</v>
      </c>
      <c r="D229" s="9" t="str">
        <v/>
      </c>
      <c r="E229" s="9" t="str">
        <v/>
      </c>
      <c r="F229" s="9" t="str">
        <v/>
      </c>
      <c r="G229" s="9" t="str">
        <v/>
      </c>
      <c r="H229" s="9" t="str">
        <v>RF-01H-5071</v>
      </c>
      <c r="I229" s="11" t="str">
        <v>RF-01H-5071]SBC LAN Cable</v>
      </c>
      <c r="J229" s="9">
        <v>30</v>
      </c>
      <c r="K229" s="9" t="str">
        <v/>
      </c>
      <c r="L229" s="9" t="str">
        <v>3S3-6</v>
      </c>
      <c r="M229" s="12">
        <v>46287</v>
      </c>
      <c r="N229" s="5" t="str">
        <v/>
      </c>
      <c r="O229" s="5" t="str">
        <v/>
      </c>
      <c r="P229" s="5" t="str">
        <v/>
      </c>
      <c r="Q229" s="14" t="str">
        <v/>
      </c>
      <c r="R229" s="15">
        <v>30</v>
      </c>
    </row>
    <row r="230" spans="2:18" x14ac:dyDescent="0.35">
      <c r="B230" s="9">
        <v>1307</v>
      </c>
      <c r="C230" s="9" t="str">
        <v>가용재고</v>
      </c>
      <c r="D230" s="9" t="str">
        <v/>
      </c>
      <c r="E230" s="9" t="str">
        <v/>
      </c>
      <c r="F230" s="9" t="str">
        <v/>
      </c>
      <c r="G230" s="9" t="str">
        <v/>
      </c>
      <c r="H230" s="9" t="str">
        <v>RF-20A-0369</v>
      </c>
      <c r="I230" s="11" t="str">
        <v>MODULE ARM RIGHT</v>
      </c>
      <c r="J230" s="9">
        <v>30</v>
      </c>
      <c r="K230" s="9" t="str">
        <v/>
      </c>
      <c r="L230" s="9" t="str">
        <v>3C6</v>
      </c>
      <c r="M230" s="12">
        <v>46287</v>
      </c>
      <c r="N230" s="5" t="str">
        <v/>
      </c>
      <c r="O230" s="5" t="str">
        <v/>
      </c>
      <c r="P230" s="5" t="str">
        <v/>
      </c>
      <c r="Q230" s="14" t="str">
        <v/>
      </c>
      <c r="R230" s="15">
        <v>30</v>
      </c>
    </row>
    <row r="231" spans="2:18" x14ac:dyDescent="0.35">
      <c r="B231" s="9">
        <v>921</v>
      </c>
      <c r="C231" s="9" t="str">
        <v>가용재고</v>
      </c>
      <c r="D231" s="9" t="str">
        <v/>
      </c>
      <c r="E231" s="9" t="str">
        <v>기초</v>
      </c>
      <c r="F231" s="9" t="str">
        <v/>
      </c>
      <c r="G231" s="9" t="str">
        <v/>
      </c>
      <c r="H231" s="9" t="str">
        <v>RA-02T-3850</v>
      </c>
      <c r="I231" s="11" t="str">
        <v>RA-02T-3850]CAS VERT UPPER L (MG)</v>
      </c>
      <c r="J231" s="9">
        <v>31</v>
      </c>
      <c r="K231" s="9" t="str">
        <v/>
      </c>
      <c r="L231" s="9" t="str">
        <v>4F CASE</v>
      </c>
      <c r="M231" s="12">
        <v>46276</v>
      </c>
      <c r="N231" s="5" t="str">
        <v/>
      </c>
      <c r="O231" s="5" t="str">
        <v/>
      </c>
      <c r="P231" s="5" t="str">
        <v/>
      </c>
      <c r="Q231" s="14" t="str">
        <v/>
      </c>
      <c r="R231" s="15">
        <v>31</v>
      </c>
    </row>
    <row r="232" spans="2:18" x14ac:dyDescent="0.35">
      <c r="B232" s="9">
        <v>922</v>
      </c>
      <c r="C232" s="9" t="str">
        <v>가용재고</v>
      </c>
      <c r="D232" s="9" t="str">
        <v/>
      </c>
      <c r="E232" s="9" t="str">
        <v>기초</v>
      </c>
      <c r="F232" s="9" t="str">
        <v/>
      </c>
      <c r="G232" s="9" t="str">
        <v/>
      </c>
      <c r="H232" s="9" t="str">
        <v>RA-06S-6070</v>
      </c>
      <c r="I232" s="11" t="str">
        <v>RA-06S-6070]16GB eMMC Mdl</v>
      </c>
      <c r="J232" s="9">
        <v>31</v>
      </c>
      <c r="K232" s="9" t="str">
        <v/>
      </c>
      <c r="L232" s="9" t="str">
        <v>A7-2</v>
      </c>
      <c r="M232" s="12">
        <v>46276</v>
      </c>
      <c r="N232" s="5" t="str">
        <v/>
      </c>
      <c r="O232" s="5" t="str">
        <v/>
      </c>
      <c r="P232" s="5" t="str">
        <v/>
      </c>
      <c r="Q232" s="14" t="str">
        <v/>
      </c>
      <c r="R232" s="15">
        <v>31</v>
      </c>
    </row>
    <row r="233" spans="2:18" x14ac:dyDescent="0.35">
      <c r="B233" s="9">
        <v>923</v>
      </c>
      <c r="C233" s="9" t="str">
        <v>가용재고</v>
      </c>
      <c r="D233" s="9" t="str">
        <v/>
      </c>
      <c r="E233" s="9" t="str">
        <v>기초</v>
      </c>
      <c r="F233" s="9" t="str">
        <v/>
      </c>
      <c r="G233" s="9" t="str">
        <v/>
      </c>
      <c r="H233" s="9" t="str">
        <v>RA-03T-3870</v>
      </c>
      <c r="I233" s="11" t="str">
        <v>RA-03T-3870]CAS CLMN BODY LWR L (MG)</v>
      </c>
      <c r="J233" s="9">
        <v>32</v>
      </c>
      <c r="K233" s="9" t="str">
        <v/>
      </c>
      <c r="L233" s="9" t="str">
        <v>4F CASE</v>
      </c>
      <c r="M233" s="12">
        <v>46276</v>
      </c>
      <c r="N233" s="5" t="str">
        <v/>
      </c>
      <c r="O233" s="5" t="str">
        <v/>
      </c>
      <c r="P233" s="5" t="str">
        <v/>
      </c>
      <c r="Q233" s="14" t="str">
        <v/>
      </c>
      <c r="R233" s="15">
        <v>32</v>
      </c>
    </row>
    <row r="234" spans="2:18" x14ac:dyDescent="0.35">
      <c r="B234" s="9">
        <v>924</v>
      </c>
      <c r="C234" s="9" t="str">
        <v>가용재고</v>
      </c>
      <c r="D234" s="9" t="str">
        <v/>
      </c>
      <c r="E234" s="9" t="str">
        <v>기초</v>
      </c>
      <c r="F234" s="9" t="str">
        <v/>
      </c>
      <c r="G234" s="9" t="str">
        <v/>
      </c>
      <c r="H234" s="9" t="str">
        <v>RA-06V-3932</v>
      </c>
      <c r="I234" s="11" t="str">
        <v>RA-06V-3932]BRK CAM FIX (MG)</v>
      </c>
      <c r="J234" s="9">
        <v>32</v>
      </c>
      <c r="K234" s="9" t="str">
        <v/>
      </c>
      <c r="L234" s="9" t="str">
        <v>N2-4</v>
      </c>
      <c r="M234" s="12">
        <v>46276</v>
      </c>
      <c r="N234" s="5" t="str">
        <v/>
      </c>
      <c r="O234" s="5" t="str">
        <v/>
      </c>
      <c r="P234" s="5" t="str">
        <v/>
      </c>
      <c r="Q234" s="14" t="str">
        <v/>
      </c>
      <c r="R234" s="15">
        <v>32</v>
      </c>
    </row>
    <row r="235" spans="2:18" x14ac:dyDescent="0.35">
      <c r="B235" s="9">
        <v>1277</v>
      </c>
      <c r="C235" s="9" t="str">
        <v>가용재고</v>
      </c>
      <c r="D235" s="9" t="str">
        <v/>
      </c>
      <c r="E235" s="9" t="str">
        <v>입고</v>
      </c>
      <c r="F235" s="9" t="str">
        <v>A&amp;T</v>
      </c>
      <c r="G235" s="9" t="str">
        <v>조영우</v>
      </c>
      <c r="H235" s="9" t="str">
        <v>RF-01V-0197</v>
      </c>
      <c r="I235" s="11" t="str">
        <v>RF-01V-0197]JETSON BRK</v>
      </c>
      <c r="J235" s="9">
        <v>32</v>
      </c>
      <c r="K235" s="9" t="str">
        <v/>
      </c>
      <c r="L235" s="9" t="str">
        <v>3F3</v>
      </c>
      <c r="M235" s="12">
        <v>46273</v>
      </c>
      <c r="N235" s="5" t="str">
        <v/>
      </c>
      <c r="O235" s="5" t="str">
        <v/>
      </c>
      <c r="P235" s="5" t="str">
        <v/>
      </c>
      <c r="Q235" s="14" t="str">
        <v/>
      </c>
      <c r="R235" s="15">
        <v>32</v>
      </c>
    </row>
    <row r="236" spans="2:18" x14ac:dyDescent="0.35">
      <c r="B236" s="9">
        <v>2523</v>
      </c>
      <c r="C236" s="9" t="str">
        <v>가용재고</v>
      </c>
      <c r="D236" s="9" t="str">
        <v/>
      </c>
      <c r="E236" s="9" t="str">
        <v/>
      </c>
      <c r="F236" s="9" t="str">
        <v/>
      </c>
      <c r="G236" s="9" t="str">
        <v/>
      </c>
      <c r="H236" s="9" t="str">
        <v>RA-04V-0117</v>
      </c>
      <c r="I236" s="11" t="str">
        <v>RA-04V-0117] ARM MONITOR</v>
      </c>
      <c r="J236" s="9">
        <v>32</v>
      </c>
      <c r="K236" s="9" t="str">
        <v/>
      </c>
      <c r="L236" s="9" t="str">
        <v>H1</v>
      </c>
      <c r="M236" s="12">
        <v>46308</v>
      </c>
      <c r="N236" s="5" t="str">
        <v/>
      </c>
      <c r="O236" s="5" t="str">
        <v/>
      </c>
      <c r="P236" s="5" t="str">
        <v/>
      </c>
      <c r="Q236" s="14" t="str">
        <v/>
      </c>
      <c r="R236" s="15">
        <v>32</v>
      </c>
    </row>
    <row r="237" spans="2:18" x14ac:dyDescent="0.35">
      <c r="B237" s="9">
        <v>925</v>
      </c>
      <c r="C237" s="9" t="str">
        <v>가용재고</v>
      </c>
      <c r="D237" s="9" t="str">
        <v/>
      </c>
      <c r="E237" s="9" t="str">
        <v>기초</v>
      </c>
      <c r="F237" s="9" t="str">
        <v/>
      </c>
      <c r="G237" s="9" t="str">
        <v/>
      </c>
      <c r="H237" s="9" t="str">
        <v>RA-06T-3940</v>
      </c>
      <c r="I237" s="11" t="str">
        <v>RA-06T-3940]CAS TUBE TNK FRONT (MG)</v>
      </c>
      <c r="J237" s="9">
        <v>33</v>
      </c>
      <c r="K237" s="9" t="str">
        <v/>
      </c>
      <c r="L237" s="9" t="str">
        <v>4F CASE</v>
      </c>
      <c r="M237" s="12">
        <v>46276</v>
      </c>
      <c r="N237" s="5" t="str">
        <v/>
      </c>
      <c r="O237" s="5" t="str">
        <v/>
      </c>
      <c r="P237" s="5" t="str">
        <v/>
      </c>
      <c r="Q237" s="14" t="str">
        <v/>
      </c>
      <c r="R237" s="15">
        <v>33</v>
      </c>
    </row>
    <row r="238" spans="2:18" x14ac:dyDescent="0.35">
      <c r="B238" s="9">
        <v>2448</v>
      </c>
      <c r="C238" s="9" t="str">
        <v>가용재고</v>
      </c>
      <c r="D238" s="9" t="str">
        <v/>
      </c>
      <c r="E238" s="9" t="str">
        <v/>
      </c>
      <c r="F238" s="9" t="str">
        <v/>
      </c>
      <c r="G238" s="9" t="str">
        <v/>
      </c>
      <c r="H238" s="9" t="str">
        <v>RA-11-23</v>
      </c>
      <c r="I238" s="11" t="str">
        <v>RA-11-23]Fcol MOT Cable D</v>
      </c>
      <c r="J238" s="9">
        <v>33</v>
      </c>
      <c r="K238" s="9" t="str">
        <v/>
      </c>
      <c r="L238" s="9" t="str">
        <v>G1-5</v>
      </c>
      <c r="M238" s="12">
        <v>46301</v>
      </c>
      <c r="N238" s="5" t="str">
        <v/>
      </c>
      <c r="O238" s="5" t="str">
        <v/>
      </c>
      <c r="P238" s="5" t="str">
        <v/>
      </c>
      <c r="Q238" s="14" t="str">
        <v/>
      </c>
      <c r="R238" s="15">
        <v>33</v>
      </c>
    </row>
    <row r="239" spans="2:18" x14ac:dyDescent="0.35">
      <c r="B239" s="9">
        <v>927</v>
      </c>
      <c r="C239" s="9" t="str">
        <v>가용재고</v>
      </c>
      <c r="D239" s="9" t="str">
        <v/>
      </c>
      <c r="E239" s="9" t="str">
        <v>기초</v>
      </c>
      <c r="F239" s="9" t="str">
        <v/>
      </c>
      <c r="G239" s="9" t="str">
        <v/>
      </c>
      <c r="H239" s="9" t="str">
        <v>RA-05T-3926</v>
      </c>
      <c r="I239" s="11" t="str">
        <v>RA-05T-3926]CAS ROT BOT (MG)</v>
      </c>
      <c r="J239" s="9">
        <v>35</v>
      </c>
      <c r="K239" s="9" t="str">
        <v/>
      </c>
      <c r="L239" s="9" t="str">
        <v>4F CASE</v>
      </c>
      <c r="M239" s="12">
        <v>46276</v>
      </c>
      <c r="N239" s="5" t="str">
        <v/>
      </c>
      <c r="O239" s="5" t="str">
        <v/>
      </c>
      <c r="P239" s="5" t="str">
        <v/>
      </c>
      <c r="Q239" s="14" t="str">
        <v/>
      </c>
      <c r="R239" s="15">
        <v>35</v>
      </c>
    </row>
    <row r="240" spans="2:18" x14ac:dyDescent="0.35">
      <c r="B240" s="9">
        <v>2421</v>
      </c>
      <c r="C240" s="9" t="str">
        <v>가용재고</v>
      </c>
      <c r="D240" s="9" t="str">
        <v/>
      </c>
      <c r="E240" s="9" t="str">
        <v/>
      </c>
      <c r="F240" s="9" t="str">
        <v/>
      </c>
      <c r="G240" s="9" t="str">
        <v/>
      </c>
      <c r="H240" s="9" t="str">
        <v>RA-07V-2781</v>
      </c>
      <c r="I240" s="11" t="str">
        <v>RA-07V-2781]PLT Bas DET (IR)</v>
      </c>
      <c r="J240" s="9">
        <v>35</v>
      </c>
      <c r="K240" s="9" t="str">
        <v/>
      </c>
      <c r="L240" s="9" t="str">
        <v>O3</v>
      </c>
      <c r="M240" s="12">
        <v>46301</v>
      </c>
      <c r="N240" s="5" t="str">
        <v/>
      </c>
      <c r="O240" s="5" t="str">
        <v/>
      </c>
      <c r="P240" s="5" t="str">
        <v/>
      </c>
      <c r="Q240" s="14" t="str">
        <v/>
      </c>
      <c r="R240" s="15">
        <v>35</v>
      </c>
    </row>
    <row r="241" spans="2:18" x14ac:dyDescent="0.35">
      <c r="B241" s="9">
        <v>2524</v>
      </c>
      <c r="C241" s="9" t="str">
        <v>가용재고</v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>RA-03S-6045</v>
      </c>
      <c r="I241" s="11" t="str">
        <v>RA-03S-6045]SMPS-RPS-200-24V</v>
      </c>
      <c r="J241" s="9">
        <v>35</v>
      </c>
      <c r="K241" s="9" t="str">
        <v/>
      </c>
      <c r="L241" s="9" t="str">
        <v>A12-4</v>
      </c>
      <c r="M241" s="12">
        <v>46308</v>
      </c>
      <c r="N241" s="5" t="str">
        <v/>
      </c>
      <c r="O241" s="5" t="str">
        <v/>
      </c>
      <c r="P241" s="5" t="str">
        <v/>
      </c>
      <c r="Q241" s="14" t="str">
        <v/>
      </c>
      <c r="R241" s="15">
        <v>35</v>
      </c>
    </row>
    <row r="242" spans="2:18" x14ac:dyDescent="0.35">
      <c r="B242" s="9">
        <v>1217</v>
      </c>
      <c r="C242" s="9" t="str">
        <v>가용재고</v>
      </c>
      <c r="D242" s="9" t="str">
        <v/>
      </c>
      <c r="E242" s="9" t="str">
        <v>반납</v>
      </c>
      <c r="F242" s="9" t="str">
        <v/>
      </c>
      <c r="G242" s="9" t="str">
        <v/>
      </c>
      <c r="H242" s="9" t="str">
        <v>RF-01M-0269</v>
      </c>
      <c r="I242" s="11" t="str">
        <v>RF-01M-0269]FACE CAM BLK_HR</v>
      </c>
      <c r="J242" s="9">
        <v>36</v>
      </c>
      <c r="K242" s="9" t="str">
        <v/>
      </c>
      <c r="L242" s="9" t="str">
        <v>3L4-4</v>
      </c>
      <c r="M242" s="12">
        <v>46287</v>
      </c>
      <c r="N242" s="5" t="str">
        <v/>
      </c>
      <c r="O242" s="5" t="str">
        <v/>
      </c>
      <c r="P242" s="5" t="str">
        <v/>
      </c>
      <c r="Q242" s="14" t="str">
        <v/>
      </c>
      <c r="R242" s="15">
        <v>36</v>
      </c>
    </row>
    <row r="243" spans="2:18" x14ac:dyDescent="0.35">
      <c r="B243" s="9">
        <v>2204</v>
      </c>
      <c r="C243" s="9" t="str">
        <v>가용재고</v>
      </c>
      <c r="D243" s="9" t="str">
        <v/>
      </c>
      <c r="E243" s="9" t="str">
        <v/>
      </c>
      <c r="F243" s="9" t="str">
        <v/>
      </c>
      <c r="G243" s="9" t="str">
        <v/>
      </c>
      <c r="H243" s="9" t="str">
        <v>RA-07A-6048</v>
      </c>
      <c r="I243" s="11" t="str">
        <v>RA-07A-6048]Bd ASSY'-ADET POWER-3D NEW</v>
      </c>
      <c r="J243" s="9">
        <v>36</v>
      </c>
      <c r="K243" s="9" t="str">
        <v/>
      </c>
      <c r="L243" s="9" t="str">
        <v>A1-3</v>
      </c>
      <c r="M243" s="12">
        <v>46294</v>
      </c>
      <c r="N243" s="5" t="str">
        <v/>
      </c>
      <c r="O243" s="5" t="str">
        <v/>
      </c>
      <c r="P243" s="5" t="str">
        <v/>
      </c>
      <c r="Q243" s="14" t="str">
        <v/>
      </c>
      <c r="R243" s="15">
        <v>36</v>
      </c>
    </row>
    <row r="244" spans="2:18" x14ac:dyDescent="0.35">
      <c r="B244" s="9">
        <v>348</v>
      </c>
      <c r="C244" s="9" t="str">
        <v>가용재고</v>
      </c>
      <c r="D244" s="9" t="str">
        <v/>
      </c>
      <c r="E244" s="9" t="str">
        <v>입고</v>
      </c>
      <c r="F244" s="9" t="str">
        <v/>
      </c>
      <c r="G244" s="9" t="str">
        <v/>
      </c>
      <c r="H244" s="9" t="str">
        <v>RF-01S-5030</v>
      </c>
      <c r="I244" s="11" t="str">
        <v/>
      </c>
      <c r="J244" s="9">
        <v>37</v>
      </c>
      <c r="K244" s="9" t="str">
        <v/>
      </c>
      <c r="L244" s="9" t="str">
        <v>3B21</v>
      </c>
      <c r="M244" s="12">
        <v>46252</v>
      </c>
      <c r="N244" s="5" t="str">
        <v/>
      </c>
      <c r="O244" s="5" t="str">
        <v/>
      </c>
      <c r="P244" s="5" t="str">
        <v/>
      </c>
      <c r="Q244" s="14" t="str">
        <v/>
      </c>
      <c r="R244" s="15">
        <v>37</v>
      </c>
    </row>
    <row r="245" spans="2:18" x14ac:dyDescent="0.35">
      <c r="B245" s="9">
        <v>929</v>
      </c>
      <c r="C245" s="9" t="str">
        <v>가용재고</v>
      </c>
      <c r="D245" s="9" t="str">
        <v/>
      </c>
      <c r="E245" s="9" t="str">
        <v>기초</v>
      </c>
      <c r="F245" s="9" t="str">
        <v/>
      </c>
      <c r="G245" s="9" t="str">
        <v/>
      </c>
      <c r="H245" s="9" t="str">
        <v>RA-07T-3957</v>
      </c>
      <c r="I245" s="11" t="str">
        <v>RA-07T-3957]CAS DET LWR (MG)</v>
      </c>
      <c r="J245" s="9">
        <v>37</v>
      </c>
      <c r="K245" s="9" t="str">
        <v/>
      </c>
      <c r="L245" s="9" t="str">
        <v>4F CASE</v>
      </c>
      <c r="M245" s="12">
        <v>46276</v>
      </c>
      <c r="N245" s="5" t="str">
        <v/>
      </c>
      <c r="O245" s="5" t="str">
        <v/>
      </c>
      <c r="P245" s="5" t="str">
        <v/>
      </c>
      <c r="Q245" s="14" t="str">
        <v/>
      </c>
      <c r="R245" s="15">
        <v>37</v>
      </c>
    </row>
    <row r="246" spans="2:18" x14ac:dyDescent="0.35">
      <c r="B246" s="9">
        <v>1300</v>
      </c>
      <c r="C246" s="9" t="str">
        <v>가용재고</v>
      </c>
      <c r="D246" s="9" t="str">
        <v/>
      </c>
      <c r="E246" s="9" t="str">
        <v/>
      </c>
      <c r="F246" s="9" t="str">
        <v/>
      </c>
      <c r="G246" s="9" t="str">
        <v/>
      </c>
      <c r="H246" s="9" t="str">
        <v>RF-01H-5075</v>
      </c>
      <c r="I246" s="11" t="str">
        <v>RF-01H-5075] USB to Cal kit harness</v>
      </c>
      <c r="J246" s="9">
        <v>37</v>
      </c>
      <c r="K246" s="9" t="str">
        <v/>
      </c>
      <c r="L246" s="9" t="str">
        <v>3S3-6</v>
      </c>
      <c r="M246" s="12">
        <v>46287</v>
      </c>
      <c r="N246" s="5" t="str">
        <v/>
      </c>
      <c r="O246" s="5" t="str">
        <v/>
      </c>
      <c r="P246" s="5" t="str">
        <v/>
      </c>
      <c r="Q246" s="14" t="str">
        <v/>
      </c>
      <c r="R246" s="15">
        <v>37</v>
      </c>
    </row>
    <row r="247" spans="2:18" x14ac:dyDescent="0.35">
      <c r="B247" s="9">
        <v>1301</v>
      </c>
      <c r="C247" s="9" t="str">
        <v>가용재고</v>
      </c>
      <c r="D247" s="9" t="str">
        <v/>
      </c>
      <c r="E247" s="9" t="str">
        <v/>
      </c>
      <c r="F247" s="9" t="str">
        <v/>
      </c>
      <c r="G247" s="9" t="str">
        <v/>
      </c>
      <c r="H247" s="9" t="str">
        <v>RF-01H-5053</v>
      </c>
      <c r="I247" s="11" t="str">
        <v>RF-01H-5053]USB to PC harness</v>
      </c>
      <c r="J247" s="9">
        <v>37</v>
      </c>
      <c r="K247" s="9" t="str">
        <v/>
      </c>
      <c r="L247" s="9" t="str">
        <v>3S3-4</v>
      </c>
      <c r="M247" s="12">
        <v>46287</v>
      </c>
      <c r="N247" s="5" t="str">
        <v/>
      </c>
      <c r="O247" s="5" t="str">
        <v/>
      </c>
      <c r="P247" s="5" t="str">
        <v/>
      </c>
      <c r="Q247" s="14" t="str">
        <v/>
      </c>
      <c r="R247" s="15">
        <v>37</v>
      </c>
    </row>
    <row r="248" spans="2:18" x14ac:dyDescent="0.35">
      <c r="B248" s="9">
        <v>2347</v>
      </c>
      <c r="C248" s="9" t="str">
        <v>가용재고</v>
      </c>
      <c r="D248" s="9" t="str">
        <v/>
      </c>
      <c r="E248" s="9" t="str">
        <v/>
      </c>
      <c r="F248" s="9" t="str">
        <v/>
      </c>
      <c r="G248" s="9" t="str">
        <v/>
      </c>
      <c r="H248" s="9" t="str">
        <v>RF-01S-5084</v>
      </c>
      <c r="I248" s="11" t="str">
        <v>RF-01S-5084]CAM Trigger_C harness</v>
      </c>
      <c r="J248" s="9">
        <v>37</v>
      </c>
      <c r="K248" s="9" t="str">
        <v/>
      </c>
      <c r="L248" s="9" t="str">
        <v>3L3-2</v>
      </c>
      <c r="M248" s="12">
        <v>46295</v>
      </c>
      <c r="N248" s="5" t="str">
        <v/>
      </c>
      <c r="O248" s="5" t="str">
        <v/>
      </c>
      <c r="P248" s="5" t="str">
        <v/>
      </c>
      <c r="Q248" s="14" t="str">
        <v/>
      </c>
      <c r="R248" s="15">
        <v>37</v>
      </c>
    </row>
    <row r="249" spans="2:18" x14ac:dyDescent="0.35">
      <c r="B249" s="9">
        <v>930</v>
      </c>
      <c r="C249" s="9" t="str">
        <v>가용재고</v>
      </c>
      <c r="D249" s="9" t="str">
        <v/>
      </c>
      <c r="E249" s="9" t="str">
        <v>기초</v>
      </c>
      <c r="F249" s="9" t="str">
        <v/>
      </c>
      <c r="G249" s="9" t="str">
        <v/>
      </c>
      <c r="H249" s="9" t="str">
        <v>RA-03V-3868</v>
      </c>
      <c r="I249" s="11" t="str">
        <v>RA-03V-3868]BRK LASER BEAM KNOB (MG)</v>
      </c>
      <c r="J249" s="9">
        <v>38</v>
      </c>
      <c r="K249" s="9" t="str">
        <v/>
      </c>
      <c r="L249" s="9" t="str">
        <v>N3-3</v>
      </c>
      <c r="M249" s="12">
        <v>46276</v>
      </c>
      <c r="N249" s="5" t="str">
        <v/>
      </c>
      <c r="O249" s="5" t="str">
        <v/>
      </c>
      <c r="P249" s="5" t="str">
        <v/>
      </c>
      <c r="Q249" s="14" t="str">
        <v/>
      </c>
      <c r="R249" s="15">
        <v>38</v>
      </c>
    </row>
    <row r="250" spans="2:18" x14ac:dyDescent="0.35">
      <c r="B250" s="9">
        <v>1905</v>
      </c>
      <c r="C250" s="9" t="str">
        <v>가용재고</v>
      </c>
      <c r="D250" s="9" t="str">
        <v/>
      </c>
      <c r="E250" s="9" t="str">
        <v/>
      </c>
      <c r="F250" s="9" t="str">
        <v/>
      </c>
      <c r="G250" s="9" t="str">
        <v/>
      </c>
      <c r="H250" s="9" t="str">
        <v>RA-06V-3389</v>
      </c>
      <c r="I250" s="11" t="str">
        <v>RA-06V-3389]BRK COL Bd (ST)</v>
      </c>
      <c r="J250" s="9">
        <v>38</v>
      </c>
      <c r="K250" s="9" t="str">
        <v/>
      </c>
      <c r="L250" s="9" t="str">
        <v>I3-2</v>
      </c>
      <c r="M250" s="12">
        <v>46295</v>
      </c>
      <c r="N250" s="5" t="str">
        <v/>
      </c>
      <c r="O250" s="5" t="str">
        <v/>
      </c>
      <c r="P250" s="5" t="str">
        <v/>
      </c>
      <c r="Q250" s="14" t="str">
        <v/>
      </c>
      <c r="R250" s="15">
        <v>38</v>
      </c>
    </row>
    <row r="251" spans="2:18" x14ac:dyDescent="0.35">
      <c r="B251" s="9">
        <v>2349</v>
      </c>
      <c r="C251" s="9" t="str">
        <v>가용재고</v>
      </c>
      <c r="D251" s="9" t="str">
        <v/>
      </c>
      <c r="E251" s="9" t="str">
        <v/>
      </c>
      <c r="F251" s="9" t="str">
        <v/>
      </c>
      <c r="G251" s="9" t="str">
        <v/>
      </c>
      <c r="H251" s="9" t="str">
        <v>RF-01S-5093</v>
      </c>
      <c r="I251" s="11" t="str">
        <v>RF-01S-5093]CAM Cable_TEETH_R</v>
      </c>
      <c r="J251" s="9">
        <v>38</v>
      </c>
      <c r="K251" s="9" t="str">
        <v/>
      </c>
      <c r="L251" s="9" t="str">
        <v>3F10</v>
      </c>
      <c r="M251" s="12">
        <v>46295</v>
      </c>
      <c r="N251" s="5" t="str">
        <v/>
      </c>
      <c r="O251" s="5" t="str">
        <v/>
      </c>
      <c r="P251" s="5" t="str">
        <v/>
      </c>
      <c r="Q251" s="14" t="str">
        <v/>
      </c>
      <c r="R251" s="15">
        <v>38</v>
      </c>
    </row>
    <row r="252" spans="2:18" x14ac:dyDescent="0.35">
      <c r="B252" s="9">
        <v>932</v>
      </c>
      <c r="C252" s="9" t="str">
        <v>가용재고</v>
      </c>
      <c r="D252" s="9" t="str">
        <v/>
      </c>
      <c r="E252" s="9" t="str">
        <v>기초</v>
      </c>
      <c r="F252" s="9" t="str">
        <v/>
      </c>
      <c r="G252" s="9" t="str">
        <v/>
      </c>
      <c r="H252" s="9" t="str">
        <v>RA-06V-3462</v>
      </c>
      <c r="I252" s="11" t="str">
        <v>RA-06V-3462]BRK HARNESS GUIDE L (ST)</v>
      </c>
      <c r="J252" s="9">
        <v>39</v>
      </c>
      <c r="K252" s="9" t="str">
        <v/>
      </c>
      <c r="L252" s="9" t="str">
        <v>H3-7</v>
      </c>
      <c r="M252" s="12">
        <v>46276</v>
      </c>
      <c r="N252" s="5" t="str">
        <v/>
      </c>
      <c r="O252" s="5" t="str">
        <v/>
      </c>
      <c r="P252" s="5" t="str">
        <v/>
      </c>
      <c r="Q252" s="14" t="str">
        <v/>
      </c>
      <c r="R252" s="15">
        <v>39</v>
      </c>
    </row>
    <row r="253" spans="2:18" x14ac:dyDescent="0.35">
      <c r="B253" s="9">
        <v>933</v>
      </c>
      <c r="C253" s="9" t="str">
        <v>가용재고</v>
      </c>
      <c r="D253" s="9" t="str">
        <v/>
      </c>
      <c r="E253" s="9" t="str">
        <v>기초</v>
      </c>
      <c r="F253" s="9" t="str">
        <v/>
      </c>
      <c r="G253" s="9" t="str">
        <v/>
      </c>
      <c r="H253" s="9" t="str">
        <v>RA-07T-3956</v>
      </c>
      <c r="I253" s="11" t="str">
        <v>RA-07T-3956]CAS DET REAR (MG)</v>
      </c>
      <c r="J253" s="9">
        <v>39</v>
      </c>
      <c r="K253" s="9" t="str">
        <v/>
      </c>
      <c r="L253" s="9" t="str">
        <v>4F CASE</v>
      </c>
      <c r="M253" s="12">
        <v>46276</v>
      </c>
      <c r="N253" s="5" t="str">
        <v/>
      </c>
      <c r="O253" s="5" t="str">
        <v/>
      </c>
      <c r="P253" s="5" t="str">
        <v/>
      </c>
      <c r="Q253" s="14" t="str">
        <v/>
      </c>
      <c r="R253" s="15">
        <v>39</v>
      </c>
    </row>
    <row r="254" spans="2:18" x14ac:dyDescent="0.35">
      <c r="B254" s="9">
        <v>934</v>
      </c>
      <c r="C254" s="9" t="str">
        <v>가용재고</v>
      </c>
      <c r="D254" s="9" t="str">
        <v/>
      </c>
      <c r="E254" s="9" t="str">
        <v>기초</v>
      </c>
      <c r="F254" s="9" t="str">
        <v/>
      </c>
      <c r="G254" s="9" t="str">
        <v/>
      </c>
      <c r="H254" s="9" t="str">
        <v>RA-02T-3851</v>
      </c>
      <c r="I254" s="11" t="str">
        <v>RA-02T-3851]CAS VERT UPPER S (MG)</v>
      </c>
      <c r="J254" s="9">
        <v>40</v>
      </c>
      <c r="K254" s="9" t="str">
        <v/>
      </c>
      <c r="L254" s="9" t="str">
        <v>4F CASE</v>
      </c>
      <c r="M254" s="12">
        <v>46276</v>
      </c>
      <c r="N254" s="5" t="str">
        <v/>
      </c>
      <c r="O254" s="5" t="str">
        <v/>
      </c>
      <c r="P254" s="5" t="str">
        <v/>
      </c>
      <c r="Q254" s="14" t="str">
        <v/>
      </c>
      <c r="R254" s="15">
        <v>40</v>
      </c>
    </row>
    <row r="255" spans="2:18" x14ac:dyDescent="0.35">
      <c r="B255" s="9">
        <v>1810</v>
      </c>
      <c r="C255" s="9" t="str">
        <v>가용재고</v>
      </c>
      <c r="D255" s="9" t="str">
        <v/>
      </c>
      <c r="E255" s="9" t="str">
        <v/>
      </c>
      <c r="F255" s="9" t="str">
        <v/>
      </c>
      <c r="G255" s="9" t="str">
        <v/>
      </c>
      <c r="H255" s="9" t="str">
        <v>RA-03V-1909</v>
      </c>
      <c r="I255" s="11" t="str">
        <v>RA-03V-1909]BRK PUSH HUB</v>
      </c>
      <c r="J255" s="9">
        <v>40</v>
      </c>
      <c r="K255" s="9" t="str">
        <v/>
      </c>
      <c r="L255" s="9" t="str">
        <v>B1-3</v>
      </c>
      <c r="M255" s="12">
        <v>46294</v>
      </c>
      <c r="N255" s="5" t="str">
        <v/>
      </c>
      <c r="O255" s="5" t="str">
        <v/>
      </c>
      <c r="P255" s="5" t="str">
        <v/>
      </c>
      <c r="Q255" s="14" t="str">
        <v/>
      </c>
      <c r="R255" s="15">
        <v>40</v>
      </c>
    </row>
    <row r="256" spans="2:18" x14ac:dyDescent="0.35">
      <c r="B256" s="9">
        <v>2263</v>
      </c>
      <c r="C256" s="9" t="str">
        <v>가용재고</v>
      </c>
      <c r="D256" s="9" t="str">
        <v/>
      </c>
      <c r="E256" s="9" t="str">
        <v/>
      </c>
      <c r="F256" s="9" t="str">
        <v/>
      </c>
      <c r="G256" s="9" t="str">
        <v/>
      </c>
      <c r="H256" s="9" t="str">
        <v>RF-01S-5046</v>
      </c>
      <c r="I256" s="11" t="str">
        <v>RF-01S-5046]DLP ENGINE</v>
      </c>
      <c r="J256" s="9">
        <v>40</v>
      </c>
      <c r="K256" s="9" t="str">
        <v/>
      </c>
      <c r="L256" s="9" t="str">
        <v>3C7</v>
      </c>
      <c r="M256" s="12">
        <v>46301</v>
      </c>
      <c r="N256" s="5" t="str">
        <v/>
      </c>
      <c r="O256" s="5" t="str">
        <v/>
      </c>
      <c r="P256" s="5" t="str">
        <v/>
      </c>
      <c r="Q256" s="14" t="str">
        <v/>
      </c>
      <c r="R256" s="15">
        <v>40</v>
      </c>
    </row>
    <row r="257" spans="2:18" x14ac:dyDescent="0.35">
      <c r="B257" s="9">
        <v>2423</v>
      </c>
      <c r="C257" s="9" t="str">
        <v>가용재고</v>
      </c>
      <c r="D257" s="9" t="str">
        <v/>
      </c>
      <c r="E257" s="9" t="str">
        <v/>
      </c>
      <c r="F257" s="9" t="str">
        <v/>
      </c>
      <c r="G257" s="9" t="str">
        <v/>
      </c>
      <c r="H257" s="9" t="str">
        <v>RA-11-2</v>
      </c>
      <c r="I257" s="11" t="str">
        <v>RA-11-2]AUX MCU to FCOL</v>
      </c>
      <c r="J257" s="9">
        <v>40</v>
      </c>
      <c r="K257" s="9" t="str">
        <v/>
      </c>
      <c r="L257" s="9" t="str">
        <v>G2-4</v>
      </c>
      <c r="M257" s="12">
        <v>46301</v>
      </c>
      <c r="N257" s="5" t="str">
        <v/>
      </c>
      <c r="O257" s="5" t="str">
        <v/>
      </c>
      <c r="P257" s="5" t="str">
        <v/>
      </c>
      <c r="Q257" s="14" t="str">
        <v/>
      </c>
      <c r="R257" s="15">
        <v>40</v>
      </c>
    </row>
    <row r="258" spans="2:18" x14ac:dyDescent="0.35">
      <c r="B258" s="9">
        <v>2520</v>
      </c>
      <c r="C258" s="9" t="str">
        <v>가용재고</v>
      </c>
      <c r="D258" s="9" t="str">
        <v/>
      </c>
      <c r="E258" s="9" t="str">
        <v/>
      </c>
      <c r="F258" s="9" t="str">
        <v/>
      </c>
      <c r="G258" s="9" t="str">
        <v/>
      </c>
      <c r="H258" s="9" t="str">
        <v>RA-04S-5174</v>
      </c>
      <c r="I258" s="11" t="str">
        <v>RA-04S-5174]THU Cable Ass'y</v>
      </c>
      <c r="J258" s="9">
        <v>40</v>
      </c>
      <c r="K258" s="9" t="str">
        <v/>
      </c>
      <c r="L258" s="9" t="str">
        <v>B2-2</v>
      </c>
      <c r="M258" s="12">
        <v>46308</v>
      </c>
      <c r="N258" s="5" t="str">
        <v/>
      </c>
      <c r="O258" s="5" t="str">
        <v/>
      </c>
      <c r="P258" s="5" t="str">
        <v/>
      </c>
      <c r="Q258" s="14" t="str">
        <v/>
      </c>
      <c r="R258" s="15">
        <v>40</v>
      </c>
    </row>
    <row r="259" spans="2:18" x14ac:dyDescent="0.35">
      <c r="B259" s="9">
        <v>936</v>
      </c>
      <c r="C259" s="9" t="str">
        <v>가용재고</v>
      </c>
      <c r="D259" s="9" t="str">
        <v/>
      </c>
      <c r="E259" s="9" t="str">
        <v>기초</v>
      </c>
      <c r="F259" s="9" t="str">
        <v/>
      </c>
      <c r="G259" s="9" t="str">
        <v/>
      </c>
      <c r="H259" s="9" t="str">
        <v>RA-04T-3896</v>
      </c>
      <c r="I259" s="11" t="str">
        <v>RA-04T-3896]CAS ARM UPPER (MG)</v>
      </c>
      <c r="J259" s="9">
        <v>41</v>
      </c>
      <c r="K259" s="9" t="str">
        <v/>
      </c>
      <c r="L259" s="9" t="str">
        <v>4F CASE</v>
      </c>
      <c r="M259" s="12">
        <v>46276</v>
      </c>
      <c r="N259" s="5" t="str">
        <v/>
      </c>
      <c r="O259" s="5" t="str">
        <v/>
      </c>
      <c r="P259" s="5" t="str">
        <v/>
      </c>
      <c r="Q259" s="14" t="str">
        <v/>
      </c>
      <c r="R259" s="15">
        <v>41</v>
      </c>
    </row>
    <row r="260" spans="2:18" x14ac:dyDescent="0.35">
      <c r="B260" s="9">
        <v>937</v>
      </c>
      <c r="C260" s="9" t="str">
        <v>가용재고</v>
      </c>
      <c r="D260" s="9" t="str">
        <v/>
      </c>
      <c r="E260" s="9" t="str">
        <v>기초</v>
      </c>
      <c r="F260" s="9" t="str">
        <v/>
      </c>
      <c r="G260" s="9" t="str">
        <v/>
      </c>
      <c r="H260" s="9" t="str">
        <v>RA-09T-3988</v>
      </c>
      <c r="I260" s="11" t="str">
        <v>RA-09T-3988]CAS Bas CT HEADREST (MG)</v>
      </c>
      <c r="J260" s="9">
        <v>41</v>
      </c>
      <c r="K260" s="9" t="str">
        <v/>
      </c>
      <c r="L260" s="9" t="str">
        <v>4F CASE</v>
      </c>
      <c r="M260" s="12">
        <v>46276</v>
      </c>
      <c r="N260" s="5" t="str">
        <v/>
      </c>
      <c r="O260" s="5" t="str">
        <v/>
      </c>
      <c r="P260" s="5" t="str">
        <v/>
      </c>
      <c r="Q260" s="14" t="str">
        <v/>
      </c>
      <c r="R260" s="15">
        <v>41</v>
      </c>
    </row>
    <row r="261" spans="2:18" x14ac:dyDescent="0.35">
      <c r="B261" s="9">
        <v>2364</v>
      </c>
      <c r="C261" s="9" t="str">
        <v>가용재고</v>
      </c>
      <c r="D261" s="9" t="str">
        <v/>
      </c>
      <c r="E261" s="9" t="str">
        <v/>
      </c>
      <c r="F261" s="9" t="str">
        <v/>
      </c>
      <c r="G261" s="9" t="str">
        <v/>
      </c>
      <c r="H261" s="9" t="str">
        <v>RA-09V-2419</v>
      </c>
      <c r="I261" s="11" t="str">
        <v>RA-09V-2419]PLT PHNT (VA+)</v>
      </c>
      <c r="J261" s="9">
        <v>41</v>
      </c>
      <c r="K261" s="9" t="str">
        <v/>
      </c>
      <c r="L261" s="9" t="str">
        <v>H2-1</v>
      </c>
      <c r="M261" s="12">
        <v>46302</v>
      </c>
      <c r="N261" s="5" t="str">
        <v/>
      </c>
      <c r="O261" s="5" t="str">
        <v/>
      </c>
      <c r="P261" s="5" t="str">
        <v/>
      </c>
      <c r="Q261" s="14" t="str">
        <v/>
      </c>
      <c r="R261" s="15">
        <v>41</v>
      </c>
    </row>
    <row r="262" spans="2:18" x14ac:dyDescent="0.35">
      <c r="B262" s="9">
        <v>1328</v>
      </c>
      <c r="C262" s="9" t="str">
        <v>가용재고</v>
      </c>
      <c r="D262" s="9" t="str">
        <v/>
      </c>
      <c r="E262" s="9" t="str">
        <v/>
      </c>
      <c r="F262" s="9" t="str">
        <v/>
      </c>
      <c r="G262" s="9" t="str">
        <v/>
      </c>
      <c r="H262" s="9" t="str">
        <v>RF-01B-5037</v>
      </c>
      <c r="I262" s="11" t="str">
        <v>RF-01B-5037] LED SIDE BOARD_REV2</v>
      </c>
      <c r="J262" s="9">
        <v>42</v>
      </c>
      <c r="K262" s="9" t="str">
        <v/>
      </c>
      <c r="L262" s="9" t="str">
        <v>A5-4</v>
      </c>
      <c r="M262" s="12">
        <v>46287</v>
      </c>
      <c r="N262" s="5" t="str">
        <v/>
      </c>
      <c r="O262" s="5" t="str">
        <v/>
      </c>
      <c r="P262" s="5" t="str">
        <v/>
      </c>
      <c r="Q262" s="14" t="str">
        <v/>
      </c>
      <c r="R262" s="15">
        <v>42</v>
      </c>
    </row>
    <row r="263" spans="2:18" x14ac:dyDescent="0.35">
      <c r="B263" s="9">
        <v>938</v>
      </c>
      <c r="C263" s="9" t="str">
        <v>가용재고</v>
      </c>
      <c r="D263" s="9" t="str">
        <v/>
      </c>
      <c r="E263" s="9" t="str">
        <v>기초</v>
      </c>
      <c r="F263" s="9" t="str">
        <v/>
      </c>
      <c r="G263" s="9" t="str">
        <v/>
      </c>
      <c r="H263" s="9" t="str">
        <v>RA-02T-3842</v>
      </c>
      <c r="I263" s="11" t="str">
        <v>RA-02T-3842]CAS VERT LWR (MG)</v>
      </c>
      <c r="J263" s="9">
        <v>43</v>
      </c>
      <c r="K263" s="9" t="str">
        <v/>
      </c>
      <c r="L263" s="9" t="str">
        <v>4F CASE</v>
      </c>
      <c r="M263" s="12">
        <v>46276</v>
      </c>
      <c r="N263" s="5" t="str">
        <v/>
      </c>
      <c r="O263" s="5" t="str">
        <v/>
      </c>
      <c r="P263" s="5" t="str">
        <v/>
      </c>
      <c r="Q263" s="14" t="str">
        <v/>
      </c>
      <c r="R263" s="15">
        <v>43</v>
      </c>
    </row>
    <row r="264" spans="2:18" x14ac:dyDescent="0.35">
      <c r="B264" s="9">
        <v>1265</v>
      </c>
      <c r="C264" s="9" t="str">
        <v>가용재고</v>
      </c>
      <c r="D264" s="9" t="str">
        <v/>
      </c>
      <c r="E264" s="9" t="str">
        <v>반납</v>
      </c>
      <c r="F264" s="9" t="str">
        <v/>
      </c>
      <c r="G264" s="9" t="str">
        <v/>
      </c>
      <c r="H264" s="9" t="str">
        <v>RF-09P-0271</v>
      </c>
      <c r="I264" s="11" t="str">
        <v>RF-09P-0271]MIRROR PROTIVE FILM</v>
      </c>
      <c r="J264" s="9">
        <v>43</v>
      </c>
      <c r="K264" s="9" t="str">
        <v/>
      </c>
      <c r="L264" s="9" t="str">
        <v>3S3-1</v>
      </c>
      <c r="M264" s="12">
        <v>46287</v>
      </c>
      <c r="N264" s="5" t="str">
        <v/>
      </c>
      <c r="O264" s="5" t="str">
        <v/>
      </c>
      <c r="P264" s="5" t="str">
        <v/>
      </c>
      <c r="Q264" s="14" t="str">
        <v/>
      </c>
      <c r="R264" s="15">
        <v>43</v>
      </c>
    </row>
    <row r="265" spans="2:18" x14ac:dyDescent="0.35">
      <c r="B265" s="9">
        <v>2526</v>
      </c>
      <c r="C265" s="9" t="str">
        <v>가용재고</v>
      </c>
      <c r="D265" s="9" t="str">
        <v/>
      </c>
      <c r="E265" s="9" t="str">
        <v/>
      </c>
      <c r="F265" s="9" t="str">
        <v/>
      </c>
      <c r="G265" s="9" t="str">
        <v/>
      </c>
      <c r="H265" s="9" t="str">
        <v>RA-04V-1709</v>
      </c>
      <c r="I265" s="11" t="str">
        <v>RA-04V-1709]BRK THU Bd</v>
      </c>
      <c r="J265" s="9">
        <v>43</v>
      </c>
      <c r="K265" s="9" t="str">
        <v/>
      </c>
      <c r="L265" s="9" t="str">
        <v>B3-1</v>
      </c>
      <c r="M265" s="12">
        <v>46308</v>
      </c>
      <c r="N265" s="5" t="str">
        <v/>
      </c>
      <c r="O265" s="5" t="str">
        <v/>
      </c>
      <c r="P265" s="5" t="str">
        <v/>
      </c>
      <c r="Q265" s="14" t="str">
        <v/>
      </c>
      <c r="R265" s="15">
        <v>43</v>
      </c>
    </row>
    <row r="266" spans="2:18" x14ac:dyDescent="0.35">
      <c r="B266" s="9">
        <v>1249</v>
      </c>
      <c r="C266" s="9" t="str">
        <v>가용재고</v>
      </c>
      <c r="D266" s="9" t="str">
        <v/>
      </c>
      <c r="E266" s="9" t="str">
        <v>반납</v>
      </c>
      <c r="F266" s="9" t="str">
        <v/>
      </c>
      <c r="G266" s="9" t="str">
        <v/>
      </c>
      <c r="H266" s="9" t="str">
        <v>RF-01T-0173</v>
      </c>
      <c r="I266" s="11" t="str">
        <v>RF-01T-0173]ARM CVR REAR DECO</v>
      </c>
      <c r="J266" s="9">
        <v>44</v>
      </c>
      <c r="K266" s="9" t="str">
        <v/>
      </c>
      <c r="L266" s="9" t="str">
        <v>3B8</v>
      </c>
      <c r="M266" s="12">
        <v>46287</v>
      </c>
      <c r="N266" s="5" t="str">
        <v/>
      </c>
      <c r="O266" s="5" t="str">
        <v/>
      </c>
      <c r="P266" s="5" t="str">
        <v/>
      </c>
      <c r="Q266" s="14" t="str">
        <v/>
      </c>
      <c r="R266" s="15">
        <v>44</v>
      </c>
    </row>
    <row r="267" spans="2:18" x14ac:dyDescent="0.35">
      <c r="B267" s="9">
        <v>2069</v>
      </c>
      <c r="C267" s="9" t="str">
        <v>가용재고</v>
      </c>
      <c r="D267" s="9" t="str">
        <v/>
      </c>
      <c r="E267" s="9" t="str">
        <v>입고</v>
      </c>
      <c r="F267" s="9" t="str">
        <v>Bach tung</v>
      </c>
      <c r="G267" s="9" t="str">
        <v>유영국</v>
      </c>
      <c r="H267" s="9" t="str">
        <v>RA-06A-2760</v>
      </c>
      <c r="I267" s="11" t="str">
        <v>RA-06A-2760]ASM COL MOVING (ST) (VN)</v>
      </c>
      <c r="J267" s="9">
        <v>44</v>
      </c>
      <c r="K267" s="9" t="str">
        <v/>
      </c>
      <c r="L267" s="9" t="str">
        <v>U</v>
      </c>
      <c r="M267" s="12">
        <v>46301</v>
      </c>
      <c r="N267" s="5" t="str">
        <v/>
      </c>
      <c r="O267" s="5" t="str">
        <v/>
      </c>
      <c r="P267" s="5" t="str">
        <v/>
      </c>
      <c r="Q267" s="14" t="str">
        <v/>
      </c>
      <c r="R267" s="15">
        <v>44</v>
      </c>
    </row>
    <row r="268" spans="2:18" x14ac:dyDescent="0.35">
      <c r="B268" s="9">
        <v>267</v>
      </c>
      <c r="C268" s="9" t="str">
        <v>가용재고</v>
      </c>
      <c r="D268" s="9" t="str">
        <v/>
      </c>
      <c r="E268" s="9" t="str">
        <v/>
      </c>
      <c r="F268" s="9" t="str">
        <v/>
      </c>
      <c r="G268" s="9" t="str">
        <v/>
      </c>
      <c r="H268" s="9" t="str">
        <v>C16-MF128ZZS</v>
      </c>
      <c r="I268" s="11" t="str">
        <v>C16-MF128ZZS]BALL B-Ring</v>
      </c>
      <c r="J268" s="9">
        <v>45</v>
      </c>
      <c r="K268" s="9" t="str">
        <v/>
      </c>
      <c r="L268" s="9" t="str">
        <v>C1-1</v>
      </c>
      <c r="M268" s="12">
        <v>46232</v>
      </c>
      <c r="N268" s="5" t="str">
        <v/>
      </c>
      <c r="O268" s="5" t="str">
        <v/>
      </c>
      <c r="P268" s="5" t="str">
        <v/>
      </c>
      <c r="Q268" s="14" t="str">
        <v/>
      </c>
      <c r="R268" s="15">
        <v>45</v>
      </c>
    </row>
    <row r="269" spans="2:18" x14ac:dyDescent="0.35">
      <c r="B269" s="9">
        <v>940</v>
      </c>
      <c r="C269" s="9" t="str">
        <v>가용재고</v>
      </c>
      <c r="D269" s="9" t="str">
        <v/>
      </c>
      <c r="E269" s="9" t="str">
        <v>기초</v>
      </c>
      <c r="F269" s="9" t="str">
        <v/>
      </c>
      <c r="G269" s="9" t="str">
        <v/>
      </c>
      <c r="H269" s="9" t="str">
        <v>RA-03S-3858</v>
      </c>
      <c r="I269" s="11" t="str">
        <v>RA-03S-3858]IGUS RAIL(NA-01-27_150mm)(MG</v>
      </c>
      <c r="J269" s="9">
        <v>45</v>
      </c>
      <c r="K269" s="9" t="str">
        <v/>
      </c>
      <c r="L269" s="9" t="str">
        <v>N3-1</v>
      </c>
      <c r="M269" s="12">
        <v>46276</v>
      </c>
      <c r="N269" s="5" t="str">
        <v/>
      </c>
      <c r="O269" s="5" t="str">
        <v/>
      </c>
      <c r="P269" s="5" t="str">
        <v/>
      </c>
      <c r="Q269" s="14" t="str">
        <v/>
      </c>
      <c r="R269" s="15">
        <v>45</v>
      </c>
    </row>
    <row r="270" spans="2:18" x14ac:dyDescent="0.35">
      <c r="B270" s="9">
        <v>941</v>
      </c>
      <c r="C270" s="9" t="str">
        <v>가용재고</v>
      </c>
      <c r="D270" s="9" t="str">
        <v/>
      </c>
      <c r="E270" s="9" t="str">
        <v>기초</v>
      </c>
      <c r="F270" s="9" t="str">
        <v/>
      </c>
      <c r="G270" s="9" t="str">
        <v/>
      </c>
      <c r="H270" s="9" t="str">
        <v>RA-04T-3885</v>
      </c>
      <c r="I270" s="11" t="str">
        <v>RA-04T-3885]CAS HANDLE FRONT (MG)</v>
      </c>
      <c r="J270" s="9">
        <v>45</v>
      </c>
      <c r="K270" s="9" t="str">
        <v/>
      </c>
      <c r="L270" s="9" t="str">
        <v>4F CASE</v>
      </c>
      <c r="M270" s="12">
        <v>46276</v>
      </c>
      <c r="N270" s="5" t="str">
        <v/>
      </c>
      <c r="O270" s="5" t="str">
        <v/>
      </c>
      <c r="P270" s="5" t="str">
        <v/>
      </c>
      <c r="Q270" s="14" t="str">
        <v/>
      </c>
      <c r="R270" s="15">
        <v>45</v>
      </c>
    </row>
    <row r="271" spans="2:18" x14ac:dyDescent="0.35">
      <c r="B271" s="9">
        <v>942</v>
      </c>
      <c r="C271" s="9" t="str">
        <v>가용재고</v>
      </c>
      <c r="D271" s="9" t="str">
        <v/>
      </c>
      <c r="E271" s="9" t="str">
        <v>기초</v>
      </c>
      <c r="F271" s="9" t="str">
        <v/>
      </c>
      <c r="G271" s="9" t="str">
        <v/>
      </c>
      <c r="H271" s="9" t="str">
        <v>RA-05T-3927</v>
      </c>
      <c r="I271" s="11" t="str">
        <v>RA-05T-3927]CAS ROT TOP (MG)</v>
      </c>
      <c r="J271" s="9">
        <v>45</v>
      </c>
      <c r="K271" s="9" t="str">
        <v/>
      </c>
      <c r="L271" s="9" t="str">
        <v>4F CASE</v>
      </c>
      <c r="M271" s="12">
        <v>46276</v>
      </c>
      <c r="N271" s="5" t="str">
        <v/>
      </c>
      <c r="O271" s="5" t="str">
        <v/>
      </c>
      <c r="P271" s="5" t="str">
        <v/>
      </c>
      <c r="Q271" s="14" t="str">
        <v/>
      </c>
      <c r="R271" s="15">
        <v>45</v>
      </c>
    </row>
    <row r="272" spans="2:18" x14ac:dyDescent="0.35">
      <c r="B272" s="9">
        <v>943</v>
      </c>
      <c r="C272" s="9" t="str">
        <v>가용재고</v>
      </c>
      <c r="D272" s="9" t="str">
        <v/>
      </c>
      <c r="E272" s="9" t="str">
        <v>기초</v>
      </c>
      <c r="F272" s="9" t="str">
        <v/>
      </c>
      <c r="G272" s="9" t="str">
        <v/>
      </c>
      <c r="H272" s="9" t="str">
        <v>RA-05T-3928</v>
      </c>
      <c r="I272" s="11" t="str">
        <v>RA-05T-3928]CAS ROT TOP ACCESS (MG)</v>
      </c>
      <c r="J272" s="9">
        <v>45</v>
      </c>
      <c r="K272" s="9" t="str">
        <v/>
      </c>
      <c r="L272" s="9" t="str">
        <v>4F CASE</v>
      </c>
      <c r="M272" s="12">
        <v>46276</v>
      </c>
      <c r="N272" s="5" t="str">
        <v/>
      </c>
      <c r="O272" s="5" t="str">
        <v/>
      </c>
      <c r="P272" s="5" t="str">
        <v/>
      </c>
      <c r="Q272" s="14" t="str">
        <v/>
      </c>
      <c r="R272" s="15">
        <v>45</v>
      </c>
    </row>
    <row r="273" spans="2:18" x14ac:dyDescent="0.35">
      <c r="B273" s="9">
        <v>944</v>
      </c>
      <c r="C273" s="9" t="str">
        <v>가용재고</v>
      </c>
      <c r="D273" s="9" t="str">
        <v/>
      </c>
      <c r="E273" s="9" t="str">
        <v>기초</v>
      </c>
      <c r="F273" s="9" t="str">
        <v/>
      </c>
      <c r="G273" s="9" t="str">
        <v/>
      </c>
      <c r="H273" s="9" t="str">
        <v>RA-07A-2757</v>
      </c>
      <c r="I273" s="11" t="str">
        <v>RA-07A-2757]ASM DET BAS (PRE) (VN)</v>
      </c>
      <c r="J273" s="9">
        <v>45</v>
      </c>
      <c r="K273" s="9" t="str">
        <v/>
      </c>
      <c r="L273" s="9" t="str">
        <v>T</v>
      </c>
      <c r="M273" s="12">
        <v>46276</v>
      </c>
      <c r="N273" s="5" t="str">
        <v/>
      </c>
      <c r="O273" s="5" t="str">
        <v/>
      </c>
      <c r="P273" s="5" t="str">
        <v/>
      </c>
      <c r="Q273" s="14" t="str">
        <v/>
      </c>
      <c r="R273" s="15">
        <v>45</v>
      </c>
    </row>
    <row r="274" spans="2:18" x14ac:dyDescent="0.35">
      <c r="B274" s="9">
        <v>945</v>
      </c>
      <c r="C274" s="9" t="str">
        <v>가용재고</v>
      </c>
      <c r="D274" s="9" t="str">
        <v/>
      </c>
      <c r="E274" s="9" t="str">
        <v>기초</v>
      </c>
      <c r="F274" s="9" t="str">
        <v/>
      </c>
      <c r="G274" s="9" t="str">
        <v/>
      </c>
      <c r="H274" s="9" t="str">
        <v>RA-09T-3987</v>
      </c>
      <c r="I274" s="11" t="str">
        <v>RA-09T-3987]CAS LINK CT HEADREST (MG)</v>
      </c>
      <c r="J274" s="9">
        <v>45</v>
      </c>
      <c r="K274" s="9" t="str">
        <v/>
      </c>
      <c r="L274" s="9" t="str">
        <v>4F CASE</v>
      </c>
      <c r="M274" s="12">
        <v>46276</v>
      </c>
      <c r="N274" s="5" t="str">
        <v/>
      </c>
      <c r="O274" s="5" t="str">
        <v/>
      </c>
      <c r="P274" s="5" t="str">
        <v/>
      </c>
      <c r="Q274" s="14" t="str">
        <v/>
      </c>
      <c r="R274" s="15">
        <v>45</v>
      </c>
    </row>
    <row r="275" spans="2:18" x14ac:dyDescent="0.35">
      <c r="B275" s="9">
        <v>1374</v>
      </c>
      <c r="C275" s="9" t="str">
        <v>가용재고</v>
      </c>
      <c r="D275" s="9" t="str">
        <v/>
      </c>
      <c r="E275" s="9" t="str">
        <v/>
      </c>
      <c r="F275" s="9" t="str">
        <v/>
      </c>
      <c r="G275" s="9" t="str">
        <v/>
      </c>
      <c r="H275" s="9" t="str">
        <v>RA-8-17</v>
      </c>
      <c r="I275" s="11" t="str">
        <v>RA-8-17]AC POWER OC(V)</v>
      </c>
      <c r="J275" s="9">
        <v>45</v>
      </c>
      <c r="K275" s="9" t="str">
        <v/>
      </c>
      <c r="L275" s="9" t="str">
        <v>G2-3</v>
      </c>
      <c r="M275" s="12">
        <v>46279</v>
      </c>
      <c r="N275" s="5" t="str">
        <v/>
      </c>
      <c r="O275" s="5" t="str">
        <v/>
      </c>
      <c r="P275" s="5" t="str">
        <v/>
      </c>
      <c r="Q275" s="14" t="str">
        <v/>
      </c>
      <c r="R275" s="15">
        <v>45</v>
      </c>
    </row>
    <row r="276" spans="2:18" x14ac:dyDescent="0.35">
      <c r="B276" s="9">
        <v>2449</v>
      </c>
      <c r="C276" s="9" t="str">
        <v>가용재고</v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>RA-11-20</v>
      </c>
      <c r="I276" s="11" t="str">
        <v>RA-11-20]Fcol MOT Cable A</v>
      </c>
      <c r="J276" s="9">
        <v>45</v>
      </c>
      <c r="K276" s="9" t="str">
        <v/>
      </c>
      <c r="L276" s="9" t="str">
        <v>G2-5</v>
      </c>
      <c r="M276" s="12">
        <v>46301</v>
      </c>
      <c r="N276" s="5" t="str">
        <v/>
      </c>
      <c r="O276" s="5" t="str">
        <v/>
      </c>
      <c r="P276" s="5" t="str">
        <v/>
      </c>
      <c r="Q276" s="14" t="str">
        <v/>
      </c>
      <c r="R276" s="15">
        <v>45</v>
      </c>
    </row>
    <row r="277" spans="2:18" x14ac:dyDescent="0.35">
      <c r="B277" s="9">
        <v>2538</v>
      </c>
      <c r="C277" s="9" t="str">
        <v>가용재고</v>
      </c>
      <c r="D277" s="9" t="str">
        <v/>
      </c>
      <c r="E277" s="9" t="str">
        <v/>
      </c>
      <c r="F277" s="9" t="str">
        <v/>
      </c>
      <c r="G277" s="9" t="str">
        <v/>
      </c>
      <c r="H277" s="9" t="str">
        <v>RA-03S-5176</v>
      </c>
      <c r="I277" s="11" t="str">
        <v>RA-03S-5176]NOISE FILTER RSHN2016</v>
      </c>
      <c r="J277" s="9">
        <v>45</v>
      </c>
      <c r="K277" s="9" t="str">
        <v/>
      </c>
      <c r="L277" s="9" t="str">
        <v>A12-4</v>
      </c>
      <c r="M277" s="12">
        <v>46308</v>
      </c>
      <c r="N277" s="5" t="str">
        <v/>
      </c>
      <c r="O277" s="5" t="str">
        <v/>
      </c>
      <c r="P277" s="5" t="str">
        <v/>
      </c>
      <c r="Q277" s="14" t="str">
        <v/>
      </c>
      <c r="R277" s="15">
        <v>45</v>
      </c>
    </row>
    <row r="278" spans="2:18" x14ac:dyDescent="0.35">
      <c r="B278" s="9">
        <v>1236</v>
      </c>
      <c r="C278" s="9" t="str">
        <v>가용재고</v>
      </c>
      <c r="D278" s="9" t="str">
        <v/>
      </c>
      <c r="E278" s="9" t="str">
        <v>반납</v>
      </c>
      <c r="F278" s="9" t="str">
        <v/>
      </c>
      <c r="G278" s="9" t="str">
        <v/>
      </c>
      <c r="H278" s="9" t="str">
        <v>RF-20A-0279</v>
      </c>
      <c r="I278" s="11" t="str">
        <v>RF-20A-0279]Mdl DLP PLT</v>
      </c>
      <c r="J278" s="9">
        <v>46</v>
      </c>
      <c r="K278" s="9" t="str">
        <v/>
      </c>
      <c r="L278" s="9" t="str">
        <v>3F2</v>
      </c>
      <c r="M278" s="12">
        <v>46287</v>
      </c>
      <c r="N278" s="5" t="str">
        <v/>
      </c>
      <c r="O278" s="5" t="str">
        <v/>
      </c>
      <c r="P278" s="5" t="str">
        <v/>
      </c>
      <c r="Q278" s="14" t="str">
        <v/>
      </c>
      <c r="R278" s="15">
        <v>46</v>
      </c>
    </row>
    <row r="279" spans="2:18" x14ac:dyDescent="0.35">
      <c r="B279" s="9">
        <v>1250</v>
      </c>
      <c r="C279" s="9" t="str">
        <v>가용재고</v>
      </c>
      <c r="D279" s="9" t="str">
        <v/>
      </c>
      <c r="E279" s="9" t="str">
        <v>반납</v>
      </c>
      <c r="F279" s="9" t="str">
        <v/>
      </c>
      <c r="G279" s="9" t="str">
        <v/>
      </c>
      <c r="H279" s="9" t="str">
        <v>RF-01T-0356</v>
      </c>
      <c r="I279" s="11" t="str">
        <v>RF-01T-0356]RUBBER CAP ARM</v>
      </c>
      <c r="J279" s="9">
        <v>46</v>
      </c>
      <c r="K279" s="9" t="str">
        <v/>
      </c>
      <c r="L279" s="9" t="str">
        <v>3L4-2</v>
      </c>
      <c r="M279" s="12">
        <v>46287</v>
      </c>
      <c r="N279" s="5" t="str">
        <v/>
      </c>
      <c r="O279" s="5" t="str">
        <v/>
      </c>
      <c r="P279" s="5" t="str">
        <v/>
      </c>
      <c r="Q279" s="14" t="str">
        <v/>
      </c>
      <c r="R279" s="15">
        <v>46</v>
      </c>
    </row>
    <row r="280" spans="2:18" x14ac:dyDescent="0.35">
      <c r="B280" s="9">
        <v>2123</v>
      </c>
      <c r="C280" s="9" t="str">
        <v>가용재고</v>
      </c>
      <c r="D280" s="9" t="str">
        <v/>
      </c>
      <c r="E280" s="9" t="str">
        <v/>
      </c>
      <c r="F280" s="9" t="str">
        <v/>
      </c>
      <c r="G280" s="9" t="str">
        <v/>
      </c>
      <c r="H280" s="9" t="str">
        <v>RA-05A-6112</v>
      </c>
      <c r="I280" s="11" t="str">
        <v/>
      </c>
      <c r="J280" s="9">
        <v>46</v>
      </c>
      <c r="K280" s="9" t="str">
        <v/>
      </c>
      <c r="L280" s="9" t="str">
        <v>A1-2</v>
      </c>
      <c r="M280" s="12">
        <v>46282</v>
      </c>
      <c r="N280" s="5" t="str">
        <v/>
      </c>
      <c r="O280" s="5" t="str">
        <v/>
      </c>
      <c r="P280" s="5" t="str">
        <v/>
      </c>
      <c r="Q280" s="14" t="str">
        <v/>
      </c>
      <c r="R280" s="15">
        <v>46</v>
      </c>
    </row>
    <row r="281" spans="2:18" x14ac:dyDescent="0.35">
      <c r="B281" s="9">
        <v>2327</v>
      </c>
      <c r="C281" s="9" t="str">
        <v>가용재고</v>
      </c>
      <c r="D281" s="9" t="str">
        <v/>
      </c>
      <c r="E281" s="9" t="str">
        <v/>
      </c>
      <c r="F281" s="9" t="str">
        <v/>
      </c>
      <c r="G281" s="9" t="str">
        <v/>
      </c>
      <c r="H281" s="9" t="str">
        <v>RA-7-5</v>
      </c>
      <c r="I281" s="11" t="str">
        <v>RA-7-5]LAN THU</v>
      </c>
      <c r="J281" s="9">
        <v>46</v>
      </c>
      <c r="K281" s="9" t="str">
        <v/>
      </c>
      <c r="L281" s="9" t="str">
        <v>G2-2</v>
      </c>
      <c r="M281" s="12">
        <v>46302</v>
      </c>
      <c r="N281" s="5" t="str">
        <v/>
      </c>
      <c r="O281" s="5" t="str">
        <v/>
      </c>
      <c r="P281" s="5" t="str">
        <v/>
      </c>
      <c r="Q281" s="14" t="str">
        <v/>
      </c>
      <c r="R281" s="15">
        <v>46</v>
      </c>
    </row>
    <row r="282" spans="2:18" x14ac:dyDescent="0.35">
      <c r="B282" s="9">
        <v>278</v>
      </c>
      <c r="C282" s="9" t="str">
        <v>가용재고</v>
      </c>
      <c r="D282" s="9" t="str">
        <v/>
      </c>
      <c r="E282" s="9" t="str">
        <v/>
      </c>
      <c r="F282" s="9" t="str">
        <v/>
      </c>
      <c r="G282" s="9" t="str">
        <v/>
      </c>
      <c r="H282" s="9" t="str">
        <v>RA-08T-0176</v>
      </c>
      <c r="I282" s="11" t="str">
        <v/>
      </c>
      <c r="J282" s="9">
        <v>47</v>
      </c>
      <c r="K282" s="9" t="str">
        <v/>
      </c>
      <c r="L282" s="9" t="str">
        <v>1층</v>
      </c>
      <c r="M282" s="12">
        <v>46232</v>
      </c>
      <c r="N282" s="5" t="str">
        <v/>
      </c>
      <c r="O282" s="5" t="str">
        <v/>
      </c>
      <c r="P282" s="5" t="str">
        <v/>
      </c>
      <c r="Q282" s="14" t="str">
        <v/>
      </c>
      <c r="R282" s="15">
        <v>47</v>
      </c>
    </row>
    <row r="283" spans="2:18" x14ac:dyDescent="0.35">
      <c r="B283" s="9">
        <v>946</v>
      </c>
      <c r="C283" s="9" t="str">
        <v>가용재고</v>
      </c>
      <c r="D283" s="9" t="str">
        <v/>
      </c>
      <c r="E283" s="9" t="str">
        <v>기초</v>
      </c>
      <c r="F283" s="9" t="str">
        <v/>
      </c>
      <c r="G283" s="9" t="str">
        <v/>
      </c>
      <c r="H283" s="9" t="str">
        <v>RA-03T-3865</v>
      </c>
      <c r="I283" s="11" t="str">
        <v>RA-03T-3865]CAS MIRROR (MG)</v>
      </c>
      <c r="J283" s="9">
        <v>47</v>
      </c>
      <c r="K283" s="9" t="str">
        <v/>
      </c>
      <c r="L283" s="9" t="str">
        <v>4F CASE</v>
      </c>
      <c r="M283" s="12">
        <v>46276</v>
      </c>
      <c r="N283" s="5" t="str">
        <v/>
      </c>
      <c r="O283" s="5" t="str">
        <v/>
      </c>
      <c r="P283" s="5" t="str">
        <v/>
      </c>
      <c r="Q283" s="14" t="str">
        <v/>
      </c>
      <c r="R283" s="15">
        <v>47</v>
      </c>
    </row>
    <row r="284" spans="2:18" x14ac:dyDescent="0.35">
      <c r="B284" s="9">
        <v>1906</v>
      </c>
      <c r="C284" s="9" t="str">
        <v>가용재고</v>
      </c>
      <c r="D284" s="9" t="str">
        <v/>
      </c>
      <c r="E284" s="9" t="str">
        <v/>
      </c>
      <c r="F284" s="9" t="str">
        <v/>
      </c>
      <c r="G284" s="9" t="str">
        <v/>
      </c>
      <c r="H284" s="9" t="str">
        <v>RA-07M-3424</v>
      </c>
      <c r="I284" s="11" t="str">
        <v>RA-07M-3424]BLK STOPPER MICROMTR HEAD(ST</v>
      </c>
      <c r="J284" s="9">
        <v>47</v>
      </c>
      <c r="K284" s="9" t="str">
        <v/>
      </c>
      <c r="L284" s="9" t="str">
        <v>J3-2</v>
      </c>
      <c r="M284" s="12">
        <v>46295</v>
      </c>
      <c r="N284" s="5" t="str">
        <v/>
      </c>
      <c r="O284" s="5" t="str">
        <v/>
      </c>
      <c r="P284" s="5" t="str">
        <v/>
      </c>
      <c r="Q284" s="14" t="str">
        <v/>
      </c>
      <c r="R284" s="15">
        <v>47</v>
      </c>
    </row>
    <row r="285" spans="2:18" x14ac:dyDescent="0.35">
      <c r="B285" s="9">
        <v>2431</v>
      </c>
      <c r="C285" s="9" t="str">
        <v>가용재고</v>
      </c>
      <c r="D285" s="9" t="str">
        <v/>
      </c>
      <c r="E285" s="9" t="str">
        <v/>
      </c>
      <c r="F285" s="9" t="str">
        <v/>
      </c>
      <c r="G285" s="9" t="str">
        <v/>
      </c>
      <c r="H285" s="9" t="str">
        <v>RA-06A-2139</v>
      </c>
      <c r="I285" s="11" t="str">
        <v>RA-06A-2139]ASM BRK FAN SUP (A+)</v>
      </c>
      <c r="J285" s="9">
        <v>47</v>
      </c>
      <c r="K285" s="9" t="str">
        <v/>
      </c>
      <c r="L285" s="9" t="str">
        <v>N5</v>
      </c>
      <c r="M285" s="12">
        <v>46301</v>
      </c>
      <c r="N285" s="5" t="str">
        <v/>
      </c>
      <c r="O285" s="5" t="str">
        <v/>
      </c>
      <c r="P285" s="5" t="str">
        <v/>
      </c>
      <c r="Q285" s="14" t="str">
        <v/>
      </c>
      <c r="R285" s="15">
        <v>47</v>
      </c>
    </row>
    <row r="286" spans="2:18" x14ac:dyDescent="0.35">
      <c r="B286" s="9">
        <v>2543</v>
      </c>
      <c r="C286" s="9" t="str">
        <v>가용재고</v>
      </c>
      <c r="D286" s="9" t="str">
        <v/>
      </c>
      <c r="E286" s="9" t="str">
        <v/>
      </c>
      <c r="F286" s="9" t="str">
        <v/>
      </c>
      <c r="G286" s="9" t="str">
        <v/>
      </c>
      <c r="H286" s="9" t="str">
        <v>RA-03S-5013</v>
      </c>
      <c r="I286" s="11" t="str">
        <v>RA-03S-5013]Mgnet CONTECTOR-LP1K0910BD</v>
      </c>
      <c r="J286" s="9">
        <v>47</v>
      </c>
      <c r="K286" s="9" t="str">
        <v/>
      </c>
      <c r="L286" s="9" t="str">
        <v>A13-4</v>
      </c>
      <c r="M286" s="12">
        <v>46308</v>
      </c>
      <c r="N286" s="5" t="str">
        <v/>
      </c>
      <c r="O286" s="5" t="str">
        <v/>
      </c>
      <c r="P286" s="5" t="str">
        <v/>
      </c>
      <c r="Q286" s="14" t="str">
        <v/>
      </c>
      <c r="R286" s="15">
        <v>47</v>
      </c>
    </row>
    <row r="287" spans="2:18" x14ac:dyDescent="0.35">
      <c r="B287" s="9">
        <v>947</v>
      </c>
      <c r="C287" s="9" t="str">
        <v>가용재고</v>
      </c>
      <c r="D287" s="9" t="str">
        <v/>
      </c>
      <c r="E287" s="9" t="str">
        <v>기초</v>
      </c>
      <c r="F287" s="9" t="str">
        <v/>
      </c>
      <c r="G287" s="9" t="str">
        <v/>
      </c>
      <c r="H287" s="9" t="str">
        <v>RA-02T-3852</v>
      </c>
      <c r="I287" s="11" t="str">
        <v>RA-02T-3852]CAS WINDOW VERT (MG)</v>
      </c>
      <c r="J287" s="9">
        <v>48</v>
      </c>
      <c r="K287" s="9" t="str">
        <v/>
      </c>
      <c r="L287" s="9" t="str">
        <v>4F CASE</v>
      </c>
      <c r="M287" s="12">
        <v>46276</v>
      </c>
      <c r="N287" s="5" t="str">
        <v/>
      </c>
      <c r="O287" s="5" t="str">
        <v/>
      </c>
      <c r="P287" s="5" t="str">
        <v/>
      </c>
      <c r="Q287" s="14" t="str">
        <v/>
      </c>
      <c r="R287" s="15">
        <v>48</v>
      </c>
    </row>
    <row r="288" spans="2:18" x14ac:dyDescent="0.35">
      <c r="B288" s="9">
        <v>948</v>
      </c>
      <c r="C288" s="9" t="str">
        <v>가용재고</v>
      </c>
      <c r="D288" s="9" t="str">
        <v/>
      </c>
      <c r="E288" s="9" t="str">
        <v>기초</v>
      </c>
      <c r="F288" s="9" t="str">
        <v/>
      </c>
      <c r="G288" s="9" t="str">
        <v/>
      </c>
      <c r="H288" s="9" t="str">
        <v>RA-03V-3860</v>
      </c>
      <c r="I288" s="11" t="str">
        <v>RA-03V-3860]BRK CLMN FRONT FIX L (MG)</v>
      </c>
      <c r="J288" s="9">
        <v>48</v>
      </c>
      <c r="K288" s="9" t="str">
        <v/>
      </c>
      <c r="L288" s="9" t="str">
        <v>N3-3</v>
      </c>
      <c r="M288" s="12">
        <v>46276</v>
      </c>
      <c r="N288" s="5" t="str">
        <v/>
      </c>
      <c r="O288" s="5" t="str">
        <v/>
      </c>
      <c r="P288" s="5" t="str">
        <v/>
      </c>
      <c r="Q288" s="14" t="str">
        <v/>
      </c>
      <c r="R288" s="15">
        <v>48</v>
      </c>
    </row>
    <row r="289" spans="2:18" x14ac:dyDescent="0.35">
      <c r="B289" s="9">
        <v>949</v>
      </c>
      <c r="C289" s="9" t="str">
        <v>가용재고</v>
      </c>
      <c r="D289" s="9" t="str">
        <v/>
      </c>
      <c r="E289" s="9" t="str">
        <v>기초</v>
      </c>
      <c r="F289" s="9" t="str">
        <v/>
      </c>
      <c r="G289" s="9" t="str">
        <v/>
      </c>
      <c r="H289" s="9" t="str">
        <v>RA-04T-3814</v>
      </c>
      <c r="I289" s="11" t="str">
        <v>RA-04T-3814]CAS MONITOR REAR (MG)</v>
      </c>
      <c r="J289" s="9">
        <v>49</v>
      </c>
      <c r="K289" s="9" t="str">
        <v/>
      </c>
      <c r="L289" s="9" t="str">
        <v>4F CASE</v>
      </c>
      <c r="M289" s="12">
        <v>46276</v>
      </c>
      <c r="N289" s="5" t="str">
        <v/>
      </c>
      <c r="O289" s="5" t="str">
        <v/>
      </c>
      <c r="P289" s="5" t="str">
        <v/>
      </c>
      <c r="Q289" s="14" t="str">
        <v/>
      </c>
      <c r="R289" s="15">
        <v>49</v>
      </c>
    </row>
    <row r="290" spans="2:18" x14ac:dyDescent="0.35">
      <c r="B290" s="9">
        <v>950</v>
      </c>
      <c r="C290" s="9" t="str">
        <v>가용재고</v>
      </c>
      <c r="D290" s="9" t="str">
        <v/>
      </c>
      <c r="E290" s="9" t="str">
        <v>기초</v>
      </c>
      <c r="F290" s="9" t="str">
        <v/>
      </c>
      <c r="G290" s="9" t="str">
        <v/>
      </c>
      <c r="H290" s="9" t="str">
        <v>RA-04T-3816</v>
      </c>
      <c r="I290" s="11" t="str">
        <v>RA-04T-3816]CAS MONITOR DECO (MG)</v>
      </c>
      <c r="J290" s="9">
        <v>49</v>
      </c>
      <c r="K290" s="9" t="str">
        <v/>
      </c>
      <c r="L290" s="9" t="str">
        <v>4F CASE</v>
      </c>
      <c r="M290" s="12">
        <v>46276</v>
      </c>
      <c r="N290" s="5" t="str">
        <v/>
      </c>
      <c r="O290" s="5" t="str">
        <v/>
      </c>
      <c r="P290" s="5" t="str">
        <v/>
      </c>
      <c r="Q290" s="14" t="str">
        <v/>
      </c>
      <c r="R290" s="15">
        <v>49</v>
      </c>
    </row>
    <row r="291" spans="2:18" x14ac:dyDescent="0.35">
      <c r="B291" s="9">
        <v>951</v>
      </c>
      <c r="C291" s="9" t="str">
        <v>가용재고</v>
      </c>
      <c r="D291" s="9" t="str">
        <v/>
      </c>
      <c r="E291" s="9" t="str">
        <v>기초</v>
      </c>
      <c r="F291" s="9" t="str">
        <v/>
      </c>
      <c r="G291" s="9" t="str">
        <v/>
      </c>
      <c r="H291" s="9" t="str">
        <v>RA-06V-3946</v>
      </c>
      <c r="I291" s="11" t="str">
        <v>RA-06V-3946]BRK HARNESS GUIDE LEFT (MG)</v>
      </c>
      <c r="J291" s="9">
        <v>49</v>
      </c>
      <c r="K291" s="9" t="str">
        <v/>
      </c>
      <c r="L291" s="9" t="str">
        <v>N2-4</v>
      </c>
      <c r="M291" s="12">
        <v>46276</v>
      </c>
      <c r="N291" s="5" t="str">
        <v/>
      </c>
      <c r="O291" s="5" t="str">
        <v/>
      </c>
      <c r="P291" s="5" t="str">
        <v/>
      </c>
      <c r="Q291" s="14" t="str">
        <v/>
      </c>
      <c r="R291" s="15">
        <v>49</v>
      </c>
    </row>
    <row r="292" spans="2:18" x14ac:dyDescent="0.35">
      <c r="B292" s="9">
        <v>2272</v>
      </c>
      <c r="C292" s="9" t="str">
        <v>가용재고</v>
      </c>
      <c r="D292" s="9" t="str">
        <v/>
      </c>
      <c r="E292" s="9" t="str">
        <v/>
      </c>
      <c r="F292" s="9" t="str">
        <v/>
      </c>
      <c r="G292" s="9" t="str">
        <v/>
      </c>
      <c r="H292" s="9" t="str">
        <v>RF-01S-5093</v>
      </c>
      <c r="I292" s="11" t="str">
        <v>RF-01S-5093]CAM Cable_TEETH_R</v>
      </c>
      <c r="J292" s="9">
        <v>49</v>
      </c>
      <c r="K292" s="9" t="str">
        <v/>
      </c>
      <c r="L292" s="9" t="str">
        <v>3F10</v>
      </c>
      <c r="M292" s="12">
        <v>46301</v>
      </c>
      <c r="N292" s="5" t="str">
        <v/>
      </c>
      <c r="O292" s="5" t="str">
        <v/>
      </c>
      <c r="P292" s="5" t="str">
        <v/>
      </c>
      <c r="Q292" s="14" t="str">
        <v/>
      </c>
      <c r="R292" s="15">
        <v>49</v>
      </c>
    </row>
    <row r="293" spans="2:18" x14ac:dyDescent="0.35">
      <c r="B293" s="9">
        <v>2206</v>
      </c>
      <c r="C293" s="9" t="str">
        <v>가용재고</v>
      </c>
      <c r="D293" s="9" t="str">
        <v/>
      </c>
      <c r="E293" s="9" t="str">
        <v>입고</v>
      </c>
      <c r="F293" s="9" t="str">
        <v>BACHTUNG</v>
      </c>
      <c r="G293" s="9" t="str">
        <v>유영국</v>
      </c>
      <c r="H293" s="9" t="str">
        <v>RA-04A-1926</v>
      </c>
      <c r="I293" s="11" t="str">
        <v>RA-04A-1926]ASM CHINREST SUB</v>
      </c>
      <c r="J293" s="9">
        <v>50</v>
      </c>
      <c r="K293" s="9" t="str">
        <v/>
      </c>
      <c r="L293" s="9" t="str">
        <v>O2</v>
      </c>
      <c r="M293" s="12">
        <v>46294</v>
      </c>
      <c r="N293" s="5" t="str">
        <v/>
      </c>
      <c r="O293" s="5" t="str">
        <v/>
      </c>
      <c r="P293" s="5" t="str">
        <v/>
      </c>
      <c r="Q293" s="14" t="str">
        <v/>
      </c>
      <c r="R293" s="15">
        <v>50</v>
      </c>
    </row>
    <row r="294" spans="2:18" x14ac:dyDescent="0.35">
      <c r="B294" s="9">
        <v>2067</v>
      </c>
      <c r="C294" s="9" t="str">
        <v>가용재고</v>
      </c>
      <c r="D294" s="9" t="str">
        <v/>
      </c>
      <c r="E294" s="9" t="str">
        <v>입고</v>
      </c>
      <c r="F294" s="9" t="str">
        <v>우진써보씨스템</v>
      </c>
      <c r="G294" s="9" t="str">
        <v>유영국</v>
      </c>
      <c r="H294" s="9" t="str">
        <v>RA-07S-5019</v>
      </c>
      <c r="I294" s="11" t="str">
        <v>RA-07S-5019]STEP MOT-KH42KM2-901</v>
      </c>
      <c r="J294" s="9">
        <v>50</v>
      </c>
      <c r="K294" s="9" t="str">
        <v/>
      </c>
      <c r="L294" s="9" t="str">
        <v>Q</v>
      </c>
      <c r="M294" s="12">
        <v>46301</v>
      </c>
      <c r="N294" s="5" t="str">
        <v/>
      </c>
      <c r="O294" s="5" t="str">
        <v/>
      </c>
      <c r="P294" s="5" t="str">
        <v/>
      </c>
      <c r="Q294" s="14" t="str">
        <v/>
      </c>
      <c r="R294" s="15">
        <v>50</v>
      </c>
    </row>
    <row r="295" spans="2:18" x14ac:dyDescent="0.35">
      <c r="B295" s="9">
        <v>449</v>
      </c>
      <c r="C295" s="9" t="str">
        <v>가용재고</v>
      </c>
      <c r="D295" s="9" t="str">
        <v/>
      </c>
      <c r="E295" s="9" t="str">
        <v/>
      </c>
      <c r="F295" s="9" t="str">
        <v/>
      </c>
      <c r="G295" s="9" t="str">
        <v/>
      </c>
      <c r="H295" s="9" t="str">
        <v>RF-01M-0395</v>
      </c>
      <c r="I295" s="11" t="str">
        <v>RF-01M-0395]BLOCK BASE BOTTOM</v>
      </c>
      <c r="J295" s="9">
        <v>50</v>
      </c>
      <c r="K295" s="9" t="str">
        <v/>
      </c>
      <c r="L295" s="9" t="str">
        <v>3E5</v>
      </c>
      <c r="M295" s="12">
        <v>46259</v>
      </c>
      <c r="N295" s="5" t="str">
        <v/>
      </c>
      <c r="O295" s="5" t="str">
        <v/>
      </c>
      <c r="P295" s="5" t="str">
        <v/>
      </c>
      <c r="Q295" s="14" t="str">
        <v/>
      </c>
      <c r="R295" s="15">
        <v>50</v>
      </c>
    </row>
    <row r="296" spans="2:18" x14ac:dyDescent="0.35">
      <c r="B296" s="9">
        <v>952</v>
      </c>
      <c r="C296" s="9" t="str">
        <v>가용재고</v>
      </c>
      <c r="D296" s="9" t="str">
        <v/>
      </c>
      <c r="E296" s="9" t="str">
        <v>기초</v>
      </c>
      <c r="F296" s="9" t="str">
        <v/>
      </c>
      <c r="G296" s="9" t="str">
        <v/>
      </c>
      <c r="H296" s="9" t="str">
        <v>RA-02T-3846</v>
      </c>
      <c r="I296" s="11" t="str">
        <v>RA-02T-3846]CAS VERT INDICATOR WINDOW(MG</v>
      </c>
      <c r="J296" s="9">
        <v>50</v>
      </c>
      <c r="K296" s="9" t="str">
        <v/>
      </c>
      <c r="L296" s="9" t="str">
        <v>4F CASE</v>
      </c>
      <c r="M296" s="12">
        <v>46276</v>
      </c>
      <c r="N296" s="5" t="str">
        <v/>
      </c>
      <c r="O296" s="5" t="str">
        <v/>
      </c>
      <c r="P296" s="5" t="str">
        <v/>
      </c>
      <c r="Q296" s="14" t="str">
        <v/>
      </c>
      <c r="R296" s="15">
        <v>50</v>
      </c>
    </row>
    <row r="297" spans="2:18" x14ac:dyDescent="0.35">
      <c r="B297" s="9">
        <v>953</v>
      </c>
      <c r="C297" s="9" t="str">
        <v>가용재고</v>
      </c>
      <c r="D297" s="9" t="str">
        <v/>
      </c>
      <c r="E297" s="9" t="str">
        <v>기초</v>
      </c>
      <c r="F297" s="9" t="str">
        <v/>
      </c>
      <c r="G297" s="9" t="str">
        <v/>
      </c>
      <c r="H297" s="9" t="str">
        <v>RA-04T-3812</v>
      </c>
      <c r="I297" s="11" t="str">
        <v>RA-04T-3812]CAS MONITOR FRONT (MG)</v>
      </c>
      <c r="J297" s="9">
        <v>50</v>
      </c>
      <c r="K297" s="9" t="str">
        <v/>
      </c>
      <c r="L297" s="9" t="str">
        <v>4F CASE</v>
      </c>
      <c r="M297" s="12">
        <v>46276</v>
      </c>
      <c r="N297" s="5" t="str">
        <v/>
      </c>
      <c r="O297" s="5" t="str">
        <v/>
      </c>
      <c r="P297" s="5" t="str">
        <v/>
      </c>
      <c r="Q297" s="14" t="str">
        <v/>
      </c>
      <c r="R297" s="15">
        <v>50</v>
      </c>
    </row>
    <row r="298" spans="2:18" x14ac:dyDescent="0.35">
      <c r="B298" s="9">
        <v>954</v>
      </c>
      <c r="C298" s="9" t="str">
        <v>가용재고</v>
      </c>
      <c r="D298" s="9" t="str">
        <v/>
      </c>
      <c r="E298" s="9" t="str">
        <v>기초</v>
      </c>
      <c r="F298" s="9" t="str">
        <v/>
      </c>
      <c r="G298" s="9" t="str">
        <v/>
      </c>
      <c r="H298" s="9" t="str">
        <v>RA-04T-3893</v>
      </c>
      <c r="I298" s="11" t="str">
        <v>RA-04T-3893]CAS CHINREST UPPER (MG)</v>
      </c>
      <c r="J298" s="9">
        <v>50</v>
      </c>
      <c r="K298" s="9" t="str">
        <v/>
      </c>
      <c r="L298" s="9" t="str">
        <v>4F CASE</v>
      </c>
      <c r="M298" s="12">
        <v>46276</v>
      </c>
      <c r="N298" s="5" t="str">
        <v/>
      </c>
      <c r="O298" s="5" t="str">
        <v/>
      </c>
      <c r="P298" s="5" t="str">
        <v/>
      </c>
      <c r="Q298" s="14" t="str">
        <v/>
      </c>
      <c r="R298" s="15">
        <v>50</v>
      </c>
    </row>
    <row r="299" spans="2:18" x14ac:dyDescent="0.35">
      <c r="B299" s="9">
        <v>1283</v>
      </c>
      <c r="C299" s="9" t="str">
        <v>가용재고</v>
      </c>
      <c r="D299" s="9" t="str">
        <v/>
      </c>
      <c r="E299" s="9" t="str">
        <v>입고</v>
      </c>
      <c r="F299" s="9" t="str">
        <v>A&amp;T</v>
      </c>
      <c r="G299" s="9" t="str">
        <v>조영우</v>
      </c>
      <c r="H299" s="9" t="str">
        <v>RF-01V-0209</v>
      </c>
      <c r="I299" s="11" t="str">
        <v>RF-01V-0209]FRONT BRK TOP</v>
      </c>
      <c r="J299" s="9">
        <v>50</v>
      </c>
      <c r="K299" s="9" t="str">
        <v/>
      </c>
      <c r="L299" s="9" t="str">
        <v>3L4-5</v>
      </c>
      <c r="M299" s="12">
        <v>46261</v>
      </c>
      <c r="N299" s="5" t="str">
        <v/>
      </c>
      <c r="O299" s="5" t="str">
        <v/>
      </c>
      <c r="P299" s="5" t="str">
        <v/>
      </c>
      <c r="Q299" s="14" t="str">
        <v/>
      </c>
      <c r="R299" s="15">
        <v>50</v>
      </c>
    </row>
    <row r="300" spans="2:18" x14ac:dyDescent="0.35">
      <c r="B300" s="9">
        <v>1298</v>
      </c>
      <c r="C300" s="9" t="str">
        <v>가용재고</v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>RF-01B-5035</v>
      </c>
      <c r="I300" s="11" t="str">
        <v>RF-01B-5035]CONNECTOR Bd</v>
      </c>
      <c r="J300" s="9">
        <v>50</v>
      </c>
      <c r="K300" s="9" t="str">
        <v/>
      </c>
      <c r="L300" s="9" t="str">
        <v>A4-3</v>
      </c>
      <c r="M300" s="12">
        <v>46287</v>
      </c>
      <c r="N300" s="5" t="str">
        <v/>
      </c>
      <c r="O300" s="5" t="str">
        <v/>
      </c>
      <c r="P300" s="5" t="str">
        <v/>
      </c>
      <c r="Q300" s="14" t="str">
        <v/>
      </c>
      <c r="R300" s="15">
        <v>50</v>
      </c>
    </row>
    <row r="301" spans="2:18" x14ac:dyDescent="0.35">
      <c r="B301" s="9">
        <v>1308</v>
      </c>
      <c r="C301" s="9" t="str">
        <v>가용재고</v>
      </c>
      <c r="D301" s="9" t="str">
        <v/>
      </c>
      <c r="E301" s="9" t="str">
        <v/>
      </c>
      <c r="F301" s="9" t="str">
        <v/>
      </c>
      <c r="G301" s="9" t="str">
        <v/>
      </c>
      <c r="H301" s="9" t="str">
        <v>RF-20A-0381</v>
      </c>
      <c r="I301" s="11" t="str">
        <v/>
      </c>
      <c r="J301" s="9">
        <v>50</v>
      </c>
      <c r="K301" s="9" t="str">
        <v/>
      </c>
      <c r="L301" s="9" t="str">
        <v>3I5</v>
      </c>
      <c r="M301" s="12">
        <v>46287</v>
      </c>
      <c r="N301" s="5" t="str">
        <v/>
      </c>
      <c r="O301" s="5" t="str">
        <v/>
      </c>
      <c r="P301" s="5" t="str">
        <v/>
      </c>
      <c r="Q301" s="14" t="str">
        <v/>
      </c>
      <c r="R301" s="15">
        <v>50</v>
      </c>
    </row>
    <row r="302" spans="2:18" x14ac:dyDescent="0.35">
      <c r="B302" s="9">
        <v>1315</v>
      </c>
      <c r="C302" s="9" t="str">
        <v>가용재고</v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>RF-01V-0197</v>
      </c>
      <c r="I302" s="11" t="str">
        <v>RF-01V-0197]JETSON BRK</v>
      </c>
      <c r="J302" s="9">
        <v>50</v>
      </c>
      <c r="K302" s="9" t="str">
        <v/>
      </c>
      <c r="L302" s="9" t="str">
        <v>3F3</v>
      </c>
      <c r="M302" s="12">
        <v>46287</v>
      </c>
      <c r="N302" s="5" t="str">
        <v/>
      </c>
      <c r="O302" s="5" t="str">
        <v/>
      </c>
      <c r="P302" s="5" t="str">
        <v/>
      </c>
      <c r="Q302" s="14" t="str">
        <v/>
      </c>
      <c r="R302" s="15">
        <v>50</v>
      </c>
    </row>
    <row r="303" spans="2:18" x14ac:dyDescent="0.35">
      <c r="B303" s="9">
        <v>1351</v>
      </c>
      <c r="C303" s="9" t="str">
        <v>가용재고</v>
      </c>
      <c r="D303" s="9" t="str">
        <v/>
      </c>
      <c r="E303" s="9" t="str">
        <v>입고</v>
      </c>
      <c r="F303" s="9" t="str">
        <v>A&amp;T</v>
      </c>
      <c r="G303" s="9" t="str">
        <v>조영우</v>
      </c>
      <c r="H303" s="9" t="str">
        <v>RF-01M-0268</v>
      </c>
      <c r="I303" s="11" t="str">
        <v>RF-01M-0268]TEETH CAM BLK_HR</v>
      </c>
      <c r="J303" s="9">
        <v>50</v>
      </c>
      <c r="K303" s="9" t="str">
        <v/>
      </c>
      <c r="L303" s="9" t="str">
        <v>3S2-1</v>
      </c>
      <c r="M303" s="12">
        <v>46261</v>
      </c>
      <c r="N303" s="5" t="str">
        <v/>
      </c>
      <c r="O303" s="5" t="str">
        <v/>
      </c>
      <c r="P303" s="5" t="str">
        <v/>
      </c>
      <c r="Q303" s="14" t="str">
        <v/>
      </c>
      <c r="R303" s="15">
        <v>50</v>
      </c>
    </row>
    <row r="304" spans="2:18" x14ac:dyDescent="0.35">
      <c r="B304" s="9">
        <v>1975</v>
      </c>
      <c r="C304" s="9" t="str">
        <v>가용재고</v>
      </c>
      <c r="D304" s="9" t="str">
        <v/>
      </c>
      <c r="E304" s="9" t="str">
        <v>입고</v>
      </c>
      <c r="F304" s="9" t="str">
        <v>A&amp;T</v>
      </c>
      <c r="G304" s="9" t="str">
        <v>장동은</v>
      </c>
      <c r="H304" s="9" t="str">
        <v>RA-07A-2757</v>
      </c>
      <c r="I304" s="11" t="str">
        <v>RA-07A-2757]ASM DET BAS (PRE) (VN)</v>
      </c>
      <c r="J304" s="9">
        <v>50</v>
      </c>
      <c r="K304" s="9" t="str">
        <v/>
      </c>
      <c r="L304" s="9" t="str">
        <v>T</v>
      </c>
      <c r="M304" s="12">
        <v>46301</v>
      </c>
      <c r="N304" s="5" t="str">
        <v/>
      </c>
      <c r="O304" s="5" t="str">
        <v/>
      </c>
      <c r="P304" s="5" t="str">
        <v/>
      </c>
      <c r="Q304" s="14" t="str">
        <v/>
      </c>
      <c r="R304" s="15">
        <v>50</v>
      </c>
    </row>
    <row r="305" spans="2:18" x14ac:dyDescent="0.35">
      <c r="B305" s="9">
        <v>2014</v>
      </c>
      <c r="C305" s="9" t="str">
        <v>가용재고</v>
      </c>
      <c r="D305" s="9" t="str">
        <v/>
      </c>
      <c r="E305" s="9" t="str">
        <v>입고</v>
      </c>
      <c r="F305" s="9" t="str">
        <v>Bach tung</v>
      </c>
      <c r="G305" s="9" t="str">
        <v>유영국</v>
      </c>
      <c r="H305" s="9" t="str">
        <v>RA-06A-3314</v>
      </c>
      <c r="I305" s="11" t="str">
        <v>RA-06A-3314]ASM TUBE TNK SUP (ST)</v>
      </c>
      <c r="J305" s="9">
        <v>50</v>
      </c>
      <c r="K305" s="9" t="str">
        <v/>
      </c>
      <c r="L305" s="9" t="str">
        <v>O1</v>
      </c>
      <c r="M305" s="12">
        <v>46296</v>
      </c>
      <c r="N305" s="5" t="str">
        <v/>
      </c>
      <c r="O305" s="5" t="str">
        <v/>
      </c>
      <c r="P305" s="5" t="str">
        <v/>
      </c>
      <c r="Q305" s="14" t="str">
        <v/>
      </c>
      <c r="R305" s="15">
        <v>50</v>
      </c>
    </row>
    <row r="306" spans="2:18" x14ac:dyDescent="0.35">
      <c r="B306" s="9">
        <v>2049</v>
      </c>
      <c r="C306" s="9" t="str">
        <v>가용재고</v>
      </c>
      <c r="D306" s="9" t="str">
        <v/>
      </c>
      <c r="E306" s="9" t="str">
        <v>입고</v>
      </c>
      <c r="F306" s="9" t="str">
        <v>대영하네스</v>
      </c>
      <c r="G306" s="9" t="str">
        <v>유영국</v>
      </c>
      <c r="H306" s="9" t="str">
        <v>RA-11-12</v>
      </c>
      <c r="I306" s="11" t="str">
        <v>RA-11-12_3]PRIME MOT LINEAR Front-Rear</v>
      </c>
      <c r="J306" s="9">
        <v>50</v>
      </c>
      <c r="K306" s="9" t="str">
        <v/>
      </c>
      <c r="L306" s="9" t="str">
        <v>G3-5</v>
      </c>
      <c r="M306" s="12">
        <v>46296</v>
      </c>
      <c r="N306" s="5" t="str">
        <v/>
      </c>
      <c r="O306" s="5" t="str">
        <v/>
      </c>
      <c r="P306" s="5" t="str">
        <v/>
      </c>
      <c r="Q306" s="14" t="str">
        <v/>
      </c>
      <c r="R306" s="15">
        <v>50</v>
      </c>
    </row>
    <row r="307" spans="2:18" x14ac:dyDescent="0.35">
      <c r="B307" s="9">
        <v>2322</v>
      </c>
      <c r="C307" s="9" t="str">
        <v>가용재고</v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>RA-04V-1109</v>
      </c>
      <c r="I307" s="11" t="str">
        <v>RA-04V-1109]BRK ARM RIGID L</v>
      </c>
      <c r="J307" s="9">
        <v>50</v>
      </c>
      <c r="K307" s="9" t="str">
        <v/>
      </c>
      <c r="L307" s="9" t="str">
        <v>B1-6</v>
      </c>
      <c r="M307" s="12">
        <v>46302</v>
      </c>
      <c r="N307" s="5" t="str">
        <v/>
      </c>
      <c r="O307" s="5" t="str">
        <v/>
      </c>
      <c r="P307" s="5" t="str">
        <v/>
      </c>
      <c r="Q307" s="14" t="str">
        <v/>
      </c>
      <c r="R307" s="15">
        <v>50</v>
      </c>
    </row>
    <row r="308" spans="2:18" x14ac:dyDescent="0.35">
      <c r="B308" s="9">
        <v>2323</v>
      </c>
      <c r="C308" s="9" t="str">
        <v>가용재고</v>
      </c>
      <c r="D308" s="9" t="str">
        <v/>
      </c>
      <c r="E308" s="9" t="str">
        <v/>
      </c>
      <c r="F308" s="9" t="str">
        <v/>
      </c>
      <c r="G308" s="9" t="str">
        <v/>
      </c>
      <c r="H308" s="9" t="str">
        <v>RA-04V-1108</v>
      </c>
      <c r="I308" s="11" t="str">
        <v>RA-04V-1108]BRK ARM RIGID R</v>
      </c>
      <c r="J308" s="9">
        <v>50</v>
      </c>
      <c r="K308" s="9" t="str">
        <v/>
      </c>
      <c r="L308" s="9" t="str">
        <v>B1-6</v>
      </c>
      <c r="M308" s="12">
        <v>46302</v>
      </c>
      <c r="N308" s="5" t="str">
        <v/>
      </c>
      <c r="O308" s="5" t="str">
        <v/>
      </c>
      <c r="P308" s="5" t="str">
        <v/>
      </c>
      <c r="Q308" s="14" t="str">
        <v/>
      </c>
      <c r="R308" s="15">
        <v>50</v>
      </c>
    </row>
    <row r="309" spans="2:18" x14ac:dyDescent="0.35">
      <c r="B309" s="9">
        <v>2342</v>
      </c>
      <c r="C309" s="9" t="str">
        <v>가용재고</v>
      </c>
      <c r="D309" s="9" t="str">
        <v/>
      </c>
      <c r="E309" s="9" t="str">
        <v>입고</v>
      </c>
      <c r="F309" s="9" t="str">
        <v>하이크로봇</v>
      </c>
      <c r="G309" s="9" t="str">
        <v>장동은</v>
      </c>
      <c r="H309" s="9" t="str">
        <v>RF-01S-5085</v>
      </c>
      <c r="I309" s="11" t="str">
        <v>RF-01S-5085]FACE CAM</v>
      </c>
      <c r="J309" s="9">
        <v>50</v>
      </c>
      <c r="K309" s="9" t="str">
        <v/>
      </c>
      <c r="L309" s="9" t="str">
        <v>3F9</v>
      </c>
      <c r="M309" s="12">
        <v>46293</v>
      </c>
      <c r="N309" s="5" t="str">
        <v/>
      </c>
      <c r="O309" s="5" t="str">
        <v/>
      </c>
      <c r="P309" s="5" t="str">
        <v/>
      </c>
      <c r="Q309" s="14" t="str">
        <v/>
      </c>
      <c r="R309" s="15">
        <v>50</v>
      </c>
    </row>
    <row r="310" spans="2:18" x14ac:dyDescent="0.35">
      <c r="B310" s="9">
        <v>2405</v>
      </c>
      <c r="C310" s="9" t="str">
        <v>가용재고</v>
      </c>
      <c r="D310" s="9" t="str">
        <v/>
      </c>
      <c r="E310" s="9" t="str">
        <v/>
      </c>
      <c r="F310" s="9" t="str">
        <v/>
      </c>
      <c r="G310" s="9" t="str">
        <v/>
      </c>
      <c r="H310" s="9" t="str">
        <v>RA-07S-1653</v>
      </c>
      <c r="I310" s="11" t="str">
        <v>RA-07S-1653]LM SET(MGN9C-2-240) (VA)</v>
      </c>
      <c r="J310" s="9">
        <v>50</v>
      </c>
      <c r="K310" s="9" t="str">
        <v/>
      </c>
      <c r="L310" s="9" t="str">
        <v>J3-1</v>
      </c>
      <c r="M310" s="12">
        <v>46301</v>
      </c>
      <c r="N310" s="5" t="str">
        <v/>
      </c>
      <c r="O310" s="5" t="str">
        <v/>
      </c>
      <c r="P310" s="5" t="str">
        <v/>
      </c>
      <c r="Q310" s="14" t="str">
        <v/>
      </c>
      <c r="R310" s="15">
        <v>50</v>
      </c>
    </row>
    <row r="311" spans="2:18" x14ac:dyDescent="0.35">
      <c r="B311" s="9">
        <v>955</v>
      </c>
      <c r="C311" s="9" t="str">
        <v>가용재고</v>
      </c>
      <c r="D311" s="9" t="str">
        <v/>
      </c>
      <c r="E311" s="9" t="str">
        <v>기초</v>
      </c>
      <c r="F311" s="9" t="str">
        <v/>
      </c>
      <c r="G311" s="9" t="str">
        <v/>
      </c>
      <c r="H311" s="9" t="str">
        <v>RA-04T-3894</v>
      </c>
      <c r="I311" s="11" t="str">
        <v>RA-04T-3894]CAS CHINREST BOT (MG)</v>
      </c>
      <c r="J311" s="9">
        <v>51</v>
      </c>
      <c r="K311" s="9" t="str">
        <v/>
      </c>
      <c r="L311" s="9" t="str">
        <v>4F CASE</v>
      </c>
      <c r="M311" s="12">
        <v>46276</v>
      </c>
      <c r="N311" s="5" t="str">
        <v/>
      </c>
      <c r="O311" s="5" t="str">
        <v/>
      </c>
      <c r="P311" s="5" t="str">
        <v/>
      </c>
      <c r="Q311" s="14" t="str">
        <v/>
      </c>
      <c r="R311" s="15">
        <v>51</v>
      </c>
    </row>
    <row r="312" spans="2:18" x14ac:dyDescent="0.35">
      <c r="B312" s="9">
        <v>956</v>
      </c>
      <c r="C312" s="9" t="str">
        <v>가용재고</v>
      </c>
      <c r="D312" s="9" t="str">
        <v/>
      </c>
      <c r="E312" s="9" t="str">
        <v>기초</v>
      </c>
      <c r="F312" s="9" t="str">
        <v/>
      </c>
      <c r="G312" s="9" t="str">
        <v/>
      </c>
      <c r="H312" s="9" t="str">
        <v>RA-07T-3959</v>
      </c>
      <c r="I312" s="11" t="str">
        <v>RA-07T-3959]CAS DET UPPER (MG)</v>
      </c>
      <c r="J312" s="9">
        <v>51</v>
      </c>
      <c r="K312" s="9" t="str">
        <v/>
      </c>
      <c r="L312" s="9" t="str">
        <v>4F CASE</v>
      </c>
      <c r="M312" s="12">
        <v>46276</v>
      </c>
      <c r="N312" s="5" t="str">
        <v/>
      </c>
      <c r="O312" s="5" t="str">
        <v/>
      </c>
      <c r="P312" s="5" t="str">
        <v/>
      </c>
      <c r="Q312" s="14" t="str">
        <v/>
      </c>
      <c r="R312" s="15">
        <v>51</v>
      </c>
    </row>
    <row r="313" spans="2:18" x14ac:dyDescent="0.35">
      <c r="B313" s="9">
        <v>957</v>
      </c>
      <c r="C313" s="9" t="str">
        <v>가용재고</v>
      </c>
      <c r="D313" s="9" t="str">
        <v/>
      </c>
      <c r="E313" s="9" t="str">
        <v>기초</v>
      </c>
      <c r="F313" s="9" t="str">
        <v/>
      </c>
      <c r="G313" s="9" t="str">
        <v/>
      </c>
      <c r="H313" s="9" t="str">
        <v>RA-09T-3986</v>
      </c>
      <c r="I313" s="11" t="str">
        <v>RA-09T-3986]CAS TOP CT HEADREST (MG)</v>
      </c>
      <c r="J313" s="9">
        <v>51</v>
      </c>
      <c r="K313" s="9" t="str">
        <v/>
      </c>
      <c r="L313" s="9" t="str">
        <v>4F CASE</v>
      </c>
      <c r="M313" s="12">
        <v>46276</v>
      </c>
      <c r="N313" s="5" t="str">
        <v/>
      </c>
      <c r="O313" s="5" t="str">
        <v/>
      </c>
      <c r="P313" s="5" t="str">
        <v/>
      </c>
      <c r="Q313" s="14" t="str">
        <v/>
      </c>
      <c r="R313" s="15">
        <v>51</v>
      </c>
    </row>
    <row r="314" spans="2:18" x14ac:dyDescent="0.35">
      <c r="B314" s="9">
        <v>959</v>
      </c>
      <c r="C314" s="9" t="str">
        <v>가용재고</v>
      </c>
      <c r="D314" s="9" t="str">
        <v/>
      </c>
      <c r="E314" s="9" t="str">
        <v>기초</v>
      </c>
      <c r="F314" s="9" t="str">
        <v/>
      </c>
      <c r="G314" s="9" t="str">
        <v/>
      </c>
      <c r="H314" s="9" t="str">
        <v>RA-06T-3948</v>
      </c>
      <c r="I314" s="11" t="str">
        <v>RA-06T-3948]CAS TUBE TNK REAR (MG)</v>
      </c>
      <c r="J314" s="9">
        <v>52</v>
      </c>
      <c r="K314" s="9" t="str">
        <v/>
      </c>
      <c r="L314" s="9" t="str">
        <v>4F CASE</v>
      </c>
      <c r="M314" s="12">
        <v>46276</v>
      </c>
      <c r="N314" s="5" t="str">
        <v/>
      </c>
      <c r="O314" s="5" t="str">
        <v/>
      </c>
      <c r="P314" s="5" t="str">
        <v/>
      </c>
      <c r="Q314" s="14" t="str">
        <v/>
      </c>
      <c r="R314" s="15">
        <v>52</v>
      </c>
    </row>
    <row r="315" spans="2:18" x14ac:dyDescent="0.35">
      <c r="B315" s="9">
        <v>960</v>
      </c>
      <c r="C315" s="9" t="str">
        <v>가용재고</v>
      </c>
      <c r="D315" s="9" t="str">
        <v/>
      </c>
      <c r="E315" s="9" t="str">
        <v>기초</v>
      </c>
      <c r="F315" s="9" t="str">
        <v/>
      </c>
      <c r="G315" s="9" t="str">
        <v/>
      </c>
      <c r="H315" s="9" t="str">
        <v>RA-03T-3871</v>
      </c>
      <c r="I315" s="11" t="str">
        <v>RA-03T-3871]CAS CLMN BODY LWR R (MG)</v>
      </c>
      <c r="J315" s="9">
        <v>53</v>
      </c>
      <c r="K315" s="9" t="str">
        <v/>
      </c>
      <c r="L315" s="9" t="str">
        <v>4F CASE</v>
      </c>
      <c r="M315" s="12">
        <v>46276</v>
      </c>
      <c r="N315" s="5" t="str">
        <v/>
      </c>
      <c r="O315" s="5" t="str">
        <v/>
      </c>
      <c r="P315" s="5" t="str">
        <v/>
      </c>
      <c r="Q315" s="14" t="str">
        <v/>
      </c>
      <c r="R315" s="15">
        <v>53</v>
      </c>
    </row>
    <row r="316" spans="2:18" x14ac:dyDescent="0.35">
      <c r="B316" s="9">
        <v>961</v>
      </c>
      <c r="C316" s="9" t="str">
        <v>가용재고</v>
      </c>
      <c r="D316" s="9" t="str">
        <v/>
      </c>
      <c r="E316" s="9" t="str">
        <v>기초</v>
      </c>
      <c r="F316" s="9" t="str">
        <v/>
      </c>
      <c r="G316" s="9" t="str">
        <v/>
      </c>
      <c r="H316" s="9" t="str">
        <v>RA-04M-3897</v>
      </c>
      <c r="I316" s="11" t="str">
        <v>RA-04M-3897]PLT DECO KNOB CHINREST (MG)</v>
      </c>
      <c r="J316" s="9">
        <v>54</v>
      </c>
      <c r="K316" s="9" t="str">
        <v/>
      </c>
      <c r="L316" s="9" t="str">
        <v>N2-2</v>
      </c>
      <c r="M316" s="12">
        <v>46276</v>
      </c>
      <c r="N316" s="5" t="str">
        <v/>
      </c>
      <c r="O316" s="5" t="str">
        <v/>
      </c>
      <c r="P316" s="5" t="str">
        <v/>
      </c>
      <c r="Q316" s="14" t="str">
        <v/>
      </c>
      <c r="R316" s="15">
        <v>54</v>
      </c>
    </row>
    <row r="317" spans="2:18" x14ac:dyDescent="0.35">
      <c r="B317" s="9">
        <v>962</v>
      </c>
      <c r="C317" s="9" t="str">
        <v>가용재고</v>
      </c>
      <c r="D317" s="9" t="str">
        <v/>
      </c>
      <c r="E317" s="9" t="str">
        <v>기초</v>
      </c>
      <c r="F317" s="9" t="str">
        <v/>
      </c>
      <c r="G317" s="9" t="str">
        <v/>
      </c>
      <c r="H317" s="9" t="str">
        <v>RA-04T-3888</v>
      </c>
      <c r="I317" s="11" t="str">
        <v>RA-04T-3888]CAS HANDLE REAR (MG)</v>
      </c>
      <c r="J317" s="9">
        <v>54</v>
      </c>
      <c r="K317" s="9" t="str">
        <v/>
      </c>
      <c r="L317" s="9" t="str">
        <v>4F CASE</v>
      </c>
      <c r="M317" s="12">
        <v>46276</v>
      </c>
      <c r="N317" s="5" t="str">
        <v/>
      </c>
      <c r="O317" s="5" t="str">
        <v/>
      </c>
      <c r="P317" s="5" t="str">
        <v/>
      </c>
      <c r="Q317" s="14" t="str">
        <v/>
      </c>
      <c r="R317" s="15">
        <v>54</v>
      </c>
    </row>
    <row r="318" spans="2:18" x14ac:dyDescent="0.35">
      <c r="B318" s="9">
        <v>1907</v>
      </c>
      <c r="C318" s="9" t="str">
        <v>가용재고</v>
      </c>
      <c r="D318" s="9" t="str">
        <v/>
      </c>
      <c r="E318" s="9" t="str">
        <v/>
      </c>
      <c r="F318" s="9" t="str">
        <v/>
      </c>
      <c r="G318" s="9" t="str">
        <v/>
      </c>
      <c r="H318" s="9" t="str">
        <v>RA-06A-3314</v>
      </c>
      <c r="I318" s="11" t="str">
        <v>RA-06A-3314]ASM TUBE TNK SUP (ST)</v>
      </c>
      <c r="J318" s="9">
        <v>54</v>
      </c>
      <c r="K318" s="9" t="str">
        <v/>
      </c>
      <c r="L318" s="9" t="str">
        <v>O1</v>
      </c>
      <c r="M318" s="12">
        <v>46295</v>
      </c>
      <c r="N318" s="5" t="str">
        <v/>
      </c>
      <c r="O318" s="5" t="str">
        <v/>
      </c>
      <c r="P318" s="5" t="str">
        <v/>
      </c>
      <c r="Q318" s="14" t="str">
        <v/>
      </c>
      <c r="R318" s="15">
        <v>54</v>
      </c>
    </row>
    <row r="319" spans="2:18" x14ac:dyDescent="0.35">
      <c r="B319" s="9">
        <v>2328</v>
      </c>
      <c r="C319" s="9" t="str">
        <v>가용재고</v>
      </c>
      <c r="D319" s="9" t="str">
        <v/>
      </c>
      <c r="E319" s="9" t="str">
        <v/>
      </c>
      <c r="F319" s="9" t="str">
        <v/>
      </c>
      <c r="G319" s="9" t="str">
        <v/>
      </c>
      <c r="H319" s="9" t="str">
        <v>RA-3-5</v>
      </c>
      <c r="I319" s="11" t="str">
        <v>RA-3-5]INDICATOR</v>
      </c>
      <c r="J319" s="9">
        <v>55</v>
      </c>
      <c r="K319" s="9" t="str">
        <v/>
      </c>
      <c r="L319" s="9" t="str">
        <v>G1-1</v>
      </c>
      <c r="M319" s="12">
        <v>46302</v>
      </c>
      <c r="N319" s="5" t="str">
        <v/>
      </c>
      <c r="O319" s="5" t="str">
        <v/>
      </c>
      <c r="P319" s="5" t="str">
        <v/>
      </c>
      <c r="Q319" s="14" t="str">
        <v/>
      </c>
      <c r="R319" s="15">
        <v>55</v>
      </c>
    </row>
    <row r="320" spans="2:18" x14ac:dyDescent="0.35">
      <c r="B320" s="9">
        <v>963</v>
      </c>
      <c r="C320" s="9" t="str">
        <v>가용재고</v>
      </c>
      <c r="D320" s="9" t="str">
        <v/>
      </c>
      <c r="E320" s="9" t="str">
        <v>기초</v>
      </c>
      <c r="F320" s="9" t="str">
        <v/>
      </c>
      <c r="G320" s="9" t="str">
        <v/>
      </c>
      <c r="H320" s="9" t="str">
        <v>RA-07T-3960</v>
      </c>
      <c r="I320" s="11" t="str">
        <v>RA-07T-3960]CAS DET FRONT (MG)</v>
      </c>
      <c r="J320" s="9">
        <v>56</v>
      </c>
      <c r="K320" s="9" t="str">
        <v/>
      </c>
      <c r="L320" s="9" t="str">
        <v>4F CASE</v>
      </c>
      <c r="M320" s="12">
        <v>46276</v>
      </c>
      <c r="N320" s="5" t="str">
        <v/>
      </c>
      <c r="O320" s="5" t="str">
        <v/>
      </c>
      <c r="P320" s="5" t="str">
        <v/>
      </c>
      <c r="Q320" s="14" t="str">
        <v/>
      </c>
      <c r="R320" s="15">
        <v>56</v>
      </c>
    </row>
    <row r="321" spans="2:18" x14ac:dyDescent="0.35">
      <c r="B321" s="9">
        <v>2341</v>
      </c>
      <c r="C321" s="9" t="str">
        <v>가용재고</v>
      </c>
      <c r="D321" s="9" t="str">
        <v/>
      </c>
      <c r="E321" s="9" t="str">
        <v/>
      </c>
      <c r="F321" s="9" t="str">
        <v/>
      </c>
      <c r="G321" s="9" t="str">
        <v/>
      </c>
      <c r="H321" s="9" t="str">
        <v>RA-06A-5004</v>
      </c>
      <c r="I321" s="11" t="str">
        <v>RA-06A-5004]Bd ASSY'-Indicator Bd</v>
      </c>
      <c r="J321" s="9">
        <v>56</v>
      </c>
      <c r="K321" s="9" t="str">
        <v/>
      </c>
      <c r="L321" s="9" t="str">
        <v>A1-5</v>
      </c>
      <c r="M321" s="12">
        <v>46302</v>
      </c>
      <c r="N321" s="5" t="str">
        <v/>
      </c>
      <c r="O321" s="5" t="str">
        <v/>
      </c>
      <c r="P321" s="5" t="str">
        <v/>
      </c>
      <c r="Q321" s="14" t="str">
        <v/>
      </c>
      <c r="R321" s="15">
        <v>56</v>
      </c>
    </row>
    <row r="322" spans="2:18" x14ac:dyDescent="0.35">
      <c r="B322" s="9">
        <v>2525</v>
      </c>
      <c r="C322" s="9" t="str">
        <v>가용재고</v>
      </c>
      <c r="D322" s="9" t="str">
        <v/>
      </c>
      <c r="E322" s="9" t="str">
        <v/>
      </c>
      <c r="F322" s="9" t="str">
        <v/>
      </c>
      <c r="G322" s="9" t="str">
        <v/>
      </c>
      <c r="H322" s="9" t="str">
        <v>RA-04A-1926</v>
      </c>
      <c r="I322" s="11" t="str">
        <v>RA-04A-1926]ASM CHINREST SUB</v>
      </c>
      <c r="J322" s="9">
        <v>56</v>
      </c>
      <c r="K322" s="9" t="str">
        <v/>
      </c>
      <c r="L322" s="9" t="str">
        <v>O2</v>
      </c>
      <c r="M322" s="12">
        <v>46308</v>
      </c>
      <c r="N322" s="5" t="str">
        <v/>
      </c>
      <c r="O322" s="5" t="str">
        <v/>
      </c>
      <c r="P322" s="5" t="str">
        <v/>
      </c>
      <c r="Q322" s="14" t="str">
        <v/>
      </c>
      <c r="R322" s="15">
        <v>56</v>
      </c>
    </row>
    <row r="323" spans="2:18" x14ac:dyDescent="0.35">
      <c r="B323" s="9">
        <v>1839</v>
      </c>
      <c r="C323" s="9" t="str">
        <v>가용재고</v>
      </c>
      <c r="D323" s="9" t="str">
        <v/>
      </c>
      <c r="E323" s="9" t="str">
        <v/>
      </c>
      <c r="F323" s="9" t="str">
        <v/>
      </c>
      <c r="G323" s="9" t="str">
        <v/>
      </c>
      <c r="H323" s="9" t="str">
        <v>RA-06V-0230</v>
      </c>
      <c r="I323" s="11" t="str">
        <v>RA-06V-0230]BRK FAN SUP</v>
      </c>
      <c r="J323" s="9">
        <v>58</v>
      </c>
      <c r="K323" s="9" t="str">
        <v/>
      </c>
      <c r="L323" s="9" t="str">
        <v>I3-3</v>
      </c>
      <c r="M323" s="12">
        <v>46295</v>
      </c>
      <c r="N323" s="5" t="str">
        <v/>
      </c>
      <c r="O323" s="5" t="str">
        <v/>
      </c>
      <c r="P323" s="5" t="str">
        <v/>
      </c>
      <c r="Q323" s="14" t="str">
        <v/>
      </c>
      <c r="R323" s="15">
        <v>58</v>
      </c>
    </row>
    <row r="324" spans="2:18" x14ac:dyDescent="0.35">
      <c r="B324" s="9">
        <v>965</v>
      </c>
      <c r="C324" s="9" t="str">
        <v>가용재고</v>
      </c>
      <c r="D324" s="9" t="str">
        <v/>
      </c>
      <c r="E324" s="9" t="str">
        <v>기초</v>
      </c>
      <c r="F324" s="9" t="str">
        <v/>
      </c>
      <c r="G324" s="9" t="str">
        <v/>
      </c>
      <c r="H324" s="9" t="str">
        <v>RA-02T-3843</v>
      </c>
      <c r="I324" s="11" t="str">
        <v>RA-02T-3843]CAS VERT SUB BOT (MG)</v>
      </c>
      <c r="J324" s="9">
        <v>59</v>
      </c>
      <c r="K324" s="9" t="str">
        <v/>
      </c>
      <c r="L324" s="9" t="str">
        <v>4F CASE</v>
      </c>
      <c r="M324" s="12">
        <v>46276</v>
      </c>
      <c r="N324" s="5" t="str">
        <v/>
      </c>
      <c r="O324" s="5" t="str">
        <v/>
      </c>
      <c r="P324" s="5" t="str">
        <v/>
      </c>
      <c r="Q324" s="14" t="str">
        <v/>
      </c>
      <c r="R324" s="15">
        <v>59</v>
      </c>
    </row>
    <row r="325" spans="2:18" x14ac:dyDescent="0.35">
      <c r="B325" s="9">
        <v>966</v>
      </c>
      <c r="C325" s="9" t="str">
        <v>가용재고</v>
      </c>
      <c r="D325" s="9" t="str">
        <v/>
      </c>
      <c r="E325" s="9" t="str">
        <v>기초</v>
      </c>
      <c r="F325" s="9" t="str">
        <v/>
      </c>
      <c r="G325" s="9" t="str">
        <v/>
      </c>
      <c r="H325" s="9" t="str">
        <v>RA-04V-3886</v>
      </c>
      <c r="I325" s="11" t="str">
        <v/>
      </c>
      <c r="J325" s="9">
        <v>60</v>
      </c>
      <c r="K325" s="9" t="str">
        <v/>
      </c>
      <c r="L325" s="9" t="str">
        <v>N1-3</v>
      </c>
      <c r="M325" s="12">
        <v>46276</v>
      </c>
      <c r="N325" s="5" t="str">
        <v/>
      </c>
      <c r="O325" s="5" t="str">
        <v/>
      </c>
      <c r="P325" s="5" t="str">
        <v/>
      </c>
      <c r="Q325" s="14" t="str">
        <v/>
      </c>
      <c r="R325" s="15">
        <v>60</v>
      </c>
    </row>
    <row r="326" spans="2:18" x14ac:dyDescent="0.35">
      <c r="B326" s="9">
        <v>967</v>
      </c>
      <c r="C326" s="9" t="str">
        <v>가용재고</v>
      </c>
      <c r="D326" s="9" t="str">
        <v/>
      </c>
      <c r="E326" s="9" t="str">
        <v>기초</v>
      </c>
      <c r="F326" s="9" t="str">
        <v/>
      </c>
      <c r="G326" s="9" t="str">
        <v/>
      </c>
      <c r="H326" s="9" t="str">
        <v>RA-15-4</v>
      </c>
      <c r="I326" s="11" t="str">
        <v>RA-15-4]Lamp DRV CON Power</v>
      </c>
      <c r="J326" s="9">
        <v>60</v>
      </c>
      <c r="K326" s="9" t="str">
        <v/>
      </c>
      <c r="L326" s="9" t="str">
        <v>G2-6</v>
      </c>
      <c r="M326" s="12">
        <v>46276</v>
      </c>
      <c r="N326" s="5" t="str">
        <v/>
      </c>
      <c r="O326" s="5" t="str">
        <v/>
      </c>
      <c r="P326" s="5" t="str">
        <v/>
      </c>
      <c r="Q326" s="14" t="str">
        <v/>
      </c>
      <c r="R326" s="15">
        <v>60</v>
      </c>
    </row>
    <row r="327" spans="2:18" x14ac:dyDescent="0.35">
      <c r="B327" s="9">
        <v>1977</v>
      </c>
      <c r="C327" s="9" t="str">
        <v>가용재고</v>
      </c>
      <c r="D327" s="9" t="str">
        <v/>
      </c>
      <c r="E327" s="9" t="str">
        <v>입고</v>
      </c>
      <c r="F327" s="9" t="str">
        <v>A&amp;T</v>
      </c>
      <c r="G327" s="9" t="str">
        <v>장동은</v>
      </c>
      <c r="H327" s="9" t="str">
        <v>RA-06M-3312</v>
      </c>
      <c r="I327" s="11" t="str">
        <v>RA-06M-3312]BLK TUBE TNK ANGLE (ST)</v>
      </c>
      <c r="J327" s="9">
        <v>60</v>
      </c>
      <c r="K327" s="9" t="str">
        <v/>
      </c>
      <c r="L327" s="9" t="str">
        <v>H2-3</v>
      </c>
      <c r="M327" s="12">
        <v>46301</v>
      </c>
      <c r="N327" s="5" t="str">
        <v/>
      </c>
      <c r="O327" s="5" t="str">
        <v/>
      </c>
      <c r="P327" s="5" t="str">
        <v/>
      </c>
      <c r="Q327" s="14" t="str">
        <v/>
      </c>
      <c r="R327" s="15">
        <v>60</v>
      </c>
    </row>
    <row r="328" spans="2:18" x14ac:dyDescent="0.35">
      <c r="B328" s="9">
        <v>2278</v>
      </c>
      <c r="C328" s="9" t="str">
        <v>가용재고</v>
      </c>
      <c r="D328" s="9" t="str">
        <v/>
      </c>
      <c r="E328" s="9" t="str">
        <v/>
      </c>
      <c r="F328" s="9" t="str">
        <v/>
      </c>
      <c r="G328" s="9" t="str">
        <v/>
      </c>
      <c r="H328" s="9" t="str">
        <v>RA-09A-1940</v>
      </c>
      <c r="I328" s="11" t="str">
        <v>RA-09A-1940]ASM REMOTE(α)</v>
      </c>
      <c r="J328" s="9">
        <v>60</v>
      </c>
      <c r="K328" s="9" t="str">
        <v/>
      </c>
      <c r="L328" s="9" t="str">
        <v>A13-1</v>
      </c>
      <c r="M328" s="12">
        <v>46303</v>
      </c>
      <c r="N328" s="5" t="str">
        <v/>
      </c>
      <c r="O328" s="5" t="str">
        <v/>
      </c>
      <c r="P328" s="5" t="str">
        <v/>
      </c>
      <c r="Q328" s="14" t="str">
        <v/>
      </c>
      <c r="R328" s="15">
        <v>60</v>
      </c>
    </row>
    <row r="329" spans="2:18" x14ac:dyDescent="0.35">
      <c r="B329" s="9">
        <v>2345</v>
      </c>
      <c r="C329" s="9" t="str">
        <v>가용재고</v>
      </c>
      <c r="D329" s="9" t="str">
        <v/>
      </c>
      <c r="E329" s="9" t="str">
        <v>입고</v>
      </c>
      <c r="F329" s="9" t="str">
        <v>하이크로봇</v>
      </c>
      <c r="G329" s="9" t="str">
        <v>장동은</v>
      </c>
      <c r="H329" s="9" t="str">
        <v>RF-01S-5084</v>
      </c>
      <c r="I329" s="11" t="str">
        <v>RF-01S-5084]CAM Trigger_C harness</v>
      </c>
      <c r="J329" s="9">
        <v>60</v>
      </c>
      <c r="K329" s="9" t="str">
        <v/>
      </c>
      <c r="L329" s="9" t="str">
        <v>3L3-2</v>
      </c>
      <c r="M329" s="12">
        <v>46293</v>
      </c>
      <c r="N329" s="5" t="str">
        <v/>
      </c>
      <c r="O329" s="5" t="str">
        <v/>
      </c>
      <c r="P329" s="5" t="str">
        <v/>
      </c>
      <c r="Q329" s="14" t="str">
        <v/>
      </c>
      <c r="R329" s="15">
        <v>60</v>
      </c>
    </row>
    <row r="330" spans="2:18" x14ac:dyDescent="0.35">
      <c r="B330" s="9">
        <v>968</v>
      </c>
      <c r="C330" s="9" t="str">
        <v>가용재고</v>
      </c>
      <c r="D330" s="9" t="str">
        <v/>
      </c>
      <c r="E330" s="9" t="str">
        <v>기초</v>
      </c>
      <c r="F330" s="9" t="str">
        <v/>
      </c>
      <c r="G330" s="9" t="str">
        <v/>
      </c>
      <c r="H330" s="9" t="str">
        <v>RA-03T-3869</v>
      </c>
      <c r="I330" s="11" t="str">
        <v>RA-03T-3869]CAS LASER BEAM LEVER (MG)</v>
      </c>
      <c r="J330" s="9">
        <v>61</v>
      </c>
      <c r="K330" s="9" t="str">
        <v/>
      </c>
      <c r="L330" s="9" t="str">
        <v>4F CASE</v>
      </c>
      <c r="M330" s="12">
        <v>46276</v>
      </c>
      <c r="N330" s="5" t="str">
        <v/>
      </c>
      <c r="O330" s="5" t="str">
        <v/>
      </c>
      <c r="P330" s="5" t="str">
        <v/>
      </c>
      <c r="Q330" s="14" t="str">
        <v/>
      </c>
      <c r="R330" s="15">
        <v>61</v>
      </c>
    </row>
    <row r="331" spans="2:18" x14ac:dyDescent="0.35">
      <c r="B331" s="9">
        <v>969</v>
      </c>
      <c r="C331" s="9" t="str">
        <v>가용재고</v>
      </c>
      <c r="D331" s="9" t="str">
        <v/>
      </c>
      <c r="E331" s="9" t="str">
        <v>기초</v>
      </c>
      <c r="F331" s="9" t="str">
        <v/>
      </c>
      <c r="G331" s="9" t="str">
        <v/>
      </c>
      <c r="H331" s="9" t="str">
        <v>RA-06T-3938</v>
      </c>
      <c r="I331" s="11" t="str">
        <v>RA-06T-3938]CAS TUBE TNK FAN (MG)</v>
      </c>
      <c r="J331" s="9">
        <v>61</v>
      </c>
      <c r="K331" s="9" t="str">
        <v/>
      </c>
      <c r="L331" s="9" t="str">
        <v>4F CASE</v>
      </c>
      <c r="M331" s="12">
        <v>46276</v>
      </c>
      <c r="N331" s="5" t="str">
        <v/>
      </c>
      <c r="O331" s="5" t="str">
        <v/>
      </c>
      <c r="P331" s="5" t="str">
        <v/>
      </c>
      <c r="Q331" s="14" t="str">
        <v/>
      </c>
      <c r="R331" s="15">
        <v>61</v>
      </c>
    </row>
    <row r="332" spans="2:18" x14ac:dyDescent="0.35">
      <c r="B332" s="9">
        <v>2527</v>
      </c>
      <c r="C332" s="9" t="str">
        <v>가용재고</v>
      </c>
      <c r="D332" s="9" t="str">
        <v/>
      </c>
      <c r="E332" s="9" t="str">
        <v/>
      </c>
      <c r="F332" s="9" t="str">
        <v/>
      </c>
      <c r="G332" s="9" t="str">
        <v/>
      </c>
      <c r="H332" s="9" t="str">
        <v>RA-04M-1339</v>
      </c>
      <c r="I332" s="11" t="str">
        <v>RA-04M-1339]BLK HEADREST FIX BAR-R</v>
      </c>
      <c r="J332" s="9">
        <v>61</v>
      </c>
      <c r="K332" s="9" t="str">
        <v/>
      </c>
      <c r="L332" s="9" t="str">
        <v>B1-5</v>
      </c>
      <c r="M332" s="12">
        <v>46308</v>
      </c>
      <c r="N332" s="5" t="str">
        <v/>
      </c>
      <c r="O332" s="5" t="str">
        <v/>
      </c>
      <c r="P332" s="5" t="str">
        <v/>
      </c>
      <c r="Q332" s="14" t="str">
        <v/>
      </c>
      <c r="R332" s="15">
        <v>61</v>
      </c>
    </row>
    <row r="333" spans="2:18" x14ac:dyDescent="0.35">
      <c r="B333" s="9">
        <v>439</v>
      </c>
      <c r="C333" s="9" t="str">
        <v>가용재고</v>
      </c>
      <c r="D333" s="9" t="str">
        <v/>
      </c>
      <c r="E333" s="9" t="str">
        <v/>
      </c>
      <c r="F333" s="9" t="str">
        <v/>
      </c>
      <c r="G333" s="9" t="str">
        <v/>
      </c>
      <c r="H333" s="9" t="str">
        <v>RF-01H-5056</v>
      </c>
      <c r="I333" s="11" t="str">
        <v>RF-01H-5056]LED PWM harness</v>
      </c>
      <c r="J333" s="9">
        <v>62</v>
      </c>
      <c r="K333" s="9" t="str">
        <v/>
      </c>
      <c r="L333" s="9" t="str">
        <v>3S3-4</v>
      </c>
      <c r="M333" s="12">
        <v>46259</v>
      </c>
      <c r="N333" s="5" t="str">
        <v/>
      </c>
      <c r="O333" s="5" t="str">
        <v/>
      </c>
      <c r="P333" s="5" t="str">
        <v/>
      </c>
      <c r="Q333" s="14" t="str">
        <v/>
      </c>
      <c r="R333" s="15">
        <v>62</v>
      </c>
    </row>
    <row r="334" spans="2:18" x14ac:dyDescent="0.35">
      <c r="B334" s="9">
        <v>971</v>
      </c>
      <c r="C334" s="9" t="str">
        <v>가용재고</v>
      </c>
      <c r="D334" s="9" t="str">
        <v/>
      </c>
      <c r="E334" s="9" t="str">
        <v>기초</v>
      </c>
      <c r="F334" s="9" t="str">
        <v/>
      </c>
      <c r="G334" s="9" t="str">
        <v/>
      </c>
      <c r="H334" s="9" t="str">
        <v>RA-05V-3802</v>
      </c>
      <c r="I334" s="11" t="str">
        <v>RA-05V-3802]PLT ROT BOT CAS (MG)</v>
      </c>
      <c r="J334" s="9">
        <v>62</v>
      </c>
      <c r="K334" s="9" t="str">
        <v/>
      </c>
      <c r="L334" s="9" t="str">
        <v>N1-1</v>
      </c>
      <c r="M334" s="12">
        <v>46276</v>
      </c>
      <c r="N334" s="5" t="str">
        <v/>
      </c>
      <c r="O334" s="5" t="str">
        <v/>
      </c>
      <c r="P334" s="5" t="str">
        <v/>
      </c>
      <c r="Q334" s="14" t="str">
        <v/>
      </c>
      <c r="R334" s="15">
        <v>62</v>
      </c>
    </row>
    <row r="335" spans="2:18" x14ac:dyDescent="0.35">
      <c r="B335" s="9">
        <v>1695</v>
      </c>
      <c r="C335" s="9" t="str">
        <v>가용재고</v>
      </c>
      <c r="D335" s="9" t="str">
        <v/>
      </c>
      <c r="E335" s="9" t="str">
        <v/>
      </c>
      <c r="F335" s="9" t="str">
        <v/>
      </c>
      <c r="G335" s="9" t="str">
        <v/>
      </c>
      <c r="H335" s="9" t="str">
        <v>RA-05V-2651</v>
      </c>
      <c r="I335" s="11" t="str">
        <v>RA-05V-2651]BRK HARNESS CLAMP</v>
      </c>
      <c r="J335" s="9">
        <v>62</v>
      </c>
      <c r="K335" s="9" t="str">
        <v/>
      </c>
      <c r="L335" s="9" t="str">
        <v>J4-1</v>
      </c>
      <c r="M335" s="12">
        <v>46279</v>
      </c>
      <c r="N335" s="5" t="str">
        <v/>
      </c>
      <c r="O335" s="5" t="str">
        <v/>
      </c>
      <c r="P335" s="5" t="str">
        <v/>
      </c>
      <c r="Q335" s="14" t="str">
        <v/>
      </c>
      <c r="R335" s="15">
        <v>62</v>
      </c>
    </row>
    <row r="336" spans="2:18" x14ac:dyDescent="0.35">
      <c r="B336" s="9">
        <v>972</v>
      </c>
      <c r="C336" s="9" t="str">
        <v>가용재고</v>
      </c>
      <c r="D336" s="9" t="str">
        <v/>
      </c>
      <c r="E336" s="9" t="str">
        <v>기초</v>
      </c>
      <c r="F336" s="9" t="str">
        <v/>
      </c>
      <c r="G336" s="9" t="str">
        <v/>
      </c>
      <c r="H336" s="9" t="str">
        <v>RA-15-3</v>
      </c>
      <c r="I336" s="11" t="str">
        <v>RA-15-3]Lamp DRV MOT Power</v>
      </c>
      <c r="J336" s="9">
        <v>63</v>
      </c>
      <c r="K336" s="9" t="str">
        <v/>
      </c>
      <c r="L336" s="9" t="str">
        <v>G2-6</v>
      </c>
      <c r="M336" s="12">
        <v>46276</v>
      </c>
      <c r="N336" s="5" t="str">
        <v/>
      </c>
      <c r="O336" s="5" t="str">
        <v/>
      </c>
      <c r="P336" s="5" t="str">
        <v/>
      </c>
      <c r="Q336" s="14" t="str">
        <v/>
      </c>
      <c r="R336" s="15">
        <v>63</v>
      </c>
    </row>
    <row r="337" spans="2:18" x14ac:dyDescent="0.35">
      <c r="B337" s="9">
        <v>2330</v>
      </c>
      <c r="C337" s="9" t="str">
        <v>가용재고</v>
      </c>
      <c r="D337" s="9" t="str">
        <v/>
      </c>
      <c r="E337" s="9" t="str">
        <v/>
      </c>
      <c r="F337" s="9" t="str">
        <v/>
      </c>
      <c r="G337" s="9" t="str">
        <v/>
      </c>
      <c r="H337" s="9" t="str">
        <v>RA-9-8</v>
      </c>
      <c r="I337" s="11" t="str">
        <v>RA-9-8]SERIAL POWER LS 1</v>
      </c>
      <c r="J337" s="9">
        <v>64</v>
      </c>
      <c r="K337" s="9" t="str">
        <v/>
      </c>
      <c r="L337" s="9" t="str">
        <v>G1-3</v>
      </c>
      <c r="M337" s="12">
        <v>46302</v>
      </c>
      <c r="N337" s="5" t="str">
        <v/>
      </c>
      <c r="O337" s="5" t="str">
        <v/>
      </c>
      <c r="P337" s="5" t="str">
        <v/>
      </c>
      <c r="Q337" s="14" t="str">
        <v/>
      </c>
      <c r="R337" s="15">
        <v>64</v>
      </c>
    </row>
    <row r="338" spans="2:18" x14ac:dyDescent="0.35">
      <c r="B338" s="9">
        <v>1321</v>
      </c>
      <c r="C338" s="9" t="str">
        <v>가용재고</v>
      </c>
      <c r="D338" s="9" t="str">
        <v/>
      </c>
      <c r="E338" s="9" t="str">
        <v/>
      </c>
      <c r="F338" s="9" t="str">
        <v/>
      </c>
      <c r="G338" s="9" t="str">
        <v/>
      </c>
      <c r="H338" s="9" t="str">
        <v>RF-20A-0279</v>
      </c>
      <c r="I338" s="11" t="str">
        <v>RF-20A-0279]Mdl DLP PLT</v>
      </c>
      <c r="J338" s="9">
        <v>65</v>
      </c>
      <c r="K338" s="9" t="str">
        <v/>
      </c>
      <c r="L338" s="9" t="str">
        <v>3F2</v>
      </c>
      <c r="M338" s="12">
        <v>46287</v>
      </c>
      <c r="N338" s="5" t="str">
        <v/>
      </c>
      <c r="O338" s="5" t="str">
        <v/>
      </c>
      <c r="P338" s="5" t="str">
        <v/>
      </c>
      <c r="Q338" s="14" t="str">
        <v/>
      </c>
      <c r="R338" s="15">
        <v>65</v>
      </c>
    </row>
    <row r="339" spans="2:18" x14ac:dyDescent="0.35">
      <c r="B339" s="9">
        <v>297</v>
      </c>
      <c r="C339" s="9" t="str">
        <v>가용재고</v>
      </c>
      <c r="D339" s="9" t="str">
        <v/>
      </c>
      <c r="E339" s="9" t="str">
        <v/>
      </c>
      <c r="F339" s="9" t="str">
        <v/>
      </c>
      <c r="G339" s="9" t="str">
        <v/>
      </c>
      <c r="H339" s="9" t="str">
        <v>RA-08M-1225</v>
      </c>
      <c r="I339" s="11" t="str">
        <v>RA-08M-1225]STRIPPER BOLT ROLLER</v>
      </c>
      <c r="J339" s="9">
        <v>66</v>
      </c>
      <c r="K339" s="9" t="str">
        <v/>
      </c>
      <c r="L339" s="9" t="str">
        <v>E1-1</v>
      </c>
      <c r="M339" s="12">
        <v>46232</v>
      </c>
      <c r="N339" s="5" t="str">
        <v/>
      </c>
      <c r="O339" s="5" t="str">
        <v/>
      </c>
      <c r="P339" s="5" t="str">
        <v/>
      </c>
      <c r="Q339" s="14" t="str">
        <v/>
      </c>
      <c r="R339" s="15">
        <v>66</v>
      </c>
    </row>
    <row r="340" spans="2:18" x14ac:dyDescent="0.35">
      <c r="B340" s="9">
        <v>973</v>
      </c>
      <c r="C340" s="9" t="str">
        <v>가용재고</v>
      </c>
      <c r="D340" s="9" t="str">
        <v/>
      </c>
      <c r="E340" s="9" t="str">
        <v>기초</v>
      </c>
      <c r="F340" s="9" t="str">
        <v/>
      </c>
      <c r="G340" s="9" t="str">
        <v/>
      </c>
      <c r="H340" s="9" t="str">
        <v>RA-04T-3883</v>
      </c>
      <c r="I340" s="11" t="str">
        <v>RA-04T-3883]CAS ARM BOT (MG)</v>
      </c>
      <c r="J340" s="9">
        <v>66</v>
      </c>
      <c r="K340" s="9" t="str">
        <v/>
      </c>
      <c r="L340" s="9" t="str">
        <v>4F CASE</v>
      </c>
      <c r="M340" s="12">
        <v>46276</v>
      </c>
      <c r="N340" s="5" t="str">
        <v/>
      </c>
      <c r="O340" s="5" t="str">
        <v/>
      </c>
      <c r="P340" s="5" t="str">
        <v/>
      </c>
      <c r="Q340" s="14" t="str">
        <v/>
      </c>
      <c r="R340" s="15">
        <v>66</v>
      </c>
    </row>
    <row r="341" spans="2:18" x14ac:dyDescent="0.35">
      <c r="B341" s="9">
        <v>1309</v>
      </c>
      <c r="C341" s="9" t="str">
        <v>가용재고</v>
      </c>
      <c r="D341" s="9" t="str">
        <v/>
      </c>
      <c r="E341" s="9" t="str">
        <v/>
      </c>
      <c r="F341" s="9" t="str">
        <v/>
      </c>
      <c r="G341" s="9" t="str">
        <v/>
      </c>
      <c r="H341" s="9" t="str">
        <v>RF-20A-0357</v>
      </c>
      <c r="I341" s="11" t="str">
        <v>MODULE BASE BOTTOM FRAME</v>
      </c>
      <c r="J341" s="9">
        <v>66</v>
      </c>
      <c r="K341" s="9" t="str">
        <v/>
      </c>
      <c r="L341" s="9" t="str">
        <v>3F3</v>
      </c>
      <c r="M341" s="12">
        <v>46287</v>
      </c>
      <c r="N341" s="5" t="str">
        <v/>
      </c>
      <c r="O341" s="5" t="str">
        <v/>
      </c>
      <c r="P341" s="5" t="str">
        <v/>
      </c>
      <c r="Q341" s="14" t="str">
        <v/>
      </c>
      <c r="R341" s="15">
        <v>66</v>
      </c>
    </row>
    <row r="342" spans="2:18" x14ac:dyDescent="0.35">
      <c r="B342" s="9">
        <v>2407</v>
      </c>
      <c r="C342" s="9" t="str">
        <v>가용재고</v>
      </c>
      <c r="D342" s="9" t="str">
        <v/>
      </c>
      <c r="E342" s="9" t="str">
        <v/>
      </c>
      <c r="F342" s="9" t="str">
        <v/>
      </c>
      <c r="G342" s="9" t="str">
        <v/>
      </c>
      <c r="H342" s="9" t="str">
        <v>RA-07V-1661</v>
      </c>
      <c r="I342" s="11" t="str">
        <v>RA-07V-1661]BRK PHOtSNSR (VA)</v>
      </c>
      <c r="J342" s="9">
        <v>66</v>
      </c>
      <c r="K342" s="9" t="str">
        <v/>
      </c>
      <c r="L342" s="9" t="str">
        <v>J2-3</v>
      </c>
      <c r="M342" s="12">
        <v>46301</v>
      </c>
      <c r="N342" s="5" t="str">
        <v/>
      </c>
      <c r="O342" s="5" t="str">
        <v/>
      </c>
      <c r="P342" s="5" t="str">
        <v/>
      </c>
      <c r="Q342" s="14" t="str">
        <v/>
      </c>
      <c r="R342" s="15">
        <v>66</v>
      </c>
    </row>
    <row r="343" spans="2:18" x14ac:dyDescent="0.35">
      <c r="B343" s="9">
        <v>2519</v>
      </c>
      <c r="C343" s="9" t="str">
        <v>가용재고</v>
      </c>
      <c r="D343" s="9" t="str">
        <v/>
      </c>
      <c r="E343" s="9" t="str">
        <v/>
      </c>
      <c r="F343" s="9" t="str">
        <v/>
      </c>
      <c r="G343" s="9" t="str">
        <v/>
      </c>
      <c r="H343" s="9" t="str">
        <v>RP-01H-5009</v>
      </c>
      <c r="I343" s="11" t="str">
        <v>RP-01H-5009]Lan cable</v>
      </c>
      <c r="J343" s="9">
        <v>66</v>
      </c>
      <c r="K343" s="9" t="str">
        <v/>
      </c>
      <c r="L343" s="9" t="str">
        <v>3S3-2</v>
      </c>
      <c r="M343" s="12">
        <v>46301</v>
      </c>
      <c r="N343" s="5" t="str">
        <v/>
      </c>
      <c r="O343" s="5" t="str">
        <v/>
      </c>
      <c r="P343" s="5" t="str">
        <v/>
      </c>
      <c r="Q343" s="14" t="str">
        <v/>
      </c>
      <c r="R343" s="15">
        <v>66</v>
      </c>
    </row>
    <row r="344" spans="2:18" x14ac:dyDescent="0.35">
      <c r="B344" s="9">
        <v>1951</v>
      </c>
      <c r="C344" s="9" t="str">
        <v>가용재고</v>
      </c>
      <c r="D344" s="9" t="str">
        <v/>
      </c>
      <c r="E344" s="9" t="str">
        <v>입고</v>
      </c>
      <c r="F344" s="9" t="str">
        <v>A&amp;T</v>
      </c>
      <c r="G344" s="9" t="str">
        <v>장동은</v>
      </c>
      <c r="H344" s="9" t="str">
        <v>RF-20A-0378</v>
      </c>
      <c r="I344" s="11" t="str">
        <v>MODULE ARM LEFT</v>
      </c>
      <c r="J344" s="9">
        <v>67</v>
      </c>
      <c r="K344" s="9" t="str">
        <v/>
      </c>
      <c r="L344" s="9" t="str">
        <v>94760</v>
      </c>
      <c r="M344" s="12">
        <v>46296</v>
      </c>
      <c r="N344" s="5" t="str">
        <v/>
      </c>
      <c r="O344" s="5" t="str">
        <v/>
      </c>
      <c r="P344" s="5" t="str">
        <v/>
      </c>
      <c r="Q344" s="14" t="str">
        <v/>
      </c>
      <c r="R344" s="15">
        <v>67</v>
      </c>
    </row>
    <row r="345" spans="2:18" x14ac:dyDescent="0.35">
      <c r="B345" s="9">
        <v>2093</v>
      </c>
      <c r="C345" s="9" t="str">
        <v>가용재고</v>
      </c>
      <c r="D345" s="9" t="str">
        <v/>
      </c>
      <c r="E345" s="9" t="str">
        <v/>
      </c>
      <c r="F345" s="9" t="str">
        <v/>
      </c>
      <c r="G345" s="9" t="str">
        <v/>
      </c>
      <c r="H345" s="9" t="str">
        <v>RA-06M-3187</v>
      </c>
      <c r="I345" s="11" t="str">
        <v>RA-06M-3187]BLK COL FIX LWR A (ST)</v>
      </c>
      <c r="J345" s="9">
        <v>67</v>
      </c>
      <c r="K345" s="9" t="str">
        <v/>
      </c>
      <c r="L345" s="9" t="str">
        <v>N2-2</v>
      </c>
      <c r="M345" s="12">
        <v>46283</v>
      </c>
      <c r="N345" s="5" t="str">
        <v/>
      </c>
      <c r="O345" s="5" t="str">
        <v/>
      </c>
      <c r="P345" s="5" t="str">
        <v/>
      </c>
      <c r="Q345" s="14" t="str">
        <v/>
      </c>
      <c r="R345" s="15">
        <v>67</v>
      </c>
    </row>
    <row r="346" spans="2:18" x14ac:dyDescent="0.35">
      <c r="B346" s="9">
        <v>974</v>
      </c>
      <c r="C346" s="9" t="str">
        <v>가용재고</v>
      </c>
      <c r="D346" s="9" t="str">
        <v/>
      </c>
      <c r="E346" s="9" t="str">
        <v>기초</v>
      </c>
      <c r="F346" s="9" t="str">
        <v/>
      </c>
      <c r="G346" s="9" t="str">
        <v/>
      </c>
      <c r="H346" s="9" t="str">
        <v>RA-03S-0070</v>
      </c>
      <c r="I346" s="11" t="str">
        <v>RA-03S-0070]IGUS RAIL BLK(NW-01-27)</v>
      </c>
      <c r="J346" s="9">
        <v>68</v>
      </c>
      <c r="K346" s="9" t="str">
        <v/>
      </c>
      <c r="L346" s="9" t="str">
        <v>N3-1</v>
      </c>
      <c r="M346" s="12">
        <v>46276</v>
      </c>
      <c r="N346" s="5" t="str">
        <v/>
      </c>
      <c r="O346" s="5" t="str">
        <v/>
      </c>
      <c r="P346" s="5" t="str">
        <v/>
      </c>
      <c r="Q346" s="14" t="str">
        <v/>
      </c>
      <c r="R346" s="15">
        <v>68</v>
      </c>
    </row>
    <row r="347" spans="2:18" x14ac:dyDescent="0.35">
      <c r="B347" s="9">
        <v>975</v>
      </c>
      <c r="C347" s="9" t="str">
        <v>가용재고</v>
      </c>
      <c r="D347" s="9" t="str">
        <v/>
      </c>
      <c r="E347" s="9" t="str">
        <v>기초</v>
      </c>
      <c r="F347" s="9" t="str">
        <v/>
      </c>
      <c r="G347" s="9" t="str">
        <v/>
      </c>
      <c r="H347" s="9" t="str">
        <v>RA-03T-1993</v>
      </c>
      <c r="I347" s="11" t="str">
        <v>RA-03T-1993]HLDR LASER BEAM H</v>
      </c>
      <c r="J347" s="9">
        <v>68</v>
      </c>
      <c r="K347" s="9" t="str">
        <v/>
      </c>
      <c r="L347" s="9" t="str">
        <v>B1-1</v>
      </c>
      <c r="M347" s="12">
        <v>46276</v>
      </c>
      <c r="N347" s="5" t="str">
        <v/>
      </c>
      <c r="O347" s="5" t="str">
        <v/>
      </c>
      <c r="P347" s="5" t="str">
        <v/>
      </c>
      <c r="Q347" s="14" t="str">
        <v/>
      </c>
      <c r="R347" s="15">
        <v>68</v>
      </c>
    </row>
    <row r="348" spans="2:18" x14ac:dyDescent="0.35">
      <c r="B348" s="9">
        <v>976</v>
      </c>
      <c r="C348" s="9" t="str">
        <v>가용재고</v>
      </c>
      <c r="D348" s="9" t="str">
        <v/>
      </c>
      <c r="E348" s="9" t="str">
        <v>기초</v>
      </c>
      <c r="F348" s="9" t="str">
        <v/>
      </c>
      <c r="G348" s="9" t="str">
        <v/>
      </c>
      <c r="H348" s="9" t="str">
        <v>RA-03V-3862</v>
      </c>
      <c r="I348" s="11" t="str">
        <v>RA-03V-3862]PLT SWITCH (MG)</v>
      </c>
      <c r="J348" s="9">
        <v>68</v>
      </c>
      <c r="K348" s="9" t="str">
        <v/>
      </c>
      <c r="L348" s="9" t="str">
        <v>N3-3</v>
      </c>
      <c r="M348" s="12">
        <v>46276</v>
      </c>
      <c r="N348" s="5" t="str">
        <v/>
      </c>
      <c r="O348" s="5" t="str">
        <v/>
      </c>
      <c r="P348" s="5" t="str">
        <v/>
      </c>
      <c r="Q348" s="14" t="str">
        <v/>
      </c>
      <c r="R348" s="15">
        <v>68</v>
      </c>
    </row>
    <row r="349" spans="2:18" x14ac:dyDescent="0.35">
      <c r="B349" s="9">
        <v>978</v>
      </c>
      <c r="C349" s="9" t="str">
        <v>가용재고</v>
      </c>
      <c r="D349" s="9" t="str">
        <v/>
      </c>
      <c r="E349" s="9" t="str">
        <v>기초</v>
      </c>
      <c r="F349" s="9" t="str">
        <v/>
      </c>
      <c r="G349" s="9" t="str">
        <v/>
      </c>
      <c r="H349" s="9" t="str">
        <v>RA-06V-3390</v>
      </c>
      <c r="I349" s="11" t="str">
        <v>RA-06V-3390]BRK CAM MCU Bd (ST)</v>
      </c>
      <c r="J349" s="9">
        <v>68</v>
      </c>
      <c r="K349" s="9" t="str">
        <v/>
      </c>
      <c r="L349" s="9" t="str">
        <v>I2-2</v>
      </c>
      <c r="M349" s="12">
        <v>46276</v>
      </c>
      <c r="N349" s="5" t="str">
        <v/>
      </c>
      <c r="O349" s="5" t="str">
        <v/>
      </c>
      <c r="P349" s="5" t="str">
        <v/>
      </c>
      <c r="Q349" s="14" t="str">
        <v/>
      </c>
      <c r="R349" s="15">
        <v>68</v>
      </c>
    </row>
    <row r="350" spans="2:18" x14ac:dyDescent="0.35">
      <c r="B350" s="9">
        <v>1690</v>
      </c>
      <c r="C350" s="9" t="str">
        <v>가용재고</v>
      </c>
      <c r="D350" s="9" t="str">
        <v/>
      </c>
      <c r="E350" s="9" t="str">
        <v/>
      </c>
      <c r="F350" s="9" t="str">
        <v/>
      </c>
      <c r="G350" s="9" t="str">
        <v/>
      </c>
      <c r="H350" s="9" t="str">
        <v>RA-02A-2741</v>
      </c>
      <c r="I350" s="11" t="str">
        <v>RA-02A-2741]ASM VERT TOTAL (3D) (VN)</v>
      </c>
      <c r="J350" s="9">
        <v>68</v>
      </c>
      <c r="K350" s="9" t="str">
        <v/>
      </c>
      <c r="L350" s="9" t="str">
        <v>T</v>
      </c>
      <c r="M350" s="12">
        <v>46279</v>
      </c>
      <c r="N350" s="5" t="str">
        <v/>
      </c>
      <c r="O350" s="5" t="str">
        <v/>
      </c>
      <c r="P350" s="5" t="str">
        <v/>
      </c>
      <c r="Q350" s="14" t="str">
        <v/>
      </c>
      <c r="R350" s="15">
        <v>68</v>
      </c>
    </row>
    <row r="351" spans="2:18" x14ac:dyDescent="0.35">
      <c r="B351" s="9">
        <v>1632</v>
      </c>
      <c r="C351" s="9" t="str">
        <v>가용재고</v>
      </c>
      <c r="D351" s="9" t="str">
        <v/>
      </c>
      <c r="E351" s="9" t="str">
        <v/>
      </c>
      <c r="F351" s="9" t="str">
        <v/>
      </c>
      <c r="G351" s="9" t="str">
        <v/>
      </c>
      <c r="H351" s="9" t="str">
        <v>RA-06V-1311</v>
      </c>
      <c r="I351" s="11" t="str">
        <v>RA-06V-1311]BRK TUBE CAS FIX B</v>
      </c>
      <c r="J351" s="9">
        <v>70</v>
      </c>
      <c r="K351" s="9" t="str">
        <v/>
      </c>
      <c r="L351" s="9" t="str">
        <v>I3-2</v>
      </c>
      <c r="M351" s="12">
        <v>46280</v>
      </c>
      <c r="N351" s="5" t="str">
        <v/>
      </c>
      <c r="O351" s="5" t="str">
        <v/>
      </c>
      <c r="P351" s="5" t="str">
        <v/>
      </c>
      <c r="Q351" s="14" t="str">
        <v/>
      </c>
      <c r="R351" s="15">
        <v>70</v>
      </c>
    </row>
    <row r="352" spans="2:18" x14ac:dyDescent="0.35">
      <c r="B352" s="9">
        <v>1224</v>
      </c>
      <c r="C352" s="9" t="str">
        <v>가용재고</v>
      </c>
      <c r="D352" s="9" t="str">
        <v/>
      </c>
      <c r="E352" s="9" t="str">
        <v>반납</v>
      </c>
      <c r="F352" s="9" t="str">
        <v/>
      </c>
      <c r="G352" s="9" t="str">
        <v/>
      </c>
      <c r="H352" s="9" t="str">
        <v>RF-01H-5056</v>
      </c>
      <c r="I352" s="11" t="str">
        <v>RF-01H-5056]LED PWM harness</v>
      </c>
      <c r="J352" s="9">
        <v>71</v>
      </c>
      <c r="K352" s="9" t="str">
        <v/>
      </c>
      <c r="L352" s="9" t="str">
        <v>3S3-4</v>
      </c>
      <c r="M352" s="12">
        <v>46287</v>
      </c>
      <c r="N352" s="5" t="str">
        <v/>
      </c>
      <c r="O352" s="5" t="str">
        <v/>
      </c>
      <c r="P352" s="5" t="str">
        <v/>
      </c>
      <c r="Q352" s="14" t="str">
        <v/>
      </c>
      <c r="R352" s="15">
        <v>71</v>
      </c>
    </row>
    <row r="353" spans="2:18" x14ac:dyDescent="0.35">
      <c r="B353" s="9">
        <v>979</v>
      </c>
      <c r="C353" s="9" t="str">
        <v>가용재고</v>
      </c>
      <c r="D353" s="9" t="str">
        <v/>
      </c>
      <c r="E353" s="9" t="str">
        <v>기초</v>
      </c>
      <c r="F353" s="9" t="str">
        <v/>
      </c>
      <c r="G353" s="9" t="str">
        <v/>
      </c>
      <c r="H353" s="9" t="str">
        <v>RA-15-1</v>
      </c>
      <c r="I353" s="11" t="str">
        <v>RA-15-1]LAMP DRV CONTROL</v>
      </c>
      <c r="J353" s="9">
        <v>72</v>
      </c>
      <c r="K353" s="9" t="str">
        <v/>
      </c>
      <c r="L353" s="9" t="str">
        <v>G2-6</v>
      </c>
      <c r="M353" s="12">
        <v>46276</v>
      </c>
      <c r="N353" s="5" t="str">
        <v/>
      </c>
      <c r="O353" s="5" t="str">
        <v/>
      </c>
      <c r="P353" s="5" t="str">
        <v/>
      </c>
      <c r="Q353" s="14" t="str">
        <v/>
      </c>
      <c r="R353" s="15">
        <v>72</v>
      </c>
    </row>
    <row r="354" spans="2:18" x14ac:dyDescent="0.35">
      <c r="B354" s="9">
        <v>1206</v>
      </c>
      <c r="C354" s="9" t="str">
        <v>가용재고</v>
      </c>
      <c r="D354" s="9" t="str">
        <v/>
      </c>
      <c r="E354" s="9" t="str">
        <v>반납</v>
      </c>
      <c r="F354" s="9" t="str">
        <v/>
      </c>
      <c r="G354" s="9" t="str">
        <v/>
      </c>
      <c r="H354" s="9" t="str">
        <v>RF-01H-5065</v>
      </c>
      <c r="I354" s="11" t="str">
        <v>RF-01H-5065]Main Power harness</v>
      </c>
      <c r="J354" s="9">
        <v>72</v>
      </c>
      <c r="K354" s="9" t="str">
        <v/>
      </c>
      <c r="L354" s="9" t="str">
        <v>3S3-5</v>
      </c>
      <c r="M354" s="12">
        <v>46287</v>
      </c>
      <c r="N354" s="5" t="str">
        <v/>
      </c>
      <c r="O354" s="5" t="str">
        <v/>
      </c>
      <c r="P354" s="5" t="str">
        <v/>
      </c>
      <c r="Q354" s="14" t="str">
        <v/>
      </c>
      <c r="R354" s="15">
        <v>72</v>
      </c>
    </row>
    <row r="355" spans="2:18" x14ac:dyDescent="0.35">
      <c r="B355" s="9">
        <v>980</v>
      </c>
      <c r="C355" s="9" t="str">
        <v>가용재고</v>
      </c>
      <c r="D355" s="9" t="str">
        <v/>
      </c>
      <c r="E355" s="9" t="str">
        <v>기초</v>
      </c>
      <c r="F355" s="9" t="str">
        <v/>
      </c>
      <c r="G355" s="9" t="str">
        <v/>
      </c>
      <c r="H355" s="9" t="str">
        <v>RA-05V-3925</v>
      </c>
      <c r="I355" s="11" t="str">
        <v>RA-05V-3925]BRK ROT CAS B (MG)</v>
      </c>
      <c r="J355" s="9">
        <v>73</v>
      </c>
      <c r="K355" s="9" t="str">
        <v/>
      </c>
      <c r="L355" s="9" t="str">
        <v>N2-4</v>
      </c>
      <c r="M355" s="12">
        <v>46276</v>
      </c>
      <c r="N355" s="5" t="str">
        <v/>
      </c>
      <c r="O355" s="5" t="str">
        <v/>
      </c>
      <c r="P355" s="5" t="str">
        <v/>
      </c>
      <c r="Q355" s="14" t="str">
        <v/>
      </c>
      <c r="R355" s="15">
        <v>73</v>
      </c>
    </row>
    <row r="356" spans="2:18" x14ac:dyDescent="0.35">
      <c r="B356" s="9">
        <v>1254</v>
      </c>
      <c r="C356" s="9" t="str">
        <v>가용재고</v>
      </c>
      <c r="D356" s="9" t="str">
        <v/>
      </c>
      <c r="E356" s="9" t="str">
        <v>반납</v>
      </c>
      <c r="F356" s="9" t="str">
        <v/>
      </c>
      <c r="G356" s="9" t="str">
        <v/>
      </c>
      <c r="H356" s="9" t="str">
        <v>RF-01B-5038</v>
      </c>
      <c r="I356" s="11" t="str">
        <v>RF-01B-5038] BOTTOM LED BOARD</v>
      </c>
      <c r="J356" s="9">
        <v>73</v>
      </c>
      <c r="K356" s="9" t="str">
        <v/>
      </c>
      <c r="L356" s="9" t="str">
        <v>A6-4</v>
      </c>
      <c r="M356" s="12">
        <v>46287</v>
      </c>
      <c r="N356" s="5" t="str">
        <v/>
      </c>
      <c r="O356" s="5" t="str">
        <v/>
      </c>
      <c r="P356" s="5" t="str">
        <v/>
      </c>
      <c r="Q356" s="14" t="str">
        <v/>
      </c>
      <c r="R356" s="15">
        <v>73</v>
      </c>
    </row>
    <row r="357" spans="2:18" x14ac:dyDescent="0.35">
      <c r="B357" s="9">
        <v>2360</v>
      </c>
      <c r="C357" s="9" t="str">
        <v>가용재고</v>
      </c>
      <c r="D357" s="9" t="str">
        <v/>
      </c>
      <c r="E357" s="9" t="str">
        <v/>
      </c>
      <c r="F357" s="9" t="str">
        <v/>
      </c>
      <c r="G357" s="9" t="str">
        <v/>
      </c>
      <c r="H357" s="9" t="str">
        <v>RA-07M-2497</v>
      </c>
      <c r="I357" s="11" t="str">
        <v>RA-07M-2497]CVR CT DET FRONT (A+ ODD)</v>
      </c>
      <c r="J357" s="9">
        <v>74</v>
      </c>
      <c r="K357" s="9" t="str">
        <v/>
      </c>
      <c r="L357" s="9" t="str">
        <v>L2-3</v>
      </c>
      <c r="M357" s="12">
        <v>46302</v>
      </c>
      <c r="N357" s="5" t="str">
        <v/>
      </c>
      <c r="O357" s="5" t="str">
        <v/>
      </c>
      <c r="P357" s="5" t="str">
        <v/>
      </c>
      <c r="Q357" s="14" t="str">
        <v/>
      </c>
      <c r="R357" s="15">
        <v>74</v>
      </c>
    </row>
    <row r="358" spans="2:18" x14ac:dyDescent="0.35">
      <c r="B358" s="9">
        <v>2528</v>
      </c>
      <c r="C358" s="9" t="str">
        <v>가용재고</v>
      </c>
      <c r="D358" s="9" t="str">
        <v/>
      </c>
      <c r="E358" s="9" t="str">
        <v/>
      </c>
      <c r="F358" s="9" t="str">
        <v/>
      </c>
      <c r="G358" s="9" t="str">
        <v/>
      </c>
      <c r="H358" s="9" t="str">
        <v>RA-03S-5180A</v>
      </c>
      <c r="I358" s="11" t="str">
        <v>RA-03S-5180A]A2K_LBM01-570</v>
      </c>
      <c r="J358" s="9">
        <v>76</v>
      </c>
      <c r="K358" s="9" t="str">
        <v/>
      </c>
      <c r="L358" s="9" t="str">
        <v>B1-1</v>
      </c>
      <c r="M358" s="12">
        <v>46308</v>
      </c>
      <c r="N358" s="5" t="str">
        <v/>
      </c>
      <c r="O358" s="5" t="str">
        <v/>
      </c>
      <c r="P358" s="5" t="str">
        <v/>
      </c>
      <c r="Q358" s="14" t="str">
        <v/>
      </c>
      <c r="R358" s="15">
        <v>76</v>
      </c>
    </row>
    <row r="359" spans="2:18" x14ac:dyDescent="0.35">
      <c r="B359" s="9">
        <v>2529</v>
      </c>
      <c r="C359" s="9" t="str">
        <v>가용재고</v>
      </c>
      <c r="D359" s="9" t="str">
        <v/>
      </c>
      <c r="E359" s="9" t="str">
        <v/>
      </c>
      <c r="F359" s="9" t="str">
        <v/>
      </c>
      <c r="G359" s="9" t="str">
        <v/>
      </c>
      <c r="H359" s="9" t="str">
        <v>RA-03S-6025</v>
      </c>
      <c r="I359" s="11" t="str">
        <v>RA-03S-6025]LBM-RAY01</v>
      </c>
      <c r="J359" s="9">
        <v>76</v>
      </c>
      <c r="K359" s="9" t="str">
        <v/>
      </c>
      <c r="L359" s="9" t="str">
        <v>B1-1</v>
      </c>
      <c r="M359" s="12">
        <v>46308</v>
      </c>
      <c r="N359" s="5" t="str">
        <v/>
      </c>
      <c r="O359" s="5" t="str">
        <v/>
      </c>
      <c r="P359" s="5" t="str">
        <v/>
      </c>
      <c r="Q359" s="14" t="str">
        <v/>
      </c>
      <c r="R359" s="15">
        <v>76</v>
      </c>
    </row>
    <row r="360" spans="2:18" x14ac:dyDescent="0.35">
      <c r="B360" s="9">
        <v>1954</v>
      </c>
      <c r="C360" s="9" t="str">
        <v>가용재고</v>
      </c>
      <c r="D360" s="9" t="str">
        <v/>
      </c>
      <c r="E360" s="9" t="str">
        <v>입고</v>
      </c>
      <c r="F360" s="9" t="str">
        <v>A&amp;T</v>
      </c>
      <c r="G360" s="9" t="str">
        <v>장동은</v>
      </c>
      <c r="H360" s="9" t="str">
        <v>RF-20A-0369</v>
      </c>
      <c r="I360" s="11" t="str">
        <v>MODULE ARM RIGHT</v>
      </c>
      <c r="J360" s="9">
        <v>80</v>
      </c>
      <c r="K360" s="9" t="str">
        <v/>
      </c>
      <c r="L360" s="9" t="str">
        <v>3C6</v>
      </c>
      <c r="M360" s="12">
        <v>46296</v>
      </c>
      <c r="N360" s="5" t="str">
        <v/>
      </c>
      <c r="O360" s="5" t="str">
        <v/>
      </c>
      <c r="P360" s="5" t="str">
        <v/>
      </c>
      <c r="Q360" s="14" t="str">
        <v/>
      </c>
      <c r="R360" s="15">
        <v>80</v>
      </c>
    </row>
    <row r="361" spans="2:18" x14ac:dyDescent="0.35">
      <c r="B361" s="9">
        <v>2319</v>
      </c>
      <c r="C361" s="9" t="str">
        <v>가용재고</v>
      </c>
      <c r="D361" s="9" t="str">
        <v/>
      </c>
      <c r="E361" s="9" t="str">
        <v/>
      </c>
      <c r="F361" s="9" t="str">
        <v/>
      </c>
      <c r="G361" s="9" t="str">
        <v/>
      </c>
      <c r="H361" s="9" t="str">
        <v>RA-02T-0045</v>
      </c>
      <c r="I361" s="11" t="str">
        <v>RA-02T-0045]CAS VERT SUB BOT</v>
      </c>
      <c r="J361" s="9">
        <v>80</v>
      </c>
      <c r="K361" s="9" t="str">
        <v/>
      </c>
      <c r="L361" s="9" t="str">
        <v>S</v>
      </c>
      <c r="M361" s="12">
        <v>46302</v>
      </c>
      <c r="N361" s="5" t="str">
        <v/>
      </c>
      <c r="O361" s="5" t="str">
        <v/>
      </c>
      <c r="P361" s="5" t="str">
        <v/>
      </c>
      <c r="Q361" s="14" t="str">
        <v/>
      </c>
      <c r="R361" s="15">
        <v>80</v>
      </c>
    </row>
    <row r="362" spans="2:18" x14ac:dyDescent="0.35">
      <c r="B362" s="9">
        <v>983</v>
      </c>
      <c r="C362" s="9" t="str">
        <v>가용재고</v>
      </c>
      <c r="D362" s="9" t="str">
        <v/>
      </c>
      <c r="E362" s="9" t="str">
        <v>기초</v>
      </c>
      <c r="F362" s="9" t="str">
        <v/>
      </c>
      <c r="G362" s="9" t="str">
        <v/>
      </c>
      <c r="H362" s="9" t="str">
        <v>RA-04T-3892</v>
      </c>
      <c r="I362" s="11" t="str">
        <v>RA-04T-3892]DECO CHINREST SIDE KNOB(RLMG</v>
      </c>
      <c r="J362" s="9">
        <v>81</v>
      </c>
      <c r="K362" s="9" t="str">
        <v/>
      </c>
      <c r="L362" s="9" t="str">
        <v>4F CASE</v>
      </c>
      <c r="M362" s="12">
        <v>46276</v>
      </c>
      <c r="N362" s="5" t="str">
        <v/>
      </c>
      <c r="O362" s="5" t="str">
        <v/>
      </c>
      <c r="P362" s="5" t="str">
        <v/>
      </c>
      <c r="Q362" s="14" t="str">
        <v/>
      </c>
      <c r="R362" s="15">
        <v>81</v>
      </c>
    </row>
    <row r="363" spans="2:18" x14ac:dyDescent="0.35">
      <c r="B363" s="9">
        <v>984</v>
      </c>
      <c r="C363" s="9" t="str">
        <v>가용재고</v>
      </c>
      <c r="D363" s="9" t="str">
        <v/>
      </c>
      <c r="E363" s="9" t="str">
        <v>기초</v>
      </c>
      <c r="F363" s="9" t="str">
        <v/>
      </c>
      <c r="G363" s="9" t="str">
        <v/>
      </c>
      <c r="H363" s="9" t="str">
        <v>RA-06M-3947</v>
      </c>
      <c r="I363" s="11" t="str">
        <v>RA-06M-3947]DECO WINDOW COL (MG)</v>
      </c>
      <c r="J363" s="9">
        <v>81</v>
      </c>
      <c r="K363" s="9" t="str">
        <v/>
      </c>
      <c r="L363" s="9" t="str">
        <v>N3-2</v>
      </c>
      <c r="M363" s="12">
        <v>46276</v>
      </c>
      <c r="N363" s="5" t="str">
        <v/>
      </c>
      <c r="O363" s="5" t="str">
        <v/>
      </c>
      <c r="P363" s="5" t="str">
        <v/>
      </c>
      <c r="Q363" s="14" t="str">
        <v/>
      </c>
      <c r="R363" s="15">
        <v>81</v>
      </c>
    </row>
    <row r="364" spans="2:18" x14ac:dyDescent="0.35">
      <c r="B364" s="9">
        <v>2331</v>
      </c>
      <c r="C364" s="9" t="str">
        <v>가용재고</v>
      </c>
      <c r="D364" s="9" t="str">
        <v/>
      </c>
      <c r="E364" s="9" t="str">
        <v/>
      </c>
      <c r="F364" s="9" t="str">
        <v/>
      </c>
      <c r="G364" s="9" t="str">
        <v/>
      </c>
      <c r="H364" s="9" t="str">
        <v>RA-05T-0210</v>
      </c>
      <c r="I364" s="11" t="str">
        <v>RA-05T-0210]CAS ROT TOP SUB</v>
      </c>
      <c r="J364" s="9">
        <v>83</v>
      </c>
      <c r="K364" s="9" t="str">
        <v/>
      </c>
      <c r="L364" s="9" t="str">
        <v>S</v>
      </c>
      <c r="M364" s="12">
        <v>46302</v>
      </c>
      <c r="N364" s="5" t="str">
        <v/>
      </c>
      <c r="O364" s="5" t="str">
        <v/>
      </c>
      <c r="P364" s="5" t="str">
        <v/>
      </c>
      <c r="Q364" s="14" t="str">
        <v/>
      </c>
      <c r="R364" s="15">
        <v>83</v>
      </c>
    </row>
    <row r="365" spans="2:18" x14ac:dyDescent="0.35">
      <c r="B365" s="9">
        <v>985</v>
      </c>
      <c r="C365" s="9" t="str">
        <v>가용재고</v>
      </c>
      <c r="D365" s="9" t="str">
        <v/>
      </c>
      <c r="E365" s="9" t="str">
        <v>기초</v>
      </c>
      <c r="F365" s="9" t="str">
        <v/>
      </c>
      <c r="G365" s="9" t="str">
        <v/>
      </c>
      <c r="H365" s="9" t="str">
        <v>RA-02V-3853</v>
      </c>
      <c r="I365" s="11" t="str">
        <v>RA-02V-3853]BRK VERT BOT (MG)</v>
      </c>
      <c r="J365" s="9">
        <v>84</v>
      </c>
      <c r="K365" s="9" t="str">
        <v/>
      </c>
      <c r="L365" s="9" t="str">
        <v>N2-3</v>
      </c>
      <c r="M365" s="12">
        <v>46276</v>
      </c>
      <c r="N365" s="5" t="str">
        <v/>
      </c>
      <c r="O365" s="5" t="str">
        <v/>
      </c>
      <c r="P365" s="5" t="str">
        <v/>
      </c>
      <c r="Q365" s="14" t="str">
        <v/>
      </c>
      <c r="R365" s="15">
        <v>84</v>
      </c>
    </row>
    <row r="366" spans="2:18" x14ac:dyDescent="0.35">
      <c r="B366" s="9">
        <v>987</v>
      </c>
      <c r="C366" s="9" t="str">
        <v>가용재고</v>
      </c>
      <c r="D366" s="9" t="str">
        <v/>
      </c>
      <c r="E366" s="9" t="str">
        <v>기초</v>
      </c>
      <c r="F366" s="9" t="str">
        <v/>
      </c>
      <c r="G366" s="9" t="str">
        <v/>
      </c>
      <c r="H366" s="9" t="str">
        <v>RA-07T-3958</v>
      </c>
      <c r="I366" s="11" t="str">
        <v/>
      </c>
      <c r="J366" s="9">
        <v>84</v>
      </c>
      <c r="K366" s="9" t="str">
        <v/>
      </c>
      <c r="L366" s="9" t="str">
        <v>4F제일안쪽창고</v>
      </c>
      <c r="M366" s="12">
        <v>46276</v>
      </c>
      <c r="N366" s="5" t="str">
        <v/>
      </c>
      <c r="O366" s="5" t="str">
        <v/>
      </c>
      <c r="P366" s="5" t="str">
        <v/>
      </c>
      <c r="Q366" s="14" t="str">
        <v/>
      </c>
      <c r="R366" s="15">
        <v>84</v>
      </c>
    </row>
    <row r="367" spans="2:18" x14ac:dyDescent="0.35">
      <c r="B367" s="9">
        <v>988</v>
      </c>
      <c r="C367" s="9" t="str">
        <v>가용재고</v>
      </c>
      <c r="D367" s="9" t="str">
        <v/>
      </c>
      <c r="E367" s="9" t="str">
        <v>기초</v>
      </c>
      <c r="F367" s="9" t="str">
        <v/>
      </c>
      <c r="G367" s="9" t="str">
        <v/>
      </c>
      <c r="H367" s="9" t="str">
        <v>RA-15-2-R</v>
      </c>
      <c r="I367" s="11" t="str">
        <v/>
      </c>
      <c r="J367" s="9">
        <v>85</v>
      </c>
      <c r="K367" s="9" t="str">
        <v/>
      </c>
      <c r="L367" s="9" t="str">
        <v>G2-6</v>
      </c>
      <c r="M367" s="12">
        <v>46276</v>
      </c>
      <c r="N367" s="5" t="str">
        <v/>
      </c>
      <c r="O367" s="5" t="str">
        <v/>
      </c>
      <c r="P367" s="5" t="str">
        <v/>
      </c>
      <c r="Q367" s="14" t="str">
        <v/>
      </c>
      <c r="R367" s="15">
        <v>85</v>
      </c>
    </row>
    <row r="368" spans="2:18" x14ac:dyDescent="0.35">
      <c r="B368" s="9">
        <v>2134</v>
      </c>
      <c r="C368" s="9" t="str">
        <v>가용재고</v>
      </c>
      <c r="D368" s="9" t="str">
        <v/>
      </c>
      <c r="E368" s="9" t="str">
        <v/>
      </c>
      <c r="F368" s="9" t="str">
        <v/>
      </c>
      <c r="G368" s="9" t="str">
        <v/>
      </c>
      <c r="H368" s="9" t="str">
        <v>RA-02A-6002</v>
      </c>
      <c r="I368" s="11" t="str">
        <v>RA-02A-6002]Bd ASSY'-Main MCU</v>
      </c>
      <c r="J368" s="9">
        <v>85</v>
      </c>
      <c r="K368" s="9" t="str">
        <v/>
      </c>
      <c r="L368" s="9" t="str">
        <v>A2-3</v>
      </c>
      <c r="M368" s="12">
        <v>46293</v>
      </c>
      <c r="N368" s="5" t="str">
        <v/>
      </c>
      <c r="O368" s="5" t="str">
        <v/>
      </c>
      <c r="P368" s="5" t="str">
        <v/>
      </c>
      <c r="Q368" s="14" t="str">
        <v/>
      </c>
      <c r="R368" s="15">
        <v>85</v>
      </c>
    </row>
    <row r="369" spans="2:18" x14ac:dyDescent="0.35">
      <c r="B369" s="9">
        <v>280</v>
      </c>
      <c r="C369" s="9" t="str">
        <v>가용재고</v>
      </c>
      <c r="D369" s="9" t="str">
        <v/>
      </c>
      <c r="E369" s="9" t="str">
        <v/>
      </c>
      <c r="F369" s="9" t="str">
        <v/>
      </c>
      <c r="G369" s="9" t="str">
        <v/>
      </c>
      <c r="H369" s="9" t="str">
        <v>RA-08T-0178</v>
      </c>
      <c r="I369" s="11" t="str">
        <v>RA-08T-0178]CAS CEPH SNSR BOT</v>
      </c>
      <c r="J369" s="9">
        <v>87</v>
      </c>
      <c r="K369" s="9" t="str">
        <v/>
      </c>
      <c r="L369" s="9" t="str">
        <v>V</v>
      </c>
      <c r="M369" s="12">
        <v>46232</v>
      </c>
      <c r="N369" s="5" t="str">
        <v/>
      </c>
      <c r="O369" s="5" t="str">
        <v/>
      </c>
      <c r="P369" s="5" t="str">
        <v/>
      </c>
      <c r="Q369" s="14" t="str">
        <v/>
      </c>
      <c r="R369" s="15">
        <v>87</v>
      </c>
    </row>
    <row r="370" spans="2:18" x14ac:dyDescent="0.35">
      <c r="B370" s="9">
        <v>1840</v>
      </c>
      <c r="C370" s="9" t="str">
        <v>가용재고</v>
      </c>
      <c r="D370" s="9" t="str">
        <v/>
      </c>
      <c r="E370" s="9" t="str">
        <v/>
      </c>
      <c r="F370" s="9" t="str">
        <v/>
      </c>
      <c r="G370" s="9" t="str">
        <v/>
      </c>
      <c r="H370" s="9" t="str">
        <v>RA-06A-1063</v>
      </c>
      <c r="I370" s="11" t="str">
        <v>RA-06A-1063]ASM TUBE TNK SUP</v>
      </c>
      <c r="J370" s="9">
        <v>87</v>
      </c>
      <c r="K370" s="9" t="str">
        <v/>
      </c>
      <c r="L370" s="9" t="str">
        <v>O1</v>
      </c>
      <c r="M370" s="12">
        <v>46295</v>
      </c>
      <c r="N370" s="5" t="str">
        <v/>
      </c>
      <c r="O370" s="5" t="str">
        <v/>
      </c>
      <c r="P370" s="5" t="str">
        <v/>
      </c>
      <c r="Q370" s="14" t="str">
        <v/>
      </c>
      <c r="R370" s="15">
        <v>87</v>
      </c>
    </row>
    <row r="371" spans="2:18" x14ac:dyDescent="0.35">
      <c r="B371" s="9">
        <v>989</v>
      </c>
      <c r="C371" s="9" t="str">
        <v>가용재고</v>
      </c>
      <c r="D371" s="9" t="str">
        <v/>
      </c>
      <c r="E371" s="9" t="str">
        <v>기초</v>
      </c>
      <c r="F371" s="9" t="str">
        <v/>
      </c>
      <c r="G371" s="9" t="str">
        <v/>
      </c>
      <c r="H371" s="9" t="str">
        <v>RA-07M-3961</v>
      </c>
      <c r="I371" s="11" t="str">
        <v>RA-07M-3961]CVR DET FRONT (MG)</v>
      </c>
      <c r="J371" s="9">
        <v>88</v>
      </c>
      <c r="K371" s="9" t="str">
        <v/>
      </c>
      <c r="L371" s="9" t="str">
        <v>N3-2</v>
      </c>
      <c r="M371" s="12">
        <v>46276</v>
      </c>
      <c r="N371" s="5" t="str">
        <v/>
      </c>
      <c r="O371" s="5" t="str">
        <v/>
      </c>
      <c r="P371" s="5" t="str">
        <v/>
      </c>
      <c r="Q371" s="14" t="str">
        <v/>
      </c>
      <c r="R371" s="15">
        <v>88</v>
      </c>
    </row>
    <row r="372" spans="2:18" x14ac:dyDescent="0.35">
      <c r="B372" s="9">
        <v>990</v>
      </c>
      <c r="C372" s="9" t="str">
        <v>가용재고</v>
      </c>
      <c r="D372" s="9" t="str">
        <v/>
      </c>
      <c r="E372" s="9" t="str">
        <v>기초</v>
      </c>
      <c r="F372" s="9" t="str">
        <v/>
      </c>
      <c r="G372" s="9" t="str">
        <v/>
      </c>
      <c r="H372" s="9" t="str">
        <v>RA-04T-3891</v>
      </c>
      <c r="I372" s="11" t="str">
        <v>RA-04T-3891]KNOB CHINREST SIDE(R-L) (MG)</v>
      </c>
      <c r="J372" s="9">
        <v>89</v>
      </c>
      <c r="K372" s="9" t="str">
        <v/>
      </c>
      <c r="L372" s="9" t="str">
        <v>4F CASE</v>
      </c>
      <c r="M372" s="12">
        <v>46276</v>
      </c>
      <c r="N372" s="5" t="str">
        <v/>
      </c>
      <c r="O372" s="5" t="str">
        <v/>
      </c>
      <c r="P372" s="5" t="str">
        <v/>
      </c>
      <c r="Q372" s="14" t="str">
        <v/>
      </c>
      <c r="R372" s="15">
        <v>89</v>
      </c>
    </row>
    <row r="373" spans="2:18" x14ac:dyDescent="0.35">
      <c r="B373" s="9">
        <v>1305</v>
      </c>
      <c r="C373" s="9" t="str">
        <v>가용재고</v>
      </c>
      <c r="D373" s="9" t="str">
        <v/>
      </c>
      <c r="E373" s="9" t="str">
        <v/>
      </c>
      <c r="F373" s="9" t="str">
        <v/>
      </c>
      <c r="G373" s="9" t="str">
        <v/>
      </c>
      <c r="H373" s="9" t="str">
        <v>RF-01S-5072</v>
      </c>
      <c r="I373" s="11" t="str">
        <v>RF-01S-5072]USB 3.0 A to B Cable</v>
      </c>
      <c r="J373" s="9">
        <v>89</v>
      </c>
      <c r="K373" s="9" t="str">
        <v/>
      </c>
      <c r="L373" s="9" t="str">
        <v>3S3-2</v>
      </c>
      <c r="M373" s="12">
        <v>46287</v>
      </c>
      <c r="N373" s="5" t="str">
        <v/>
      </c>
      <c r="O373" s="5" t="str">
        <v/>
      </c>
      <c r="P373" s="5" t="str">
        <v/>
      </c>
      <c r="Q373" s="14" t="str">
        <v/>
      </c>
      <c r="R373" s="15">
        <v>89</v>
      </c>
    </row>
    <row r="374" spans="2:18" x14ac:dyDescent="0.35">
      <c r="B374" s="9">
        <v>242</v>
      </c>
      <c r="C374" s="9" t="str">
        <v>가용재고</v>
      </c>
      <c r="D374" s="9" t="str">
        <v/>
      </c>
      <c r="E374" s="9" t="str">
        <v/>
      </c>
      <c r="F374" s="9" t="str">
        <v/>
      </c>
      <c r="G374" s="9" t="str">
        <v/>
      </c>
      <c r="H374" s="9" t="str">
        <v>RA-08V-0173</v>
      </c>
      <c r="I374" s="11" t="str">
        <v>RA-08V-0173]DECO CEPH ARM</v>
      </c>
      <c r="J374" s="9">
        <v>90</v>
      </c>
      <c r="K374" s="9" t="str">
        <v/>
      </c>
      <c r="L374" s="9" t="str">
        <v>E2-3</v>
      </c>
      <c r="M374" s="12">
        <v>46232</v>
      </c>
      <c r="N374" s="5" t="str">
        <v/>
      </c>
      <c r="O374" s="5" t="str">
        <v/>
      </c>
      <c r="P374" s="5" t="str">
        <v/>
      </c>
      <c r="Q374" s="14" t="str">
        <v/>
      </c>
      <c r="R374" s="15">
        <v>90</v>
      </c>
    </row>
    <row r="375" spans="2:18" x14ac:dyDescent="0.35">
      <c r="B375" s="9">
        <v>1680</v>
      </c>
      <c r="C375" s="9" t="str">
        <v>가용재고</v>
      </c>
      <c r="D375" s="9" t="str">
        <v/>
      </c>
      <c r="E375" s="9" t="str">
        <v/>
      </c>
      <c r="F375" s="9" t="str">
        <v/>
      </c>
      <c r="G375" s="9" t="str">
        <v/>
      </c>
      <c r="H375" s="9" t="str">
        <v>RA-07V-1679</v>
      </c>
      <c r="I375" s="11" t="str">
        <v>RA-07V-1679]CVR DET PCB (VA)</v>
      </c>
      <c r="J375" s="9">
        <v>90</v>
      </c>
      <c r="K375" s="9" t="str">
        <v/>
      </c>
      <c r="L375" s="9" t="str">
        <v>N1-2</v>
      </c>
      <c r="M375" s="12">
        <v>46280</v>
      </c>
      <c r="N375" s="5" t="str">
        <v/>
      </c>
      <c r="O375" s="5" t="str">
        <v/>
      </c>
      <c r="P375" s="5" t="str">
        <v/>
      </c>
      <c r="Q375" s="14" t="str">
        <v/>
      </c>
      <c r="R375" s="15">
        <v>90</v>
      </c>
    </row>
    <row r="376" spans="2:18" x14ac:dyDescent="0.35">
      <c r="B376" s="9">
        <v>1705</v>
      </c>
      <c r="C376" s="9" t="str">
        <v>가용재고</v>
      </c>
      <c r="D376" s="9" t="str">
        <v/>
      </c>
      <c r="E376" s="9" t="str">
        <v/>
      </c>
      <c r="F376" s="9" t="str">
        <v/>
      </c>
      <c r="G376" s="9" t="str">
        <v/>
      </c>
      <c r="H376" s="9" t="str">
        <v>RD-00S-5201</v>
      </c>
      <c r="I376" s="11" t="str">
        <v>RD-00S-5201]USB A to B Cable</v>
      </c>
      <c r="J376" s="9">
        <v>90</v>
      </c>
      <c r="K376" s="9" t="str">
        <v/>
      </c>
      <c r="L376" s="9" t="str">
        <v>3S3-2</v>
      </c>
      <c r="M376" s="12">
        <v>46287</v>
      </c>
      <c r="N376" s="5" t="str">
        <v/>
      </c>
      <c r="O376" s="5" t="str">
        <v/>
      </c>
      <c r="P376" s="5" t="str">
        <v/>
      </c>
      <c r="Q376" s="14" t="str">
        <v/>
      </c>
      <c r="R376" s="15">
        <v>90</v>
      </c>
    </row>
    <row r="377" spans="2:18" x14ac:dyDescent="0.35">
      <c r="B377" s="9">
        <v>2294</v>
      </c>
      <c r="C377" s="9" t="str">
        <v>가용재고</v>
      </c>
      <c r="D377" s="9" t="str">
        <v/>
      </c>
      <c r="E377" s="9" t="str">
        <v/>
      </c>
      <c r="F377" s="9" t="str">
        <v/>
      </c>
      <c r="G377" s="9" t="str">
        <v/>
      </c>
      <c r="H377" s="9" t="str">
        <v>RE-06V-0608</v>
      </c>
      <c r="I377" s="11" t="str">
        <v>RE-06V-0608]BRK COL LWR</v>
      </c>
      <c r="J377" s="9">
        <v>90</v>
      </c>
      <c r="K377" s="9" t="str">
        <v/>
      </c>
      <c r="L377" s="9" t="str">
        <v>K1-4</v>
      </c>
      <c r="M377" s="12">
        <v>46303</v>
      </c>
      <c r="N377" s="5" t="str">
        <v/>
      </c>
      <c r="O377" s="5" t="str">
        <v/>
      </c>
      <c r="P377" s="5" t="str">
        <v/>
      </c>
      <c r="Q377" s="14" t="str">
        <v/>
      </c>
      <c r="R377" s="15">
        <v>90</v>
      </c>
    </row>
    <row r="378" spans="2:18" x14ac:dyDescent="0.35">
      <c r="B378" s="9">
        <v>1910</v>
      </c>
      <c r="C378" s="9" t="str">
        <v>가용재고</v>
      </c>
      <c r="D378" s="9" t="str">
        <v/>
      </c>
      <c r="E378" s="9" t="str">
        <v/>
      </c>
      <c r="F378" s="9" t="str">
        <v/>
      </c>
      <c r="G378" s="9" t="str">
        <v/>
      </c>
      <c r="H378" s="9" t="str">
        <v>RA-15-10</v>
      </c>
      <c r="I378" s="11" t="str">
        <v>RA-15-10]SUB MOT DET(VL)</v>
      </c>
      <c r="J378" s="9">
        <v>92</v>
      </c>
      <c r="K378" s="9" t="str">
        <v/>
      </c>
      <c r="L378" s="9" t="str">
        <v>G3-7</v>
      </c>
      <c r="M378" s="12">
        <v>46295</v>
      </c>
      <c r="N378" s="5" t="str">
        <v/>
      </c>
      <c r="O378" s="5" t="str">
        <v/>
      </c>
      <c r="P378" s="5" t="str">
        <v/>
      </c>
      <c r="Q378" s="14" t="str">
        <v/>
      </c>
      <c r="R378" s="15">
        <v>92</v>
      </c>
    </row>
    <row r="379" spans="2:18" x14ac:dyDescent="0.35">
      <c r="B379" s="9">
        <v>2432</v>
      </c>
      <c r="C379" s="9" t="str">
        <v>가용재고</v>
      </c>
      <c r="D379" s="9" t="str">
        <v/>
      </c>
      <c r="E379" s="9" t="str">
        <v/>
      </c>
      <c r="F379" s="9" t="str">
        <v/>
      </c>
      <c r="G379" s="9" t="str">
        <v/>
      </c>
      <c r="H379" s="9" t="str">
        <v>RA-06A-2143</v>
      </c>
      <c r="I379" s="11" t="str">
        <v>RA-06A-2143]ASM TUBE TNK SUP (A+)</v>
      </c>
      <c r="J379" s="9">
        <v>92</v>
      </c>
      <c r="K379" s="9" t="str">
        <v/>
      </c>
      <c r="L379" s="9" t="str">
        <v>O1</v>
      </c>
      <c r="M379" s="12">
        <v>46301</v>
      </c>
      <c r="N379" s="5" t="str">
        <v/>
      </c>
      <c r="O379" s="5" t="str">
        <v/>
      </c>
      <c r="P379" s="5" t="str">
        <v/>
      </c>
      <c r="Q379" s="14" t="str">
        <v/>
      </c>
      <c r="R379" s="15">
        <v>92</v>
      </c>
    </row>
    <row r="380" spans="2:18" x14ac:dyDescent="0.35">
      <c r="B380" s="9">
        <v>991</v>
      </c>
      <c r="C380" s="9" t="str">
        <v>가용재고</v>
      </c>
      <c r="D380" s="9" t="str">
        <v/>
      </c>
      <c r="E380" s="9" t="str">
        <v>기초</v>
      </c>
      <c r="F380" s="9" t="str">
        <v/>
      </c>
      <c r="G380" s="9" t="str">
        <v/>
      </c>
      <c r="H380" s="9" t="str">
        <v>RA-10-7</v>
      </c>
      <c r="I380" s="11" t="str">
        <v>RA-10-7]AC CABLE ASS’Y2</v>
      </c>
      <c r="J380" s="9">
        <v>93</v>
      </c>
      <c r="K380" s="9" t="str">
        <v/>
      </c>
      <c r="L380" s="9" t="str">
        <v>N2-1</v>
      </c>
      <c r="M380" s="12">
        <v>46276</v>
      </c>
      <c r="N380" s="5" t="str">
        <v/>
      </c>
      <c r="O380" s="5" t="str">
        <v/>
      </c>
      <c r="P380" s="5" t="str">
        <v/>
      </c>
      <c r="Q380" s="14" t="str">
        <v/>
      </c>
      <c r="R380" s="15">
        <v>93</v>
      </c>
    </row>
    <row r="381" spans="2:18" x14ac:dyDescent="0.35">
      <c r="B381" s="9">
        <v>2169</v>
      </c>
      <c r="C381" s="9" t="str">
        <v>가용재고</v>
      </c>
      <c r="D381" s="9" t="str">
        <v/>
      </c>
      <c r="E381" s="9" t="str">
        <v/>
      </c>
      <c r="F381" s="9" t="str">
        <v/>
      </c>
      <c r="G381" s="9" t="str">
        <v/>
      </c>
      <c r="H381" s="9" t="str">
        <v>RA-12-1</v>
      </c>
      <c r="I381" s="11" t="str">
        <v>RA-12-1]SUB CABLE ASS’Y</v>
      </c>
      <c r="J381" s="9">
        <v>93</v>
      </c>
      <c r="K381" s="9" t="str">
        <v/>
      </c>
      <c r="L381" s="9" t="str">
        <v>G4</v>
      </c>
      <c r="M381" s="12">
        <v>46293</v>
      </c>
      <c r="N381" s="5" t="str">
        <v/>
      </c>
      <c r="O381" s="5" t="str">
        <v/>
      </c>
      <c r="P381" s="5" t="str">
        <v/>
      </c>
      <c r="Q381" s="14" t="str">
        <v/>
      </c>
      <c r="R381" s="15">
        <v>93</v>
      </c>
    </row>
    <row r="382" spans="2:18" x14ac:dyDescent="0.35">
      <c r="B382" s="9">
        <v>1841</v>
      </c>
      <c r="C382" s="9" t="str">
        <v>가용재고</v>
      </c>
      <c r="D382" s="9" t="str">
        <v/>
      </c>
      <c r="E382" s="9" t="str">
        <v/>
      </c>
      <c r="F382" s="9" t="str">
        <v/>
      </c>
      <c r="G382" s="9" t="str">
        <v/>
      </c>
      <c r="H382" s="9" t="str">
        <v>RA-03S-5181A</v>
      </c>
      <c r="I382" s="11" t="str">
        <v>RA-03S-5181A]A2K_LBM01-970</v>
      </c>
      <c r="J382" s="9">
        <v>94</v>
      </c>
      <c r="K382" s="9" t="str">
        <v/>
      </c>
      <c r="L382" s="9" t="str">
        <v>H2-1</v>
      </c>
      <c r="M382" s="12">
        <v>46295</v>
      </c>
      <c r="N382" s="5" t="str">
        <v/>
      </c>
      <c r="O382" s="5" t="str">
        <v/>
      </c>
      <c r="P382" s="5" t="str">
        <v/>
      </c>
      <c r="Q382" s="14" t="str">
        <v/>
      </c>
      <c r="R382" s="15">
        <v>94</v>
      </c>
    </row>
    <row r="383" spans="2:18" x14ac:dyDescent="0.35">
      <c r="B383" s="9">
        <v>1911</v>
      </c>
      <c r="C383" s="9" t="str">
        <v>가용재고</v>
      </c>
      <c r="D383" s="9" t="str">
        <v/>
      </c>
      <c r="E383" s="9" t="str">
        <v/>
      </c>
      <c r="F383" s="9" t="str">
        <v/>
      </c>
      <c r="G383" s="9" t="str">
        <v/>
      </c>
      <c r="H383" s="9" t="str">
        <v>RA-06M-3312</v>
      </c>
      <c r="I383" s="11" t="str">
        <v>RA-06M-3312]BLK TUBE TNK ANGLE (ST)</v>
      </c>
      <c r="J383" s="9">
        <v>94</v>
      </c>
      <c r="K383" s="9" t="str">
        <v/>
      </c>
      <c r="L383" s="9" t="str">
        <v>H2-3</v>
      </c>
      <c r="M383" s="12">
        <v>46295</v>
      </c>
      <c r="N383" s="5" t="str">
        <v/>
      </c>
      <c r="O383" s="5" t="str">
        <v/>
      </c>
      <c r="P383" s="5" t="str">
        <v/>
      </c>
      <c r="Q383" s="14" t="str">
        <v/>
      </c>
      <c r="R383" s="15">
        <v>94</v>
      </c>
    </row>
    <row r="384" spans="2:18" x14ac:dyDescent="0.35">
      <c r="B384" s="9">
        <v>298</v>
      </c>
      <c r="C384" s="9" t="str">
        <v>가용재고</v>
      </c>
      <c r="D384" s="9" t="str">
        <v/>
      </c>
      <c r="E384" s="9" t="str">
        <v/>
      </c>
      <c r="F384" s="9" t="str">
        <v/>
      </c>
      <c r="G384" s="9" t="str">
        <v/>
      </c>
      <c r="H384" s="9" t="str">
        <v>RA-08V-0361</v>
      </c>
      <c r="I384" s="11" t="str">
        <v>RA-08V-0361]HLDR CAS CEPH SNSR BACK</v>
      </c>
      <c r="J384" s="9">
        <v>95</v>
      </c>
      <c r="K384" s="9" t="str">
        <v/>
      </c>
      <c r="L384" s="9" t="str">
        <v>L2-3</v>
      </c>
      <c r="M384" s="12">
        <v>46232</v>
      </c>
      <c r="N384" s="5" t="str">
        <v/>
      </c>
      <c r="O384" s="5" t="str">
        <v/>
      </c>
      <c r="P384" s="5" t="str">
        <v/>
      </c>
      <c r="Q384" s="14" t="str">
        <v/>
      </c>
      <c r="R384" s="15">
        <v>95</v>
      </c>
    </row>
    <row r="385" spans="2:18" x14ac:dyDescent="0.35">
      <c r="B385" s="9">
        <v>992</v>
      </c>
      <c r="C385" s="9" t="str">
        <v>가용재고</v>
      </c>
      <c r="D385" s="9" t="str">
        <v/>
      </c>
      <c r="E385" s="9" t="str">
        <v>기초</v>
      </c>
      <c r="F385" s="9" t="str">
        <v/>
      </c>
      <c r="G385" s="9" t="str">
        <v/>
      </c>
      <c r="H385" s="9" t="str">
        <v>RA-10-6</v>
      </c>
      <c r="I385" s="11" t="str">
        <v>RA-10-6]AC CABLE ASS’Y1</v>
      </c>
      <c r="J385" s="9">
        <v>95</v>
      </c>
      <c r="K385" s="9" t="str">
        <v/>
      </c>
      <c r="L385" s="9" t="str">
        <v>N2-1</v>
      </c>
      <c r="M385" s="12">
        <v>46276</v>
      </c>
      <c r="N385" s="5" t="str">
        <v/>
      </c>
      <c r="O385" s="5" t="str">
        <v/>
      </c>
      <c r="P385" s="5" t="str">
        <v/>
      </c>
      <c r="Q385" s="14" t="str">
        <v/>
      </c>
      <c r="R385" s="15">
        <v>95</v>
      </c>
    </row>
    <row r="386" spans="2:18" x14ac:dyDescent="0.35">
      <c r="B386" s="9">
        <v>1677</v>
      </c>
      <c r="C386" s="9" t="str">
        <v>가용재고</v>
      </c>
      <c r="D386" s="9" t="str">
        <v/>
      </c>
      <c r="E386" s="9" t="str">
        <v/>
      </c>
      <c r="F386" s="9" t="str">
        <v/>
      </c>
      <c r="G386" s="9" t="str">
        <v/>
      </c>
      <c r="H386" s="9" t="str">
        <v>RA-06V-1687</v>
      </c>
      <c r="I386" s="11" t="str">
        <v>RA-06V-1687]BRK XTRUSION PB COL Bas C(VA</v>
      </c>
      <c r="J386" s="9">
        <v>95</v>
      </c>
      <c r="K386" s="9" t="str">
        <v/>
      </c>
      <c r="L386" s="9" t="str">
        <v>H3-4</v>
      </c>
      <c r="M386" s="12">
        <v>46280</v>
      </c>
      <c r="N386" s="5" t="str">
        <v/>
      </c>
      <c r="O386" s="5" t="str">
        <v/>
      </c>
      <c r="P386" s="5" t="str">
        <v/>
      </c>
      <c r="Q386" s="14" t="str">
        <v/>
      </c>
      <c r="R386" s="15">
        <v>95</v>
      </c>
    </row>
    <row r="387" spans="2:18" x14ac:dyDescent="0.35">
      <c r="B387" s="9">
        <v>1894</v>
      </c>
      <c r="C387" s="9" t="str">
        <v>가용재고</v>
      </c>
      <c r="D387" s="9" t="str">
        <v/>
      </c>
      <c r="E387" s="9" t="str">
        <v>입고</v>
      </c>
      <c r="F387" s="9" t="str">
        <v>Bach Tung</v>
      </c>
      <c r="G387" s="9" t="str">
        <v>유영국</v>
      </c>
      <c r="H387" s="9" t="str">
        <v>RA-05M-3359</v>
      </c>
      <c r="I387" s="11" t="str">
        <v>RA-05M-3359]FRM ROT WEIGHT (ST)</v>
      </c>
      <c r="J387" s="9">
        <v>95</v>
      </c>
      <c r="K387" s="9" t="str">
        <v/>
      </c>
      <c r="L387" s="9" t="str">
        <v>P</v>
      </c>
      <c r="M387" s="12">
        <v>46294</v>
      </c>
      <c r="N387" s="5" t="str">
        <v/>
      </c>
      <c r="O387" s="5" t="str">
        <v/>
      </c>
      <c r="P387" s="5" t="str">
        <v/>
      </c>
      <c r="Q387" s="14" t="str">
        <v/>
      </c>
      <c r="R387" s="15">
        <v>95</v>
      </c>
    </row>
    <row r="388" spans="2:18" x14ac:dyDescent="0.35">
      <c r="B388" s="9">
        <v>2422</v>
      </c>
      <c r="C388" s="9" t="str">
        <v>가용재고</v>
      </c>
      <c r="D388" s="9" t="str">
        <v/>
      </c>
      <c r="E388" s="9" t="str">
        <v/>
      </c>
      <c r="F388" s="9" t="str">
        <v/>
      </c>
      <c r="G388" s="9" t="str">
        <v/>
      </c>
      <c r="H388" s="9" t="str">
        <v>RA-11-11</v>
      </c>
      <c r="I388" s="11" t="str">
        <v>RA-11-11]DC POWER MOT-C</v>
      </c>
      <c r="J388" s="9">
        <v>95</v>
      </c>
      <c r="K388" s="9" t="str">
        <v/>
      </c>
      <c r="L388" s="9" t="str">
        <v>G3-5</v>
      </c>
      <c r="M388" s="12">
        <v>46301</v>
      </c>
      <c r="N388" s="5" t="str">
        <v/>
      </c>
      <c r="O388" s="5" t="str">
        <v/>
      </c>
      <c r="P388" s="5" t="str">
        <v/>
      </c>
      <c r="Q388" s="14" t="str">
        <v/>
      </c>
      <c r="R388" s="15">
        <v>95</v>
      </c>
    </row>
    <row r="389" spans="2:18" x14ac:dyDescent="0.35">
      <c r="B389" s="9">
        <v>2544</v>
      </c>
      <c r="C389" s="9" t="str">
        <v>가용재고</v>
      </c>
      <c r="D389" s="9" t="str">
        <v/>
      </c>
      <c r="E389" s="9" t="str">
        <v/>
      </c>
      <c r="F389" s="9" t="str">
        <v/>
      </c>
      <c r="G389" s="9" t="str">
        <v/>
      </c>
      <c r="H389" s="9" t="str">
        <v>RA-04S-0121</v>
      </c>
      <c r="I389" s="11" t="str">
        <v>RA-04S-0121]HINGE SET</v>
      </c>
      <c r="J389" s="9">
        <v>95</v>
      </c>
      <c r="K389" s="9" t="str">
        <v/>
      </c>
      <c r="L389" s="9" t="str">
        <v>B1-4</v>
      </c>
      <c r="M389" s="12">
        <v>46308</v>
      </c>
      <c r="N389" s="5" t="str">
        <v/>
      </c>
      <c r="O389" s="5" t="str">
        <v/>
      </c>
      <c r="P389" s="5" t="str">
        <v/>
      </c>
      <c r="Q389" s="14" t="str">
        <v/>
      </c>
      <c r="R389" s="15">
        <v>95</v>
      </c>
    </row>
    <row r="390" spans="2:18" x14ac:dyDescent="0.35">
      <c r="B390" s="9">
        <v>993</v>
      </c>
      <c r="C390" s="9" t="str">
        <v>가용재고</v>
      </c>
      <c r="D390" s="9" t="str">
        <v/>
      </c>
      <c r="E390" s="9" t="str">
        <v>기초</v>
      </c>
      <c r="F390" s="9" t="str">
        <v/>
      </c>
      <c r="G390" s="9" t="str">
        <v/>
      </c>
      <c r="H390" s="9" t="str">
        <v>RA-15-14</v>
      </c>
      <c r="I390" s="11" t="str">
        <v>RA-15-14]LAMP POWER-R</v>
      </c>
      <c r="J390" s="9">
        <v>96</v>
      </c>
      <c r="K390" s="9" t="str">
        <v/>
      </c>
      <c r="L390" s="9" t="str">
        <v>N2-1</v>
      </c>
      <c r="M390" s="12">
        <v>46276</v>
      </c>
      <c r="N390" s="5" t="str">
        <v/>
      </c>
      <c r="O390" s="5" t="str">
        <v/>
      </c>
      <c r="P390" s="5" t="str">
        <v/>
      </c>
      <c r="Q390" s="14" t="str">
        <v/>
      </c>
      <c r="R390" s="15">
        <v>96</v>
      </c>
    </row>
    <row r="391" spans="2:18" x14ac:dyDescent="0.35">
      <c r="B391" s="9">
        <v>2530</v>
      </c>
      <c r="C391" s="9" t="str">
        <v>가용재고</v>
      </c>
      <c r="D391" s="9" t="str">
        <v/>
      </c>
      <c r="E391" s="9" t="str">
        <v/>
      </c>
      <c r="F391" s="9" t="str">
        <v/>
      </c>
      <c r="G391" s="9" t="str">
        <v/>
      </c>
      <c r="H391" s="9" t="str">
        <v>RA-04A-0899</v>
      </c>
      <c r="I391" s="11" t="str">
        <v>RA-04A-0899]ASM LCD M101NWT2 R1</v>
      </c>
      <c r="J391" s="9">
        <v>96</v>
      </c>
      <c r="K391" s="9" t="str">
        <v/>
      </c>
      <c r="L391" s="9" t="str">
        <v>A16</v>
      </c>
      <c r="M391" s="12">
        <v>46308</v>
      </c>
      <c r="N391" s="5" t="str">
        <v/>
      </c>
      <c r="O391" s="5" t="str">
        <v/>
      </c>
      <c r="P391" s="5" t="str">
        <v/>
      </c>
      <c r="Q391" s="14" t="str">
        <v/>
      </c>
      <c r="R391" s="15">
        <v>96</v>
      </c>
    </row>
    <row r="392" spans="2:18" x14ac:dyDescent="0.35">
      <c r="B392" s="9">
        <v>241</v>
      </c>
      <c r="C392" s="9" t="str">
        <v>가용재고</v>
      </c>
      <c r="D392" s="9" t="str">
        <v/>
      </c>
      <c r="E392" s="9" t="str">
        <v/>
      </c>
      <c r="F392" s="9" t="str">
        <v/>
      </c>
      <c r="G392" s="9" t="str">
        <v/>
      </c>
      <c r="H392" s="9" t="str">
        <v>RA-08V-0170</v>
      </c>
      <c r="I392" s="11" t="str">
        <v>RA-08V-0170]CVR MOUNT CEPH ARM</v>
      </c>
      <c r="J392" s="9">
        <v>97</v>
      </c>
      <c r="K392" s="9" t="str">
        <v/>
      </c>
      <c r="L392" s="9" t="str">
        <v>E2-3</v>
      </c>
      <c r="M392" s="12">
        <v>46232</v>
      </c>
      <c r="N392" s="5" t="str">
        <v/>
      </c>
      <c r="O392" s="5" t="str">
        <v/>
      </c>
      <c r="P392" s="5" t="str">
        <v/>
      </c>
      <c r="Q392" s="14" t="str">
        <v/>
      </c>
      <c r="R392" s="15">
        <v>97</v>
      </c>
    </row>
    <row r="393" spans="2:18" x14ac:dyDescent="0.35">
      <c r="B393" s="9">
        <v>263</v>
      </c>
      <c r="C393" s="9" t="str">
        <v>가용재고</v>
      </c>
      <c r="D393" s="9" t="str">
        <v/>
      </c>
      <c r="E393" s="9" t="str">
        <v/>
      </c>
      <c r="F393" s="9" t="str">
        <v/>
      </c>
      <c r="G393" s="9" t="str">
        <v/>
      </c>
      <c r="H393" s="9" t="str">
        <v>RA-06V-1509</v>
      </c>
      <c r="I393" s="11" t="str">
        <v>RA-06V-1509]BRK XTRUSION PB COL OCL</v>
      </c>
      <c r="J393" s="9">
        <v>97</v>
      </c>
      <c r="K393" s="9" t="str">
        <v/>
      </c>
      <c r="L393" s="9" t="str">
        <v>H4-4</v>
      </c>
      <c r="M393" s="12">
        <v>46232</v>
      </c>
      <c r="N393" s="5" t="str">
        <v/>
      </c>
      <c r="O393" s="5" t="str">
        <v/>
      </c>
      <c r="P393" s="5" t="str">
        <v/>
      </c>
      <c r="Q393" s="14" t="str">
        <v/>
      </c>
      <c r="R393" s="15">
        <v>97</v>
      </c>
    </row>
    <row r="394" spans="2:18" x14ac:dyDescent="0.35">
      <c r="B394" s="9">
        <v>994</v>
      </c>
      <c r="C394" s="9" t="str">
        <v>가용재고</v>
      </c>
      <c r="D394" s="9" t="str">
        <v/>
      </c>
      <c r="E394" s="9" t="str">
        <v>기초</v>
      </c>
      <c r="F394" s="9" t="str">
        <v/>
      </c>
      <c r="G394" s="9" t="str">
        <v/>
      </c>
      <c r="H394" s="9" t="str">
        <v>RA-15-15</v>
      </c>
      <c r="I394" s="11" t="str">
        <v>RA-15-15]LAMP POWER-LR</v>
      </c>
      <c r="J394" s="9">
        <v>97</v>
      </c>
      <c r="K394" s="9" t="str">
        <v/>
      </c>
      <c r="L394" s="9" t="str">
        <v>N2-1</v>
      </c>
      <c r="M394" s="12">
        <v>46276</v>
      </c>
      <c r="N394" s="5" t="str">
        <v/>
      </c>
      <c r="O394" s="5" t="str">
        <v/>
      </c>
      <c r="P394" s="5" t="str">
        <v/>
      </c>
      <c r="Q394" s="14" t="str">
        <v/>
      </c>
      <c r="R394" s="15">
        <v>97</v>
      </c>
    </row>
    <row r="395" spans="2:18" x14ac:dyDescent="0.35">
      <c r="B395" s="9">
        <v>1350</v>
      </c>
      <c r="C395" s="9" t="str">
        <v>가용재고</v>
      </c>
      <c r="D395" s="9" t="str">
        <v/>
      </c>
      <c r="E395" s="9" t="str">
        <v/>
      </c>
      <c r="F395" s="9" t="str">
        <v/>
      </c>
      <c r="G395" s="9" t="str">
        <v/>
      </c>
      <c r="H395" s="9" t="str">
        <v>RF-01S-5050</v>
      </c>
      <c r="I395" s="11" t="str">
        <v>RF-01S-5050]TEETH LENS</v>
      </c>
      <c r="J395" s="9">
        <v>97</v>
      </c>
      <c r="K395" s="9" t="str">
        <v/>
      </c>
      <c r="L395" s="9" t="str">
        <v>3L4-2</v>
      </c>
      <c r="M395" s="12">
        <v>46287</v>
      </c>
      <c r="N395" s="5" t="str">
        <v/>
      </c>
      <c r="O395" s="5" t="str">
        <v/>
      </c>
      <c r="P395" s="5" t="str">
        <v/>
      </c>
      <c r="Q395" s="14" t="str">
        <v/>
      </c>
      <c r="R395" s="15">
        <v>97</v>
      </c>
    </row>
    <row r="396" spans="2:18" x14ac:dyDescent="0.35">
      <c r="B396" s="9">
        <v>2430</v>
      </c>
      <c r="C396" s="9" t="str">
        <v>가용재고</v>
      </c>
      <c r="D396" s="9" t="str">
        <v/>
      </c>
      <c r="E396" s="9" t="str">
        <v/>
      </c>
      <c r="F396" s="9" t="str">
        <v/>
      </c>
      <c r="G396" s="9" t="str">
        <v/>
      </c>
      <c r="H396" s="9" t="str">
        <v>RA-06V-2142</v>
      </c>
      <c r="I396" s="11" t="str">
        <v>RA-06V-2142]BRK TUBE CAS (A+)</v>
      </c>
      <c r="J396" s="9">
        <v>98</v>
      </c>
      <c r="K396" s="9" t="str">
        <v/>
      </c>
      <c r="L396" s="9" t="str">
        <v>I3-3</v>
      </c>
      <c r="M396" s="12">
        <v>46301</v>
      </c>
      <c r="N396" s="5" t="str">
        <v/>
      </c>
      <c r="O396" s="5" t="str">
        <v/>
      </c>
      <c r="P396" s="5" t="str">
        <v/>
      </c>
      <c r="Q396" s="14" t="str">
        <v/>
      </c>
      <c r="R396" s="15">
        <v>98</v>
      </c>
    </row>
    <row r="397" spans="2:18" x14ac:dyDescent="0.35">
      <c r="B397" s="9">
        <v>264</v>
      </c>
      <c r="C397" s="9" t="str">
        <v>가용재고</v>
      </c>
      <c r="D397" s="9" t="str">
        <v/>
      </c>
      <c r="E397" s="9" t="str">
        <v/>
      </c>
      <c r="F397" s="9" t="str">
        <v/>
      </c>
      <c r="G397" s="9" t="str">
        <v/>
      </c>
      <c r="H397" s="9" t="str">
        <v>RA-08V-1308</v>
      </c>
      <c r="I397" s="11" t="str">
        <v>RA-08V-1308]HLDR CAS CEPH SNSR BOT (SG)</v>
      </c>
      <c r="J397" s="9">
        <v>99</v>
      </c>
      <c r="K397" s="9" t="str">
        <v/>
      </c>
      <c r="L397" s="9" t="str">
        <v>E1-4</v>
      </c>
      <c r="M397" s="12">
        <v>46232</v>
      </c>
      <c r="N397" s="5" t="str">
        <v/>
      </c>
      <c r="O397" s="5" t="str">
        <v/>
      </c>
      <c r="P397" s="5" t="str">
        <v/>
      </c>
      <c r="Q397" s="14" t="str">
        <v/>
      </c>
      <c r="R397" s="15">
        <v>99</v>
      </c>
    </row>
    <row r="398" spans="2:18" x14ac:dyDescent="0.35">
      <c r="B398" s="9">
        <v>995</v>
      </c>
      <c r="C398" s="9" t="str">
        <v>가용재고</v>
      </c>
      <c r="D398" s="9" t="str">
        <v/>
      </c>
      <c r="E398" s="9" t="str">
        <v>기초</v>
      </c>
      <c r="F398" s="9" t="str">
        <v/>
      </c>
      <c r="G398" s="9" t="str">
        <v/>
      </c>
      <c r="H398" s="9" t="str">
        <v>RA-3-8</v>
      </c>
      <c r="I398" s="11" t="str">
        <v>RA-3-8]INDICATOR CONTROL</v>
      </c>
      <c r="J398" s="9">
        <v>99</v>
      </c>
      <c r="K398" s="9" t="str">
        <v/>
      </c>
      <c r="L398" s="9" t="str">
        <v>N2-1</v>
      </c>
      <c r="M398" s="12">
        <v>46276</v>
      </c>
      <c r="N398" s="5" t="str">
        <v/>
      </c>
      <c r="O398" s="5" t="str">
        <v/>
      </c>
      <c r="P398" s="5" t="str">
        <v/>
      </c>
      <c r="Q398" s="14" t="str">
        <v/>
      </c>
      <c r="R398" s="15">
        <v>99</v>
      </c>
    </row>
    <row r="399" spans="2:18" x14ac:dyDescent="0.35">
      <c r="B399" s="9">
        <v>1334</v>
      </c>
      <c r="C399" s="9" t="str">
        <v>가용재고</v>
      </c>
      <c r="D399" s="9" t="str">
        <v/>
      </c>
      <c r="E399" s="9" t="str">
        <v/>
      </c>
      <c r="F399" s="9" t="str">
        <v/>
      </c>
      <c r="G399" s="9" t="str">
        <v/>
      </c>
      <c r="H399" s="9" t="str">
        <v>RF-01B-5039</v>
      </c>
      <c r="I399" s="11" t="str">
        <v>RF-01B-5039]POWER HUB Bd</v>
      </c>
      <c r="J399" s="9">
        <v>99</v>
      </c>
      <c r="K399" s="9" t="str">
        <v/>
      </c>
      <c r="L399" s="9" t="str">
        <v>A3-4</v>
      </c>
      <c r="M399" s="12">
        <v>46287</v>
      </c>
      <c r="N399" s="5" t="str">
        <v/>
      </c>
      <c r="O399" s="5" t="str">
        <v/>
      </c>
      <c r="P399" s="5" t="str">
        <v/>
      </c>
      <c r="Q399" s="14" t="str">
        <v/>
      </c>
      <c r="R399" s="15">
        <v>99</v>
      </c>
    </row>
    <row r="400" spans="2:18" x14ac:dyDescent="0.35">
      <c r="B400" s="9">
        <v>1335</v>
      </c>
      <c r="C400" s="9" t="str">
        <v>가용재고</v>
      </c>
      <c r="D400" s="9" t="str">
        <v/>
      </c>
      <c r="E400" s="9" t="str">
        <v/>
      </c>
      <c r="F400" s="9" t="str">
        <v/>
      </c>
      <c r="G400" s="9" t="str">
        <v/>
      </c>
      <c r="H400" s="9" t="str">
        <v>RF-01T-0354</v>
      </c>
      <c r="I400" s="11" t="str">
        <v>RF-01T-0354]CAMERA CASE L</v>
      </c>
      <c r="J400" s="9">
        <v>99</v>
      </c>
      <c r="K400" s="9" t="str">
        <v/>
      </c>
      <c r="L400" s="9" t="str">
        <v>3E9</v>
      </c>
      <c r="M400" s="12">
        <v>46287</v>
      </c>
      <c r="N400" s="5" t="str">
        <v/>
      </c>
      <c r="O400" s="5" t="str">
        <v/>
      </c>
      <c r="P400" s="5" t="str">
        <v/>
      </c>
      <c r="Q400" s="14" t="str">
        <v/>
      </c>
      <c r="R400" s="15">
        <v>99</v>
      </c>
    </row>
    <row r="401" spans="2:18" x14ac:dyDescent="0.35">
      <c r="B401" s="9">
        <v>2047</v>
      </c>
      <c r="C401" s="9" t="str">
        <v>가용재고</v>
      </c>
      <c r="D401" s="9" t="str">
        <v/>
      </c>
      <c r="E401" s="9" t="str">
        <v>입고</v>
      </c>
      <c r="F401" s="9" t="str">
        <v>대영하네스</v>
      </c>
      <c r="G401" s="9" t="str">
        <v>유영국</v>
      </c>
      <c r="H401" s="9" t="str">
        <v>RA-11-34</v>
      </c>
      <c r="I401" s="11" t="str">
        <v>RA-11-34_2]SUB MOT DET(V)</v>
      </c>
      <c r="J401" s="9">
        <v>100</v>
      </c>
      <c r="K401" s="9" t="str">
        <v/>
      </c>
      <c r="L401" s="9" t="str">
        <v>G3-6</v>
      </c>
      <c r="M401" s="12">
        <v>46296</v>
      </c>
      <c r="N401" s="5" t="str">
        <v/>
      </c>
      <c r="O401" s="5" t="str">
        <v/>
      </c>
      <c r="P401" s="5" t="str">
        <v/>
      </c>
      <c r="Q401" s="14" t="str">
        <v/>
      </c>
      <c r="R401" s="15">
        <v>100</v>
      </c>
    </row>
    <row r="402" spans="2:18" x14ac:dyDescent="0.35">
      <c r="B402" s="9">
        <v>1150</v>
      </c>
      <c r="C402" s="9" t="str">
        <v>가용재고</v>
      </c>
      <c r="D402" s="9" t="str">
        <v/>
      </c>
      <c r="E402" s="9" t="str">
        <v>입고</v>
      </c>
      <c r="F402" s="9" t="str">
        <v>A&amp;T</v>
      </c>
      <c r="G402" s="9" t="str">
        <v>조영우</v>
      </c>
      <c r="H402" s="9" t="str">
        <v>RF-20A-0383</v>
      </c>
      <c r="I402" s="11" t="str">
        <v/>
      </c>
      <c r="J402" s="9">
        <v>100</v>
      </c>
      <c r="K402" s="9" t="str">
        <v/>
      </c>
      <c r="L402" s="9" t="str">
        <v>3L1-3</v>
      </c>
      <c r="M402" s="12">
        <v>46281</v>
      </c>
      <c r="N402" s="5" t="str">
        <v/>
      </c>
      <c r="O402" s="5" t="str">
        <v/>
      </c>
      <c r="P402" s="5" t="str">
        <v/>
      </c>
      <c r="Q402" s="14" t="str">
        <v/>
      </c>
      <c r="R402" s="15">
        <v>100</v>
      </c>
    </row>
    <row r="403" spans="2:18" x14ac:dyDescent="0.35">
      <c r="B403" s="9">
        <v>1188</v>
      </c>
      <c r="C403" s="9" t="str">
        <v>가용재고</v>
      </c>
      <c r="D403" s="9" t="str">
        <v/>
      </c>
      <c r="E403" s="9" t="str">
        <v/>
      </c>
      <c r="F403" s="9" t="str">
        <v/>
      </c>
      <c r="G403" s="9" t="str">
        <v/>
      </c>
      <c r="H403" s="9" t="str">
        <v>RE-06V-0615</v>
      </c>
      <c r="I403" s="11" t="str">
        <v>RE-06V-0615]BRK PB COL SC</v>
      </c>
      <c r="J403" s="9">
        <v>100</v>
      </c>
      <c r="K403" s="9" t="str">
        <v/>
      </c>
      <c r="L403" s="9" t="str">
        <v>K2-4</v>
      </c>
      <c r="M403" s="12">
        <v>46276</v>
      </c>
      <c r="N403" s="5" t="str">
        <v/>
      </c>
      <c r="O403" s="5" t="str">
        <v/>
      </c>
      <c r="P403" s="5" t="str">
        <v/>
      </c>
      <c r="Q403" s="14" t="str">
        <v/>
      </c>
      <c r="R403" s="15">
        <v>100</v>
      </c>
    </row>
    <row r="404" spans="2:18" x14ac:dyDescent="0.35">
      <c r="B404" s="9">
        <v>1280</v>
      </c>
      <c r="C404" s="9" t="str">
        <v>가용재고</v>
      </c>
      <c r="D404" s="9" t="str">
        <v/>
      </c>
      <c r="E404" s="9" t="str">
        <v>입고</v>
      </c>
      <c r="F404" s="9" t="str">
        <v>디엔꽝</v>
      </c>
      <c r="G404" s="9" t="str">
        <v>장동은</v>
      </c>
      <c r="H404" s="9" t="str">
        <v>RF-01B-5037</v>
      </c>
      <c r="I404" s="11" t="str">
        <v>RF-01B-5037] LED SIDE BOARD_REV2</v>
      </c>
      <c r="J404" s="9">
        <v>100</v>
      </c>
      <c r="K404" s="9" t="str">
        <v/>
      </c>
      <c r="L404" s="9" t="str">
        <v>A5-4</v>
      </c>
      <c r="M404" s="12">
        <v>46275</v>
      </c>
      <c r="N404" s="5" t="str">
        <v/>
      </c>
      <c r="O404" s="5" t="str">
        <v/>
      </c>
      <c r="P404" s="5" t="str">
        <v/>
      </c>
      <c r="Q404" s="14" t="str">
        <v/>
      </c>
      <c r="R404" s="15">
        <v>100</v>
      </c>
    </row>
    <row r="405" spans="2:18" x14ac:dyDescent="0.35">
      <c r="B405" s="9">
        <v>1317</v>
      </c>
      <c r="C405" s="9" t="str">
        <v>가용재고</v>
      </c>
      <c r="D405" s="9" t="str">
        <v/>
      </c>
      <c r="E405" s="9" t="str">
        <v/>
      </c>
      <c r="F405" s="9" t="str">
        <v/>
      </c>
      <c r="G405" s="9" t="str">
        <v/>
      </c>
      <c r="H405" s="9" t="str">
        <v>RF-01V-0254</v>
      </c>
      <c r="I405" s="11" t="str">
        <v>RF-01V-0254]REAR CVR TOP BRK</v>
      </c>
      <c r="J405" s="9">
        <v>100</v>
      </c>
      <c r="K405" s="9" t="str">
        <v/>
      </c>
      <c r="L405" s="9" t="str">
        <v>3L4-5</v>
      </c>
      <c r="M405" s="12">
        <v>46287</v>
      </c>
      <c r="N405" s="5" t="str">
        <v/>
      </c>
      <c r="O405" s="5" t="str">
        <v/>
      </c>
      <c r="P405" s="5" t="str">
        <v/>
      </c>
      <c r="Q405" s="14" t="str">
        <v/>
      </c>
      <c r="R405" s="15">
        <v>100</v>
      </c>
    </row>
    <row r="406" spans="2:18" x14ac:dyDescent="0.35">
      <c r="B406" s="9">
        <v>1327</v>
      </c>
      <c r="C406" s="9" t="str">
        <v>가용재고</v>
      </c>
      <c r="D406" s="9" t="str">
        <v/>
      </c>
      <c r="E406" s="9" t="str">
        <v/>
      </c>
      <c r="F406" s="9" t="str">
        <v/>
      </c>
      <c r="G406" s="9" t="str">
        <v/>
      </c>
      <c r="H406" s="9" t="str">
        <v>RF-01T-0355</v>
      </c>
      <c r="I406" s="11" t="str">
        <v>RF-01T-0355]CAMERA CASE R</v>
      </c>
      <c r="J406" s="9">
        <v>100</v>
      </c>
      <c r="K406" s="9" t="str">
        <v/>
      </c>
      <c r="L406" s="9" t="str">
        <v>3E9</v>
      </c>
      <c r="M406" s="12">
        <v>46287</v>
      </c>
      <c r="N406" s="5" t="str">
        <v/>
      </c>
      <c r="O406" s="5" t="str">
        <v/>
      </c>
      <c r="P406" s="5" t="str">
        <v/>
      </c>
      <c r="Q406" s="14" t="str">
        <v/>
      </c>
      <c r="R406" s="15">
        <v>100</v>
      </c>
    </row>
    <row r="407" spans="2:18" x14ac:dyDescent="0.35">
      <c r="B407" s="9">
        <v>1331</v>
      </c>
      <c r="C407" s="9" t="str">
        <v>가용재고</v>
      </c>
      <c r="D407" s="9" t="str">
        <v/>
      </c>
      <c r="E407" s="9" t="str">
        <v/>
      </c>
      <c r="F407" s="9" t="str">
        <v/>
      </c>
      <c r="G407" s="9" t="str">
        <v/>
      </c>
      <c r="H407" s="9" t="str">
        <v>RF-01T-0356</v>
      </c>
      <c r="I407" s="11" t="str">
        <v>RF-01T-0356]RUBBER CAP ARM</v>
      </c>
      <c r="J407" s="9">
        <v>100</v>
      </c>
      <c r="K407" s="9" t="str">
        <v/>
      </c>
      <c r="L407" s="9" t="str">
        <v>3L4-2</v>
      </c>
      <c r="M407" s="12">
        <v>46287</v>
      </c>
      <c r="N407" s="5" t="str">
        <v/>
      </c>
      <c r="O407" s="5" t="str">
        <v/>
      </c>
      <c r="P407" s="5" t="str">
        <v/>
      </c>
      <c r="Q407" s="14" t="str">
        <v/>
      </c>
      <c r="R407" s="15">
        <v>100</v>
      </c>
    </row>
    <row r="408" spans="2:18" x14ac:dyDescent="0.35">
      <c r="B408" s="9">
        <v>1913</v>
      </c>
      <c r="C408" s="9" t="str">
        <v>가용재고</v>
      </c>
      <c r="D408" s="9" t="str">
        <v/>
      </c>
      <c r="E408" s="9" t="str">
        <v/>
      </c>
      <c r="F408" s="9" t="str">
        <v/>
      </c>
      <c r="G408" s="9" t="str">
        <v/>
      </c>
      <c r="H408" s="9" t="str">
        <v>RA-06M-3319</v>
      </c>
      <c r="I408" s="11" t="str">
        <v>RA-06M-3319]BLK COL FIX LWR B (ST)</v>
      </c>
      <c r="J408" s="9">
        <v>100</v>
      </c>
      <c r="K408" s="9" t="str">
        <v/>
      </c>
      <c r="L408" s="9" t="str">
        <v>H4-2</v>
      </c>
      <c r="M408" s="12">
        <v>46295</v>
      </c>
      <c r="N408" s="5" t="str">
        <v/>
      </c>
      <c r="O408" s="5" t="str">
        <v/>
      </c>
      <c r="P408" s="5" t="str">
        <v/>
      </c>
      <c r="Q408" s="14" t="str">
        <v/>
      </c>
      <c r="R408" s="15">
        <v>100</v>
      </c>
    </row>
    <row r="409" spans="2:18" x14ac:dyDescent="0.35">
      <c r="B409" s="9">
        <v>1968</v>
      </c>
      <c r="C409" s="9" t="str">
        <v>가용재고</v>
      </c>
      <c r="D409" s="9" t="str">
        <v/>
      </c>
      <c r="E409" s="9" t="str">
        <v>입고</v>
      </c>
      <c r="F409" s="9" t="str">
        <v>A&amp;T</v>
      </c>
      <c r="G409" s="9" t="str">
        <v>장동은</v>
      </c>
      <c r="H409" s="9" t="str">
        <v>RF-01V-0209</v>
      </c>
      <c r="I409" s="11" t="str">
        <v>RF-01V-0209]FRONT BRK TOP</v>
      </c>
      <c r="J409" s="9">
        <v>100</v>
      </c>
      <c r="K409" s="9" t="str">
        <v/>
      </c>
      <c r="L409" s="9" t="str">
        <v>3L4-5</v>
      </c>
      <c r="M409" s="12">
        <v>46301</v>
      </c>
      <c r="N409" s="5" t="str">
        <v/>
      </c>
      <c r="O409" s="5" t="str">
        <v/>
      </c>
      <c r="P409" s="5" t="str">
        <v/>
      </c>
      <c r="Q409" s="14" t="str">
        <v/>
      </c>
      <c r="R409" s="15">
        <v>100</v>
      </c>
    </row>
    <row r="410" spans="2:18" x14ac:dyDescent="0.35">
      <c r="B410" s="9">
        <v>1972</v>
      </c>
      <c r="C410" s="9" t="str">
        <v>가용재고</v>
      </c>
      <c r="D410" s="9" t="str">
        <v/>
      </c>
      <c r="E410" s="9" t="str">
        <v>입고</v>
      </c>
      <c r="F410" s="9" t="str">
        <v>A&amp;T</v>
      </c>
      <c r="G410" s="9" t="str">
        <v>장동은</v>
      </c>
      <c r="H410" s="9" t="str">
        <v>RF-20A-0280</v>
      </c>
      <c r="I410" s="11" t="str">
        <v>RF-20A-0280]MODULE DLP MCU BRACKET</v>
      </c>
      <c r="J410" s="9">
        <v>100</v>
      </c>
      <c r="K410" s="9" t="str">
        <v/>
      </c>
      <c r="L410" s="9" t="str">
        <v>3F2</v>
      </c>
      <c r="M410" s="12">
        <v>46301</v>
      </c>
      <c r="N410" s="5" t="str">
        <v/>
      </c>
      <c r="O410" s="5" t="str">
        <v/>
      </c>
      <c r="P410" s="5" t="str">
        <v/>
      </c>
      <c r="Q410" s="14" t="str">
        <v/>
      </c>
      <c r="R410" s="15">
        <v>100</v>
      </c>
    </row>
    <row r="411" spans="2:18" x14ac:dyDescent="0.35">
      <c r="B411" s="9">
        <v>2025</v>
      </c>
      <c r="C411" s="9" t="str">
        <v>가용재고</v>
      </c>
      <c r="D411" s="9" t="str">
        <v/>
      </c>
      <c r="E411" s="9" t="str">
        <v>입고</v>
      </c>
      <c r="F411" s="9" t="str">
        <v>대영하네스</v>
      </c>
      <c r="G411" s="9" t="str">
        <v>유영국</v>
      </c>
      <c r="H411" s="9" t="str">
        <v>RA-11-9</v>
      </c>
      <c r="I411" s="11" t="str">
        <v>RA-11-9]DC POWER MOT-A</v>
      </c>
      <c r="J411" s="9">
        <v>100</v>
      </c>
      <c r="K411" s="9" t="str">
        <v/>
      </c>
      <c r="L411" s="9" t="str">
        <v>G4</v>
      </c>
      <c r="M411" s="12">
        <v>46296</v>
      </c>
      <c r="N411" s="5" t="str">
        <v/>
      </c>
      <c r="O411" s="5" t="str">
        <v/>
      </c>
      <c r="P411" s="5" t="str">
        <v/>
      </c>
      <c r="Q411" s="14" t="str">
        <v/>
      </c>
      <c r="R411" s="15">
        <v>100</v>
      </c>
    </row>
    <row r="412" spans="2:18" x14ac:dyDescent="0.35">
      <c r="B412" s="9">
        <v>2036</v>
      </c>
      <c r="C412" s="9" t="str">
        <v>가용재고</v>
      </c>
      <c r="D412" s="9" t="str">
        <v/>
      </c>
      <c r="E412" s="9" t="str">
        <v>입고</v>
      </c>
      <c r="F412" s="9" t="str">
        <v>대영하네스</v>
      </c>
      <c r="G412" s="9" t="str">
        <v>유영국</v>
      </c>
      <c r="H412" s="9" t="str">
        <v>RA-1-9A</v>
      </c>
      <c r="I412" s="11" t="str">
        <v>RA-1-9A]DC POWER MOT-A</v>
      </c>
      <c r="J412" s="9">
        <v>100</v>
      </c>
      <c r="K412" s="9" t="str">
        <v/>
      </c>
      <c r="L412" s="9" t="str">
        <v>G4</v>
      </c>
      <c r="M412" s="12">
        <v>46296</v>
      </c>
      <c r="N412" s="5" t="str">
        <v/>
      </c>
      <c r="O412" s="5" t="str">
        <v/>
      </c>
      <c r="P412" s="5" t="str">
        <v/>
      </c>
      <c r="Q412" s="14" t="str">
        <v/>
      </c>
      <c r="R412" s="15">
        <v>100</v>
      </c>
    </row>
    <row r="413" spans="2:18" x14ac:dyDescent="0.35">
      <c r="B413" s="9">
        <v>2055</v>
      </c>
      <c r="C413" s="9" t="str">
        <v>가용재고</v>
      </c>
      <c r="D413" s="9" t="str">
        <v/>
      </c>
      <c r="E413" s="9" t="str">
        <v>입고</v>
      </c>
      <c r="F413" s="9" t="str">
        <v>플랜피뎀</v>
      </c>
      <c r="G413" s="9" t="str">
        <v>유영국</v>
      </c>
      <c r="H413" s="9" t="str">
        <v>C16-635ZZ</v>
      </c>
      <c r="I413" s="11" t="str">
        <v>C16-635ZZ]BALL B-Ring</v>
      </c>
      <c r="J413" s="9">
        <v>100</v>
      </c>
      <c r="K413" s="9" t="str">
        <v/>
      </c>
      <c r="L413" s="9" t="str">
        <v>C1-1</v>
      </c>
      <c r="M413" s="12">
        <v>46297</v>
      </c>
      <c r="N413" s="5" t="str">
        <v/>
      </c>
      <c r="O413" s="5" t="str">
        <v/>
      </c>
      <c r="P413" s="5" t="str">
        <v/>
      </c>
      <c r="Q413" s="14" t="str">
        <v/>
      </c>
      <c r="R413" s="15">
        <v>100</v>
      </c>
    </row>
    <row r="414" spans="2:18" x14ac:dyDescent="0.35">
      <c r="B414" s="9">
        <v>2064</v>
      </c>
      <c r="C414" s="9" t="str">
        <v>가용재고</v>
      </c>
      <c r="D414" s="9" t="str">
        <v/>
      </c>
      <c r="E414" s="9" t="str">
        <v>입고</v>
      </c>
      <c r="F414" s="9" t="str">
        <v>다유</v>
      </c>
      <c r="G414" s="9" t="str">
        <v>유영국</v>
      </c>
      <c r="H414" s="9" t="str">
        <v>RA-02M-2522</v>
      </c>
      <c r="I414" s="11" t="str">
        <v>RA-02M-2522]PULLEY ROT MAIN (A+)</v>
      </c>
      <c r="J414" s="9">
        <v>100</v>
      </c>
      <c r="K414" s="9" t="str">
        <v/>
      </c>
      <c r="L414" s="9" t="str">
        <v>C3-5</v>
      </c>
      <c r="M414" s="12">
        <v>46301</v>
      </c>
      <c r="N414" s="5" t="str">
        <v/>
      </c>
      <c r="O414" s="5" t="str">
        <v/>
      </c>
      <c r="P414" s="5" t="str">
        <v/>
      </c>
      <c r="Q414" s="14" t="str">
        <v/>
      </c>
      <c r="R414" s="15">
        <v>100</v>
      </c>
    </row>
    <row r="415" spans="2:18" x14ac:dyDescent="0.35">
      <c r="B415" s="9">
        <v>2066</v>
      </c>
      <c r="C415" s="9" t="str">
        <v>가용재고</v>
      </c>
      <c r="D415" s="9" t="str">
        <v/>
      </c>
      <c r="E415" s="9" t="str">
        <v>입고</v>
      </c>
      <c r="F415" s="9" t="str">
        <v>다유</v>
      </c>
      <c r="G415" s="9" t="str">
        <v>유영국</v>
      </c>
      <c r="H415" s="9" t="str">
        <v>RA-02A-2622</v>
      </c>
      <c r="I415" s="11" t="str">
        <v>RA-02A-2622]ASM SCREW MOVING Y-AXIS (A+)</v>
      </c>
      <c r="J415" s="9">
        <v>100</v>
      </c>
      <c r="K415" s="9" t="str">
        <v/>
      </c>
      <c r="L415" s="9" t="str">
        <v>C3-5</v>
      </c>
      <c r="M415" s="12">
        <v>46301</v>
      </c>
      <c r="N415" s="5" t="str">
        <v/>
      </c>
      <c r="O415" s="5" t="str">
        <v/>
      </c>
      <c r="P415" s="5" t="str">
        <v/>
      </c>
      <c r="Q415" s="14" t="str">
        <v/>
      </c>
      <c r="R415" s="15">
        <v>100</v>
      </c>
    </row>
    <row r="416" spans="2:18" x14ac:dyDescent="0.35">
      <c r="B416" s="9">
        <v>2351</v>
      </c>
      <c r="C416" s="9" t="str">
        <v>가용재고</v>
      </c>
      <c r="D416" s="9" t="str">
        <v/>
      </c>
      <c r="E416" s="9" t="str">
        <v>입고</v>
      </c>
      <c r="F416" s="9" t="str">
        <v>하이크로봇</v>
      </c>
      <c r="G416" s="9" t="str">
        <v>장동은</v>
      </c>
      <c r="H416" s="9" t="str">
        <v>RF-01S-5083</v>
      </c>
      <c r="I416" s="11" t="str">
        <v>RF-01S-5083]CAM Trigger_L-R harness</v>
      </c>
      <c r="J416" s="9">
        <v>100</v>
      </c>
      <c r="K416" s="9" t="str">
        <v/>
      </c>
      <c r="L416" s="9" t="str">
        <v>3L3-3</v>
      </c>
      <c r="M416" s="12">
        <v>46293</v>
      </c>
      <c r="N416" s="5" t="str">
        <v/>
      </c>
      <c r="O416" s="5" t="str">
        <v/>
      </c>
      <c r="P416" s="5" t="str">
        <v/>
      </c>
      <c r="Q416" s="14" t="str">
        <v/>
      </c>
      <c r="R416" s="15">
        <v>100</v>
      </c>
    </row>
    <row r="417" spans="2:18" x14ac:dyDescent="0.35">
      <c r="B417" s="9">
        <v>2412</v>
      </c>
      <c r="C417" s="9" t="str">
        <v>가용재고</v>
      </c>
      <c r="D417" s="9" t="str">
        <v/>
      </c>
      <c r="E417" s="9" t="str">
        <v/>
      </c>
      <c r="F417" s="9" t="str">
        <v/>
      </c>
      <c r="G417" s="9" t="str">
        <v/>
      </c>
      <c r="H417" s="9" t="str">
        <v>RA-07S-1668</v>
      </c>
      <c r="I417" s="11" t="str">
        <v>RA-07S-1668]MICROMTR HEAD (VA)</v>
      </c>
      <c r="J417" s="9">
        <v>100</v>
      </c>
      <c r="K417" s="9" t="str">
        <v/>
      </c>
      <c r="L417" s="9" t="str">
        <v>J3-1</v>
      </c>
      <c r="M417" s="12">
        <v>46301</v>
      </c>
      <c r="N417" s="5" t="str">
        <v/>
      </c>
      <c r="O417" s="5" t="str">
        <v/>
      </c>
      <c r="P417" s="5" t="str">
        <v/>
      </c>
      <c r="Q417" s="14" t="str">
        <v/>
      </c>
      <c r="R417" s="15">
        <v>100</v>
      </c>
    </row>
    <row r="418" spans="2:18" x14ac:dyDescent="0.35">
      <c r="B418" s="9">
        <v>2414</v>
      </c>
      <c r="C418" s="9" t="str">
        <v>가용재고</v>
      </c>
      <c r="D418" s="9" t="str">
        <v/>
      </c>
      <c r="E418" s="9" t="str">
        <v/>
      </c>
      <c r="F418" s="9" t="str">
        <v/>
      </c>
      <c r="G418" s="9" t="str">
        <v/>
      </c>
      <c r="H418" s="9" t="str">
        <v>RA-07V-2791</v>
      </c>
      <c r="I418" s="11" t="str">
        <v>RA-07V-2791]CVR DET PCB (IR)</v>
      </c>
      <c r="J418" s="9">
        <v>100</v>
      </c>
      <c r="K418" s="9" t="str">
        <v/>
      </c>
      <c r="L418" s="9" t="str">
        <v>J2-4</v>
      </c>
      <c r="M418" s="12">
        <v>46301</v>
      </c>
      <c r="N418" s="5" t="str">
        <v/>
      </c>
      <c r="O418" s="5" t="str">
        <v/>
      </c>
      <c r="P418" s="5" t="str">
        <v/>
      </c>
      <c r="Q418" s="14" t="str">
        <v/>
      </c>
      <c r="R418" s="15">
        <v>100</v>
      </c>
    </row>
    <row r="419" spans="2:18" x14ac:dyDescent="0.35">
      <c r="B419" s="9">
        <v>2420</v>
      </c>
      <c r="C419" s="9" t="str">
        <v>가용재고</v>
      </c>
      <c r="D419" s="9" t="str">
        <v/>
      </c>
      <c r="E419" s="9" t="str">
        <v/>
      </c>
      <c r="F419" s="9" t="str">
        <v/>
      </c>
      <c r="G419" s="9" t="str">
        <v/>
      </c>
      <c r="H419" s="9" t="str">
        <v>RA-07V-2790</v>
      </c>
      <c r="I419" s="11" t="str">
        <v>RA-07V-2790]PLT SPACER DET (IR)</v>
      </c>
      <c r="J419" s="9">
        <v>100</v>
      </c>
      <c r="K419" s="9" t="str">
        <v/>
      </c>
      <c r="L419" s="9" t="str">
        <v>J2-4</v>
      </c>
      <c r="M419" s="12">
        <v>46301</v>
      </c>
      <c r="N419" s="5" t="str">
        <v/>
      </c>
      <c r="O419" s="5" t="str">
        <v/>
      </c>
      <c r="P419" s="5" t="str">
        <v/>
      </c>
      <c r="Q419" s="14" t="str">
        <v/>
      </c>
      <c r="R419" s="15">
        <v>100</v>
      </c>
    </row>
    <row r="420" spans="2:18" x14ac:dyDescent="0.35">
      <c r="B420" s="9">
        <v>2453</v>
      </c>
      <c r="C420" s="9" t="str">
        <v>가용재고</v>
      </c>
      <c r="D420" s="9" t="str">
        <v/>
      </c>
      <c r="E420" s="9" t="str">
        <v/>
      </c>
      <c r="F420" s="9" t="str">
        <v/>
      </c>
      <c r="G420" s="9" t="str">
        <v/>
      </c>
      <c r="H420" s="9" t="str">
        <v>RA-07M-1655</v>
      </c>
      <c r="I420" s="11" t="str">
        <v>RA-07M-1655]COL B-Ring GUIDE (VA)</v>
      </c>
      <c r="J420" s="9">
        <v>100</v>
      </c>
      <c r="K420" s="9" t="str">
        <v/>
      </c>
      <c r="L420" s="9" t="str">
        <v>J2-1</v>
      </c>
      <c r="M420" s="12">
        <v>46301</v>
      </c>
      <c r="N420" s="5" t="str">
        <v/>
      </c>
      <c r="O420" s="5" t="str">
        <v/>
      </c>
      <c r="P420" s="5" t="str">
        <v/>
      </c>
      <c r="Q420" s="14" t="str">
        <v/>
      </c>
      <c r="R420" s="15">
        <v>100</v>
      </c>
    </row>
    <row r="421" spans="2:18" x14ac:dyDescent="0.35">
      <c r="B421" s="9">
        <v>2495</v>
      </c>
      <c r="C421" s="9" t="str">
        <v>가용재고</v>
      </c>
      <c r="D421" s="9" t="str">
        <v/>
      </c>
      <c r="E421" s="9" t="str">
        <v/>
      </c>
      <c r="F421" s="9" t="str">
        <v/>
      </c>
      <c r="G421" s="9" t="str">
        <v/>
      </c>
      <c r="H421" s="9" t="str">
        <v>RA-10-2</v>
      </c>
      <c r="I421" s="11" t="str">
        <v>RA-10-2]PRIME CABLE ASS’Y</v>
      </c>
      <c r="J421" s="9">
        <v>100</v>
      </c>
      <c r="K421" s="9" t="str">
        <v/>
      </c>
      <c r="L421" s="9" t="str">
        <v>G4</v>
      </c>
      <c r="M421" s="12">
        <v>46303</v>
      </c>
      <c r="N421" s="5" t="str">
        <v/>
      </c>
      <c r="O421" s="5" t="str">
        <v/>
      </c>
      <c r="P421" s="5" t="str">
        <v/>
      </c>
      <c r="Q421" s="14" t="str">
        <v/>
      </c>
      <c r="R421" s="15">
        <v>100</v>
      </c>
    </row>
    <row r="422" spans="2:18" x14ac:dyDescent="0.35">
      <c r="B422" s="9">
        <v>243</v>
      </c>
      <c r="C422" s="9" t="str">
        <v>가용재고</v>
      </c>
      <c r="D422" s="9" t="str">
        <v/>
      </c>
      <c r="E422" s="9" t="str">
        <v/>
      </c>
      <c r="F422" s="9" t="str">
        <v/>
      </c>
      <c r="G422" s="9" t="str">
        <v/>
      </c>
      <c r="H422" s="9" t="str">
        <v>RA-08V-0181</v>
      </c>
      <c r="I422" s="11" t="str">
        <v>RA-08V-0181]BLK CEPH ARM FIX</v>
      </c>
      <c r="J422" s="9">
        <v>101</v>
      </c>
      <c r="K422" s="9" t="str">
        <v/>
      </c>
      <c r="L422" s="9" t="str">
        <v>E2-3</v>
      </c>
      <c r="M422" s="12">
        <v>46232</v>
      </c>
      <c r="N422" s="5" t="str">
        <v/>
      </c>
      <c r="O422" s="5" t="str">
        <v/>
      </c>
      <c r="P422" s="5" t="str">
        <v/>
      </c>
      <c r="Q422" s="14" t="str">
        <v/>
      </c>
      <c r="R422" s="15">
        <v>101</v>
      </c>
    </row>
    <row r="423" spans="2:18" x14ac:dyDescent="0.35">
      <c r="B423" s="9">
        <v>1332</v>
      </c>
      <c r="C423" s="9" t="str">
        <v>가용재고</v>
      </c>
      <c r="D423" s="9" t="str">
        <v/>
      </c>
      <c r="E423" s="9" t="str">
        <v/>
      </c>
      <c r="F423" s="9" t="str">
        <v/>
      </c>
      <c r="G423" s="9" t="str">
        <v/>
      </c>
      <c r="H423" s="9" t="str">
        <v>RF-01T-0241</v>
      </c>
      <c r="I423" s="11" t="str">
        <v>RF-01T-0241]CAL Bas UPPER</v>
      </c>
      <c r="J423" s="9">
        <v>101</v>
      </c>
      <c r="K423" s="9" t="str">
        <v/>
      </c>
      <c r="L423" s="9" t="str">
        <v>3E5</v>
      </c>
      <c r="M423" s="12">
        <v>46287</v>
      </c>
      <c r="N423" s="5" t="str">
        <v/>
      </c>
      <c r="O423" s="5" t="str">
        <v/>
      </c>
      <c r="P423" s="5" t="str">
        <v/>
      </c>
      <c r="Q423" s="14" t="str">
        <v/>
      </c>
      <c r="R423" s="15">
        <v>101</v>
      </c>
    </row>
    <row r="424" spans="2:18" x14ac:dyDescent="0.35">
      <c r="B424" s="9">
        <v>2046</v>
      </c>
      <c r="C424" s="9" t="str">
        <v>가용재고</v>
      </c>
      <c r="D424" s="9" t="str">
        <v/>
      </c>
      <c r="E424" s="9" t="str">
        <v>입고</v>
      </c>
      <c r="F424" s="9" t="str">
        <v>대영하네스</v>
      </c>
      <c r="G424" s="9" t="str">
        <v>유영국</v>
      </c>
      <c r="H424" s="9" t="str">
        <v>RA-11-4</v>
      </c>
      <c r="I424" s="11" t="str">
        <v>RA-11-4]MainMCU to STEP DRV</v>
      </c>
      <c r="J424" s="9">
        <v>101</v>
      </c>
      <c r="K424" s="9" t="str">
        <v/>
      </c>
      <c r="L424" s="9" t="str">
        <v>G1-4</v>
      </c>
      <c r="M424" s="12">
        <v>46296</v>
      </c>
      <c r="N424" s="5" t="str">
        <v/>
      </c>
      <c r="O424" s="5" t="str">
        <v/>
      </c>
      <c r="P424" s="5" t="str">
        <v/>
      </c>
      <c r="Q424" s="14" t="str">
        <v/>
      </c>
      <c r="R424" s="15">
        <v>101</v>
      </c>
    </row>
    <row r="425" spans="2:18" x14ac:dyDescent="0.35">
      <c r="B425" s="9">
        <v>996</v>
      </c>
      <c r="C425" s="9" t="str">
        <v>가용재고</v>
      </c>
      <c r="D425" s="9" t="str">
        <v/>
      </c>
      <c r="E425" s="9" t="str">
        <v>기초</v>
      </c>
      <c r="F425" s="9" t="str">
        <v/>
      </c>
      <c r="G425" s="9" t="str">
        <v/>
      </c>
      <c r="H425" s="9" t="str">
        <v>RA-06S-6056</v>
      </c>
      <c r="I425" s="11" t="str">
        <v>RA-06S-6056]CAM LAMP DRV Bd</v>
      </c>
      <c r="J425" s="9">
        <v>102</v>
      </c>
      <c r="K425" s="9" t="str">
        <v/>
      </c>
      <c r="L425" s="9" t="str">
        <v>A7-2</v>
      </c>
      <c r="M425" s="12">
        <v>46276</v>
      </c>
      <c r="N425" s="5" t="str">
        <v/>
      </c>
      <c r="O425" s="5" t="str">
        <v/>
      </c>
      <c r="P425" s="5" t="str">
        <v/>
      </c>
      <c r="Q425" s="14" t="str">
        <v/>
      </c>
      <c r="R425" s="15">
        <v>102</v>
      </c>
    </row>
    <row r="426" spans="2:18" x14ac:dyDescent="0.35">
      <c r="B426" s="9">
        <v>1620</v>
      </c>
      <c r="C426" s="9" t="str">
        <v>가용재고</v>
      </c>
      <c r="D426" s="9" t="str">
        <v/>
      </c>
      <c r="E426" s="9" t="str">
        <v/>
      </c>
      <c r="F426" s="9" t="str">
        <v/>
      </c>
      <c r="G426" s="9" t="str">
        <v/>
      </c>
      <c r="H426" s="9" t="str">
        <v>RA-05V-1684</v>
      </c>
      <c r="I426" s="11" t="str">
        <v>RA-05V-1684]CVR PRIME MCU</v>
      </c>
      <c r="J426" s="9">
        <v>103</v>
      </c>
      <c r="K426" s="9" t="str">
        <v/>
      </c>
      <c r="L426" s="9" t="str">
        <v>O2</v>
      </c>
      <c r="M426" s="12">
        <v>46280</v>
      </c>
      <c r="N426" s="5" t="str">
        <v/>
      </c>
      <c r="O426" s="5" t="str">
        <v/>
      </c>
      <c r="P426" s="5" t="str">
        <v/>
      </c>
      <c r="Q426" s="14" t="str">
        <v/>
      </c>
      <c r="R426" s="15">
        <v>103</v>
      </c>
    </row>
    <row r="427" spans="2:18" x14ac:dyDescent="0.35">
      <c r="B427" s="9">
        <v>1865</v>
      </c>
      <c r="C427" s="9" t="str">
        <v>가용재고</v>
      </c>
      <c r="D427" s="9" t="str">
        <v/>
      </c>
      <c r="E427" s="9" t="str">
        <v/>
      </c>
      <c r="F427" s="9" t="str">
        <v/>
      </c>
      <c r="G427" s="9" t="str">
        <v/>
      </c>
      <c r="H427" s="9" t="str">
        <v>RA-07T-1766</v>
      </c>
      <c r="I427" s="11" t="str">
        <v>RA-07T-1766]BLK DET SNSR</v>
      </c>
      <c r="J427" s="9">
        <v>104</v>
      </c>
      <c r="K427" s="9" t="str">
        <v/>
      </c>
      <c r="L427" s="9" t="str">
        <v>N3-1</v>
      </c>
      <c r="M427" s="12">
        <v>46295</v>
      </c>
      <c r="N427" s="5" t="str">
        <v/>
      </c>
      <c r="O427" s="5" t="str">
        <v/>
      </c>
      <c r="P427" s="5" t="str">
        <v/>
      </c>
      <c r="Q427" s="14" t="str">
        <v/>
      </c>
      <c r="R427" s="15">
        <v>104</v>
      </c>
    </row>
    <row r="428" spans="2:18" x14ac:dyDescent="0.35">
      <c r="B428" s="9">
        <v>434</v>
      </c>
      <c r="C428" s="9" t="str">
        <v>가용재고</v>
      </c>
      <c r="D428" s="9" t="str">
        <v/>
      </c>
      <c r="E428" s="9" t="str">
        <v/>
      </c>
      <c r="F428" s="9" t="str">
        <v/>
      </c>
      <c r="G428" s="9" t="str">
        <v/>
      </c>
      <c r="H428" s="9" t="str">
        <v>RF-01T-0255</v>
      </c>
      <c r="I428" s="11" t="str">
        <v>RF-01T-0255]CVR FRONT MID R</v>
      </c>
      <c r="J428" s="9">
        <v>105</v>
      </c>
      <c r="K428" s="9" t="str">
        <v/>
      </c>
      <c r="L428" s="9" t="str">
        <v>3L3-1</v>
      </c>
      <c r="M428" s="12">
        <v>46259</v>
      </c>
      <c r="N428" s="5" t="str">
        <v/>
      </c>
      <c r="O428" s="5" t="str">
        <v/>
      </c>
      <c r="P428" s="5" t="str">
        <v/>
      </c>
      <c r="Q428" s="14" t="str">
        <v/>
      </c>
      <c r="R428" s="15">
        <v>105</v>
      </c>
    </row>
    <row r="429" spans="2:18" x14ac:dyDescent="0.35">
      <c r="B429" s="9">
        <v>2135</v>
      </c>
      <c r="C429" s="9" t="str">
        <v>가용재고</v>
      </c>
      <c r="D429" s="9" t="str">
        <v/>
      </c>
      <c r="E429" s="9" t="str">
        <v/>
      </c>
      <c r="F429" s="9" t="str">
        <v/>
      </c>
      <c r="G429" s="9" t="str">
        <v/>
      </c>
      <c r="H429" s="9" t="str">
        <v>RA-02A-6003</v>
      </c>
      <c r="I429" s="11" t="str">
        <v>RA-02A-6003]Bd ASSY'-Step Driver</v>
      </c>
      <c r="J429" s="9">
        <v>105</v>
      </c>
      <c r="K429" s="9" t="str">
        <v/>
      </c>
      <c r="L429" s="9" t="str">
        <v>A1-3</v>
      </c>
      <c r="M429" s="12">
        <v>46293</v>
      </c>
      <c r="N429" s="5" t="str">
        <v/>
      </c>
      <c r="O429" s="5" t="str">
        <v/>
      </c>
      <c r="P429" s="5" t="str">
        <v/>
      </c>
      <c r="Q429" s="14" t="str">
        <v/>
      </c>
      <c r="R429" s="15">
        <v>105</v>
      </c>
    </row>
    <row r="430" spans="2:18" x14ac:dyDescent="0.35">
      <c r="B430" s="9">
        <v>2398</v>
      </c>
      <c r="C430" s="9" t="str">
        <v>가용재고</v>
      </c>
      <c r="D430" s="9" t="str">
        <v/>
      </c>
      <c r="E430" s="9" t="str">
        <v/>
      </c>
      <c r="F430" s="9" t="str">
        <v/>
      </c>
      <c r="G430" s="9" t="str">
        <v/>
      </c>
      <c r="H430" s="9" t="str">
        <v>RA-07A-1777</v>
      </c>
      <c r="I430" s="11" t="str">
        <v>RA-07A-1777]ASM SCREW MOVING DET (VA)</v>
      </c>
      <c r="J430" s="9">
        <v>105</v>
      </c>
      <c r="K430" s="9" t="str">
        <v/>
      </c>
      <c r="L430" s="9" t="str">
        <v>J2-2</v>
      </c>
      <c r="M430" s="12">
        <v>46301</v>
      </c>
      <c r="N430" s="5" t="str">
        <v/>
      </c>
      <c r="O430" s="5" t="str">
        <v/>
      </c>
      <c r="P430" s="5" t="str">
        <v/>
      </c>
      <c r="Q430" s="14" t="str">
        <v/>
      </c>
      <c r="R430" s="15">
        <v>105</v>
      </c>
    </row>
    <row r="431" spans="2:18" x14ac:dyDescent="0.35">
      <c r="B431" s="9">
        <v>1842</v>
      </c>
      <c r="C431" s="9" t="str">
        <v>가용재고</v>
      </c>
      <c r="D431" s="9" t="str">
        <v/>
      </c>
      <c r="E431" s="9" t="str">
        <v/>
      </c>
      <c r="F431" s="9" t="str">
        <v/>
      </c>
      <c r="G431" s="9" t="str">
        <v/>
      </c>
      <c r="H431" s="9" t="str">
        <v>RA-06V-1678</v>
      </c>
      <c r="I431" s="11" t="str">
        <v>RA-06V-1678]BRK CANINE TOOTH LASER BEAM</v>
      </c>
      <c r="J431" s="9">
        <v>106</v>
      </c>
      <c r="K431" s="9" t="str">
        <v/>
      </c>
      <c r="L431" s="9" t="str">
        <v>H3-4</v>
      </c>
      <c r="M431" s="12">
        <v>46295</v>
      </c>
      <c r="N431" s="5" t="str">
        <v/>
      </c>
      <c r="O431" s="5" t="str">
        <v/>
      </c>
      <c r="P431" s="5" t="str">
        <v/>
      </c>
      <c r="Q431" s="14" t="str">
        <v/>
      </c>
      <c r="R431" s="15">
        <v>106</v>
      </c>
    </row>
    <row r="432" spans="2:18" x14ac:dyDescent="0.35">
      <c r="B432" s="9">
        <v>2532</v>
      </c>
      <c r="C432" s="9" t="str">
        <v>가용재고</v>
      </c>
      <c r="D432" s="9" t="str">
        <v/>
      </c>
      <c r="E432" s="9" t="str">
        <v/>
      </c>
      <c r="F432" s="9" t="str">
        <v/>
      </c>
      <c r="G432" s="9" t="str">
        <v/>
      </c>
      <c r="H432" s="9" t="str">
        <v>RA-03M-2193</v>
      </c>
      <c r="I432" s="11" t="str">
        <v>RA-03M-2193]CVR PROT (A+)</v>
      </c>
      <c r="J432" s="9">
        <v>106</v>
      </c>
      <c r="K432" s="9" t="str">
        <v/>
      </c>
      <c r="L432" s="9" t="str">
        <v>B1-1</v>
      </c>
      <c r="M432" s="12">
        <v>46308</v>
      </c>
      <c r="N432" s="5" t="str">
        <v/>
      </c>
      <c r="O432" s="5" t="str">
        <v/>
      </c>
      <c r="P432" s="5" t="str">
        <v/>
      </c>
      <c r="Q432" s="14" t="str">
        <v/>
      </c>
      <c r="R432" s="15">
        <v>106</v>
      </c>
    </row>
    <row r="433" spans="2:18" x14ac:dyDescent="0.35">
      <c r="B433" s="9">
        <v>2545</v>
      </c>
      <c r="C433" s="9" t="str">
        <v>가용재고</v>
      </c>
      <c r="D433" s="9" t="str">
        <v/>
      </c>
      <c r="E433" s="9" t="str">
        <v/>
      </c>
      <c r="F433" s="9" t="str">
        <v/>
      </c>
      <c r="G433" s="9" t="str">
        <v/>
      </c>
      <c r="H433" s="9" t="str">
        <v>RA-04V-0118</v>
      </c>
      <c r="I433" s="11" t="str">
        <v>RA-04V-0118]BRK MONITOR HINGE</v>
      </c>
      <c r="J433" s="9">
        <v>106</v>
      </c>
      <c r="K433" s="9" t="str">
        <v/>
      </c>
      <c r="L433" s="9" t="str">
        <v>B2-3</v>
      </c>
      <c r="M433" s="12">
        <v>46308</v>
      </c>
      <c r="N433" s="5" t="str">
        <v/>
      </c>
      <c r="O433" s="5" t="str">
        <v/>
      </c>
      <c r="P433" s="5" t="str">
        <v/>
      </c>
      <c r="Q433" s="14" t="str">
        <v/>
      </c>
      <c r="R433" s="15">
        <v>106</v>
      </c>
    </row>
    <row r="434" spans="2:18" x14ac:dyDescent="0.35">
      <c r="B434" s="9">
        <v>2127</v>
      </c>
      <c r="C434" s="9" t="str">
        <v>가용재고</v>
      </c>
      <c r="D434" s="9" t="str">
        <v/>
      </c>
      <c r="E434" s="9" t="str">
        <v/>
      </c>
      <c r="F434" s="9" t="str">
        <v/>
      </c>
      <c r="G434" s="9" t="str">
        <v/>
      </c>
      <c r="H434" s="9" t="str">
        <v>RA-02A-2020</v>
      </c>
      <c r="I434" s="11" t="str">
        <v>RA-02A-2020]ASM SCREW X-AXIS (A+)</v>
      </c>
      <c r="J434" s="9">
        <v>107</v>
      </c>
      <c r="K434" s="9" t="str">
        <v/>
      </c>
      <c r="L434" s="9" t="str">
        <v>C2-1</v>
      </c>
      <c r="M434" s="12">
        <v>46293</v>
      </c>
      <c r="N434" s="5" t="str">
        <v/>
      </c>
      <c r="O434" s="5" t="str">
        <v/>
      </c>
      <c r="P434" s="5" t="str">
        <v/>
      </c>
      <c r="Q434" s="14" t="str">
        <v/>
      </c>
      <c r="R434" s="15">
        <v>107</v>
      </c>
    </row>
    <row r="435" spans="2:18" x14ac:dyDescent="0.35">
      <c r="B435" s="9">
        <v>2132</v>
      </c>
      <c r="C435" s="9" t="str">
        <v>가용재고</v>
      </c>
      <c r="D435" s="9" t="str">
        <v/>
      </c>
      <c r="E435" s="9" t="str">
        <v/>
      </c>
      <c r="F435" s="9" t="str">
        <v/>
      </c>
      <c r="G435" s="9" t="str">
        <v/>
      </c>
      <c r="H435" s="9" t="str">
        <v>RA-02A-2711</v>
      </c>
      <c r="I435" s="11" t="str">
        <v>RA-02A-2711]ASM GUIDE Y-AXIS SCREW B</v>
      </c>
      <c r="J435" s="9">
        <v>108</v>
      </c>
      <c r="K435" s="9" t="str">
        <v/>
      </c>
      <c r="L435" s="9" t="str">
        <v>C2-2</v>
      </c>
      <c r="M435" s="12">
        <v>46293</v>
      </c>
      <c r="N435" s="5" t="str">
        <v/>
      </c>
      <c r="O435" s="5" t="str">
        <v/>
      </c>
      <c r="P435" s="5" t="str">
        <v/>
      </c>
      <c r="Q435" s="14" t="str">
        <v/>
      </c>
      <c r="R435" s="15">
        <v>108</v>
      </c>
    </row>
    <row r="436" spans="2:18" x14ac:dyDescent="0.35">
      <c r="B436" s="9">
        <v>2533</v>
      </c>
      <c r="C436" s="9" t="str">
        <v>가용재고</v>
      </c>
      <c r="D436" s="9" t="str">
        <v/>
      </c>
      <c r="E436" s="9" t="str">
        <v/>
      </c>
      <c r="F436" s="9" t="str">
        <v/>
      </c>
      <c r="G436" s="9" t="str">
        <v/>
      </c>
      <c r="H436" s="9" t="str">
        <v>RA-04M-1338</v>
      </c>
      <c r="I436" s="11" t="str">
        <v>RA-04M-1338]BLK HEADREST FIX BAR-L</v>
      </c>
      <c r="J436" s="9">
        <v>111</v>
      </c>
      <c r="K436" s="9" t="str">
        <v/>
      </c>
      <c r="L436" s="9" t="str">
        <v>B1-5</v>
      </c>
      <c r="M436" s="12">
        <v>46308</v>
      </c>
      <c r="N436" s="5" t="str">
        <v/>
      </c>
      <c r="O436" s="5" t="str">
        <v/>
      </c>
      <c r="P436" s="5" t="str">
        <v/>
      </c>
      <c r="Q436" s="14" t="str">
        <v/>
      </c>
      <c r="R436" s="15">
        <v>111</v>
      </c>
    </row>
    <row r="437" spans="2:18" x14ac:dyDescent="0.35">
      <c r="B437" s="9">
        <v>2011</v>
      </c>
      <c r="C437" s="9" t="str">
        <v>가용재고</v>
      </c>
      <c r="D437" s="9" t="str">
        <v/>
      </c>
      <c r="E437" s="9" t="str">
        <v/>
      </c>
      <c r="F437" s="9" t="str">
        <v/>
      </c>
      <c r="G437" s="9" t="str">
        <v/>
      </c>
      <c r="H437" s="9" t="str">
        <v>RA-02M-2001</v>
      </c>
      <c r="I437" s="11" t="str">
        <v>RA-02M-2001] FRAME VERTICAL BASE (A+)</v>
      </c>
      <c r="J437" s="9">
        <v>112</v>
      </c>
      <c r="K437" s="9" t="str">
        <v/>
      </c>
      <c r="L437" s="9" t="str">
        <v>T</v>
      </c>
      <c r="M437" s="12">
        <v>46293</v>
      </c>
      <c r="N437" s="5" t="str">
        <v/>
      </c>
      <c r="O437" s="5" t="str">
        <v/>
      </c>
      <c r="P437" s="5" t="str">
        <v/>
      </c>
      <c r="Q437" s="14" t="str">
        <v/>
      </c>
      <c r="R437" s="15">
        <v>112</v>
      </c>
    </row>
    <row r="438" spans="2:18" x14ac:dyDescent="0.35">
      <c r="B438" s="9">
        <v>1978</v>
      </c>
      <c r="C438" s="9" t="str">
        <v>가용재고</v>
      </c>
      <c r="D438" s="9" t="str">
        <v/>
      </c>
      <c r="E438" s="9" t="str">
        <v>입고</v>
      </c>
      <c r="F438" s="9" t="str">
        <v>A&amp;T</v>
      </c>
      <c r="G438" s="9" t="str">
        <v>장동은</v>
      </c>
      <c r="H438" s="9" t="str">
        <v>RA-04A-2748</v>
      </c>
      <c r="I438" s="11" t="str">
        <v>RA-04A-2748]ASM ARM SUB (A+) (VN)</v>
      </c>
      <c r="J438" s="9">
        <v>114</v>
      </c>
      <c r="K438" s="9" t="str">
        <v/>
      </c>
      <c r="L438" s="9" t="str">
        <v>T</v>
      </c>
      <c r="M438" s="12">
        <v>46301</v>
      </c>
      <c r="N438" s="5" t="str">
        <v/>
      </c>
      <c r="O438" s="5" t="str">
        <v/>
      </c>
      <c r="P438" s="5" t="str">
        <v/>
      </c>
      <c r="Q438" s="14" t="str">
        <v/>
      </c>
      <c r="R438" s="15">
        <v>114</v>
      </c>
    </row>
    <row r="439" spans="2:18" x14ac:dyDescent="0.35">
      <c r="B439" s="9">
        <v>2237</v>
      </c>
      <c r="C439" s="9" t="str">
        <v>가용재고</v>
      </c>
      <c r="D439" s="9" t="str">
        <v/>
      </c>
      <c r="E439" s="9" t="str">
        <v/>
      </c>
      <c r="F439" s="9" t="str">
        <v/>
      </c>
      <c r="G439" s="9" t="str">
        <v/>
      </c>
      <c r="H439" s="9" t="str">
        <v>RA-03V-1908</v>
      </c>
      <c r="I439" s="11" t="str">
        <v>RA-03V-1908]BRK FIX HUB</v>
      </c>
      <c r="J439" s="9">
        <v>114</v>
      </c>
      <c r="K439" s="9" t="str">
        <v/>
      </c>
      <c r="L439" s="9" t="str">
        <v>B1-2</v>
      </c>
      <c r="M439" s="12">
        <v>46295</v>
      </c>
      <c r="N439" s="5" t="str">
        <v/>
      </c>
      <c r="O439" s="5" t="str">
        <v/>
      </c>
      <c r="P439" s="5" t="str">
        <v/>
      </c>
      <c r="Q439" s="14" t="str">
        <v/>
      </c>
      <c r="R439" s="15">
        <v>114</v>
      </c>
    </row>
    <row r="440" spans="2:18" x14ac:dyDescent="0.35">
      <c r="B440" s="9">
        <v>2410</v>
      </c>
      <c r="C440" s="9" t="str">
        <v>가용재고</v>
      </c>
      <c r="D440" s="9" t="str">
        <v/>
      </c>
      <c r="E440" s="9" t="str">
        <v/>
      </c>
      <c r="F440" s="9" t="str">
        <v/>
      </c>
      <c r="G440" s="9" t="str">
        <v/>
      </c>
      <c r="H440" s="9" t="str">
        <v>RA-07M-1666</v>
      </c>
      <c r="I440" s="11" t="str">
        <v>RA-07M-1666]BLK STOPPER MICROMTR HEAD(VA</v>
      </c>
      <c r="J440" s="9">
        <v>114</v>
      </c>
      <c r="K440" s="9" t="str">
        <v/>
      </c>
      <c r="L440" s="9" t="str">
        <v>J2-1</v>
      </c>
      <c r="M440" s="12">
        <v>46301</v>
      </c>
      <c r="N440" s="5" t="str">
        <v/>
      </c>
      <c r="O440" s="5" t="str">
        <v/>
      </c>
      <c r="P440" s="5" t="str">
        <v/>
      </c>
      <c r="Q440" s="14" t="str">
        <v/>
      </c>
      <c r="R440" s="15">
        <v>114</v>
      </c>
    </row>
    <row r="441" spans="2:18" x14ac:dyDescent="0.35">
      <c r="B441" s="9">
        <v>1000</v>
      </c>
      <c r="C441" s="9" t="str">
        <v>가용재고</v>
      </c>
      <c r="D441" s="9" t="str">
        <v/>
      </c>
      <c r="E441" s="9" t="str">
        <v>기초</v>
      </c>
      <c r="F441" s="9" t="str">
        <v/>
      </c>
      <c r="G441" s="9" t="str">
        <v/>
      </c>
      <c r="H441" s="9" t="str">
        <v>RA-06V-3749</v>
      </c>
      <c r="I441" s="11" t="str">
        <v>BRK USB CABLE HLDR (ST)</v>
      </c>
      <c r="J441" s="9">
        <v>115</v>
      </c>
      <c r="K441" s="9" t="str">
        <v/>
      </c>
      <c r="L441" s="9" t="str">
        <v>F3-4</v>
      </c>
      <c r="M441" s="12">
        <v>46276</v>
      </c>
      <c r="N441" s="5" t="str">
        <v/>
      </c>
      <c r="O441" s="5" t="str">
        <v/>
      </c>
      <c r="P441" s="5" t="str">
        <v/>
      </c>
      <c r="Q441" s="14" t="str">
        <v/>
      </c>
      <c r="R441" s="15">
        <v>115</v>
      </c>
    </row>
    <row r="442" spans="2:18" x14ac:dyDescent="0.35">
      <c r="B442" s="9">
        <v>2400</v>
      </c>
      <c r="C442" s="9" t="str">
        <v>가용재고</v>
      </c>
      <c r="D442" s="9" t="str">
        <v/>
      </c>
      <c r="E442" s="9" t="str">
        <v/>
      </c>
      <c r="F442" s="9" t="str">
        <v/>
      </c>
      <c r="G442" s="9" t="str">
        <v/>
      </c>
      <c r="H442" s="9" t="str">
        <v>RA-07V-2782</v>
      </c>
      <c r="I442" s="11" t="str">
        <v>RA-07V-2782]CVR DET MOT LINKER (IR)</v>
      </c>
      <c r="J442" s="9">
        <v>115</v>
      </c>
      <c r="K442" s="9" t="str">
        <v/>
      </c>
      <c r="L442" s="9" t="str">
        <v>J2-3</v>
      </c>
      <c r="M442" s="12">
        <v>46301</v>
      </c>
      <c r="N442" s="5" t="str">
        <v/>
      </c>
      <c r="O442" s="5" t="str">
        <v/>
      </c>
      <c r="P442" s="5" t="str">
        <v/>
      </c>
      <c r="Q442" s="14" t="str">
        <v/>
      </c>
      <c r="R442" s="15">
        <v>115</v>
      </c>
    </row>
    <row r="443" spans="2:18" x14ac:dyDescent="0.35">
      <c r="B443" s="9">
        <v>2480</v>
      </c>
      <c r="C443" s="9" t="str">
        <v>가용재고</v>
      </c>
      <c r="D443" s="9" t="str">
        <v/>
      </c>
      <c r="E443" s="9" t="str">
        <v/>
      </c>
      <c r="F443" s="9" t="str">
        <v/>
      </c>
      <c r="G443" s="9" t="str">
        <v/>
      </c>
      <c r="H443" s="9" t="str">
        <v>RA-03V-1991</v>
      </c>
      <c r="I443" s="11" t="str">
        <v>RA-03V-1991]BRK CENTER LASERBEAM (A+)</v>
      </c>
      <c r="J443" s="9">
        <v>115</v>
      </c>
      <c r="K443" s="9" t="str">
        <v/>
      </c>
      <c r="L443" s="9" t="str">
        <v>B1-3</v>
      </c>
      <c r="M443" s="12">
        <v>46301</v>
      </c>
      <c r="N443" s="5" t="str">
        <v/>
      </c>
      <c r="O443" s="5" t="str">
        <v/>
      </c>
      <c r="P443" s="5" t="str">
        <v/>
      </c>
      <c r="Q443" s="14" t="str">
        <v/>
      </c>
      <c r="R443" s="15">
        <v>115</v>
      </c>
    </row>
    <row r="444" spans="2:18" x14ac:dyDescent="0.35">
      <c r="B444" s="9">
        <v>296</v>
      </c>
      <c r="C444" s="9" t="str">
        <v>가용재고</v>
      </c>
      <c r="D444" s="9" t="str">
        <v/>
      </c>
      <c r="E444" s="9" t="str">
        <v/>
      </c>
      <c r="F444" s="9" t="str">
        <v/>
      </c>
      <c r="G444" s="9" t="str">
        <v/>
      </c>
      <c r="H444" s="9" t="str">
        <v>RA-08M-0975</v>
      </c>
      <c r="I444" s="11" t="str">
        <v>RA-08M-0975]SHAFT ROLLER AXIS</v>
      </c>
      <c r="J444" s="9">
        <v>117</v>
      </c>
      <c r="K444" s="9" t="str">
        <v/>
      </c>
      <c r="L444" s="9" t="str">
        <v>E1-2</v>
      </c>
      <c r="M444" s="12">
        <v>46232</v>
      </c>
      <c r="N444" s="5" t="str">
        <v/>
      </c>
      <c r="O444" s="5" t="str">
        <v/>
      </c>
      <c r="P444" s="5" t="str">
        <v/>
      </c>
      <c r="Q444" s="14" t="str">
        <v/>
      </c>
      <c r="R444" s="15">
        <v>117</v>
      </c>
    </row>
    <row r="445" spans="2:18" x14ac:dyDescent="0.35">
      <c r="B445" s="9">
        <v>2128</v>
      </c>
      <c r="C445" s="9" t="str">
        <v>가용재고</v>
      </c>
      <c r="D445" s="9" t="str">
        <v/>
      </c>
      <c r="E445" s="9" t="str">
        <v/>
      </c>
      <c r="F445" s="9" t="str">
        <v/>
      </c>
      <c r="G445" s="9" t="str">
        <v/>
      </c>
      <c r="H445" s="9" t="str">
        <v>RA-02A-2031</v>
      </c>
      <c r="I445" s="11" t="str">
        <v>RA-02A-2031]ASM MAIN PULLEY MOT (A+)</v>
      </c>
      <c r="J445" s="9">
        <v>117</v>
      </c>
      <c r="K445" s="9" t="str">
        <v/>
      </c>
      <c r="L445" s="9" t="str">
        <v>K8</v>
      </c>
      <c r="M445" s="12">
        <v>46293</v>
      </c>
      <c r="N445" s="5" t="str">
        <v/>
      </c>
      <c r="O445" s="5" t="str">
        <v/>
      </c>
      <c r="P445" s="5" t="str">
        <v/>
      </c>
      <c r="Q445" s="14" t="str">
        <v/>
      </c>
      <c r="R445" s="15">
        <v>117</v>
      </c>
    </row>
    <row r="446" spans="2:18" x14ac:dyDescent="0.35">
      <c r="B446" s="9">
        <v>1843</v>
      </c>
      <c r="C446" s="9" t="str">
        <v>가용재고</v>
      </c>
      <c r="D446" s="9" t="str">
        <v/>
      </c>
      <c r="E446" s="9" t="str">
        <v/>
      </c>
      <c r="F446" s="9" t="str">
        <v/>
      </c>
      <c r="G446" s="9" t="str">
        <v/>
      </c>
      <c r="H446" s="9" t="str">
        <v>RA-06A-2747</v>
      </c>
      <c r="I446" s="11" t="str">
        <v>RA-06A-2747]ASM EXTRUSION COL (VN)</v>
      </c>
      <c r="J446" s="9">
        <v>118</v>
      </c>
      <c r="K446" s="9" t="str">
        <v/>
      </c>
      <c r="L446" s="9" t="str">
        <v>O1</v>
      </c>
      <c r="M446" s="12">
        <v>46295</v>
      </c>
      <c r="N446" s="5" t="str">
        <v/>
      </c>
      <c r="O446" s="5" t="str">
        <v/>
      </c>
      <c r="P446" s="5" t="str">
        <v/>
      </c>
      <c r="Q446" s="14" t="str">
        <v/>
      </c>
      <c r="R446" s="15">
        <v>118</v>
      </c>
    </row>
    <row r="447" spans="2:18" x14ac:dyDescent="0.35">
      <c r="B447" s="9">
        <v>2133</v>
      </c>
      <c r="C447" s="9" t="str">
        <v>가용재고</v>
      </c>
      <c r="D447" s="9" t="str">
        <v/>
      </c>
      <c r="E447" s="9" t="str">
        <v/>
      </c>
      <c r="F447" s="9" t="str">
        <v/>
      </c>
      <c r="G447" s="9" t="str">
        <v/>
      </c>
      <c r="H447" s="9" t="str">
        <v>RA-02A-2712</v>
      </c>
      <c r="I447" s="11" t="str">
        <v>RA-02A-2712]ASM Y-AXIS MOT</v>
      </c>
      <c r="J447" s="9">
        <v>118</v>
      </c>
      <c r="K447" s="9" t="str">
        <v/>
      </c>
      <c r="L447" s="9" t="str">
        <v>C2-2</v>
      </c>
      <c r="M447" s="12">
        <v>46293</v>
      </c>
      <c r="N447" s="5" t="str">
        <v/>
      </c>
      <c r="O447" s="5" t="str">
        <v/>
      </c>
      <c r="P447" s="5" t="str">
        <v/>
      </c>
      <c r="Q447" s="14" t="str">
        <v/>
      </c>
      <c r="R447" s="15">
        <v>118</v>
      </c>
    </row>
    <row r="448" spans="2:18" x14ac:dyDescent="0.35">
      <c r="B448" s="9">
        <v>1678</v>
      </c>
      <c r="C448" s="9" t="str">
        <v>가용재고</v>
      </c>
      <c r="D448" s="9" t="str">
        <v/>
      </c>
      <c r="E448" s="9" t="str">
        <v/>
      </c>
      <c r="F448" s="9" t="str">
        <v/>
      </c>
      <c r="G448" s="9" t="str">
        <v/>
      </c>
      <c r="H448" s="9" t="str">
        <v>RA-07A-2718</v>
      </c>
      <c r="I448" s="11" t="str">
        <v>RA-07A-2718]ASM PLT ADJUST DET (VA)</v>
      </c>
      <c r="J448" s="9">
        <v>119</v>
      </c>
      <c r="K448" s="9" t="str">
        <v/>
      </c>
      <c r="L448" s="9" t="str">
        <v>T</v>
      </c>
      <c r="M448" s="12">
        <v>46280</v>
      </c>
      <c r="N448" s="5" t="str">
        <v/>
      </c>
      <c r="O448" s="5" t="str">
        <v/>
      </c>
      <c r="P448" s="5" t="str">
        <v/>
      </c>
      <c r="Q448" s="14" t="str">
        <v/>
      </c>
      <c r="R448" s="15">
        <v>119</v>
      </c>
    </row>
    <row r="449" spans="2:18" x14ac:dyDescent="0.35">
      <c r="B449" s="9">
        <v>2130</v>
      </c>
      <c r="C449" s="9" t="str">
        <v>가용재고</v>
      </c>
      <c r="D449" s="9" t="str">
        <v/>
      </c>
      <c r="E449" s="9" t="str">
        <v/>
      </c>
      <c r="F449" s="9" t="str">
        <v/>
      </c>
      <c r="G449" s="9" t="str">
        <v/>
      </c>
      <c r="H449" s="9" t="str">
        <v>RA-02A-2303</v>
      </c>
      <c r="I449" s="11" t="str">
        <v>RA-02A-2303]ASM IDLER B-Ring (A+)</v>
      </c>
      <c r="J449" s="9">
        <v>119</v>
      </c>
      <c r="K449" s="9" t="str">
        <v/>
      </c>
      <c r="L449" s="9" t="str">
        <v>C1-1</v>
      </c>
      <c r="M449" s="12">
        <v>46293</v>
      </c>
      <c r="N449" s="5" t="str">
        <v/>
      </c>
      <c r="O449" s="5" t="str">
        <v/>
      </c>
      <c r="P449" s="5" t="str">
        <v/>
      </c>
      <c r="Q449" s="14" t="str">
        <v/>
      </c>
      <c r="R449" s="15">
        <v>119</v>
      </c>
    </row>
    <row r="450" spans="2:18" x14ac:dyDescent="0.35">
      <c r="B450" s="9">
        <v>2427</v>
      </c>
      <c r="C450" s="9" t="str">
        <v>가용재고</v>
      </c>
      <c r="D450" s="9" t="str">
        <v/>
      </c>
      <c r="E450" s="9" t="str">
        <v/>
      </c>
      <c r="F450" s="9" t="str">
        <v/>
      </c>
      <c r="G450" s="9" t="str">
        <v/>
      </c>
      <c r="H450" s="9" t="str">
        <v>RA-06M-2085</v>
      </c>
      <c r="I450" s="11" t="str">
        <v>RA-06M-2085]BLK FIX COL LWR(A+)</v>
      </c>
      <c r="J450" s="9">
        <v>119</v>
      </c>
      <c r="K450" s="9" t="str">
        <v/>
      </c>
      <c r="L450" s="9" t="str">
        <v>I2-1</v>
      </c>
      <c r="M450" s="12">
        <v>46301</v>
      </c>
      <c r="N450" s="5" t="str">
        <v/>
      </c>
      <c r="O450" s="5" t="str">
        <v/>
      </c>
      <c r="P450" s="5" t="str">
        <v/>
      </c>
      <c r="Q450" s="14" t="str">
        <v/>
      </c>
      <c r="R450" s="15">
        <v>119</v>
      </c>
    </row>
    <row r="451" spans="2:18" x14ac:dyDescent="0.35">
      <c r="B451" s="9">
        <v>2534</v>
      </c>
      <c r="C451" s="9" t="str">
        <v>가용재고</v>
      </c>
      <c r="D451" s="9" t="str">
        <v/>
      </c>
      <c r="E451" s="9" t="str">
        <v/>
      </c>
      <c r="F451" s="9" t="str">
        <v/>
      </c>
      <c r="G451" s="9" t="str">
        <v/>
      </c>
      <c r="H451" s="9" t="str">
        <v>RA-04V-1708</v>
      </c>
      <c r="I451" s="11" t="str">
        <v>RA-04V-1708]CVR THU Bd</v>
      </c>
      <c r="J451" s="9">
        <v>120</v>
      </c>
      <c r="K451" s="9" t="str">
        <v/>
      </c>
      <c r="L451" s="9" t="str">
        <v>B3-3</v>
      </c>
      <c r="M451" s="12">
        <v>46308</v>
      </c>
      <c r="N451" s="5" t="str">
        <v/>
      </c>
      <c r="O451" s="5" t="str">
        <v/>
      </c>
      <c r="P451" s="5" t="str">
        <v/>
      </c>
      <c r="Q451" s="14" t="str">
        <v/>
      </c>
      <c r="R451" s="15">
        <v>120</v>
      </c>
    </row>
    <row r="452" spans="2:18" x14ac:dyDescent="0.35">
      <c r="B452" s="9">
        <v>1974</v>
      </c>
      <c r="C452" s="9" t="str">
        <v>가용재고</v>
      </c>
      <c r="D452" s="9" t="str">
        <v/>
      </c>
      <c r="E452" s="9" t="str">
        <v>입고</v>
      </c>
      <c r="F452" s="9" t="str">
        <v>A&amp;T</v>
      </c>
      <c r="G452" s="9" t="str">
        <v>장동은</v>
      </c>
      <c r="H452" s="9" t="str">
        <v>RA-04A-2296</v>
      </c>
      <c r="I452" s="11" t="str">
        <v>RA-04A-2296]ASM HANDLE (A+)</v>
      </c>
      <c r="J452" s="9">
        <v>123</v>
      </c>
      <c r="K452" s="9" t="str">
        <v/>
      </c>
      <c r="L452" s="9" t="str">
        <v>M1</v>
      </c>
      <c r="M452" s="12">
        <v>46301</v>
      </c>
      <c r="N452" s="5" t="str">
        <v/>
      </c>
      <c r="O452" s="5" t="str">
        <v/>
      </c>
      <c r="P452" s="5" t="str">
        <v/>
      </c>
      <c r="Q452" s="14" t="str">
        <v/>
      </c>
      <c r="R452" s="15">
        <v>123</v>
      </c>
    </row>
    <row r="453" spans="2:18" x14ac:dyDescent="0.35">
      <c r="B453" s="9">
        <v>1005</v>
      </c>
      <c r="C453" s="9" t="str">
        <v>가용재고</v>
      </c>
      <c r="D453" s="9" t="str">
        <v/>
      </c>
      <c r="E453" s="9" t="str">
        <v>기초</v>
      </c>
      <c r="F453" s="9" t="str">
        <v/>
      </c>
      <c r="G453" s="9" t="str">
        <v/>
      </c>
      <c r="H453" s="9" t="str">
        <v>RA-06V-3937</v>
      </c>
      <c r="I453" s="11" t="str">
        <v>RA-06V-3937]BRK FAN SUP (MG)</v>
      </c>
      <c r="J453" s="9">
        <v>124</v>
      </c>
      <c r="K453" s="9" t="str">
        <v/>
      </c>
      <c r="L453" s="9" t="str">
        <v>N2-4</v>
      </c>
      <c r="M453" s="12">
        <v>46276</v>
      </c>
      <c r="N453" s="5" t="str">
        <v/>
      </c>
      <c r="O453" s="5" t="str">
        <v/>
      </c>
      <c r="P453" s="5" t="str">
        <v/>
      </c>
      <c r="Q453" s="14" t="str">
        <v/>
      </c>
      <c r="R453" s="15">
        <v>124</v>
      </c>
    </row>
    <row r="454" spans="2:18" x14ac:dyDescent="0.35">
      <c r="B454" s="9">
        <v>1663</v>
      </c>
      <c r="C454" s="9" t="str">
        <v>가용재고</v>
      </c>
      <c r="D454" s="9" t="str">
        <v/>
      </c>
      <c r="E454" s="9" t="str">
        <v/>
      </c>
      <c r="F454" s="9" t="str">
        <v/>
      </c>
      <c r="G454" s="9" t="str">
        <v/>
      </c>
      <c r="H454" s="9" t="str">
        <v>RA-06A-1510</v>
      </c>
      <c r="I454" s="11" t="str">
        <v>RA-06A-1510]ASM MULTI COL MDL</v>
      </c>
      <c r="J454" s="9">
        <v>124</v>
      </c>
      <c r="K454" s="9" t="str">
        <v/>
      </c>
      <c r="L454" s="9" t="str">
        <v>I3-1</v>
      </c>
      <c r="M454" s="12">
        <v>46280</v>
      </c>
      <c r="N454" s="5" t="str">
        <v/>
      </c>
      <c r="O454" s="5" t="str">
        <v/>
      </c>
      <c r="P454" s="5" t="str">
        <v/>
      </c>
      <c r="Q454" s="14" t="str">
        <v/>
      </c>
      <c r="R454" s="15">
        <v>124</v>
      </c>
    </row>
    <row r="455" spans="2:18" x14ac:dyDescent="0.35">
      <c r="B455" s="9">
        <v>1008</v>
      </c>
      <c r="C455" s="9" t="str">
        <v>가용재고</v>
      </c>
      <c r="D455" s="9" t="str">
        <v/>
      </c>
      <c r="E455" s="9" t="str">
        <v>기초</v>
      </c>
      <c r="F455" s="9" t="str">
        <v/>
      </c>
      <c r="G455" s="9" t="str">
        <v/>
      </c>
      <c r="H455" s="9" t="str">
        <v>RA-09M-2529</v>
      </c>
      <c r="I455" s="11" t="str">
        <v>RA-09M-2529]SHAFT CT HEADREST (A+)</v>
      </c>
      <c r="J455" s="9">
        <v>125</v>
      </c>
      <c r="K455" s="9" t="str">
        <v/>
      </c>
      <c r="L455" s="9" t="str">
        <v>L1-1</v>
      </c>
      <c r="M455" s="12">
        <v>46276</v>
      </c>
      <c r="N455" s="5" t="str">
        <v/>
      </c>
      <c r="O455" s="5" t="str">
        <v/>
      </c>
      <c r="P455" s="5" t="str">
        <v/>
      </c>
      <c r="Q455" s="14" t="str">
        <v/>
      </c>
      <c r="R455" s="15">
        <v>125</v>
      </c>
    </row>
    <row r="456" spans="2:18" x14ac:dyDescent="0.35">
      <c r="B456" s="9">
        <v>2032</v>
      </c>
      <c r="C456" s="9" t="str">
        <v>가용재고</v>
      </c>
      <c r="D456" s="9" t="str">
        <v/>
      </c>
      <c r="E456" s="9" t="str">
        <v>입고</v>
      </c>
      <c r="F456" s="9" t="str">
        <v>대영하네스</v>
      </c>
      <c r="G456" s="9" t="str">
        <v>유영국</v>
      </c>
      <c r="H456" s="9" t="str">
        <v>RA-11-20</v>
      </c>
      <c r="I456" s="11" t="str">
        <v>RA-11-20]Fcol MOT Cable A</v>
      </c>
      <c r="J456" s="9">
        <v>126</v>
      </c>
      <c r="K456" s="9" t="str">
        <v/>
      </c>
      <c r="L456" s="9" t="str">
        <v>G2-5</v>
      </c>
      <c r="M456" s="12">
        <v>46296</v>
      </c>
      <c r="N456" s="5" t="str">
        <v/>
      </c>
      <c r="O456" s="5" t="str">
        <v/>
      </c>
      <c r="P456" s="5" t="str">
        <v/>
      </c>
      <c r="Q456" s="14" t="str">
        <v/>
      </c>
      <c r="R456" s="15">
        <v>126</v>
      </c>
    </row>
    <row r="457" spans="2:18" x14ac:dyDescent="0.35">
      <c r="B457" s="9">
        <v>1914</v>
      </c>
      <c r="C457" s="9" t="str">
        <v>가용재고</v>
      </c>
      <c r="D457" s="9" t="str">
        <v/>
      </c>
      <c r="E457" s="9" t="str">
        <v/>
      </c>
      <c r="F457" s="9" t="str">
        <v/>
      </c>
      <c r="G457" s="9" t="str">
        <v/>
      </c>
      <c r="H457" s="9" t="str">
        <v>RA-06M-3316</v>
      </c>
      <c r="I457" s="11" t="str">
        <v>RA-06M-3316]BLK TUBE SHAFT (ST)</v>
      </c>
      <c r="J457" s="9">
        <v>126</v>
      </c>
      <c r="K457" s="9" t="str">
        <v/>
      </c>
      <c r="L457" s="9" t="str">
        <v>H2-3</v>
      </c>
      <c r="M457" s="12">
        <v>46295</v>
      </c>
      <c r="N457" s="5" t="str">
        <v/>
      </c>
      <c r="O457" s="5" t="str">
        <v/>
      </c>
      <c r="P457" s="5" t="str">
        <v/>
      </c>
      <c r="Q457" s="14" t="str">
        <v/>
      </c>
      <c r="R457" s="15">
        <v>126</v>
      </c>
    </row>
    <row r="458" spans="2:18" x14ac:dyDescent="0.35">
      <c r="B458" s="9">
        <v>2332</v>
      </c>
      <c r="C458" s="9" t="str">
        <v>가용재고</v>
      </c>
      <c r="D458" s="9" t="str">
        <v/>
      </c>
      <c r="E458" s="9" t="str">
        <v/>
      </c>
      <c r="F458" s="9" t="str">
        <v/>
      </c>
      <c r="G458" s="9" t="str">
        <v/>
      </c>
      <c r="H458" s="9" t="str">
        <v>RA-3-3A</v>
      </c>
      <c r="I458" s="11" t="str">
        <v>RA-3-3A]DCM CONTROL-A</v>
      </c>
      <c r="J458" s="9">
        <v>127</v>
      </c>
      <c r="K458" s="9" t="str">
        <v/>
      </c>
      <c r="L458" s="9" t="str">
        <v>G4</v>
      </c>
      <c r="M458" s="12">
        <v>46302</v>
      </c>
      <c r="N458" s="5" t="str">
        <v/>
      </c>
      <c r="O458" s="5" t="str">
        <v/>
      </c>
      <c r="P458" s="5" t="str">
        <v/>
      </c>
      <c r="Q458" s="14" t="str">
        <v/>
      </c>
      <c r="R458" s="15">
        <v>127</v>
      </c>
    </row>
    <row r="459" spans="2:18" x14ac:dyDescent="0.35">
      <c r="B459" s="9">
        <v>2447</v>
      </c>
      <c r="C459" s="9" t="str">
        <v>가용재고</v>
      </c>
      <c r="D459" s="9" t="str">
        <v/>
      </c>
      <c r="E459" s="9" t="str">
        <v/>
      </c>
      <c r="F459" s="9" t="str">
        <v/>
      </c>
      <c r="G459" s="9" t="str">
        <v/>
      </c>
      <c r="H459" s="9" t="str">
        <v>RA-11-22</v>
      </c>
      <c r="I459" s="11" t="str">
        <v>RA-11-22]Fcol MOT Cable C</v>
      </c>
      <c r="J459" s="9">
        <v>127</v>
      </c>
      <c r="K459" s="9" t="str">
        <v/>
      </c>
      <c r="L459" s="9" t="str">
        <v>G1-5</v>
      </c>
      <c r="M459" s="12">
        <v>46301</v>
      </c>
      <c r="N459" s="5" t="str">
        <v/>
      </c>
      <c r="O459" s="5" t="str">
        <v/>
      </c>
      <c r="P459" s="5" t="str">
        <v/>
      </c>
      <c r="Q459" s="14" t="str">
        <v/>
      </c>
      <c r="R459" s="15">
        <v>127</v>
      </c>
    </row>
    <row r="460" spans="2:18" x14ac:dyDescent="0.35">
      <c r="B460" s="9">
        <v>2367</v>
      </c>
      <c r="C460" s="9" t="str">
        <v>가용재고</v>
      </c>
      <c r="D460" s="9" t="str">
        <v/>
      </c>
      <c r="E460" s="9" t="str">
        <v/>
      </c>
      <c r="F460" s="9" t="str">
        <v/>
      </c>
      <c r="G460" s="9" t="str">
        <v/>
      </c>
      <c r="H460" s="9" t="str">
        <v>RA-06T-2144</v>
      </c>
      <c r="I460" s="11" t="str">
        <v>RA-06T-2144]DECO WINDOW COL</v>
      </c>
      <c r="J460" s="9">
        <v>128</v>
      </c>
      <c r="K460" s="9" t="str">
        <v/>
      </c>
      <c r="L460" s="9" t="str">
        <v>L2-2</v>
      </c>
      <c r="M460" s="12">
        <v>46302</v>
      </c>
      <c r="N460" s="5" t="str">
        <v/>
      </c>
      <c r="O460" s="5" t="str">
        <v/>
      </c>
      <c r="P460" s="5" t="str">
        <v/>
      </c>
      <c r="Q460" s="14" t="str">
        <v/>
      </c>
      <c r="R460" s="15">
        <v>128</v>
      </c>
    </row>
    <row r="461" spans="2:18" x14ac:dyDescent="0.35">
      <c r="B461" s="9">
        <v>1633</v>
      </c>
      <c r="C461" s="9" t="str">
        <v>가용재고</v>
      </c>
      <c r="D461" s="9" t="str">
        <v/>
      </c>
      <c r="E461" s="9" t="str">
        <v/>
      </c>
      <c r="F461" s="9" t="str">
        <v/>
      </c>
      <c r="G461" s="9" t="str">
        <v/>
      </c>
      <c r="H461" s="9" t="str">
        <v>RA-06V-0651</v>
      </c>
      <c r="I461" s="11" t="str">
        <v>RA-06V-0651]BRK TUBE CAS FIX A</v>
      </c>
      <c r="J461" s="9">
        <v>130</v>
      </c>
      <c r="K461" s="9" t="str">
        <v/>
      </c>
      <c r="L461" s="9" t="str">
        <v>I2-3</v>
      </c>
      <c r="M461" s="12">
        <v>46280</v>
      </c>
      <c r="N461" s="5" t="str">
        <v/>
      </c>
      <c r="O461" s="5" t="str">
        <v/>
      </c>
      <c r="P461" s="5" t="str">
        <v/>
      </c>
      <c r="Q461" s="14" t="str">
        <v/>
      </c>
      <c r="R461" s="15">
        <v>130</v>
      </c>
    </row>
    <row r="462" spans="2:18" x14ac:dyDescent="0.35">
      <c r="B462" s="9">
        <v>1965</v>
      </c>
      <c r="C462" s="9" t="str">
        <v>가용재고</v>
      </c>
      <c r="D462" s="9" t="str">
        <v/>
      </c>
      <c r="E462" s="9" t="str">
        <v>입고</v>
      </c>
      <c r="F462" s="9" t="str">
        <v>A&amp;T</v>
      </c>
      <c r="G462" s="9" t="str">
        <v>장동은</v>
      </c>
      <c r="H462" s="9" t="str">
        <v>RA-02M-2007</v>
      </c>
      <c r="I462" s="11" t="str">
        <v>RA-02M-2007]BLK MOVING UPPER (A+)</v>
      </c>
      <c r="J462" s="9">
        <v>130</v>
      </c>
      <c r="K462" s="9" t="str">
        <v/>
      </c>
      <c r="L462" s="9" t="str">
        <v>O3</v>
      </c>
      <c r="M462" s="12">
        <v>46296</v>
      </c>
      <c r="N462" s="5" t="str">
        <v/>
      </c>
      <c r="O462" s="5" t="str">
        <v/>
      </c>
      <c r="P462" s="5" t="str">
        <v/>
      </c>
      <c r="Q462" s="14" t="str">
        <v/>
      </c>
      <c r="R462" s="15">
        <v>130</v>
      </c>
    </row>
    <row r="463" spans="2:18" x14ac:dyDescent="0.35">
      <c r="B463" s="9">
        <v>2333</v>
      </c>
      <c r="C463" s="9" t="str">
        <v>가용재고</v>
      </c>
      <c r="D463" s="9" t="str">
        <v/>
      </c>
      <c r="E463" s="9" t="str">
        <v/>
      </c>
      <c r="F463" s="9" t="str">
        <v/>
      </c>
      <c r="G463" s="9" t="str">
        <v/>
      </c>
      <c r="H463" s="9" t="str">
        <v>RA-1-12</v>
      </c>
      <c r="I463" s="11" t="str">
        <v>RA-1-12]DC POWER SMPS CONN</v>
      </c>
      <c r="J463" s="9">
        <v>130</v>
      </c>
      <c r="K463" s="9" t="str">
        <v/>
      </c>
      <c r="L463" s="9" t="str">
        <v>G2-1</v>
      </c>
      <c r="M463" s="12">
        <v>46302</v>
      </c>
      <c r="N463" s="5" t="str">
        <v/>
      </c>
      <c r="O463" s="5" t="str">
        <v/>
      </c>
      <c r="P463" s="5" t="str">
        <v/>
      </c>
      <c r="Q463" s="14" t="str">
        <v/>
      </c>
      <c r="R463" s="15">
        <v>130</v>
      </c>
    </row>
    <row r="464" spans="2:18" x14ac:dyDescent="0.35">
      <c r="B464" s="9">
        <v>2022</v>
      </c>
      <c r="C464" s="9" t="str">
        <v>가용재고</v>
      </c>
      <c r="D464" s="9" t="str">
        <v/>
      </c>
      <c r="E464" s="9" t="str">
        <v>입고</v>
      </c>
      <c r="F464" s="9" t="str">
        <v>대영하네스</v>
      </c>
      <c r="G464" s="9" t="str">
        <v>유영국</v>
      </c>
      <c r="H464" s="9" t="str">
        <v>RA-11-21</v>
      </c>
      <c r="I464" s="11" t="str">
        <v>RA-11-21]Fcol MOT Cable B</v>
      </c>
      <c r="J464" s="9">
        <v>131</v>
      </c>
      <c r="K464" s="9" t="str">
        <v/>
      </c>
      <c r="L464" s="9" t="str">
        <v>G2-5</v>
      </c>
      <c r="M464" s="12">
        <v>46296</v>
      </c>
      <c r="N464" s="5" t="str">
        <v/>
      </c>
      <c r="O464" s="5" t="str">
        <v/>
      </c>
      <c r="P464" s="5" t="str">
        <v/>
      </c>
      <c r="Q464" s="14" t="str">
        <v/>
      </c>
      <c r="R464" s="15">
        <v>131</v>
      </c>
    </row>
    <row r="465" spans="2:18" x14ac:dyDescent="0.35">
      <c r="B465" s="9">
        <v>271</v>
      </c>
      <c r="C465" s="9" t="str">
        <v>가용재고</v>
      </c>
      <c r="D465" s="9" t="str">
        <v/>
      </c>
      <c r="E465" s="9" t="str">
        <v/>
      </c>
      <c r="F465" s="9" t="str">
        <v/>
      </c>
      <c r="G465" s="9" t="str">
        <v/>
      </c>
      <c r="H465" s="9" t="str">
        <v>RA-8-15</v>
      </c>
      <c r="I465" s="11" t="str">
        <v>RA-8-15]OCL SIGNAL(V)</v>
      </c>
      <c r="J465" s="9">
        <v>131</v>
      </c>
      <c r="K465" s="9" t="str">
        <v/>
      </c>
      <c r="L465" s="9" t="str">
        <v>G3-3</v>
      </c>
      <c r="M465" s="12">
        <v>46232</v>
      </c>
      <c r="N465" s="5" t="str">
        <v/>
      </c>
      <c r="O465" s="5" t="str">
        <v/>
      </c>
      <c r="P465" s="5" t="str">
        <v/>
      </c>
      <c r="Q465" s="14" t="str">
        <v/>
      </c>
      <c r="R465" s="15">
        <v>131</v>
      </c>
    </row>
    <row r="466" spans="2:18" x14ac:dyDescent="0.35">
      <c r="B466" s="9">
        <v>2334</v>
      </c>
      <c r="C466" s="9" t="str">
        <v>가용재고</v>
      </c>
      <c r="D466" s="9" t="str">
        <v/>
      </c>
      <c r="E466" s="9" t="str">
        <v/>
      </c>
      <c r="F466" s="9" t="str">
        <v/>
      </c>
      <c r="G466" s="9" t="str">
        <v/>
      </c>
      <c r="H466" s="9" t="str">
        <v>RA-2-9</v>
      </c>
      <c r="I466" s="11" t="str">
        <v>RA-2-9]ACT 2nd LIMIT</v>
      </c>
      <c r="J466" s="9">
        <v>132</v>
      </c>
      <c r="K466" s="9" t="str">
        <v/>
      </c>
      <c r="L466" s="9" t="str">
        <v>G2-1</v>
      </c>
      <c r="M466" s="12">
        <v>46302</v>
      </c>
      <c r="N466" s="5" t="str">
        <v/>
      </c>
      <c r="O466" s="5" t="str">
        <v/>
      </c>
      <c r="P466" s="5" t="str">
        <v/>
      </c>
      <c r="Q466" s="14" t="str">
        <v/>
      </c>
      <c r="R466" s="15">
        <v>132</v>
      </c>
    </row>
    <row r="467" spans="2:18" x14ac:dyDescent="0.35">
      <c r="B467" s="9">
        <v>1014</v>
      </c>
      <c r="C467" s="9" t="str">
        <v>가용재고</v>
      </c>
      <c r="D467" s="9" t="str">
        <v/>
      </c>
      <c r="E467" s="9" t="str">
        <v>기초</v>
      </c>
      <c r="F467" s="9" t="str">
        <v/>
      </c>
      <c r="G467" s="9" t="str">
        <v/>
      </c>
      <c r="H467" s="9" t="str">
        <v>RA-06M-3943</v>
      </c>
      <c r="I467" s="11" t="str">
        <v>RA-06M-3943]BLK LED RIGHT (MG)</v>
      </c>
      <c r="J467" s="9">
        <v>133</v>
      </c>
      <c r="K467" s="9" t="str">
        <v/>
      </c>
      <c r="L467" s="9" t="str">
        <v>N2-2</v>
      </c>
      <c r="M467" s="12">
        <v>46276</v>
      </c>
      <c r="N467" s="5" t="str">
        <v/>
      </c>
      <c r="O467" s="5" t="str">
        <v/>
      </c>
      <c r="P467" s="5" t="str">
        <v/>
      </c>
      <c r="Q467" s="14" t="str">
        <v/>
      </c>
      <c r="R467" s="15">
        <v>133</v>
      </c>
    </row>
    <row r="468" spans="2:18" x14ac:dyDescent="0.35">
      <c r="B468" s="9">
        <v>1015</v>
      </c>
      <c r="C468" s="9" t="str">
        <v>가용재고</v>
      </c>
      <c r="D468" s="9" t="str">
        <v/>
      </c>
      <c r="E468" s="9" t="str">
        <v>기초</v>
      </c>
      <c r="F468" s="9" t="str">
        <v/>
      </c>
      <c r="G468" s="9" t="str">
        <v/>
      </c>
      <c r="H468" s="9" t="str">
        <v>RA-06M-3945</v>
      </c>
      <c r="I468" s="11" t="str">
        <v>RA-06M-3945]BLK CAM (MG)</v>
      </c>
      <c r="J468" s="9">
        <v>133</v>
      </c>
      <c r="K468" s="9" t="str">
        <v/>
      </c>
      <c r="L468" s="9" t="str">
        <v>N3-2</v>
      </c>
      <c r="M468" s="12">
        <v>46276</v>
      </c>
      <c r="N468" s="5" t="str">
        <v/>
      </c>
      <c r="O468" s="5" t="str">
        <v/>
      </c>
      <c r="P468" s="5" t="str">
        <v/>
      </c>
      <c r="Q468" s="14" t="str">
        <v/>
      </c>
      <c r="R468" s="15">
        <v>133</v>
      </c>
    </row>
    <row r="469" spans="2:18" x14ac:dyDescent="0.35">
      <c r="B469" s="9">
        <v>1016</v>
      </c>
      <c r="C469" s="9" t="str">
        <v>가용재고</v>
      </c>
      <c r="D469" s="9" t="str">
        <v/>
      </c>
      <c r="E469" s="9" t="str">
        <v>기초</v>
      </c>
      <c r="F469" s="9" t="str">
        <v/>
      </c>
      <c r="G469" s="9" t="str">
        <v/>
      </c>
      <c r="H469" s="9" t="str">
        <v>RA-06M-3944</v>
      </c>
      <c r="I469" s="11" t="str">
        <v>RA-06M-3944]BLK LED LEFT (MG)</v>
      </c>
      <c r="J469" s="9">
        <v>134</v>
      </c>
      <c r="K469" s="9" t="str">
        <v/>
      </c>
      <c r="L469" s="9" t="str">
        <v>N2-2</v>
      </c>
      <c r="M469" s="12">
        <v>46276</v>
      </c>
      <c r="N469" s="5" t="str">
        <v/>
      </c>
      <c r="O469" s="5" t="str">
        <v/>
      </c>
      <c r="P469" s="5" t="str">
        <v/>
      </c>
      <c r="Q469" s="14" t="str">
        <v/>
      </c>
      <c r="R469" s="15">
        <v>134</v>
      </c>
    </row>
    <row r="470" spans="2:18" x14ac:dyDescent="0.35">
      <c r="B470" s="9">
        <v>1844</v>
      </c>
      <c r="C470" s="9" t="str">
        <v>가용재고</v>
      </c>
      <c r="D470" s="9" t="str">
        <v/>
      </c>
      <c r="E470" s="9" t="str">
        <v/>
      </c>
      <c r="F470" s="9" t="str">
        <v/>
      </c>
      <c r="G470" s="9" t="str">
        <v/>
      </c>
      <c r="H470" s="9" t="str">
        <v>RA-06V-0793</v>
      </c>
      <c r="I470" s="11" t="str">
        <v>RA-06V-0793]BRK TUBE FIX A</v>
      </c>
      <c r="J470" s="9">
        <v>134</v>
      </c>
      <c r="K470" s="9" t="str">
        <v/>
      </c>
      <c r="L470" s="9" t="str">
        <v>H3-3</v>
      </c>
      <c r="M470" s="12">
        <v>46295</v>
      </c>
      <c r="N470" s="5" t="str">
        <v/>
      </c>
      <c r="O470" s="5" t="str">
        <v/>
      </c>
      <c r="P470" s="5" t="str">
        <v/>
      </c>
      <c r="Q470" s="14" t="str">
        <v/>
      </c>
      <c r="R470" s="15">
        <v>134</v>
      </c>
    </row>
    <row r="471" spans="2:18" x14ac:dyDescent="0.35">
      <c r="B471" s="9">
        <v>2359</v>
      </c>
      <c r="C471" s="9" t="str">
        <v>가용재고</v>
      </c>
      <c r="D471" s="9" t="str">
        <v/>
      </c>
      <c r="E471" s="9" t="str">
        <v/>
      </c>
      <c r="F471" s="9" t="str">
        <v/>
      </c>
      <c r="G471" s="9" t="str">
        <v/>
      </c>
      <c r="H471" s="9" t="str">
        <v>RA-03M-2064</v>
      </c>
      <c r="I471" s="11" t="str">
        <v>RA-03M-2064]PLT MIRROR (A+)</v>
      </c>
      <c r="J471" s="9">
        <v>134</v>
      </c>
      <c r="K471" s="9" t="str">
        <v/>
      </c>
      <c r="L471" s="9" t="str">
        <v>L2-1</v>
      </c>
      <c r="M471" s="12">
        <v>46302</v>
      </c>
      <c r="N471" s="5" t="str">
        <v/>
      </c>
      <c r="O471" s="5" t="str">
        <v/>
      </c>
      <c r="P471" s="5" t="str">
        <v/>
      </c>
      <c r="Q471" s="14" t="str">
        <v/>
      </c>
      <c r="R471" s="15">
        <v>134</v>
      </c>
    </row>
    <row r="472" spans="2:18" x14ac:dyDescent="0.35">
      <c r="B472" s="9">
        <v>2321</v>
      </c>
      <c r="C472" s="9" t="str">
        <v>가용재고</v>
      </c>
      <c r="D472" s="9" t="str">
        <v/>
      </c>
      <c r="E472" s="9" t="str">
        <v/>
      </c>
      <c r="F472" s="9" t="str">
        <v/>
      </c>
      <c r="G472" s="9" t="str">
        <v/>
      </c>
      <c r="H472" s="9" t="str">
        <v>RA-8-4</v>
      </c>
      <c r="I472" s="11" t="str">
        <v>RA-8-4]AC POWER CEPH</v>
      </c>
      <c r="J472" s="9">
        <v>135</v>
      </c>
      <c r="K472" s="9" t="str">
        <v/>
      </c>
      <c r="L472" s="9" t="str">
        <v>G4</v>
      </c>
      <c r="M472" s="12">
        <v>46302</v>
      </c>
      <c r="N472" s="5" t="str">
        <v/>
      </c>
      <c r="O472" s="5" t="str">
        <v/>
      </c>
      <c r="P472" s="5" t="str">
        <v/>
      </c>
      <c r="Q472" s="14" t="str">
        <v/>
      </c>
      <c r="R472" s="15">
        <v>135</v>
      </c>
    </row>
    <row r="473" spans="2:18" x14ac:dyDescent="0.35">
      <c r="B473" s="9">
        <v>431</v>
      </c>
      <c r="C473" s="9" t="str">
        <v>가용재고</v>
      </c>
      <c r="D473" s="9" t="str">
        <v/>
      </c>
      <c r="E473" s="9" t="str">
        <v/>
      </c>
      <c r="F473" s="9" t="str">
        <v/>
      </c>
      <c r="G473" s="9" t="str">
        <v/>
      </c>
      <c r="H473" s="9" t="str">
        <v>RF-01B-5035</v>
      </c>
      <c r="I473" s="11" t="str">
        <v>RF-01B-5035]CONNECTOR Bd</v>
      </c>
      <c r="J473" s="9">
        <v>137</v>
      </c>
      <c r="K473" s="9" t="str">
        <v/>
      </c>
      <c r="L473" s="9" t="str">
        <v>A4-3</v>
      </c>
      <c r="M473" s="12">
        <v>46259</v>
      </c>
      <c r="N473" s="5" t="str">
        <v/>
      </c>
      <c r="O473" s="5" t="str">
        <v/>
      </c>
      <c r="P473" s="5" t="str">
        <v/>
      </c>
      <c r="Q473" s="14" t="str">
        <v/>
      </c>
      <c r="R473" s="15">
        <v>137</v>
      </c>
    </row>
    <row r="474" spans="2:18" x14ac:dyDescent="0.35">
      <c r="B474" s="9">
        <v>2442</v>
      </c>
      <c r="C474" s="9" t="str">
        <v>가용재고</v>
      </c>
      <c r="D474" s="9" t="str">
        <v/>
      </c>
      <c r="E474" s="9" t="str">
        <v/>
      </c>
      <c r="F474" s="9" t="str">
        <v/>
      </c>
      <c r="G474" s="9" t="str">
        <v/>
      </c>
      <c r="H474" s="9" t="str">
        <v>RA-03S-6009A</v>
      </c>
      <c r="I474" s="11" t="str">
        <v>RA-03S-6009A]A2K_LBM01-370</v>
      </c>
      <c r="J474" s="9">
        <v>139</v>
      </c>
      <c r="K474" s="9" t="str">
        <v/>
      </c>
      <c r="L474" s="9" t="str">
        <v>L1-2</v>
      </c>
      <c r="M474" s="12">
        <v>46301</v>
      </c>
      <c r="N474" s="5" t="str">
        <v/>
      </c>
      <c r="O474" s="5" t="str">
        <v/>
      </c>
      <c r="P474" s="5" t="str">
        <v/>
      </c>
      <c r="Q474" s="14" t="str">
        <v/>
      </c>
      <c r="R474" s="15">
        <v>139</v>
      </c>
    </row>
    <row r="475" spans="2:18" x14ac:dyDescent="0.35">
      <c r="B475" s="9">
        <v>1020</v>
      </c>
      <c r="C475" s="9" t="str">
        <v>가용재고</v>
      </c>
      <c r="D475" s="9" t="str">
        <v/>
      </c>
      <c r="E475" s="9" t="str">
        <v>기초</v>
      </c>
      <c r="F475" s="9" t="str">
        <v/>
      </c>
      <c r="G475" s="9" t="str">
        <v/>
      </c>
      <c r="H475" s="9" t="str">
        <v>RA-05V-3804</v>
      </c>
      <c r="I475" s="11" t="str">
        <v>RA-05V-3804]BRK ROT CAS A (MG)</v>
      </c>
      <c r="J475" s="9">
        <v>140</v>
      </c>
      <c r="K475" s="9" t="str">
        <v/>
      </c>
      <c r="L475" s="9" t="str">
        <v>N3-3</v>
      </c>
      <c r="M475" s="12">
        <v>46276</v>
      </c>
      <c r="N475" s="5" t="str">
        <v/>
      </c>
      <c r="O475" s="5" t="str">
        <v/>
      </c>
      <c r="P475" s="5" t="str">
        <v/>
      </c>
      <c r="Q475" s="14" t="str">
        <v/>
      </c>
      <c r="R475" s="15">
        <v>140</v>
      </c>
    </row>
    <row r="476" spans="2:18" x14ac:dyDescent="0.35">
      <c r="B476" s="9">
        <v>2535</v>
      </c>
      <c r="C476" s="9" t="str">
        <v>가용재고</v>
      </c>
      <c r="D476" s="9" t="str">
        <v/>
      </c>
      <c r="E476" s="9" t="str">
        <v/>
      </c>
      <c r="F476" s="9" t="str">
        <v/>
      </c>
      <c r="G476" s="9" t="str">
        <v/>
      </c>
      <c r="H476" s="9" t="str">
        <v>RA-03A-6012</v>
      </c>
      <c r="I476" s="11" t="str">
        <v>RA-03A-6012]Bd ASSY'-ACT Bd(A/A+)</v>
      </c>
      <c r="J476" s="9">
        <v>140</v>
      </c>
      <c r="K476" s="9" t="str">
        <v/>
      </c>
      <c r="L476" s="9" t="str">
        <v>A7-3</v>
      </c>
      <c r="M476" s="12">
        <v>46308</v>
      </c>
      <c r="N476" s="5" t="str">
        <v/>
      </c>
      <c r="O476" s="5" t="str">
        <v/>
      </c>
      <c r="P476" s="5" t="str">
        <v/>
      </c>
      <c r="Q476" s="14" t="str">
        <v/>
      </c>
      <c r="R476" s="15">
        <v>140</v>
      </c>
    </row>
    <row r="477" spans="2:18" x14ac:dyDescent="0.35">
      <c r="B477" s="9">
        <v>1021</v>
      </c>
      <c r="C477" s="9" t="str">
        <v>가용재고</v>
      </c>
      <c r="D477" s="9" t="str">
        <v/>
      </c>
      <c r="E477" s="9" t="str">
        <v>기초</v>
      </c>
      <c r="F477" s="9" t="str">
        <v/>
      </c>
      <c r="G477" s="9" t="str">
        <v/>
      </c>
      <c r="H477" s="9" t="str">
        <v>RA-04M-3817</v>
      </c>
      <c r="I477" s="11" t="str">
        <v>RA-04M-3817]ARM MONITOR (MG)</v>
      </c>
      <c r="J477" s="9">
        <v>142</v>
      </c>
      <c r="K477" s="9" t="str">
        <v/>
      </c>
      <c r="L477" s="9" t="str">
        <v>N1-1</v>
      </c>
      <c r="M477" s="12">
        <v>46276</v>
      </c>
      <c r="N477" s="5" t="str">
        <v/>
      </c>
      <c r="O477" s="5" t="str">
        <v/>
      </c>
      <c r="P477" s="5" t="str">
        <v/>
      </c>
      <c r="Q477" s="14" t="str">
        <v/>
      </c>
      <c r="R477" s="15">
        <v>142</v>
      </c>
    </row>
    <row r="478" spans="2:18" x14ac:dyDescent="0.35">
      <c r="B478" s="9">
        <v>1845</v>
      </c>
      <c r="C478" s="9" t="str">
        <v>가용재고</v>
      </c>
      <c r="D478" s="9" t="str">
        <v/>
      </c>
      <c r="E478" s="9" t="str">
        <v/>
      </c>
      <c r="F478" s="9" t="str">
        <v/>
      </c>
      <c r="G478" s="9" t="str">
        <v/>
      </c>
      <c r="H478" s="9" t="str">
        <v>RA-06V-1384</v>
      </c>
      <c r="I478" s="11" t="str">
        <v>RA-06V-1384]BRK XTRUSION PB COL SC</v>
      </c>
      <c r="J478" s="9">
        <v>143</v>
      </c>
      <c r="K478" s="9" t="str">
        <v/>
      </c>
      <c r="L478" s="9" t="str">
        <v>H4-4</v>
      </c>
      <c r="M478" s="12">
        <v>46295</v>
      </c>
      <c r="N478" s="5" t="str">
        <v/>
      </c>
      <c r="O478" s="5" t="str">
        <v/>
      </c>
      <c r="P478" s="5" t="str">
        <v/>
      </c>
      <c r="Q478" s="14" t="str">
        <v/>
      </c>
      <c r="R478" s="15">
        <v>143</v>
      </c>
    </row>
    <row r="479" spans="2:18" x14ac:dyDescent="0.35">
      <c r="B479" s="9">
        <v>1310</v>
      </c>
      <c r="C479" s="9" t="str">
        <v>가용재고</v>
      </c>
      <c r="D479" s="9" t="str">
        <v/>
      </c>
      <c r="E479" s="9" t="str">
        <v/>
      </c>
      <c r="F479" s="9" t="str">
        <v/>
      </c>
      <c r="G479" s="9" t="str">
        <v/>
      </c>
      <c r="H479" s="9" t="str">
        <v>RF-01M-0269</v>
      </c>
      <c r="I479" s="11" t="str">
        <v>RF-01M-0269]FACE CAM BLK_HR</v>
      </c>
      <c r="J479" s="9">
        <v>144</v>
      </c>
      <c r="K479" s="9" t="str">
        <v/>
      </c>
      <c r="L479" s="9" t="str">
        <v>3L4-4</v>
      </c>
      <c r="M479" s="12">
        <v>46287</v>
      </c>
      <c r="N479" s="5" t="str">
        <v/>
      </c>
      <c r="O479" s="5" t="str">
        <v/>
      </c>
      <c r="P479" s="5" t="str">
        <v/>
      </c>
      <c r="Q479" s="14" t="str">
        <v/>
      </c>
      <c r="R479" s="15">
        <v>144</v>
      </c>
    </row>
    <row r="480" spans="2:18" x14ac:dyDescent="0.35">
      <c r="B480" s="9">
        <v>1948</v>
      </c>
      <c r="C480" s="9" t="str">
        <v>가용재고</v>
      </c>
      <c r="D480" s="9" t="str">
        <v/>
      </c>
      <c r="E480" s="9" t="str">
        <v>입고</v>
      </c>
      <c r="F480" s="9" t="str">
        <v>진광</v>
      </c>
      <c r="G480" s="9" t="str">
        <v>장동은</v>
      </c>
      <c r="H480" s="9" t="str">
        <v>RA-03T-0076</v>
      </c>
      <c r="I480" s="11" t="str">
        <v>RA-03T-0076]CAS MIRROR DECO</v>
      </c>
      <c r="J480" s="9">
        <v>144</v>
      </c>
      <c r="K480" s="9" t="str">
        <v/>
      </c>
      <c r="L480" s="9" t="str">
        <v>S</v>
      </c>
      <c r="M480" s="12">
        <v>46297</v>
      </c>
      <c r="N480" s="5" t="str">
        <v/>
      </c>
      <c r="O480" s="5" t="str">
        <v/>
      </c>
      <c r="P480" s="5" t="str">
        <v/>
      </c>
      <c r="Q480" s="14" t="str">
        <v/>
      </c>
      <c r="R480" s="15">
        <v>144</v>
      </c>
    </row>
    <row r="481" spans="2:18" x14ac:dyDescent="0.35">
      <c r="B481" s="9">
        <v>1917</v>
      </c>
      <c r="C481" s="9" t="str">
        <v>가용재고</v>
      </c>
      <c r="D481" s="9" t="str">
        <v/>
      </c>
      <c r="E481" s="9" t="str">
        <v/>
      </c>
      <c r="F481" s="9" t="str">
        <v/>
      </c>
      <c r="G481" s="9" t="str">
        <v/>
      </c>
      <c r="H481" s="9" t="str">
        <v>RA-06A-2746</v>
      </c>
      <c r="I481" s="11" t="str">
        <v>RA-06A-2746]SHAFT BRASS COL (ST)</v>
      </c>
      <c r="J481" s="9">
        <v>146</v>
      </c>
      <c r="K481" s="9" t="str">
        <v/>
      </c>
      <c r="L481" s="9" t="str">
        <v>H1</v>
      </c>
      <c r="M481" s="12">
        <v>46295</v>
      </c>
      <c r="N481" s="5" t="str">
        <v/>
      </c>
      <c r="O481" s="5" t="str">
        <v/>
      </c>
      <c r="P481" s="5" t="str">
        <v/>
      </c>
      <c r="Q481" s="14" t="str">
        <v/>
      </c>
      <c r="R481" s="15">
        <v>146</v>
      </c>
    </row>
    <row r="482" spans="2:18" x14ac:dyDescent="0.35">
      <c r="B482" s="9">
        <v>2335</v>
      </c>
      <c r="C482" s="9" t="str">
        <v>가용재고</v>
      </c>
      <c r="D482" s="9" t="str">
        <v/>
      </c>
      <c r="E482" s="9" t="str">
        <v/>
      </c>
      <c r="F482" s="9" t="str">
        <v/>
      </c>
      <c r="G482" s="9" t="str">
        <v/>
      </c>
      <c r="H482" s="9" t="str">
        <v>RA-5-8</v>
      </c>
      <c r="I482" s="11" t="str">
        <v>RA-5-8]EARTH CTRL SMPS</v>
      </c>
      <c r="J482" s="9">
        <v>146</v>
      </c>
      <c r="K482" s="9" t="str">
        <v/>
      </c>
      <c r="L482" s="9" t="str">
        <v>G3-2</v>
      </c>
      <c r="M482" s="12">
        <v>46302</v>
      </c>
      <c r="N482" s="5" t="str">
        <v/>
      </c>
      <c r="O482" s="5" t="str">
        <v/>
      </c>
      <c r="P482" s="5" t="str">
        <v/>
      </c>
      <c r="Q482" s="14" t="str">
        <v/>
      </c>
      <c r="R482" s="15">
        <v>146</v>
      </c>
    </row>
    <row r="483" spans="2:18" x14ac:dyDescent="0.35">
      <c r="B483" s="9">
        <v>1333</v>
      </c>
      <c r="C483" s="9" t="str">
        <v>가용재고</v>
      </c>
      <c r="D483" s="9" t="str">
        <v/>
      </c>
      <c r="E483" s="9" t="str">
        <v/>
      </c>
      <c r="F483" s="9" t="str">
        <v/>
      </c>
      <c r="G483" s="9" t="str">
        <v/>
      </c>
      <c r="H483" s="9" t="str">
        <v>RF-01T-0352</v>
      </c>
      <c r="I483" s="11" t="str">
        <v>RF-01T-0352]CAMERA CASE B</v>
      </c>
      <c r="J483" s="9">
        <v>148</v>
      </c>
      <c r="K483" s="9" t="str">
        <v/>
      </c>
      <c r="L483" s="9" t="str">
        <v>3E9</v>
      </c>
      <c r="M483" s="12">
        <v>46287</v>
      </c>
      <c r="N483" s="5" t="str">
        <v/>
      </c>
      <c r="O483" s="5" t="str">
        <v/>
      </c>
      <c r="P483" s="5" t="str">
        <v/>
      </c>
      <c r="Q483" s="14" t="str">
        <v/>
      </c>
      <c r="R483" s="15">
        <v>148</v>
      </c>
    </row>
    <row r="484" spans="2:18" x14ac:dyDescent="0.35">
      <c r="B484" s="9">
        <v>2035</v>
      </c>
      <c r="C484" s="9" t="str">
        <v>가용재고</v>
      </c>
      <c r="D484" s="9" t="str">
        <v/>
      </c>
      <c r="E484" s="9" t="str">
        <v>입고</v>
      </c>
      <c r="F484" s="9" t="str">
        <v>대영하네스</v>
      </c>
      <c r="G484" s="9" t="str">
        <v>유영국</v>
      </c>
      <c r="H484" s="9" t="str">
        <v>RA-11-11</v>
      </c>
      <c r="I484" s="11" t="str">
        <v>RA-11-11]DC POWER MOT-C</v>
      </c>
      <c r="J484" s="9">
        <v>150</v>
      </c>
      <c r="K484" s="9" t="str">
        <v/>
      </c>
      <c r="L484" s="9" t="str">
        <v>G3-5</v>
      </c>
      <c r="M484" s="12">
        <v>46296</v>
      </c>
      <c r="N484" s="5" t="str">
        <v/>
      </c>
      <c r="O484" s="5" t="str">
        <v/>
      </c>
      <c r="P484" s="5" t="str">
        <v/>
      </c>
      <c r="Q484" s="14" t="str">
        <v/>
      </c>
      <c r="R484" s="15">
        <v>150</v>
      </c>
    </row>
    <row r="485" spans="2:18" x14ac:dyDescent="0.35">
      <c r="B485" s="9">
        <v>2024</v>
      </c>
      <c r="C485" s="9" t="str">
        <v>가용재고</v>
      </c>
      <c r="D485" s="9" t="str">
        <v/>
      </c>
      <c r="E485" s="9" t="str">
        <v>입고</v>
      </c>
      <c r="F485" s="9" t="str">
        <v>대영하네스</v>
      </c>
      <c r="G485" s="9" t="str">
        <v>유영국</v>
      </c>
      <c r="H485" s="9" t="str">
        <v>RA-11-19</v>
      </c>
      <c r="I485" s="11" t="str">
        <v>RA-11-19]LED Power Cable</v>
      </c>
      <c r="J485" s="9">
        <v>150</v>
      </c>
      <c r="K485" s="9" t="str">
        <v/>
      </c>
      <c r="L485" s="9" t="str">
        <v>G2-5</v>
      </c>
      <c r="M485" s="12">
        <v>46296</v>
      </c>
      <c r="N485" s="5" t="str">
        <v/>
      </c>
      <c r="O485" s="5" t="str">
        <v/>
      </c>
      <c r="P485" s="5" t="str">
        <v/>
      </c>
      <c r="Q485" s="14" t="str">
        <v/>
      </c>
      <c r="R485" s="15">
        <v>150</v>
      </c>
    </row>
    <row r="486" spans="2:18" x14ac:dyDescent="0.35">
      <c r="B486" s="9">
        <v>1950</v>
      </c>
      <c r="C486" s="9" t="str">
        <v>가용재고</v>
      </c>
      <c r="D486" s="9" t="str">
        <v/>
      </c>
      <c r="E486" s="9" t="str">
        <v>입고</v>
      </c>
      <c r="F486" s="9" t="str">
        <v>A&amp;T</v>
      </c>
      <c r="G486" s="9" t="str">
        <v>장동은</v>
      </c>
      <c r="H486" s="9" t="str">
        <v>RA-06M-3317</v>
      </c>
      <c r="I486" s="11" t="str">
        <v>RA-06M-3317]BLK COL FIX UPPER (ST)</v>
      </c>
      <c r="J486" s="9">
        <v>150</v>
      </c>
      <c r="K486" s="9" t="str">
        <v/>
      </c>
      <c r="L486" s="9" t="str">
        <v>H2-3</v>
      </c>
      <c r="M486" s="12">
        <v>46296</v>
      </c>
      <c r="N486" s="5" t="str">
        <v/>
      </c>
      <c r="O486" s="5" t="str">
        <v/>
      </c>
      <c r="P486" s="5" t="str">
        <v/>
      </c>
      <c r="Q486" s="14" t="str">
        <v/>
      </c>
      <c r="R486" s="15">
        <v>150</v>
      </c>
    </row>
    <row r="487" spans="2:18" x14ac:dyDescent="0.35">
      <c r="B487" s="9">
        <v>1963</v>
      </c>
      <c r="C487" s="9" t="str">
        <v>가용재고</v>
      </c>
      <c r="D487" s="9" t="str">
        <v/>
      </c>
      <c r="E487" s="9" t="str">
        <v>입고</v>
      </c>
      <c r="F487" s="9" t="str">
        <v>A&amp;T</v>
      </c>
      <c r="G487" s="9" t="str">
        <v>장동은</v>
      </c>
      <c r="H487" s="9" t="str">
        <v>RA-02V-2049</v>
      </c>
      <c r="I487" s="11" t="str">
        <v>RA-02V-2049]PLT PHOt SNSR Y-AXIS (A+)</v>
      </c>
      <c r="J487" s="9">
        <v>150</v>
      </c>
      <c r="K487" s="9" t="str">
        <v/>
      </c>
      <c r="L487" s="9" t="str">
        <v>C3-4</v>
      </c>
      <c r="M487" s="12">
        <v>46296</v>
      </c>
      <c r="N487" s="5" t="str">
        <v/>
      </c>
      <c r="O487" s="5" t="str">
        <v/>
      </c>
      <c r="P487" s="5" t="str">
        <v/>
      </c>
      <c r="Q487" s="14" t="str">
        <v/>
      </c>
      <c r="R487" s="15">
        <v>150</v>
      </c>
    </row>
    <row r="488" spans="2:18" x14ac:dyDescent="0.35">
      <c r="B488" s="9">
        <v>2018</v>
      </c>
      <c r="C488" s="9" t="str">
        <v>가용재고</v>
      </c>
      <c r="D488" s="9" t="str">
        <v/>
      </c>
      <c r="E488" s="9" t="str">
        <v>입고</v>
      </c>
      <c r="F488" s="9" t="str">
        <v>대영하네스</v>
      </c>
      <c r="G488" s="9" t="str">
        <v>유영국</v>
      </c>
      <c r="H488" s="9" t="str">
        <v>RA-15-11</v>
      </c>
      <c r="I488" s="11" t="str">
        <v>RA-15-11]Fcol MOT Cable B</v>
      </c>
      <c r="J488" s="9">
        <v>150</v>
      </c>
      <c r="K488" s="9" t="str">
        <v/>
      </c>
      <c r="L488" s="9" t="str">
        <v>G3-7</v>
      </c>
      <c r="M488" s="12">
        <v>46296</v>
      </c>
      <c r="N488" s="5" t="str">
        <v/>
      </c>
      <c r="O488" s="5" t="str">
        <v/>
      </c>
      <c r="P488" s="5" t="str">
        <v/>
      </c>
      <c r="Q488" s="14" t="str">
        <v/>
      </c>
      <c r="R488" s="15">
        <v>150</v>
      </c>
    </row>
    <row r="489" spans="2:18" x14ac:dyDescent="0.35">
      <c r="B489" s="9">
        <v>2019</v>
      </c>
      <c r="C489" s="9" t="str">
        <v>가용재고</v>
      </c>
      <c r="D489" s="9" t="str">
        <v/>
      </c>
      <c r="E489" s="9" t="str">
        <v>입고</v>
      </c>
      <c r="F489" s="9" t="str">
        <v>대영하네스</v>
      </c>
      <c r="G489" s="9" t="str">
        <v>유영국</v>
      </c>
      <c r="H489" s="9" t="str">
        <v>RA-15-8</v>
      </c>
      <c r="I489" s="11" t="str">
        <v>RA-15-8]LED Power Cable</v>
      </c>
      <c r="J489" s="9">
        <v>150</v>
      </c>
      <c r="K489" s="9" t="str">
        <v/>
      </c>
      <c r="L489" s="9" t="str">
        <v>G1-6</v>
      </c>
      <c r="M489" s="12">
        <v>46296</v>
      </c>
      <c r="N489" s="5" t="str">
        <v/>
      </c>
      <c r="O489" s="5" t="str">
        <v/>
      </c>
      <c r="P489" s="5" t="str">
        <v/>
      </c>
      <c r="Q489" s="14" t="str">
        <v/>
      </c>
      <c r="R489" s="15">
        <v>150</v>
      </c>
    </row>
    <row r="490" spans="2:18" x14ac:dyDescent="0.35">
      <c r="B490" s="9">
        <v>2026</v>
      </c>
      <c r="C490" s="9" t="str">
        <v>가용재고</v>
      </c>
      <c r="D490" s="9" t="str">
        <v/>
      </c>
      <c r="E490" s="9" t="str">
        <v>입고</v>
      </c>
      <c r="F490" s="9" t="str">
        <v>대영하네스</v>
      </c>
      <c r="G490" s="9" t="str">
        <v>유영국</v>
      </c>
      <c r="H490" s="9" t="str">
        <v>RA-12-1</v>
      </c>
      <c r="I490" s="11" t="str">
        <v>RA-12-1]SUB CABLE ASS’Y</v>
      </c>
      <c r="J490" s="9">
        <v>150</v>
      </c>
      <c r="K490" s="9" t="str">
        <v/>
      </c>
      <c r="L490" s="9" t="str">
        <v>G4</v>
      </c>
      <c r="M490" s="12">
        <v>46296</v>
      </c>
      <c r="N490" s="5" t="str">
        <v/>
      </c>
      <c r="O490" s="5" t="str">
        <v/>
      </c>
      <c r="P490" s="5" t="str">
        <v/>
      </c>
      <c r="Q490" s="14" t="str">
        <v/>
      </c>
      <c r="R490" s="15">
        <v>150</v>
      </c>
    </row>
    <row r="491" spans="2:18" x14ac:dyDescent="0.35">
      <c r="B491" s="9">
        <v>2029</v>
      </c>
      <c r="C491" s="9" t="str">
        <v>가용재고</v>
      </c>
      <c r="D491" s="9" t="str">
        <v/>
      </c>
      <c r="E491" s="9" t="str">
        <v>입고</v>
      </c>
      <c r="F491" s="9" t="str">
        <v>대영하네스</v>
      </c>
      <c r="G491" s="9" t="str">
        <v>유영국</v>
      </c>
      <c r="H491" s="9" t="str">
        <v>RA-15-10</v>
      </c>
      <c r="I491" s="11" t="str">
        <v>RA-15-10]SUB MOT DET(VL)</v>
      </c>
      <c r="J491" s="9">
        <v>150</v>
      </c>
      <c r="K491" s="9" t="str">
        <v/>
      </c>
      <c r="L491" s="9" t="str">
        <v>G3-7</v>
      </c>
      <c r="M491" s="12">
        <v>46296</v>
      </c>
      <c r="N491" s="5" t="str">
        <v/>
      </c>
      <c r="O491" s="5" t="str">
        <v/>
      </c>
      <c r="P491" s="5" t="str">
        <v/>
      </c>
      <c r="Q491" s="14" t="str">
        <v/>
      </c>
      <c r="R491" s="15">
        <v>150</v>
      </c>
    </row>
    <row r="492" spans="2:18" x14ac:dyDescent="0.35">
      <c r="B492" s="9">
        <v>2045</v>
      </c>
      <c r="C492" s="9" t="str">
        <v>가용재고</v>
      </c>
      <c r="D492" s="9" t="str">
        <v/>
      </c>
      <c r="E492" s="9" t="str">
        <v>입고</v>
      </c>
      <c r="F492" s="9" t="str">
        <v>대영하네스</v>
      </c>
      <c r="G492" s="9" t="str">
        <v>유영국</v>
      </c>
      <c r="H492" s="9" t="str">
        <v>RA-11-13</v>
      </c>
      <c r="I492" s="11" t="str">
        <v>RA-11-13_3]PRIME MOT LINEAR Left-Right</v>
      </c>
      <c r="J492" s="9">
        <v>150</v>
      </c>
      <c r="K492" s="9" t="str">
        <v/>
      </c>
      <c r="L492" s="9" t="str">
        <v>G3-5</v>
      </c>
      <c r="M492" s="12">
        <v>46296</v>
      </c>
      <c r="N492" s="5" t="str">
        <v/>
      </c>
      <c r="O492" s="5" t="str">
        <v/>
      </c>
      <c r="P492" s="5" t="str">
        <v/>
      </c>
      <c r="Q492" s="14" t="str">
        <v/>
      </c>
      <c r="R492" s="15">
        <v>150</v>
      </c>
    </row>
    <row r="493" spans="2:18" x14ac:dyDescent="0.35">
      <c r="B493" s="9">
        <v>2054</v>
      </c>
      <c r="C493" s="9" t="str">
        <v>가용재고</v>
      </c>
      <c r="D493" s="9" t="str">
        <v/>
      </c>
      <c r="E493" s="9" t="str">
        <v>입고</v>
      </c>
      <c r="F493" s="9" t="str">
        <v>대영하네스</v>
      </c>
      <c r="G493" s="9" t="str">
        <v>유영국</v>
      </c>
      <c r="H493" s="9" t="str">
        <v>RA-6-2</v>
      </c>
      <c r="I493" s="11" t="str">
        <v>RA-6-2_3]PRIME MOT ROT</v>
      </c>
      <c r="J493" s="9">
        <v>150</v>
      </c>
      <c r="K493" s="9" t="str">
        <v/>
      </c>
      <c r="L493" s="9" t="str">
        <v>G4</v>
      </c>
      <c r="M493" s="12">
        <v>46296</v>
      </c>
      <c r="N493" s="5" t="str">
        <v/>
      </c>
      <c r="O493" s="5" t="str">
        <v/>
      </c>
      <c r="P493" s="5" t="str">
        <v/>
      </c>
      <c r="Q493" s="14" t="str">
        <v/>
      </c>
      <c r="R493" s="15">
        <v>150</v>
      </c>
    </row>
    <row r="494" spans="2:18" x14ac:dyDescent="0.35">
      <c r="B494" s="9">
        <v>2413</v>
      </c>
      <c r="C494" s="9" t="str">
        <v>가용재고</v>
      </c>
      <c r="D494" s="9" t="str">
        <v/>
      </c>
      <c r="E494" s="9" t="str">
        <v/>
      </c>
      <c r="F494" s="9" t="str">
        <v/>
      </c>
      <c r="G494" s="9" t="str">
        <v/>
      </c>
      <c r="H494" s="9" t="str">
        <v>RA-07V-2787</v>
      </c>
      <c r="I494" s="11" t="str">
        <v>RA-07V-2787]BRK DET PCB (IR)</v>
      </c>
      <c r="J494" s="9">
        <v>150</v>
      </c>
      <c r="K494" s="9" t="str">
        <v/>
      </c>
      <c r="L494" s="9" t="str">
        <v>J2-3</v>
      </c>
      <c r="M494" s="12">
        <v>46301</v>
      </c>
      <c r="N494" s="5" t="str">
        <v/>
      </c>
      <c r="O494" s="5" t="str">
        <v/>
      </c>
      <c r="P494" s="5" t="str">
        <v/>
      </c>
      <c r="Q494" s="14" t="str">
        <v/>
      </c>
      <c r="R494" s="15">
        <v>150</v>
      </c>
    </row>
    <row r="495" spans="2:18" x14ac:dyDescent="0.35">
      <c r="B495" s="9">
        <v>2416</v>
      </c>
      <c r="C495" s="9" t="str">
        <v>가용재고</v>
      </c>
      <c r="D495" s="9" t="str">
        <v/>
      </c>
      <c r="E495" s="9" t="str">
        <v/>
      </c>
      <c r="F495" s="9" t="str">
        <v/>
      </c>
      <c r="G495" s="9" t="str">
        <v/>
      </c>
      <c r="H495" s="9" t="str">
        <v>RS-02S-5135</v>
      </c>
      <c r="I495" s="11" t="str">
        <v>RS-02S-5135]PHOtSNSR-EE-SX671A</v>
      </c>
      <c r="J495" s="9">
        <v>150</v>
      </c>
      <c r="K495" s="9" t="str">
        <v/>
      </c>
      <c r="L495" s="9" t="str">
        <v>A12-3</v>
      </c>
      <c r="M495" s="12">
        <v>46301</v>
      </c>
      <c r="N495" s="5" t="str">
        <v/>
      </c>
      <c r="O495" s="5" t="str">
        <v/>
      </c>
      <c r="P495" s="5" t="str">
        <v/>
      </c>
      <c r="Q495" s="14" t="str">
        <v/>
      </c>
      <c r="R495" s="15">
        <v>150</v>
      </c>
    </row>
    <row r="496" spans="2:18" x14ac:dyDescent="0.35">
      <c r="B496" s="9">
        <v>2165</v>
      </c>
      <c r="C496" s="9" t="str">
        <v>가용재고</v>
      </c>
      <c r="D496" s="9" t="str">
        <v/>
      </c>
      <c r="E496" s="9" t="str">
        <v/>
      </c>
      <c r="F496" s="9" t="str">
        <v/>
      </c>
      <c r="G496" s="9" t="str">
        <v/>
      </c>
      <c r="H496" s="9" t="str">
        <v>RA-06S-5167</v>
      </c>
      <c r="I496" s="11" t="str">
        <v>RA-06S-5167]STEP MOT-KH4238-90102</v>
      </c>
      <c r="J496" s="9">
        <v>154</v>
      </c>
      <c r="K496" s="9" t="str">
        <v/>
      </c>
      <c r="L496" s="9" t="str">
        <v>Q</v>
      </c>
      <c r="M496" s="12">
        <v>46293</v>
      </c>
      <c r="N496" s="5" t="str">
        <v/>
      </c>
      <c r="O496" s="5" t="str">
        <v/>
      </c>
      <c r="P496" s="5" t="str">
        <v/>
      </c>
      <c r="Q496" s="14" t="str">
        <v/>
      </c>
      <c r="R496" s="15">
        <v>154</v>
      </c>
    </row>
    <row r="497" spans="2:18" x14ac:dyDescent="0.35">
      <c r="B497" s="9">
        <v>2329</v>
      </c>
      <c r="C497" s="9" t="str">
        <v>가용재고</v>
      </c>
      <c r="D497" s="9" t="str">
        <v/>
      </c>
      <c r="E497" s="9" t="str">
        <v/>
      </c>
      <c r="F497" s="9" t="str">
        <v/>
      </c>
      <c r="G497" s="9" t="str">
        <v/>
      </c>
      <c r="H497" s="9" t="str">
        <v>RA-2-4</v>
      </c>
      <c r="I497" s="11" t="str">
        <v>RA-2-4]SERIAL POWER THU</v>
      </c>
      <c r="J497" s="9">
        <v>154</v>
      </c>
      <c r="K497" s="9" t="str">
        <v/>
      </c>
      <c r="L497" s="9" t="str">
        <v>G2-1</v>
      </c>
      <c r="M497" s="12">
        <v>46302</v>
      </c>
      <c r="N497" s="5" t="str">
        <v/>
      </c>
      <c r="O497" s="5" t="str">
        <v/>
      </c>
      <c r="P497" s="5" t="str">
        <v/>
      </c>
      <c r="Q497" s="14" t="str">
        <v/>
      </c>
      <c r="R497" s="15">
        <v>154</v>
      </c>
    </row>
    <row r="498" spans="2:18" x14ac:dyDescent="0.35">
      <c r="B498" s="9">
        <v>2145</v>
      </c>
      <c r="C498" s="9" t="str">
        <v>가용재고</v>
      </c>
      <c r="D498" s="9" t="str">
        <v/>
      </c>
      <c r="E498" s="9" t="str">
        <v/>
      </c>
      <c r="F498" s="9" t="str">
        <v/>
      </c>
      <c r="G498" s="9" t="str">
        <v/>
      </c>
      <c r="H498" s="9" t="str">
        <v>RA-02M-2522</v>
      </c>
      <c r="I498" s="11" t="str">
        <v>RA-02M-2522]PULLEY ROT MAIN (A+)</v>
      </c>
      <c r="J498" s="9">
        <v>156</v>
      </c>
      <c r="K498" s="9" t="str">
        <v/>
      </c>
      <c r="L498" s="9" t="str">
        <v>C3-5</v>
      </c>
      <c r="M498" s="12">
        <v>46293</v>
      </c>
      <c r="N498" s="5" t="str">
        <v/>
      </c>
      <c r="O498" s="5" t="str">
        <v/>
      </c>
      <c r="P498" s="5" t="str">
        <v/>
      </c>
      <c r="Q498" s="14" t="str">
        <v/>
      </c>
      <c r="R498" s="15">
        <v>156</v>
      </c>
    </row>
    <row r="499" spans="2:18" x14ac:dyDescent="0.35">
      <c r="B499" s="9">
        <v>2065</v>
      </c>
      <c r="C499" s="9" t="str">
        <v>가용재고</v>
      </c>
      <c r="D499" s="9" t="str">
        <v/>
      </c>
      <c r="E499" s="9" t="str">
        <v>입고</v>
      </c>
      <c r="F499" s="9" t="str">
        <v>다유</v>
      </c>
      <c r="G499" s="9" t="str">
        <v>유영국</v>
      </c>
      <c r="H499" s="9" t="str">
        <v>RA-07A-1777</v>
      </c>
      <c r="I499" s="11" t="str">
        <v>RA-07A-1777]ASM SCREW MOVING DET (VA)</v>
      </c>
      <c r="J499" s="9">
        <v>159</v>
      </c>
      <c r="K499" s="9" t="str">
        <v/>
      </c>
      <c r="L499" s="9" t="str">
        <v>J2-2</v>
      </c>
      <c r="M499" s="12">
        <v>46301</v>
      </c>
      <c r="N499" s="5" t="str">
        <v/>
      </c>
      <c r="O499" s="5" t="str">
        <v/>
      </c>
      <c r="P499" s="5" t="str">
        <v/>
      </c>
      <c r="Q499" s="14" t="str">
        <v/>
      </c>
      <c r="R499" s="15">
        <v>159</v>
      </c>
    </row>
    <row r="500" spans="2:18" x14ac:dyDescent="0.35">
      <c r="B500" s="9">
        <v>2060</v>
      </c>
      <c r="C500" s="9" t="str">
        <v>가용재고</v>
      </c>
      <c r="D500" s="9" t="str">
        <v/>
      </c>
      <c r="E500" s="9" t="str">
        <v>입고</v>
      </c>
      <c r="F500" s="9" t="str">
        <v>플랜피뎀</v>
      </c>
      <c r="G500" s="9" t="str">
        <v>유영국</v>
      </c>
      <c r="H500" s="9" t="str">
        <v>RD-01G-0502</v>
      </c>
      <c r="I500" s="11" t="str">
        <v>RD-01G-0502]SPONGE)UV SNSR</v>
      </c>
      <c r="J500" s="9">
        <v>160</v>
      </c>
      <c r="K500" s="9" t="str">
        <v/>
      </c>
      <c r="L500" s="9" t="str">
        <v>3S3-1</v>
      </c>
      <c r="M500" s="12">
        <v>46297</v>
      </c>
      <c r="N500" s="5" t="str">
        <v/>
      </c>
      <c r="O500" s="5" t="str">
        <v/>
      </c>
      <c r="P500" s="5" t="str">
        <v/>
      </c>
      <c r="Q500" s="14" t="str">
        <v/>
      </c>
      <c r="R500" s="15">
        <v>160</v>
      </c>
    </row>
    <row r="501" spans="2:18" x14ac:dyDescent="0.35">
      <c r="B501" s="9">
        <v>2404</v>
      </c>
      <c r="C501" s="9" t="str">
        <v>가용재고</v>
      </c>
      <c r="D501" s="9" t="str">
        <v/>
      </c>
      <c r="E501" s="9" t="str">
        <v/>
      </c>
      <c r="F501" s="9" t="str">
        <v/>
      </c>
      <c r="G501" s="9" t="str">
        <v/>
      </c>
      <c r="H501" s="9" t="str">
        <v>RA-07S-1654</v>
      </c>
      <c r="I501" s="11" t="str">
        <v>RA-07S-1654]LM RAIL SET (MGN9C-125L (VA)</v>
      </c>
      <c r="J501" s="9">
        <v>161</v>
      </c>
      <c r="K501" s="9" t="str">
        <v/>
      </c>
      <c r="L501" s="9" t="str">
        <v>J2-2</v>
      </c>
      <c r="M501" s="12">
        <v>46301</v>
      </c>
      <c r="N501" s="5" t="str">
        <v/>
      </c>
      <c r="O501" s="5" t="str">
        <v/>
      </c>
      <c r="P501" s="5" t="str">
        <v/>
      </c>
      <c r="Q501" s="14" t="str">
        <v/>
      </c>
      <c r="R501" s="15">
        <v>161</v>
      </c>
    </row>
    <row r="502" spans="2:18" x14ac:dyDescent="0.35">
      <c r="B502" s="9">
        <v>2171</v>
      </c>
      <c r="C502" s="9" t="str">
        <v>가용재고</v>
      </c>
      <c r="D502" s="9" t="str">
        <v/>
      </c>
      <c r="E502" s="9" t="str">
        <v/>
      </c>
      <c r="F502" s="9" t="str">
        <v/>
      </c>
      <c r="G502" s="9" t="str">
        <v/>
      </c>
      <c r="H502" s="9" t="str">
        <v>RA-7-2</v>
      </c>
      <c r="I502" s="11" t="str">
        <v>RA-7-2]LAN GIGA</v>
      </c>
      <c r="J502" s="9">
        <v>162</v>
      </c>
      <c r="K502" s="9" t="str">
        <v/>
      </c>
      <c r="L502" s="9" t="str">
        <v>G2-2</v>
      </c>
      <c r="M502" s="12">
        <v>46293</v>
      </c>
      <c r="N502" s="5" t="str">
        <v/>
      </c>
      <c r="O502" s="5" t="str">
        <v/>
      </c>
      <c r="P502" s="5" t="str">
        <v/>
      </c>
      <c r="Q502" s="14" t="str">
        <v/>
      </c>
      <c r="R502" s="15">
        <v>162</v>
      </c>
    </row>
    <row r="503" spans="2:18" x14ac:dyDescent="0.35">
      <c r="B503" s="9">
        <v>2443</v>
      </c>
      <c r="C503" s="9" t="str">
        <v>가용재고</v>
      </c>
      <c r="D503" s="9" t="str">
        <v/>
      </c>
      <c r="E503" s="9" t="str">
        <v/>
      </c>
      <c r="F503" s="9" t="str">
        <v/>
      </c>
      <c r="G503" s="9" t="str">
        <v/>
      </c>
      <c r="H503" s="9" t="str">
        <v>RA-06V-2138</v>
      </c>
      <c r="I503" s="11" t="str">
        <v>RA-06V-2138]BRK COL Bd (A+)</v>
      </c>
      <c r="J503" s="9">
        <v>162</v>
      </c>
      <c r="K503" s="9" t="str">
        <v/>
      </c>
      <c r="L503" s="9" t="str">
        <v>I2-3</v>
      </c>
      <c r="M503" s="12">
        <v>46301</v>
      </c>
      <c r="N503" s="5" t="str">
        <v/>
      </c>
      <c r="O503" s="5" t="str">
        <v/>
      </c>
      <c r="P503" s="5" t="str">
        <v/>
      </c>
      <c r="Q503" s="14" t="str">
        <v/>
      </c>
      <c r="R503" s="15">
        <v>162</v>
      </c>
    </row>
    <row r="504" spans="2:18" x14ac:dyDescent="0.35">
      <c r="B504" s="9">
        <v>2063</v>
      </c>
      <c r="C504" s="9" t="str">
        <v>가용재고</v>
      </c>
      <c r="D504" s="9" t="str">
        <v/>
      </c>
      <c r="E504" s="9" t="str">
        <v>입고</v>
      </c>
      <c r="F504" s="9" t="str">
        <v>다유</v>
      </c>
      <c r="G504" s="9" t="str">
        <v>유영국</v>
      </c>
      <c r="H504" s="9" t="str">
        <v>RA-06M-0520</v>
      </c>
      <c r="I504" s="11" t="str">
        <v>RA-06M-0520]HEATSINK</v>
      </c>
      <c r="J504" s="9">
        <v>163</v>
      </c>
      <c r="K504" s="9" t="str">
        <v/>
      </c>
      <c r="L504" s="9" t="str">
        <v>M1</v>
      </c>
      <c r="M504" s="12">
        <v>46301</v>
      </c>
      <c r="N504" s="5" t="str">
        <v/>
      </c>
      <c r="O504" s="5" t="str">
        <v/>
      </c>
      <c r="P504" s="5" t="str">
        <v/>
      </c>
      <c r="Q504" s="14" t="str">
        <v/>
      </c>
      <c r="R504" s="15">
        <v>163</v>
      </c>
    </row>
    <row r="505" spans="2:18" x14ac:dyDescent="0.35">
      <c r="B505" s="9">
        <v>2353</v>
      </c>
      <c r="C505" s="9" t="str">
        <v>가용재고</v>
      </c>
      <c r="D505" s="9" t="str">
        <v/>
      </c>
      <c r="E505" s="9" t="str">
        <v/>
      </c>
      <c r="F505" s="9" t="str">
        <v/>
      </c>
      <c r="G505" s="9" t="str">
        <v/>
      </c>
      <c r="H505" s="9" t="str">
        <v>RF-01T-0351</v>
      </c>
      <c r="I505" s="11" t="str">
        <v>RF-01T-0351]WINDOW LED B</v>
      </c>
      <c r="J505" s="9">
        <v>163</v>
      </c>
      <c r="K505" s="9" t="str">
        <v/>
      </c>
      <c r="L505" s="9" t="str">
        <v>3E9</v>
      </c>
      <c r="M505" s="12">
        <v>46295</v>
      </c>
      <c r="N505" s="5" t="str">
        <v/>
      </c>
      <c r="O505" s="5" t="str">
        <v/>
      </c>
      <c r="P505" s="5" t="str">
        <v/>
      </c>
      <c r="Q505" s="14" t="str">
        <v/>
      </c>
      <c r="R505" s="15">
        <v>163</v>
      </c>
    </row>
    <row r="506" spans="2:18" x14ac:dyDescent="0.35">
      <c r="B506" s="9">
        <v>2426</v>
      </c>
      <c r="C506" s="9" t="str">
        <v>가용재고</v>
      </c>
      <c r="D506" s="9" t="str">
        <v/>
      </c>
      <c r="E506" s="9" t="str">
        <v/>
      </c>
      <c r="F506" s="9" t="str">
        <v/>
      </c>
      <c r="G506" s="9" t="str">
        <v/>
      </c>
      <c r="H506" s="9" t="str">
        <v>RA-06M-2084</v>
      </c>
      <c r="I506" s="11" t="str">
        <v>RA-06M-2084]BLK FIX COL UPPER(A+)</v>
      </c>
      <c r="J506" s="9">
        <v>164</v>
      </c>
      <c r="K506" s="9" t="str">
        <v/>
      </c>
      <c r="L506" s="9" t="str">
        <v>I2-1</v>
      </c>
      <c r="M506" s="12">
        <v>46301</v>
      </c>
      <c r="N506" s="5" t="str">
        <v/>
      </c>
      <c r="O506" s="5" t="str">
        <v/>
      </c>
      <c r="P506" s="5" t="str">
        <v/>
      </c>
      <c r="Q506" s="14" t="str">
        <v/>
      </c>
      <c r="R506" s="15">
        <v>164</v>
      </c>
    </row>
    <row r="507" spans="2:18" x14ac:dyDescent="0.35">
      <c r="B507" s="9">
        <v>2496</v>
      </c>
      <c r="C507" s="9" t="str">
        <v>가용재고</v>
      </c>
      <c r="D507" s="9" t="str">
        <v/>
      </c>
      <c r="E507" s="9" t="str">
        <v/>
      </c>
      <c r="F507" s="9" t="str">
        <v/>
      </c>
      <c r="G507" s="9" t="str">
        <v/>
      </c>
      <c r="H507" s="9" t="str">
        <v>RA-05V-0513</v>
      </c>
      <c r="I507" s="11" t="str">
        <v>RA-05V-0513]BRK LED PCB</v>
      </c>
      <c r="J507" s="9">
        <v>165</v>
      </c>
      <c r="K507" s="9" t="str">
        <v/>
      </c>
      <c r="L507" s="9" t="str">
        <v>J4-2</v>
      </c>
      <c r="M507" s="12">
        <v>46303</v>
      </c>
      <c r="N507" s="5" t="str">
        <v/>
      </c>
      <c r="O507" s="5" t="str">
        <v/>
      </c>
      <c r="P507" s="5" t="str">
        <v/>
      </c>
      <c r="Q507" s="14" t="str">
        <v/>
      </c>
      <c r="R507" s="15">
        <v>165</v>
      </c>
    </row>
    <row r="508" spans="2:18" x14ac:dyDescent="0.35">
      <c r="B508" s="9">
        <v>1645</v>
      </c>
      <c r="C508" s="9" t="str">
        <v>가용재고</v>
      </c>
      <c r="D508" s="9" t="str">
        <v/>
      </c>
      <c r="E508" s="9" t="str">
        <v/>
      </c>
      <c r="F508" s="9" t="str">
        <v/>
      </c>
      <c r="G508" s="9" t="str">
        <v/>
      </c>
      <c r="H508" s="9" t="str">
        <v>RA-1-9A</v>
      </c>
      <c r="I508" s="11" t="str">
        <v>RA-1-9A]DC POWER MOT-A</v>
      </c>
      <c r="J508" s="9">
        <v>167</v>
      </c>
      <c r="K508" s="9" t="str">
        <v/>
      </c>
      <c r="L508" s="9" t="str">
        <v>G4</v>
      </c>
      <c r="M508" s="12">
        <v>46280</v>
      </c>
      <c r="N508" s="5" t="str">
        <v/>
      </c>
      <c r="O508" s="5" t="str">
        <v/>
      </c>
      <c r="P508" s="5" t="str">
        <v/>
      </c>
      <c r="Q508" s="14" t="str">
        <v/>
      </c>
      <c r="R508" s="15">
        <v>167</v>
      </c>
    </row>
    <row r="509" spans="2:18" x14ac:dyDescent="0.35">
      <c r="B509" s="9">
        <v>1919</v>
      </c>
      <c r="C509" s="9" t="str">
        <v>가용재고</v>
      </c>
      <c r="D509" s="9" t="str">
        <v/>
      </c>
      <c r="E509" s="9" t="str">
        <v/>
      </c>
      <c r="F509" s="9" t="str">
        <v/>
      </c>
      <c r="G509" s="9" t="str">
        <v/>
      </c>
      <c r="H509" s="9" t="str">
        <v>RA-07V-3962</v>
      </c>
      <c r="I509" s="11" t="str">
        <v>RA-07V-3962]CVR DET PCB (MG)</v>
      </c>
      <c r="J509" s="9">
        <v>169</v>
      </c>
      <c r="K509" s="9" t="str">
        <v/>
      </c>
      <c r="L509" s="9" t="str">
        <v>N2-4</v>
      </c>
      <c r="M509" s="12">
        <v>46295</v>
      </c>
      <c r="N509" s="5" t="str">
        <v/>
      </c>
      <c r="O509" s="5" t="str">
        <v/>
      </c>
      <c r="P509" s="5" t="str">
        <v/>
      </c>
      <c r="Q509" s="14" t="str">
        <v/>
      </c>
      <c r="R509" s="15">
        <v>169</v>
      </c>
    </row>
    <row r="510" spans="2:18" x14ac:dyDescent="0.35">
      <c r="B510" s="9">
        <v>1024</v>
      </c>
      <c r="C510" s="9" t="str">
        <v>가용재고</v>
      </c>
      <c r="D510" s="9" t="str">
        <v/>
      </c>
      <c r="E510" s="9" t="str">
        <v>기초</v>
      </c>
      <c r="F510" s="9" t="str">
        <v/>
      </c>
      <c r="G510" s="9" t="str">
        <v/>
      </c>
      <c r="H510" s="9" t="str">
        <v>RA-06M-3933</v>
      </c>
      <c r="I510" s="11" t="str">
        <v>RA-06M-3933]BLK CONNECTOR FIX (MG)</v>
      </c>
      <c r="J510" s="9">
        <v>170</v>
      </c>
      <c r="K510" s="9" t="str">
        <v/>
      </c>
      <c r="L510" s="9" t="str">
        <v>N2-2</v>
      </c>
      <c r="M510" s="12">
        <v>46276</v>
      </c>
      <c r="N510" s="5" t="str">
        <v/>
      </c>
      <c r="O510" s="5" t="str">
        <v/>
      </c>
      <c r="P510" s="5" t="str">
        <v/>
      </c>
      <c r="Q510" s="14" t="str">
        <v/>
      </c>
      <c r="R510" s="15">
        <v>170</v>
      </c>
    </row>
    <row r="511" spans="2:18" x14ac:dyDescent="0.35">
      <c r="B511" s="9">
        <v>1025</v>
      </c>
      <c r="C511" s="9" t="str">
        <v>가용재고</v>
      </c>
      <c r="D511" s="9" t="str">
        <v/>
      </c>
      <c r="E511" s="9" t="str">
        <v>기초</v>
      </c>
      <c r="F511" s="9" t="str">
        <v/>
      </c>
      <c r="G511" s="9" t="str">
        <v/>
      </c>
      <c r="H511" s="9" t="str">
        <v>RA-04S-5179</v>
      </c>
      <c r="I511" s="11" t="str">
        <v>RA-04S-5179]SMPS-RPS-75-24</v>
      </c>
      <c r="J511" s="9">
        <v>171</v>
      </c>
      <c r="K511" s="9" t="str">
        <v/>
      </c>
      <c r="L511" s="9" t="str">
        <v>A12-2</v>
      </c>
      <c r="M511" s="12">
        <v>46276</v>
      </c>
      <c r="N511" s="5" t="str">
        <v/>
      </c>
      <c r="O511" s="5" t="str">
        <v/>
      </c>
      <c r="P511" s="5" t="str">
        <v/>
      </c>
      <c r="Q511" s="14" t="str">
        <v/>
      </c>
      <c r="R511" s="15">
        <v>171</v>
      </c>
    </row>
    <row r="512" spans="2:18" x14ac:dyDescent="0.35">
      <c r="B512" s="9">
        <v>1302</v>
      </c>
      <c r="C512" s="9" t="str">
        <v>가용재고</v>
      </c>
      <c r="D512" s="9" t="str">
        <v/>
      </c>
      <c r="E512" s="9" t="str">
        <v/>
      </c>
      <c r="F512" s="9" t="str">
        <v/>
      </c>
      <c r="G512" s="9" t="str">
        <v/>
      </c>
      <c r="H512" s="9" t="str">
        <v>RF-01T-0161</v>
      </c>
      <c r="I512" s="11" t="str">
        <v>RF-01T-0161]Bas BOT UPPER</v>
      </c>
      <c r="J512" s="9">
        <v>171</v>
      </c>
      <c r="K512" s="9" t="str">
        <v/>
      </c>
      <c r="L512" s="9" t="str">
        <v>3B11</v>
      </c>
      <c r="M512" s="12">
        <v>46287</v>
      </c>
      <c r="N512" s="5" t="str">
        <v/>
      </c>
      <c r="O512" s="5" t="str">
        <v/>
      </c>
      <c r="P512" s="5" t="str">
        <v/>
      </c>
      <c r="Q512" s="14" t="str">
        <v/>
      </c>
      <c r="R512" s="15">
        <v>171</v>
      </c>
    </row>
    <row r="513" spans="2:18" x14ac:dyDescent="0.35">
      <c r="B513" s="9">
        <v>2027</v>
      </c>
      <c r="C513" s="9" t="str">
        <v>가용재고</v>
      </c>
      <c r="D513" s="9" t="str">
        <v/>
      </c>
      <c r="E513" s="9" t="str">
        <v>입고</v>
      </c>
      <c r="F513" s="9" t="str">
        <v>대영하네스</v>
      </c>
      <c r="G513" s="9" t="str">
        <v>유영국</v>
      </c>
      <c r="H513" s="9" t="str">
        <v>RA-11-23</v>
      </c>
      <c r="I513" s="11" t="str">
        <v>RA-11-23]Fcol MOT Cable D</v>
      </c>
      <c r="J513" s="9">
        <v>176</v>
      </c>
      <c r="K513" s="9" t="str">
        <v/>
      </c>
      <c r="L513" s="9" t="str">
        <v>G1-5</v>
      </c>
      <c r="M513" s="12">
        <v>46296</v>
      </c>
      <c r="N513" s="5" t="str">
        <v/>
      </c>
      <c r="O513" s="5" t="str">
        <v/>
      </c>
      <c r="P513" s="5" t="str">
        <v/>
      </c>
      <c r="Q513" s="14" t="str">
        <v/>
      </c>
      <c r="R513" s="15">
        <v>176</v>
      </c>
    </row>
    <row r="514" spans="2:18" x14ac:dyDescent="0.35">
      <c r="B514" s="9">
        <v>281</v>
      </c>
      <c r="C514" s="9" t="str">
        <v>가용재고</v>
      </c>
      <c r="D514" s="9" t="str">
        <v/>
      </c>
      <c r="E514" s="9" t="str">
        <v/>
      </c>
      <c r="F514" s="9" t="str">
        <v/>
      </c>
      <c r="G514" s="9" t="str">
        <v/>
      </c>
      <c r="H514" s="9" t="str">
        <v>RA-08T-2185</v>
      </c>
      <c r="I514" s="11" t="str">
        <v>RA-08T-2185]CAS CEPH _4HEAD</v>
      </c>
      <c r="J514" s="9">
        <v>177</v>
      </c>
      <c r="K514" s="9" t="str">
        <v/>
      </c>
      <c r="L514" s="9" t="str">
        <v>R</v>
      </c>
      <c r="M514" s="12">
        <v>46232</v>
      </c>
      <c r="N514" s="5" t="str">
        <v/>
      </c>
      <c r="O514" s="5" t="str">
        <v/>
      </c>
      <c r="P514" s="5" t="str">
        <v/>
      </c>
      <c r="Q514" s="14" t="str">
        <v/>
      </c>
      <c r="R514" s="15">
        <v>177</v>
      </c>
    </row>
    <row r="515" spans="2:18" x14ac:dyDescent="0.35">
      <c r="B515" s="9">
        <v>1337</v>
      </c>
      <c r="C515" s="9" t="str">
        <v>가용재고</v>
      </c>
      <c r="D515" s="9" t="str">
        <v/>
      </c>
      <c r="E515" s="9" t="str">
        <v/>
      </c>
      <c r="F515" s="9" t="str">
        <v/>
      </c>
      <c r="G515" s="9" t="str">
        <v/>
      </c>
      <c r="H515" s="9" t="str">
        <v>RF-01T-0196</v>
      </c>
      <c r="I515" s="11" t="str">
        <v>RF-01T-0196]CVR REAR</v>
      </c>
      <c r="J515" s="9">
        <v>177</v>
      </c>
      <c r="K515" s="9" t="str">
        <v/>
      </c>
      <c r="L515" s="9" t="str">
        <v>3I5</v>
      </c>
      <c r="M515" s="12">
        <v>46287</v>
      </c>
      <c r="N515" s="5" t="str">
        <v/>
      </c>
      <c r="O515" s="5" t="str">
        <v/>
      </c>
      <c r="P515" s="5" t="str">
        <v/>
      </c>
      <c r="Q515" s="14" t="str">
        <v/>
      </c>
      <c r="R515" s="15">
        <v>177</v>
      </c>
    </row>
    <row r="516" spans="2:18" x14ac:dyDescent="0.35">
      <c r="B516" s="9">
        <v>1898</v>
      </c>
      <c r="C516" s="9" t="str">
        <v>가용재고</v>
      </c>
      <c r="D516" s="9" t="str">
        <v/>
      </c>
      <c r="E516" s="9" t="str">
        <v/>
      </c>
      <c r="F516" s="9" t="str">
        <v/>
      </c>
      <c r="G516" s="9" t="str">
        <v/>
      </c>
      <c r="H516" s="9" t="str">
        <v>RA-02V-3286</v>
      </c>
      <c r="I516" s="11" t="str">
        <v>RA-02V-3286]BRK FIX Y-AXIS (ST)</v>
      </c>
      <c r="J516" s="9">
        <v>177</v>
      </c>
      <c r="K516" s="9" t="str">
        <v/>
      </c>
      <c r="L516" s="9" t="str">
        <v>N2-3</v>
      </c>
      <c r="M516" s="12">
        <v>46295</v>
      </c>
      <c r="N516" s="5" t="str">
        <v/>
      </c>
      <c r="O516" s="5" t="str">
        <v/>
      </c>
      <c r="P516" s="5" t="str">
        <v/>
      </c>
      <c r="Q516" s="14" t="str">
        <v/>
      </c>
      <c r="R516" s="15">
        <v>177</v>
      </c>
    </row>
    <row r="517" spans="2:18" x14ac:dyDescent="0.35">
      <c r="B517" s="9">
        <v>2428</v>
      </c>
      <c r="C517" s="9" t="str">
        <v>가용재고</v>
      </c>
      <c r="D517" s="9" t="str">
        <v/>
      </c>
      <c r="E517" s="9" t="str">
        <v/>
      </c>
      <c r="F517" s="9" t="str">
        <v/>
      </c>
      <c r="G517" s="9" t="str">
        <v/>
      </c>
      <c r="H517" s="9" t="str">
        <v>RA-06V-2140</v>
      </c>
      <c r="I517" s="11" t="str">
        <v>RA-06V-2140]BRK TUBE CAS FRONT (A+)</v>
      </c>
      <c r="J517" s="9">
        <v>177</v>
      </c>
      <c r="K517" s="9" t="str">
        <v/>
      </c>
      <c r="L517" s="9" t="str">
        <v>H3-4</v>
      </c>
      <c r="M517" s="12">
        <v>46301</v>
      </c>
      <c r="N517" s="5" t="str">
        <v/>
      </c>
      <c r="O517" s="5" t="str">
        <v/>
      </c>
      <c r="P517" s="5" t="str">
        <v/>
      </c>
      <c r="Q517" s="14" t="str">
        <v/>
      </c>
      <c r="R517" s="15">
        <v>177</v>
      </c>
    </row>
    <row r="518" spans="2:18" x14ac:dyDescent="0.35">
      <c r="B518" s="9">
        <v>2508</v>
      </c>
      <c r="C518" s="9" t="str">
        <v>가용재고</v>
      </c>
      <c r="D518" s="9" t="str">
        <v/>
      </c>
      <c r="E518" s="9" t="str">
        <v/>
      </c>
      <c r="F518" s="9" t="str">
        <v/>
      </c>
      <c r="G518" s="9" t="str">
        <v/>
      </c>
      <c r="H518" s="9" t="str">
        <v>RA-10-1</v>
      </c>
      <c r="I518" s="11" t="str">
        <v>RA-10-1]AC CABLE ASS’Y</v>
      </c>
      <c r="J518" s="9">
        <v>180</v>
      </c>
      <c r="K518" s="9" t="str">
        <v/>
      </c>
      <c r="L518" s="9" t="str">
        <v>G4</v>
      </c>
      <c r="M518" s="12">
        <v>46297</v>
      </c>
      <c r="N518" s="5" t="str">
        <v/>
      </c>
      <c r="O518" s="5" t="str">
        <v/>
      </c>
      <c r="P518" s="5" t="str">
        <v/>
      </c>
      <c r="Q518" s="14" t="str">
        <v/>
      </c>
      <c r="R518" s="15">
        <v>180</v>
      </c>
    </row>
    <row r="519" spans="2:18" x14ac:dyDescent="0.35">
      <c r="B519" s="9">
        <v>1329</v>
      </c>
      <c r="C519" s="9" t="str">
        <v>가용재고</v>
      </c>
      <c r="D519" s="9" t="str">
        <v/>
      </c>
      <c r="E519" s="9" t="str">
        <v/>
      </c>
      <c r="F519" s="9" t="str">
        <v/>
      </c>
      <c r="G519" s="9" t="str">
        <v/>
      </c>
      <c r="H519" s="9" t="str">
        <v>RF-01T-0171</v>
      </c>
      <c r="I519" s="11" t="str">
        <v>RF-01T-0171]ARM CVR REAR R</v>
      </c>
      <c r="J519" s="9">
        <v>182</v>
      </c>
      <c r="K519" s="9" t="str">
        <v/>
      </c>
      <c r="L519" s="9" t="str">
        <v>3B4</v>
      </c>
      <c r="M519" s="12">
        <v>46287</v>
      </c>
      <c r="N519" s="5" t="str">
        <v/>
      </c>
      <c r="O519" s="5" t="str">
        <v/>
      </c>
      <c r="P519" s="5" t="str">
        <v/>
      </c>
      <c r="Q519" s="14" t="str">
        <v/>
      </c>
      <c r="R519" s="15">
        <v>182</v>
      </c>
    </row>
    <row r="520" spans="2:18" x14ac:dyDescent="0.35">
      <c r="B520" s="9">
        <v>1846</v>
      </c>
      <c r="C520" s="9" t="str">
        <v>가용재고</v>
      </c>
      <c r="D520" s="9" t="str">
        <v/>
      </c>
      <c r="E520" s="9" t="str">
        <v/>
      </c>
      <c r="F520" s="9" t="str">
        <v/>
      </c>
      <c r="G520" s="9" t="str">
        <v/>
      </c>
      <c r="H520" s="9" t="str">
        <v>RA-06V-0795</v>
      </c>
      <c r="I520" s="11" t="str">
        <v>RA-06V-0795]BRK TUBE FIX C</v>
      </c>
      <c r="J520" s="9">
        <v>182</v>
      </c>
      <c r="K520" s="9" t="str">
        <v/>
      </c>
      <c r="L520" s="9" t="str">
        <v>H3-3</v>
      </c>
      <c r="M520" s="12">
        <v>46295</v>
      </c>
      <c r="N520" s="5" t="str">
        <v/>
      </c>
      <c r="O520" s="5" t="str">
        <v/>
      </c>
      <c r="P520" s="5" t="str">
        <v/>
      </c>
      <c r="Q520" s="14" t="str">
        <v/>
      </c>
      <c r="R520" s="15">
        <v>182</v>
      </c>
    </row>
    <row r="521" spans="2:18" x14ac:dyDescent="0.35">
      <c r="B521" s="9">
        <v>2053</v>
      </c>
      <c r="C521" s="9" t="str">
        <v>가용재고</v>
      </c>
      <c r="D521" s="9" t="str">
        <v/>
      </c>
      <c r="E521" s="9" t="str">
        <v>입고</v>
      </c>
      <c r="F521" s="9" t="str">
        <v>대영하네스</v>
      </c>
      <c r="G521" s="9" t="str">
        <v>유영국</v>
      </c>
      <c r="H521" s="9" t="str">
        <v>RA-5-5</v>
      </c>
      <c r="I521" s="11" t="str">
        <v>RA-5-5]EARTH ROT TO PFC</v>
      </c>
      <c r="J521" s="9">
        <v>183</v>
      </c>
      <c r="K521" s="9" t="str">
        <v/>
      </c>
      <c r="L521" s="9" t="str">
        <v>G3-2</v>
      </c>
      <c r="M521" s="12">
        <v>46296</v>
      </c>
      <c r="N521" s="5" t="str">
        <v/>
      </c>
      <c r="O521" s="5" t="str">
        <v/>
      </c>
      <c r="P521" s="5" t="str">
        <v/>
      </c>
      <c r="Q521" s="14" t="str">
        <v/>
      </c>
      <c r="R521" s="15">
        <v>183</v>
      </c>
    </row>
    <row r="522" spans="2:18" x14ac:dyDescent="0.35">
      <c r="B522" s="9">
        <v>1032</v>
      </c>
      <c r="C522" s="9" t="str">
        <v>가용재고</v>
      </c>
      <c r="D522" s="9" t="str">
        <v/>
      </c>
      <c r="E522" s="9" t="str">
        <v>기초</v>
      </c>
      <c r="F522" s="9" t="str">
        <v/>
      </c>
      <c r="G522" s="9" t="str">
        <v/>
      </c>
      <c r="H522" s="9" t="str">
        <v>RA-03M-3866</v>
      </c>
      <c r="I522" s="11" t="str">
        <v>RA-03M-3866]MIRROR FRONT (MG)</v>
      </c>
      <c r="J522" s="9">
        <v>183</v>
      </c>
      <c r="K522" s="9" t="str">
        <v/>
      </c>
      <c r="L522" s="9" t="str">
        <v>N2-2</v>
      </c>
      <c r="M522" s="12">
        <v>46276</v>
      </c>
      <c r="N522" s="5" t="str">
        <v/>
      </c>
      <c r="O522" s="5" t="str">
        <v/>
      </c>
      <c r="P522" s="5" t="str">
        <v/>
      </c>
      <c r="Q522" s="14" t="str">
        <v/>
      </c>
      <c r="R522" s="15">
        <v>183</v>
      </c>
    </row>
    <row r="523" spans="2:18" x14ac:dyDescent="0.35">
      <c r="B523" s="9">
        <v>1295</v>
      </c>
      <c r="C523" s="9" t="str">
        <v>가용재고</v>
      </c>
      <c r="D523" s="9" t="str">
        <v/>
      </c>
      <c r="E523" s="9" t="str">
        <v/>
      </c>
      <c r="F523" s="9" t="str">
        <v/>
      </c>
      <c r="G523" s="9" t="str">
        <v/>
      </c>
      <c r="H523" s="9" t="str">
        <v>RF-01T-0160</v>
      </c>
      <c r="I523" s="11" t="str">
        <v>RF-01T-0160_C]Bas BOT LWR</v>
      </c>
      <c r="J523" s="9">
        <v>185</v>
      </c>
      <c r="K523" s="9" t="str">
        <v/>
      </c>
      <c r="L523" s="9" t="str">
        <v>3B6</v>
      </c>
      <c r="M523" s="12">
        <v>46287</v>
      </c>
      <c r="N523" s="5" t="str">
        <v/>
      </c>
      <c r="O523" s="5" t="str">
        <v/>
      </c>
      <c r="P523" s="5" t="str">
        <v/>
      </c>
      <c r="Q523" s="14" t="str">
        <v/>
      </c>
      <c r="R523" s="15">
        <v>185</v>
      </c>
    </row>
    <row r="524" spans="2:18" x14ac:dyDescent="0.35">
      <c r="B524" s="9">
        <v>2536</v>
      </c>
      <c r="C524" s="9" t="str">
        <v>가용재고</v>
      </c>
      <c r="D524" s="9" t="str">
        <v/>
      </c>
      <c r="E524" s="9" t="str">
        <v/>
      </c>
      <c r="F524" s="9" t="str">
        <v/>
      </c>
      <c r="G524" s="9" t="str">
        <v/>
      </c>
      <c r="H524" s="9" t="str">
        <v>RA-03T-1992</v>
      </c>
      <c r="I524" s="11" t="str">
        <v>RA-03T-1992]HLDR LASER BEAM V</v>
      </c>
      <c r="J524" s="9">
        <v>185</v>
      </c>
      <c r="K524" s="9" t="str">
        <v/>
      </c>
      <c r="L524" s="9" t="str">
        <v>B1-1</v>
      </c>
      <c r="M524" s="12">
        <v>46308</v>
      </c>
      <c r="N524" s="5" t="str">
        <v/>
      </c>
      <c r="O524" s="5" t="str">
        <v/>
      </c>
      <c r="P524" s="5" t="str">
        <v/>
      </c>
      <c r="Q524" s="14" t="str">
        <v/>
      </c>
      <c r="R524" s="15">
        <v>185</v>
      </c>
    </row>
    <row r="525" spans="2:18" x14ac:dyDescent="0.35">
      <c r="B525" s="9">
        <v>2537</v>
      </c>
      <c r="C525" s="9" t="str">
        <v>가용재고</v>
      </c>
      <c r="D525" s="9" t="str">
        <v/>
      </c>
      <c r="E525" s="9" t="str">
        <v/>
      </c>
      <c r="F525" s="9" t="str">
        <v/>
      </c>
      <c r="G525" s="9" t="str">
        <v/>
      </c>
      <c r="H525" s="9" t="str">
        <v>RA-03A-6016A</v>
      </c>
      <c r="I525" s="11" t="str">
        <v>RA-03A-6016A]BD ASSY'-AC FUSE BLK</v>
      </c>
      <c r="J525" s="9">
        <v>186</v>
      </c>
      <c r="K525" s="9" t="str">
        <v/>
      </c>
      <c r="L525" s="9" t="str">
        <v>A3-1</v>
      </c>
      <c r="M525" s="12">
        <v>46308</v>
      </c>
      <c r="N525" s="5" t="str">
        <v/>
      </c>
      <c r="O525" s="5" t="str">
        <v/>
      </c>
      <c r="P525" s="5" t="str">
        <v/>
      </c>
      <c r="Q525" s="14" t="str">
        <v/>
      </c>
      <c r="R525" s="15">
        <v>186</v>
      </c>
    </row>
    <row r="526" spans="2:18" x14ac:dyDescent="0.35">
      <c r="B526" s="9">
        <v>1296</v>
      </c>
      <c r="C526" s="9" t="str">
        <v>가용재고</v>
      </c>
      <c r="D526" s="9" t="str">
        <v/>
      </c>
      <c r="E526" s="9" t="str">
        <v/>
      </c>
      <c r="F526" s="9" t="str">
        <v/>
      </c>
      <c r="G526" s="9" t="str">
        <v/>
      </c>
      <c r="H526" s="9" t="str">
        <v>RF-01S-0251</v>
      </c>
      <c r="I526" s="11" t="str">
        <v>RF-01S-0251]CAL Mgnet</v>
      </c>
      <c r="J526" s="9">
        <v>189</v>
      </c>
      <c r="K526" s="9" t="str">
        <v/>
      </c>
      <c r="L526" s="9" t="str">
        <v>3L4-3</v>
      </c>
      <c r="M526" s="12">
        <v>46287</v>
      </c>
      <c r="N526" s="5" t="str">
        <v/>
      </c>
      <c r="O526" s="5" t="str">
        <v/>
      </c>
      <c r="P526" s="5" t="str">
        <v/>
      </c>
      <c r="Q526" s="14" t="str">
        <v/>
      </c>
      <c r="R526" s="15">
        <v>189</v>
      </c>
    </row>
    <row r="527" spans="2:18" x14ac:dyDescent="0.35">
      <c r="B527" s="9">
        <v>2371</v>
      </c>
      <c r="C527" s="9" t="str">
        <v>가용재고</v>
      </c>
      <c r="D527" s="9" t="str">
        <v/>
      </c>
      <c r="E527" s="9" t="str">
        <v/>
      </c>
      <c r="F527" s="9" t="str">
        <v/>
      </c>
      <c r="G527" s="9" t="str">
        <v/>
      </c>
      <c r="H527" s="9" t="str">
        <v>RA-09M-1134</v>
      </c>
      <c r="I527" s="11" t="str">
        <v>RA-09M-1134]BLK GUIDE BITE</v>
      </c>
      <c r="J527" s="9">
        <v>189</v>
      </c>
      <c r="K527" s="9" t="str">
        <v/>
      </c>
      <c r="L527" s="9" t="str">
        <v>L1-1</v>
      </c>
      <c r="M527" s="12">
        <v>46302</v>
      </c>
      <c r="N527" s="5" t="str">
        <v/>
      </c>
      <c r="O527" s="5" t="str">
        <v/>
      </c>
      <c r="P527" s="5" t="str">
        <v/>
      </c>
      <c r="Q527" s="14" t="str">
        <v/>
      </c>
      <c r="R527" s="15">
        <v>189</v>
      </c>
    </row>
    <row r="528" spans="2:18" x14ac:dyDescent="0.35">
      <c r="B528" s="9">
        <v>1336</v>
      </c>
      <c r="C528" s="9" t="str">
        <v>가용재고</v>
      </c>
      <c r="D528" s="9" t="str">
        <v/>
      </c>
      <c r="E528" s="9" t="str">
        <v/>
      </c>
      <c r="F528" s="9" t="str">
        <v/>
      </c>
      <c r="G528" s="9" t="str">
        <v/>
      </c>
      <c r="H528" s="9" t="str">
        <v>RF-01T-0172</v>
      </c>
      <c r="I528" s="11" t="str">
        <v>RF-01T-0172]ARM CVR REAR L</v>
      </c>
      <c r="J528" s="9">
        <v>190</v>
      </c>
      <c r="K528" s="9" t="str">
        <v/>
      </c>
      <c r="L528" s="9" t="str">
        <v>3B5</v>
      </c>
      <c r="M528" s="12">
        <v>46287</v>
      </c>
      <c r="N528" s="5" t="str">
        <v/>
      </c>
      <c r="O528" s="5" t="str">
        <v/>
      </c>
      <c r="P528" s="5" t="str">
        <v/>
      </c>
      <c r="Q528" s="14" t="str">
        <v/>
      </c>
      <c r="R528" s="15">
        <v>190</v>
      </c>
    </row>
    <row r="529" spans="2:18" x14ac:dyDescent="0.35">
      <c r="B529" s="9">
        <v>1303</v>
      </c>
      <c r="C529" s="9" t="str">
        <v>가용재고</v>
      </c>
      <c r="D529" s="9" t="str">
        <v/>
      </c>
      <c r="E529" s="9" t="str">
        <v/>
      </c>
      <c r="F529" s="9" t="str">
        <v/>
      </c>
      <c r="G529" s="9" t="str">
        <v/>
      </c>
      <c r="H529" s="9" t="str">
        <v>RF-01T-0164</v>
      </c>
      <c r="I529" s="11" t="str">
        <v>RF-01T-0164]LED TOUCH INDIGATOR</v>
      </c>
      <c r="J529" s="9">
        <v>192</v>
      </c>
      <c r="K529" s="9" t="str">
        <v/>
      </c>
      <c r="L529" s="9" t="str">
        <v>3L3-5</v>
      </c>
      <c r="M529" s="12">
        <v>46287</v>
      </c>
      <c r="N529" s="5" t="str">
        <v/>
      </c>
      <c r="O529" s="5" t="str">
        <v/>
      </c>
      <c r="P529" s="5" t="str">
        <v/>
      </c>
      <c r="Q529" s="14" t="str">
        <v/>
      </c>
      <c r="R529" s="15">
        <v>192</v>
      </c>
    </row>
    <row r="530" spans="2:18" x14ac:dyDescent="0.35">
      <c r="B530" s="9">
        <v>2497</v>
      </c>
      <c r="C530" s="9" t="str">
        <v>가용재고</v>
      </c>
      <c r="D530" s="9" t="str">
        <v/>
      </c>
      <c r="E530" s="9" t="str">
        <v/>
      </c>
      <c r="F530" s="9" t="str">
        <v/>
      </c>
      <c r="G530" s="9" t="str">
        <v/>
      </c>
      <c r="H530" s="9" t="str">
        <v>RA-05A-6004</v>
      </c>
      <c r="I530" s="11" t="str">
        <v>RA-05A-6004]Bd ASSY'-Aux MCU</v>
      </c>
      <c r="J530" s="9">
        <v>192</v>
      </c>
      <c r="K530" s="9" t="str">
        <v/>
      </c>
      <c r="L530" s="9" t="str">
        <v>A2-2</v>
      </c>
      <c r="M530" s="12">
        <v>46303</v>
      </c>
      <c r="N530" s="5" t="str">
        <v/>
      </c>
      <c r="O530" s="5" t="str">
        <v/>
      </c>
      <c r="P530" s="5" t="str">
        <v/>
      </c>
      <c r="Q530" s="14" t="str">
        <v/>
      </c>
      <c r="R530" s="15">
        <v>192</v>
      </c>
    </row>
    <row r="531" spans="2:18" x14ac:dyDescent="0.35">
      <c r="B531" s="9">
        <v>2406</v>
      </c>
      <c r="C531" s="9" t="str">
        <v>가용재고</v>
      </c>
      <c r="D531" s="9" t="str">
        <v/>
      </c>
      <c r="E531" s="9" t="str">
        <v/>
      </c>
      <c r="F531" s="9" t="str">
        <v/>
      </c>
      <c r="G531" s="9" t="str">
        <v/>
      </c>
      <c r="H531" s="9" t="str">
        <v>RA-07V-2784</v>
      </c>
      <c r="I531" s="11" t="str">
        <v>RA-07V-2784]PLT FIX DET (IR)</v>
      </c>
      <c r="J531" s="9">
        <v>193</v>
      </c>
      <c r="K531" s="9" t="str">
        <v/>
      </c>
      <c r="L531" s="9" t="str">
        <v>O4</v>
      </c>
      <c r="M531" s="12">
        <v>46301</v>
      </c>
      <c r="N531" s="5" t="str">
        <v/>
      </c>
      <c r="O531" s="5" t="str">
        <v/>
      </c>
      <c r="P531" s="5" t="str">
        <v/>
      </c>
      <c r="Q531" s="14" t="str">
        <v/>
      </c>
      <c r="R531" s="15">
        <v>193</v>
      </c>
    </row>
    <row r="532" spans="2:18" x14ac:dyDescent="0.35">
      <c r="B532" s="9">
        <v>1706</v>
      </c>
      <c r="C532" s="9" t="str">
        <v>가용재고</v>
      </c>
      <c r="D532" s="9" t="str">
        <v/>
      </c>
      <c r="E532" s="9" t="str">
        <v/>
      </c>
      <c r="F532" s="9" t="str">
        <v/>
      </c>
      <c r="G532" s="9" t="str">
        <v/>
      </c>
      <c r="H532" s="9" t="str">
        <v>RP-00S-5041</v>
      </c>
      <c r="I532" s="11" t="str">
        <v/>
      </c>
      <c r="J532" s="9">
        <v>195</v>
      </c>
      <c r="K532" s="9" t="str">
        <v/>
      </c>
      <c r="L532" s="9" t="str">
        <v>3B20</v>
      </c>
      <c r="M532" s="12">
        <v>46287</v>
      </c>
      <c r="N532" s="5" t="str">
        <v/>
      </c>
      <c r="O532" s="5" t="str">
        <v/>
      </c>
      <c r="P532" s="5" t="str">
        <v/>
      </c>
      <c r="Q532" s="14" t="str">
        <v/>
      </c>
      <c r="R532" s="15">
        <v>195</v>
      </c>
    </row>
    <row r="533" spans="2:18" x14ac:dyDescent="0.35">
      <c r="B533" s="9">
        <v>2572</v>
      </c>
      <c r="C533" s="9" t="str">
        <v>가용재고</v>
      </c>
      <c r="D533" s="9" t="str">
        <v/>
      </c>
      <c r="E533" s="9" t="str">
        <v/>
      </c>
      <c r="F533" s="9" t="str">
        <v/>
      </c>
      <c r="G533" s="9" t="str">
        <v/>
      </c>
      <c r="H533" s="9" t="str">
        <v>RE-04T-0452</v>
      </c>
      <c r="I533" s="11" t="str">
        <v>RE-04T-0452]CAP HANDLE A</v>
      </c>
      <c r="J533" s="9">
        <v>197</v>
      </c>
      <c r="K533" s="9" t="str">
        <v/>
      </c>
      <c r="L533" s="9" t="str">
        <v>3L14-2</v>
      </c>
      <c r="M533" s="12">
        <v>46307</v>
      </c>
      <c r="N533" s="5" t="str">
        <v/>
      </c>
      <c r="O533" s="5" t="str">
        <v/>
      </c>
      <c r="P533" s="5" t="str">
        <v/>
      </c>
      <c r="Q533" s="14" t="str">
        <v/>
      </c>
      <c r="R533" s="15">
        <v>197</v>
      </c>
    </row>
    <row r="534" spans="2:18" x14ac:dyDescent="0.35">
      <c r="B534" s="9">
        <v>2058</v>
      </c>
      <c r="C534" s="9" t="str">
        <v>가용재고</v>
      </c>
      <c r="D534" s="9" t="str">
        <v/>
      </c>
      <c r="E534" s="9" t="str">
        <v>입고</v>
      </c>
      <c r="F534" s="9" t="str">
        <v>플랜피뎀</v>
      </c>
      <c r="G534" s="9" t="str">
        <v>유영국</v>
      </c>
      <c r="H534" s="9" t="str">
        <v>RA-03S-5176</v>
      </c>
      <c r="I534" s="11" t="str">
        <v>RA-03S-5176]NOISE FILTER RSHN2016</v>
      </c>
      <c r="J534" s="9">
        <v>200</v>
      </c>
      <c r="K534" s="9" t="str">
        <v/>
      </c>
      <c r="L534" s="9" t="str">
        <v>A12-4</v>
      </c>
      <c r="M534" s="12">
        <v>46297</v>
      </c>
      <c r="N534" s="5" t="str">
        <v/>
      </c>
      <c r="O534" s="5" t="str">
        <v/>
      </c>
      <c r="P534" s="5" t="str">
        <v/>
      </c>
      <c r="Q534" s="14" t="str">
        <v/>
      </c>
      <c r="R534" s="15">
        <v>200</v>
      </c>
    </row>
    <row r="535" spans="2:18" x14ac:dyDescent="0.35">
      <c r="B535" s="9">
        <v>319</v>
      </c>
      <c r="C535" s="9" t="str">
        <v>가용재고</v>
      </c>
      <c r="D535" s="9" t="str">
        <v/>
      </c>
      <c r="E535" s="9" t="str">
        <v>입고</v>
      </c>
      <c r="F535" s="9" t="str">
        <v/>
      </c>
      <c r="G535" s="9" t="str">
        <v/>
      </c>
      <c r="H535" s="9" t="str">
        <v>RF-01B-5038</v>
      </c>
      <c r="I535" s="11" t="str">
        <v>RF-01B-5038] BOTTOM LED BOARD</v>
      </c>
      <c r="J535" s="9">
        <v>200</v>
      </c>
      <c r="K535" s="9" t="str">
        <v/>
      </c>
      <c r="L535" s="9" t="str">
        <v>A6-4</v>
      </c>
      <c r="M535" s="12">
        <v>46254</v>
      </c>
      <c r="N535" s="5" t="str">
        <v/>
      </c>
      <c r="O535" s="5" t="str">
        <v/>
      </c>
      <c r="P535" s="5" t="str">
        <v/>
      </c>
      <c r="Q535" s="14" t="str">
        <v/>
      </c>
      <c r="R535" s="15">
        <v>200</v>
      </c>
    </row>
    <row r="536" spans="2:18" x14ac:dyDescent="0.35">
      <c r="B536" s="9">
        <v>1879</v>
      </c>
      <c r="C536" s="9" t="str">
        <v>가용재고</v>
      </c>
      <c r="D536" s="9" t="str">
        <v/>
      </c>
      <c r="E536" s="9" t="str">
        <v>입고</v>
      </c>
      <c r="F536" s="9" t="str">
        <v>진광</v>
      </c>
      <c r="G536" s="9" t="str">
        <v>장동은</v>
      </c>
      <c r="H536" s="9" t="str">
        <v>RA-03T-0076</v>
      </c>
      <c r="I536" s="11" t="str">
        <v>RA-03T-0076]CAS MIRROR DECO</v>
      </c>
      <c r="J536" s="9">
        <v>200</v>
      </c>
      <c r="K536" s="9" t="str">
        <v/>
      </c>
      <c r="L536" s="9" t="str">
        <v>S</v>
      </c>
      <c r="M536" s="12">
        <v>46293</v>
      </c>
      <c r="N536" s="5" t="str">
        <v/>
      </c>
      <c r="O536" s="5" t="str">
        <v/>
      </c>
      <c r="P536" s="5" t="str">
        <v/>
      </c>
      <c r="Q536" s="14" t="str">
        <v/>
      </c>
      <c r="R536" s="15">
        <v>200</v>
      </c>
    </row>
    <row r="537" spans="2:18" x14ac:dyDescent="0.35">
      <c r="B537" s="9">
        <v>2369</v>
      </c>
      <c r="C537" s="9" t="str">
        <v>가용재고</v>
      </c>
      <c r="D537" s="9" t="str">
        <v/>
      </c>
      <c r="E537" s="9" t="str">
        <v/>
      </c>
      <c r="F537" s="9" t="str">
        <v/>
      </c>
      <c r="G537" s="9" t="str">
        <v/>
      </c>
      <c r="H537" s="9" t="str">
        <v>RA-09M-2269</v>
      </c>
      <c r="I537" s="11" t="str">
        <v>RA-09M-2269]SCREW FIX PHNT (A+)</v>
      </c>
      <c r="J537" s="9">
        <v>200</v>
      </c>
      <c r="K537" s="9" t="str">
        <v/>
      </c>
      <c r="L537" s="9" t="str">
        <v>W</v>
      </c>
      <c r="M537" s="12">
        <v>46302</v>
      </c>
      <c r="N537" s="5" t="str">
        <v/>
      </c>
      <c r="O537" s="5" t="str">
        <v/>
      </c>
      <c r="P537" s="5" t="str">
        <v/>
      </c>
      <c r="Q537" s="14" t="str">
        <v/>
      </c>
      <c r="R537" s="15">
        <v>200</v>
      </c>
    </row>
    <row r="538" spans="2:18" x14ac:dyDescent="0.35">
      <c r="B538" s="9">
        <v>2401</v>
      </c>
      <c r="C538" s="9" t="str">
        <v>가용재고</v>
      </c>
      <c r="D538" s="9" t="str">
        <v/>
      </c>
      <c r="E538" s="9" t="str">
        <v/>
      </c>
      <c r="F538" s="9" t="str">
        <v/>
      </c>
      <c r="G538" s="9" t="str">
        <v/>
      </c>
      <c r="H538" s="9" t="str">
        <v>RA-06S-0214</v>
      </c>
      <c r="I538" s="11" t="str">
        <v>RA-06S-0214]COUPLING DISK</v>
      </c>
      <c r="J538" s="9">
        <v>201</v>
      </c>
      <c r="K538" s="9" t="str">
        <v/>
      </c>
      <c r="L538" s="9" t="str">
        <v>H3-7</v>
      </c>
      <c r="M538" s="12">
        <v>46301</v>
      </c>
      <c r="N538" s="5" t="str">
        <v/>
      </c>
      <c r="O538" s="5" t="str">
        <v/>
      </c>
      <c r="P538" s="5" t="str">
        <v/>
      </c>
      <c r="Q538" s="14" t="str">
        <v/>
      </c>
      <c r="R538" s="15">
        <v>201</v>
      </c>
    </row>
    <row r="539" spans="2:18" x14ac:dyDescent="0.35">
      <c r="B539" s="9">
        <v>422</v>
      </c>
      <c r="C539" s="9" t="str">
        <v>가용재고</v>
      </c>
      <c r="D539" s="9" t="str">
        <v/>
      </c>
      <c r="E539" s="9" t="str">
        <v/>
      </c>
      <c r="F539" s="9" t="str">
        <v/>
      </c>
      <c r="G539" s="9" t="str">
        <v/>
      </c>
      <c r="H539" s="9" t="str">
        <v>RF-01M-0397</v>
      </c>
      <c r="I539" s="11" t="str">
        <v>RF-01M-0397]COVER BOTTOM</v>
      </c>
      <c r="J539" s="9">
        <v>205</v>
      </c>
      <c r="K539" s="9" t="str">
        <v/>
      </c>
      <c r="L539" s="9" t="str">
        <v>3E5</v>
      </c>
      <c r="M539" s="12">
        <v>46259</v>
      </c>
      <c r="N539" s="5" t="str">
        <v/>
      </c>
      <c r="O539" s="5" t="str">
        <v/>
      </c>
      <c r="P539" s="5" t="str">
        <v/>
      </c>
      <c r="Q539" s="14" t="str">
        <v/>
      </c>
      <c r="R539" s="15">
        <v>205</v>
      </c>
    </row>
    <row r="540" spans="2:18" x14ac:dyDescent="0.35">
      <c r="B540" s="9">
        <v>1668</v>
      </c>
      <c r="C540" s="9" t="str">
        <v>가용재고</v>
      </c>
      <c r="D540" s="9" t="str">
        <v/>
      </c>
      <c r="E540" s="9" t="str">
        <v/>
      </c>
      <c r="F540" s="9" t="str">
        <v/>
      </c>
      <c r="G540" s="9" t="str">
        <v/>
      </c>
      <c r="H540" s="9" t="str">
        <v>RA-06M-1688</v>
      </c>
      <c r="I540" s="11" t="str">
        <v>RA-06M-1688]FILTER CU 0.2 (VA)</v>
      </c>
      <c r="J540" s="9">
        <v>207</v>
      </c>
      <c r="K540" s="9" t="str">
        <v/>
      </c>
      <c r="L540" s="9" t="str">
        <v>H4-1</v>
      </c>
      <c r="M540" s="12">
        <v>46280</v>
      </c>
      <c r="N540" s="5" t="str">
        <v/>
      </c>
      <c r="O540" s="5" t="str">
        <v/>
      </c>
      <c r="P540" s="5" t="str">
        <v/>
      </c>
      <c r="Q540" s="14" t="str">
        <v/>
      </c>
      <c r="R540" s="15">
        <v>207</v>
      </c>
    </row>
    <row r="541" spans="2:18" x14ac:dyDescent="0.35">
      <c r="B541" s="9">
        <v>1035</v>
      </c>
      <c r="C541" s="9" t="str">
        <v>가용재고</v>
      </c>
      <c r="D541" s="9" t="str">
        <v/>
      </c>
      <c r="E541" s="9" t="str">
        <v>기초</v>
      </c>
      <c r="F541" s="9" t="str">
        <v/>
      </c>
      <c r="G541" s="9" t="str">
        <v/>
      </c>
      <c r="H541" s="9" t="str">
        <v>RA-06V-3748</v>
      </c>
      <c r="I541" s="11" t="str">
        <v>BRK CAM Bd (ST)</v>
      </c>
      <c r="J541" s="9">
        <v>211</v>
      </c>
      <c r="K541" s="9" t="str">
        <v/>
      </c>
      <c r="L541" s="9" t="str">
        <v>J1-3</v>
      </c>
      <c r="M541" s="12">
        <v>46276</v>
      </c>
      <c r="N541" s="5" t="str">
        <v/>
      </c>
      <c r="O541" s="5" t="str">
        <v/>
      </c>
      <c r="P541" s="5" t="str">
        <v/>
      </c>
      <c r="Q541" s="14" t="str">
        <v/>
      </c>
      <c r="R541" s="15">
        <v>211</v>
      </c>
    </row>
    <row r="542" spans="2:18" x14ac:dyDescent="0.35">
      <c r="B542" s="9">
        <v>2522</v>
      </c>
      <c r="C542" s="9" t="str">
        <v>가용재고</v>
      </c>
      <c r="D542" s="9" t="str">
        <v/>
      </c>
      <c r="E542" s="9" t="str">
        <v/>
      </c>
      <c r="F542" s="9" t="str">
        <v/>
      </c>
      <c r="G542" s="9" t="str">
        <v/>
      </c>
      <c r="H542" s="9" t="str">
        <v>RA-03A-0050</v>
      </c>
      <c r="I542" s="11" t="str">
        <v>RA-03A-0050_I]ASM HORIZONTAL LASER BEAM</v>
      </c>
      <c r="J542" s="9">
        <v>214</v>
      </c>
      <c r="K542" s="9" t="str">
        <v/>
      </c>
      <c r="L542" s="9" t="str">
        <v>O2</v>
      </c>
      <c r="M542" s="12">
        <v>46308</v>
      </c>
      <c r="N542" s="5" t="str">
        <v/>
      </c>
      <c r="O542" s="5" t="str">
        <v/>
      </c>
      <c r="P542" s="5" t="str">
        <v/>
      </c>
      <c r="Q542" s="14" t="str">
        <v/>
      </c>
      <c r="R542" s="15">
        <v>214</v>
      </c>
    </row>
    <row r="543" spans="2:18" x14ac:dyDescent="0.35">
      <c r="B543" s="9">
        <v>2050</v>
      </c>
      <c r="C543" s="9" t="str">
        <v>가용재고</v>
      </c>
      <c r="D543" s="9" t="str">
        <v/>
      </c>
      <c r="E543" s="9" t="str">
        <v>입고</v>
      </c>
      <c r="F543" s="9" t="str">
        <v>대영하네스</v>
      </c>
      <c r="G543" s="9" t="str">
        <v>유영국</v>
      </c>
      <c r="H543" s="9" t="str">
        <v>RA-1-8B</v>
      </c>
      <c r="I543" s="11" t="str">
        <v>RA-1-8B]AC POWER PFC CONNECT</v>
      </c>
      <c r="J543" s="9">
        <v>216</v>
      </c>
      <c r="K543" s="9" t="str">
        <v/>
      </c>
      <c r="L543" s="9" t="str">
        <v>G3-1</v>
      </c>
      <c r="M543" s="12">
        <v>46296</v>
      </c>
      <c r="N543" s="5" t="str">
        <v/>
      </c>
      <c r="O543" s="5" t="str">
        <v/>
      </c>
      <c r="P543" s="5" t="str">
        <v/>
      </c>
      <c r="Q543" s="14" t="str">
        <v/>
      </c>
      <c r="R543" s="15">
        <v>216</v>
      </c>
    </row>
    <row r="544" spans="2:18" x14ac:dyDescent="0.35">
      <c r="B544" s="9">
        <v>2129</v>
      </c>
      <c r="C544" s="9" t="str">
        <v>가용재고</v>
      </c>
      <c r="D544" s="9" t="str">
        <v/>
      </c>
      <c r="E544" s="9" t="str">
        <v/>
      </c>
      <c r="F544" s="9" t="str">
        <v/>
      </c>
      <c r="G544" s="9" t="str">
        <v/>
      </c>
      <c r="H544" s="9" t="str">
        <v>RA-02A-2280</v>
      </c>
      <c r="I544" s="11" t="str">
        <v>RA-02A-2280]ASM SHAFT IDLER A (A+)</v>
      </c>
      <c r="J544" s="9">
        <v>217</v>
      </c>
      <c r="K544" s="9" t="str">
        <v/>
      </c>
      <c r="L544" s="9" t="str">
        <v>C2-1</v>
      </c>
      <c r="M544" s="12">
        <v>46293</v>
      </c>
      <c r="N544" s="5" t="str">
        <v/>
      </c>
      <c r="O544" s="5" t="str">
        <v/>
      </c>
      <c r="P544" s="5" t="str">
        <v/>
      </c>
      <c r="Q544" s="14" t="str">
        <v/>
      </c>
      <c r="R544" s="15">
        <v>217</v>
      </c>
    </row>
    <row r="545" spans="2:18" x14ac:dyDescent="0.35">
      <c r="B545" s="9">
        <v>1201</v>
      </c>
      <c r="C545" s="9" t="str">
        <v>가용재고</v>
      </c>
      <c r="D545" s="9" t="str">
        <v/>
      </c>
      <c r="E545" s="9" t="str">
        <v>반납</v>
      </c>
      <c r="F545" s="9" t="str">
        <v/>
      </c>
      <c r="G545" s="9" t="str">
        <v/>
      </c>
      <c r="H545" s="9" t="str">
        <v>RF-01G-0168</v>
      </c>
      <c r="I545" s="11" t="str">
        <v>RF-01G-0168]BOT RUBBER</v>
      </c>
      <c r="J545" s="9">
        <v>218</v>
      </c>
      <c r="K545" s="9" t="str">
        <v/>
      </c>
      <c r="L545" s="9" t="str">
        <v>3S3-1</v>
      </c>
      <c r="M545" s="12">
        <v>46287</v>
      </c>
      <c r="N545" s="5" t="str">
        <v/>
      </c>
      <c r="O545" s="5" t="str">
        <v/>
      </c>
      <c r="P545" s="5" t="str">
        <v/>
      </c>
      <c r="Q545" s="14" t="str">
        <v/>
      </c>
      <c r="R545" s="15">
        <v>218</v>
      </c>
    </row>
    <row r="546" spans="2:18" x14ac:dyDescent="0.35">
      <c r="B546" s="9">
        <v>2429</v>
      </c>
      <c r="C546" s="9" t="str">
        <v>가용재고</v>
      </c>
      <c r="D546" s="9" t="str">
        <v/>
      </c>
      <c r="E546" s="9" t="str">
        <v/>
      </c>
      <c r="F546" s="9" t="str">
        <v/>
      </c>
      <c r="G546" s="9" t="str">
        <v/>
      </c>
      <c r="H546" s="9" t="str">
        <v>RA-06V-2141</v>
      </c>
      <c r="I546" s="11" t="str">
        <v>RA-06V-2141]BRK TUBE CAS REAR (A+)</v>
      </c>
      <c r="J546" s="9">
        <v>220</v>
      </c>
      <c r="K546" s="9" t="str">
        <v/>
      </c>
      <c r="L546" s="9" t="str">
        <v>H3-4</v>
      </c>
      <c r="M546" s="12">
        <v>46301</v>
      </c>
      <c r="N546" s="5" t="str">
        <v/>
      </c>
      <c r="O546" s="5" t="str">
        <v/>
      </c>
      <c r="P546" s="5" t="str">
        <v/>
      </c>
      <c r="Q546" s="14" t="str">
        <v/>
      </c>
      <c r="R546" s="15">
        <v>220</v>
      </c>
    </row>
    <row r="547" spans="2:18" x14ac:dyDescent="0.35">
      <c r="B547" s="9">
        <v>2411</v>
      </c>
      <c r="C547" s="9" t="str">
        <v>가용재고</v>
      </c>
      <c r="D547" s="9" t="str">
        <v/>
      </c>
      <c r="E547" s="9" t="str">
        <v/>
      </c>
      <c r="F547" s="9" t="str">
        <v/>
      </c>
      <c r="G547" s="9" t="str">
        <v/>
      </c>
      <c r="H547" s="9" t="str">
        <v>RA-07M-3434</v>
      </c>
      <c r="I547" s="11" t="str">
        <v>RA-07M-3434]BLK MICROMTR HEAD (ST)</v>
      </c>
      <c r="J547" s="9">
        <v>221</v>
      </c>
      <c r="K547" s="9" t="str">
        <v/>
      </c>
      <c r="L547" s="9" t="str">
        <v>J3-2</v>
      </c>
      <c r="M547" s="12">
        <v>46301</v>
      </c>
      <c r="N547" s="5" t="str">
        <v/>
      </c>
      <c r="O547" s="5" t="str">
        <v/>
      </c>
      <c r="P547" s="5" t="str">
        <v/>
      </c>
      <c r="Q547" s="14" t="str">
        <v/>
      </c>
      <c r="R547" s="15">
        <v>221</v>
      </c>
    </row>
    <row r="548" spans="2:18" x14ac:dyDescent="0.35">
      <c r="B548" s="9">
        <v>663</v>
      </c>
      <c r="C548" s="9" t="str">
        <v>가용재고</v>
      </c>
      <c r="D548" s="9" t="str">
        <v/>
      </c>
      <c r="E548" s="9" t="str">
        <v/>
      </c>
      <c r="F548" s="9" t="str">
        <v/>
      </c>
      <c r="G548" s="9" t="str">
        <v/>
      </c>
      <c r="H548" s="9" t="str">
        <v>RF-01T-0196</v>
      </c>
      <c r="I548" s="11" t="str">
        <v>RF-01T-0196]CVR REAR</v>
      </c>
      <c r="J548" s="9">
        <v>223</v>
      </c>
      <c r="K548" s="9" t="str">
        <v/>
      </c>
      <c r="L548" s="9" t="str">
        <v>3I5</v>
      </c>
      <c r="M548" s="12">
        <v>46268</v>
      </c>
      <c r="N548" s="5" t="str">
        <v/>
      </c>
      <c r="O548" s="5" t="str">
        <v/>
      </c>
      <c r="P548" s="5" t="str">
        <v/>
      </c>
      <c r="Q548" s="14" t="str">
        <v/>
      </c>
      <c r="R548" s="15">
        <v>223</v>
      </c>
    </row>
    <row r="549" spans="2:18" x14ac:dyDescent="0.35">
      <c r="B549" s="9">
        <v>2408</v>
      </c>
      <c r="C549" s="9" t="str">
        <v>가용재고</v>
      </c>
      <c r="D549" s="9" t="str">
        <v/>
      </c>
      <c r="E549" s="9" t="str">
        <v/>
      </c>
      <c r="F549" s="9" t="str">
        <v/>
      </c>
      <c r="G549" s="9" t="str">
        <v/>
      </c>
      <c r="H549" s="9" t="str">
        <v>RA-07V-2785</v>
      </c>
      <c r="I549" s="11" t="str">
        <v>RA-07V-2785]PLT ADJUST DET (IR)</v>
      </c>
      <c r="J549" s="9">
        <v>223</v>
      </c>
      <c r="K549" s="9" t="str">
        <v/>
      </c>
      <c r="L549" s="9" t="str">
        <v>O4</v>
      </c>
      <c r="M549" s="12">
        <v>46301</v>
      </c>
      <c r="N549" s="5" t="str">
        <v/>
      </c>
      <c r="O549" s="5" t="str">
        <v/>
      </c>
      <c r="P549" s="5" t="str">
        <v/>
      </c>
      <c r="Q549" s="14" t="str">
        <v/>
      </c>
      <c r="R549" s="15">
        <v>223</v>
      </c>
    </row>
    <row r="550" spans="2:18" x14ac:dyDescent="0.35">
      <c r="B550" s="9">
        <v>2275</v>
      </c>
      <c r="C550" s="9" t="str">
        <v>가용재고</v>
      </c>
      <c r="D550" s="9" t="str">
        <v/>
      </c>
      <c r="E550" s="9" t="str">
        <v/>
      </c>
      <c r="F550" s="9" t="str">
        <v/>
      </c>
      <c r="G550" s="9" t="str">
        <v/>
      </c>
      <c r="H550" s="9" t="str">
        <v>RA-02S-2278</v>
      </c>
      <c r="I550" s="11" t="str">
        <v>RA-02S-2278]TIMMING BELT</v>
      </c>
      <c r="J550" s="9">
        <v>224</v>
      </c>
      <c r="K550" s="9" t="str">
        <v/>
      </c>
      <c r="L550" s="9" t="str">
        <v>C3-1</v>
      </c>
      <c r="M550" s="12">
        <v>46301</v>
      </c>
      <c r="N550" s="5" t="str">
        <v/>
      </c>
      <c r="O550" s="5" t="str">
        <v/>
      </c>
      <c r="P550" s="5" t="str">
        <v/>
      </c>
      <c r="Q550" s="14" t="str">
        <v/>
      </c>
      <c r="R550" s="15">
        <v>224</v>
      </c>
    </row>
    <row r="551" spans="2:18" x14ac:dyDescent="0.35">
      <c r="B551" s="9">
        <v>2425</v>
      </c>
      <c r="C551" s="9" t="str">
        <v>가용재고</v>
      </c>
      <c r="D551" s="9" t="str">
        <v/>
      </c>
      <c r="E551" s="9" t="str">
        <v/>
      </c>
      <c r="F551" s="9" t="str">
        <v/>
      </c>
      <c r="G551" s="9" t="str">
        <v/>
      </c>
      <c r="H551" s="9" t="str">
        <v>RA-06A-2745</v>
      </c>
      <c r="I551" s="11" t="str">
        <v>RA-06A-2745]SHAFT BRASS COL (A+) (VN)</v>
      </c>
      <c r="J551" s="9">
        <v>224</v>
      </c>
      <c r="K551" s="9" t="str">
        <v/>
      </c>
      <c r="L551" s="9" t="str">
        <v>H1</v>
      </c>
      <c r="M551" s="12">
        <v>46301</v>
      </c>
      <c r="N551" s="5" t="str">
        <v/>
      </c>
      <c r="O551" s="5" t="str">
        <v/>
      </c>
      <c r="P551" s="5" t="str">
        <v/>
      </c>
      <c r="Q551" s="14" t="str">
        <v/>
      </c>
      <c r="R551" s="15">
        <v>224</v>
      </c>
    </row>
    <row r="552" spans="2:18" x14ac:dyDescent="0.35">
      <c r="B552" s="9">
        <v>2146</v>
      </c>
      <c r="C552" s="9" t="str">
        <v>가용재고</v>
      </c>
      <c r="D552" s="9" t="str">
        <v/>
      </c>
      <c r="E552" s="9" t="str">
        <v/>
      </c>
      <c r="F552" s="9" t="str">
        <v/>
      </c>
      <c r="G552" s="9" t="str">
        <v/>
      </c>
      <c r="H552" s="9" t="str">
        <v>RA-02S-0042</v>
      </c>
      <c r="I552" s="11" t="str">
        <v>RA-02S-0042]COUPLING DISK</v>
      </c>
      <c r="J552" s="9">
        <v>225</v>
      </c>
      <c r="K552" s="9" t="str">
        <v/>
      </c>
      <c r="L552" s="9" t="str">
        <v>C3-1</v>
      </c>
      <c r="M552" s="12">
        <v>46293</v>
      </c>
      <c r="N552" s="5" t="str">
        <v/>
      </c>
      <c r="O552" s="5" t="str">
        <v/>
      </c>
      <c r="P552" s="5" t="str">
        <v/>
      </c>
      <c r="Q552" s="14" t="str">
        <v/>
      </c>
      <c r="R552" s="15">
        <v>225</v>
      </c>
    </row>
    <row r="553" spans="2:18" x14ac:dyDescent="0.35">
      <c r="B553" s="9">
        <v>2540</v>
      </c>
      <c r="C553" s="9" t="str">
        <v>가용재고</v>
      </c>
      <c r="D553" s="9" t="str">
        <v/>
      </c>
      <c r="E553" s="9" t="str">
        <v/>
      </c>
      <c r="F553" s="9" t="str">
        <v/>
      </c>
      <c r="G553" s="9" t="str">
        <v/>
      </c>
      <c r="H553" s="9" t="str">
        <v>RA-04M-2399</v>
      </c>
      <c r="I553" s="11" t="str">
        <v>RA-04M-2399]GUIDE BITE BLK A (A+)</v>
      </c>
      <c r="J553" s="9">
        <v>228</v>
      </c>
      <c r="K553" s="9" t="str">
        <v/>
      </c>
      <c r="L553" s="9" t="str">
        <v>B1-6</v>
      </c>
      <c r="M553" s="12">
        <v>46308</v>
      </c>
      <c r="N553" s="5" t="str">
        <v/>
      </c>
      <c r="O553" s="5" t="str">
        <v/>
      </c>
      <c r="P553" s="5" t="str">
        <v/>
      </c>
      <c r="Q553" s="14" t="str">
        <v/>
      </c>
      <c r="R553" s="15">
        <v>228</v>
      </c>
    </row>
    <row r="554" spans="2:18" x14ac:dyDescent="0.35">
      <c r="B554" s="9">
        <v>2336</v>
      </c>
      <c r="C554" s="9" t="str">
        <v>가용재고</v>
      </c>
      <c r="D554" s="9" t="str">
        <v/>
      </c>
      <c r="E554" s="9" t="str">
        <v/>
      </c>
      <c r="F554" s="9" t="str">
        <v/>
      </c>
      <c r="G554" s="9" t="str">
        <v/>
      </c>
      <c r="H554" s="9" t="str">
        <v>RA-05V-0199</v>
      </c>
      <c r="I554" s="11" t="str">
        <v>RA-05V-0199]BRK PXD-200CT DRV PCB R</v>
      </c>
      <c r="J554" s="9">
        <v>229</v>
      </c>
      <c r="K554" s="9" t="str">
        <v/>
      </c>
      <c r="L554" s="9" t="str">
        <v>H2-2</v>
      </c>
      <c r="M554" s="12">
        <v>46302</v>
      </c>
      <c r="N554" s="5" t="str">
        <v/>
      </c>
      <c r="O554" s="5" t="str">
        <v/>
      </c>
      <c r="P554" s="5" t="str">
        <v/>
      </c>
      <c r="Q554" s="14" t="str">
        <v/>
      </c>
      <c r="R554" s="15">
        <v>229</v>
      </c>
    </row>
    <row r="555" spans="2:18" x14ac:dyDescent="0.35">
      <c r="B555" s="9">
        <v>2542</v>
      </c>
      <c r="C555" s="9" t="str">
        <v>가용재고</v>
      </c>
      <c r="D555" s="9" t="str">
        <v/>
      </c>
      <c r="E555" s="9" t="str">
        <v/>
      </c>
      <c r="F555" s="9" t="str">
        <v/>
      </c>
      <c r="G555" s="9" t="str">
        <v/>
      </c>
      <c r="H555" s="9" t="str">
        <v>RA-1-1</v>
      </c>
      <c r="I555" s="11" t="str">
        <v>RA-1-1_2]AC POWER FUSE TO NF2</v>
      </c>
      <c r="J555" s="9">
        <v>229</v>
      </c>
      <c r="K555" s="9" t="str">
        <v/>
      </c>
      <c r="L555" s="9" t="str">
        <v>G3-1</v>
      </c>
      <c r="M555" s="12">
        <v>46308</v>
      </c>
      <c r="N555" s="5" t="str">
        <v/>
      </c>
      <c r="O555" s="5" t="str">
        <v/>
      </c>
      <c r="P555" s="5" t="str">
        <v/>
      </c>
      <c r="Q555" s="14" t="str">
        <v/>
      </c>
      <c r="R555" s="15">
        <v>229</v>
      </c>
    </row>
    <row r="556" spans="2:18" x14ac:dyDescent="0.35">
      <c r="B556" s="9">
        <v>2162</v>
      </c>
      <c r="C556" s="9" t="str">
        <v>가용재고</v>
      </c>
      <c r="D556" s="9" t="str">
        <v/>
      </c>
      <c r="E556" s="9" t="str">
        <v/>
      </c>
      <c r="F556" s="9" t="str">
        <v/>
      </c>
      <c r="G556" s="9" t="str">
        <v/>
      </c>
      <c r="H556" s="9" t="str">
        <v>RA-02V-2283</v>
      </c>
      <c r="I556" s="11" t="str">
        <v>RA-02V-2283]PLT VERT MAIN MCU (A+)</v>
      </c>
      <c r="J556" s="9">
        <v>230</v>
      </c>
      <c r="K556" s="9" t="str">
        <v/>
      </c>
      <c r="L556" s="9" t="str">
        <v>D2-1</v>
      </c>
      <c r="M556" s="12">
        <v>46293</v>
      </c>
      <c r="N556" s="5" t="str">
        <v/>
      </c>
      <c r="O556" s="5" t="str">
        <v/>
      </c>
      <c r="P556" s="5" t="str">
        <v/>
      </c>
      <c r="Q556" s="14" t="str">
        <v/>
      </c>
      <c r="R556" s="15">
        <v>230</v>
      </c>
    </row>
    <row r="557" spans="2:18" x14ac:dyDescent="0.35">
      <c r="B557" s="9">
        <v>272</v>
      </c>
      <c r="C557" s="9" t="str">
        <v>가용재고</v>
      </c>
      <c r="D557" s="9" t="str">
        <v/>
      </c>
      <c r="E557" s="9" t="str">
        <v/>
      </c>
      <c r="F557" s="9" t="str">
        <v/>
      </c>
      <c r="G557" s="9" t="str">
        <v/>
      </c>
      <c r="H557" s="9" t="str">
        <v>RA-8-16</v>
      </c>
      <c r="I557" s="11" t="str">
        <v>RA-8-16]OCL INTERFACE(V)</v>
      </c>
      <c r="J557" s="9">
        <v>232</v>
      </c>
      <c r="K557" s="9" t="str">
        <v/>
      </c>
      <c r="L557" s="9" t="str">
        <v>G2-3</v>
      </c>
      <c r="M557" s="12">
        <v>46232</v>
      </c>
      <c r="N557" s="5" t="str">
        <v/>
      </c>
      <c r="O557" s="5" t="str">
        <v/>
      </c>
      <c r="P557" s="5" t="str">
        <v/>
      </c>
      <c r="Q557" s="14" t="str">
        <v/>
      </c>
      <c r="R557" s="15">
        <v>232</v>
      </c>
    </row>
    <row r="558" spans="2:18" x14ac:dyDescent="0.35">
      <c r="B558" s="9">
        <v>1664</v>
      </c>
      <c r="C558" s="9" t="str">
        <v>가용재고</v>
      </c>
      <c r="D558" s="9" t="str">
        <v/>
      </c>
      <c r="E558" s="9" t="str">
        <v/>
      </c>
      <c r="F558" s="9" t="str">
        <v/>
      </c>
      <c r="G558" s="9" t="str">
        <v/>
      </c>
      <c r="H558" s="9" t="str">
        <v>RA-06A-2744</v>
      </c>
      <c r="I558" s="11" t="str">
        <v>RA-06A-2744]SHAFT BRASS COL (3D) (VN)</v>
      </c>
      <c r="J558" s="9">
        <v>232</v>
      </c>
      <c r="K558" s="9" t="str">
        <v/>
      </c>
      <c r="L558" s="9" t="str">
        <v>H1</v>
      </c>
      <c r="M558" s="12">
        <v>46280</v>
      </c>
      <c r="N558" s="5" t="str">
        <v/>
      </c>
      <c r="O558" s="5" t="str">
        <v/>
      </c>
      <c r="P558" s="5" t="str">
        <v/>
      </c>
      <c r="Q558" s="14" t="str">
        <v/>
      </c>
      <c r="R558" s="15">
        <v>232</v>
      </c>
    </row>
    <row r="559" spans="2:18" x14ac:dyDescent="0.35">
      <c r="B559" s="9">
        <v>1039</v>
      </c>
      <c r="C559" s="9" t="str">
        <v>가용재고</v>
      </c>
      <c r="D559" s="9" t="str">
        <v/>
      </c>
      <c r="E559" s="9" t="str">
        <v>기초</v>
      </c>
      <c r="F559" s="9" t="str">
        <v/>
      </c>
      <c r="G559" s="9" t="str">
        <v/>
      </c>
      <c r="H559" s="9" t="str">
        <v>RA-05V-3803</v>
      </c>
      <c r="I559" s="11" t="str">
        <v>RA-05V-3803]BRK CAS ROT L-R (MG)</v>
      </c>
      <c r="J559" s="9">
        <v>233</v>
      </c>
      <c r="K559" s="9" t="str">
        <v/>
      </c>
      <c r="L559" s="9" t="str">
        <v>N1-1</v>
      </c>
      <c r="M559" s="12">
        <v>46276</v>
      </c>
      <c r="N559" s="5" t="str">
        <v/>
      </c>
      <c r="O559" s="5" t="str">
        <v/>
      </c>
      <c r="P559" s="5" t="str">
        <v/>
      </c>
      <c r="Q559" s="14" t="str">
        <v/>
      </c>
      <c r="R559" s="15">
        <v>233</v>
      </c>
    </row>
    <row r="560" spans="2:18" x14ac:dyDescent="0.35">
      <c r="B560" s="9">
        <v>2337</v>
      </c>
      <c r="C560" s="9" t="str">
        <v>가용재고</v>
      </c>
      <c r="D560" s="9" t="str">
        <v/>
      </c>
      <c r="E560" s="9" t="str">
        <v/>
      </c>
      <c r="F560" s="9" t="str">
        <v/>
      </c>
      <c r="G560" s="9" t="str">
        <v/>
      </c>
      <c r="H560" s="9" t="str">
        <v>RA-05V-0297</v>
      </c>
      <c r="I560" s="11" t="str">
        <v>RA-05V-0297]BRK PXD-200CT DRV PCB L</v>
      </c>
      <c r="J560" s="9">
        <v>234</v>
      </c>
      <c r="K560" s="9" t="str">
        <v/>
      </c>
      <c r="L560" s="9" t="str">
        <v>H2-2</v>
      </c>
      <c r="M560" s="12">
        <v>46302</v>
      </c>
      <c r="N560" s="5" t="str">
        <v/>
      </c>
      <c r="O560" s="5" t="str">
        <v/>
      </c>
      <c r="P560" s="5" t="str">
        <v/>
      </c>
      <c r="Q560" s="14" t="str">
        <v/>
      </c>
      <c r="R560" s="15">
        <v>234</v>
      </c>
    </row>
    <row r="561" spans="2:18" x14ac:dyDescent="0.35">
      <c r="B561" s="9">
        <v>1297</v>
      </c>
      <c r="C561" s="9" t="str">
        <v>가용재고</v>
      </c>
      <c r="D561" s="9" t="str">
        <v/>
      </c>
      <c r="E561" s="9" t="str">
        <v/>
      </c>
      <c r="F561" s="9" t="str">
        <v/>
      </c>
      <c r="G561" s="9" t="str">
        <v/>
      </c>
      <c r="H561" s="9" t="str">
        <v>RF-01G-0168</v>
      </c>
      <c r="I561" s="11" t="str">
        <v>RF-01G-0168]BOT RUBBER</v>
      </c>
      <c r="J561" s="9">
        <v>235</v>
      </c>
      <c r="K561" s="9" t="str">
        <v/>
      </c>
      <c r="L561" s="9" t="str">
        <v>3S3-1</v>
      </c>
      <c r="M561" s="12">
        <v>46287</v>
      </c>
      <c r="N561" s="5" t="str">
        <v/>
      </c>
      <c r="O561" s="5" t="str">
        <v/>
      </c>
      <c r="P561" s="5" t="str">
        <v/>
      </c>
      <c r="Q561" s="14" t="str">
        <v/>
      </c>
      <c r="R561" s="15">
        <v>235</v>
      </c>
    </row>
    <row r="562" spans="2:18" x14ac:dyDescent="0.35">
      <c r="B562" s="9">
        <v>2052</v>
      </c>
      <c r="C562" s="9" t="str">
        <v>가용재고</v>
      </c>
      <c r="D562" s="9" t="str">
        <v/>
      </c>
      <c r="E562" s="9" t="str">
        <v>입고</v>
      </c>
      <c r="F562" s="9" t="str">
        <v>대영하네스</v>
      </c>
      <c r="G562" s="9" t="str">
        <v>유영국</v>
      </c>
      <c r="H562" s="9" t="str">
        <v>RA-1-2</v>
      </c>
      <c r="I562" s="11" t="str">
        <v>RA-1-2_2]AC POWER FUSE TO NF1</v>
      </c>
      <c r="J562" s="9">
        <v>237</v>
      </c>
      <c r="K562" s="9" t="str">
        <v/>
      </c>
      <c r="L562" s="9" t="str">
        <v>G3-1</v>
      </c>
      <c r="M562" s="12">
        <v>46296</v>
      </c>
      <c r="N562" s="5" t="str">
        <v/>
      </c>
      <c r="O562" s="5" t="str">
        <v/>
      </c>
      <c r="P562" s="5" t="str">
        <v/>
      </c>
      <c r="Q562" s="14" t="str">
        <v/>
      </c>
      <c r="R562" s="15">
        <v>237</v>
      </c>
    </row>
    <row r="563" spans="2:18" x14ac:dyDescent="0.35">
      <c r="B563" s="9">
        <v>2148</v>
      </c>
      <c r="C563" s="9" t="str">
        <v>가용재고</v>
      </c>
      <c r="D563" s="9" t="str">
        <v/>
      </c>
      <c r="E563" s="9" t="str">
        <v/>
      </c>
      <c r="F563" s="9" t="str">
        <v/>
      </c>
      <c r="G563" s="9" t="str">
        <v/>
      </c>
      <c r="H563" s="9" t="str">
        <v>RA-02S-2026</v>
      </c>
      <c r="I563" s="11" t="str">
        <v>RA-02S-2026]COUPLING</v>
      </c>
      <c r="J563" s="9">
        <v>240</v>
      </c>
      <c r="K563" s="9" t="str">
        <v/>
      </c>
      <c r="L563" s="9" t="str">
        <v>C3-1</v>
      </c>
      <c r="M563" s="12">
        <v>46293</v>
      </c>
      <c r="N563" s="5" t="str">
        <v/>
      </c>
      <c r="O563" s="5" t="str">
        <v/>
      </c>
      <c r="P563" s="5" t="str">
        <v/>
      </c>
      <c r="Q563" s="14" t="str">
        <v/>
      </c>
      <c r="R563" s="15">
        <v>240</v>
      </c>
    </row>
    <row r="564" spans="2:18" x14ac:dyDescent="0.35">
      <c r="B564" s="9">
        <v>2159</v>
      </c>
      <c r="C564" s="9" t="str">
        <v>가용재고</v>
      </c>
      <c r="D564" s="9" t="str">
        <v/>
      </c>
      <c r="E564" s="9" t="str">
        <v/>
      </c>
      <c r="F564" s="9" t="str">
        <v/>
      </c>
      <c r="G564" s="9" t="str">
        <v/>
      </c>
      <c r="H564" s="9" t="str">
        <v>RA-02V-2049</v>
      </c>
      <c r="I564" s="11" t="str">
        <v>RA-02V-2049]PLT PHOt SNSR Y-AXIS (A+)</v>
      </c>
      <c r="J564" s="9">
        <v>244</v>
      </c>
      <c r="K564" s="9" t="str">
        <v/>
      </c>
      <c r="L564" s="9" t="str">
        <v>C3-4</v>
      </c>
      <c r="M564" s="12">
        <v>46293</v>
      </c>
      <c r="N564" s="5" t="str">
        <v/>
      </c>
      <c r="O564" s="5" t="str">
        <v/>
      </c>
      <c r="P564" s="5" t="str">
        <v/>
      </c>
      <c r="Q564" s="14" t="str">
        <v/>
      </c>
      <c r="R564" s="15">
        <v>244</v>
      </c>
    </row>
    <row r="565" spans="2:18" x14ac:dyDescent="0.35">
      <c r="B565" s="9">
        <v>2402</v>
      </c>
      <c r="C565" s="9" t="str">
        <v>가용재고</v>
      </c>
      <c r="D565" s="9" t="str">
        <v/>
      </c>
      <c r="E565" s="9" t="str">
        <v/>
      </c>
      <c r="F565" s="9" t="str">
        <v/>
      </c>
      <c r="G565" s="9" t="str">
        <v/>
      </c>
      <c r="H565" s="9" t="str">
        <v>RA-07M-2783</v>
      </c>
      <c r="I565" s="11" t="str">
        <v>RA-07M-2783]BLK MOT HOUSING (IR)</v>
      </c>
      <c r="J565" s="9">
        <v>247</v>
      </c>
      <c r="K565" s="9" t="str">
        <v/>
      </c>
      <c r="L565" s="9" t="str">
        <v>J2-1</v>
      </c>
      <c r="M565" s="12">
        <v>46301</v>
      </c>
      <c r="N565" s="5" t="str">
        <v/>
      </c>
      <c r="O565" s="5" t="str">
        <v/>
      </c>
      <c r="P565" s="5" t="str">
        <v/>
      </c>
      <c r="Q565" s="14" t="str">
        <v/>
      </c>
      <c r="R565" s="15">
        <v>247</v>
      </c>
    </row>
    <row r="566" spans="2:18" x14ac:dyDescent="0.35">
      <c r="B566" s="9">
        <v>2028</v>
      </c>
      <c r="C566" s="9" t="str">
        <v>가용재고</v>
      </c>
      <c r="D566" s="9" t="str">
        <v/>
      </c>
      <c r="E566" s="9" t="str">
        <v>입고</v>
      </c>
      <c r="F566" s="9" t="str">
        <v>대영하네스</v>
      </c>
      <c r="G566" s="9" t="str">
        <v>유영국</v>
      </c>
      <c r="H566" s="9" t="str">
        <v>RA-11-2</v>
      </c>
      <c r="I566" s="11" t="str">
        <v>RA-11-2]AUX MCU to FCOL</v>
      </c>
      <c r="J566" s="9">
        <v>250</v>
      </c>
      <c r="K566" s="9" t="str">
        <v/>
      </c>
      <c r="L566" s="9" t="str">
        <v>G2-4</v>
      </c>
      <c r="M566" s="12">
        <v>46296</v>
      </c>
      <c r="N566" s="5" t="str">
        <v/>
      </c>
      <c r="O566" s="5" t="str">
        <v/>
      </c>
      <c r="P566" s="5" t="str">
        <v/>
      </c>
      <c r="Q566" s="14" t="str">
        <v/>
      </c>
      <c r="R566" s="15">
        <v>250</v>
      </c>
    </row>
    <row r="567" spans="2:18" x14ac:dyDescent="0.35">
      <c r="B567" s="9">
        <v>1319</v>
      </c>
      <c r="C567" s="9" t="str">
        <v>가용재고</v>
      </c>
      <c r="D567" s="9" t="str">
        <v/>
      </c>
      <c r="E567" s="9" t="str">
        <v/>
      </c>
      <c r="F567" s="9" t="str">
        <v/>
      </c>
      <c r="G567" s="9" t="str">
        <v/>
      </c>
      <c r="H567" s="9" t="str">
        <v>RF-01M-0397</v>
      </c>
      <c r="I567" s="11" t="str">
        <v>RF-01M-0397]COVER BOTTOM</v>
      </c>
      <c r="J567" s="9">
        <v>250</v>
      </c>
      <c r="K567" s="9" t="str">
        <v/>
      </c>
      <c r="L567" s="9" t="str">
        <v>3E5</v>
      </c>
      <c r="M567" s="12">
        <v>46287</v>
      </c>
      <c r="N567" s="5" t="str">
        <v/>
      </c>
      <c r="O567" s="5" t="str">
        <v/>
      </c>
      <c r="P567" s="5" t="str">
        <v/>
      </c>
      <c r="Q567" s="14" t="str">
        <v/>
      </c>
      <c r="R567" s="15">
        <v>250</v>
      </c>
    </row>
    <row r="568" spans="2:18" x14ac:dyDescent="0.35">
      <c r="B568" s="9">
        <v>2039</v>
      </c>
      <c r="C568" s="9" t="str">
        <v>가용재고</v>
      </c>
      <c r="D568" s="9" t="str">
        <v/>
      </c>
      <c r="E568" s="9" t="str">
        <v>입고</v>
      </c>
      <c r="F568" s="9" t="str">
        <v>대영하네스</v>
      </c>
      <c r="G568" s="9" t="str">
        <v>유영국</v>
      </c>
      <c r="H568" s="9" t="str">
        <v>RA-3-3A</v>
      </c>
      <c r="I568" s="11" t="str">
        <v>RA-3-3A]DCM CONTROL-A</v>
      </c>
      <c r="J568" s="9">
        <v>250</v>
      </c>
      <c r="K568" s="9" t="str">
        <v/>
      </c>
      <c r="L568" s="9" t="str">
        <v>G4</v>
      </c>
      <c r="M568" s="12">
        <v>46296</v>
      </c>
      <c r="N568" s="5" t="str">
        <v/>
      </c>
      <c r="O568" s="5" t="str">
        <v/>
      </c>
      <c r="P568" s="5" t="str">
        <v/>
      </c>
      <c r="Q568" s="14" t="str">
        <v/>
      </c>
      <c r="R568" s="15">
        <v>250</v>
      </c>
    </row>
    <row r="569" spans="2:18" x14ac:dyDescent="0.35">
      <c r="B569" s="9">
        <v>2042</v>
      </c>
      <c r="C569" s="9" t="str">
        <v>가용재고</v>
      </c>
      <c r="D569" s="9" t="str">
        <v/>
      </c>
      <c r="E569" s="9" t="str">
        <v>입고</v>
      </c>
      <c r="F569" s="9" t="str">
        <v>대영하네스</v>
      </c>
      <c r="G569" s="9" t="str">
        <v>유영국</v>
      </c>
      <c r="H569" s="9" t="str">
        <v>RA-2-9</v>
      </c>
      <c r="I569" s="11" t="str">
        <v>RA-2-9]ACT 2nd LIMIT</v>
      </c>
      <c r="J569" s="9">
        <v>250</v>
      </c>
      <c r="K569" s="9" t="str">
        <v/>
      </c>
      <c r="L569" s="9" t="str">
        <v>G2-1</v>
      </c>
      <c r="M569" s="12">
        <v>46296</v>
      </c>
      <c r="N569" s="5" t="str">
        <v/>
      </c>
      <c r="O569" s="5" t="str">
        <v/>
      </c>
      <c r="P569" s="5" t="str">
        <v/>
      </c>
      <c r="Q569" s="14" t="str">
        <v/>
      </c>
      <c r="R569" s="15">
        <v>250</v>
      </c>
    </row>
    <row r="570" spans="2:18" x14ac:dyDescent="0.35">
      <c r="B570" s="9">
        <v>2450</v>
      </c>
      <c r="C570" s="9" t="str">
        <v>가용재고</v>
      </c>
      <c r="D570" s="9" t="str">
        <v/>
      </c>
      <c r="E570" s="9" t="str">
        <v/>
      </c>
      <c r="F570" s="9" t="str">
        <v/>
      </c>
      <c r="G570" s="9" t="str">
        <v/>
      </c>
      <c r="H570" s="9" t="str">
        <v>RA-1-8B</v>
      </c>
      <c r="I570" s="11" t="str">
        <v>RA-1-8B]AC POWER PFC CONNECT</v>
      </c>
      <c r="J570" s="9">
        <v>252</v>
      </c>
      <c r="K570" s="9" t="str">
        <v/>
      </c>
      <c r="L570" s="9" t="str">
        <v>G3-1</v>
      </c>
      <c r="M570" s="12">
        <v>46301</v>
      </c>
      <c r="N570" s="5" t="str">
        <v/>
      </c>
      <c r="O570" s="5" t="str">
        <v/>
      </c>
      <c r="P570" s="5" t="str">
        <v/>
      </c>
      <c r="Q570" s="14" t="str">
        <v/>
      </c>
      <c r="R570" s="15">
        <v>252</v>
      </c>
    </row>
    <row r="571" spans="2:18" x14ac:dyDescent="0.35">
      <c r="B571" s="9">
        <v>2338</v>
      </c>
      <c r="C571" s="9" t="str">
        <v>가용재고</v>
      </c>
      <c r="D571" s="9" t="str">
        <v/>
      </c>
      <c r="E571" s="9" t="str">
        <v/>
      </c>
      <c r="F571" s="9" t="str">
        <v/>
      </c>
      <c r="G571" s="9" t="str">
        <v/>
      </c>
      <c r="H571" s="9" t="str">
        <v>RA-5-10</v>
      </c>
      <c r="I571" s="11" t="str">
        <v>RA-5-10]EARTH MOT SMPS(RPS)</v>
      </c>
      <c r="J571" s="9">
        <v>255</v>
      </c>
      <c r="K571" s="9" t="str">
        <v/>
      </c>
      <c r="L571" s="9" t="str">
        <v>G3-2</v>
      </c>
      <c r="M571" s="12">
        <v>46302</v>
      </c>
      <c r="N571" s="5" t="str">
        <v/>
      </c>
      <c r="O571" s="5" t="str">
        <v/>
      </c>
      <c r="P571" s="5" t="str">
        <v/>
      </c>
      <c r="Q571" s="14" t="str">
        <v/>
      </c>
      <c r="R571" s="15">
        <v>255</v>
      </c>
    </row>
    <row r="572" spans="2:18" x14ac:dyDescent="0.35">
      <c r="B572" s="9">
        <v>2155</v>
      </c>
      <c r="C572" s="9" t="str">
        <v>가용재고</v>
      </c>
      <c r="D572" s="9" t="str">
        <v/>
      </c>
      <c r="E572" s="9" t="str">
        <v/>
      </c>
      <c r="F572" s="9" t="str">
        <v/>
      </c>
      <c r="G572" s="9" t="str">
        <v/>
      </c>
      <c r="H572" s="9" t="str">
        <v>RA-02V-2019</v>
      </c>
      <c r="I572" s="11" t="str">
        <v>RA-02V-2019]HLDR STOPPER ROT PLT (A+)</v>
      </c>
      <c r="J572" s="9">
        <v>261</v>
      </c>
      <c r="K572" s="9" t="str">
        <v/>
      </c>
      <c r="L572" s="9" t="str">
        <v>C3-3</v>
      </c>
      <c r="M572" s="12">
        <v>46293</v>
      </c>
      <c r="N572" s="5" t="str">
        <v/>
      </c>
      <c r="O572" s="5" t="str">
        <v/>
      </c>
      <c r="P572" s="5" t="str">
        <v/>
      </c>
      <c r="Q572" s="14" t="str">
        <v/>
      </c>
      <c r="R572" s="15">
        <v>261</v>
      </c>
    </row>
    <row r="573" spans="2:18" x14ac:dyDescent="0.35">
      <c r="B573" s="9">
        <v>2415</v>
      </c>
      <c r="C573" s="9" t="str">
        <v>가용재고</v>
      </c>
      <c r="D573" s="9" t="str">
        <v/>
      </c>
      <c r="E573" s="9" t="str">
        <v/>
      </c>
      <c r="F573" s="9" t="str">
        <v/>
      </c>
      <c r="G573" s="9" t="str">
        <v/>
      </c>
      <c r="H573" s="9" t="str">
        <v>RA-07V-1669</v>
      </c>
      <c r="I573" s="11" t="str">
        <v>RA-07V-1669]PLT PHOTSNSR (VA)</v>
      </c>
      <c r="J573" s="9">
        <v>263</v>
      </c>
      <c r="K573" s="9" t="str">
        <v/>
      </c>
      <c r="L573" s="9" t="str">
        <v>J2-3</v>
      </c>
      <c r="M573" s="12">
        <v>46301</v>
      </c>
      <c r="N573" s="5" t="str">
        <v/>
      </c>
      <c r="O573" s="5" t="str">
        <v/>
      </c>
      <c r="P573" s="5" t="str">
        <v/>
      </c>
      <c r="Q573" s="14" t="str">
        <v/>
      </c>
      <c r="R573" s="15">
        <v>263</v>
      </c>
    </row>
    <row r="574" spans="2:18" x14ac:dyDescent="0.35">
      <c r="B574" s="9">
        <v>2137</v>
      </c>
      <c r="C574" s="9" t="str">
        <v>가용재고</v>
      </c>
      <c r="D574" s="9" t="str">
        <v/>
      </c>
      <c r="E574" s="9" t="str">
        <v/>
      </c>
      <c r="F574" s="9" t="str">
        <v/>
      </c>
      <c r="G574" s="9" t="str">
        <v/>
      </c>
      <c r="H574" s="9" t="str">
        <v>RA-02M-2004</v>
      </c>
      <c r="I574" s="11" t="str">
        <v>RA-02M-2004]BLK MOVING LWR (A+)</v>
      </c>
      <c r="J574" s="9">
        <v>265</v>
      </c>
      <c r="K574" s="9" t="str">
        <v/>
      </c>
      <c r="L574" s="9" t="str">
        <v>O3</v>
      </c>
      <c r="M574" s="12">
        <v>46293</v>
      </c>
      <c r="N574" s="5" t="str">
        <v/>
      </c>
      <c r="O574" s="5" t="str">
        <v/>
      </c>
      <c r="P574" s="5" t="str">
        <v/>
      </c>
      <c r="Q574" s="14" t="str">
        <v/>
      </c>
      <c r="R574" s="15">
        <v>265</v>
      </c>
    </row>
    <row r="575" spans="2:18" x14ac:dyDescent="0.35">
      <c r="B575" s="9">
        <v>1921</v>
      </c>
      <c r="C575" s="9" t="str">
        <v>가용재고</v>
      </c>
      <c r="D575" s="9" t="str">
        <v/>
      </c>
      <c r="E575" s="9" t="str">
        <v/>
      </c>
      <c r="F575" s="9" t="str">
        <v/>
      </c>
      <c r="G575" s="9" t="str">
        <v/>
      </c>
      <c r="H575" s="9" t="str">
        <v>RA-15-12</v>
      </c>
      <c r="I575" s="11" t="str">
        <v>RA-15-12]Fcol MOT Cable C</v>
      </c>
      <c r="J575" s="9">
        <v>271</v>
      </c>
      <c r="K575" s="9" t="str">
        <v/>
      </c>
      <c r="L575" s="9" t="str">
        <v>G3-7</v>
      </c>
      <c r="M575" s="12">
        <v>46295</v>
      </c>
      <c r="N575" s="5" t="str">
        <v/>
      </c>
      <c r="O575" s="5" t="str">
        <v/>
      </c>
      <c r="P575" s="5" t="str">
        <v/>
      </c>
      <c r="Q575" s="14" t="str">
        <v/>
      </c>
      <c r="R575" s="15">
        <v>271</v>
      </c>
    </row>
    <row r="576" spans="2:18" x14ac:dyDescent="0.35">
      <c r="B576" s="9">
        <v>2366</v>
      </c>
      <c r="C576" s="9" t="str">
        <v>가용재고</v>
      </c>
      <c r="D576" s="9" t="str">
        <v/>
      </c>
      <c r="E576" s="9" t="str">
        <v/>
      </c>
      <c r="F576" s="9" t="str">
        <v/>
      </c>
      <c r="G576" s="9" t="str">
        <v/>
      </c>
      <c r="H576" s="9" t="str">
        <v>RA-06M-2299</v>
      </c>
      <c r="I576" s="11" t="str">
        <v>RA-06M-2299]PLT MIRROR TUBE CAS R (A+)</v>
      </c>
      <c r="J576" s="9">
        <v>274</v>
      </c>
      <c r="K576" s="9" t="str">
        <v/>
      </c>
      <c r="L576" s="9" t="str">
        <v>L2-2</v>
      </c>
      <c r="M576" s="12">
        <v>46302</v>
      </c>
      <c r="N576" s="5" t="str">
        <v/>
      </c>
      <c r="O576" s="5" t="str">
        <v/>
      </c>
      <c r="P576" s="5" t="str">
        <v/>
      </c>
      <c r="Q576" s="14" t="str">
        <v/>
      </c>
      <c r="R576" s="15">
        <v>274</v>
      </c>
    </row>
    <row r="577" spans="2:18" x14ac:dyDescent="0.35">
      <c r="B577" s="9">
        <v>2444</v>
      </c>
      <c r="C577" s="9" t="str">
        <v>가용재고</v>
      </c>
      <c r="D577" s="9" t="str">
        <v/>
      </c>
      <c r="E577" s="9" t="str">
        <v/>
      </c>
      <c r="F577" s="9" t="str">
        <v/>
      </c>
      <c r="G577" s="9" t="str">
        <v/>
      </c>
      <c r="H577" s="9" t="str">
        <v>RA-06A-6006</v>
      </c>
      <c r="I577" s="11" t="str">
        <v>RA-06A-6006]Bd ASSY'-Fcol MCU</v>
      </c>
      <c r="J577" s="9">
        <v>276</v>
      </c>
      <c r="K577" s="9" t="str">
        <v/>
      </c>
      <c r="L577" s="9" t="str">
        <v>A2-1</v>
      </c>
      <c r="M577" s="12">
        <v>46301</v>
      </c>
      <c r="N577" s="5" t="str">
        <v/>
      </c>
      <c r="O577" s="5" t="str">
        <v/>
      </c>
      <c r="P577" s="5" t="str">
        <v/>
      </c>
      <c r="Q577" s="14" t="str">
        <v/>
      </c>
      <c r="R577" s="15">
        <v>276</v>
      </c>
    </row>
    <row r="578" spans="2:18" x14ac:dyDescent="0.35">
      <c r="B578" s="9">
        <v>1847</v>
      </c>
      <c r="C578" s="9" t="str">
        <v>가용재고</v>
      </c>
      <c r="D578" s="9" t="str">
        <v/>
      </c>
      <c r="E578" s="9" t="str">
        <v/>
      </c>
      <c r="F578" s="9" t="str">
        <v/>
      </c>
      <c r="G578" s="9" t="str">
        <v/>
      </c>
      <c r="H578" s="9" t="str">
        <v>RA-06V-0794</v>
      </c>
      <c r="I578" s="11" t="str">
        <v>RA-06V-0794]BRK TUBE FIX B</v>
      </c>
      <c r="J578" s="9">
        <v>277</v>
      </c>
      <c r="K578" s="9" t="str">
        <v/>
      </c>
      <c r="L578" s="9" t="str">
        <v>H3-3</v>
      </c>
      <c r="M578" s="12">
        <v>46295</v>
      </c>
      <c r="N578" s="5" t="str">
        <v/>
      </c>
      <c r="O578" s="5" t="str">
        <v/>
      </c>
      <c r="P578" s="5" t="str">
        <v/>
      </c>
      <c r="Q578" s="14" t="str">
        <v/>
      </c>
      <c r="R578" s="15">
        <v>277</v>
      </c>
    </row>
    <row r="579" spans="2:18" x14ac:dyDescent="0.35">
      <c r="B579" s="9">
        <v>2409</v>
      </c>
      <c r="C579" s="9" t="str">
        <v>가용재고</v>
      </c>
      <c r="D579" s="9" t="str">
        <v/>
      </c>
      <c r="E579" s="9" t="str">
        <v/>
      </c>
      <c r="F579" s="9" t="str">
        <v/>
      </c>
      <c r="G579" s="9" t="str">
        <v/>
      </c>
      <c r="H579" s="9" t="str">
        <v>RA-04S-0977</v>
      </c>
      <c r="I579" s="11" t="str">
        <v>RA-04S-0977]SPRING CEPH AND ARM</v>
      </c>
      <c r="J579" s="9">
        <v>279</v>
      </c>
      <c r="K579" s="9" t="str">
        <v/>
      </c>
      <c r="L579" s="9" t="str">
        <v>B2-2</v>
      </c>
      <c r="M579" s="12">
        <v>46301</v>
      </c>
      <c r="N579" s="5" t="str">
        <v/>
      </c>
      <c r="O579" s="5" t="str">
        <v/>
      </c>
      <c r="P579" s="5" t="str">
        <v/>
      </c>
      <c r="Q579" s="14" t="str">
        <v/>
      </c>
      <c r="R579" s="15">
        <v>279</v>
      </c>
    </row>
    <row r="580" spans="2:18" x14ac:dyDescent="0.35">
      <c r="B580" s="9">
        <v>2499</v>
      </c>
      <c r="C580" s="9" t="str">
        <v>가용재고</v>
      </c>
      <c r="D580" s="9" t="str">
        <v/>
      </c>
      <c r="E580" s="9" t="str">
        <v/>
      </c>
      <c r="F580" s="9" t="str">
        <v/>
      </c>
      <c r="G580" s="9" t="str">
        <v/>
      </c>
      <c r="H580" s="9" t="str">
        <v>RA-11-34</v>
      </c>
      <c r="I580" s="11" t="str">
        <v>RA-11-34_2]SUB MOT DET(V)</v>
      </c>
      <c r="J580" s="9">
        <v>282</v>
      </c>
      <c r="K580" s="9" t="str">
        <v/>
      </c>
      <c r="L580" s="9" t="str">
        <v>G3-6</v>
      </c>
      <c r="M580" s="12">
        <v>46303</v>
      </c>
      <c r="N580" s="5" t="str">
        <v/>
      </c>
      <c r="O580" s="5" t="str">
        <v/>
      </c>
      <c r="P580" s="5" t="str">
        <v/>
      </c>
      <c r="Q580" s="14" t="str">
        <v/>
      </c>
      <c r="R580" s="15">
        <v>282</v>
      </c>
    </row>
    <row r="581" spans="2:18" x14ac:dyDescent="0.35">
      <c r="B581" s="9">
        <v>1049</v>
      </c>
      <c r="C581" s="9" t="str">
        <v>가용재고</v>
      </c>
      <c r="D581" s="9" t="str">
        <v/>
      </c>
      <c r="E581" s="9" t="str">
        <v>기초</v>
      </c>
      <c r="F581" s="9" t="str">
        <v/>
      </c>
      <c r="G581" s="9" t="str">
        <v/>
      </c>
      <c r="H581" s="9" t="str">
        <v>RA-04V-2295</v>
      </c>
      <c r="I581" s="11" t="str">
        <v>RA-04V-2295]BRK FIX CHINREST (A+)</v>
      </c>
      <c r="J581" s="9">
        <v>288</v>
      </c>
      <c r="K581" s="9" t="str">
        <v/>
      </c>
      <c r="L581" s="9" t="str">
        <v>3C5, 3L9-5</v>
      </c>
      <c r="M581" s="12">
        <v>46276</v>
      </c>
      <c r="N581" s="5" t="str">
        <v/>
      </c>
      <c r="O581" s="5" t="str">
        <v/>
      </c>
      <c r="P581" s="5" t="str">
        <v/>
      </c>
      <c r="Q581" s="14" t="str">
        <v/>
      </c>
      <c r="R581" s="15">
        <v>288</v>
      </c>
    </row>
    <row r="582" spans="2:18" x14ac:dyDescent="0.35">
      <c r="B582" s="9">
        <v>2277</v>
      </c>
      <c r="C582" s="9" t="str">
        <v>가용재고</v>
      </c>
      <c r="D582" s="9" t="str">
        <v/>
      </c>
      <c r="E582" s="9" t="str">
        <v/>
      </c>
      <c r="F582" s="9" t="str">
        <v/>
      </c>
      <c r="G582" s="9" t="str">
        <v/>
      </c>
      <c r="H582" s="9" t="str">
        <v>RA-5-8</v>
      </c>
      <c r="I582" s="11" t="str">
        <v>RA-5-8]EARTH CTRL SMPS</v>
      </c>
      <c r="J582" s="9">
        <v>295</v>
      </c>
      <c r="K582" s="9" t="str">
        <v/>
      </c>
      <c r="L582" s="9" t="str">
        <v>G3-2</v>
      </c>
      <c r="M582" s="12">
        <v>46301</v>
      </c>
      <c r="N582" s="5" t="str">
        <v/>
      </c>
      <c r="O582" s="5" t="str">
        <v/>
      </c>
      <c r="P582" s="5" t="str">
        <v/>
      </c>
      <c r="Q582" s="14" t="str">
        <v/>
      </c>
      <c r="R582" s="15">
        <v>295</v>
      </c>
    </row>
    <row r="583" spans="2:18" x14ac:dyDescent="0.35">
      <c r="B583" s="9">
        <v>1980</v>
      </c>
      <c r="C583" s="9" t="str">
        <v>가용재고</v>
      </c>
      <c r="D583" s="9" t="str">
        <v/>
      </c>
      <c r="E583" s="9" t="str">
        <v>입고</v>
      </c>
      <c r="F583" s="9" t="str">
        <v>A&amp;T</v>
      </c>
      <c r="G583" s="9" t="str">
        <v>장동은</v>
      </c>
      <c r="H583" s="9" t="str">
        <v>RA-09A-2753</v>
      </c>
      <c r="I583" s="11" t="str">
        <v>RA-09A-2753]ASM CT HEADREST FIX BAS(A+)</v>
      </c>
      <c r="J583" s="9">
        <v>300</v>
      </c>
      <c r="K583" s="9" t="str">
        <v/>
      </c>
      <c r="L583" s="9" t="str">
        <v>B1-6</v>
      </c>
      <c r="M583" s="12">
        <v>46301</v>
      </c>
      <c r="N583" s="5" t="str">
        <v/>
      </c>
      <c r="O583" s="5" t="str">
        <v/>
      </c>
      <c r="P583" s="5" t="str">
        <v/>
      </c>
      <c r="Q583" s="14" t="str">
        <v/>
      </c>
      <c r="R583" s="15">
        <v>300</v>
      </c>
    </row>
    <row r="584" spans="2:18" x14ac:dyDescent="0.35">
      <c r="B584" s="9">
        <v>2034</v>
      </c>
      <c r="C584" s="9" t="str">
        <v>가용재고</v>
      </c>
      <c r="D584" s="9" t="str">
        <v/>
      </c>
      <c r="E584" s="9" t="str">
        <v>입고</v>
      </c>
      <c r="F584" s="9" t="str">
        <v>대영하네스</v>
      </c>
      <c r="G584" s="9" t="str">
        <v>유영국</v>
      </c>
      <c r="H584" s="9" t="str">
        <v>RA-5-4</v>
      </c>
      <c r="I584" s="11" t="str">
        <v>RA-5-4]EARTH ROT TO TUBE</v>
      </c>
      <c r="J584" s="9">
        <v>300</v>
      </c>
      <c r="K584" s="9" t="str">
        <v/>
      </c>
      <c r="L584" s="9" t="str">
        <v>G3-2</v>
      </c>
      <c r="M584" s="12">
        <v>46296</v>
      </c>
      <c r="N584" s="5" t="str">
        <v/>
      </c>
      <c r="O584" s="5" t="str">
        <v/>
      </c>
      <c r="P584" s="5" t="str">
        <v/>
      </c>
      <c r="Q584" s="14" t="str">
        <v/>
      </c>
      <c r="R584" s="15">
        <v>300</v>
      </c>
    </row>
    <row r="585" spans="2:18" x14ac:dyDescent="0.35">
      <c r="B585" s="9">
        <v>2059</v>
      </c>
      <c r="C585" s="9" t="str">
        <v>가용재고</v>
      </c>
      <c r="D585" s="9" t="str">
        <v/>
      </c>
      <c r="E585" s="9" t="str">
        <v>입고</v>
      </c>
      <c r="F585" s="9" t="str">
        <v>플랜피뎀</v>
      </c>
      <c r="G585" s="9" t="str">
        <v>유영국</v>
      </c>
      <c r="H585" s="9" t="str">
        <v>RS-02S-5135</v>
      </c>
      <c r="I585" s="11" t="str">
        <v>RS-02S-5135]PHOtSNSR-EE-SX671A</v>
      </c>
      <c r="J585" s="9">
        <v>300</v>
      </c>
      <c r="K585" s="9" t="str">
        <v/>
      </c>
      <c r="L585" s="9" t="str">
        <v>A12-3</v>
      </c>
      <c r="M585" s="12">
        <v>46297</v>
      </c>
      <c r="N585" s="5" t="str">
        <v/>
      </c>
      <c r="O585" s="5" t="str">
        <v/>
      </c>
      <c r="P585" s="5" t="str">
        <v/>
      </c>
      <c r="Q585" s="14" t="str">
        <v/>
      </c>
      <c r="R585" s="15">
        <v>300</v>
      </c>
    </row>
    <row r="586" spans="2:18" x14ac:dyDescent="0.35">
      <c r="B586" s="9">
        <v>1326</v>
      </c>
      <c r="C586" s="9" t="str">
        <v>가용재고</v>
      </c>
      <c r="D586" s="9" t="str">
        <v/>
      </c>
      <c r="E586" s="9" t="str">
        <v/>
      </c>
      <c r="F586" s="9" t="str">
        <v/>
      </c>
      <c r="G586" s="9" t="str">
        <v/>
      </c>
      <c r="H586" s="9" t="str">
        <v>RF-01T-0353</v>
      </c>
      <c r="I586" s="11" t="str">
        <v>RF-01T-0353]WINDOW LED</v>
      </c>
      <c r="J586" s="9">
        <v>300</v>
      </c>
      <c r="K586" s="9" t="str">
        <v/>
      </c>
      <c r="L586" s="9" t="str">
        <v>3E9</v>
      </c>
      <c r="M586" s="12">
        <v>46287</v>
      </c>
      <c r="N586" s="5" t="str">
        <v/>
      </c>
      <c r="O586" s="5" t="str">
        <v/>
      </c>
      <c r="P586" s="5" t="str">
        <v/>
      </c>
      <c r="Q586" s="14" t="str">
        <v/>
      </c>
      <c r="R586" s="15">
        <v>300</v>
      </c>
    </row>
    <row r="587" spans="2:18" x14ac:dyDescent="0.35">
      <c r="B587" s="9">
        <v>2038</v>
      </c>
      <c r="C587" s="9" t="str">
        <v>가용재고</v>
      </c>
      <c r="D587" s="9" t="str">
        <v/>
      </c>
      <c r="E587" s="9" t="str">
        <v>입고</v>
      </c>
      <c r="F587" s="9" t="str">
        <v>대영하네스</v>
      </c>
      <c r="G587" s="9" t="str">
        <v>유영국</v>
      </c>
      <c r="H587" s="9" t="str">
        <v>RA-9-8</v>
      </c>
      <c r="I587" s="11" t="str">
        <v>RA-9-8]SERIAL POWER LS 1</v>
      </c>
      <c r="J587" s="9">
        <v>300</v>
      </c>
      <c r="K587" s="9" t="str">
        <v/>
      </c>
      <c r="L587" s="9" t="str">
        <v>G1-3</v>
      </c>
      <c r="M587" s="12">
        <v>46296</v>
      </c>
      <c r="N587" s="5" t="str">
        <v/>
      </c>
      <c r="O587" s="5" t="str">
        <v/>
      </c>
      <c r="P587" s="5" t="str">
        <v/>
      </c>
      <c r="Q587" s="14" t="str">
        <v/>
      </c>
      <c r="R587" s="15">
        <v>300</v>
      </c>
    </row>
    <row r="588" spans="2:18" x14ac:dyDescent="0.35">
      <c r="B588" s="9">
        <v>2041</v>
      </c>
      <c r="C588" s="9" t="str">
        <v>가용재고</v>
      </c>
      <c r="D588" s="9" t="str">
        <v/>
      </c>
      <c r="E588" s="9" t="str">
        <v>입고</v>
      </c>
      <c r="F588" s="9" t="str">
        <v>대영하네스</v>
      </c>
      <c r="G588" s="9" t="str">
        <v>유영국</v>
      </c>
      <c r="H588" s="9" t="str">
        <v>RA-1-12</v>
      </c>
      <c r="I588" s="11" t="str">
        <v>RA-1-12]DC POWER SMPS CONN</v>
      </c>
      <c r="J588" s="9">
        <v>300</v>
      </c>
      <c r="K588" s="9" t="str">
        <v/>
      </c>
      <c r="L588" s="9" t="str">
        <v>G2-1</v>
      </c>
      <c r="M588" s="12">
        <v>46296</v>
      </c>
      <c r="N588" s="5" t="str">
        <v/>
      </c>
      <c r="O588" s="5" t="str">
        <v/>
      </c>
      <c r="P588" s="5" t="str">
        <v/>
      </c>
      <c r="Q588" s="14" t="str">
        <v/>
      </c>
      <c r="R588" s="15">
        <v>300</v>
      </c>
    </row>
    <row r="589" spans="2:18" x14ac:dyDescent="0.35">
      <c r="B589" s="9">
        <v>2048</v>
      </c>
      <c r="C589" s="9" t="str">
        <v>가용재고</v>
      </c>
      <c r="D589" s="9" t="str">
        <v/>
      </c>
      <c r="E589" s="9" t="str">
        <v>입고</v>
      </c>
      <c r="F589" s="9" t="str">
        <v>대영하네스</v>
      </c>
      <c r="G589" s="9" t="str">
        <v>유영국</v>
      </c>
      <c r="H589" s="9" t="str">
        <v>RA-5-10</v>
      </c>
      <c r="I589" s="11" t="str">
        <v>RA-5-10]EARTH MOT SMPS(RPS)</v>
      </c>
      <c r="J589" s="9">
        <v>300</v>
      </c>
      <c r="K589" s="9" t="str">
        <v/>
      </c>
      <c r="L589" s="9" t="str">
        <v>G3-2</v>
      </c>
      <c r="M589" s="12">
        <v>46296</v>
      </c>
      <c r="N589" s="5" t="str">
        <v/>
      </c>
      <c r="O589" s="5" t="str">
        <v/>
      </c>
      <c r="P589" s="5" t="str">
        <v/>
      </c>
      <c r="Q589" s="14" t="str">
        <v/>
      </c>
      <c r="R589" s="15">
        <v>300</v>
      </c>
    </row>
    <row r="590" spans="2:18" x14ac:dyDescent="0.35">
      <c r="B590" s="9">
        <v>2541</v>
      </c>
      <c r="C590" s="9" t="str">
        <v>가용재고</v>
      </c>
      <c r="D590" s="9" t="str">
        <v/>
      </c>
      <c r="E590" s="9" t="str">
        <v/>
      </c>
      <c r="F590" s="9" t="str">
        <v/>
      </c>
      <c r="G590" s="9" t="str">
        <v/>
      </c>
      <c r="H590" s="9" t="str">
        <v>RA-03A-6046</v>
      </c>
      <c r="I590" s="11" t="str">
        <v>RA-03A-6046]SMPS CONN B/D</v>
      </c>
      <c r="J590" s="9">
        <v>304</v>
      </c>
      <c r="K590" s="9" t="str">
        <v/>
      </c>
      <c r="L590" s="9" t="str">
        <v>A1-3</v>
      </c>
      <c r="M590" s="12">
        <v>46308</v>
      </c>
      <c r="N590" s="5" t="str">
        <v/>
      </c>
      <c r="O590" s="5" t="str">
        <v/>
      </c>
      <c r="P590" s="5" t="str">
        <v/>
      </c>
      <c r="Q590" s="14" t="str">
        <v/>
      </c>
      <c r="R590" s="15">
        <v>304</v>
      </c>
    </row>
    <row r="591" spans="2:18" x14ac:dyDescent="0.35">
      <c r="B591" s="9">
        <v>2474</v>
      </c>
      <c r="C591" s="9" t="str">
        <v>가용재고</v>
      </c>
      <c r="D591" s="9" t="str">
        <v/>
      </c>
      <c r="E591" s="9" t="str">
        <v/>
      </c>
      <c r="F591" s="9" t="str">
        <v/>
      </c>
      <c r="G591" s="9" t="str">
        <v/>
      </c>
      <c r="H591" s="9" t="str">
        <v>RA-09A-2753</v>
      </c>
      <c r="I591" s="11" t="str">
        <v>RA-09A-2753]ASM CT HEADREST FIX BAS(A+)</v>
      </c>
      <c r="J591" s="9">
        <v>309</v>
      </c>
      <c r="K591" s="9" t="str">
        <v/>
      </c>
      <c r="L591" s="9" t="str">
        <v>B1-6</v>
      </c>
      <c r="M591" s="12">
        <v>46301</v>
      </c>
      <c r="N591" s="5" t="str">
        <v/>
      </c>
      <c r="O591" s="5" t="str">
        <v/>
      </c>
      <c r="P591" s="5" t="str">
        <v/>
      </c>
      <c r="Q591" s="14" t="str">
        <v/>
      </c>
      <c r="R591" s="15">
        <v>309</v>
      </c>
    </row>
    <row r="592" spans="2:18" x14ac:dyDescent="0.35">
      <c r="B592" s="9">
        <v>1292</v>
      </c>
      <c r="C592" s="9" t="str">
        <v>가용재고</v>
      </c>
      <c r="D592" s="9" t="str">
        <v/>
      </c>
      <c r="E592" s="9" t="str">
        <v/>
      </c>
      <c r="F592" s="9" t="str">
        <v/>
      </c>
      <c r="G592" s="9" t="str">
        <v/>
      </c>
      <c r="H592" s="9" t="str">
        <v>RF-01B-5036</v>
      </c>
      <c r="I592" s="11" t="str">
        <v>RF-01B-5036] LED CENTER BOARD</v>
      </c>
      <c r="J592" s="9">
        <v>312</v>
      </c>
      <c r="K592" s="9" t="str">
        <v/>
      </c>
      <c r="L592" s="9" t="str">
        <v>A16</v>
      </c>
      <c r="M592" s="12">
        <v>46287</v>
      </c>
      <c r="N592" s="5" t="str">
        <v/>
      </c>
      <c r="O592" s="5" t="str">
        <v/>
      </c>
      <c r="P592" s="5" t="str">
        <v/>
      </c>
      <c r="Q592" s="14" t="str">
        <v/>
      </c>
      <c r="R592" s="15">
        <v>312</v>
      </c>
    </row>
    <row r="593" spans="2:18" x14ac:dyDescent="0.35">
      <c r="B593" s="9">
        <v>2131</v>
      </c>
      <c r="C593" s="9" t="str">
        <v>가용재고</v>
      </c>
      <c r="D593" s="9" t="str">
        <v/>
      </c>
      <c r="E593" s="9" t="str">
        <v/>
      </c>
      <c r="F593" s="9" t="str">
        <v/>
      </c>
      <c r="G593" s="9" t="str">
        <v/>
      </c>
      <c r="H593" s="9" t="str">
        <v>RA-02A-2622</v>
      </c>
      <c r="I593" s="11" t="str">
        <v>RA-02A-2622]ASM SCREW MOVING Y-AXIS (A+)</v>
      </c>
      <c r="J593" s="9">
        <v>323</v>
      </c>
      <c r="K593" s="9" t="str">
        <v/>
      </c>
      <c r="L593" s="9" t="str">
        <v>C3-5</v>
      </c>
      <c r="M593" s="12">
        <v>46293</v>
      </c>
      <c r="N593" s="5" t="str">
        <v/>
      </c>
      <c r="O593" s="5" t="str">
        <v/>
      </c>
      <c r="P593" s="5" t="str">
        <v/>
      </c>
      <c r="Q593" s="14" t="str">
        <v/>
      </c>
      <c r="R593" s="15">
        <v>323</v>
      </c>
    </row>
    <row r="594" spans="2:18" x14ac:dyDescent="0.35">
      <c r="B594" s="9">
        <v>2167</v>
      </c>
      <c r="C594" s="9" t="str">
        <v>가용재고</v>
      </c>
      <c r="D594" s="9" t="str">
        <v/>
      </c>
      <c r="E594" s="9" t="str">
        <v/>
      </c>
      <c r="F594" s="9" t="str">
        <v/>
      </c>
      <c r="G594" s="9" t="str">
        <v/>
      </c>
      <c r="H594" s="9" t="str">
        <v>RA-11-13</v>
      </c>
      <c r="I594" s="11" t="str">
        <v>RA-11-13_3]PRIME MOT LINEAR Left-Right</v>
      </c>
      <c r="J594" s="9">
        <v>331</v>
      </c>
      <c r="K594" s="9" t="str">
        <v/>
      </c>
      <c r="L594" s="9" t="str">
        <v>G3-5</v>
      </c>
      <c r="M594" s="12">
        <v>46293</v>
      </c>
      <c r="N594" s="5" t="str">
        <v/>
      </c>
      <c r="O594" s="5" t="str">
        <v/>
      </c>
      <c r="P594" s="5" t="str">
        <v/>
      </c>
      <c r="Q594" s="14" t="str">
        <v/>
      </c>
      <c r="R594" s="15">
        <v>331</v>
      </c>
    </row>
    <row r="595" spans="2:18" x14ac:dyDescent="0.35">
      <c r="B595" s="9">
        <v>2168</v>
      </c>
      <c r="C595" s="9" t="str">
        <v>가용재고</v>
      </c>
      <c r="D595" s="9" t="str">
        <v/>
      </c>
      <c r="E595" s="9" t="str">
        <v/>
      </c>
      <c r="F595" s="9" t="str">
        <v/>
      </c>
      <c r="G595" s="9" t="str">
        <v/>
      </c>
      <c r="H595" s="9" t="str">
        <v>RA-11-4</v>
      </c>
      <c r="I595" s="11" t="str">
        <v>RA-11-4]MainMCU to STEP DRV</v>
      </c>
      <c r="J595" s="9">
        <v>340</v>
      </c>
      <c r="K595" s="9" t="str">
        <v/>
      </c>
      <c r="L595" s="9" t="str">
        <v>G1-4</v>
      </c>
      <c r="M595" s="12">
        <v>46293</v>
      </c>
      <c r="N595" s="5" t="str">
        <v/>
      </c>
      <c r="O595" s="5" t="str">
        <v/>
      </c>
      <c r="P595" s="5" t="str">
        <v/>
      </c>
      <c r="Q595" s="14" t="str">
        <v/>
      </c>
      <c r="R595" s="15">
        <v>340</v>
      </c>
    </row>
    <row r="596" spans="2:18" x14ac:dyDescent="0.35">
      <c r="B596" s="9">
        <v>2325</v>
      </c>
      <c r="C596" s="9" t="str">
        <v>가용재고</v>
      </c>
      <c r="D596" s="9" t="str">
        <v/>
      </c>
      <c r="E596" s="9" t="str">
        <v/>
      </c>
      <c r="F596" s="9" t="str">
        <v/>
      </c>
      <c r="G596" s="9" t="str">
        <v/>
      </c>
      <c r="H596" s="9" t="str">
        <v>RA-1-5</v>
      </c>
      <c r="I596" s="11" t="str">
        <v>RA-1-5]AC POWER SMPS-1</v>
      </c>
      <c r="J596" s="9">
        <v>340</v>
      </c>
      <c r="K596" s="9" t="str">
        <v/>
      </c>
      <c r="L596" s="9" t="str">
        <v>G3-1</v>
      </c>
      <c r="M596" s="12">
        <v>46302</v>
      </c>
      <c r="N596" s="5" t="str">
        <v/>
      </c>
      <c r="O596" s="5" t="str">
        <v/>
      </c>
      <c r="P596" s="5" t="str">
        <v/>
      </c>
      <c r="Q596" s="14" t="str">
        <v/>
      </c>
      <c r="R596" s="15">
        <v>340</v>
      </c>
    </row>
    <row r="597" spans="2:18" x14ac:dyDescent="0.35">
      <c r="B597" s="9">
        <v>1850</v>
      </c>
      <c r="C597" s="9" t="str">
        <v>가용재고</v>
      </c>
      <c r="D597" s="9" t="str">
        <v/>
      </c>
      <c r="E597" s="9" t="str">
        <v/>
      </c>
      <c r="F597" s="9" t="str">
        <v/>
      </c>
      <c r="G597" s="9" t="str">
        <v/>
      </c>
      <c r="H597" s="9" t="str">
        <v>RA-06M-0220</v>
      </c>
      <c r="I597" s="11" t="str">
        <v>RA-06M-0220]BLOCK CANINE TOOTH LASER B</v>
      </c>
      <c r="J597" s="9">
        <v>344</v>
      </c>
      <c r="K597" s="9" t="str">
        <v/>
      </c>
      <c r="L597" s="9" t="str">
        <v>H4-1</v>
      </c>
      <c r="M597" s="12">
        <v>46295</v>
      </c>
      <c r="N597" s="5" t="str">
        <v/>
      </c>
      <c r="O597" s="5" t="str">
        <v/>
      </c>
      <c r="P597" s="5" t="str">
        <v/>
      </c>
      <c r="Q597" s="14" t="str">
        <v/>
      </c>
      <c r="R597" s="15">
        <v>344</v>
      </c>
    </row>
    <row r="598" spans="2:18" x14ac:dyDescent="0.35">
      <c r="B598" s="9">
        <v>2037</v>
      </c>
      <c r="C598" s="9" t="str">
        <v>가용재고</v>
      </c>
      <c r="D598" s="9" t="str">
        <v/>
      </c>
      <c r="E598" s="9" t="str">
        <v>입고</v>
      </c>
      <c r="F598" s="9" t="str">
        <v>대영하네스</v>
      </c>
      <c r="G598" s="9" t="str">
        <v>유영국</v>
      </c>
      <c r="H598" s="9" t="str">
        <v>RA-3-5</v>
      </c>
      <c r="I598" s="11" t="str">
        <v>RA-3-5]INDICATOR</v>
      </c>
      <c r="J598" s="9">
        <v>350</v>
      </c>
      <c r="K598" s="9" t="str">
        <v/>
      </c>
      <c r="L598" s="9" t="str">
        <v>G1-1</v>
      </c>
      <c r="M598" s="12">
        <v>46296</v>
      </c>
      <c r="N598" s="5" t="str">
        <v/>
      </c>
      <c r="O598" s="5" t="str">
        <v/>
      </c>
      <c r="P598" s="5" t="str">
        <v/>
      </c>
      <c r="Q598" s="14" t="str">
        <v/>
      </c>
      <c r="R598" s="15">
        <v>350</v>
      </c>
    </row>
    <row r="599" spans="2:18" x14ac:dyDescent="0.35">
      <c r="B599" s="9">
        <v>1054</v>
      </c>
      <c r="C599" s="9" t="str">
        <v>가용재고</v>
      </c>
      <c r="D599" s="9" t="str">
        <v/>
      </c>
      <c r="E599" s="9" t="str">
        <v>기초</v>
      </c>
      <c r="F599" s="9" t="str">
        <v/>
      </c>
      <c r="G599" s="9" t="str">
        <v/>
      </c>
      <c r="H599" s="9" t="str">
        <v>RA-06V-3303</v>
      </c>
      <c r="I599" s="11" t="str">
        <v>RA-06V-3303]BRK HARNESS GUIDE (ST)</v>
      </c>
      <c r="J599" s="9">
        <v>355</v>
      </c>
      <c r="K599" s="9" t="str">
        <v/>
      </c>
      <c r="L599" s="9" t="str">
        <v>H4-6</v>
      </c>
      <c r="M599" s="12">
        <v>46276</v>
      </c>
      <c r="N599" s="5" t="str">
        <v/>
      </c>
      <c r="O599" s="5" t="str">
        <v/>
      </c>
      <c r="P599" s="5" t="str">
        <v/>
      </c>
      <c r="Q599" s="14" t="str">
        <v/>
      </c>
      <c r="R599" s="15">
        <v>355</v>
      </c>
    </row>
    <row r="600" spans="2:18" x14ac:dyDescent="0.35">
      <c r="B600" s="9">
        <v>2365</v>
      </c>
      <c r="C600" s="9" t="str">
        <v>가용재고</v>
      </c>
      <c r="D600" s="9" t="str">
        <v/>
      </c>
      <c r="E600" s="9" t="str">
        <v/>
      </c>
      <c r="F600" s="9" t="str">
        <v/>
      </c>
      <c r="G600" s="9" t="str">
        <v/>
      </c>
      <c r="H600" s="9" t="str">
        <v>RA-06M-2298</v>
      </c>
      <c r="I600" s="11" t="str">
        <v>RA-06M-2298]PLT MIRROR TUBE CAS L (A+)</v>
      </c>
      <c r="J600" s="9">
        <v>358</v>
      </c>
      <c r="K600" s="9" t="str">
        <v/>
      </c>
      <c r="L600" s="9" t="str">
        <v>L2-2</v>
      </c>
      <c r="M600" s="12">
        <v>46302</v>
      </c>
      <c r="N600" s="5" t="str">
        <v/>
      </c>
      <c r="O600" s="5" t="str">
        <v/>
      </c>
      <c r="P600" s="5" t="str">
        <v/>
      </c>
      <c r="Q600" s="14" t="str">
        <v/>
      </c>
      <c r="R600" s="15">
        <v>358</v>
      </c>
    </row>
    <row r="601" spans="2:18" x14ac:dyDescent="0.35">
      <c r="B601" s="9">
        <v>1057</v>
      </c>
      <c r="C601" s="9" t="str">
        <v>가용재고</v>
      </c>
      <c r="D601" s="9" t="str">
        <v/>
      </c>
      <c r="E601" s="9" t="str">
        <v>기초</v>
      </c>
      <c r="F601" s="9" t="str">
        <v/>
      </c>
      <c r="G601" s="9" t="str">
        <v/>
      </c>
      <c r="H601" s="9" t="str">
        <v>RA-01T-3832</v>
      </c>
      <c r="I601" s="11" t="str">
        <v>RA-01T-3832]MAIN Bas CAP (MG)</v>
      </c>
      <c r="J601" s="9">
        <v>360</v>
      </c>
      <c r="K601" s="9" t="str">
        <v/>
      </c>
      <c r="L601" s="9" t="str">
        <v>N3-1</v>
      </c>
      <c r="M601" s="12">
        <v>46276</v>
      </c>
      <c r="N601" s="5" t="str">
        <v/>
      </c>
      <c r="O601" s="5" t="str">
        <v/>
      </c>
      <c r="P601" s="5" t="str">
        <v/>
      </c>
      <c r="Q601" s="14" t="str">
        <v/>
      </c>
      <c r="R601" s="15">
        <v>360</v>
      </c>
    </row>
    <row r="602" spans="2:18" x14ac:dyDescent="0.35">
      <c r="B602" s="9">
        <v>1058</v>
      </c>
      <c r="C602" s="9" t="str">
        <v>가용재고</v>
      </c>
      <c r="D602" s="9" t="str">
        <v/>
      </c>
      <c r="E602" s="9" t="str">
        <v>기초</v>
      </c>
      <c r="F602" s="9" t="str">
        <v/>
      </c>
      <c r="G602" s="9" t="str">
        <v/>
      </c>
      <c r="H602" s="9" t="str">
        <v>RA-08T-3978</v>
      </c>
      <c r="I602" s="11" t="str">
        <v>RA-08T-3978]CAS CEPH _4HEAD (MG)</v>
      </c>
      <c r="J602" s="9">
        <v>360</v>
      </c>
      <c r="K602" s="9" t="str">
        <v/>
      </c>
      <c r="L602" s="9" t="str">
        <v>4F CASE</v>
      </c>
      <c r="M602" s="12">
        <v>46276</v>
      </c>
      <c r="N602" s="5" t="str">
        <v/>
      </c>
      <c r="O602" s="5" t="str">
        <v/>
      </c>
      <c r="P602" s="5" t="str">
        <v/>
      </c>
      <c r="Q602" s="14" t="str">
        <v/>
      </c>
      <c r="R602" s="15">
        <v>360</v>
      </c>
    </row>
    <row r="603" spans="2:18" x14ac:dyDescent="0.35">
      <c r="B603" s="9">
        <v>1304</v>
      </c>
      <c r="C603" s="9" t="str">
        <v>가용재고</v>
      </c>
      <c r="D603" s="9" t="str">
        <v/>
      </c>
      <c r="E603" s="9" t="str">
        <v/>
      </c>
      <c r="F603" s="9" t="str">
        <v/>
      </c>
      <c r="G603" s="9" t="str">
        <v/>
      </c>
      <c r="H603" s="9" t="str">
        <v>RF-01B-5034</v>
      </c>
      <c r="I603" s="11" t="str">
        <v>RF-01B-5034] POWER BUTTON BOARD</v>
      </c>
      <c r="J603" s="9">
        <v>363</v>
      </c>
      <c r="K603" s="9" t="str">
        <v/>
      </c>
      <c r="L603" s="9" t="str">
        <v>A4-2</v>
      </c>
      <c r="M603" s="12">
        <v>46287</v>
      </c>
      <c r="N603" s="5" t="str">
        <v/>
      </c>
      <c r="O603" s="5" t="str">
        <v/>
      </c>
      <c r="P603" s="5" t="str">
        <v/>
      </c>
      <c r="Q603" s="14" t="str">
        <v/>
      </c>
      <c r="R603" s="15">
        <v>363</v>
      </c>
    </row>
    <row r="604" spans="2:18" x14ac:dyDescent="0.35">
      <c r="B604" s="9">
        <v>740</v>
      </c>
      <c r="C604" s="9" t="str">
        <v>가용재고</v>
      </c>
      <c r="D604" s="9" t="str">
        <v/>
      </c>
      <c r="E604" s="9" t="str">
        <v/>
      </c>
      <c r="F604" s="9" t="str">
        <v/>
      </c>
      <c r="G604" s="9" t="str">
        <v/>
      </c>
      <c r="H604" s="9" t="str">
        <v>RA-03V-1341</v>
      </c>
      <c r="I604" s="11" t="str">
        <v>RA-03V-1341]BRK CLMN REAR CAS LWR</v>
      </c>
      <c r="J604" s="9">
        <v>369</v>
      </c>
      <c r="K604" s="9" t="str">
        <v/>
      </c>
      <c r="L604" s="9" t="str">
        <v>B1-2</v>
      </c>
      <c r="M604" s="12">
        <v>46275</v>
      </c>
      <c r="N604" s="5" t="str">
        <v/>
      </c>
      <c r="O604" s="5" t="str">
        <v/>
      </c>
      <c r="P604" s="5" t="str">
        <v/>
      </c>
      <c r="Q604" s="14" t="str">
        <v/>
      </c>
      <c r="R604" s="15">
        <v>369</v>
      </c>
    </row>
    <row r="605" spans="2:18" x14ac:dyDescent="0.35">
      <c r="B605" s="9">
        <v>2324</v>
      </c>
      <c r="C605" s="9" t="str">
        <v>가용재고</v>
      </c>
      <c r="D605" s="9" t="str">
        <v/>
      </c>
      <c r="E605" s="9" t="str">
        <v/>
      </c>
      <c r="F605" s="9" t="str">
        <v/>
      </c>
      <c r="G605" s="9" t="str">
        <v/>
      </c>
      <c r="H605" s="9" t="str">
        <v>RA-3-6</v>
      </c>
      <c r="I605" s="11" t="str">
        <v>RA-3-6]INDICATOR CONTROL</v>
      </c>
      <c r="J605" s="9">
        <v>380</v>
      </c>
      <c r="K605" s="9" t="str">
        <v/>
      </c>
      <c r="L605" s="9" t="str">
        <v>G1-1</v>
      </c>
      <c r="M605" s="12">
        <v>46302</v>
      </c>
      <c r="N605" s="5" t="str">
        <v/>
      </c>
      <c r="O605" s="5" t="str">
        <v/>
      </c>
      <c r="P605" s="5" t="str">
        <v/>
      </c>
      <c r="Q605" s="14" t="str">
        <v/>
      </c>
      <c r="R605" s="15">
        <v>380</v>
      </c>
    </row>
    <row r="606" spans="2:18" x14ac:dyDescent="0.35">
      <c r="B606" s="9">
        <v>2393</v>
      </c>
      <c r="C606" s="9" t="str">
        <v>가용재고</v>
      </c>
      <c r="D606" s="9" t="str">
        <v/>
      </c>
      <c r="E606" s="9" t="str">
        <v/>
      </c>
      <c r="F606" s="9" t="str">
        <v/>
      </c>
      <c r="G606" s="9" t="str">
        <v/>
      </c>
      <c r="H606" s="9" t="str">
        <v>RA-8-9</v>
      </c>
      <c r="I606" s="11" t="str">
        <v>RA-8-9]AC POWER CABLE(IEC)</v>
      </c>
      <c r="J606" s="9">
        <v>380</v>
      </c>
      <c r="K606" s="9" t="str">
        <v/>
      </c>
      <c r="L606" s="9" t="str">
        <v>G4</v>
      </c>
      <c r="M606" s="12">
        <v>46296</v>
      </c>
      <c r="N606" s="5" t="str">
        <v/>
      </c>
      <c r="O606" s="5" t="str">
        <v/>
      </c>
      <c r="P606" s="5" t="str">
        <v/>
      </c>
      <c r="Q606" s="14" t="str">
        <v/>
      </c>
      <c r="R606" s="15">
        <v>380</v>
      </c>
    </row>
    <row r="607" spans="2:18" x14ac:dyDescent="0.35">
      <c r="B607" s="9">
        <v>2452</v>
      </c>
      <c r="C607" s="9" t="str">
        <v>가용재고</v>
      </c>
      <c r="D607" s="9" t="str">
        <v/>
      </c>
      <c r="E607" s="9" t="str">
        <v/>
      </c>
      <c r="F607" s="9" t="str">
        <v/>
      </c>
      <c r="G607" s="9" t="str">
        <v/>
      </c>
      <c r="H607" s="9" t="str">
        <v>RA-5-5</v>
      </c>
      <c r="I607" s="11" t="str">
        <v>RA-5-5]EARTH ROT TO PFC</v>
      </c>
      <c r="J607" s="9">
        <v>386</v>
      </c>
      <c r="K607" s="9" t="str">
        <v/>
      </c>
      <c r="L607" s="9" t="str">
        <v>G3-2</v>
      </c>
      <c r="M607" s="12">
        <v>46301</v>
      </c>
      <c r="N607" s="5" t="str">
        <v/>
      </c>
      <c r="O607" s="5" t="str">
        <v/>
      </c>
      <c r="P607" s="5" t="str">
        <v/>
      </c>
      <c r="Q607" s="14" t="str">
        <v/>
      </c>
      <c r="R607" s="15">
        <v>386</v>
      </c>
    </row>
    <row r="608" spans="2:18" x14ac:dyDescent="0.35">
      <c r="B608" s="9">
        <v>1642</v>
      </c>
      <c r="C608" s="9" t="str">
        <v>가용재고</v>
      </c>
      <c r="D608" s="9" t="str">
        <v/>
      </c>
      <c r="E608" s="9" t="str">
        <v/>
      </c>
      <c r="F608" s="9" t="str">
        <v/>
      </c>
      <c r="G608" s="9" t="str">
        <v/>
      </c>
      <c r="H608" s="9" t="str">
        <v>RA-11-33</v>
      </c>
      <c r="I608" s="11" t="str">
        <v>RA-11-33]DET SIGNAL(V)</v>
      </c>
      <c r="J608" s="9">
        <v>387</v>
      </c>
      <c r="K608" s="9" t="str">
        <v/>
      </c>
      <c r="L608" s="9" t="str">
        <v>G3-6</v>
      </c>
      <c r="M608" s="12">
        <v>46280</v>
      </c>
      <c r="N608" s="5" t="str">
        <v/>
      </c>
      <c r="O608" s="5" t="str">
        <v/>
      </c>
      <c r="P608" s="5" t="str">
        <v/>
      </c>
      <c r="Q608" s="14" t="str">
        <v/>
      </c>
      <c r="R608" s="15">
        <v>387</v>
      </c>
    </row>
    <row r="609" spans="2:18" x14ac:dyDescent="0.35">
      <c r="B609" s="9">
        <v>2138</v>
      </c>
      <c r="C609" s="9" t="str">
        <v>가용재고</v>
      </c>
      <c r="D609" s="9" t="str">
        <v/>
      </c>
      <c r="E609" s="9" t="str">
        <v/>
      </c>
      <c r="F609" s="9" t="str">
        <v/>
      </c>
      <c r="G609" s="9" t="str">
        <v/>
      </c>
      <c r="H609" s="9" t="str">
        <v>RA-02M-2007</v>
      </c>
      <c r="I609" s="11" t="str">
        <v>RA-02M-2007]BLK MOVING UPPER (A+)</v>
      </c>
      <c r="J609" s="9">
        <v>390</v>
      </c>
      <c r="K609" s="9" t="str">
        <v/>
      </c>
      <c r="L609" s="9" t="str">
        <v>O3</v>
      </c>
      <c r="M609" s="12">
        <v>46293</v>
      </c>
      <c r="N609" s="5" t="str">
        <v/>
      </c>
      <c r="O609" s="5" t="str">
        <v/>
      </c>
      <c r="P609" s="5" t="str">
        <v/>
      </c>
      <c r="Q609" s="14" t="str">
        <v/>
      </c>
      <c r="R609" s="15">
        <v>390</v>
      </c>
    </row>
    <row r="610" spans="2:18" x14ac:dyDescent="0.35">
      <c r="B610" s="9">
        <v>2152</v>
      </c>
      <c r="C610" s="9" t="str">
        <v>가용재고</v>
      </c>
      <c r="D610" s="9" t="str">
        <v/>
      </c>
      <c r="E610" s="9" t="str">
        <v/>
      </c>
      <c r="F610" s="9" t="str">
        <v/>
      </c>
      <c r="G610" s="9" t="str">
        <v/>
      </c>
      <c r="H610" s="9" t="str">
        <v>RA-02V-2016</v>
      </c>
      <c r="I610" s="11" t="str">
        <v>RA-02V-2016]SLIDER ROT WASHER (A+)</v>
      </c>
      <c r="J610" s="9">
        <v>392</v>
      </c>
      <c r="K610" s="9" t="str">
        <v/>
      </c>
      <c r="L610" s="9" t="str">
        <v>C3-3</v>
      </c>
      <c r="M610" s="12">
        <v>46293</v>
      </c>
      <c r="N610" s="5" t="str">
        <v/>
      </c>
      <c r="O610" s="5" t="str">
        <v/>
      </c>
      <c r="P610" s="5" t="str">
        <v/>
      </c>
      <c r="Q610" s="14" t="str">
        <v/>
      </c>
      <c r="R610" s="15">
        <v>392</v>
      </c>
    </row>
    <row r="611" spans="2:18" x14ac:dyDescent="0.35">
      <c r="B611" s="9">
        <v>2156</v>
      </c>
      <c r="C611" s="9" t="str">
        <v>가용재고</v>
      </c>
      <c r="D611" s="9" t="str">
        <v/>
      </c>
      <c r="E611" s="9" t="str">
        <v/>
      </c>
      <c r="F611" s="9" t="str">
        <v/>
      </c>
      <c r="G611" s="9" t="str">
        <v/>
      </c>
      <c r="H611" s="9" t="str">
        <v>RA-02V-2028</v>
      </c>
      <c r="I611" s="11" t="str">
        <v>RA-02V-2028]SUP ROT PHOt SNSR (A+)</v>
      </c>
      <c r="J611" s="9">
        <v>393</v>
      </c>
      <c r="K611" s="9" t="str">
        <v/>
      </c>
      <c r="L611" s="9" t="str">
        <v>C3-3</v>
      </c>
      <c r="M611" s="12">
        <v>46293</v>
      </c>
      <c r="N611" s="5" t="str">
        <v/>
      </c>
      <c r="O611" s="5" t="str">
        <v/>
      </c>
      <c r="P611" s="5" t="str">
        <v/>
      </c>
      <c r="Q611" s="14" t="str">
        <v/>
      </c>
      <c r="R611" s="15">
        <v>393</v>
      </c>
    </row>
    <row r="612" spans="2:18" x14ac:dyDescent="0.35">
      <c r="B612" s="9">
        <v>2256</v>
      </c>
      <c r="C612" s="9" t="str">
        <v>가용재고</v>
      </c>
      <c r="D612" s="9" t="str">
        <v/>
      </c>
      <c r="E612" s="9" t="str">
        <v/>
      </c>
      <c r="F612" s="9" t="str">
        <v/>
      </c>
      <c r="G612" s="9" t="str">
        <v/>
      </c>
      <c r="H612" s="9" t="str">
        <v>RA-02A-2008</v>
      </c>
      <c r="I612" s="11" t="str">
        <v>RA-02A-2008]ASM B-Ring ROT Mdl (A+)</v>
      </c>
      <c r="J612" s="9">
        <v>396</v>
      </c>
      <c r="K612" s="9" t="str">
        <v/>
      </c>
      <c r="L612" s="9" t="str">
        <v>O3</v>
      </c>
      <c r="M612" s="12">
        <v>46303</v>
      </c>
      <c r="N612" s="5" t="str">
        <v/>
      </c>
      <c r="O612" s="5" t="str">
        <v/>
      </c>
      <c r="P612" s="5" t="str">
        <v/>
      </c>
      <c r="Q612" s="14" t="str">
        <v/>
      </c>
      <c r="R612" s="15">
        <v>396</v>
      </c>
    </row>
    <row r="613" spans="2:18" x14ac:dyDescent="0.35">
      <c r="B613" s="9">
        <v>2166</v>
      </c>
      <c r="C613" s="9" t="str">
        <v>가용재고</v>
      </c>
      <c r="D613" s="9" t="str">
        <v/>
      </c>
      <c r="E613" s="9" t="str">
        <v/>
      </c>
      <c r="F613" s="9" t="str">
        <v/>
      </c>
      <c r="G613" s="9" t="str">
        <v/>
      </c>
      <c r="H613" s="9" t="str">
        <v>RA-11-12</v>
      </c>
      <c r="I613" s="11" t="str">
        <v>RA-11-12_3]PRIME MOT LINEAR Front-Rear</v>
      </c>
      <c r="J613" s="9">
        <v>399</v>
      </c>
      <c r="K613" s="9" t="str">
        <v/>
      </c>
      <c r="L613" s="9" t="str">
        <v>G3-5</v>
      </c>
      <c r="M613" s="12">
        <v>46293</v>
      </c>
      <c r="N613" s="5" t="str">
        <v/>
      </c>
      <c r="O613" s="5" t="str">
        <v/>
      </c>
      <c r="P613" s="5" t="str">
        <v/>
      </c>
      <c r="Q613" s="14" t="str">
        <v/>
      </c>
      <c r="R613" s="15">
        <v>399</v>
      </c>
    </row>
    <row r="614" spans="2:18" x14ac:dyDescent="0.35">
      <c r="B614" s="9">
        <v>2158</v>
      </c>
      <c r="C614" s="9" t="str">
        <v>가용재고</v>
      </c>
      <c r="D614" s="9" t="str">
        <v/>
      </c>
      <c r="E614" s="9" t="str">
        <v/>
      </c>
      <c r="F614" s="9" t="str">
        <v/>
      </c>
      <c r="G614" s="9" t="str">
        <v/>
      </c>
      <c r="H614" s="9" t="str">
        <v>RA-02V-2043</v>
      </c>
      <c r="I614" s="11" t="str">
        <v>RA-02V-2043]PLT PHOt SNSR X-AXIS (A+)</v>
      </c>
      <c r="J614" s="9">
        <v>403</v>
      </c>
      <c r="K614" s="9" t="str">
        <v/>
      </c>
      <c r="L614" s="9" t="str">
        <v>C3-4</v>
      </c>
      <c r="M614" s="12">
        <v>46293</v>
      </c>
      <c r="N614" s="5" t="str">
        <v/>
      </c>
      <c r="O614" s="5" t="str">
        <v/>
      </c>
      <c r="P614" s="5" t="str">
        <v/>
      </c>
      <c r="Q614" s="14" t="str">
        <v/>
      </c>
      <c r="R614" s="15">
        <v>403</v>
      </c>
    </row>
    <row r="615" spans="2:18" x14ac:dyDescent="0.35">
      <c r="B615" s="9">
        <v>2044</v>
      </c>
      <c r="C615" s="9" t="str">
        <v>가용재고</v>
      </c>
      <c r="D615" s="9" t="str">
        <v/>
      </c>
      <c r="E615" s="9" t="str">
        <v>입고</v>
      </c>
      <c r="F615" s="9" t="str">
        <v>대영하네스</v>
      </c>
      <c r="G615" s="9" t="str">
        <v>유영국</v>
      </c>
      <c r="H615" s="9" t="str">
        <v>RA-1-1</v>
      </c>
      <c r="I615" s="11" t="str">
        <v>RA-1-1_2]AC POWER FUSE TO NF2</v>
      </c>
      <c r="J615" s="9">
        <v>407</v>
      </c>
      <c r="K615" s="9" t="str">
        <v/>
      </c>
      <c r="L615" s="9" t="str">
        <v>G3-1</v>
      </c>
      <c r="M615" s="12">
        <v>46296</v>
      </c>
      <c r="N615" s="5" t="str">
        <v/>
      </c>
      <c r="O615" s="5" t="str">
        <v/>
      </c>
      <c r="P615" s="5" t="str">
        <v/>
      </c>
      <c r="Q615" s="14" t="str">
        <v/>
      </c>
      <c r="R615" s="15">
        <v>407</v>
      </c>
    </row>
    <row r="616" spans="2:18" x14ac:dyDescent="0.35">
      <c r="B616" s="9">
        <v>2372</v>
      </c>
      <c r="C616" s="9" t="str">
        <v>가용재고</v>
      </c>
      <c r="D616" s="9" t="str">
        <v/>
      </c>
      <c r="E616" s="9" t="str">
        <v/>
      </c>
      <c r="F616" s="9" t="str">
        <v/>
      </c>
      <c r="G616" s="9" t="str">
        <v/>
      </c>
      <c r="H616" s="9" t="str">
        <v>RA-09T-1184</v>
      </c>
      <c r="I616" s="11" t="str">
        <v>RA-09T-1184]CAS CHINREST</v>
      </c>
      <c r="J616" s="9">
        <v>409</v>
      </c>
      <c r="K616" s="9" t="str">
        <v/>
      </c>
      <c r="L616" s="9" t="str">
        <v>S</v>
      </c>
      <c r="M616" s="12">
        <v>46302</v>
      </c>
      <c r="N616" s="5" t="str">
        <v/>
      </c>
      <c r="O616" s="5" t="str">
        <v/>
      </c>
      <c r="P616" s="5" t="str">
        <v/>
      </c>
      <c r="Q616" s="14" t="str">
        <v/>
      </c>
      <c r="R616" s="15">
        <v>409</v>
      </c>
    </row>
    <row r="617" spans="2:18" x14ac:dyDescent="0.35">
      <c r="B617" s="9">
        <v>2161</v>
      </c>
      <c r="C617" s="9" t="str">
        <v>가용재고</v>
      </c>
      <c r="D617" s="9" t="str">
        <v/>
      </c>
      <c r="E617" s="9" t="str">
        <v/>
      </c>
      <c r="F617" s="9" t="str">
        <v/>
      </c>
      <c r="G617" s="9" t="str">
        <v/>
      </c>
      <c r="H617" s="9" t="str">
        <v>RA-02V-2281</v>
      </c>
      <c r="I617" s="11" t="str">
        <v>RA-02V-2281]BRK PHOt SNSR Y (A+)</v>
      </c>
      <c r="J617" s="9">
        <v>410</v>
      </c>
      <c r="K617" s="9" t="str">
        <v/>
      </c>
      <c r="L617" s="9" t="str">
        <v>C3-4</v>
      </c>
      <c r="M617" s="12">
        <v>46293</v>
      </c>
      <c r="N617" s="5" t="str">
        <v/>
      </c>
      <c r="O617" s="5" t="str">
        <v/>
      </c>
      <c r="P617" s="5" t="str">
        <v/>
      </c>
      <c r="Q617" s="14" t="str">
        <v/>
      </c>
      <c r="R617" s="15">
        <v>410</v>
      </c>
    </row>
    <row r="618" spans="2:18" x14ac:dyDescent="0.35">
      <c r="B618" s="9">
        <v>2368</v>
      </c>
      <c r="C618" s="9" t="str">
        <v>가용재고</v>
      </c>
      <c r="D618" s="9" t="str">
        <v/>
      </c>
      <c r="E618" s="9" t="str">
        <v/>
      </c>
      <c r="F618" s="9" t="str">
        <v/>
      </c>
      <c r="G618" s="9" t="str">
        <v/>
      </c>
      <c r="H618" s="9" t="str">
        <v>RA-06V-0249</v>
      </c>
      <c r="I618" s="11" t="str">
        <v>RA-06V-0249]HLDR CAS TUBE TNK REAR</v>
      </c>
      <c r="J618" s="9">
        <v>410</v>
      </c>
      <c r="K618" s="9" t="str">
        <v/>
      </c>
      <c r="L618" s="9" t="str">
        <v>W</v>
      </c>
      <c r="M618" s="12">
        <v>46302</v>
      </c>
      <c r="N618" s="5" t="str">
        <v/>
      </c>
      <c r="O618" s="5" t="str">
        <v/>
      </c>
      <c r="P618" s="5" t="str">
        <v/>
      </c>
      <c r="Q618" s="14" t="str">
        <v/>
      </c>
      <c r="R618" s="15">
        <v>410</v>
      </c>
    </row>
    <row r="619" spans="2:18" x14ac:dyDescent="0.35">
      <c r="B619" s="9">
        <v>2141</v>
      </c>
      <c r="C619" s="9" t="str">
        <v>가용재고</v>
      </c>
      <c r="D619" s="9" t="str">
        <v/>
      </c>
      <c r="E619" s="9" t="str">
        <v/>
      </c>
      <c r="F619" s="9" t="str">
        <v/>
      </c>
      <c r="G619" s="9" t="str">
        <v/>
      </c>
      <c r="H619" s="9" t="str">
        <v>RA-02M-2029</v>
      </c>
      <c r="I619" s="11" t="str">
        <v>RA-02M-2029]STOPPER ROT LIMIT (A+)</v>
      </c>
      <c r="J619" s="9">
        <v>412</v>
      </c>
      <c r="K619" s="9" t="str">
        <v/>
      </c>
      <c r="L619" s="9" t="str">
        <v>C3-2</v>
      </c>
      <c r="M619" s="12">
        <v>46293</v>
      </c>
      <c r="N619" s="5" t="str">
        <v/>
      </c>
      <c r="O619" s="5" t="str">
        <v/>
      </c>
      <c r="P619" s="5" t="str">
        <v/>
      </c>
      <c r="Q619" s="14" t="str">
        <v/>
      </c>
      <c r="R619" s="15">
        <v>412</v>
      </c>
    </row>
    <row r="620" spans="2:18" x14ac:dyDescent="0.35">
      <c r="B620" s="9">
        <v>2160</v>
      </c>
      <c r="C620" s="9" t="str">
        <v>가용재고</v>
      </c>
      <c r="D620" s="9" t="str">
        <v/>
      </c>
      <c r="E620" s="9" t="str">
        <v/>
      </c>
      <c r="F620" s="9" t="str">
        <v/>
      </c>
      <c r="G620" s="9" t="str">
        <v/>
      </c>
      <c r="H620" s="9" t="str">
        <v>RA-02V-2056</v>
      </c>
      <c r="I620" s="11" t="str">
        <v>RA-02V-2056]BRK CABLE PROTOR (A+)</v>
      </c>
      <c r="J620" s="9">
        <v>413</v>
      </c>
      <c r="K620" s="9" t="str">
        <v/>
      </c>
      <c r="L620" s="9" t="str">
        <v>C2-3</v>
      </c>
      <c r="M620" s="12">
        <v>46293</v>
      </c>
      <c r="N620" s="5" t="str">
        <v/>
      </c>
      <c r="O620" s="5" t="str">
        <v/>
      </c>
      <c r="P620" s="5" t="str">
        <v/>
      </c>
      <c r="Q620" s="14" t="str">
        <v/>
      </c>
      <c r="R620" s="15">
        <v>413</v>
      </c>
    </row>
    <row r="621" spans="2:18" x14ac:dyDescent="0.35">
      <c r="B621" s="9">
        <v>1065</v>
      </c>
      <c r="C621" s="9" t="str">
        <v>가용재고</v>
      </c>
      <c r="D621" s="9" t="str">
        <v/>
      </c>
      <c r="E621" s="9" t="str">
        <v>기초</v>
      </c>
      <c r="F621" s="9" t="str">
        <v/>
      </c>
      <c r="G621" s="9" t="str">
        <v/>
      </c>
      <c r="H621" s="9" t="str">
        <v>RA-07V-3953</v>
      </c>
      <c r="I621" s="11" t="str">
        <v>RA-07V-3953]PLT DET SNSR (MG)</v>
      </c>
      <c r="J621" s="9">
        <v>415</v>
      </c>
      <c r="K621" s="9" t="str">
        <v/>
      </c>
      <c r="L621" s="9" t="str">
        <v>N2-3</v>
      </c>
      <c r="M621" s="12">
        <v>46276</v>
      </c>
      <c r="N621" s="5" t="str">
        <v/>
      </c>
      <c r="O621" s="5" t="str">
        <v/>
      </c>
      <c r="P621" s="5" t="str">
        <v/>
      </c>
      <c r="Q621" s="14" t="str">
        <v/>
      </c>
      <c r="R621" s="15">
        <v>415</v>
      </c>
    </row>
    <row r="622" spans="2:18" x14ac:dyDescent="0.35">
      <c r="B622" s="9">
        <v>2403</v>
      </c>
      <c r="C622" s="9" t="str">
        <v>가용재고</v>
      </c>
      <c r="D622" s="9" t="str">
        <v/>
      </c>
      <c r="E622" s="9" t="str">
        <v/>
      </c>
      <c r="F622" s="9" t="str">
        <v/>
      </c>
      <c r="G622" s="9" t="str">
        <v/>
      </c>
      <c r="H622" s="9" t="str">
        <v>RA-07S-5019</v>
      </c>
      <c r="I622" s="11" t="str">
        <v>RA-07S-5019]STEP MOT-KH42KM2-901</v>
      </c>
      <c r="J622" s="9">
        <v>419</v>
      </c>
      <c r="K622" s="9" t="str">
        <v/>
      </c>
      <c r="L622" s="9" t="str">
        <v>Q</v>
      </c>
      <c r="M622" s="12">
        <v>46301</v>
      </c>
      <c r="N622" s="5" t="str">
        <v/>
      </c>
      <c r="O622" s="5" t="str">
        <v/>
      </c>
      <c r="P622" s="5" t="str">
        <v/>
      </c>
      <c r="Q622" s="14" t="str">
        <v/>
      </c>
      <c r="R622" s="15">
        <v>419</v>
      </c>
    </row>
    <row r="623" spans="2:18" x14ac:dyDescent="0.35">
      <c r="B623" s="9">
        <v>2164</v>
      </c>
      <c r="C623" s="9" t="str">
        <v>가용재고</v>
      </c>
      <c r="D623" s="9" t="str">
        <v/>
      </c>
      <c r="E623" s="9" t="str">
        <v/>
      </c>
      <c r="F623" s="9" t="str">
        <v/>
      </c>
      <c r="G623" s="9" t="str">
        <v/>
      </c>
      <c r="H623" s="9" t="str">
        <v>RA-02V-2286</v>
      </c>
      <c r="I623" s="11" t="str">
        <v>RA-02V-2286]BRK ROTATION FIX AXIS (A+)</v>
      </c>
      <c r="J623" s="9">
        <v>434</v>
      </c>
      <c r="K623" s="9" t="str">
        <v/>
      </c>
      <c r="L623" s="9" t="str">
        <v>L1-3</v>
      </c>
      <c r="M623" s="12">
        <v>46293</v>
      </c>
      <c r="N623" s="5" t="str">
        <v/>
      </c>
      <c r="O623" s="5" t="str">
        <v/>
      </c>
      <c r="P623" s="5" t="str">
        <v/>
      </c>
      <c r="Q623" s="14" t="str">
        <v/>
      </c>
      <c r="R623" s="15">
        <v>434</v>
      </c>
    </row>
    <row r="624" spans="2:18" x14ac:dyDescent="0.35">
      <c r="B624" s="9">
        <v>2057</v>
      </c>
      <c r="C624" s="9" t="str">
        <v>가용재고</v>
      </c>
      <c r="D624" s="9" t="str">
        <v/>
      </c>
      <c r="E624" s="9" t="str">
        <v>입고</v>
      </c>
      <c r="F624" s="9" t="str">
        <v>플랜피뎀</v>
      </c>
      <c r="G624" s="9" t="str">
        <v>유영국</v>
      </c>
      <c r="H624" s="9" t="str">
        <v>RA-03S-5013</v>
      </c>
      <c r="I624" s="11" t="str">
        <v>RA-03S-5013]Mgnet CONTECTOR-LP1K0910BD</v>
      </c>
      <c r="J624" s="9">
        <v>450</v>
      </c>
      <c r="K624" s="9" t="str">
        <v/>
      </c>
      <c r="L624" s="9" t="str">
        <v>A13-4</v>
      </c>
      <c r="M624" s="12">
        <v>46297</v>
      </c>
      <c r="N624" s="5" t="str">
        <v/>
      </c>
      <c r="O624" s="5" t="str">
        <v/>
      </c>
      <c r="P624" s="5" t="str">
        <v/>
      </c>
      <c r="Q624" s="14" t="str">
        <v/>
      </c>
      <c r="R624" s="15">
        <v>450</v>
      </c>
    </row>
    <row r="625" spans="2:18" x14ac:dyDescent="0.35">
      <c r="B625" s="9">
        <v>2339</v>
      </c>
      <c r="C625" s="9" t="str">
        <v>가용재고</v>
      </c>
      <c r="D625" s="9" t="str">
        <v/>
      </c>
      <c r="E625" s="9" t="str">
        <v/>
      </c>
      <c r="F625" s="9" t="str">
        <v/>
      </c>
      <c r="G625" s="9" t="str">
        <v/>
      </c>
      <c r="H625" s="9" t="str">
        <v>RA-04T-2524</v>
      </c>
      <c r="I625" s="11" t="str">
        <v>RA-04T-2524]CAS CHINREST UPPER (A+)</v>
      </c>
      <c r="J625" s="9">
        <v>454</v>
      </c>
      <c r="K625" s="9" t="str">
        <v/>
      </c>
      <c r="L625" s="9" t="str">
        <v>S</v>
      </c>
      <c r="M625" s="12">
        <v>46302</v>
      </c>
      <c r="N625" s="5" t="str">
        <v/>
      </c>
      <c r="O625" s="5" t="str">
        <v/>
      </c>
      <c r="P625" s="5" t="str">
        <v/>
      </c>
      <c r="Q625" s="14" t="str">
        <v/>
      </c>
      <c r="R625" s="15">
        <v>454</v>
      </c>
    </row>
    <row r="626" spans="2:18" x14ac:dyDescent="0.35">
      <c r="B626" s="9">
        <v>2154</v>
      </c>
      <c r="C626" s="9" t="str">
        <v>가용재고</v>
      </c>
      <c r="D626" s="9" t="str">
        <v/>
      </c>
      <c r="E626" s="9" t="str">
        <v/>
      </c>
      <c r="F626" s="9" t="str">
        <v/>
      </c>
      <c r="G626" s="9" t="str">
        <v/>
      </c>
      <c r="H626" s="9" t="str">
        <v>RA-02V-2018</v>
      </c>
      <c r="I626" s="11" t="str">
        <v>RA-02V-2018]PLT ROT POSITION LWR (A+)</v>
      </c>
      <c r="J626" s="9">
        <v>456</v>
      </c>
      <c r="K626" s="9" t="str">
        <v/>
      </c>
      <c r="L626" s="9" t="str">
        <v>C3-3</v>
      </c>
      <c r="M626" s="12">
        <v>46293</v>
      </c>
      <c r="N626" s="5" t="str">
        <v/>
      </c>
      <c r="O626" s="5" t="str">
        <v/>
      </c>
      <c r="P626" s="5" t="str">
        <v/>
      </c>
      <c r="Q626" s="14" t="str">
        <v/>
      </c>
      <c r="R626" s="15">
        <v>456</v>
      </c>
    </row>
    <row r="627" spans="2:18" x14ac:dyDescent="0.35">
      <c r="B627" s="9">
        <v>2163</v>
      </c>
      <c r="C627" s="9" t="str">
        <v>가용재고</v>
      </c>
      <c r="D627" s="9" t="str">
        <v/>
      </c>
      <c r="E627" s="9" t="str">
        <v/>
      </c>
      <c r="F627" s="9" t="str">
        <v/>
      </c>
      <c r="G627" s="9" t="str">
        <v/>
      </c>
      <c r="H627" s="9" t="str">
        <v>RA-02V-2284</v>
      </c>
      <c r="I627" s="11" t="str">
        <v>RA-02V-2284]BRK CABLE GUIDE VERT (A+)</v>
      </c>
      <c r="J627" s="9">
        <v>457</v>
      </c>
      <c r="K627" s="9" t="str">
        <v/>
      </c>
      <c r="L627" s="9" t="str">
        <v>D2-2</v>
      </c>
      <c r="M627" s="12">
        <v>46293</v>
      </c>
      <c r="N627" s="5" t="str">
        <v/>
      </c>
      <c r="O627" s="5" t="str">
        <v/>
      </c>
      <c r="P627" s="5" t="str">
        <v/>
      </c>
      <c r="Q627" s="14" t="str">
        <v/>
      </c>
      <c r="R627" s="15">
        <v>457</v>
      </c>
    </row>
    <row r="628" spans="2:18" x14ac:dyDescent="0.35">
      <c r="B628" s="9">
        <v>2139</v>
      </c>
      <c r="C628" s="9" t="str">
        <v>가용재고</v>
      </c>
      <c r="D628" s="9" t="str">
        <v/>
      </c>
      <c r="E628" s="9" t="str">
        <v/>
      </c>
      <c r="F628" s="9" t="str">
        <v/>
      </c>
      <c r="G628" s="9" t="str">
        <v/>
      </c>
      <c r="H628" s="9" t="str">
        <v>RA-02M-2015</v>
      </c>
      <c r="I628" s="11" t="str">
        <v>RA-02M-2015]PIN PULLEY STOPPER (A+)</v>
      </c>
      <c r="J628" s="9">
        <v>459</v>
      </c>
      <c r="K628" s="9" t="str">
        <v/>
      </c>
      <c r="L628" s="9" t="str">
        <v>C3-1</v>
      </c>
      <c r="M628" s="12">
        <v>46293</v>
      </c>
      <c r="N628" s="5" t="str">
        <v/>
      </c>
      <c r="O628" s="5" t="str">
        <v/>
      </c>
      <c r="P628" s="5" t="str">
        <v/>
      </c>
      <c r="Q628" s="14" t="str">
        <v/>
      </c>
      <c r="R628" s="15">
        <v>459</v>
      </c>
    </row>
    <row r="629" spans="2:18" x14ac:dyDescent="0.35">
      <c r="B629" s="9">
        <v>2153</v>
      </c>
      <c r="C629" s="9" t="str">
        <v>가용재고</v>
      </c>
      <c r="D629" s="9" t="str">
        <v/>
      </c>
      <c r="E629" s="9" t="str">
        <v/>
      </c>
      <c r="F629" s="9" t="str">
        <v/>
      </c>
      <c r="G629" s="9" t="str">
        <v/>
      </c>
      <c r="H629" s="9" t="str">
        <v>RA-02V-2017</v>
      </c>
      <c r="I629" s="11" t="str">
        <v>RA-02V-2017]PLT ROT STOPPER (A+)</v>
      </c>
      <c r="J629" s="9">
        <v>474</v>
      </c>
      <c r="K629" s="9" t="str">
        <v/>
      </c>
      <c r="L629" s="9" t="str">
        <v>D2-2</v>
      </c>
      <c r="M629" s="12">
        <v>46293</v>
      </c>
      <c r="N629" s="5" t="str">
        <v/>
      </c>
      <c r="O629" s="5" t="str">
        <v/>
      </c>
      <c r="P629" s="5" t="str">
        <v/>
      </c>
      <c r="Q629" s="14" t="str">
        <v/>
      </c>
      <c r="R629" s="15">
        <v>474</v>
      </c>
    </row>
    <row r="630" spans="2:18" x14ac:dyDescent="0.35">
      <c r="B630" s="9">
        <v>1074</v>
      </c>
      <c r="C630" s="9" t="str">
        <v>가용재고</v>
      </c>
      <c r="D630" s="9" t="str">
        <v/>
      </c>
      <c r="E630" s="9" t="str">
        <v>기초</v>
      </c>
      <c r="F630" s="9" t="str">
        <v/>
      </c>
      <c r="G630" s="9" t="str">
        <v/>
      </c>
      <c r="H630" s="9" t="str">
        <v>RA-04V-1934</v>
      </c>
      <c r="I630" s="11" t="str">
        <v>RA-04V-1934]BRK BITE BLK GUIDE (A+)</v>
      </c>
      <c r="J630" s="9">
        <v>475</v>
      </c>
      <c r="K630" s="9" t="str">
        <v/>
      </c>
      <c r="L630" s="9" t="str">
        <v>B1-7</v>
      </c>
      <c r="M630" s="12">
        <v>46276</v>
      </c>
      <c r="N630" s="5" t="str">
        <v/>
      </c>
      <c r="O630" s="5" t="str">
        <v/>
      </c>
      <c r="P630" s="5" t="str">
        <v/>
      </c>
      <c r="Q630" s="14" t="str">
        <v/>
      </c>
      <c r="R630" s="15">
        <v>475</v>
      </c>
    </row>
    <row r="631" spans="2:18" x14ac:dyDescent="0.35">
      <c r="B631" s="9">
        <v>1079</v>
      </c>
      <c r="C631" s="9" t="str">
        <v>가용재고</v>
      </c>
      <c r="D631" s="9" t="str">
        <v/>
      </c>
      <c r="E631" s="9" t="str">
        <v>기초</v>
      </c>
      <c r="F631" s="9" t="str">
        <v/>
      </c>
      <c r="G631" s="9" t="str">
        <v/>
      </c>
      <c r="H631" s="9" t="str">
        <v>RA-07V-3952</v>
      </c>
      <c r="I631" s="11" t="str">
        <v>RA-07V-3952]PLT ADJUST DET (MG)</v>
      </c>
      <c r="J631" s="9">
        <v>486</v>
      </c>
      <c r="K631" s="9" t="str">
        <v/>
      </c>
      <c r="L631" s="9" t="str">
        <v>N1-2</v>
      </c>
      <c r="M631" s="12">
        <v>46276</v>
      </c>
      <c r="N631" s="5" t="str">
        <v/>
      </c>
      <c r="O631" s="5" t="str">
        <v/>
      </c>
      <c r="P631" s="5" t="str">
        <v/>
      </c>
      <c r="Q631" s="14" t="str">
        <v/>
      </c>
      <c r="R631" s="15">
        <v>486</v>
      </c>
    </row>
    <row r="632" spans="2:18" x14ac:dyDescent="0.35">
      <c r="B632" s="9">
        <v>2539</v>
      </c>
      <c r="C632" s="9" t="str">
        <v>가용재고</v>
      </c>
      <c r="D632" s="9" t="str">
        <v/>
      </c>
      <c r="E632" s="9" t="str">
        <v/>
      </c>
      <c r="F632" s="9" t="str">
        <v/>
      </c>
      <c r="G632" s="9" t="str">
        <v/>
      </c>
      <c r="H632" s="9" t="str">
        <v>RA-1-2</v>
      </c>
      <c r="I632" s="11" t="str">
        <v>RA-1-2_2]AC POWER FUSE TO NF1</v>
      </c>
      <c r="J632" s="9">
        <v>490</v>
      </c>
      <c r="K632" s="9" t="str">
        <v/>
      </c>
      <c r="L632" s="9" t="str">
        <v>G3-1</v>
      </c>
      <c r="M632" s="12">
        <v>46308</v>
      </c>
      <c r="N632" s="5" t="str">
        <v/>
      </c>
      <c r="O632" s="5" t="str">
        <v/>
      </c>
      <c r="P632" s="5" t="str">
        <v/>
      </c>
      <c r="Q632" s="14" t="str">
        <v/>
      </c>
      <c r="R632" s="15">
        <v>490</v>
      </c>
    </row>
    <row r="633" spans="2:18" x14ac:dyDescent="0.35">
      <c r="B633" s="9">
        <v>1357</v>
      </c>
      <c r="C633" s="9" t="str">
        <v>가용재고</v>
      </c>
      <c r="D633" s="9" t="str">
        <v/>
      </c>
      <c r="E633" s="9" t="str">
        <v>입고</v>
      </c>
      <c r="F633" s="9" t="str">
        <v>진광</v>
      </c>
      <c r="G633" s="9" t="str">
        <v>장동은</v>
      </c>
      <c r="H633" s="9" t="str">
        <v>RE-04T-0452</v>
      </c>
      <c r="I633" s="11" t="str">
        <v>RE-04T-0452]CAP HANDLE A</v>
      </c>
      <c r="J633" s="9">
        <v>500</v>
      </c>
      <c r="K633" s="9" t="str">
        <v/>
      </c>
      <c r="L633" s="9" t="str">
        <v>3L14-2</v>
      </c>
      <c r="M633" s="12">
        <v>46286</v>
      </c>
      <c r="N633" s="5" t="str">
        <v/>
      </c>
      <c r="O633" s="5" t="str">
        <v/>
      </c>
      <c r="P633" s="5" t="str">
        <v/>
      </c>
      <c r="Q633" s="14" t="str">
        <v/>
      </c>
      <c r="R633" s="15">
        <v>500</v>
      </c>
    </row>
    <row r="634" spans="2:18" x14ac:dyDescent="0.35">
      <c r="B634" s="9">
        <v>2157</v>
      </c>
      <c r="C634" s="9" t="str">
        <v>가용재고</v>
      </c>
      <c r="D634" s="9" t="str">
        <v/>
      </c>
      <c r="E634" s="9" t="str">
        <v/>
      </c>
      <c r="F634" s="9" t="str">
        <v/>
      </c>
      <c r="G634" s="9" t="str">
        <v/>
      </c>
      <c r="H634" s="9" t="str">
        <v>RA-02V-2042</v>
      </c>
      <c r="I634" s="11" t="str">
        <v>RA-02V-2042]SUP X-AXIS PHOt SNSR (A+)</v>
      </c>
      <c r="J634" s="9">
        <v>500</v>
      </c>
      <c r="K634" s="9" t="str">
        <v/>
      </c>
      <c r="L634" s="9" t="str">
        <v>C3-4</v>
      </c>
      <c r="M634" s="12">
        <v>46293</v>
      </c>
      <c r="N634" s="5" t="str">
        <v/>
      </c>
      <c r="O634" s="5" t="str">
        <v/>
      </c>
      <c r="P634" s="5" t="str">
        <v/>
      </c>
      <c r="Q634" s="14" t="str">
        <v/>
      </c>
      <c r="R634" s="15">
        <v>500</v>
      </c>
    </row>
    <row r="635" spans="2:18" x14ac:dyDescent="0.35">
      <c r="B635" s="9">
        <v>1084</v>
      </c>
      <c r="C635" s="9" t="str">
        <v>가용재고</v>
      </c>
      <c r="D635" s="9" t="str">
        <v/>
      </c>
      <c r="E635" s="9" t="str">
        <v>기초</v>
      </c>
      <c r="F635" s="9" t="str">
        <v/>
      </c>
      <c r="G635" s="9" t="str">
        <v/>
      </c>
      <c r="H635" s="9" t="str">
        <v>RA-09V-2536</v>
      </c>
      <c r="I635" s="11" t="str">
        <v>RA-09V-2536]BRK TOP CT HEADREST (A+)</v>
      </c>
      <c r="J635" s="9">
        <v>510</v>
      </c>
      <c r="K635" s="9" t="str">
        <v/>
      </c>
      <c r="L635" s="9" t="str">
        <v>L1-1</v>
      </c>
      <c r="M635" s="12">
        <v>46276</v>
      </c>
      <c r="N635" s="5" t="str">
        <v/>
      </c>
      <c r="O635" s="5" t="str">
        <v/>
      </c>
      <c r="P635" s="5" t="str">
        <v/>
      </c>
      <c r="Q635" s="14" t="str">
        <v/>
      </c>
      <c r="R635" s="15">
        <v>510</v>
      </c>
    </row>
    <row r="636" spans="2:18" x14ac:dyDescent="0.35">
      <c r="B636" s="9">
        <v>2144</v>
      </c>
      <c r="C636" s="9" t="str">
        <v>가용재고</v>
      </c>
      <c r="D636" s="9" t="str">
        <v/>
      </c>
      <c r="E636" s="9" t="str">
        <v/>
      </c>
      <c r="F636" s="9" t="str">
        <v/>
      </c>
      <c r="G636" s="9" t="str">
        <v/>
      </c>
      <c r="H636" s="9" t="str">
        <v>RA-02M-2307</v>
      </c>
      <c r="I636" s="11" t="str">
        <v>RA-02M-2307]GUIDE Y-AXIS SCREW A (A+)</v>
      </c>
      <c r="J636" s="9">
        <v>513</v>
      </c>
      <c r="K636" s="9" t="str">
        <v/>
      </c>
      <c r="L636" s="9" t="str">
        <v>D3-1</v>
      </c>
      <c r="M636" s="12">
        <v>46293</v>
      </c>
      <c r="N636" s="5" t="str">
        <v/>
      </c>
      <c r="O636" s="5" t="str">
        <v/>
      </c>
      <c r="P636" s="5" t="str">
        <v/>
      </c>
      <c r="Q636" s="14" t="str">
        <v/>
      </c>
      <c r="R636" s="15">
        <v>513</v>
      </c>
    </row>
    <row r="637" spans="2:18" x14ac:dyDescent="0.35">
      <c r="B637" s="9">
        <v>2492</v>
      </c>
      <c r="C637" s="9" t="str">
        <v>가용재고</v>
      </c>
      <c r="D637" s="9" t="str">
        <v/>
      </c>
      <c r="E637" s="9" t="str">
        <v/>
      </c>
      <c r="F637" s="9" t="str">
        <v/>
      </c>
      <c r="G637" s="9" t="str">
        <v/>
      </c>
      <c r="H637" s="9" t="str">
        <v>RA-03V-2285</v>
      </c>
      <c r="I637" s="11" t="str">
        <v>RA-03V-2285]BRK CABLE GUIDE CLMN (A+)</v>
      </c>
      <c r="J637" s="9">
        <v>526</v>
      </c>
      <c r="K637" s="9" t="str">
        <v/>
      </c>
      <c r="L637" s="9" t="str">
        <v>B2-1</v>
      </c>
      <c r="M637" s="12">
        <v>46301</v>
      </c>
      <c r="N637" s="5" t="str">
        <v/>
      </c>
      <c r="O637" s="5" t="str">
        <v/>
      </c>
      <c r="P637" s="5" t="str">
        <v/>
      </c>
      <c r="Q637" s="14" t="str">
        <v/>
      </c>
      <c r="R637" s="15">
        <v>526</v>
      </c>
    </row>
    <row r="638" spans="2:18" x14ac:dyDescent="0.35">
      <c r="B638" s="9">
        <v>2399</v>
      </c>
      <c r="C638" s="9" t="str">
        <v>가용재고</v>
      </c>
      <c r="D638" s="9" t="str">
        <v/>
      </c>
      <c r="E638" s="9" t="str">
        <v/>
      </c>
      <c r="F638" s="9" t="str">
        <v/>
      </c>
      <c r="G638" s="9" t="str">
        <v/>
      </c>
      <c r="H638" s="9" t="str">
        <v>RA-07M-1658</v>
      </c>
      <c r="I638" s="11" t="str">
        <v>RA-07M-1658]BLK DET MOT LINKER (VA)</v>
      </c>
      <c r="J638" s="9">
        <v>530</v>
      </c>
      <c r="K638" s="9" t="str">
        <v/>
      </c>
      <c r="L638" s="9" t="str">
        <v>J2-1</v>
      </c>
      <c r="M638" s="12">
        <v>46301</v>
      </c>
      <c r="N638" s="5" t="str">
        <v/>
      </c>
      <c r="O638" s="5" t="str">
        <v/>
      </c>
      <c r="P638" s="5" t="str">
        <v/>
      </c>
      <c r="Q638" s="14" t="str">
        <v/>
      </c>
      <c r="R638" s="15">
        <v>530</v>
      </c>
    </row>
    <row r="639" spans="2:18" x14ac:dyDescent="0.35">
      <c r="B639" s="9">
        <v>2091</v>
      </c>
      <c r="C639" s="9" t="str">
        <v>가용재고</v>
      </c>
      <c r="D639" s="9" t="str">
        <v/>
      </c>
      <c r="E639" s="9" t="str">
        <v/>
      </c>
      <c r="F639" s="9" t="str">
        <v/>
      </c>
      <c r="G639" s="9" t="str">
        <v/>
      </c>
      <c r="H639" s="9" t="str">
        <v>RA-10-4</v>
      </c>
      <c r="I639" s="11" t="str">
        <v>RA-10-4]FAN ASS'Y</v>
      </c>
      <c r="J639" s="9">
        <v>540</v>
      </c>
      <c r="K639" s="9" t="str">
        <v/>
      </c>
      <c r="L639" s="9" t="str">
        <v>G4</v>
      </c>
      <c r="M639" s="12">
        <v>46283</v>
      </c>
      <c r="N639" s="5" t="str">
        <v/>
      </c>
      <c r="O639" s="5" t="str">
        <v/>
      </c>
      <c r="P639" s="5" t="str">
        <v/>
      </c>
      <c r="Q639" s="14" t="str">
        <v/>
      </c>
      <c r="R639" s="15">
        <v>540</v>
      </c>
    </row>
    <row r="640" spans="2:18" x14ac:dyDescent="0.35">
      <c r="B640" s="9">
        <v>1109</v>
      </c>
      <c r="C640" s="9" t="str">
        <v>가용재고</v>
      </c>
      <c r="D640" s="9" t="str">
        <v/>
      </c>
      <c r="E640" s="9" t="str">
        <v>기초</v>
      </c>
      <c r="F640" s="9" t="str">
        <v/>
      </c>
      <c r="G640" s="9" t="str">
        <v/>
      </c>
      <c r="H640" s="9" t="str">
        <v>RA-3-4</v>
      </c>
      <c r="I640" s="11" t="str">
        <v>RA-3-4]FAN CABLE</v>
      </c>
      <c r="J640" s="9">
        <v>579</v>
      </c>
      <c r="K640" s="9" t="str">
        <v/>
      </c>
      <c r="L640" s="9" t="str">
        <v>G2-2</v>
      </c>
      <c r="M640" s="12">
        <v>46276</v>
      </c>
      <c r="N640" s="5" t="str">
        <v/>
      </c>
      <c r="O640" s="5" t="str">
        <v/>
      </c>
      <c r="P640" s="5" t="str">
        <v/>
      </c>
      <c r="Q640" s="14" t="str">
        <v/>
      </c>
      <c r="R640" s="15">
        <v>579</v>
      </c>
    </row>
    <row r="641" spans="2:18" x14ac:dyDescent="0.35">
      <c r="B641" s="9">
        <v>2151</v>
      </c>
      <c r="C641" s="9" t="str">
        <v>가용재고</v>
      </c>
      <c r="D641" s="9" t="str">
        <v/>
      </c>
      <c r="E641" s="9" t="str">
        <v/>
      </c>
      <c r="F641" s="9" t="str">
        <v/>
      </c>
      <c r="G641" s="9" t="str">
        <v/>
      </c>
      <c r="H641" s="9" t="str">
        <v>RA-02V-2014</v>
      </c>
      <c r="I641" s="11" t="str">
        <v>RA-02V-2014]PLT ROT POSITION UPPER (A+)</v>
      </c>
      <c r="J641" s="9">
        <v>579</v>
      </c>
      <c r="K641" s="9" t="str">
        <v/>
      </c>
      <c r="L641" s="9" t="str">
        <v>C3-3</v>
      </c>
      <c r="M641" s="12">
        <v>46293</v>
      </c>
      <c r="N641" s="5" t="str">
        <v/>
      </c>
      <c r="O641" s="5" t="str">
        <v/>
      </c>
      <c r="P641" s="5" t="str">
        <v/>
      </c>
      <c r="Q641" s="14" t="str">
        <v/>
      </c>
      <c r="R641" s="15">
        <v>579</v>
      </c>
    </row>
    <row r="642" spans="2:18" x14ac:dyDescent="0.35">
      <c r="B642" s="9">
        <v>1089</v>
      </c>
      <c r="C642" s="9" t="str">
        <v>가용재고</v>
      </c>
      <c r="D642" s="9" t="str">
        <v/>
      </c>
      <c r="E642" s="9" t="str">
        <v>기초</v>
      </c>
      <c r="F642" s="9" t="str">
        <v/>
      </c>
      <c r="G642" s="9" t="str">
        <v/>
      </c>
      <c r="H642" s="9" t="str">
        <v>RA-04A-5007</v>
      </c>
      <c r="I642" s="11" t="str">
        <v>RA-04A-5007]Bd ASSY'-CONNECTOR Bd</v>
      </c>
      <c r="J642" s="9">
        <v>619</v>
      </c>
      <c r="K642" s="9" t="str">
        <v/>
      </c>
      <c r="L642" s="9" t="str">
        <v>A1-4</v>
      </c>
      <c r="M642" s="12">
        <v>46276</v>
      </c>
      <c r="N642" s="5" t="str">
        <v/>
      </c>
      <c r="O642" s="5" t="str">
        <v/>
      </c>
      <c r="P642" s="5" t="str">
        <v/>
      </c>
      <c r="Q642" s="14" t="str">
        <v/>
      </c>
      <c r="R642" s="15">
        <v>619</v>
      </c>
    </row>
    <row r="643" spans="2:18" x14ac:dyDescent="0.35">
      <c r="B643" s="9">
        <v>1330</v>
      </c>
      <c r="C643" s="9" t="str">
        <v>가용재고</v>
      </c>
      <c r="D643" s="9" t="str">
        <v/>
      </c>
      <c r="E643" s="9" t="str">
        <v/>
      </c>
      <c r="F643" s="9" t="str">
        <v/>
      </c>
      <c r="G643" s="9" t="str">
        <v/>
      </c>
      <c r="H643" s="9" t="str">
        <v>RF-01T-0173</v>
      </c>
      <c r="I643" s="11" t="str">
        <v>RF-01T-0173]ARM CVR REAR DECO</v>
      </c>
      <c r="J643" s="9">
        <v>619</v>
      </c>
      <c r="K643" s="9" t="str">
        <v/>
      </c>
      <c r="L643" s="9" t="str">
        <v>3B8</v>
      </c>
      <c r="M643" s="12">
        <v>46287</v>
      </c>
      <c r="N643" s="5" t="str">
        <v/>
      </c>
      <c r="O643" s="5" t="str">
        <v/>
      </c>
      <c r="P643" s="5" t="str">
        <v/>
      </c>
      <c r="Q643" s="14" t="str">
        <v/>
      </c>
      <c r="R643" s="15">
        <v>619</v>
      </c>
    </row>
    <row r="644" spans="2:18" x14ac:dyDescent="0.35">
      <c r="B644" s="9">
        <v>2546</v>
      </c>
      <c r="C644" s="9" t="str">
        <v>가용재고</v>
      </c>
      <c r="D644" s="9" t="str">
        <v/>
      </c>
      <c r="E644" s="9" t="str">
        <v/>
      </c>
      <c r="F644" s="9" t="str">
        <v/>
      </c>
      <c r="G644" s="9" t="str">
        <v/>
      </c>
      <c r="H644" s="9" t="str">
        <v>RA-03M-0063</v>
      </c>
      <c r="I644" s="11" t="str">
        <v>RA-03M-0063]GUIDE PIN 2</v>
      </c>
      <c r="J644" s="9">
        <v>622</v>
      </c>
      <c r="K644" s="9" t="str">
        <v/>
      </c>
      <c r="L644" s="9" t="str">
        <v>B1-2</v>
      </c>
      <c r="M644" s="12">
        <v>46308</v>
      </c>
      <c r="N644" s="5" t="str">
        <v/>
      </c>
      <c r="O644" s="5" t="str">
        <v/>
      </c>
      <c r="P644" s="5" t="str">
        <v/>
      </c>
      <c r="Q644" s="14" t="str">
        <v/>
      </c>
      <c r="R644" s="15">
        <v>622</v>
      </c>
    </row>
    <row r="645" spans="2:18" x14ac:dyDescent="0.35">
      <c r="B645" s="9">
        <v>2476</v>
      </c>
      <c r="C645" s="9" t="str">
        <v>가용재고</v>
      </c>
      <c r="D645" s="9" t="str">
        <v/>
      </c>
      <c r="E645" s="9" t="str">
        <v/>
      </c>
      <c r="F645" s="9" t="str">
        <v/>
      </c>
      <c r="G645" s="9" t="str">
        <v/>
      </c>
      <c r="H645" s="9" t="str">
        <v>RA-03M-2068</v>
      </c>
      <c r="I645" s="11" t="str">
        <v>RA-03M-2068]BRK CLMN REAR CAS LWR (A+)</v>
      </c>
      <c r="J645" s="9">
        <v>646</v>
      </c>
      <c r="K645" s="9" t="str">
        <v/>
      </c>
      <c r="L645" s="9" t="str">
        <v>B4-3</v>
      </c>
      <c r="M645" s="12">
        <v>46301</v>
      </c>
      <c r="N645" s="5" t="str">
        <v/>
      </c>
      <c r="O645" s="5" t="str">
        <v/>
      </c>
      <c r="P645" s="5" t="str">
        <v/>
      </c>
      <c r="Q645" s="14" t="str">
        <v/>
      </c>
      <c r="R645" s="15">
        <v>646</v>
      </c>
    </row>
    <row r="646" spans="2:18" x14ac:dyDescent="0.35">
      <c r="B646" s="9">
        <v>1675</v>
      </c>
      <c r="C646" s="9" t="str">
        <v>가용재고</v>
      </c>
      <c r="D646" s="9" t="str">
        <v/>
      </c>
      <c r="E646" s="9" t="str">
        <v/>
      </c>
      <c r="F646" s="9" t="str">
        <v/>
      </c>
      <c r="G646" s="9" t="str">
        <v/>
      </c>
      <c r="H646" s="9" t="str">
        <v>RA-06V-1517</v>
      </c>
      <c r="I646" s="11" t="str">
        <v>RA-06V-1517]BRACKER COL PHOt SNSR</v>
      </c>
      <c r="J646" s="9">
        <v>665</v>
      </c>
      <c r="K646" s="9" t="str">
        <v/>
      </c>
      <c r="L646" s="9" t="str">
        <v>H3-4</v>
      </c>
      <c r="M646" s="12">
        <v>46280</v>
      </c>
      <c r="N646" s="5" t="str">
        <v/>
      </c>
      <c r="O646" s="5" t="str">
        <v/>
      </c>
      <c r="P646" s="5" t="str">
        <v/>
      </c>
      <c r="Q646" s="14" t="str">
        <v/>
      </c>
      <c r="R646" s="15">
        <v>665</v>
      </c>
    </row>
    <row r="647" spans="2:18" x14ac:dyDescent="0.35">
      <c r="B647" s="9">
        <v>1643</v>
      </c>
      <c r="C647" s="9" t="str">
        <v>가용재고</v>
      </c>
      <c r="D647" s="9" t="str">
        <v/>
      </c>
      <c r="E647" s="9" t="str">
        <v/>
      </c>
      <c r="F647" s="9" t="str">
        <v/>
      </c>
      <c r="G647" s="9" t="str">
        <v/>
      </c>
      <c r="H647" s="9" t="str">
        <v>RA-07A-2716</v>
      </c>
      <c r="I647" s="11" t="str">
        <v>RA-07A-2716]ASM BLOCK DETECTOR SENSOR R</v>
      </c>
      <c r="J647" s="9">
        <v>675</v>
      </c>
      <c r="K647" s="9" t="str">
        <v/>
      </c>
      <c r="L647" s="9" t="str">
        <v>J3-3</v>
      </c>
      <c r="M647" s="12">
        <v>46280</v>
      </c>
      <c r="N647" s="5" t="str">
        <v/>
      </c>
      <c r="O647" s="5" t="str">
        <v/>
      </c>
      <c r="P647" s="5" t="str">
        <v/>
      </c>
      <c r="Q647" s="14" t="str">
        <v/>
      </c>
      <c r="R647" s="15">
        <v>675</v>
      </c>
    </row>
    <row r="648" spans="2:18" x14ac:dyDescent="0.35">
      <c r="B648" s="9">
        <v>1644</v>
      </c>
      <c r="C648" s="9" t="str">
        <v>가용재고</v>
      </c>
      <c r="D648" s="9" t="str">
        <v/>
      </c>
      <c r="E648" s="9" t="str">
        <v/>
      </c>
      <c r="F648" s="9" t="str">
        <v/>
      </c>
      <c r="G648" s="9" t="str">
        <v/>
      </c>
      <c r="H648" s="9" t="str">
        <v>RA-07A-2715</v>
      </c>
      <c r="I648" s="11" t="str">
        <v>RA-07A-2715]ASM BLOCK DETECTOR SENSOR L</v>
      </c>
      <c r="J648" s="9">
        <v>678</v>
      </c>
      <c r="K648" s="9" t="str">
        <v/>
      </c>
      <c r="L648" s="9" t="str">
        <v>J3-3</v>
      </c>
      <c r="M648" s="12">
        <v>46280</v>
      </c>
      <c r="N648" s="5" t="str">
        <v/>
      </c>
      <c r="O648" s="5" t="str">
        <v/>
      </c>
      <c r="P648" s="5" t="str">
        <v/>
      </c>
      <c r="Q648" s="14" t="str">
        <v/>
      </c>
      <c r="R648" s="15">
        <v>678</v>
      </c>
    </row>
    <row r="649" spans="2:18" x14ac:dyDescent="0.35">
      <c r="B649" s="9">
        <v>2143</v>
      </c>
      <c r="C649" s="9" t="str">
        <v>가용재고</v>
      </c>
      <c r="D649" s="9" t="str">
        <v/>
      </c>
      <c r="E649" s="9" t="str">
        <v/>
      </c>
      <c r="F649" s="9" t="str">
        <v/>
      </c>
      <c r="G649" s="9" t="str">
        <v/>
      </c>
      <c r="H649" s="9" t="str">
        <v>RA-02M-2048</v>
      </c>
      <c r="I649" s="11" t="str">
        <v>RA-02M-2048]PLT LINK Y-AXIS (A+)</v>
      </c>
      <c r="J649" s="9">
        <v>680</v>
      </c>
      <c r="K649" s="9" t="str">
        <v/>
      </c>
      <c r="L649" s="9" t="str">
        <v>C3-2</v>
      </c>
      <c r="M649" s="12">
        <v>46293</v>
      </c>
      <c r="N649" s="5" t="str">
        <v/>
      </c>
      <c r="O649" s="5" t="str">
        <v/>
      </c>
      <c r="P649" s="5" t="str">
        <v/>
      </c>
      <c r="Q649" s="14" t="str">
        <v/>
      </c>
      <c r="R649" s="15">
        <v>680</v>
      </c>
    </row>
    <row r="650" spans="2:18" x14ac:dyDescent="0.35">
      <c r="B650" s="9">
        <v>2140</v>
      </c>
      <c r="C650" s="9" t="str">
        <v>가용재고</v>
      </c>
      <c r="D650" s="9" t="str">
        <v/>
      </c>
      <c r="E650" s="9" t="str">
        <v/>
      </c>
      <c r="F650" s="9" t="str">
        <v/>
      </c>
      <c r="G650" s="9" t="str">
        <v/>
      </c>
      <c r="H650" s="9" t="str">
        <v>RA-02M-2027</v>
      </c>
      <c r="I650" s="11" t="str">
        <v>RA-02M-2027]BLK X-AXIS MOT (A+)</v>
      </c>
      <c r="J650" s="9">
        <v>736</v>
      </c>
      <c r="K650" s="9" t="str">
        <v/>
      </c>
      <c r="L650" s="9" t="str">
        <v>C1-2</v>
      </c>
      <c r="M650" s="12">
        <v>46293</v>
      </c>
      <c r="N650" s="5" t="str">
        <v/>
      </c>
      <c r="O650" s="5" t="str">
        <v/>
      </c>
      <c r="P650" s="5" t="str">
        <v/>
      </c>
      <c r="Q650" s="14" t="str">
        <v/>
      </c>
      <c r="R650" s="15">
        <v>736</v>
      </c>
    </row>
    <row r="651" spans="2:18" x14ac:dyDescent="0.35">
      <c r="B651" s="9">
        <v>2170</v>
      </c>
      <c r="C651" s="9" t="str">
        <v>가용재고</v>
      </c>
      <c r="D651" s="9" t="str">
        <v/>
      </c>
      <c r="E651" s="9" t="str">
        <v/>
      </c>
      <c r="F651" s="9" t="str">
        <v/>
      </c>
      <c r="G651" s="9" t="str">
        <v/>
      </c>
      <c r="H651" s="9" t="str">
        <v>RA-6-2</v>
      </c>
      <c r="I651" s="11" t="str">
        <v>RA-6-2_3]PRIME MOT ROT</v>
      </c>
      <c r="J651" s="9">
        <v>741</v>
      </c>
      <c r="K651" s="9" t="str">
        <v/>
      </c>
      <c r="L651" s="9" t="str">
        <v>G4</v>
      </c>
      <c r="M651" s="12">
        <v>46293</v>
      </c>
      <c r="N651" s="5" t="str">
        <v/>
      </c>
      <c r="O651" s="5" t="str">
        <v/>
      </c>
      <c r="P651" s="5" t="str">
        <v/>
      </c>
      <c r="Q651" s="14" t="str">
        <v/>
      </c>
      <c r="R651" s="15">
        <v>741</v>
      </c>
    </row>
    <row r="652" spans="2:18" x14ac:dyDescent="0.35">
      <c r="B652" s="9">
        <v>1631</v>
      </c>
      <c r="C652" s="9" t="str">
        <v>가용재고</v>
      </c>
      <c r="D652" s="9" t="str">
        <v/>
      </c>
      <c r="E652" s="9" t="str">
        <v/>
      </c>
      <c r="F652" s="9" t="str">
        <v/>
      </c>
      <c r="G652" s="9" t="str">
        <v/>
      </c>
      <c r="H652" s="9" t="str">
        <v>RA-04T-0143</v>
      </c>
      <c r="I652" s="11" t="str">
        <v>RA-04T-0143]CAS CHINREST UPPER</v>
      </c>
      <c r="J652" s="9">
        <v>778</v>
      </c>
      <c r="K652" s="9" t="str">
        <v/>
      </c>
      <c r="L652" s="9" t="str">
        <v>S</v>
      </c>
      <c r="M652" s="12">
        <v>46280</v>
      </c>
      <c r="N652" s="5" t="str">
        <v/>
      </c>
      <c r="O652" s="5" t="str">
        <v/>
      </c>
      <c r="P652" s="5" t="str">
        <v/>
      </c>
      <c r="Q652" s="14" t="str">
        <v/>
      </c>
      <c r="R652" s="15">
        <v>778</v>
      </c>
    </row>
    <row r="653" spans="2:18" x14ac:dyDescent="0.35">
      <c r="B653" s="9">
        <v>2150</v>
      </c>
      <c r="C653" s="9" t="str">
        <v>가용재고</v>
      </c>
      <c r="D653" s="9" t="str">
        <v/>
      </c>
      <c r="E653" s="9" t="str">
        <v/>
      </c>
      <c r="F653" s="9" t="str">
        <v/>
      </c>
      <c r="G653" s="9" t="str">
        <v/>
      </c>
      <c r="H653" s="9" t="str">
        <v>RA-02S-5021</v>
      </c>
      <c r="I653" s="11" t="str">
        <v>RA-02S-5021]PHOtSNSR-EE-SX672A</v>
      </c>
      <c r="J653" s="9">
        <v>797</v>
      </c>
      <c r="K653" s="9" t="str">
        <v/>
      </c>
      <c r="L653" s="9" t="str">
        <v>A12-3</v>
      </c>
      <c r="M653" s="12">
        <v>46293</v>
      </c>
      <c r="N653" s="5" t="str">
        <v/>
      </c>
      <c r="O653" s="5" t="str">
        <v/>
      </c>
      <c r="P653" s="5" t="str">
        <v/>
      </c>
      <c r="Q653" s="14" t="str">
        <v/>
      </c>
      <c r="R653" s="15">
        <v>797</v>
      </c>
    </row>
    <row r="654" spans="2:18" x14ac:dyDescent="0.35">
      <c r="B654" s="9">
        <v>321</v>
      </c>
      <c r="C654" s="9" t="str">
        <v>가용재고</v>
      </c>
      <c r="D654" s="9" t="str">
        <v/>
      </c>
      <c r="E654" s="9" t="str">
        <v>입고</v>
      </c>
      <c r="F654" s="9" t="str">
        <v/>
      </c>
      <c r="G654" s="9" t="str">
        <v/>
      </c>
      <c r="H654" s="9" t="str">
        <v>RF-01G-0252</v>
      </c>
      <c r="I654" s="11" t="str">
        <v>RF-01G-0252]MOLDING FRONT MIRROR</v>
      </c>
      <c r="J654" s="9">
        <v>800</v>
      </c>
      <c r="K654" s="9" t="str">
        <v/>
      </c>
      <c r="L654" s="9" t="str">
        <v>3S3-1</v>
      </c>
      <c r="M654" s="12">
        <v>46236</v>
      </c>
      <c r="N654" s="5" t="str">
        <v/>
      </c>
      <c r="O654" s="5" t="str">
        <v/>
      </c>
      <c r="P654" s="5" t="str">
        <v/>
      </c>
      <c r="Q654" s="14" t="str">
        <v/>
      </c>
      <c r="R654" s="15">
        <v>800</v>
      </c>
    </row>
    <row r="655" spans="2:18" x14ac:dyDescent="0.35">
      <c r="B655" s="9">
        <v>1854</v>
      </c>
      <c r="C655" s="9" t="str">
        <v>가용재고</v>
      </c>
      <c r="D655" s="9" t="str">
        <v/>
      </c>
      <c r="E655" s="9" t="str">
        <v/>
      </c>
      <c r="F655" s="9" t="str">
        <v/>
      </c>
      <c r="G655" s="9" t="str">
        <v/>
      </c>
      <c r="H655" s="9" t="str">
        <v>RA-6-3</v>
      </c>
      <c r="I655" s="11" t="str">
        <v>RA-6-3]SUB MOT TUBE</v>
      </c>
      <c r="J655" s="9">
        <v>880</v>
      </c>
      <c r="K655" s="9" t="str">
        <v/>
      </c>
      <c r="L655" s="9" t="str">
        <v>G4</v>
      </c>
      <c r="M655" s="12">
        <v>46295</v>
      </c>
      <c r="N655" s="5" t="str">
        <v/>
      </c>
      <c r="O655" s="5" t="str">
        <v/>
      </c>
      <c r="P655" s="5" t="str">
        <v/>
      </c>
      <c r="Q655" s="14" t="str">
        <v/>
      </c>
      <c r="R655" s="15">
        <v>880</v>
      </c>
    </row>
    <row r="656" spans="2:18" x14ac:dyDescent="0.35">
      <c r="B656" s="9">
        <v>2092</v>
      </c>
      <c r="C656" s="9" t="str">
        <v>가용재고</v>
      </c>
      <c r="D656" s="9" t="str">
        <v/>
      </c>
      <c r="E656" s="9" t="str">
        <v/>
      </c>
      <c r="F656" s="9" t="str">
        <v/>
      </c>
      <c r="G656" s="9" t="str">
        <v/>
      </c>
      <c r="H656" s="9" t="str">
        <v>RA-06T-0296</v>
      </c>
      <c r="I656" s="11" t="str">
        <v>RA-06T-0296]CAS TUBE TNK FAN</v>
      </c>
      <c r="J656" s="9">
        <v>897</v>
      </c>
      <c r="K656" s="9" t="str">
        <v/>
      </c>
      <c r="L656" s="9" t="str">
        <v>S</v>
      </c>
      <c r="M656" s="12">
        <v>46283</v>
      </c>
      <c r="N656" s="5" t="str">
        <v/>
      </c>
      <c r="O656" s="5" t="str">
        <v/>
      </c>
      <c r="P656" s="5" t="str">
        <v/>
      </c>
      <c r="Q656" s="14" t="str">
        <v/>
      </c>
      <c r="R656" s="15">
        <v>897</v>
      </c>
    </row>
    <row r="657" spans="2:18" x14ac:dyDescent="0.35">
      <c r="B657" s="9">
        <v>1294</v>
      </c>
      <c r="C657" s="9" t="str">
        <v>가용재고</v>
      </c>
      <c r="D657" s="9" t="str">
        <v/>
      </c>
      <c r="E657" s="9" t="str">
        <v/>
      </c>
      <c r="F657" s="9" t="str">
        <v/>
      </c>
      <c r="G657" s="9" t="str">
        <v/>
      </c>
      <c r="H657" s="9" t="str">
        <v>RF-01G-0252</v>
      </c>
      <c r="I657" s="11" t="str">
        <v>RF-01G-0252]MOLDING FRONT MIRROR</v>
      </c>
      <c r="J657" s="9">
        <v>921</v>
      </c>
      <c r="K657" s="9" t="str">
        <v/>
      </c>
      <c r="L657" s="9" t="str">
        <v>3S3-1</v>
      </c>
      <c r="M657" s="12">
        <v>46287</v>
      </c>
      <c r="N657" s="5" t="str">
        <v/>
      </c>
      <c r="O657" s="5" t="str">
        <v/>
      </c>
      <c r="P657" s="5" t="str">
        <v/>
      </c>
      <c r="Q657" s="14" t="str">
        <v/>
      </c>
      <c r="R657" s="15">
        <v>921</v>
      </c>
    </row>
    <row r="658" spans="2:18" x14ac:dyDescent="0.35">
      <c r="B658" s="9">
        <v>266</v>
      </c>
      <c r="C658" s="9" t="str">
        <v>가용재고</v>
      </c>
      <c r="D658" s="9" t="str">
        <v/>
      </c>
      <c r="E658" s="9" t="str">
        <v/>
      </c>
      <c r="F658" s="9" t="str">
        <v/>
      </c>
      <c r="G658" s="9" t="str">
        <v/>
      </c>
      <c r="H658" s="9" t="str">
        <v>C16-626ZZ</v>
      </c>
      <c r="I658" s="11" t="str">
        <v>C16-626ZZ]BALL B-Ring</v>
      </c>
      <c r="J658" s="9">
        <v>981</v>
      </c>
      <c r="K658" s="9" t="str">
        <v/>
      </c>
      <c r="L658" s="9" t="str">
        <v>C1-1</v>
      </c>
      <c r="M658" s="12">
        <v>46232</v>
      </c>
      <c r="N658" s="5" t="str">
        <v/>
      </c>
      <c r="O658" s="5" t="str">
        <v/>
      </c>
      <c r="P658" s="5" t="str">
        <v/>
      </c>
      <c r="Q658" s="14" t="str">
        <v/>
      </c>
      <c r="R658" s="15">
        <v>981</v>
      </c>
    </row>
    <row r="659" spans="2:18" x14ac:dyDescent="0.35">
      <c r="B659" s="9">
        <v>1938</v>
      </c>
      <c r="C659" s="9" t="str">
        <v>가용재고</v>
      </c>
      <c r="D659" s="9" t="str">
        <v/>
      </c>
      <c r="E659" s="9" t="str">
        <v/>
      </c>
      <c r="F659" s="9" t="str">
        <v/>
      </c>
      <c r="G659" s="9" t="str">
        <v/>
      </c>
      <c r="H659" s="9" t="str">
        <v>RA-04V-0110</v>
      </c>
      <c r="I659" s="11" t="str">
        <v>RA-04V-0110]BRK CAS ARM BOT (REAR)</v>
      </c>
      <c r="J659" s="9">
        <v>1071</v>
      </c>
      <c r="K659" s="9" t="str">
        <v/>
      </c>
      <c r="L659" s="9" t="str">
        <v>W</v>
      </c>
      <c r="M659" s="12">
        <v>46288</v>
      </c>
      <c r="N659" s="5" t="str">
        <v/>
      </c>
      <c r="O659" s="5" t="str">
        <v/>
      </c>
      <c r="P659" s="5" t="str">
        <v/>
      </c>
      <c r="Q659" s="14" t="str">
        <v/>
      </c>
      <c r="R659" s="15">
        <v>1071</v>
      </c>
    </row>
    <row r="660" spans="2:18" x14ac:dyDescent="0.35">
      <c r="B660" s="9">
        <v>2061</v>
      </c>
      <c r="C660" s="9" t="str">
        <v>가용재고</v>
      </c>
      <c r="D660" s="9" t="str">
        <v/>
      </c>
      <c r="E660" s="9" t="str">
        <v>입고</v>
      </c>
      <c r="F660" s="9" t="str">
        <v>플랜피뎀</v>
      </c>
      <c r="G660" s="9" t="str">
        <v>유영국</v>
      </c>
      <c r="H660" s="9" t="str">
        <v>RA-02S-5021</v>
      </c>
      <c r="I660" s="11" t="str">
        <v>RA-02S-5021]PHOtSNSR-EE-SX672A</v>
      </c>
      <c r="J660" s="9">
        <v>1200</v>
      </c>
      <c r="K660" s="9" t="str">
        <v/>
      </c>
      <c r="L660" s="9" t="str">
        <v>A12-3</v>
      </c>
      <c r="M660" s="12">
        <v>46297</v>
      </c>
      <c r="N660" s="5" t="str">
        <v/>
      </c>
      <c r="O660" s="5" t="str">
        <v/>
      </c>
      <c r="P660" s="5" t="str">
        <v/>
      </c>
      <c r="Q660" s="14" t="str">
        <v/>
      </c>
      <c r="R660" s="15">
        <v>1200</v>
      </c>
    </row>
    <row r="661" spans="2:18" x14ac:dyDescent="0.35">
      <c r="B661" s="9">
        <v>2142</v>
      </c>
      <c r="C661" s="9" t="str">
        <v>가용재고</v>
      </c>
      <c r="D661" s="9" t="str">
        <v/>
      </c>
      <c r="E661" s="9" t="str">
        <v/>
      </c>
      <c r="F661" s="9" t="str">
        <v/>
      </c>
      <c r="G661" s="9" t="str">
        <v/>
      </c>
      <c r="H661" s="9" t="str">
        <v>RA-02M-2047</v>
      </c>
      <c r="I661" s="11" t="str">
        <v>RA-02M-2047]BLK LINK Y-AXIS (A+)</v>
      </c>
      <c r="J661" s="9">
        <v>1423</v>
      </c>
      <c r="K661" s="9" t="str">
        <v/>
      </c>
      <c r="L661" s="9" t="str">
        <v>D3-1</v>
      </c>
      <c r="M661" s="12">
        <v>46293</v>
      </c>
      <c r="N661" s="5" t="str">
        <v/>
      </c>
      <c r="O661" s="5" t="str">
        <v/>
      </c>
      <c r="P661" s="5" t="str">
        <v/>
      </c>
      <c r="Q661" s="14" t="str">
        <v/>
      </c>
      <c r="R661" s="15">
        <v>1423</v>
      </c>
    </row>
    <row r="662" spans="2:18" x14ac:dyDescent="0.35">
      <c r="B662" s="9">
        <v>1338</v>
      </c>
      <c r="C662" s="9" t="str">
        <v>가용재고</v>
      </c>
      <c r="D662" s="9" t="str">
        <v/>
      </c>
      <c r="E662" s="9" t="str">
        <v/>
      </c>
      <c r="F662" s="9" t="str">
        <v/>
      </c>
      <c r="G662" s="9" t="str">
        <v/>
      </c>
      <c r="H662" s="9" t="str">
        <v>RF-09P-0271</v>
      </c>
      <c r="I662" s="11" t="str">
        <v>RF-09P-0271]MIRROR PROTIVE FILM</v>
      </c>
      <c r="J662" s="9">
        <v>1453</v>
      </c>
      <c r="K662" s="9" t="str">
        <v/>
      </c>
      <c r="L662" s="9" t="str">
        <v>3S3-1</v>
      </c>
      <c r="M662" s="12">
        <v>46287</v>
      </c>
      <c r="N662" s="5" t="str">
        <v/>
      </c>
      <c r="O662" s="5" t="str">
        <v/>
      </c>
      <c r="P662" s="5" t="str">
        <v/>
      </c>
      <c r="Q662" s="14" t="str">
        <v/>
      </c>
      <c r="R662" s="15">
        <v>1453</v>
      </c>
    </row>
    <row r="663" spans="2:18" x14ac:dyDescent="0.35">
      <c r="B663" s="9">
        <v>2574</v>
      </c>
      <c r="C663" s="9" t="str">
        <v>가용재고</v>
      </c>
      <c r="D663" s="9" t="str">
        <v/>
      </c>
      <c r="E663" s="9" t="str">
        <v/>
      </c>
      <c r="F663" s="9" t="str">
        <v/>
      </c>
      <c r="G663" s="9" t="str">
        <v/>
      </c>
      <c r="H663" s="9" t="str">
        <v>RE-04T-0440</v>
      </c>
      <c r="I663" s="11" t="str">
        <v>RE-04T-0440]CAP HEADREST KNOB</v>
      </c>
      <c r="J663" s="9">
        <v>242</v>
      </c>
      <c r="K663" s="9" t="str">
        <v/>
      </c>
      <c r="L663" s="9" t="str">
        <v>3L14-2</v>
      </c>
      <c r="M663" s="12">
        <v>46307</v>
      </c>
      <c r="N663" s="5" t="str">
        <v/>
      </c>
      <c r="O663" s="5" t="str">
        <v/>
      </c>
      <c r="P663" s="5" t="str">
        <v/>
      </c>
      <c r="Q663" s="14" t="str">
        <v/>
      </c>
      <c r="R663" s="15">
        <v>242</v>
      </c>
    </row>
    <row r="664" spans="2:18" x14ac:dyDescent="0.35">
      <c r="B664" s="9">
        <v>2575</v>
      </c>
      <c r="C664" s="9" t="str">
        <v>가용재고</v>
      </c>
      <c r="D664" s="9" t="str">
        <v/>
      </c>
      <c r="E664" s="9" t="str">
        <v/>
      </c>
      <c r="F664" s="9" t="str">
        <v/>
      </c>
      <c r="G664" s="9" t="str">
        <v/>
      </c>
      <c r="H664" s="9" t="str">
        <v>RE-09T-0902</v>
      </c>
      <c r="I664" s="11" t="str">
        <v>RE-09T-0902]CAS CHINREST LOW</v>
      </c>
      <c r="J664" s="9">
        <v>44</v>
      </c>
      <c r="K664" s="9" t="str">
        <v/>
      </c>
      <c r="L664" s="9" t="str">
        <v>3A-22</v>
      </c>
      <c r="M664" s="12">
        <v>46307</v>
      </c>
      <c r="N664" s="5" t="str">
        <v/>
      </c>
      <c r="O664" s="5" t="str">
        <v/>
      </c>
      <c r="P664" s="5" t="str">
        <v/>
      </c>
      <c r="Q664" s="14" t="str">
        <v/>
      </c>
      <c r="R664" s="15">
        <v>44</v>
      </c>
    </row>
    <row r="665" spans="2:18" x14ac:dyDescent="0.35">
      <c r="B665" s="9">
        <v>2576</v>
      </c>
      <c r="C665" s="9" t="str">
        <v>가용재고</v>
      </c>
      <c r="D665" s="9" t="str">
        <v/>
      </c>
      <c r="E665" s="9" t="str">
        <v/>
      </c>
      <c r="F665" s="9" t="str">
        <v/>
      </c>
      <c r="G665" s="9" t="str">
        <v/>
      </c>
      <c r="H665" s="9" t="str">
        <v>RE-09T-0904</v>
      </c>
      <c r="I665" s="11" t="str">
        <v>RE-09T-0904]CAS TMJREST</v>
      </c>
      <c r="J665" s="9">
        <v>9</v>
      </c>
      <c r="K665" s="9" t="str">
        <v/>
      </c>
      <c r="L665" s="9" t="str">
        <v>3A-22</v>
      </c>
      <c r="M665" s="12">
        <v>46307</v>
      </c>
      <c r="N665" s="5" t="str">
        <v/>
      </c>
      <c r="O665" s="5" t="str">
        <v/>
      </c>
      <c r="P665" s="5" t="str">
        <v/>
      </c>
      <c r="Q665" s="14" t="str">
        <v/>
      </c>
      <c r="R665" s="15">
        <v>9</v>
      </c>
    </row>
    <row r="666" spans="2:18" x14ac:dyDescent="0.35">
      <c r="B666" s="9">
        <v>2577</v>
      </c>
      <c r="C666" s="9" t="str">
        <v>가용재고</v>
      </c>
      <c r="D666" s="9" t="str">
        <v/>
      </c>
      <c r="E666" s="9" t="str">
        <v/>
      </c>
      <c r="F666" s="9" t="str">
        <v/>
      </c>
      <c r="G666" s="9" t="str">
        <v/>
      </c>
      <c r="H666" s="9" t="str">
        <v>RE-04T-0419</v>
      </c>
      <c r="I666" s="11" t="str">
        <v>RE-04T-0419]CAS HANDLE REAR</v>
      </c>
      <c r="J666" s="9">
        <v>28</v>
      </c>
      <c r="K666" s="9" t="str">
        <v/>
      </c>
      <c r="L666" s="9" t="str">
        <v>3A-20</v>
      </c>
      <c r="M666" s="12">
        <v>46307</v>
      </c>
      <c r="N666" s="5" t="str">
        <v/>
      </c>
      <c r="O666" s="5" t="str">
        <v/>
      </c>
      <c r="P666" s="5" t="str">
        <v/>
      </c>
      <c r="Q666" s="14" t="str">
        <v/>
      </c>
      <c r="R666" s="15">
        <v>28</v>
      </c>
    </row>
    <row r="667" spans="2:18" x14ac:dyDescent="0.35">
      <c r="B667" s="9">
        <v>2578</v>
      </c>
      <c r="C667" s="9" t="str">
        <v>가용재고</v>
      </c>
      <c r="D667" s="9" t="str">
        <v/>
      </c>
      <c r="E667" s="9" t="str">
        <v/>
      </c>
      <c r="F667" s="9" t="str">
        <v/>
      </c>
      <c r="G667" s="9" t="str">
        <v/>
      </c>
      <c r="H667" s="9" t="str">
        <v>RE-04T-0416</v>
      </c>
      <c r="I667" s="11" t="str">
        <v>RE-04T-0416]CAS HANDLE FRONT</v>
      </c>
      <c r="J667" s="9">
        <v>28</v>
      </c>
      <c r="K667" s="9" t="str">
        <v/>
      </c>
      <c r="L667" s="9" t="str">
        <v>3A-20</v>
      </c>
      <c r="M667" s="12">
        <v>46307</v>
      </c>
      <c r="N667" s="5" t="str">
        <v/>
      </c>
      <c r="O667" s="5" t="str">
        <v/>
      </c>
      <c r="P667" s="5" t="str">
        <v/>
      </c>
      <c r="Q667" s="14" t="str">
        <v/>
      </c>
      <c r="R667" s="15">
        <v>28</v>
      </c>
    </row>
    <row r="668" spans="2:18" x14ac:dyDescent="0.35">
      <c r="B668" s="9">
        <v>2579</v>
      </c>
      <c r="C668" s="9" t="str">
        <v>가용재고</v>
      </c>
      <c r="D668" s="9" t="str">
        <v/>
      </c>
      <c r="E668" s="9" t="str">
        <v/>
      </c>
      <c r="F668" s="9" t="str">
        <v/>
      </c>
      <c r="G668" s="9" t="str">
        <v/>
      </c>
      <c r="H668" s="9" t="str">
        <v>RE-04V-0418</v>
      </c>
      <c r="I668" s="11" t="str">
        <v>RE-04V-0418]PLT HANDLE REAR</v>
      </c>
      <c r="J668" s="9">
        <v>192</v>
      </c>
      <c r="K668" s="9" t="str">
        <v/>
      </c>
      <c r="L668" s="9" t="str">
        <v xml:space="preserve">4F  </v>
      </c>
      <c r="M668" s="12">
        <v>46307</v>
      </c>
      <c r="N668" s="5" t="str">
        <v/>
      </c>
      <c r="O668" s="5" t="str">
        <v/>
      </c>
      <c r="P668" s="5" t="str">
        <v/>
      </c>
      <c r="Q668" s="14" t="str">
        <v/>
      </c>
      <c r="R668" s="15">
        <v>192</v>
      </c>
    </row>
    <row r="669" spans="2:18" x14ac:dyDescent="0.35">
      <c r="B669" s="9">
        <v>2580</v>
      </c>
      <c r="C669" s="9" t="str">
        <v>가용재고</v>
      </c>
      <c r="D669" s="9" t="str">
        <v/>
      </c>
      <c r="E669" s="9" t="str">
        <v/>
      </c>
      <c r="F669" s="9" t="str">
        <v/>
      </c>
      <c r="G669" s="9" t="str">
        <v/>
      </c>
      <c r="H669" s="9" t="str">
        <v>RE-04V-0417</v>
      </c>
      <c r="I669" s="11" t="str">
        <v>RE-04V-0417]PLT HANDLE FRONT</v>
      </c>
      <c r="J669" s="9">
        <v>192</v>
      </c>
      <c r="K669" s="9" t="str">
        <v/>
      </c>
      <c r="L669" s="9" t="str">
        <v xml:space="preserve">4F  </v>
      </c>
      <c r="M669" s="12">
        <v>46307</v>
      </c>
      <c r="N669" s="5" t="str">
        <v/>
      </c>
      <c r="O669" s="5" t="str">
        <v/>
      </c>
      <c r="P669" s="5" t="str">
        <v/>
      </c>
      <c r="Q669" s="14" t="str">
        <v/>
      </c>
      <c r="R669" s="15">
        <v>192</v>
      </c>
    </row>
    <row r="670" spans="2:18" x14ac:dyDescent="0.35">
      <c r="B670" s="9">
        <v>2582</v>
      </c>
      <c r="C670" s="9" t="str">
        <v>가용재고</v>
      </c>
      <c r="D670" s="9" t="str">
        <v/>
      </c>
      <c r="E670" s="9" t="str">
        <v/>
      </c>
      <c r="F670" s="9" t="str">
        <v/>
      </c>
      <c r="G670" s="9" t="str">
        <v/>
      </c>
      <c r="H670" s="9" t="str">
        <v>RE-09T-0901</v>
      </c>
      <c r="I670" s="11" t="str">
        <v>RE-09T-0901]CAS CHINREST</v>
      </c>
      <c r="J670" s="9">
        <v>35</v>
      </c>
      <c r="K670" s="9" t="str">
        <v/>
      </c>
      <c r="L670" s="9" t="str">
        <v>3A-22</v>
      </c>
      <c r="M670" s="12">
        <v>46307</v>
      </c>
      <c r="N670" s="5" t="str">
        <v/>
      </c>
      <c r="O670" s="5" t="str">
        <v/>
      </c>
      <c r="P670" s="5" t="str">
        <v/>
      </c>
      <c r="Q670" s="14" t="str">
        <v/>
      </c>
      <c r="R670" s="15">
        <v>35</v>
      </c>
    </row>
    <row r="671" spans="2:18" x14ac:dyDescent="0.35">
      <c r="B671" s="9">
        <v>2583</v>
      </c>
      <c r="C671" s="9" t="str">
        <v>가용재고</v>
      </c>
      <c r="D671" s="9" t="str">
        <v/>
      </c>
      <c r="E671" s="9" t="str">
        <v/>
      </c>
      <c r="F671" s="9" t="str">
        <v/>
      </c>
      <c r="G671" s="9" t="str">
        <v/>
      </c>
      <c r="H671" s="9" t="str">
        <v>RA-09S-0389</v>
      </c>
      <c r="I671" s="11" t="str">
        <v>RA-09S-0389]CVR BITE BLK VINYL CVR</v>
      </c>
      <c r="J671" s="9">
        <v>44</v>
      </c>
      <c r="K671" s="9" t="str">
        <v/>
      </c>
      <c r="L671" s="9" t="str">
        <v>L1-1</v>
      </c>
      <c r="M671" s="12">
        <v>46307</v>
      </c>
      <c r="N671" s="5" t="str">
        <v/>
      </c>
      <c r="O671" s="5" t="str">
        <v/>
      </c>
      <c r="P671" s="5" t="str">
        <v/>
      </c>
      <c r="Q671" s="14" t="str">
        <v/>
      </c>
      <c r="R671" s="15">
        <v>44</v>
      </c>
    </row>
    <row r="672" spans="2:18" x14ac:dyDescent="0.35">
      <c r="B672" s="9">
        <v>2584</v>
      </c>
      <c r="C672" s="9" t="str">
        <v>가용재고</v>
      </c>
      <c r="D672" s="9" t="str">
        <v/>
      </c>
      <c r="E672" s="9" t="str">
        <v/>
      </c>
      <c r="F672" s="9" t="str">
        <v/>
      </c>
      <c r="G672" s="9" t="str">
        <v/>
      </c>
      <c r="H672" s="9" t="str">
        <v>RE-09S-0921</v>
      </c>
      <c r="I672" s="11" t="str">
        <v>RE-09S-0921]STK MAGNET RED</v>
      </c>
      <c r="J672" s="9">
        <v>147</v>
      </c>
      <c r="K672" s="9" t="str">
        <v/>
      </c>
      <c r="L672" s="9" t="str">
        <v>K7-3</v>
      </c>
      <c r="M672" s="12">
        <v>46307</v>
      </c>
      <c r="N672" s="5" t="str">
        <v/>
      </c>
      <c r="O672" s="5" t="str">
        <v/>
      </c>
      <c r="P672" s="5" t="str">
        <v/>
      </c>
      <c r="Q672" s="14" t="str">
        <v/>
      </c>
      <c r="R672" s="15">
        <v>147</v>
      </c>
    </row>
    <row r="673" spans="2:18" x14ac:dyDescent="0.35">
      <c r="B673" s="9">
        <v>2585</v>
      </c>
      <c r="C673" s="9" t="str">
        <v>가용재고</v>
      </c>
      <c r="D673" s="9" t="str">
        <v/>
      </c>
      <c r="E673" s="9" t="str">
        <v/>
      </c>
      <c r="F673" s="9" t="str">
        <v/>
      </c>
      <c r="G673" s="9" t="str">
        <v/>
      </c>
      <c r="H673" s="9" t="str">
        <v>RE-09T-0905</v>
      </c>
      <c r="I673" s="11" t="str">
        <v>RE-09T-0905]CAS TEMPLE SUP L</v>
      </c>
      <c r="J673" s="9">
        <v>38</v>
      </c>
      <c r="K673" s="9" t="str">
        <v/>
      </c>
      <c r="L673" s="9" t="str">
        <v>3A-22</v>
      </c>
      <c r="M673" s="12">
        <v>46307</v>
      </c>
      <c r="N673" s="5" t="str">
        <v/>
      </c>
      <c r="O673" s="5" t="str">
        <v/>
      </c>
      <c r="P673" s="5" t="str">
        <v/>
      </c>
      <c r="Q673" s="14" t="str">
        <v/>
      </c>
      <c r="R673" s="15">
        <v>38</v>
      </c>
    </row>
    <row r="674" spans="2:18" x14ac:dyDescent="0.35">
      <c r="B674" s="9">
        <v>2586</v>
      </c>
      <c r="C674" s="9" t="str">
        <v>가용재고</v>
      </c>
      <c r="D674" s="9" t="str">
        <v/>
      </c>
      <c r="E674" s="9" t="str">
        <v/>
      </c>
      <c r="F674" s="9" t="str">
        <v/>
      </c>
      <c r="G674" s="9" t="str">
        <v/>
      </c>
      <c r="H674" s="9" t="str">
        <v>RE-09S-0922</v>
      </c>
      <c r="I674" s="11" t="str">
        <v>RE-09S-0922]STK MAGNET BLUE</v>
      </c>
      <c r="J674" s="9">
        <v>142</v>
      </c>
      <c r="K674" s="9" t="str">
        <v/>
      </c>
      <c r="L674" s="9" t="str">
        <v>K7-3</v>
      </c>
      <c r="M674" s="12">
        <v>46307</v>
      </c>
      <c r="N674" s="5" t="str">
        <v/>
      </c>
      <c r="O674" s="5" t="str">
        <v/>
      </c>
      <c r="P674" s="5" t="str">
        <v/>
      </c>
      <c r="Q674" s="14" t="str">
        <v/>
      </c>
      <c r="R674" s="15">
        <v>142</v>
      </c>
    </row>
    <row r="675" spans="2:18" x14ac:dyDescent="0.35">
      <c r="B675" s="9">
        <v>2587</v>
      </c>
      <c r="C675" s="9" t="str">
        <v>가용재고</v>
      </c>
      <c r="D675" s="9" t="str">
        <v/>
      </c>
      <c r="E675" s="9" t="str">
        <v/>
      </c>
      <c r="F675" s="9" t="str">
        <v/>
      </c>
      <c r="G675" s="9" t="str">
        <v/>
      </c>
      <c r="H675" s="9" t="str">
        <v>RE-09T-0906</v>
      </c>
      <c r="I675" s="11" t="str">
        <v>RE-09T-0906]CAS TEMPLE SUP R</v>
      </c>
      <c r="J675" s="9">
        <v>37</v>
      </c>
      <c r="K675" s="9" t="str">
        <v/>
      </c>
      <c r="L675" s="9" t="str">
        <v>3A-22</v>
      </c>
      <c r="M675" s="12">
        <v>46307</v>
      </c>
      <c r="N675" s="5" t="str">
        <v/>
      </c>
      <c r="O675" s="5" t="str">
        <v/>
      </c>
      <c r="P675" s="5" t="str">
        <v/>
      </c>
      <c r="Q675" s="14" t="str">
        <v/>
      </c>
      <c r="R675" s="15">
        <v>37</v>
      </c>
    </row>
    <row r="676" spans="2:18" x14ac:dyDescent="0.35">
      <c r="B676" s="9">
        <v>2590</v>
      </c>
      <c r="C676" s="9" t="str">
        <v>가용재고</v>
      </c>
      <c r="D676" s="9" t="str">
        <v/>
      </c>
      <c r="E676" s="9" t="str">
        <v/>
      </c>
      <c r="F676" s="9" t="str">
        <v/>
      </c>
      <c r="G676" s="9" t="str">
        <v/>
      </c>
      <c r="H676" s="9" t="str">
        <v>RE-03T-0320</v>
      </c>
      <c r="I676" s="11" t="str">
        <v/>
      </c>
      <c r="J676" s="9">
        <v>65</v>
      </c>
      <c r="K676" s="9" t="str">
        <v/>
      </c>
      <c r="L676" s="9" t="str">
        <v>3A-14</v>
      </c>
      <c r="M676" s="12">
        <v>46307</v>
      </c>
      <c r="N676" s="5" t="str">
        <v/>
      </c>
      <c r="O676" s="5" t="str">
        <v/>
      </c>
      <c r="P676" s="5" t="str">
        <v/>
      </c>
      <c r="Q676" s="14" t="str">
        <v/>
      </c>
      <c r="R676" s="15">
        <v>65</v>
      </c>
    </row>
    <row r="677" spans="2:18" x14ac:dyDescent="0.35">
      <c r="B677" s="9">
        <v>2591</v>
      </c>
      <c r="C677" s="9" t="str">
        <v>가용재고</v>
      </c>
      <c r="D677" s="9" t="str">
        <v/>
      </c>
      <c r="E677" s="9" t="str">
        <v/>
      </c>
      <c r="F677" s="9" t="str">
        <v/>
      </c>
      <c r="G677" s="9" t="str">
        <v/>
      </c>
      <c r="H677" s="9" t="str">
        <v>RA-09T-1132</v>
      </c>
      <c r="I677" s="11" t="str">
        <v>RA-09T-1132]CAS EDENTULOUS GUIDE</v>
      </c>
      <c r="J677" s="9">
        <v>198</v>
      </c>
      <c r="K677" s="9" t="str">
        <v/>
      </c>
      <c r="L677" s="9" t="str">
        <v>3I4</v>
      </c>
      <c r="M677" s="12">
        <v>46307</v>
      </c>
      <c r="N677" s="5" t="str">
        <v/>
      </c>
      <c r="O677" s="5" t="str">
        <v/>
      </c>
      <c r="P677" s="5" t="str">
        <v/>
      </c>
      <c r="Q677" s="14" t="str">
        <v/>
      </c>
      <c r="R677" s="15">
        <v>198</v>
      </c>
    </row>
    <row r="678" spans="2:18" x14ac:dyDescent="0.35">
      <c r="B678" s="9">
        <v>2593</v>
      </c>
      <c r="C678" s="9" t="str">
        <v>가용재고</v>
      </c>
      <c r="D678" s="9" t="str">
        <v/>
      </c>
      <c r="E678" s="9" t="str">
        <v/>
      </c>
      <c r="F678" s="9" t="str">
        <v/>
      </c>
      <c r="G678" s="9" t="str">
        <v/>
      </c>
      <c r="H678" s="9" t="str">
        <v>RE-02T-0247</v>
      </c>
      <c r="I678" s="11" t="str">
        <v>RE-02T-0247]CAS VERT TOP</v>
      </c>
      <c r="J678" s="9">
        <v>38</v>
      </c>
      <c r="K678" s="9" t="str">
        <v/>
      </c>
      <c r="L678" s="9" t="str">
        <v>3A-14</v>
      </c>
      <c r="M678" s="12">
        <v>46307</v>
      </c>
      <c r="N678" s="5" t="str">
        <v/>
      </c>
      <c r="O678" s="5" t="str">
        <v/>
      </c>
      <c r="P678" s="5" t="str">
        <v/>
      </c>
      <c r="Q678" s="14" t="str">
        <v/>
      </c>
      <c r="R678" s="15">
        <v>38</v>
      </c>
    </row>
    <row r="679" spans="2:18" x14ac:dyDescent="0.35">
      <c r="B679" s="9">
        <v>2595</v>
      </c>
      <c r="C679" s="9" t="str">
        <v>가용재고</v>
      </c>
      <c r="D679" s="9" t="str">
        <v/>
      </c>
      <c r="E679" s="9" t="str">
        <v/>
      </c>
      <c r="F679" s="9" t="str">
        <v/>
      </c>
      <c r="G679" s="9" t="str">
        <v/>
      </c>
      <c r="H679" s="9" t="str">
        <v>RE-09S-0907</v>
      </c>
      <c r="I679" s="11" t="str">
        <v>RE-09S-0907]MAGNET TEMPLE SUP 15_8</v>
      </c>
      <c r="J679" s="9">
        <v>94</v>
      </c>
      <c r="K679" s="9" t="str">
        <v/>
      </c>
      <c r="L679" s="9" t="str">
        <v>K3-5</v>
      </c>
      <c r="M679" s="12">
        <v>46307</v>
      </c>
      <c r="N679" s="5" t="str">
        <v/>
      </c>
      <c r="O679" s="5" t="str">
        <v/>
      </c>
      <c r="P679" s="5" t="str">
        <v/>
      </c>
      <c r="Q679" s="14" t="str">
        <v/>
      </c>
      <c r="R679" s="15">
        <v>94</v>
      </c>
    </row>
    <row r="680" spans="2:18" x14ac:dyDescent="0.35">
      <c r="B680" s="9">
        <v>2596</v>
      </c>
      <c r="C680" s="9" t="str">
        <v>가용재고</v>
      </c>
      <c r="D680" s="9" t="str">
        <v/>
      </c>
      <c r="E680" s="9" t="str">
        <v/>
      </c>
      <c r="F680" s="9" t="str">
        <v/>
      </c>
      <c r="G680" s="9" t="str">
        <v/>
      </c>
      <c r="H680" s="9" t="str">
        <v>RE-04T-0453</v>
      </c>
      <c r="I680" s="11" t="str">
        <v>RE-04T-0453]CAP HANDLE B</v>
      </c>
      <c r="J680" s="9">
        <v>507</v>
      </c>
      <c r="K680" s="9" t="str">
        <v/>
      </c>
      <c r="L680" s="9" t="str">
        <v>3L14-2</v>
      </c>
      <c r="M680" s="12">
        <v>46307</v>
      </c>
      <c r="N680" s="5" t="str">
        <v/>
      </c>
      <c r="O680" s="5" t="str">
        <v/>
      </c>
      <c r="P680" s="5" t="str">
        <v/>
      </c>
      <c r="Q680" s="14" t="str">
        <v/>
      </c>
      <c r="R680" s="15">
        <v>507</v>
      </c>
    </row>
    <row r="681" spans="2:18" x14ac:dyDescent="0.35">
      <c r="B681" s="9">
        <v>2602</v>
      </c>
      <c r="C681" s="9" t="str">
        <v>가용재고</v>
      </c>
      <c r="D681" s="9" t="str">
        <v/>
      </c>
      <c r="E681" s="9" t="str">
        <v/>
      </c>
      <c r="F681" s="9" t="str">
        <v/>
      </c>
      <c r="G681" s="9" t="str">
        <v/>
      </c>
      <c r="H681" s="9" t="str">
        <v>RA-09T-1183</v>
      </c>
      <c r="I681" s="11" t="str">
        <v>RA-09T-1183]BLK BITE</v>
      </c>
      <c r="J681" s="9">
        <v>99</v>
      </c>
      <c r="K681" s="9" t="str">
        <v/>
      </c>
      <c r="L681" s="9" t="str">
        <v>3I4</v>
      </c>
      <c r="M681" s="12">
        <v>46307</v>
      </c>
      <c r="N681" s="5" t="str">
        <v/>
      </c>
      <c r="O681" s="5" t="str">
        <v/>
      </c>
      <c r="P681" s="5" t="str">
        <v/>
      </c>
      <c r="Q681" s="14" t="str">
        <v/>
      </c>
      <c r="R681" s="15">
        <v>99</v>
      </c>
    </row>
    <row r="682" spans="2:18" x14ac:dyDescent="0.35">
      <c r="B682" s="9">
        <v>2604</v>
      </c>
      <c r="C682" s="9" t="str">
        <v>가용재고</v>
      </c>
      <c r="D682" s="9" t="str">
        <v/>
      </c>
      <c r="E682" s="9" t="str">
        <v/>
      </c>
      <c r="F682" s="9" t="str">
        <v/>
      </c>
      <c r="G682" s="9" t="str">
        <v/>
      </c>
      <c r="H682" s="9" t="str">
        <v>RE-01T-0104</v>
      </c>
      <c r="I682" s="11" t="str">
        <v>RE-01T-0104]RUBBER CAP DECO</v>
      </c>
      <c r="J682" s="9">
        <v>720</v>
      </c>
      <c r="K682" s="9" t="str">
        <v/>
      </c>
      <c r="L682" s="9" t="str">
        <v>W</v>
      </c>
      <c r="M682" s="12">
        <v>46307</v>
      </c>
      <c r="N682" s="5" t="str">
        <v/>
      </c>
      <c r="O682" s="5" t="str">
        <v/>
      </c>
      <c r="P682" s="5" t="str">
        <v/>
      </c>
      <c r="Q682" s="14" t="str">
        <v/>
      </c>
      <c r="R682" s="15">
        <v>720</v>
      </c>
    </row>
    <row r="683" spans="2:18" x14ac:dyDescent="0.35">
      <c r="B683" s="9">
        <v>2609</v>
      </c>
      <c r="C683" s="9" t="str">
        <v>가용재고</v>
      </c>
      <c r="D683" s="9" t="str">
        <v/>
      </c>
      <c r="E683" s="9" t="str">
        <v/>
      </c>
      <c r="F683" s="9" t="str">
        <v/>
      </c>
      <c r="G683" s="9" t="str">
        <v/>
      </c>
      <c r="H683" s="9" t="str">
        <v>RE-04M-0438</v>
      </c>
      <c r="I683" s="11" t="str">
        <v>RE-04M-0438]DECO CANINE WINDOW</v>
      </c>
      <c r="J683" s="9">
        <v>53</v>
      </c>
      <c r="K683" s="9" t="str">
        <v/>
      </c>
      <c r="L683" s="9" t="str">
        <v>K3-3</v>
      </c>
      <c r="M683" s="12">
        <v>46307</v>
      </c>
      <c r="N683" s="5" t="str">
        <v/>
      </c>
      <c r="O683" s="5" t="str">
        <v/>
      </c>
      <c r="P683" s="5" t="str">
        <v/>
      </c>
      <c r="Q683" s="14" t="str">
        <v/>
      </c>
      <c r="R683" s="15">
        <v>53</v>
      </c>
    </row>
    <row r="684" spans="2:18" x14ac:dyDescent="0.35">
      <c r="B684" s="9">
        <v>2614</v>
      </c>
      <c r="C684" s="9" t="str">
        <v>가용재고</v>
      </c>
      <c r="D684" s="9" t="str">
        <v/>
      </c>
      <c r="E684" s="9" t="str">
        <v/>
      </c>
      <c r="F684" s="9" t="str">
        <v/>
      </c>
      <c r="G684" s="9" t="str">
        <v/>
      </c>
      <c r="H684" s="9" t="str">
        <v>RE-05H-5065</v>
      </c>
      <c r="I684" s="11" t="str">
        <v>RE-05H-5065_1]Earth ROT to TNK</v>
      </c>
      <c r="J684" s="9">
        <v>57</v>
      </c>
      <c r="K684" s="9" t="str">
        <v/>
      </c>
      <c r="L684" s="9" t="str">
        <v>F2-5</v>
      </c>
      <c r="M684" s="12">
        <v>46307</v>
      </c>
      <c r="N684" s="5" t="str">
        <v/>
      </c>
      <c r="O684" s="5" t="str">
        <v/>
      </c>
      <c r="P684" s="5" t="str">
        <v/>
      </c>
      <c r="Q684" s="14" t="str">
        <v/>
      </c>
      <c r="R684" s="15">
        <v>57</v>
      </c>
    </row>
    <row r="685" spans="2:18" x14ac:dyDescent="0.35">
      <c r="B685" s="9">
        <v>2617</v>
      </c>
      <c r="C685" s="9" t="str">
        <v>가용재고</v>
      </c>
      <c r="D685" s="9" t="str">
        <v/>
      </c>
      <c r="E685" s="9" t="str">
        <v/>
      </c>
      <c r="F685" s="9" t="str">
        <v/>
      </c>
      <c r="G685" s="9" t="str">
        <v/>
      </c>
      <c r="H685" s="9" t="str">
        <v>RE-02T-0246</v>
      </c>
      <c r="I685" s="11" t="str">
        <v>RE-02T-0246]CAS LED</v>
      </c>
      <c r="J685" s="9">
        <v>184</v>
      </c>
      <c r="K685" s="9" t="str">
        <v/>
      </c>
      <c r="L685" s="9" t="str">
        <v>3A-19</v>
      </c>
      <c r="M685" s="12">
        <v>46307</v>
      </c>
      <c r="N685" s="5" t="str">
        <v/>
      </c>
      <c r="O685" s="5" t="str">
        <v/>
      </c>
      <c r="P685" s="5" t="str">
        <v/>
      </c>
      <c r="Q685" s="14" t="str">
        <v/>
      </c>
      <c r="R685" s="15">
        <v>184</v>
      </c>
    </row>
    <row r="686" spans="2:18" x14ac:dyDescent="0.35">
      <c r="B686" s="9">
        <v>2618</v>
      </c>
      <c r="C686" s="9" t="str">
        <v>가용재고</v>
      </c>
      <c r="D686" s="9" t="str">
        <v/>
      </c>
      <c r="E686" s="9" t="str">
        <v/>
      </c>
      <c r="F686" s="9" t="str">
        <v/>
      </c>
      <c r="G686" s="9" t="str">
        <v/>
      </c>
      <c r="H686" s="9" t="str">
        <v>RA-02M-0395</v>
      </c>
      <c r="I686" s="11" t="str">
        <v>RA-02M-0395]PIN VERT POSITION</v>
      </c>
      <c r="J686" s="9">
        <v>110</v>
      </c>
      <c r="K686" s="9" t="str">
        <v/>
      </c>
      <c r="L686" s="9" t="str">
        <v>C3-1</v>
      </c>
      <c r="M686" s="12">
        <v>46307</v>
      </c>
      <c r="N686" s="5" t="str">
        <v/>
      </c>
      <c r="O686" s="5" t="str">
        <v/>
      </c>
      <c r="P686" s="5" t="str">
        <v/>
      </c>
      <c r="Q686" s="14" t="str">
        <v/>
      </c>
      <c r="R686" s="15">
        <v>110</v>
      </c>
    </row>
    <row r="687" spans="2:18" x14ac:dyDescent="0.35">
      <c r="B687" s="9">
        <v>2619</v>
      </c>
      <c r="C687" s="9" t="str">
        <v>가용재고</v>
      </c>
      <c r="D687" s="9" t="str">
        <v/>
      </c>
      <c r="E687" s="9" t="str">
        <v/>
      </c>
      <c r="F687" s="9" t="str">
        <v/>
      </c>
      <c r="G687" s="9" t="str">
        <v/>
      </c>
      <c r="H687" s="9" t="str">
        <v>RE-04T-0436</v>
      </c>
      <c r="I687" s="11" t="str">
        <v>RE-04T-0436]CAS CHINREST BOT</v>
      </c>
      <c r="J687" s="9">
        <v>7</v>
      </c>
      <c r="K687" s="9" t="str">
        <v/>
      </c>
      <c r="L687" s="9" t="str">
        <v>3A-22</v>
      </c>
      <c r="M687" s="12">
        <v>46307</v>
      </c>
      <c r="N687" s="5" t="str">
        <v/>
      </c>
      <c r="O687" s="5" t="str">
        <v/>
      </c>
      <c r="P687" s="5" t="str">
        <v/>
      </c>
      <c r="Q687" s="14" t="str">
        <v/>
      </c>
      <c r="R687" s="15">
        <v>7</v>
      </c>
    </row>
    <row r="688" spans="2:18" x14ac:dyDescent="0.35">
      <c r="B688" s="9">
        <v>2620</v>
      </c>
      <c r="C688" s="9" t="str">
        <v>가용재고</v>
      </c>
      <c r="D688" s="9" t="str">
        <v/>
      </c>
      <c r="E688" s="9" t="str">
        <v/>
      </c>
      <c r="F688" s="9" t="str">
        <v/>
      </c>
      <c r="G688" s="9" t="str">
        <v/>
      </c>
      <c r="H688" s="9" t="str">
        <v>RE-05A-0512</v>
      </c>
      <c r="I688" s="11" t="str">
        <v>RE-05A-0512]ASM ROTATOR WEIGH</v>
      </c>
      <c r="J688" s="9">
        <v>20</v>
      </c>
      <c r="K688" s="9" t="str">
        <v/>
      </c>
      <c r="L688" s="9" t="str">
        <v xml:space="preserve">4F  </v>
      </c>
      <c r="M688" s="12">
        <v>46307</v>
      </c>
      <c r="N688" s="5" t="str">
        <v/>
      </c>
      <c r="O688" s="5" t="str">
        <v/>
      </c>
      <c r="P688" s="5" t="str">
        <v/>
      </c>
      <c r="Q688" s="14" t="str">
        <v/>
      </c>
      <c r="R688" s="15">
        <v>20</v>
      </c>
    </row>
    <row r="689" spans="2:18" x14ac:dyDescent="0.35">
      <c r="B689" s="9">
        <v>2621</v>
      </c>
      <c r="C689" s="9" t="str">
        <v>가용재고</v>
      </c>
      <c r="D689" s="9" t="str">
        <v/>
      </c>
      <c r="E689" s="9" t="str">
        <v/>
      </c>
      <c r="F689" s="9" t="str">
        <v/>
      </c>
      <c r="G689" s="9" t="str">
        <v/>
      </c>
      <c r="H689" s="9" t="str">
        <v>RE-05H-5049</v>
      </c>
      <c r="I689" s="11" t="str">
        <v>RE-05H-5049_1]LASER_H Extend</v>
      </c>
      <c r="J689" s="9">
        <v>66</v>
      </c>
      <c r="K689" s="9" t="str">
        <v/>
      </c>
      <c r="L689" s="9" t="str">
        <v>F2-4</v>
      </c>
      <c r="M689" s="12">
        <v>46307</v>
      </c>
      <c r="N689" s="5" t="str">
        <v/>
      </c>
      <c r="O689" s="5" t="str">
        <v/>
      </c>
      <c r="P689" s="5" t="str">
        <v/>
      </c>
      <c r="Q689" s="14" t="str">
        <v/>
      </c>
      <c r="R689" s="15">
        <v>66</v>
      </c>
    </row>
    <row r="690" spans="2:18" x14ac:dyDescent="0.35">
      <c r="B690" s="9">
        <v>2622</v>
      </c>
      <c r="C690" s="9" t="str">
        <v>가용재고</v>
      </c>
      <c r="D690" s="9" t="str">
        <v/>
      </c>
      <c r="E690" s="9" t="str">
        <v/>
      </c>
      <c r="F690" s="9" t="str">
        <v/>
      </c>
      <c r="G690" s="9" t="str">
        <v/>
      </c>
      <c r="H690" s="9" t="str">
        <v>RE-05H-5030</v>
      </c>
      <c r="I690" s="11" t="str">
        <v>RE-05H-5030_1]TILT SIGNAL</v>
      </c>
      <c r="J690" s="9">
        <v>110</v>
      </c>
      <c r="K690" s="9" t="str">
        <v/>
      </c>
      <c r="L690" s="9" t="str">
        <v>F2-2</v>
      </c>
      <c r="M690" s="12">
        <v>46307</v>
      </c>
      <c r="N690" s="5" t="str">
        <v/>
      </c>
      <c r="O690" s="5" t="str">
        <v/>
      </c>
      <c r="P690" s="5" t="str">
        <v/>
      </c>
      <c r="Q690" s="14" t="str">
        <v/>
      </c>
      <c r="R690" s="15">
        <v>110</v>
      </c>
    </row>
    <row r="691" spans="2:18" x14ac:dyDescent="0.35">
      <c r="B691" s="9">
        <v>2623</v>
      </c>
      <c r="C691" s="9" t="str">
        <v>가용재고</v>
      </c>
      <c r="D691" s="9" t="str">
        <v/>
      </c>
      <c r="E691" s="9" t="str">
        <v/>
      </c>
      <c r="F691" s="9" t="str">
        <v/>
      </c>
      <c r="G691" s="9" t="str">
        <v/>
      </c>
      <c r="H691" s="9" t="str">
        <v>RE-04T-0434</v>
      </c>
      <c r="I691" s="11" t="str">
        <v>RE-04T-0434]CAS ARM BOT</v>
      </c>
      <c r="J691" s="9">
        <v>170</v>
      </c>
      <c r="K691" s="9" t="str">
        <v/>
      </c>
      <c r="L691" s="9" t="str">
        <v>3A-12</v>
      </c>
      <c r="M691" s="12">
        <v>46307</v>
      </c>
      <c r="N691" s="5" t="str">
        <v/>
      </c>
      <c r="O691" s="5" t="str">
        <v/>
      </c>
      <c r="P691" s="5" t="str">
        <v/>
      </c>
      <c r="Q691" s="14" t="str">
        <v/>
      </c>
      <c r="R691" s="15">
        <v>170</v>
      </c>
    </row>
    <row r="692" spans="2:18" x14ac:dyDescent="0.35">
      <c r="B692" s="9">
        <v>2626</v>
      </c>
      <c r="C692" s="9" t="str">
        <v>가용재고</v>
      </c>
      <c r="D692" s="9" t="str">
        <v/>
      </c>
      <c r="E692" s="9" t="str">
        <v/>
      </c>
      <c r="F692" s="9" t="str">
        <v/>
      </c>
      <c r="G692" s="9" t="str">
        <v/>
      </c>
      <c r="H692" s="9" t="str">
        <v>RE-02B-5105</v>
      </c>
      <c r="I692" s="11" t="str">
        <v>RE-02B-5105]eINDICATOR Bd</v>
      </c>
      <c r="J692" s="9">
        <v>20</v>
      </c>
      <c r="K692" s="9" t="str">
        <v/>
      </c>
      <c r="L692" s="9" t="str">
        <v>K6-3</v>
      </c>
      <c r="M692" s="12">
        <v>46307</v>
      </c>
      <c r="N692" s="5" t="str">
        <v/>
      </c>
      <c r="O692" s="5" t="str">
        <v/>
      </c>
      <c r="P692" s="5" t="str">
        <v/>
      </c>
      <c r="Q692" s="14" t="str">
        <v/>
      </c>
      <c r="R692" s="15">
        <v>20</v>
      </c>
    </row>
    <row r="693" spans="2:18" x14ac:dyDescent="0.35">
      <c r="B693" s="9">
        <v>2629</v>
      </c>
      <c r="C693" s="9" t="str">
        <v>가용재고</v>
      </c>
      <c r="D693" s="9" t="str">
        <v/>
      </c>
      <c r="E693" s="9" t="str">
        <v>입고</v>
      </c>
      <c r="F693" s="9" t="str">
        <v>A&amp;T</v>
      </c>
      <c r="G693" s="9" t="str">
        <v>장동은</v>
      </c>
      <c r="H693" s="9" t="str">
        <v>RE-03A-1030</v>
      </c>
      <c r="I693" s="11" t="str">
        <v>RE-03A-1030]ASM COLUMN MODULE</v>
      </c>
      <c r="J693" s="9">
        <v>16</v>
      </c>
      <c r="K693" s="9" t="str">
        <v/>
      </c>
      <c r="L693" s="9" t="str">
        <v>K8</v>
      </c>
      <c r="M693" s="12">
        <v>46294</v>
      </c>
      <c r="N693" s="5" t="str">
        <v/>
      </c>
      <c r="O693" s="5" t="str">
        <v/>
      </c>
      <c r="P693" s="5" t="str">
        <v/>
      </c>
      <c r="Q693" s="14" t="str">
        <v/>
      </c>
      <c r="R693" s="15">
        <v>16</v>
      </c>
    </row>
    <row r="694" spans="2:18" x14ac:dyDescent="0.35">
      <c r="B694" s="9">
        <v>2632</v>
      </c>
      <c r="C694" s="9" t="str">
        <v>가용재고</v>
      </c>
      <c r="D694" s="9" t="str">
        <v/>
      </c>
      <c r="E694" s="9" t="str">
        <v/>
      </c>
      <c r="F694" s="9" t="str">
        <v/>
      </c>
      <c r="G694" s="9" t="str">
        <v/>
      </c>
      <c r="H694" s="9" t="str">
        <v>RE-03A-1030</v>
      </c>
      <c r="I694" s="11" t="str">
        <v>RE-03A-1030]ASM COLUMN MODULE</v>
      </c>
      <c r="J694" s="9">
        <v>3</v>
      </c>
      <c r="K694" s="9" t="str">
        <v/>
      </c>
      <c r="L694" s="9" t="str">
        <v>K8</v>
      </c>
      <c r="M694" s="12">
        <v>46301</v>
      </c>
      <c r="N694" s="5" t="str">
        <v/>
      </c>
      <c r="O694" s="5" t="str">
        <v/>
      </c>
      <c r="P694" s="5" t="str">
        <v/>
      </c>
      <c r="Q694" s="14" t="str">
        <v/>
      </c>
      <c r="R694" s="15">
        <v>3</v>
      </c>
    </row>
    <row r="695" spans="2:18" x14ac:dyDescent="0.35">
      <c r="B695" s="9">
        <v>2633</v>
      </c>
      <c r="C695" s="9" t="str">
        <v>가용재고</v>
      </c>
      <c r="D695" s="9" t="str">
        <v/>
      </c>
      <c r="E695" s="9" t="str">
        <v/>
      </c>
      <c r="F695" s="9" t="str">
        <v/>
      </c>
      <c r="G695" s="9" t="str">
        <v/>
      </c>
      <c r="H695" s="9" t="str">
        <v>RA-08M-0623</v>
      </c>
      <c r="I695" s="11" t="str">
        <v>RA-08M-0623]PIN STOPPER</v>
      </c>
      <c r="J695" s="9">
        <v>0</v>
      </c>
      <c r="K695" s="9" t="str">
        <v/>
      </c>
      <c r="L695" s="9" t="str">
        <v>E2-1</v>
      </c>
      <c r="M695" s="12">
        <v>46296</v>
      </c>
      <c r="N695" s="5" t="str">
        <v/>
      </c>
      <c r="O695" s="5" t="str">
        <v/>
      </c>
      <c r="P695" s="5" t="str">
        <v/>
      </c>
      <c r="Q695" s="14" t="str">
        <v/>
      </c>
      <c r="R695" s="15">
        <v>0</v>
      </c>
    </row>
    <row r="696" spans="2:18" x14ac:dyDescent="0.35">
      <c r="B696" s="9">
        <v>2634</v>
      </c>
      <c r="C696" s="9" t="str">
        <v>가용재고</v>
      </c>
      <c r="D696" s="9" t="str">
        <v/>
      </c>
      <c r="E696" s="9" t="str">
        <v/>
      </c>
      <c r="F696" s="9" t="str">
        <v/>
      </c>
      <c r="G696" s="9" t="str">
        <v/>
      </c>
      <c r="H696" s="9" t="str">
        <v>RA-08M-0738</v>
      </c>
      <c r="I696" s="11" t="str">
        <v>RA-08M-0738]BLK OC _4HEAD FIX</v>
      </c>
      <c r="J696" s="9">
        <v>171</v>
      </c>
      <c r="K696" s="9" t="str">
        <v/>
      </c>
      <c r="L696" s="9" t="str">
        <v>E1-2</v>
      </c>
      <c r="M696" s="12">
        <v>46296</v>
      </c>
      <c r="N696" s="5" t="str">
        <v/>
      </c>
      <c r="O696" s="5" t="str">
        <v/>
      </c>
      <c r="P696" s="5" t="str">
        <v/>
      </c>
      <c r="Q696" s="14" t="str">
        <v/>
      </c>
      <c r="R696" s="15">
        <v>171</v>
      </c>
    </row>
    <row r="697" spans="2:18" x14ac:dyDescent="0.35">
      <c r="B697" s="9">
        <v>2635</v>
      </c>
      <c r="C697" s="9" t="str">
        <v>가용재고</v>
      </c>
      <c r="D697" s="9" t="str">
        <v/>
      </c>
      <c r="E697" s="9" t="str">
        <v/>
      </c>
      <c r="F697" s="9" t="str">
        <v/>
      </c>
      <c r="G697" s="9" t="str">
        <v/>
      </c>
      <c r="H697" s="9" t="str">
        <v>RA-08M-0619</v>
      </c>
      <c r="I697" s="11" t="str">
        <v>RA-08M-0619]SHAFT _4HEAD FIX</v>
      </c>
      <c r="J697" s="9">
        <v>215</v>
      </c>
      <c r="K697" s="9" t="str">
        <v/>
      </c>
      <c r="L697" s="9" t="str">
        <v>E2-1</v>
      </c>
      <c r="M697" s="12">
        <v>46296</v>
      </c>
      <c r="N697" s="5" t="str">
        <v/>
      </c>
      <c r="O697" s="5" t="str">
        <v/>
      </c>
      <c r="P697" s="5" t="str">
        <v/>
      </c>
      <c r="Q697" s="14" t="str">
        <v/>
      </c>
      <c r="R697" s="15">
        <v>215</v>
      </c>
    </row>
    <row r="698" spans="2:18" x14ac:dyDescent="0.35">
      <c r="B698" s="9">
        <v>2636</v>
      </c>
      <c r="C698" s="9" t="str">
        <v>가용재고</v>
      </c>
      <c r="D698" s="9" t="str">
        <v/>
      </c>
      <c r="E698" s="9" t="str">
        <v/>
      </c>
      <c r="F698" s="9" t="str">
        <v/>
      </c>
      <c r="G698" s="9" t="str">
        <v/>
      </c>
      <c r="H698" s="9" t="str">
        <v>RA-08M-0620</v>
      </c>
      <c r="I698" s="11" t="str">
        <v>RA-08M-0620]PLT CEPH _4HEAD</v>
      </c>
      <c r="J698" s="9">
        <v>93</v>
      </c>
      <c r="K698" s="9" t="str">
        <v/>
      </c>
      <c r="L698" s="9" t="str">
        <v>E2-1</v>
      </c>
      <c r="M698" s="12">
        <v>46296</v>
      </c>
      <c r="N698" s="5" t="str">
        <v/>
      </c>
      <c r="O698" s="5" t="str">
        <v/>
      </c>
      <c r="P698" s="5" t="str">
        <v/>
      </c>
      <c r="Q698" s="14" t="str">
        <v/>
      </c>
      <c r="R698" s="15">
        <v>93</v>
      </c>
    </row>
    <row r="699" spans="2:18" x14ac:dyDescent="0.35">
      <c r="B699" s="9">
        <v>2637</v>
      </c>
      <c r="C699" s="9" t="str">
        <v>가용재고</v>
      </c>
      <c r="D699" s="9" t="str">
        <v/>
      </c>
      <c r="E699" s="9" t="str">
        <v/>
      </c>
      <c r="F699" s="9" t="str">
        <v/>
      </c>
      <c r="G699" s="9" t="str">
        <v/>
      </c>
      <c r="H699" s="9" t="str">
        <v>RA-08V-0621</v>
      </c>
      <c r="I699" s="11" t="str">
        <v>RA-08V-0621]PLT WASHER FIX</v>
      </c>
      <c r="J699" s="9">
        <v>21</v>
      </c>
      <c r="K699" s="9" t="str">
        <v/>
      </c>
      <c r="L699" s="9" t="str">
        <v>E1-3</v>
      </c>
      <c r="M699" s="12">
        <v>46296</v>
      </c>
      <c r="N699" s="5" t="str">
        <v/>
      </c>
      <c r="O699" s="5" t="str">
        <v/>
      </c>
      <c r="P699" s="5" t="str">
        <v/>
      </c>
      <c r="Q699" s="14" t="str">
        <v/>
      </c>
      <c r="R699" s="15">
        <v>21</v>
      </c>
    </row>
    <row r="700" spans="2:18" x14ac:dyDescent="0.35">
      <c r="B700" s="9">
        <v>2638</v>
      </c>
      <c r="C700" s="9" t="str">
        <v>가용재고</v>
      </c>
      <c r="D700" s="9" t="str">
        <v/>
      </c>
      <c r="E700" s="9" t="str">
        <v/>
      </c>
      <c r="F700" s="9" t="str">
        <v/>
      </c>
      <c r="G700" s="9" t="str">
        <v/>
      </c>
      <c r="H700" s="9" t="str">
        <v>RA-08T-0632</v>
      </c>
      <c r="I700" s="11" t="str">
        <v>RA-08T-0632]CAS CEPH _4HEAD BAR</v>
      </c>
      <c r="J700" s="9">
        <v>302</v>
      </c>
      <c r="K700" s="9" t="str">
        <v/>
      </c>
      <c r="L700" s="9" t="str">
        <v>S</v>
      </c>
      <c r="M700" s="12">
        <v>46296</v>
      </c>
      <c r="N700" s="5" t="str">
        <v/>
      </c>
      <c r="O700" s="5" t="str">
        <v/>
      </c>
      <c r="P700" s="5" t="str">
        <v/>
      </c>
      <c r="Q700" s="14" t="str">
        <v/>
      </c>
      <c r="R700" s="15">
        <v>302</v>
      </c>
    </row>
    <row r="701" spans="2:18" x14ac:dyDescent="0.35">
      <c r="B701" s="9">
        <v>2639</v>
      </c>
      <c r="C701" s="9" t="str">
        <v>가용재고</v>
      </c>
      <c r="D701" s="9" t="str">
        <v/>
      </c>
      <c r="E701" s="9" t="str">
        <v/>
      </c>
      <c r="F701" s="9" t="str">
        <v/>
      </c>
      <c r="G701" s="9" t="str">
        <v/>
      </c>
      <c r="H701" s="9" t="str">
        <v>RA-08M-0976</v>
      </c>
      <c r="I701" s="11" t="str">
        <v>RA-08M-0976]CEPH SCALE BAR</v>
      </c>
      <c r="J701" s="9">
        <v>242</v>
      </c>
      <c r="K701" s="9" t="str">
        <v/>
      </c>
      <c r="L701" s="9" t="str">
        <v>E1-1</v>
      </c>
      <c r="M701" s="12">
        <v>46296</v>
      </c>
      <c r="N701" s="5" t="str">
        <v/>
      </c>
      <c r="O701" s="5" t="str">
        <v/>
      </c>
      <c r="P701" s="5" t="str">
        <v/>
      </c>
      <c r="Q701" s="14" t="str">
        <v/>
      </c>
      <c r="R701" s="15">
        <v>242</v>
      </c>
    </row>
    <row r="702" spans="2:18" x14ac:dyDescent="0.35">
      <c r="B702" s="9">
        <v>2640</v>
      </c>
      <c r="C702" s="9" t="str">
        <v>가용재고</v>
      </c>
      <c r="D702" s="9" t="str">
        <v/>
      </c>
      <c r="E702" s="9" t="str">
        <v/>
      </c>
      <c r="F702" s="9" t="str">
        <v/>
      </c>
      <c r="G702" s="9" t="str">
        <v/>
      </c>
      <c r="H702" s="9" t="str">
        <v>RA-08M-0624</v>
      </c>
      <c r="I702" s="11" t="str">
        <v>RA-08M-0624]BLK CEPH _4HEAD</v>
      </c>
      <c r="J702" s="9">
        <v>294</v>
      </c>
      <c r="K702" s="9" t="str">
        <v/>
      </c>
      <c r="L702" s="9" t="str">
        <v>E2-1</v>
      </c>
      <c r="M702" s="12">
        <v>46296</v>
      </c>
      <c r="N702" s="5" t="str">
        <v/>
      </c>
      <c r="O702" s="5" t="str">
        <v/>
      </c>
      <c r="P702" s="5" t="str">
        <v/>
      </c>
      <c r="Q702" s="14" t="str">
        <v/>
      </c>
      <c r="R702" s="15">
        <v>294</v>
      </c>
    </row>
    <row r="703" spans="2:18" x14ac:dyDescent="0.35">
      <c r="B703" s="9">
        <v>2641</v>
      </c>
      <c r="C703" s="9" t="str">
        <v>가용재고</v>
      </c>
      <c r="D703" s="9" t="str">
        <v/>
      </c>
      <c r="E703" s="9" t="str">
        <v/>
      </c>
      <c r="F703" s="9" t="str">
        <v/>
      </c>
      <c r="G703" s="9" t="str">
        <v/>
      </c>
      <c r="H703" s="9" t="str">
        <v>RA-08M-0625</v>
      </c>
      <c r="I703" s="11" t="str">
        <v>RA-08M-0625]_4M CEPH _4HEAD</v>
      </c>
      <c r="J703" s="9">
        <v>1012</v>
      </c>
      <c r="K703" s="9" t="str">
        <v/>
      </c>
      <c r="L703" s="9" t="str">
        <v>E2-1</v>
      </c>
      <c r="M703" s="12">
        <v>46296</v>
      </c>
      <c r="N703" s="5" t="str">
        <v/>
      </c>
      <c r="O703" s="5" t="str">
        <v/>
      </c>
      <c r="P703" s="5" t="str">
        <v/>
      </c>
      <c r="Q703" s="14" t="str">
        <v/>
      </c>
      <c r="R703" s="15">
        <v>1012</v>
      </c>
    </row>
    <row r="704" spans="2:18" x14ac:dyDescent="0.35">
      <c r="B704" s="9">
        <v>2642</v>
      </c>
      <c r="C704" s="9" t="str">
        <v>가용재고</v>
      </c>
      <c r="D704" s="9" t="str">
        <v/>
      </c>
      <c r="E704" s="9" t="str">
        <v/>
      </c>
      <c r="F704" s="9" t="str">
        <v/>
      </c>
      <c r="G704" s="9" t="str">
        <v/>
      </c>
      <c r="H704" s="9" t="str">
        <v>RA-08M-0622</v>
      </c>
      <c r="I704" s="11" t="str">
        <v>RA-08M-0622]WASHER SCAN CEPH</v>
      </c>
      <c r="J704" s="9">
        <v>220</v>
      </c>
      <c r="K704" s="9" t="str">
        <v/>
      </c>
      <c r="L704" s="9" t="str">
        <v>E2-1</v>
      </c>
      <c r="M704" s="12">
        <v>46296</v>
      </c>
      <c r="N704" s="5" t="str">
        <v/>
      </c>
      <c r="O704" s="5" t="str">
        <v/>
      </c>
      <c r="P704" s="5" t="str">
        <v/>
      </c>
      <c r="Q704" s="14" t="str">
        <v/>
      </c>
      <c r="R704" s="15">
        <v>220</v>
      </c>
    </row>
    <row r="705" spans="2:18" x14ac:dyDescent="0.35">
      <c r="B705" s="9">
        <v>2644</v>
      </c>
      <c r="C705" s="9" t="str">
        <v>가용재고</v>
      </c>
      <c r="D705" s="9" t="str">
        <v/>
      </c>
      <c r="E705" s="9" t="str">
        <v/>
      </c>
      <c r="F705" s="9" t="str">
        <v/>
      </c>
      <c r="G705" s="9" t="str">
        <v/>
      </c>
      <c r="H705" s="9" t="str">
        <v>RA-05V-2559</v>
      </c>
      <c r="I705" s="11" t="str">
        <v>RA-05V-2559]CVR SUB MCU</v>
      </c>
      <c r="J705" s="9">
        <v>50</v>
      </c>
      <c r="K705" s="9" t="str">
        <v/>
      </c>
      <c r="L705" s="9" t="str">
        <v>K5-3</v>
      </c>
      <c r="M705" s="12">
        <v>46296</v>
      </c>
      <c r="N705" s="5" t="str">
        <v/>
      </c>
      <c r="O705" s="5" t="str">
        <v/>
      </c>
      <c r="P705" s="5" t="str">
        <v/>
      </c>
      <c r="Q705" s="14" t="str">
        <v/>
      </c>
      <c r="R705" s="15">
        <v>50</v>
      </c>
    </row>
    <row r="706" spans="2:18" x14ac:dyDescent="0.35">
      <c r="B706" s="9">
        <v>2645</v>
      </c>
      <c r="C706" s="9" t="str">
        <v>가용재고</v>
      </c>
      <c r="D706" s="9" t="str">
        <v/>
      </c>
      <c r="E706" s="9" t="str">
        <v/>
      </c>
      <c r="F706" s="9" t="str">
        <v/>
      </c>
      <c r="G706" s="9" t="str">
        <v/>
      </c>
      <c r="H706" s="9" t="str">
        <v>RA-09V-3433</v>
      </c>
      <c r="I706" s="11" t="str">
        <v>RA-09V-3433]PLT LIGHT PHNT (ST)</v>
      </c>
      <c r="J706" s="9">
        <v>24</v>
      </c>
      <c r="K706" s="9" t="str">
        <v/>
      </c>
      <c r="L706" s="9" t="str">
        <v>L2-4</v>
      </c>
      <c r="M706" s="12">
        <v>46296</v>
      </c>
      <c r="N706" s="5" t="str">
        <v/>
      </c>
      <c r="O706" s="5" t="str">
        <v/>
      </c>
      <c r="P706" s="5" t="str">
        <v/>
      </c>
      <c r="Q706" s="14" t="str">
        <v/>
      </c>
      <c r="R706" s="15">
        <v>24</v>
      </c>
    </row>
    <row r="707" spans="2:18" x14ac:dyDescent="0.35">
      <c r="B707" s="9">
        <v>2646</v>
      </c>
      <c r="C707" s="9" t="str">
        <v>가용재고</v>
      </c>
      <c r="D707" s="9" t="str">
        <v/>
      </c>
      <c r="E707" s="9" t="str">
        <v/>
      </c>
      <c r="F707" s="9" t="str">
        <v/>
      </c>
      <c r="G707" s="9" t="str">
        <v/>
      </c>
      <c r="H707" s="9" t="str">
        <v>RA-03A-0287</v>
      </c>
      <c r="I707" s="11" t="str">
        <v>RA-03A-0287]ASM LEVER HORIZONTAL LASER</v>
      </c>
      <c r="J707" s="9">
        <v>28</v>
      </c>
      <c r="K707" s="9" t="str">
        <v/>
      </c>
      <c r="L707" s="9" t="str">
        <v>B1-4</v>
      </c>
      <c r="M707" s="12">
        <v>46296</v>
      </c>
      <c r="N707" s="5" t="str">
        <v/>
      </c>
      <c r="O707" s="5" t="str">
        <v/>
      </c>
      <c r="P707" s="5" t="str">
        <v/>
      </c>
      <c r="Q707" s="14" t="str">
        <v/>
      </c>
      <c r="R707" s="15">
        <v>28</v>
      </c>
    </row>
    <row r="708" spans="2:18" x14ac:dyDescent="0.35">
      <c r="B708" s="9">
        <v>2647</v>
      </c>
      <c r="C708" s="9" t="str">
        <v>가용재고</v>
      </c>
      <c r="D708" s="9" t="str">
        <v/>
      </c>
      <c r="E708" s="9" t="str">
        <v/>
      </c>
      <c r="F708" s="9" t="str">
        <v/>
      </c>
      <c r="G708" s="9" t="str">
        <v/>
      </c>
      <c r="H708" s="9" t="str">
        <v>RA-7-3</v>
      </c>
      <c r="I708" s="11" t="str">
        <v>RA-7-3]LAN PC</v>
      </c>
      <c r="J708" s="9">
        <v>71</v>
      </c>
      <c r="K708" s="9" t="str">
        <v/>
      </c>
      <c r="L708" s="9" t="str">
        <v>G4</v>
      </c>
      <c r="M708" s="12">
        <v>46296</v>
      </c>
      <c r="N708" s="5" t="str">
        <v/>
      </c>
      <c r="O708" s="5" t="str">
        <v/>
      </c>
      <c r="P708" s="5" t="str">
        <v/>
      </c>
      <c r="Q708" s="14" t="str">
        <v/>
      </c>
      <c r="R708" s="15">
        <v>71</v>
      </c>
    </row>
    <row r="709" spans="2:18" x14ac:dyDescent="0.35">
      <c r="B709" s="9">
        <v>2648</v>
      </c>
      <c r="C709" s="9" t="str">
        <v>가용재고</v>
      </c>
      <c r="D709" s="9" t="str">
        <v/>
      </c>
      <c r="E709" s="9" t="str">
        <v/>
      </c>
      <c r="F709" s="9" t="str">
        <v/>
      </c>
      <c r="G709" s="9" t="str">
        <v/>
      </c>
      <c r="H709" s="9" t="str">
        <v>RA-04T-0144</v>
      </c>
      <c r="I709" s="11" t="str">
        <v>RA-04T-0144]CAS CHINREST BOT</v>
      </c>
      <c r="J709" s="9">
        <v>206</v>
      </c>
      <c r="K709" s="9" t="str">
        <v/>
      </c>
      <c r="L709" s="9" t="str">
        <v>S</v>
      </c>
      <c r="M709" s="12">
        <v>46296</v>
      </c>
      <c r="N709" s="5" t="str">
        <v/>
      </c>
      <c r="O709" s="5" t="str">
        <v/>
      </c>
      <c r="P709" s="5" t="str">
        <v/>
      </c>
      <c r="Q709" s="14" t="str">
        <v/>
      </c>
      <c r="R709" s="15">
        <v>206</v>
      </c>
    </row>
    <row r="710" spans="2:18" x14ac:dyDescent="0.35">
      <c r="B710" s="9">
        <v>2649</v>
      </c>
      <c r="C710" s="9" t="str">
        <v>가용재고</v>
      </c>
      <c r="D710" s="9" t="str">
        <v/>
      </c>
      <c r="E710" s="9" t="str">
        <v/>
      </c>
      <c r="F710" s="9" t="str">
        <v/>
      </c>
      <c r="G710" s="9" t="str">
        <v/>
      </c>
      <c r="H710" s="9" t="str">
        <v>RA-05T-0207</v>
      </c>
      <c r="I710" s="11" t="str">
        <v>RA-05T-0207]CAS ROT BOT DECO</v>
      </c>
      <c r="J710" s="9">
        <v>358</v>
      </c>
      <c r="K710" s="9" t="str">
        <v/>
      </c>
      <c r="L710" s="9" t="str">
        <v>R</v>
      </c>
      <c r="M710" s="12">
        <v>46296</v>
      </c>
      <c r="N710" s="5" t="str">
        <v/>
      </c>
      <c r="O710" s="5" t="str">
        <v/>
      </c>
      <c r="P710" s="5" t="str">
        <v/>
      </c>
      <c r="Q710" s="14" t="str">
        <v/>
      </c>
      <c r="R710" s="15">
        <v>358</v>
      </c>
    </row>
    <row r="711" spans="2:18" x14ac:dyDescent="0.35">
      <c r="B711" s="9">
        <v>2654</v>
      </c>
      <c r="C711" s="9" t="str">
        <v>가용재고</v>
      </c>
      <c r="D711" s="9" t="str">
        <v/>
      </c>
      <c r="E711" s="9" t="str">
        <v/>
      </c>
      <c r="F711" s="9" t="str">
        <v/>
      </c>
      <c r="G711" s="9" t="str">
        <v/>
      </c>
      <c r="H711" s="9" t="str">
        <v>RA-05A-2721</v>
      </c>
      <c r="I711" s="11" t="str">
        <v>ASM ROTATOR</v>
      </c>
      <c r="J711" s="9">
        <v>90</v>
      </c>
      <c r="K711" s="9" t="str">
        <v/>
      </c>
      <c r="L711" s="9" t="str">
        <v>T</v>
      </c>
      <c r="M711" s="12">
        <v>46296</v>
      </c>
      <c r="N711" s="5" t="str">
        <v/>
      </c>
      <c r="O711" s="5" t="str">
        <v/>
      </c>
      <c r="P711" s="5" t="str">
        <v/>
      </c>
      <c r="Q711" s="14" t="str">
        <v/>
      </c>
      <c r="R711" s="15">
        <v>90</v>
      </c>
    </row>
    <row r="712" spans="2:18" x14ac:dyDescent="0.35">
      <c r="B712" s="9">
        <v>2655</v>
      </c>
      <c r="C712" s="9" t="str">
        <v>가용재고</v>
      </c>
      <c r="D712" s="9" t="str">
        <v/>
      </c>
      <c r="E712" s="9" t="str">
        <v/>
      </c>
      <c r="F712" s="9" t="str">
        <v/>
      </c>
      <c r="G712" s="9" t="str">
        <v/>
      </c>
      <c r="H712" s="9" t="str">
        <v>RA-09A-2754</v>
      </c>
      <c r="I712" s="11" t="str">
        <v>RA-09A-2754]ASM CT HEADREST (A+) (VN)</v>
      </c>
      <c r="J712" s="9">
        <v>84</v>
      </c>
      <c r="K712" s="9" t="str">
        <v/>
      </c>
      <c r="L712" s="9" t="str">
        <v>O3</v>
      </c>
      <c r="M712" s="12">
        <v>46296</v>
      </c>
      <c r="N712" s="5" t="str">
        <v/>
      </c>
      <c r="O712" s="5" t="str">
        <v/>
      </c>
      <c r="P712" s="5" t="str">
        <v/>
      </c>
      <c r="Q712" s="14" t="str">
        <v/>
      </c>
      <c r="R712" s="15">
        <v>84</v>
      </c>
    </row>
    <row r="713" spans="2:18" x14ac:dyDescent="0.35">
      <c r="B713" s="9">
        <v>2656</v>
      </c>
      <c r="C713" s="9" t="str">
        <v>가용재고</v>
      </c>
      <c r="D713" s="9" t="str">
        <v/>
      </c>
      <c r="E713" s="9" t="str">
        <v/>
      </c>
      <c r="F713" s="9" t="str">
        <v/>
      </c>
      <c r="G713" s="9" t="str">
        <v/>
      </c>
      <c r="H713" s="9" t="str">
        <v>RA-09M-3440</v>
      </c>
      <c r="I713" s="11" t="str">
        <v>RA-09M-3440]BLK GUIDE BITE (ST)_REV.C</v>
      </c>
      <c r="J713" s="9">
        <v>195</v>
      </c>
      <c r="K713" s="9" t="str">
        <v/>
      </c>
      <c r="L713" s="9" t="str">
        <v>N6</v>
      </c>
      <c r="M713" s="12">
        <v>46296</v>
      </c>
      <c r="N713" s="5" t="str">
        <v/>
      </c>
      <c r="O713" s="5" t="str">
        <v/>
      </c>
      <c r="P713" s="5" t="str">
        <v/>
      </c>
      <c r="Q713" s="14" t="str">
        <v/>
      </c>
      <c r="R713" s="15">
        <v>195</v>
      </c>
    </row>
    <row r="714" spans="2:18" x14ac:dyDescent="0.35">
      <c r="B714" s="9">
        <v>2657</v>
      </c>
      <c r="C714" s="9" t="str">
        <v>가용재고</v>
      </c>
      <c r="D714" s="9" t="str">
        <v/>
      </c>
      <c r="E714" s="9" t="str">
        <v/>
      </c>
      <c r="F714" s="9" t="str">
        <v/>
      </c>
      <c r="G714" s="9" t="str">
        <v/>
      </c>
      <c r="H714" s="9" t="str">
        <v>RA-09T-3991</v>
      </c>
      <c r="I714" s="11" t="str">
        <v>RA-09T-3991]CAS CHINREST (MG)</v>
      </c>
      <c r="J714" s="9">
        <v>10</v>
      </c>
      <c r="K714" s="9" t="str">
        <v/>
      </c>
      <c r="L714" s="9" t="str">
        <v>N6</v>
      </c>
      <c r="M714" s="12">
        <v>46296</v>
      </c>
      <c r="N714" s="5" t="str">
        <v/>
      </c>
      <c r="O714" s="5" t="str">
        <v/>
      </c>
      <c r="P714" s="5" t="str">
        <v/>
      </c>
      <c r="Q714" s="14" t="str">
        <v/>
      </c>
      <c r="R714" s="15">
        <v>10</v>
      </c>
    </row>
    <row r="715" spans="2:18" x14ac:dyDescent="0.35">
      <c r="B715" s="9">
        <v>2658</v>
      </c>
      <c r="C715" s="9" t="str">
        <v>가용재고</v>
      </c>
      <c r="D715" s="9" t="str">
        <v/>
      </c>
      <c r="E715" s="9" t="str">
        <v/>
      </c>
      <c r="F715" s="9" t="str">
        <v/>
      </c>
      <c r="G715" s="9" t="str">
        <v/>
      </c>
      <c r="H715" s="9" t="str">
        <v>RA-09A-2729</v>
      </c>
      <c r="I715" s="11" t="str">
        <v>RA-09A-2729]ASM COMPONENT SUB-1</v>
      </c>
      <c r="J715" s="9">
        <v>45</v>
      </c>
      <c r="K715" s="9" t="str">
        <v/>
      </c>
      <c r="L715" s="9" t="str">
        <v>T</v>
      </c>
      <c r="M715" s="12">
        <v>46296</v>
      </c>
      <c r="N715" s="5" t="str">
        <v/>
      </c>
      <c r="O715" s="5" t="str">
        <v/>
      </c>
      <c r="P715" s="5" t="str">
        <v/>
      </c>
      <c r="Q715" s="14" t="str">
        <v/>
      </c>
      <c r="R715" s="15">
        <v>45</v>
      </c>
    </row>
    <row r="716" spans="2:18" x14ac:dyDescent="0.35">
      <c r="B716" s="9">
        <v>2659</v>
      </c>
      <c r="C716" s="9" t="str">
        <v>가용재고</v>
      </c>
      <c r="D716" s="9" t="str">
        <v/>
      </c>
      <c r="E716" s="9" t="str">
        <v/>
      </c>
      <c r="F716" s="9" t="str">
        <v/>
      </c>
      <c r="G716" s="9" t="str">
        <v/>
      </c>
      <c r="H716" s="9" t="str">
        <v>RA-09A-2730</v>
      </c>
      <c r="I716" s="11" t="str">
        <v>RA-09A-2730]ASM COMPONENT SUB-2</v>
      </c>
      <c r="J716" s="9">
        <v>123</v>
      </c>
      <c r="K716" s="9" t="str">
        <v/>
      </c>
      <c r="L716" s="9" t="str">
        <v>T</v>
      </c>
      <c r="M716" s="12">
        <v>46296</v>
      </c>
      <c r="N716" s="5" t="str">
        <v/>
      </c>
      <c r="O716" s="5" t="str">
        <v/>
      </c>
      <c r="P716" s="5" t="str">
        <v/>
      </c>
      <c r="Q716" s="14" t="str">
        <v/>
      </c>
      <c r="R716" s="15">
        <v>123</v>
      </c>
    </row>
    <row r="717" spans="2:18" x14ac:dyDescent="0.35">
      <c r="B717" s="9">
        <v>2660</v>
      </c>
      <c r="C717" s="9" t="str">
        <v>가용재고</v>
      </c>
      <c r="D717" s="9" t="str">
        <v/>
      </c>
      <c r="E717" s="9" t="str">
        <v/>
      </c>
      <c r="F717" s="9" t="str">
        <v/>
      </c>
      <c r="G717" s="9" t="str">
        <v/>
      </c>
      <c r="H717" s="9" t="str">
        <v>RA-09A-0967</v>
      </c>
      <c r="I717" s="11" t="str">
        <v>RA-09A-0967]ASM EXPOSURE SW</v>
      </c>
      <c r="J717" s="9">
        <v>200</v>
      </c>
      <c r="K717" s="9" t="str">
        <v/>
      </c>
      <c r="L717" s="9" t="str">
        <v>J1-3</v>
      </c>
      <c r="M717" s="12">
        <v>46296</v>
      </c>
      <c r="N717" s="5" t="str">
        <v/>
      </c>
      <c r="O717" s="5" t="str">
        <v/>
      </c>
      <c r="P717" s="5" t="str">
        <v/>
      </c>
      <c r="Q717" s="14" t="str">
        <v/>
      </c>
      <c r="R717" s="15">
        <v>200</v>
      </c>
    </row>
    <row r="718" spans="2:18" x14ac:dyDescent="0.35">
      <c r="B718" s="9">
        <v>2661</v>
      </c>
      <c r="C718" s="9" t="str">
        <v>가용재고</v>
      </c>
      <c r="D718" s="9" t="str">
        <v/>
      </c>
      <c r="E718" s="9" t="str">
        <v/>
      </c>
      <c r="F718" s="9" t="str">
        <v/>
      </c>
      <c r="G718" s="9" t="str">
        <v/>
      </c>
      <c r="H718" s="9" t="str">
        <v>RA-09T-0733</v>
      </c>
      <c r="I718" s="11" t="str">
        <v>RA-09T-0733]CAS S.W HLDR</v>
      </c>
      <c r="J718" s="9">
        <v>557</v>
      </c>
      <c r="K718" s="9" t="str">
        <v/>
      </c>
      <c r="L718" s="9" t="str">
        <v>R</v>
      </c>
      <c r="M718" s="12">
        <v>46296</v>
      </c>
      <c r="N718" s="5" t="str">
        <v/>
      </c>
      <c r="O718" s="5" t="str">
        <v/>
      </c>
      <c r="P718" s="5" t="str">
        <v/>
      </c>
      <c r="Q718" s="14" t="str">
        <v/>
      </c>
      <c r="R718" s="15">
        <v>557</v>
      </c>
    </row>
    <row r="719" spans="2:18" x14ac:dyDescent="0.35">
      <c r="B719" s="9">
        <v>2662</v>
      </c>
      <c r="C719" s="9" t="str">
        <v>가용재고</v>
      </c>
      <c r="D719" s="9" t="str">
        <v/>
      </c>
      <c r="E719" s="9" t="str">
        <v/>
      </c>
      <c r="F719" s="9" t="str">
        <v/>
      </c>
      <c r="G719" s="9" t="str">
        <v/>
      </c>
      <c r="H719" s="9" t="str">
        <v>RA-09A-0345</v>
      </c>
      <c r="I719" s="11" t="str">
        <v>RA-09A-0345]ASM REMOTE CONTROL</v>
      </c>
      <c r="J719" s="9">
        <v>103</v>
      </c>
      <c r="K719" s="9" t="str">
        <v/>
      </c>
      <c r="L719" s="9" t="str">
        <v>L1-1</v>
      </c>
      <c r="M719" s="12">
        <v>46296</v>
      </c>
      <c r="N719" s="5" t="str">
        <v/>
      </c>
      <c r="O719" s="5" t="str">
        <v/>
      </c>
      <c r="P719" s="5" t="str">
        <v/>
      </c>
      <c r="Q719" s="14" t="str">
        <v/>
      </c>
      <c r="R719" s="15">
        <v>103</v>
      </c>
    </row>
    <row r="720" spans="2:18" x14ac:dyDescent="0.35">
      <c r="B720" s="9">
        <v>2663</v>
      </c>
      <c r="C720" s="9" t="str">
        <v>가용재고</v>
      </c>
      <c r="D720" s="9" t="str">
        <v/>
      </c>
      <c r="E720" s="9" t="str">
        <v/>
      </c>
      <c r="F720" s="9" t="str">
        <v/>
      </c>
      <c r="G720" s="9" t="str">
        <v/>
      </c>
      <c r="H720" s="9" t="str">
        <v>RA-01T-1791</v>
      </c>
      <c r="I720" s="11" t="str">
        <v>RA-01T-1791]CAS MAIN Bas REAR</v>
      </c>
      <c r="J720" s="9">
        <v>348</v>
      </c>
      <c r="K720" s="9" t="str">
        <v/>
      </c>
      <c r="L720" s="9" t="str">
        <v>V</v>
      </c>
      <c r="M720" s="12">
        <v>46296</v>
      </c>
      <c r="N720" s="5" t="str">
        <v/>
      </c>
      <c r="O720" s="5" t="str">
        <v/>
      </c>
      <c r="P720" s="5" t="str">
        <v/>
      </c>
      <c r="Q720" s="14" t="str">
        <v/>
      </c>
      <c r="R720" s="15">
        <v>348</v>
      </c>
    </row>
    <row r="721" spans="2:18" x14ac:dyDescent="0.35">
      <c r="B721" s="9">
        <v>2664</v>
      </c>
      <c r="C721" s="9" t="str">
        <v>가용재고</v>
      </c>
      <c r="D721" s="9" t="str">
        <v/>
      </c>
      <c r="E721" s="9" t="str">
        <v/>
      </c>
      <c r="F721" s="9" t="str">
        <v/>
      </c>
      <c r="G721" s="9" t="str">
        <v/>
      </c>
      <c r="H721" s="9" t="str">
        <v>RA-01T-1790</v>
      </c>
      <c r="I721" s="11" t="str">
        <v>RA-01T-1790]CAS MAIN Bas FRONT</v>
      </c>
      <c r="J721" s="9">
        <v>220</v>
      </c>
      <c r="K721" s="9" t="str">
        <v/>
      </c>
      <c r="L721" s="9" t="str">
        <v>V</v>
      </c>
      <c r="M721" s="12">
        <v>46296</v>
      </c>
      <c r="N721" s="5" t="str">
        <v/>
      </c>
      <c r="O721" s="5" t="str">
        <v/>
      </c>
      <c r="P721" s="5" t="str">
        <v/>
      </c>
      <c r="Q721" s="14" t="str">
        <v/>
      </c>
      <c r="R721" s="15">
        <v>220</v>
      </c>
    </row>
    <row r="722" spans="2:18" x14ac:dyDescent="0.35">
      <c r="B722" s="9">
        <v>2665</v>
      </c>
      <c r="C722" s="9" t="str">
        <v>가용재고</v>
      </c>
      <c r="D722" s="9" t="str">
        <v/>
      </c>
      <c r="E722" s="9" t="str">
        <v/>
      </c>
      <c r="F722" s="9" t="str">
        <v/>
      </c>
      <c r="G722" s="9" t="str">
        <v/>
      </c>
      <c r="H722" s="9" t="str">
        <v>RA-03T-0072</v>
      </c>
      <c r="I722" s="11" t="str">
        <v>RA-03T-0072]CAS CLMN BODY REAR</v>
      </c>
      <c r="J722" s="9">
        <v>496</v>
      </c>
      <c r="K722" s="9" t="str">
        <v/>
      </c>
      <c r="L722" s="9" t="str">
        <v>V</v>
      </c>
      <c r="M722" s="12">
        <v>46296</v>
      </c>
      <c r="N722" s="5" t="str">
        <v/>
      </c>
      <c r="O722" s="5" t="str">
        <v/>
      </c>
      <c r="P722" s="5" t="str">
        <v/>
      </c>
      <c r="Q722" s="14" t="str">
        <v/>
      </c>
      <c r="R722" s="15">
        <v>496</v>
      </c>
    </row>
    <row r="723" spans="2:18" x14ac:dyDescent="0.35">
      <c r="B723" s="9">
        <v>2666</v>
      </c>
      <c r="C723" s="9" t="str">
        <v>가용재고</v>
      </c>
      <c r="D723" s="9" t="str">
        <v/>
      </c>
      <c r="E723" s="9" t="str">
        <v/>
      </c>
      <c r="F723" s="9" t="str">
        <v/>
      </c>
      <c r="G723" s="9" t="str">
        <v/>
      </c>
      <c r="H723" s="9" t="str">
        <v>RA-03A-0315</v>
      </c>
      <c r="I723" s="11" t="str">
        <v>RA-03A-0315]ASM CAS CLMN LWR (L)</v>
      </c>
      <c r="J723" s="9">
        <v>149</v>
      </c>
      <c r="K723" s="9" t="str">
        <v/>
      </c>
      <c r="L723" s="9" t="str">
        <v>V</v>
      </c>
      <c r="M723" s="12">
        <v>46296</v>
      </c>
      <c r="N723" s="5" t="str">
        <v/>
      </c>
      <c r="O723" s="5" t="str">
        <v/>
      </c>
      <c r="P723" s="5" t="str">
        <v/>
      </c>
      <c r="Q723" s="14" t="str">
        <v/>
      </c>
      <c r="R723" s="15">
        <v>149</v>
      </c>
    </row>
    <row r="724" spans="2:18" x14ac:dyDescent="0.35">
      <c r="B724" s="9">
        <v>2667</v>
      </c>
      <c r="C724" s="9" t="str">
        <v>가용재고</v>
      </c>
      <c r="D724" s="9" t="str">
        <v/>
      </c>
      <c r="E724" s="9" t="str">
        <v/>
      </c>
      <c r="F724" s="9" t="str">
        <v/>
      </c>
      <c r="G724" s="9" t="str">
        <v/>
      </c>
      <c r="H724" s="9" t="str">
        <v>RA-03A-0314</v>
      </c>
      <c r="I724" s="11" t="str">
        <v>RA-03A-0314]ASM CAS CLMN LWR (R)</v>
      </c>
      <c r="J724" s="9">
        <v>37</v>
      </c>
      <c r="K724" s="9" t="str">
        <v/>
      </c>
      <c r="L724" s="9" t="str">
        <v>V</v>
      </c>
      <c r="M724" s="12">
        <v>46296</v>
      </c>
      <c r="N724" s="5" t="str">
        <v/>
      </c>
      <c r="O724" s="5" t="str">
        <v/>
      </c>
      <c r="P724" s="5" t="str">
        <v/>
      </c>
      <c r="Q724" s="14" t="str">
        <v/>
      </c>
      <c r="R724" s="15">
        <v>37</v>
      </c>
    </row>
    <row r="725" spans="2:18" x14ac:dyDescent="0.35">
      <c r="B725" s="9">
        <v>2668</v>
      </c>
      <c r="C725" s="9" t="str">
        <v>가용재고</v>
      </c>
      <c r="D725" s="9" t="str">
        <v/>
      </c>
      <c r="E725" s="9" t="str">
        <v/>
      </c>
      <c r="F725" s="9" t="str">
        <v/>
      </c>
      <c r="G725" s="9" t="str">
        <v/>
      </c>
      <c r="H725" s="9" t="str">
        <v>RA-03V-0055</v>
      </c>
      <c r="I725" s="11" t="str">
        <v>RA-03V-0055]HLDR CAS CLMN BODY LWR 2</v>
      </c>
      <c r="J725" s="9">
        <v>28</v>
      </c>
      <c r="K725" s="9" t="str">
        <v/>
      </c>
      <c r="L725" s="9" t="str">
        <v>L1-2</v>
      </c>
      <c r="M725" s="12">
        <v>46296</v>
      </c>
      <c r="N725" s="5" t="str">
        <v/>
      </c>
      <c r="O725" s="5" t="str">
        <v/>
      </c>
      <c r="P725" s="5" t="str">
        <v/>
      </c>
      <c r="Q725" s="14" t="str">
        <v/>
      </c>
      <c r="R725" s="15">
        <v>28</v>
      </c>
    </row>
    <row r="726" spans="2:18" x14ac:dyDescent="0.35">
      <c r="B726" s="9">
        <v>2669</v>
      </c>
      <c r="C726" s="9" t="str">
        <v>가용재고</v>
      </c>
      <c r="D726" s="9" t="str">
        <v/>
      </c>
      <c r="E726" s="9" t="str">
        <v/>
      </c>
      <c r="F726" s="9" t="str">
        <v/>
      </c>
      <c r="G726" s="9" t="str">
        <v/>
      </c>
      <c r="H726" s="9" t="str">
        <v>RA-03V-0054</v>
      </c>
      <c r="I726" s="11" t="str">
        <v>RA-03V-0054]HLDR CAS CLMN BODY LWR 1</v>
      </c>
      <c r="J726" s="9">
        <v>75</v>
      </c>
      <c r="K726" s="9" t="str">
        <v/>
      </c>
      <c r="L726" s="9" t="str">
        <v>L1-2</v>
      </c>
      <c r="M726" s="12">
        <v>46296</v>
      </c>
      <c r="N726" s="5" t="str">
        <v/>
      </c>
      <c r="O726" s="5" t="str">
        <v/>
      </c>
      <c r="P726" s="5" t="str">
        <v/>
      </c>
      <c r="Q726" s="14" t="str">
        <v/>
      </c>
      <c r="R726" s="15">
        <v>75</v>
      </c>
    </row>
    <row r="727" spans="2:18" x14ac:dyDescent="0.35">
      <c r="B727" s="9">
        <v>2670</v>
      </c>
      <c r="C727" s="9" t="str">
        <v>가용재고</v>
      </c>
      <c r="D727" s="9" t="str">
        <v/>
      </c>
      <c r="E727" s="9" t="str">
        <v/>
      </c>
      <c r="F727" s="9" t="str">
        <v/>
      </c>
      <c r="G727" s="9" t="str">
        <v/>
      </c>
      <c r="H727" s="9" t="str">
        <v>RA-04T-1707</v>
      </c>
      <c r="I727" s="11" t="str">
        <v>RA-04T-1707]CAS MONITOR DECO</v>
      </c>
      <c r="J727" s="9">
        <v>186</v>
      </c>
      <c r="K727" s="9" t="str">
        <v/>
      </c>
      <c r="L727" s="9" t="str">
        <v>R</v>
      </c>
      <c r="M727" s="12">
        <v>46296</v>
      </c>
      <c r="N727" s="5" t="str">
        <v/>
      </c>
      <c r="O727" s="5" t="str">
        <v/>
      </c>
      <c r="P727" s="5" t="str">
        <v/>
      </c>
      <c r="Q727" s="14" t="str">
        <v/>
      </c>
      <c r="R727" s="15">
        <v>186</v>
      </c>
    </row>
    <row r="728" spans="2:18" x14ac:dyDescent="0.35">
      <c r="B728" s="9">
        <v>2671</v>
      </c>
      <c r="C728" s="9" t="str">
        <v>가용재고</v>
      </c>
      <c r="D728" s="9" t="str">
        <v/>
      </c>
      <c r="E728" s="9" t="str">
        <v/>
      </c>
      <c r="F728" s="9" t="str">
        <v/>
      </c>
      <c r="G728" s="9" t="str">
        <v/>
      </c>
      <c r="H728" s="9" t="str">
        <v>RA-02T-2182</v>
      </c>
      <c r="I728" s="11" t="str">
        <v>RA-02T-2182]CAS VERT UPPER (A+)</v>
      </c>
      <c r="J728" s="9">
        <v>78</v>
      </c>
      <c r="K728" s="9" t="str">
        <v/>
      </c>
      <c r="L728" s="9" t="str">
        <v>V</v>
      </c>
      <c r="M728" s="12">
        <v>46296</v>
      </c>
      <c r="N728" s="5" t="str">
        <v/>
      </c>
      <c r="O728" s="5" t="str">
        <v/>
      </c>
      <c r="P728" s="5" t="str">
        <v/>
      </c>
      <c r="Q728" s="14" t="str">
        <v/>
      </c>
      <c r="R728" s="15">
        <v>78</v>
      </c>
    </row>
    <row r="729" spans="2:18" x14ac:dyDescent="0.35">
      <c r="B729" s="9">
        <v>2672</v>
      </c>
      <c r="C729" s="9" t="str">
        <v>가용재고</v>
      </c>
      <c r="D729" s="9" t="str">
        <v/>
      </c>
      <c r="E729" s="9" t="str">
        <v/>
      </c>
      <c r="F729" s="9" t="str">
        <v/>
      </c>
      <c r="G729" s="9" t="str">
        <v/>
      </c>
      <c r="H729" s="9" t="str">
        <v>RA-5-7</v>
      </c>
      <c r="I729" s="11" t="str">
        <v>RA-5-7]EARTH SHAFT TO WALL</v>
      </c>
      <c r="J729" s="9">
        <v>150</v>
      </c>
      <c r="K729" s="9" t="str">
        <v/>
      </c>
      <c r="L729" s="9" t="str">
        <v>G4</v>
      </c>
      <c r="M729" s="12">
        <v>46296</v>
      </c>
      <c r="N729" s="5" t="str">
        <v/>
      </c>
      <c r="O729" s="5" t="str">
        <v/>
      </c>
      <c r="P729" s="5" t="str">
        <v/>
      </c>
      <c r="Q729" s="14" t="str">
        <v/>
      </c>
      <c r="R729" s="15">
        <v>150</v>
      </c>
    </row>
    <row r="730" spans="2:18" x14ac:dyDescent="0.35">
      <c r="B730" s="9">
        <v>2673</v>
      </c>
      <c r="C730" s="9" t="str">
        <v>가용재고</v>
      </c>
      <c r="D730" s="9" t="str">
        <v/>
      </c>
      <c r="E730" s="9" t="str">
        <v/>
      </c>
      <c r="F730" s="9" t="str">
        <v/>
      </c>
      <c r="G730" s="9" t="str">
        <v/>
      </c>
      <c r="H730" s="9" t="str">
        <v>RA-5-6</v>
      </c>
      <c r="I730" s="11" t="str">
        <v>RA-5-6]EARTH SHAFT TO PC</v>
      </c>
      <c r="J730" s="9">
        <v>159</v>
      </c>
      <c r="K730" s="9" t="str">
        <v/>
      </c>
      <c r="L730" s="9" t="str">
        <v>G4</v>
      </c>
      <c r="M730" s="12">
        <v>46296</v>
      </c>
      <c r="N730" s="5" t="str">
        <v/>
      </c>
      <c r="O730" s="5" t="str">
        <v/>
      </c>
      <c r="P730" s="5" t="str">
        <v/>
      </c>
      <c r="Q730" s="14" t="str">
        <v/>
      </c>
      <c r="R730" s="15">
        <v>159</v>
      </c>
    </row>
    <row r="731" spans="2:18" x14ac:dyDescent="0.35">
      <c r="B731" s="9">
        <v>2674</v>
      </c>
      <c r="C731" s="9" t="str">
        <v>가용재고</v>
      </c>
      <c r="D731" s="9" t="str">
        <v/>
      </c>
      <c r="E731" s="9" t="str">
        <v/>
      </c>
      <c r="F731" s="9" t="str">
        <v/>
      </c>
      <c r="G731" s="9" t="str">
        <v/>
      </c>
      <c r="H731" s="9" t="str">
        <v>RA-09T-2534</v>
      </c>
      <c r="I731" s="11" t="str">
        <v>RA-09T-2534]CAS CT HEADREST (A+)</v>
      </c>
      <c r="J731" s="9">
        <v>15</v>
      </c>
      <c r="K731" s="9" t="str">
        <v/>
      </c>
      <c r="L731" s="9" t="str">
        <v>S</v>
      </c>
      <c r="M731" s="12">
        <v>46296</v>
      </c>
      <c r="N731" s="5" t="str">
        <v/>
      </c>
      <c r="O731" s="5" t="str">
        <v/>
      </c>
      <c r="P731" s="5" t="str">
        <v/>
      </c>
      <c r="Q731" s="14" t="str">
        <v/>
      </c>
      <c r="R731" s="15">
        <v>15</v>
      </c>
    </row>
    <row r="732" spans="2:18" x14ac:dyDescent="0.35">
      <c r="B732" s="9">
        <v>2675</v>
      </c>
      <c r="C732" s="9" t="str">
        <v>가용재고</v>
      </c>
      <c r="D732" s="9" t="str">
        <v/>
      </c>
      <c r="E732" s="9" t="str">
        <v/>
      </c>
      <c r="F732" s="9" t="str">
        <v/>
      </c>
      <c r="G732" s="9" t="str">
        <v/>
      </c>
      <c r="H732" s="9" t="str">
        <v>RA-09T-0344</v>
      </c>
      <c r="I732" s="11" t="str">
        <v>RA-09T-0344]KNOB CEPH ADJUST</v>
      </c>
      <c r="J732" s="9">
        <v>132</v>
      </c>
      <c r="K732" s="9" t="str">
        <v/>
      </c>
      <c r="L732" s="9" t="str">
        <v>R</v>
      </c>
      <c r="M732" s="12">
        <v>46296</v>
      </c>
      <c r="N732" s="5" t="str">
        <v/>
      </c>
      <c r="O732" s="5" t="str">
        <v/>
      </c>
      <c r="P732" s="5" t="str">
        <v/>
      </c>
      <c r="Q732" s="14" t="str">
        <v/>
      </c>
      <c r="R732" s="15">
        <v>132</v>
      </c>
    </row>
    <row r="733" spans="2:18" x14ac:dyDescent="0.35">
      <c r="B733" s="9">
        <v>2676</v>
      </c>
      <c r="C733" s="9" t="str">
        <v>가용재고</v>
      </c>
      <c r="D733" s="9" t="str">
        <v/>
      </c>
      <c r="E733" s="9" t="str">
        <v/>
      </c>
      <c r="F733" s="9" t="str">
        <v/>
      </c>
      <c r="G733" s="9" t="str">
        <v/>
      </c>
      <c r="H733" s="9" t="str">
        <v>RA-09M-3441</v>
      </c>
      <c r="I733" s="11" t="str">
        <v>RA-09M-3441]PIN GUIDE BITE (ST)</v>
      </c>
      <c r="J733" s="9">
        <v>298</v>
      </c>
      <c r="K733" s="9" t="str">
        <v/>
      </c>
      <c r="L733" s="9" t="str">
        <v>N6</v>
      </c>
      <c r="M733" s="12">
        <v>46296</v>
      </c>
      <c r="N733" s="5" t="str">
        <v/>
      </c>
      <c r="O733" s="5" t="str">
        <v/>
      </c>
      <c r="P733" s="5" t="str">
        <v/>
      </c>
      <c r="Q733" s="14" t="str">
        <v/>
      </c>
      <c r="R733" s="15">
        <v>298</v>
      </c>
    </row>
    <row r="734" spans="2:18" x14ac:dyDescent="0.35">
      <c r="B734" s="9">
        <v>2677</v>
      </c>
      <c r="C734" s="9" t="str">
        <v>가용재고</v>
      </c>
      <c r="D734" s="9" t="str">
        <v/>
      </c>
      <c r="E734" s="9" t="str">
        <v/>
      </c>
      <c r="F734" s="9" t="str">
        <v/>
      </c>
      <c r="G734" s="9" t="str">
        <v/>
      </c>
      <c r="H734" s="9" t="str">
        <v>RE-03T-0307</v>
      </c>
      <c r="I734" s="11" t="str">
        <v>RE-03T-0307]CAS CLMN REAR L</v>
      </c>
      <c r="J734" s="9">
        <v>106</v>
      </c>
      <c r="K734" s="9" t="str">
        <v/>
      </c>
      <c r="L734" s="9" t="str">
        <v>3A-16</v>
      </c>
      <c r="M734" s="12">
        <v>46297</v>
      </c>
      <c r="N734" s="5" t="str">
        <v/>
      </c>
      <c r="O734" s="5" t="str">
        <v/>
      </c>
      <c r="P734" s="5" t="str">
        <v/>
      </c>
      <c r="Q734" s="14" t="str">
        <v/>
      </c>
      <c r="R734" s="15">
        <v>106</v>
      </c>
    </row>
    <row r="735" spans="2:18" x14ac:dyDescent="0.35">
      <c r="B735" s="9">
        <v>2678</v>
      </c>
      <c r="C735" s="9" t="str">
        <v>가용재고</v>
      </c>
      <c r="D735" s="9" t="str">
        <v/>
      </c>
      <c r="E735" s="9" t="str">
        <v/>
      </c>
      <c r="F735" s="9" t="str">
        <v/>
      </c>
      <c r="G735" s="9" t="str">
        <v/>
      </c>
      <c r="H735" s="9" t="str">
        <v>RE-03T-0308</v>
      </c>
      <c r="I735" s="11" t="str">
        <v>RE-03T-0308]CAS CLMN REAR R</v>
      </c>
      <c r="J735" s="9">
        <v>20</v>
      </c>
      <c r="K735" s="9" t="str">
        <v/>
      </c>
      <c r="L735" s="9" t="str">
        <v>3A-16</v>
      </c>
      <c r="M735" s="12">
        <v>46297</v>
      </c>
      <c r="N735" s="5" t="str">
        <v/>
      </c>
      <c r="O735" s="5" t="str">
        <v/>
      </c>
      <c r="P735" s="5" t="str">
        <v/>
      </c>
      <c r="Q735" s="14" t="str">
        <v/>
      </c>
      <c r="R735" s="15">
        <v>20</v>
      </c>
    </row>
    <row r="736" spans="2:18" x14ac:dyDescent="0.35">
      <c r="B736" s="9">
        <v>2679</v>
      </c>
      <c r="C736" s="9" t="str">
        <v>가용재고</v>
      </c>
      <c r="D736" s="9" t="str">
        <v/>
      </c>
      <c r="E736" s="9" t="str">
        <v/>
      </c>
      <c r="F736" s="9" t="str">
        <v/>
      </c>
      <c r="G736" s="9" t="str">
        <v/>
      </c>
      <c r="H736" s="9" t="str">
        <v>RA-9-12</v>
      </c>
      <c r="I736" s="11" t="str">
        <v>RA-9-12]SCEPH LAN</v>
      </c>
      <c r="J736" s="9">
        <v>46</v>
      </c>
      <c r="K736" s="9" t="str">
        <v/>
      </c>
      <c r="L736" s="9" t="str">
        <v>G3-4</v>
      </c>
      <c r="M736" s="12">
        <v>46301</v>
      </c>
      <c r="N736" s="5" t="str">
        <v/>
      </c>
      <c r="O736" s="5" t="str">
        <v/>
      </c>
      <c r="P736" s="5" t="str">
        <v/>
      </c>
      <c r="Q736" s="14" t="str">
        <v/>
      </c>
      <c r="R736" s="15">
        <v>46</v>
      </c>
    </row>
    <row r="737" spans="2:18" x14ac:dyDescent="0.35">
      <c r="B737" s="9">
        <v>2680</v>
      </c>
      <c r="C737" s="9" t="str">
        <v>가용재고</v>
      </c>
      <c r="D737" s="9" t="str">
        <v/>
      </c>
      <c r="E737" s="9" t="str">
        <v/>
      </c>
      <c r="F737" s="9" t="str">
        <v/>
      </c>
      <c r="G737" s="9" t="str">
        <v/>
      </c>
      <c r="H737" s="9" t="str">
        <v>RA-5-2</v>
      </c>
      <c r="I737" s="11" t="str">
        <v>RA-5-2_2]EARTH CEPH</v>
      </c>
      <c r="J737" s="9">
        <v>91</v>
      </c>
      <c r="K737" s="9" t="str">
        <v/>
      </c>
      <c r="L737" s="9" t="str">
        <v>G4</v>
      </c>
      <c r="M737" s="12">
        <v>46301</v>
      </c>
      <c r="N737" s="5" t="str">
        <v/>
      </c>
      <c r="O737" s="5" t="str">
        <v/>
      </c>
      <c r="P737" s="5" t="str">
        <v/>
      </c>
      <c r="Q737" s="14" t="str">
        <v/>
      </c>
      <c r="R737" s="15">
        <v>91</v>
      </c>
    </row>
    <row r="738" spans="2:18" x14ac:dyDescent="0.35">
      <c r="B738" s="9">
        <v>2681</v>
      </c>
      <c r="C738" s="9" t="str">
        <v>가용재고</v>
      </c>
      <c r="D738" s="9" t="str">
        <v/>
      </c>
      <c r="E738" s="9" t="str">
        <v/>
      </c>
      <c r="F738" s="9" t="str">
        <v/>
      </c>
      <c r="G738" s="9" t="str">
        <v/>
      </c>
      <c r="H738" s="9" t="str">
        <v>RA-08M-0708</v>
      </c>
      <c r="I738" s="11" t="str">
        <v>RA-08M-0708]RING EARLOD</v>
      </c>
      <c r="J738" s="9">
        <v>562</v>
      </c>
      <c r="K738" s="9" t="str">
        <v/>
      </c>
      <c r="L738" s="9" t="str">
        <v>E1-1</v>
      </c>
      <c r="M738" s="12">
        <v>46301</v>
      </c>
      <c r="N738" s="5" t="str">
        <v/>
      </c>
      <c r="O738" s="5" t="str">
        <v/>
      </c>
      <c r="P738" s="5" t="str">
        <v/>
      </c>
      <c r="Q738" s="14" t="str">
        <v/>
      </c>
      <c r="R738" s="15">
        <v>562</v>
      </c>
    </row>
    <row r="739" spans="2:18" x14ac:dyDescent="0.35">
      <c r="B739" s="9">
        <v>2682</v>
      </c>
      <c r="C739" s="9" t="str">
        <v>가용재고</v>
      </c>
      <c r="D739" s="9" t="str">
        <v/>
      </c>
      <c r="E739" s="9" t="str">
        <v/>
      </c>
      <c r="F739" s="9" t="str">
        <v/>
      </c>
      <c r="G739" s="9" t="str">
        <v/>
      </c>
      <c r="H739" s="9" t="str">
        <v>RA-08M-0707</v>
      </c>
      <c r="I739" s="11" t="str">
        <v>RA-08M-0707]CAP EARLOD</v>
      </c>
      <c r="J739" s="9">
        <v>678</v>
      </c>
      <c r="K739" s="9" t="str">
        <v/>
      </c>
      <c r="L739" s="9" t="str">
        <v>E1-1</v>
      </c>
      <c r="M739" s="12">
        <v>46301</v>
      </c>
      <c r="N739" s="5" t="str">
        <v/>
      </c>
      <c r="O739" s="5" t="str">
        <v/>
      </c>
      <c r="P739" s="5" t="str">
        <v/>
      </c>
      <c r="Q739" s="14" t="str">
        <v/>
      </c>
      <c r="R739" s="15">
        <v>678</v>
      </c>
    </row>
    <row r="740" spans="2:18" x14ac:dyDescent="0.35">
      <c r="B740" s="9">
        <v>2683</v>
      </c>
      <c r="C740" s="9" t="str">
        <v>가용재고</v>
      </c>
      <c r="D740" s="9" t="str">
        <v/>
      </c>
      <c r="E740" s="9" t="str">
        <v/>
      </c>
      <c r="F740" s="9" t="str">
        <v/>
      </c>
      <c r="G740" s="9" t="str">
        <v/>
      </c>
      <c r="H740" s="9" t="str">
        <v>RA-08T-1466</v>
      </c>
      <c r="I740" s="11" t="str">
        <v>RA-08T-1466]CAS CEPH EAR-ROD</v>
      </c>
      <c r="J740" s="9">
        <v>265</v>
      </c>
      <c r="K740" s="9" t="str">
        <v/>
      </c>
      <c r="L740" s="9" t="str">
        <v>S</v>
      </c>
      <c r="M740" s="12">
        <v>46301</v>
      </c>
      <c r="N740" s="5" t="str">
        <v/>
      </c>
      <c r="O740" s="5" t="str">
        <v/>
      </c>
      <c r="P740" s="5" t="str">
        <v/>
      </c>
      <c r="Q740" s="14" t="str">
        <v/>
      </c>
      <c r="R740" s="15">
        <v>265</v>
      </c>
    </row>
    <row r="741" spans="2:18" x14ac:dyDescent="0.35">
      <c r="B741" s="9">
        <v>2685</v>
      </c>
      <c r="C741" s="9" t="str">
        <v>가용재고</v>
      </c>
      <c r="D741" s="9" t="str">
        <v/>
      </c>
      <c r="E741" s="9" t="str">
        <v/>
      </c>
      <c r="F741" s="9" t="str">
        <v/>
      </c>
      <c r="G741" s="9" t="str">
        <v/>
      </c>
      <c r="H741" s="9" t="str">
        <v>RE-04T-0413</v>
      </c>
      <c r="I741" s="11" t="str">
        <v>RE-04T-0413]CAS CHINREST Bas</v>
      </c>
      <c r="J741" s="9">
        <v>14</v>
      </c>
      <c r="K741" s="9" t="str">
        <v/>
      </c>
      <c r="L741" s="9" t="str">
        <v>3L14-1</v>
      </c>
      <c r="M741" s="12">
        <v>46302</v>
      </c>
      <c r="N741" s="5" t="str">
        <v/>
      </c>
      <c r="O741" s="5" t="str">
        <v/>
      </c>
      <c r="P741" s="5" t="str">
        <v/>
      </c>
      <c r="Q741" s="14" t="str">
        <v/>
      </c>
      <c r="R741" s="15">
        <v>14</v>
      </c>
    </row>
    <row r="742" spans="2:18" x14ac:dyDescent="0.35">
      <c r="B742" s="9">
        <v>1969</v>
      </c>
      <c r="C742" s="9" t="str">
        <v>출고재고</v>
      </c>
      <c r="D742" s="9" t="str">
        <v/>
      </c>
      <c r="E742" s="9" t="str">
        <v>입고</v>
      </c>
      <c r="F742" s="9" t="str">
        <v>A&amp;T</v>
      </c>
      <c r="G742" s="9" t="str">
        <v>장동은</v>
      </c>
      <c r="H742" s="9" t="str">
        <v>RE-04A-1040</v>
      </c>
      <c r="I742" s="11" t="str">
        <v>RE-04A-1040]ASM ARM MODULE</v>
      </c>
      <c r="J742" s="9">
        <v>1</v>
      </c>
      <c r="K742" s="9" t="str">
        <v/>
      </c>
      <c r="L742" s="9" t="str">
        <v>K8</v>
      </c>
      <c r="M742" s="12">
        <v>46301</v>
      </c>
      <c r="N742" s="5" t="str">
        <v/>
      </c>
      <c r="O742" s="5">
        <v>103216</v>
      </c>
      <c r="P742" s="5">
        <v>1</v>
      </c>
      <c r="Q742" s="14">
        <v>46302</v>
      </c>
      <c r="R742" s="15">
        <v>0</v>
      </c>
    </row>
    <row r="743" spans="2:18" x14ac:dyDescent="0.35">
      <c r="B743" s="9">
        <v>1986</v>
      </c>
      <c r="C743" s="9" t="str">
        <v>출고재고</v>
      </c>
      <c r="D743" s="9" t="str">
        <v/>
      </c>
      <c r="E743" s="9" t="str">
        <v>입고</v>
      </c>
      <c r="F743" s="9" t="str">
        <v>A&amp;T</v>
      </c>
      <c r="G743" s="9" t="str">
        <v>장동은</v>
      </c>
      <c r="H743" s="9" t="str">
        <v>RE-04A-1040</v>
      </c>
      <c r="I743" s="11" t="str">
        <v>RE-04A-1040]ASM ARM MODULE</v>
      </c>
      <c r="J743" s="9">
        <v>3</v>
      </c>
      <c r="K743" s="9" t="str">
        <v/>
      </c>
      <c r="L743" s="9" t="str">
        <v>K8</v>
      </c>
      <c r="M743" s="12">
        <v>46295</v>
      </c>
      <c r="N743" s="5" t="str">
        <v/>
      </c>
      <c r="O743" s="5">
        <v>103216</v>
      </c>
      <c r="P743" s="5">
        <v>3</v>
      </c>
      <c r="Q743" s="14">
        <v>46302</v>
      </c>
      <c r="R743" s="15">
        <v>0</v>
      </c>
    </row>
    <row r="744" spans="2:18" x14ac:dyDescent="0.35">
      <c r="B744" s="9">
        <v>2684</v>
      </c>
      <c r="C744" s="9" t="str">
        <v>출고재고</v>
      </c>
      <c r="D744" s="9" t="str">
        <v/>
      </c>
      <c r="E744" s="9" t="str">
        <v>입고</v>
      </c>
      <c r="F744" s="9" t="str">
        <v>A&amp;T</v>
      </c>
      <c r="G744" s="9" t="str">
        <v>장동은</v>
      </c>
      <c r="H744" s="9" t="str">
        <v>RE-04A-1040</v>
      </c>
      <c r="I744" s="11" t="str">
        <v>RE-04A-1040]ASM ARM MODULE</v>
      </c>
      <c r="J744" s="9">
        <v>21</v>
      </c>
      <c r="K744" s="9" t="str">
        <v/>
      </c>
      <c r="L744" s="9" t="str">
        <v>K8</v>
      </c>
      <c r="M744" s="12">
        <v>46302</v>
      </c>
      <c r="N744" s="5" t="str">
        <v/>
      </c>
      <c r="O744" s="5">
        <v>103216</v>
      </c>
      <c r="P744" s="5">
        <v>21</v>
      </c>
      <c r="Q744" s="14">
        <v>46302</v>
      </c>
      <c r="R744" s="15">
        <v>0</v>
      </c>
    </row>
    <row r="745" spans="2:18" x14ac:dyDescent="0.35">
      <c r="B745" s="9">
        <v>2628</v>
      </c>
      <c r="C745" s="9" t="str">
        <v>출고재고</v>
      </c>
      <c r="D745" s="9" t="str">
        <v/>
      </c>
      <c r="E745" s="9" t="str">
        <v>입고</v>
      </c>
      <c r="F745" s="9" t="str">
        <v>A&amp;T</v>
      </c>
      <c r="G745" s="9" t="str">
        <v>장동은</v>
      </c>
      <c r="H745" s="9" t="str">
        <v>RE-03A-1030</v>
      </c>
      <c r="I745" s="11" t="str">
        <v>RE-03A-1030]ASM COLUMN MODULE</v>
      </c>
      <c r="J745" s="9">
        <v>18</v>
      </c>
      <c r="K745" s="9" t="str">
        <v/>
      </c>
      <c r="L745" s="9" t="str">
        <v>K8</v>
      </c>
      <c r="M745" s="12">
        <v>46295</v>
      </c>
      <c r="N745" s="5" t="str">
        <v/>
      </c>
      <c r="O745" s="5">
        <v>103216</v>
      </c>
      <c r="P745" s="5">
        <v>18</v>
      </c>
      <c r="Q745" s="14">
        <v>46302</v>
      </c>
      <c r="R745" s="15">
        <v>0</v>
      </c>
    </row>
    <row r="746" spans="2:18" x14ac:dyDescent="0.35">
      <c r="B746" s="9">
        <v>1703</v>
      </c>
      <c r="C746" s="9" t="str">
        <v>출고재고</v>
      </c>
      <c r="D746" s="9" t="str">
        <v/>
      </c>
      <c r="E746" s="9" t="str">
        <v/>
      </c>
      <c r="F746" s="9" t="str">
        <v/>
      </c>
      <c r="G746" s="9" t="str">
        <v/>
      </c>
      <c r="H746" s="9" t="str">
        <v>RE-04T-0413</v>
      </c>
      <c r="I746" s="11" t="str">
        <v>RE-04T-0413]CAS CHINREST Bas</v>
      </c>
      <c r="J746" s="9">
        <v>54</v>
      </c>
      <c r="K746" s="9" t="str">
        <v/>
      </c>
      <c r="L746" s="9" t="str">
        <v>3L14-1</v>
      </c>
      <c r="M746" s="12">
        <v>46288</v>
      </c>
      <c r="N746" s="5" t="str">
        <v/>
      </c>
      <c r="O746" s="5">
        <v>103216</v>
      </c>
      <c r="P746" s="5">
        <v>40</v>
      </c>
      <c r="Q746" s="14">
        <v>46302</v>
      </c>
      <c r="R746" s="15">
        <v>14</v>
      </c>
    </row>
    <row r="747" spans="2:18" x14ac:dyDescent="0.35">
      <c r="B747" s="9">
        <v>139</v>
      </c>
      <c r="C747" s="9" t="str">
        <v>출고재고</v>
      </c>
      <c r="D747" s="9" t="str">
        <v/>
      </c>
      <c r="E747" s="9" t="str">
        <v/>
      </c>
      <c r="F747" s="9" t="str">
        <v/>
      </c>
      <c r="G747" s="9" t="str">
        <v/>
      </c>
      <c r="H747" s="9" t="str">
        <v>RF-01T-0172</v>
      </c>
      <c r="I747" s="11" t="str">
        <v>RF-01T-0172]ARM CVR REAR L</v>
      </c>
      <c r="J747" s="9">
        <v>49</v>
      </c>
      <c r="K747" s="9" t="str">
        <v/>
      </c>
      <c r="L747" s="9" t="str">
        <v>3B5</v>
      </c>
      <c r="M747" s="12">
        <v>46224</v>
      </c>
      <c r="N747" s="5" t="str">
        <v/>
      </c>
      <c r="O747" s="5">
        <v>69253</v>
      </c>
      <c r="P747" s="5">
        <v>2</v>
      </c>
      <c r="Q747" s="14">
        <v>46227</v>
      </c>
      <c r="R747" s="15">
        <v>47</v>
      </c>
    </row>
    <row r="748" spans="2:18" x14ac:dyDescent="0.35">
      <c r="B748" s="9">
        <v>140</v>
      </c>
      <c r="C748" s="9" t="str">
        <v>출고재고</v>
      </c>
      <c r="D748" s="9" t="str">
        <v/>
      </c>
      <c r="E748" s="9" t="str">
        <v/>
      </c>
      <c r="F748" s="9" t="str">
        <v/>
      </c>
      <c r="G748" s="9" t="str">
        <v/>
      </c>
      <c r="H748" s="9" t="str">
        <v>RF-01T-0199</v>
      </c>
      <c r="I748" s="11" t="str">
        <v>RF-01T-0199]CVR REAR TOP</v>
      </c>
      <c r="J748" s="9">
        <v>73</v>
      </c>
      <c r="K748" s="9" t="str">
        <v/>
      </c>
      <c r="L748" s="9" t="str">
        <v>3F5</v>
      </c>
      <c r="M748" s="12">
        <v>46224</v>
      </c>
      <c r="N748" s="5" t="str">
        <v/>
      </c>
      <c r="O748" s="5">
        <v>69253</v>
      </c>
      <c r="P748" s="5">
        <v>2</v>
      </c>
      <c r="Q748" s="14">
        <v>46227</v>
      </c>
      <c r="R748" s="15">
        <v>71</v>
      </c>
    </row>
    <row r="749" spans="2:18" x14ac:dyDescent="0.35">
      <c r="B749" s="9">
        <v>85</v>
      </c>
      <c r="C749" s="9" t="str">
        <v>출고재고</v>
      </c>
      <c r="D749" s="9" t="str">
        <v/>
      </c>
      <c r="E749" s="9" t="str">
        <v/>
      </c>
      <c r="F749" s="9" t="str">
        <v/>
      </c>
      <c r="G749" s="9" t="str">
        <v/>
      </c>
      <c r="H749" s="9" t="str">
        <v>RF-01T-0190</v>
      </c>
      <c r="I749" s="11" t="str">
        <v>RF-01T-0190]CVR FRONT</v>
      </c>
      <c r="J749" s="9">
        <v>91</v>
      </c>
      <c r="K749" s="9" t="str">
        <v/>
      </c>
      <c r="L749" s="9" t="str">
        <v>3F4</v>
      </c>
      <c r="M749" s="12">
        <v>46224</v>
      </c>
      <c r="N749" s="5" t="str">
        <v/>
      </c>
      <c r="O749" s="5">
        <v>69253</v>
      </c>
      <c r="P749" s="5">
        <v>2</v>
      </c>
      <c r="Q749" s="14">
        <v>46227</v>
      </c>
      <c r="R749" s="15">
        <v>89</v>
      </c>
    </row>
    <row r="750" spans="2:18" x14ac:dyDescent="0.35">
      <c r="B750" s="9">
        <v>387</v>
      </c>
      <c r="C750" s="9" t="str">
        <v>출고재고</v>
      </c>
      <c r="D750" s="9" t="str">
        <v/>
      </c>
      <c r="E750" s="9" t="str">
        <v/>
      </c>
      <c r="F750" s="9" t="str">
        <v/>
      </c>
      <c r="G750" s="9" t="str">
        <v/>
      </c>
      <c r="H750" s="9" t="str">
        <v>RF-01T-0210</v>
      </c>
      <c r="I750" s="11" t="str">
        <v>RF-01T-0210]CVR FRONT MID L</v>
      </c>
      <c r="J750" s="9">
        <v>109</v>
      </c>
      <c r="K750" s="9" t="str">
        <v/>
      </c>
      <c r="L750" s="9" t="str">
        <v>3L3-1</v>
      </c>
      <c r="M750" s="12">
        <v>46225</v>
      </c>
      <c r="N750" s="5" t="str">
        <v/>
      </c>
      <c r="O750" s="5">
        <v>69253</v>
      </c>
      <c r="P750" s="5">
        <v>2</v>
      </c>
      <c r="Q750" s="14">
        <v>46227</v>
      </c>
      <c r="R750" s="15">
        <v>107</v>
      </c>
    </row>
    <row r="751" spans="2:18" x14ac:dyDescent="0.35">
      <c r="B751" s="9">
        <v>86</v>
      </c>
      <c r="C751" s="9" t="str">
        <v>출고재고</v>
      </c>
      <c r="D751" s="9" t="str">
        <v/>
      </c>
      <c r="E751" s="9" t="str">
        <v/>
      </c>
      <c r="F751" s="9" t="str">
        <v/>
      </c>
      <c r="G751" s="9" t="str">
        <v/>
      </c>
      <c r="H751" s="9" t="str">
        <v>RF-01T-0255</v>
      </c>
      <c r="I751" s="11" t="str">
        <v>RF-01T-0255]CVR FRONT MID R</v>
      </c>
      <c r="J751" s="9">
        <v>159</v>
      </c>
      <c r="K751" s="9" t="str">
        <v/>
      </c>
      <c r="L751" s="9" t="str">
        <v>3L3-1</v>
      </c>
      <c r="M751" s="12">
        <v>46224</v>
      </c>
      <c r="N751" s="5" t="str">
        <v/>
      </c>
      <c r="O751" s="5">
        <v>69253</v>
      </c>
      <c r="P751" s="5">
        <v>2</v>
      </c>
      <c r="Q751" s="14">
        <v>46227</v>
      </c>
      <c r="R751" s="15">
        <v>157</v>
      </c>
    </row>
    <row r="752" spans="2:18" x14ac:dyDescent="0.35">
      <c r="B752" s="9">
        <v>314</v>
      </c>
      <c r="C752" s="9" t="str">
        <v>출고재고</v>
      </c>
      <c r="D752" s="9" t="str">
        <v/>
      </c>
      <c r="E752" s="9" t="str">
        <v/>
      </c>
      <c r="F752" s="9" t="str">
        <v/>
      </c>
      <c r="G752" s="9" t="str">
        <v/>
      </c>
      <c r="H752" s="9" t="str">
        <v>RF-01T-0196</v>
      </c>
      <c r="I752" s="11" t="str">
        <v>RF-01T-0196]CVR REAR</v>
      </c>
      <c r="J752" s="9">
        <v>231</v>
      </c>
      <c r="K752" s="9" t="str">
        <v/>
      </c>
      <c r="L752" s="9" t="str">
        <v>3I5</v>
      </c>
      <c r="M752" s="12">
        <v>46233</v>
      </c>
      <c r="N752" s="5" t="str">
        <v/>
      </c>
      <c r="O752" s="5">
        <v>69253</v>
      </c>
      <c r="P752" s="5">
        <v>2</v>
      </c>
      <c r="Q752" s="14">
        <v>46227</v>
      </c>
      <c r="R752" s="15">
        <v>229</v>
      </c>
    </row>
    <row r="753" spans="2:18" x14ac:dyDescent="0.35">
      <c r="B753" s="9">
        <v>388</v>
      </c>
      <c r="C753" s="9" t="str">
        <v>출고재고</v>
      </c>
      <c r="D753" s="9" t="str">
        <v/>
      </c>
      <c r="E753" s="9" t="str">
        <v/>
      </c>
      <c r="F753" s="9" t="str">
        <v/>
      </c>
      <c r="G753" s="9" t="str">
        <v/>
      </c>
      <c r="H753" s="9" t="str">
        <v>RF-01T-0210</v>
      </c>
      <c r="I753" s="11" t="str">
        <v>RF-01T-0210]CVR FRONT MID L</v>
      </c>
      <c r="J753" s="9">
        <v>107</v>
      </c>
      <c r="K753" s="9" t="str">
        <v/>
      </c>
      <c r="L753" s="9" t="str">
        <v>3L3-1</v>
      </c>
      <c r="M753" s="12">
        <v>46227</v>
      </c>
      <c r="N753" s="5" t="str">
        <v/>
      </c>
      <c r="O753" s="5">
        <v>71394</v>
      </c>
      <c r="P753" s="5">
        <v>41</v>
      </c>
      <c r="Q753" s="14">
        <v>46227</v>
      </c>
      <c r="R753" s="15">
        <v>66</v>
      </c>
    </row>
    <row r="754" spans="2:18" x14ac:dyDescent="0.35">
      <c r="B754" s="9">
        <v>160</v>
      </c>
      <c r="C754" s="9" t="str">
        <v>출고재고</v>
      </c>
      <c r="D754" s="9" t="str">
        <v/>
      </c>
      <c r="E754" s="9" t="str">
        <v>입고</v>
      </c>
      <c r="F754" s="9" t="str">
        <v/>
      </c>
      <c r="G754" s="9" t="str">
        <v/>
      </c>
      <c r="H754" s="9" t="str">
        <v>RF-01H-5056</v>
      </c>
      <c r="I754" s="11" t="str">
        <v>RF-01H-5056]LED PWM harness</v>
      </c>
      <c r="J754" s="9">
        <v>16</v>
      </c>
      <c r="K754" s="9" t="str">
        <v/>
      </c>
      <c r="L754" s="9" t="str">
        <v>3S3-4</v>
      </c>
      <c r="M754" s="12">
        <v>46227</v>
      </c>
      <c r="N754" s="5" t="str">
        <v/>
      </c>
      <c r="O754" s="5">
        <v>73781</v>
      </c>
      <c r="P754" s="5">
        <v>10</v>
      </c>
      <c r="Q754" s="14">
        <v>46230</v>
      </c>
      <c r="R754" s="15">
        <v>6</v>
      </c>
    </row>
    <row r="755" spans="2:18" x14ac:dyDescent="0.35">
      <c r="B755" s="9">
        <v>330</v>
      </c>
      <c r="C755" s="9" t="str">
        <v>출고재고</v>
      </c>
      <c r="D755" s="9" t="str">
        <v/>
      </c>
      <c r="E755" s="9" t="str">
        <v>입고</v>
      </c>
      <c r="F755" s="9" t="str">
        <v/>
      </c>
      <c r="G755" s="9" t="str">
        <v/>
      </c>
      <c r="H755" s="9" t="str">
        <v>RF-01H-5056</v>
      </c>
      <c r="I755" s="11" t="str">
        <v>RF-01H-5056]LED PWM harness</v>
      </c>
      <c r="J755" s="9">
        <v>16</v>
      </c>
      <c r="K755" s="9" t="str">
        <v/>
      </c>
      <c r="L755" s="9" t="str">
        <v>3S3-4</v>
      </c>
      <c r="M755" s="12">
        <v>46227</v>
      </c>
      <c r="N755" s="5" t="str">
        <v/>
      </c>
      <c r="O755" s="5">
        <v>73781</v>
      </c>
      <c r="P755" s="5">
        <v>10</v>
      </c>
      <c r="Q755" s="14">
        <v>46230</v>
      </c>
      <c r="R755" s="15">
        <v>6</v>
      </c>
    </row>
    <row r="756" spans="2:18" x14ac:dyDescent="0.35">
      <c r="B756" s="9">
        <v>351</v>
      </c>
      <c r="C756" s="9" t="str">
        <v>출고재고</v>
      </c>
      <c r="D756" s="9" t="str">
        <v/>
      </c>
      <c r="E756" s="9" t="str">
        <v>입고</v>
      </c>
      <c r="F756" s="9" t="str">
        <v/>
      </c>
      <c r="G756" s="9" t="str">
        <v/>
      </c>
      <c r="H756" s="9" t="str">
        <v>RF-01S-5072</v>
      </c>
      <c r="I756" s="11" t="str">
        <v>RF-01S-5072]USB 3.0 A to B Cable</v>
      </c>
      <c r="J756" s="9">
        <v>100</v>
      </c>
      <c r="K756" s="9" t="str">
        <v/>
      </c>
      <c r="L756" s="9" t="str">
        <v>3S3-2</v>
      </c>
      <c r="M756" s="12">
        <v>46232</v>
      </c>
      <c r="N756" s="5" t="str">
        <v/>
      </c>
      <c r="O756" s="5">
        <v>73781</v>
      </c>
      <c r="P756" s="5">
        <v>33</v>
      </c>
      <c r="Q756" s="14">
        <v>46232</v>
      </c>
      <c r="R756" s="15">
        <v>67</v>
      </c>
    </row>
    <row r="757" spans="2:18" x14ac:dyDescent="0.35">
      <c r="B757" s="9">
        <v>152</v>
      </c>
      <c r="C757" s="9" t="str">
        <v>출고재고</v>
      </c>
      <c r="D757" s="9" t="str">
        <v/>
      </c>
      <c r="E757" s="9" t="str">
        <v/>
      </c>
      <c r="F757" s="9" t="str">
        <v/>
      </c>
      <c r="G757" s="9" t="str">
        <v/>
      </c>
      <c r="H757" s="9" t="str">
        <v>RF-01T-0173</v>
      </c>
      <c r="I757" s="11" t="str">
        <v>RF-01T-0173]ARM CVR REAR DECO</v>
      </c>
      <c r="J757" s="9">
        <v>140</v>
      </c>
      <c r="K757" s="9" t="str">
        <v/>
      </c>
      <c r="L757" s="9" t="str">
        <v>3B8</v>
      </c>
      <c r="M757" s="12">
        <v>46226</v>
      </c>
      <c r="N757" s="5" t="str">
        <v/>
      </c>
      <c r="O757" s="5">
        <v>73781</v>
      </c>
      <c r="P757" s="5">
        <v>89</v>
      </c>
      <c r="Q757" s="14">
        <v>46225</v>
      </c>
      <c r="R757" s="15">
        <v>51</v>
      </c>
    </row>
    <row r="758" spans="2:18" x14ac:dyDescent="0.35">
      <c r="B758" s="9">
        <v>87</v>
      </c>
      <c r="C758" s="9" t="str">
        <v>출고재고</v>
      </c>
      <c r="D758" s="9" t="str">
        <v/>
      </c>
      <c r="E758" s="9" t="str">
        <v/>
      </c>
      <c r="F758" s="9" t="str">
        <v/>
      </c>
      <c r="G758" s="9" t="str">
        <v/>
      </c>
      <c r="H758" s="9" t="str">
        <v>RF-01T-0210</v>
      </c>
      <c r="I758" s="11" t="str">
        <v>RF-01T-0210]CVR FRONT MID L</v>
      </c>
      <c r="J758" s="9">
        <v>159</v>
      </c>
      <c r="K758" s="9" t="str">
        <v/>
      </c>
      <c r="L758" s="9" t="str">
        <v>3L3-1</v>
      </c>
      <c r="M758" s="12">
        <v>46224</v>
      </c>
      <c r="N758" s="5" t="str">
        <v/>
      </c>
      <c r="O758" s="5">
        <v>73781</v>
      </c>
      <c r="P758" s="5">
        <v>50</v>
      </c>
      <c r="Q758" s="14">
        <v>46225</v>
      </c>
      <c r="R758" s="15">
        <v>109</v>
      </c>
    </row>
    <row r="759" spans="2:18" x14ac:dyDescent="0.35">
      <c r="B759" s="9">
        <v>130</v>
      </c>
      <c r="C759" s="9" t="str">
        <v>출고재고</v>
      </c>
      <c r="D759" s="9" t="str">
        <v/>
      </c>
      <c r="E759" s="9" t="str">
        <v/>
      </c>
      <c r="F759" s="9" t="str">
        <v/>
      </c>
      <c r="G759" s="9" t="str">
        <v/>
      </c>
      <c r="H759" s="9" t="str">
        <v>RF-01T-0241</v>
      </c>
      <c r="I759" s="11" t="str">
        <v>RF-01T-0241]CAL Bas UPPER</v>
      </c>
      <c r="J759" s="9">
        <v>244</v>
      </c>
      <c r="K759" s="9" t="str">
        <v/>
      </c>
      <c r="L759" s="9" t="str">
        <v>3E5</v>
      </c>
      <c r="M759" s="12">
        <v>46224</v>
      </c>
      <c r="N759" s="5" t="str">
        <v/>
      </c>
      <c r="O759" s="5">
        <v>73781</v>
      </c>
      <c r="P759" s="5">
        <v>43</v>
      </c>
      <c r="Q759" s="14">
        <v>46225</v>
      </c>
      <c r="R759" s="15">
        <v>201</v>
      </c>
    </row>
    <row r="760" spans="2:18" x14ac:dyDescent="0.35">
      <c r="B760" s="9">
        <v>312</v>
      </c>
      <c r="C760" s="9" t="str">
        <v>출고재고</v>
      </c>
      <c r="D760" s="9" t="str">
        <v/>
      </c>
      <c r="E760" s="9" t="str">
        <v>입고</v>
      </c>
      <c r="F760" s="9" t="str">
        <v/>
      </c>
      <c r="G760" s="9" t="str">
        <v/>
      </c>
      <c r="H760" s="9" t="str">
        <v>RF-01T-0196</v>
      </c>
      <c r="I760" s="11" t="str">
        <v>RF-01T-0196]CVR REAR</v>
      </c>
      <c r="J760" s="9">
        <v>288</v>
      </c>
      <c r="K760" s="9" t="str">
        <v/>
      </c>
      <c r="L760" s="9" t="str">
        <v>3I5</v>
      </c>
      <c r="M760" s="12">
        <v>46233</v>
      </c>
      <c r="N760" s="5" t="str">
        <v/>
      </c>
      <c r="O760" s="5">
        <v>73781</v>
      </c>
      <c r="P760" s="5">
        <v>7</v>
      </c>
      <c r="Q760" s="14">
        <v>46233</v>
      </c>
      <c r="R760" s="15">
        <v>281</v>
      </c>
    </row>
    <row r="761" spans="2:18" x14ac:dyDescent="0.35">
      <c r="B761" s="9">
        <v>356</v>
      </c>
      <c r="C761" s="9" t="str">
        <v>출고재고</v>
      </c>
      <c r="D761" s="9" t="str">
        <v/>
      </c>
      <c r="E761" s="9" t="str">
        <v>입고</v>
      </c>
      <c r="F761" s="9" t="str">
        <v/>
      </c>
      <c r="G761" s="9" t="str">
        <v/>
      </c>
      <c r="H761" s="9" t="str">
        <v>RF-01T-0196</v>
      </c>
      <c r="I761" s="11" t="str">
        <v>RF-01T-0196]CVR REAR</v>
      </c>
      <c r="J761" s="9">
        <v>288</v>
      </c>
      <c r="K761" s="9" t="str">
        <v/>
      </c>
      <c r="L761" s="9" t="str">
        <v>3I5</v>
      </c>
      <c r="M761" s="12">
        <v>46233</v>
      </c>
      <c r="N761" s="5" t="str">
        <v/>
      </c>
      <c r="O761" s="5">
        <v>73781</v>
      </c>
      <c r="P761" s="5">
        <v>7</v>
      </c>
      <c r="Q761" s="14">
        <v>46233</v>
      </c>
      <c r="R761" s="15">
        <v>281</v>
      </c>
    </row>
    <row r="762" spans="2:18" x14ac:dyDescent="0.35">
      <c r="B762" s="9">
        <v>355</v>
      </c>
      <c r="C762" s="9" t="str">
        <v>출고재고</v>
      </c>
      <c r="D762" s="9" t="str">
        <v/>
      </c>
      <c r="E762" s="9" t="str">
        <v>입고</v>
      </c>
      <c r="F762" s="9" t="str">
        <v/>
      </c>
      <c r="G762" s="9" t="str">
        <v/>
      </c>
      <c r="H762" s="9" t="str">
        <v>RF-01T-0164</v>
      </c>
      <c r="I762" s="11" t="str">
        <v>RF-01T-0164]LED TOUCH INDIGATOR</v>
      </c>
      <c r="J762" s="9">
        <v>300</v>
      </c>
      <c r="K762" s="9" t="str">
        <v/>
      </c>
      <c r="L762" s="9" t="str">
        <v>3L3-5</v>
      </c>
      <c r="M762" s="12">
        <v>46226</v>
      </c>
      <c r="N762" s="5" t="str">
        <v/>
      </c>
      <c r="O762" s="5">
        <v>73781</v>
      </c>
      <c r="P762" s="5">
        <v>8</v>
      </c>
      <c r="Q762" s="14">
        <v>46227</v>
      </c>
      <c r="R762" s="15">
        <v>292</v>
      </c>
    </row>
    <row r="763" spans="2:18" x14ac:dyDescent="0.35">
      <c r="B763" s="9">
        <v>106</v>
      </c>
      <c r="C763" s="9" t="str">
        <v>출고재고</v>
      </c>
      <c r="D763" s="9" t="str">
        <v/>
      </c>
      <c r="E763" s="9" t="str">
        <v/>
      </c>
      <c r="F763" s="9" t="str">
        <v/>
      </c>
      <c r="G763" s="9" t="str">
        <v/>
      </c>
      <c r="H763" s="9" t="str">
        <v>RF-01S-5084</v>
      </c>
      <c r="I763" s="11" t="str">
        <v>RF-01S-5084]CAM Trigger_C harness</v>
      </c>
      <c r="J763" s="9">
        <v>48</v>
      </c>
      <c r="K763" s="9" t="str">
        <v/>
      </c>
      <c r="L763" s="9" t="str">
        <v>3L3-2</v>
      </c>
      <c r="M763" s="12">
        <v>46224</v>
      </c>
      <c r="N763" s="5" t="str">
        <v/>
      </c>
      <c r="O763" s="5">
        <v>74131</v>
      </c>
      <c r="P763" s="5">
        <v>2</v>
      </c>
      <c r="Q763" s="14">
        <v>46230</v>
      </c>
      <c r="R763" s="15">
        <v>46</v>
      </c>
    </row>
    <row r="764" spans="2:18" x14ac:dyDescent="0.35">
      <c r="B764" s="9">
        <v>105</v>
      </c>
      <c r="C764" s="9" t="str">
        <v>출고재고</v>
      </c>
      <c r="D764" s="9" t="str">
        <v/>
      </c>
      <c r="E764" s="9" t="str">
        <v/>
      </c>
      <c r="F764" s="9" t="str">
        <v/>
      </c>
      <c r="G764" s="9" t="str">
        <v/>
      </c>
      <c r="H764" s="9" t="str">
        <v>RF-01S-5087</v>
      </c>
      <c r="I764" s="11" t="str">
        <v>RF-01S-5087]CAM Cable_Face</v>
      </c>
      <c r="J764" s="9">
        <v>108</v>
      </c>
      <c r="K764" s="9" t="str">
        <v/>
      </c>
      <c r="L764" s="9" t="str">
        <v>3F1</v>
      </c>
      <c r="M764" s="12">
        <v>46224</v>
      </c>
      <c r="N764" s="5" t="str">
        <v/>
      </c>
      <c r="O764" s="5">
        <v>74131</v>
      </c>
      <c r="P764" s="5">
        <v>2</v>
      </c>
      <c r="Q764" s="14">
        <v>46230</v>
      </c>
      <c r="R764" s="15">
        <v>106</v>
      </c>
    </row>
    <row r="765" spans="2:18" x14ac:dyDescent="0.35">
      <c r="B765" s="9">
        <v>502</v>
      </c>
      <c r="C765" s="9" t="str">
        <v>출고재고</v>
      </c>
      <c r="D765" s="9" t="str">
        <v/>
      </c>
      <c r="E765" s="9" t="str">
        <v>입고</v>
      </c>
      <c r="F765" s="9" t="str">
        <v>하이크로봇</v>
      </c>
      <c r="G765" s="9" t="str">
        <v>장동은</v>
      </c>
      <c r="H765" s="9" t="str">
        <v>RF-01S-5094</v>
      </c>
      <c r="I765" s="11" t="str">
        <v/>
      </c>
      <c r="J765" s="9">
        <v>50</v>
      </c>
      <c r="K765" s="9" t="str">
        <v/>
      </c>
      <c r="L765" s="9" t="str">
        <v>3F10</v>
      </c>
      <c r="M765" s="12">
        <v>46265</v>
      </c>
      <c r="N765" s="5" t="str">
        <v/>
      </c>
      <c r="O765" s="5">
        <v>76974</v>
      </c>
      <c r="P765" s="5">
        <v>3</v>
      </c>
      <c r="Q765" s="14">
        <v>46268</v>
      </c>
      <c r="R765" s="15">
        <v>47</v>
      </c>
    </row>
    <row r="766" spans="2:18" x14ac:dyDescent="0.35">
      <c r="B766" s="9">
        <v>490</v>
      </c>
      <c r="C766" s="9" t="str">
        <v>출고재고</v>
      </c>
      <c r="D766" s="9" t="str">
        <v/>
      </c>
      <c r="E766" s="9" t="str">
        <v/>
      </c>
      <c r="F766" s="9" t="str">
        <v/>
      </c>
      <c r="G766" s="9" t="str">
        <v/>
      </c>
      <c r="H766" s="9" t="str">
        <v>RF-01T-0196</v>
      </c>
      <c r="I766" s="11" t="str">
        <v>RF-01T-0196]CVR REAR</v>
      </c>
      <c r="J766" s="9">
        <v>225</v>
      </c>
      <c r="K766" s="9" t="str">
        <v/>
      </c>
      <c r="L766" s="9" t="str">
        <v>3I5</v>
      </c>
      <c r="M766" s="12">
        <v>46268</v>
      </c>
      <c r="N766" s="5" t="str">
        <v/>
      </c>
      <c r="O766" s="5">
        <v>76974</v>
      </c>
      <c r="P766" s="5">
        <v>1</v>
      </c>
      <c r="Q766" s="14">
        <v>46268</v>
      </c>
      <c r="R766" s="15">
        <v>224</v>
      </c>
    </row>
    <row r="767" spans="2:18" x14ac:dyDescent="0.35">
      <c r="B767" s="9">
        <v>734</v>
      </c>
      <c r="C767" s="9" t="str">
        <v>출고재고</v>
      </c>
      <c r="D767" s="9" t="str">
        <v/>
      </c>
      <c r="E767" s="9" t="str">
        <v/>
      </c>
      <c r="F767" s="9" t="str">
        <v/>
      </c>
      <c r="G767" s="9" t="str">
        <v/>
      </c>
      <c r="H767" s="9" t="str">
        <v>RA-9-12</v>
      </c>
      <c r="I767" s="11" t="str">
        <v>RA-9-12]SCEPH LAN</v>
      </c>
      <c r="J767" s="9">
        <v>80</v>
      </c>
      <c r="K767" s="9" t="str">
        <v/>
      </c>
      <c r="L767" s="9" t="str">
        <v>G3-4</v>
      </c>
      <c r="M767" s="12">
        <v>46261</v>
      </c>
      <c r="N767" s="5" t="str">
        <v/>
      </c>
      <c r="O767" s="5">
        <v>80923</v>
      </c>
      <c r="P767" s="5">
        <v>2</v>
      </c>
      <c r="Q767" s="14">
        <v>46261</v>
      </c>
      <c r="R767" s="15">
        <v>78</v>
      </c>
    </row>
    <row r="768" spans="2:18" x14ac:dyDescent="0.35">
      <c r="B768" s="9">
        <v>481</v>
      </c>
      <c r="C768" s="9" t="str">
        <v>출고재고</v>
      </c>
      <c r="D768" s="9" t="str">
        <v/>
      </c>
      <c r="E768" s="9" t="str">
        <v/>
      </c>
      <c r="F768" s="9" t="str">
        <v/>
      </c>
      <c r="G768" s="9" t="str">
        <v/>
      </c>
      <c r="H768" s="9" t="str">
        <v>RA-05A-6004</v>
      </c>
      <c r="I768" s="11" t="str">
        <v>RA-05A-6004]Bd ASSY'-Aux MCU</v>
      </c>
      <c r="J768" s="9">
        <v>279</v>
      </c>
      <c r="K768" s="9" t="str">
        <v/>
      </c>
      <c r="L768" s="9" t="str">
        <v>A2-2</v>
      </c>
      <c r="M768" s="12">
        <v>46254</v>
      </c>
      <c r="N768" s="5" t="str">
        <v/>
      </c>
      <c r="O768" s="5">
        <v>80923</v>
      </c>
      <c r="P768" s="5">
        <v>1</v>
      </c>
      <c r="Q768" s="14">
        <v>46261</v>
      </c>
      <c r="R768" s="15">
        <v>278</v>
      </c>
    </row>
    <row r="769" spans="2:18" x14ac:dyDescent="0.35">
      <c r="B769" s="9">
        <v>20</v>
      </c>
      <c r="C769" s="9" t="str">
        <v>출고재고</v>
      </c>
      <c r="D769" s="9" t="str">
        <v/>
      </c>
      <c r="E769" s="9" t="str">
        <v>기초</v>
      </c>
      <c r="F769" s="9" t="str">
        <v/>
      </c>
      <c r="G769" s="9" t="str">
        <v/>
      </c>
      <c r="H769" s="9" t="str">
        <v>RF-01T-0164</v>
      </c>
      <c r="I769" s="11" t="str">
        <v>RF-01T-0164]LED TOUCH INDIGATOR</v>
      </c>
      <c r="J769" s="9">
        <v>0</v>
      </c>
      <c r="K769" s="9" t="str">
        <v/>
      </c>
      <c r="L769" s="9" t="str">
        <v>3L3-5</v>
      </c>
      <c r="M769" s="12">
        <v>46224</v>
      </c>
      <c r="N769" s="5" t="str">
        <v/>
      </c>
      <c r="O769" s="5">
        <v>84393</v>
      </c>
      <c r="P769" s="5">
        <v>0</v>
      </c>
      <c r="Q769" s="14">
        <v>46224</v>
      </c>
      <c r="R769" s="15">
        <v>0</v>
      </c>
    </row>
    <row r="770" spans="2:18" x14ac:dyDescent="0.35">
      <c r="B770" s="9">
        <v>22</v>
      </c>
      <c r="C770" s="9" t="str">
        <v>출고재고</v>
      </c>
      <c r="D770" s="9" t="str">
        <v/>
      </c>
      <c r="E770" s="9" t="str">
        <v>기초</v>
      </c>
      <c r="F770" s="9" t="str">
        <v/>
      </c>
      <c r="G770" s="9" t="str">
        <v/>
      </c>
      <c r="H770" s="9" t="str">
        <v>RF-01S-5072</v>
      </c>
      <c r="I770" s="11" t="str">
        <v>RF-01S-5072]USB 3.0 A to B Cable</v>
      </c>
      <c r="J770" s="9">
        <v>0</v>
      </c>
      <c r="K770" s="9" t="str">
        <v/>
      </c>
      <c r="L770" s="9" t="str">
        <v>3S3-2</v>
      </c>
      <c r="M770" s="12">
        <v>46224</v>
      </c>
      <c r="N770" s="5" t="str">
        <v/>
      </c>
      <c r="O770" s="5">
        <v>84393</v>
      </c>
      <c r="P770" s="5">
        <v>0</v>
      </c>
      <c r="Q770" s="14">
        <v>46224</v>
      </c>
      <c r="R770" s="15">
        <v>0</v>
      </c>
    </row>
    <row r="771" spans="2:18" x14ac:dyDescent="0.35">
      <c r="B771" s="9">
        <v>35</v>
      </c>
      <c r="C771" s="9" t="str">
        <v>출고재고</v>
      </c>
      <c r="D771" s="9" t="str">
        <v/>
      </c>
      <c r="E771" s="9" t="str">
        <v>기초</v>
      </c>
      <c r="F771" s="9" t="str">
        <v/>
      </c>
      <c r="G771" s="9" t="str">
        <v/>
      </c>
      <c r="H771" s="9" t="str">
        <v>RF-01B-5073</v>
      </c>
      <c r="I771" s="11" t="str">
        <v>RF-01B-5073]DMD FPC Cable</v>
      </c>
      <c r="J771" s="9">
        <v>0</v>
      </c>
      <c r="K771" s="9" t="str">
        <v/>
      </c>
      <c r="L771" s="9" t="str">
        <v>A5-3</v>
      </c>
      <c r="M771" s="12">
        <v>46224</v>
      </c>
      <c r="N771" s="5" t="str">
        <v/>
      </c>
      <c r="O771" s="5">
        <v>84393</v>
      </c>
      <c r="P771" s="5">
        <v>0</v>
      </c>
      <c r="Q771" s="14">
        <v>46224</v>
      </c>
      <c r="R771" s="15">
        <v>0</v>
      </c>
    </row>
    <row r="772" spans="2:18" x14ac:dyDescent="0.35">
      <c r="B772" s="9">
        <v>37</v>
      </c>
      <c r="C772" s="9" t="str">
        <v>출고재고</v>
      </c>
      <c r="D772" s="9" t="str">
        <v/>
      </c>
      <c r="E772" s="9" t="str">
        <v>기초</v>
      </c>
      <c r="F772" s="9" t="str">
        <v/>
      </c>
      <c r="G772" s="9" t="str">
        <v/>
      </c>
      <c r="H772" s="9" t="str">
        <v>RF-01H-5056</v>
      </c>
      <c r="I772" s="11" t="str">
        <v>RF-01H-5056]LED PWM harness</v>
      </c>
      <c r="J772" s="9">
        <v>0</v>
      </c>
      <c r="K772" s="9" t="str">
        <v/>
      </c>
      <c r="L772" s="9" t="str">
        <v>3S3-4</v>
      </c>
      <c r="M772" s="12">
        <v>46224</v>
      </c>
      <c r="N772" s="5" t="str">
        <v/>
      </c>
      <c r="O772" s="5">
        <v>84393</v>
      </c>
      <c r="P772" s="5">
        <v>0</v>
      </c>
      <c r="Q772" s="14">
        <v>46224</v>
      </c>
      <c r="R772" s="15">
        <v>0</v>
      </c>
    </row>
    <row r="773" spans="2:18" x14ac:dyDescent="0.35">
      <c r="B773" s="9">
        <v>77</v>
      </c>
      <c r="C773" s="9" t="str">
        <v>출고재고</v>
      </c>
      <c r="D773" s="9" t="str">
        <v/>
      </c>
      <c r="E773" s="9" t="str">
        <v>기초</v>
      </c>
      <c r="F773" s="9" t="str">
        <v/>
      </c>
      <c r="G773" s="9" t="str">
        <v/>
      </c>
      <c r="H773" s="9" t="str">
        <v>RF-01T-0196</v>
      </c>
      <c r="I773" s="11" t="str">
        <v>RF-01T-0196]CVR REAR</v>
      </c>
      <c r="J773" s="9">
        <v>0</v>
      </c>
      <c r="K773" s="9" t="str">
        <v/>
      </c>
      <c r="L773" s="9" t="str">
        <v>3I5</v>
      </c>
      <c r="M773" s="12">
        <v>46224</v>
      </c>
      <c r="N773" s="5" t="str">
        <v/>
      </c>
      <c r="O773" s="5">
        <v>84393</v>
      </c>
      <c r="P773" s="5">
        <v>0</v>
      </c>
      <c r="Q773" s="14">
        <v>46224</v>
      </c>
      <c r="R773" s="15">
        <v>0</v>
      </c>
    </row>
    <row r="774" spans="2:18" x14ac:dyDescent="0.35">
      <c r="B774" s="9">
        <v>23</v>
      </c>
      <c r="C774" s="9" t="str">
        <v>출고재고</v>
      </c>
      <c r="D774" s="9" t="str">
        <v/>
      </c>
      <c r="E774" s="9" t="str">
        <v>기초</v>
      </c>
      <c r="F774" s="9" t="str">
        <v/>
      </c>
      <c r="G774" s="9" t="str">
        <v/>
      </c>
      <c r="H774" s="9" t="str">
        <v>RF-20A-0383</v>
      </c>
      <c r="I774" s="11" t="str">
        <v/>
      </c>
      <c r="J774" s="9">
        <v>1</v>
      </c>
      <c r="K774" s="9" t="str">
        <v/>
      </c>
      <c r="L774" s="9" t="str">
        <v>3L1-3</v>
      </c>
      <c r="M774" s="12">
        <v>46224</v>
      </c>
      <c r="N774" s="5" t="str">
        <v/>
      </c>
      <c r="O774" s="5">
        <v>84393</v>
      </c>
      <c r="P774" s="5">
        <v>1</v>
      </c>
      <c r="Q774" s="14">
        <v>46224</v>
      </c>
      <c r="R774" s="15">
        <v>0</v>
      </c>
    </row>
    <row r="775" spans="2:18" x14ac:dyDescent="0.35">
      <c r="B775" s="9">
        <v>50</v>
      </c>
      <c r="C775" s="9" t="str">
        <v>출고재고</v>
      </c>
      <c r="D775" s="9" t="str">
        <v/>
      </c>
      <c r="E775" s="9" t="str">
        <v>기초</v>
      </c>
      <c r="F775" s="9" t="str">
        <v/>
      </c>
      <c r="G775" s="9" t="str">
        <v/>
      </c>
      <c r="H775" s="9" t="str">
        <v>RF-20A-0280</v>
      </c>
      <c r="I775" s="11" t="str">
        <v>RF-20A-0280]MODULE DLP MCU BRACKET</v>
      </c>
      <c r="J775" s="9">
        <v>1</v>
      </c>
      <c r="K775" s="9" t="str">
        <v/>
      </c>
      <c r="L775" s="9" t="str">
        <v>3F2</v>
      </c>
      <c r="M775" s="12">
        <v>46224</v>
      </c>
      <c r="N775" s="5" t="str">
        <v/>
      </c>
      <c r="O775" s="5">
        <v>84393</v>
      </c>
      <c r="P775" s="5">
        <v>1</v>
      </c>
      <c r="Q775" s="14">
        <v>46224</v>
      </c>
      <c r="R775" s="15">
        <v>0</v>
      </c>
    </row>
    <row r="776" spans="2:18" x14ac:dyDescent="0.35">
      <c r="B776" s="9">
        <v>498</v>
      </c>
      <c r="C776" s="9" t="str">
        <v>출고재고</v>
      </c>
      <c r="D776" s="9" t="str">
        <v/>
      </c>
      <c r="E776" s="9" t="str">
        <v/>
      </c>
      <c r="F776" s="9" t="str">
        <v/>
      </c>
      <c r="G776" s="9" t="str">
        <v/>
      </c>
      <c r="H776" s="9" t="str">
        <v>RF-01S-5097</v>
      </c>
      <c r="I776" s="11" t="str">
        <v/>
      </c>
      <c r="J776" s="9">
        <v>3</v>
      </c>
      <c r="K776" s="9" t="str">
        <v/>
      </c>
      <c r="L776" s="9" t="str">
        <v>3F2</v>
      </c>
      <c r="M776" s="12">
        <v>46268</v>
      </c>
      <c r="N776" s="5" t="str">
        <v/>
      </c>
      <c r="O776" s="5">
        <v>84393</v>
      </c>
      <c r="P776" s="5">
        <v>1</v>
      </c>
      <c r="Q776" s="14">
        <v>46268</v>
      </c>
      <c r="R776" s="15">
        <v>2</v>
      </c>
    </row>
    <row r="777" spans="2:18" x14ac:dyDescent="0.35">
      <c r="B777" s="9">
        <v>156</v>
      </c>
      <c r="C777" s="9" t="str">
        <v>출고재고</v>
      </c>
      <c r="D777" s="9" t="str">
        <v/>
      </c>
      <c r="E777" s="9" t="str">
        <v>입고</v>
      </c>
      <c r="F777" s="9" t="str">
        <v/>
      </c>
      <c r="G777" s="9" t="str">
        <v/>
      </c>
      <c r="H777" s="9" t="str">
        <v>RF-01H-5052</v>
      </c>
      <c r="I777" s="11" t="str">
        <v>RF-01H-5052]USB TO SBC HARNESS</v>
      </c>
      <c r="J777" s="9">
        <v>7</v>
      </c>
      <c r="K777" s="9" t="str">
        <v/>
      </c>
      <c r="L777" s="9" t="str">
        <v>3S3-4</v>
      </c>
      <c r="M777" s="12">
        <v>46227</v>
      </c>
      <c r="N777" s="5" t="str">
        <v/>
      </c>
      <c r="O777" s="5">
        <v>84393</v>
      </c>
      <c r="P777" s="5">
        <v>5</v>
      </c>
      <c r="Q777" s="14">
        <v>46230</v>
      </c>
      <c r="R777" s="15">
        <v>2</v>
      </c>
    </row>
    <row r="778" spans="2:18" x14ac:dyDescent="0.35">
      <c r="B778" s="9">
        <v>359</v>
      </c>
      <c r="C778" s="9" t="str">
        <v>출고재고</v>
      </c>
      <c r="D778" s="9" t="str">
        <v/>
      </c>
      <c r="E778" s="9" t="str">
        <v>입고</v>
      </c>
      <c r="F778" s="9" t="str">
        <v/>
      </c>
      <c r="G778" s="9" t="str">
        <v/>
      </c>
      <c r="H778" s="9" t="str">
        <v>RF-01V-0197</v>
      </c>
      <c r="I778" s="11" t="str">
        <v>RF-01V-0197]JETSON BRK</v>
      </c>
      <c r="J778" s="9">
        <v>8</v>
      </c>
      <c r="K778" s="9" t="str">
        <v/>
      </c>
      <c r="L778" s="9" t="str">
        <v>3F3</v>
      </c>
      <c r="M778" s="12">
        <v>46233</v>
      </c>
      <c r="N778" s="5" t="str">
        <v/>
      </c>
      <c r="O778" s="5">
        <v>84393</v>
      </c>
      <c r="P778" s="5">
        <v>8</v>
      </c>
      <c r="Q778" s="14">
        <v>46253</v>
      </c>
      <c r="R778" s="15">
        <v>0</v>
      </c>
    </row>
    <row r="779" spans="2:18" x14ac:dyDescent="0.35">
      <c r="B779" s="9">
        <v>358</v>
      </c>
      <c r="C779" s="9" t="str">
        <v>출고재고</v>
      </c>
      <c r="D779" s="9" t="str">
        <v/>
      </c>
      <c r="E779" s="9" t="str">
        <v>입고</v>
      </c>
      <c r="F779" s="9" t="str">
        <v/>
      </c>
      <c r="G779" s="9" t="str">
        <v/>
      </c>
      <c r="H779" s="9" t="str">
        <v>RF-01V-0197</v>
      </c>
      <c r="I779" s="11" t="str">
        <v>RF-01V-0197]JETSON BRK</v>
      </c>
      <c r="J779" s="9">
        <v>10</v>
      </c>
      <c r="K779" s="9" t="str">
        <v/>
      </c>
      <c r="L779" s="9" t="str">
        <v>3F3</v>
      </c>
      <c r="M779" s="12">
        <v>46233</v>
      </c>
      <c r="N779" s="5" t="str">
        <v/>
      </c>
      <c r="O779" s="5">
        <v>84393</v>
      </c>
      <c r="P779" s="5">
        <v>10</v>
      </c>
      <c r="Q779" s="14">
        <v>46253</v>
      </c>
      <c r="R779" s="15">
        <v>0</v>
      </c>
    </row>
    <row r="780" spans="2:18" x14ac:dyDescent="0.35">
      <c r="B780" s="9">
        <v>157</v>
      </c>
      <c r="C780" s="9" t="str">
        <v>출고재고</v>
      </c>
      <c r="D780" s="9" t="str">
        <v/>
      </c>
      <c r="E780" s="9" t="str">
        <v>입고</v>
      </c>
      <c r="F780" s="9" t="str">
        <v/>
      </c>
      <c r="G780" s="9" t="str">
        <v/>
      </c>
      <c r="H780" s="9" t="str">
        <v>RF-01H-5053</v>
      </c>
      <c r="I780" s="11" t="str">
        <v>RF-01H-5053]USB to PC harness</v>
      </c>
      <c r="J780" s="9">
        <v>11</v>
      </c>
      <c r="K780" s="9" t="str">
        <v/>
      </c>
      <c r="L780" s="9" t="str">
        <v>3S3-4</v>
      </c>
      <c r="M780" s="12">
        <v>46227</v>
      </c>
      <c r="N780" s="5" t="str">
        <v/>
      </c>
      <c r="O780" s="5">
        <v>84393</v>
      </c>
      <c r="P780" s="5">
        <v>6</v>
      </c>
      <c r="Q780" s="14">
        <v>46230</v>
      </c>
      <c r="R780" s="15">
        <v>5</v>
      </c>
    </row>
    <row r="781" spans="2:18" x14ac:dyDescent="0.35">
      <c r="B781" s="9">
        <v>162</v>
      </c>
      <c r="C781" s="9" t="str">
        <v>출고재고</v>
      </c>
      <c r="D781" s="9" t="str">
        <v/>
      </c>
      <c r="E781" s="9" t="str">
        <v>입고</v>
      </c>
      <c r="F781" s="9" t="str">
        <v/>
      </c>
      <c r="G781" s="9" t="str">
        <v/>
      </c>
      <c r="H781" s="9" t="str">
        <v>RF-01H-5075</v>
      </c>
      <c r="I781" s="11" t="str">
        <v>RF-01H-5075] USB to Cal kit harness</v>
      </c>
      <c r="J781" s="9">
        <v>12</v>
      </c>
      <c r="K781" s="9" t="str">
        <v/>
      </c>
      <c r="L781" s="9" t="str">
        <v>3S3-6</v>
      </c>
      <c r="M781" s="12">
        <v>46227</v>
      </c>
      <c r="N781" s="5" t="str">
        <v/>
      </c>
      <c r="O781" s="5">
        <v>84393</v>
      </c>
      <c r="P781" s="5">
        <v>7</v>
      </c>
      <c r="Q781" s="14">
        <v>46230</v>
      </c>
      <c r="R781" s="15">
        <v>5</v>
      </c>
    </row>
    <row r="782" spans="2:18" x14ac:dyDescent="0.35">
      <c r="B782" s="9">
        <v>158</v>
      </c>
      <c r="C782" s="9" t="str">
        <v>출고재고</v>
      </c>
      <c r="D782" s="9" t="str">
        <v/>
      </c>
      <c r="E782" s="9" t="str">
        <v>입고</v>
      </c>
      <c r="F782" s="9" t="str">
        <v/>
      </c>
      <c r="G782" s="9" t="str">
        <v/>
      </c>
      <c r="H782" s="9" t="str">
        <v>RF-01H-5054</v>
      </c>
      <c r="I782" s="11" t="str">
        <v>RF-01H-5054]DLP Power harness</v>
      </c>
      <c r="J782" s="9">
        <v>14</v>
      </c>
      <c r="K782" s="9" t="str">
        <v/>
      </c>
      <c r="L782" s="9" t="str">
        <v>3S3-4</v>
      </c>
      <c r="M782" s="12">
        <v>46227</v>
      </c>
      <c r="N782" s="5" t="str">
        <v/>
      </c>
      <c r="O782" s="5">
        <v>84393</v>
      </c>
      <c r="P782" s="5">
        <v>12</v>
      </c>
      <c r="Q782" s="14">
        <v>46230</v>
      </c>
      <c r="R782" s="15">
        <v>2</v>
      </c>
    </row>
    <row r="783" spans="2:18" x14ac:dyDescent="0.35">
      <c r="B783" s="9">
        <v>514</v>
      </c>
      <c r="C783" s="9" t="str">
        <v>출고재고</v>
      </c>
      <c r="D783" s="9" t="str">
        <v/>
      </c>
      <c r="E783" s="9" t="str">
        <v/>
      </c>
      <c r="F783" s="9" t="str">
        <v/>
      </c>
      <c r="G783" s="9" t="str">
        <v/>
      </c>
      <c r="H783" s="9" t="str">
        <v>RF-20A-0382</v>
      </c>
      <c r="I783" s="11" t="str">
        <v/>
      </c>
      <c r="J783" s="9">
        <v>14</v>
      </c>
      <c r="K783" s="9" t="str">
        <v/>
      </c>
      <c r="L783" s="9" t="str">
        <v>3C6</v>
      </c>
      <c r="M783" s="12">
        <v>46268</v>
      </c>
      <c r="N783" s="5" t="str">
        <v/>
      </c>
      <c r="O783" s="5">
        <v>84393</v>
      </c>
      <c r="P783" s="5">
        <v>14</v>
      </c>
      <c r="Q783" s="14">
        <v>46268</v>
      </c>
      <c r="R783" s="15">
        <v>0</v>
      </c>
    </row>
    <row r="784" spans="2:18" x14ac:dyDescent="0.35">
      <c r="B784" s="9">
        <v>161</v>
      </c>
      <c r="C784" s="9" t="str">
        <v>출고재고</v>
      </c>
      <c r="D784" s="9" t="str">
        <v/>
      </c>
      <c r="E784" s="9" t="str">
        <v>입고</v>
      </c>
      <c r="F784" s="9" t="str">
        <v/>
      </c>
      <c r="G784" s="9" t="str">
        <v/>
      </c>
      <c r="H784" s="9" t="str">
        <v>RF-01H-5067</v>
      </c>
      <c r="I784" s="11" t="str">
        <v>RF-01H-5067]LED_Right harness</v>
      </c>
      <c r="J784" s="9">
        <v>15</v>
      </c>
      <c r="K784" s="9" t="str">
        <v/>
      </c>
      <c r="L784" s="9" t="str">
        <v>3S3-5</v>
      </c>
      <c r="M784" s="12">
        <v>46227</v>
      </c>
      <c r="N784" s="5" t="str">
        <v/>
      </c>
      <c r="O784" s="5">
        <v>84393</v>
      </c>
      <c r="P784" s="5">
        <v>10</v>
      </c>
      <c r="Q784" s="14">
        <v>46230</v>
      </c>
      <c r="R784" s="15">
        <v>5</v>
      </c>
    </row>
    <row r="785" spans="2:18" x14ac:dyDescent="0.35">
      <c r="B785" s="9">
        <v>25</v>
      </c>
      <c r="C785" s="9" t="str">
        <v>출고재고</v>
      </c>
      <c r="D785" s="9" t="str">
        <v/>
      </c>
      <c r="E785" s="9" t="str">
        <v>기초</v>
      </c>
      <c r="F785" s="9" t="str">
        <v/>
      </c>
      <c r="G785" s="9" t="str">
        <v/>
      </c>
      <c r="H785" s="9" t="str">
        <v>RF-20A-0382</v>
      </c>
      <c r="I785" s="11" t="str">
        <v/>
      </c>
      <c r="J785" s="9">
        <v>16</v>
      </c>
      <c r="K785" s="9" t="str">
        <v/>
      </c>
      <c r="L785" s="9" t="str">
        <v>3C6</v>
      </c>
      <c r="M785" s="12">
        <v>46224</v>
      </c>
      <c r="N785" s="5" t="str">
        <v/>
      </c>
      <c r="O785" s="5">
        <v>84393</v>
      </c>
      <c r="P785" s="5">
        <v>16</v>
      </c>
      <c r="Q785" s="14">
        <v>46224</v>
      </c>
      <c r="R785" s="15">
        <v>0</v>
      </c>
    </row>
    <row r="786" spans="2:18" x14ac:dyDescent="0.35">
      <c r="B786" s="9">
        <v>159</v>
      </c>
      <c r="C786" s="9" t="str">
        <v>출고재고</v>
      </c>
      <c r="D786" s="9" t="str">
        <v/>
      </c>
      <c r="E786" s="9" t="str">
        <v>입고</v>
      </c>
      <c r="F786" s="9" t="str">
        <v/>
      </c>
      <c r="G786" s="9" t="str">
        <v/>
      </c>
      <c r="H786" s="9" t="str">
        <v>RF-01H-5055</v>
      </c>
      <c r="I786" s="11" t="str">
        <v>RF-01H-5055]LED Power harness</v>
      </c>
      <c r="J786" s="9">
        <v>18</v>
      </c>
      <c r="K786" s="9" t="str">
        <v/>
      </c>
      <c r="L786" s="9" t="str">
        <v>3S3-4</v>
      </c>
      <c r="M786" s="12">
        <v>46227</v>
      </c>
      <c r="N786" s="5" t="str">
        <v/>
      </c>
      <c r="O786" s="5">
        <v>84393</v>
      </c>
      <c r="P786" s="5">
        <v>15</v>
      </c>
      <c r="Q786" s="14">
        <v>46230</v>
      </c>
      <c r="R786" s="15">
        <v>3</v>
      </c>
    </row>
    <row r="787" spans="2:18" x14ac:dyDescent="0.35">
      <c r="B787" s="9">
        <v>519</v>
      </c>
      <c r="C787" s="9" t="str">
        <v>출고재고</v>
      </c>
      <c r="D787" s="9" t="str">
        <v/>
      </c>
      <c r="E787" s="9" t="str">
        <v>기초추가</v>
      </c>
      <c r="F787" s="9" t="str">
        <v/>
      </c>
      <c r="G787" s="9" t="str">
        <v/>
      </c>
      <c r="H787" s="9" t="str">
        <v>RF-20A-0382</v>
      </c>
      <c r="I787" s="11" t="str">
        <v/>
      </c>
      <c r="J787" s="9">
        <v>21</v>
      </c>
      <c r="K787" s="9" t="str">
        <v/>
      </c>
      <c r="L787" s="9" t="str">
        <v>3C6</v>
      </c>
      <c r="M787" s="12">
        <v>46268</v>
      </c>
      <c r="N787" s="5" t="str">
        <v/>
      </c>
      <c r="O787" s="5">
        <v>84393</v>
      </c>
      <c r="P787" s="5">
        <v>21</v>
      </c>
      <c r="Q787" s="14">
        <v>46268</v>
      </c>
      <c r="R787" s="15">
        <v>0</v>
      </c>
    </row>
    <row r="788" spans="2:18" x14ac:dyDescent="0.35">
      <c r="B788" s="9">
        <v>38</v>
      </c>
      <c r="C788" s="9" t="str">
        <v>출고재고</v>
      </c>
      <c r="D788" s="9" t="str">
        <v/>
      </c>
      <c r="E788" s="9" t="str">
        <v>기초</v>
      </c>
      <c r="F788" s="9" t="str">
        <v/>
      </c>
      <c r="G788" s="9" t="str">
        <v/>
      </c>
      <c r="H788" s="9" t="str">
        <v>RF-01V-0197</v>
      </c>
      <c r="I788" s="11" t="str">
        <v>RF-01V-0197]JETSON BRK</v>
      </c>
      <c r="J788" s="9">
        <v>31</v>
      </c>
      <c r="K788" s="9" t="str">
        <v/>
      </c>
      <c r="L788" s="9" t="str">
        <v>3F3</v>
      </c>
      <c r="M788" s="12">
        <v>46224</v>
      </c>
      <c r="N788" s="5" t="str">
        <v/>
      </c>
      <c r="O788" s="5">
        <v>84393</v>
      </c>
      <c r="P788" s="5">
        <v>31</v>
      </c>
      <c r="Q788" s="14">
        <v>46224</v>
      </c>
      <c r="R788" s="15">
        <v>0</v>
      </c>
    </row>
    <row r="789" spans="2:18" x14ac:dyDescent="0.35">
      <c r="B789" s="9">
        <v>66</v>
      </c>
      <c r="C789" s="9" t="str">
        <v>출고재고</v>
      </c>
      <c r="D789" s="9" t="str">
        <v/>
      </c>
      <c r="E789" s="9" t="str">
        <v>기초</v>
      </c>
      <c r="F789" s="9" t="str">
        <v/>
      </c>
      <c r="G789" s="9" t="str">
        <v/>
      </c>
      <c r="H789" s="9" t="str">
        <v>RF-01H-5070</v>
      </c>
      <c r="I789" s="11" t="str">
        <v>RF-01H-5070]Power Switch harness</v>
      </c>
      <c r="J789" s="9">
        <v>33</v>
      </c>
      <c r="K789" s="9" t="str">
        <v/>
      </c>
      <c r="L789" s="9" t="str">
        <v>3S3-6</v>
      </c>
      <c r="M789" s="12">
        <v>46224</v>
      </c>
      <c r="N789" s="5" t="str">
        <v/>
      </c>
      <c r="O789" s="5">
        <v>84393</v>
      </c>
      <c r="P789" s="5">
        <v>33</v>
      </c>
      <c r="Q789" s="14">
        <v>46224</v>
      </c>
      <c r="R789" s="15">
        <v>0</v>
      </c>
    </row>
    <row r="790" spans="2:18" x14ac:dyDescent="0.35">
      <c r="B790" s="9">
        <v>43</v>
      </c>
      <c r="C790" s="9" t="str">
        <v>출고재고</v>
      </c>
      <c r="D790" s="9" t="str">
        <v/>
      </c>
      <c r="E790" s="9" t="str">
        <v>기초</v>
      </c>
      <c r="F790" s="9" t="str">
        <v/>
      </c>
      <c r="G790" s="9" t="str">
        <v/>
      </c>
      <c r="H790" s="9" t="str">
        <v>RF-01H-5055</v>
      </c>
      <c r="I790" s="11" t="str">
        <v>RF-01H-5055]LED Power harness</v>
      </c>
      <c r="J790" s="9">
        <v>35</v>
      </c>
      <c r="K790" s="9" t="str">
        <v/>
      </c>
      <c r="L790" s="9" t="str">
        <v>3S3-4</v>
      </c>
      <c r="M790" s="12">
        <v>46224</v>
      </c>
      <c r="N790" s="5" t="str">
        <v/>
      </c>
      <c r="O790" s="5">
        <v>84393</v>
      </c>
      <c r="P790" s="5">
        <v>35</v>
      </c>
      <c r="Q790" s="14">
        <v>46224</v>
      </c>
      <c r="R790" s="15">
        <v>0</v>
      </c>
    </row>
    <row r="791" spans="2:18" x14ac:dyDescent="0.35">
      <c r="B791" s="9">
        <v>364</v>
      </c>
      <c r="C791" s="9" t="str">
        <v>출고재고</v>
      </c>
      <c r="D791" s="9" t="str">
        <v/>
      </c>
      <c r="E791" s="9" t="str">
        <v>입고</v>
      </c>
      <c r="F791" s="9" t="str">
        <v/>
      </c>
      <c r="G791" s="9" t="str">
        <v/>
      </c>
      <c r="H791" s="9" t="str">
        <v>RF-20A-0383</v>
      </c>
      <c r="I791" s="11" t="str">
        <v/>
      </c>
      <c r="J791" s="9">
        <v>36</v>
      </c>
      <c r="K791" s="9" t="str">
        <v/>
      </c>
      <c r="L791" s="9" t="str">
        <v>3L1-3</v>
      </c>
      <c r="M791" s="12">
        <v>46237</v>
      </c>
      <c r="N791" s="5" t="str">
        <v/>
      </c>
      <c r="O791" s="5">
        <v>84393</v>
      </c>
      <c r="P791" s="5">
        <v>33</v>
      </c>
      <c r="Q791" s="14">
        <v>46253</v>
      </c>
      <c r="R791" s="15">
        <v>3</v>
      </c>
    </row>
    <row r="792" spans="2:18" x14ac:dyDescent="0.35">
      <c r="B792" s="9">
        <v>36</v>
      </c>
      <c r="C792" s="9" t="str">
        <v>출고재고</v>
      </c>
      <c r="D792" s="9" t="str">
        <v/>
      </c>
      <c r="E792" s="9" t="str">
        <v>기초</v>
      </c>
      <c r="F792" s="9" t="str">
        <v/>
      </c>
      <c r="G792" s="9" t="str">
        <v/>
      </c>
      <c r="H792" s="9" t="str">
        <v>RF-01H-5054</v>
      </c>
      <c r="I792" s="11" t="str">
        <v>RF-01H-5054]DLP Power harness</v>
      </c>
      <c r="J792" s="9">
        <v>38</v>
      </c>
      <c r="K792" s="9" t="str">
        <v/>
      </c>
      <c r="L792" s="9" t="str">
        <v>3S3-4</v>
      </c>
      <c r="M792" s="12">
        <v>46224</v>
      </c>
      <c r="N792" s="5" t="str">
        <v/>
      </c>
      <c r="O792" s="5">
        <v>84393</v>
      </c>
      <c r="P792" s="5">
        <v>38</v>
      </c>
      <c r="Q792" s="14">
        <v>46224</v>
      </c>
      <c r="R792" s="15">
        <v>0</v>
      </c>
    </row>
    <row r="793" spans="2:18" x14ac:dyDescent="0.35">
      <c r="B793" s="9">
        <v>75</v>
      </c>
      <c r="C793" s="9" t="str">
        <v>출고재고</v>
      </c>
      <c r="D793" s="9" t="str">
        <v/>
      </c>
      <c r="E793" s="9" t="str">
        <v>기초</v>
      </c>
      <c r="F793" s="9" t="str">
        <v/>
      </c>
      <c r="G793" s="9" t="str">
        <v/>
      </c>
      <c r="H793" s="9" t="str">
        <v>RF-01H-5067</v>
      </c>
      <c r="I793" s="11" t="str">
        <v>RF-01H-5067]LED_Right harness</v>
      </c>
      <c r="J793" s="9">
        <v>40</v>
      </c>
      <c r="K793" s="9" t="str">
        <v/>
      </c>
      <c r="L793" s="9" t="str">
        <v>3S3-5</v>
      </c>
      <c r="M793" s="12">
        <v>46224</v>
      </c>
      <c r="N793" s="5" t="str">
        <v/>
      </c>
      <c r="O793" s="5">
        <v>84393</v>
      </c>
      <c r="P793" s="5">
        <v>40</v>
      </c>
      <c r="Q793" s="14">
        <v>46224</v>
      </c>
      <c r="R793" s="15">
        <v>0</v>
      </c>
    </row>
    <row r="794" spans="2:18" x14ac:dyDescent="0.35">
      <c r="B794" s="9">
        <v>18</v>
      </c>
      <c r="C794" s="9" t="str">
        <v>출고재고</v>
      </c>
      <c r="D794" s="9" t="str">
        <v/>
      </c>
      <c r="E794" s="9" t="str">
        <v>기초</v>
      </c>
      <c r="F794" s="9" t="str">
        <v/>
      </c>
      <c r="G794" s="9" t="str">
        <v/>
      </c>
      <c r="H794" s="9" t="str">
        <v>RF-01H-5065</v>
      </c>
      <c r="I794" s="11" t="str">
        <v>RF-01H-5065]Main Power harness</v>
      </c>
      <c r="J794" s="9">
        <v>42</v>
      </c>
      <c r="K794" s="9" t="str">
        <v/>
      </c>
      <c r="L794" s="9" t="str">
        <v>3S3-5</v>
      </c>
      <c r="M794" s="12">
        <v>46224</v>
      </c>
      <c r="N794" s="5" t="str">
        <v/>
      </c>
      <c r="O794" s="5">
        <v>84393</v>
      </c>
      <c r="P794" s="5">
        <v>42</v>
      </c>
      <c r="Q794" s="14">
        <v>46224</v>
      </c>
      <c r="R794" s="15">
        <v>0</v>
      </c>
    </row>
    <row r="795" spans="2:18" x14ac:dyDescent="0.35">
      <c r="B795" s="9">
        <v>12</v>
      </c>
      <c r="C795" s="9" t="str">
        <v>출고재고</v>
      </c>
      <c r="D795" s="9" t="str">
        <v/>
      </c>
      <c r="E795" s="9" t="str">
        <v>기초</v>
      </c>
      <c r="F795" s="9" t="str">
        <v/>
      </c>
      <c r="G795" s="9" t="str">
        <v/>
      </c>
      <c r="H795" s="9" t="str">
        <v>RF-01S-0251</v>
      </c>
      <c r="I795" s="11" t="str">
        <v>RF-01S-0251]CAL Mgnet</v>
      </c>
      <c r="J795" s="9">
        <v>43</v>
      </c>
      <c r="K795" s="9" t="str">
        <v/>
      </c>
      <c r="L795" s="9" t="str">
        <v>3L4-3</v>
      </c>
      <c r="M795" s="12">
        <v>46224</v>
      </c>
      <c r="N795" s="5" t="str">
        <v/>
      </c>
      <c r="O795" s="5">
        <v>84393</v>
      </c>
      <c r="P795" s="5">
        <v>43</v>
      </c>
      <c r="Q795" s="14">
        <v>46224</v>
      </c>
      <c r="R795" s="15">
        <v>0</v>
      </c>
    </row>
    <row r="796" spans="2:18" x14ac:dyDescent="0.35">
      <c r="B796" s="9">
        <v>16</v>
      </c>
      <c r="C796" s="9" t="str">
        <v>출고재고</v>
      </c>
      <c r="D796" s="9" t="str">
        <v/>
      </c>
      <c r="E796" s="9" t="str">
        <v>기초</v>
      </c>
      <c r="F796" s="9" t="str">
        <v/>
      </c>
      <c r="G796" s="9" t="str">
        <v/>
      </c>
      <c r="H796" s="9" t="str">
        <v>RF-01H-5075</v>
      </c>
      <c r="I796" s="11" t="str">
        <v>RF-01H-5075] USB to Cal kit harness</v>
      </c>
      <c r="J796" s="9">
        <v>43</v>
      </c>
      <c r="K796" s="9" t="str">
        <v/>
      </c>
      <c r="L796" s="9" t="str">
        <v>3S3-6</v>
      </c>
      <c r="M796" s="12">
        <v>46224</v>
      </c>
      <c r="N796" s="5" t="str">
        <v/>
      </c>
      <c r="O796" s="5">
        <v>84393</v>
      </c>
      <c r="P796" s="5">
        <v>43</v>
      </c>
      <c r="Q796" s="14">
        <v>46224</v>
      </c>
      <c r="R796" s="15">
        <v>0</v>
      </c>
    </row>
    <row r="797" spans="2:18" x14ac:dyDescent="0.35">
      <c r="B797" s="9">
        <v>17</v>
      </c>
      <c r="C797" s="9" t="str">
        <v>출고재고</v>
      </c>
      <c r="D797" s="9" t="str">
        <v/>
      </c>
      <c r="E797" s="9" t="str">
        <v>기초</v>
      </c>
      <c r="F797" s="9" t="str">
        <v/>
      </c>
      <c r="G797" s="9" t="str">
        <v/>
      </c>
      <c r="H797" s="9" t="str">
        <v>RF-01H-5053</v>
      </c>
      <c r="I797" s="11" t="str">
        <v>RF-01H-5053]USB to PC harness</v>
      </c>
      <c r="J797" s="9">
        <v>44</v>
      </c>
      <c r="K797" s="9" t="str">
        <v/>
      </c>
      <c r="L797" s="9" t="str">
        <v>3S3-4</v>
      </c>
      <c r="M797" s="12">
        <v>46224</v>
      </c>
      <c r="N797" s="5" t="str">
        <v/>
      </c>
      <c r="O797" s="5">
        <v>84393</v>
      </c>
      <c r="P797" s="5">
        <v>44</v>
      </c>
      <c r="Q797" s="14">
        <v>46224</v>
      </c>
      <c r="R797" s="15">
        <v>0</v>
      </c>
    </row>
    <row r="798" spans="2:18" x14ac:dyDescent="0.35">
      <c r="B798" s="9">
        <v>42</v>
      </c>
      <c r="C798" s="9" t="str">
        <v>출고재고</v>
      </c>
      <c r="D798" s="9" t="str">
        <v/>
      </c>
      <c r="E798" s="9" t="str">
        <v>기초</v>
      </c>
      <c r="F798" s="9" t="str">
        <v/>
      </c>
      <c r="G798" s="9" t="str">
        <v/>
      </c>
      <c r="H798" s="9" t="str">
        <v>RF-01H-5052</v>
      </c>
      <c r="I798" s="11" t="str">
        <v>RF-01H-5052]USB TO SBC HARNESS</v>
      </c>
      <c r="J798" s="9">
        <v>45</v>
      </c>
      <c r="K798" s="9" t="str">
        <v/>
      </c>
      <c r="L798" s="9" t="str">
        <v>3S3-4</v>
      </c>
      <c r="M798" s="12">
        <v>46224</v>
      </c>
      <c r="N798" s="5" t="str">
        <v/>
      </c>
      <c r="O798" s="5">
        <v>84393</v>
      </c>
      <c r="P798" s="5">
        <v>45</v>
      </c>
      <c r="Q798" s="14">
        <v>46224</v>
      </c>
      <c r="R798" s="15">
        <v>0</v>
      </c>
    </row>
    <row r="799" spans="2:18" x14ac:dyDescent="0.35">
      <c r="B799" s="9">
        <v>53</v>
      </c>
      <c r="C799" s="9" t="str">
        <v>출고재고</v>
      </c>
      <c r="D799" s="9" t="str">
        <v/>
      </c>
      <c r="E799" s="9" t="str">
        <v>기초</v>
      </c>
      <c r="F799" s="9" t="str">
        <v/>
      </c>
      <c r="G799" s="9" t="str">
        <v/>
      </c>
      <c r="H799" s="9" t="str">
        <v>RF-01S-5096</v>
      </c>
      <c r="I799" s="11" t="str">
        <v/>
      </c>
      <c r="J799" s="9">
        <v>49</v>
      </c>
      <c r="K799" s="9" t="str">
        <v/>
      </c>
      <c r="L799" s="9" t="str">
        <v>3F1</v>
      </c>
      <c r="M799" s="12">
        <v>46224</v>
      </c>
      <c r="N799" s="5" t="str">
        <v/>
      </c>
      <c r="O799" s="5">
        <v>84393</v>
      </c>
      <c r="P799" s="5">
        <v>49</v>
      </c>
      <c r="Q799" s="14">
        <v>46224</v>
      </c>
      <c r="R799" s="15">
        <v>0</v>
      </c>
    </row>
    <row r="800" spans="2:18" x14ac:dyDescent="0.35">
      <c r="B800" s="9">
        <v>121</v>
      </c>
      <c r="C800" s="9" t="str">
        <v>출고재고</v>
      </c>
      <c r="D800" s="9" t="str">
        <v/>
      </c>
      <c r="E800" s="9" t="str">
        <v/>
      </c>
      <c r="F800" s="9" t="str">
        <v/>
      </c>
      <c r="G800" s="9" t="str">
        <v/>
      </c>
      <c r="H800" s="9" t="str">
        <v>RF-01M-0268</v>
      </c>
      <c r="I800" s="11" t="str">
        <v>RF-01M-0268]TEETH CAM BLK_HR</v>
      </c>
      <c r="J800" s="9">
        <v>50</v>
      </c>
      <c r="K800" s="9" t="str">
        <v/>
      </c>
      <c r="L800" s="9" t="str">
        <v>3S2-1</v>
      </c>
      <c r="M800" s="12">
        <v>46224</v>
      </c>
      <c r="N800" s="5" t="str">
        <v/>
      </c>
      <c r="O800" s="5">
        <v>84393</v>
      </c>
      <c r="P800" s="5">
        <v>50</v>
      </c>
      <c r="Q800" s="14">
        <v>46226</v>
      </c>
      <c r="R800" s="15">
        <v>0</v>
      </c>
    </row>
    <row r="801" spans="2:18" x14ac:dyDescent="0.35">
      <c r="B801" s="9">
        <v>146</v>
      </c>
      <c r="C801" s="9" t="str">
        <v>출고재고</v>
      </c>
      <c r="D801" s="9" t="str">
        <v/>
      </c>
      <c r="E801" s="9" t="str">
        <v>기초</v>
      </c>
      <c r="F801" s="9" t="str">
        <v/>
      </c>
      <c r="G801" s="9" t="str">
        <v/>
      </c>
      <c r="H801" s="9" t="str">
        <v>RF-01S-5094</v>
      </c>
      <c r="I801" s="11" t="str">
        <v/>
      </c>
      <c r="J801" s="9">
        <v>50</v>
      </c>
      <c r="K801" s="9" t="str">
        <v/>
      </c>
      <c r="L801" s="9" t="str">
        <v>3F10</v>
      </c>
      <c r="M801" s="12">
        <v>46226</v>
      </c>
      <c r="N801" s="5" t="str">
        <v/>
      </c>
      <c r="O801" s="5">
        <v>84393</v>
      </c>
      <c r="P801" s="5">
        <v>50</v>
      </c>
      <c r="Q801" s="14">
        <v>46226</v>
      </c>
      <c r="R801" s="15">
        <v>0</v>
      </c>
    </row>
    <row r="802" spans="2:18" x14ac:dyDescent="0.35">
      <c r="B802" s="9">
        <v>500</v>
      </c>
      <c r="C802" s="9" t="str">
        <v>출고재고</v>
      </c>
      <c r="D802" s="9" t="str">
        <v/>
      </c>
      <c r="E802" s="9" t="str">
        <v>입고</v>
      </c>
      <c r="F802" s="9" t="str">
        <v>하이크로봇</v>
      </c>
      <c r="G802" s="9" t="str">
        <v>장동은</v>
      </c>
      <c r="H802" s="9" t="str">
        <v>RF-01S-5096</v>
      </c>
      <c r="I802" s="11" t="str">
        <v/>
      </c>
      <c r="J802" s="9">
        <v>50</v>
      </c>
      <c r="K802" s="9" t="str">
        <v/>
      </c>
      <c r="L802" s="9" t="str">
        <v>3F1</v>
      </c>
      <c r="M802" s="12">
        <v>46265</v>
      </c>
      <c r="N802" s="5" t="str">
        <v/>
      </c>
      <c r="O802" s="5">
        <v>84393</v>
      </c>
      <c r="P802" s="5">
        <v>1</v>
      </c>
      <c r="Q802" s="14">
        <v>46268</v>
      </c>
      <c r="R802" s="15">
        <v>49</v>
      </c>
    </row>
    <row r="803" spans="2:18" x14ac:dyDescent="0.35">
      <c r="B803" s="9">
        <v>145</v>
      </c>
      <c r="C803" s="9" t="str">
        <v>출고재고</v>
      </c>
      <c r="D803" s="9" t="str">
        <v/>
      </c>
      <c r="E803" s="9" t="str">
        <v>기초추가</v>
      </c>
      <c r="F803" s="9" t="str">
        <v/>
      </c>
      <c r="G803" s="9" t="str">
        <v/>
      </c>
      <c r="H803" s="9" t="str">
        <v>RF-01B-5073</v>
      </c>
      <c r="I803" s="11" t="str">
        <v>RF-01B-5073]DMD FPC Cable</v>
      </c>
      <c r="J803" s="9">
        <v>51</v>
      </c>
      <c r="K803" s="9" t="str">
        <v/>
      </c>
      <c r="L803" s="9" t="str">
        <v>A5-3</v>
      </c>
      <c r="M803" s="12">
        <v>46226</v>
      </c>
      <c r="N803" s="5" t="str">
        <v/>
      </c>
      <c r="O803" s="5">
        <v>84393</v>
      </c>
      <c r="P803" s="5">
        <v>50</v>
      </c>
      <c r="Q803" s="14">
        <v>46226</v>
      </c>
      <c r="R803" s="15">
        <v>1</v>
      </c>
    </row>
    <row r="804" spans="2:18" x14ac:dyDescent="0.35">
      <c r="B804" s="9">
        <v>70</v>
      </c>
      <c r="C804" s="9" t="str">
        <v>출고재고</v>
      </c>
      <c r="D804" s="9" t="str">
        <v/>
      </c>
      <c r="E804" s="9" t="str">
        <v>기초</v>
      </c>
      <c r="F804" s="9" t="str">
        <v/>
      </c>
      <c r="G804" s="9" t="str">
        <v/>
      </c>
      <c r="H804" s="9" t="str">
        <v>RF-01H-5069</v>
      </c>
      <c r="I804" s="11" t="str">
        <v>RF-01H-5069]LED_Bottom harness</v>
      </c>
      <c r="J804" s="9">
        <v>53</v>
      </c>
      <c r="K804" s="9" t="str">
        <v/>
      </c>
      <c r="L804" s="9" t="str">
        <v>3S3-5</v>
      </c>
      <c r="M804" s="12">
        <v>46224</v>
      </c>
      <c r="N804" s="5" t="str">
        <v/>
      </c>
      <c r="O804" s="5">
        <v>84393</v>
      </c>
      <c r="P804" s="5">
        <v>50</v>
      </c>
      <c r="Q804" s="14">
        <v>46224</v>
      </c>
      <c r="R804" s="15">
        <v>3</v>
      </c>
    </row>
    <row r="805" spans="2:18" x14ac:dyDescent="0.35">
      <c r="B805" s="9">
        <v>74</v>
      </c>
      <c r="C805" s="9" t="str">
        <v>출고재고</v>
      </c>
      <c r="D805" s="9" t="str">
        <v/>
      </c>
      <c r="E805" s="9" t="str">
        <v>기초</v>
      </c>
      <c r="F805" s="9" t="str">
        <v/>
      </c>
      <c r="G805" s="9" t="str">
        <v/>
      </c>
      <c r="H805" s="9" t="str">
        <v>RF-01T-0354</v>
      </c>
      <c r="I805" s="11" t="str">
        <v>RF-01T-0354]CAMERA CASE L</v>
      </c>
      <c r="J805" s="9">
        <v>54</v>
      </c>
      <c r="K805" s="9" t="str">
        <v/>
      </c>
      <c r="L805" s="9" t="str">
        <v>3E9</v>
      </c>
      <c r="M805" s="12">
        <v>46224</v>
      </c>
      <c r="N805" s="5" t="str">
        <v/>
      </c>
      <c r="O805" s="5">
        <v>84393</v>
      </c>
      <c r="P805" s="5">
        <v>50</v>
      </c>
      <c r="Q805" s="14">
        <v>46224</v>
      </c>
      <c r="R805" s="15">
        <v>4</v>
      </c>
    </row>
    <row r="806" spans="2:18" x14ac:dyDescent="0.35">
      <c r="B806" s="9">
        <v>34</v>
      </c>
      <c r="C806" s="9" t="str">
        <v>출고재고</v>
      </c>
      <c r="D806" s="9" t="str">
        <v/>
      </c>
      <c r="E806" s="9" t="str">
        <v>기초</v>
      </c>
      <c r="F806" s="9" t="str">
        <v/>
      </c>
      <c r="G806" s="9" t="str">
        <v/>
      </c>
      <c r="H806" s="9" t="str">
        <v>RF-01B-5040</v>
      </c>
      <c r="I806" s="11" t="str">
        <v>RF-01B-5040]MAIN Bd</v>
      </c>
      <c r="J806" s="9">
        <v>56</v>
      </c>
      <c r="K806" s="9" t="str">
        <v/>
      </c>
      <c r="L806" s="9" t="str">
        <v>A5-4</v>
      </c>
      <c r="M806" s="12">
        <v>46224</v>
      </c>
      <c r="N806" s="5" t="str">
        <v/>
      </c>
      <c r="O806" s="5">
        <v>84393</v>
      </c>
      <c r="P806" s="5">
        <v>50</v>
      </c>
      <c r="Q806" s="14">
        <v>46224</v>
      </c>
      <c r="R806" s="15">
        <v>6</v>
      </c>
    </row>
    <row r="807" spans="2:18" x14ac:dyDescent="0.35">
      <c r="B807" s="9">
        <v>15</v>
      </c>
      <c r="C807" s="9" t="str">
        <v>출고재고</v>
      </c>
      <c r="D807" s="9" t="str">
        <v/>
      </c>
      <c r="E807" s="9" t="str">
        <v>기초</v>
      </c>
      <c r="F807" s="9" t="str">
        <v/>
      </c>
      <c r="G807" s="9" t="str">
        <v/>
      </c>
      <c r="H807" s="9" t="str">
        <v>RF-01H-5071</v>
      </c>
      <c r="I807" s="11" t="str">
        <v>RF-01H-5071]SBC LAN Cable</v>
      </c>
      <c r="J807" s="9">
        <v>58</v>
      </c>
      <c r="K807" s="9" t="str">
        <v/>
      </c>
      <c r="L807" s="9" t="str">
        <v>3S3-6</v>
      </c>
      <c r="M807" s="12">
        <v>46224</v>
      </c>
      <c r="N807" s="5" t="str">
        <v/>
      </c>
      <c r="O807" s="5">
        <v>84393</v>
      </c>
      <c r="P807" s="5">
        <v>50</v>
      </c>
      <c r="Q807" s="14">
        <v>46224</v>
      </c>
      <c r="R807" s="15">
        <v>8</v>
      </c>
    </row>
    <row r="808" spans="2:18" x14ac:dyDescent="0.35">
      <c r="B808" s="9">
        <v>488</v>
      </c>
      <c r="C808" s="9" t="str">
        <v>출고재고</v>
      </c>
      <c r="D808" s="9" t="str">
        <v/>
      </c>
      <c r="E808" s="9" t="str">
        <v/>
      </c>
      <c r="F808" s="9" t="str">
        <v/>
      </c>
      <c r="G808" s="9" t="str">
        <v/>
      </c>
      <c r="H808" s="9" t="str">
        <v>RF-20A-0383</v>
      </c>
      <c r="I808" s="11" t="str">
        <v/>
      </c>
      <c r="J808" s="9">
        <v>58</v>
      </c>
      <c r="K808" s="9" t="str">
        <v/>
      </c>
      <c r="L808" s="9" t="str">
        <v>3L1-3</v>
      </c>
      <c r="M808" s="12">
        <v>46268</v>
      </c>
      <c r="N808" s="5" t="str">
        <v/>
      </c>
      <c r="O808" s="5">
        <v>84393</v>
      </c>
      <c r="P808" s="5">
        <v>16</v>
      </c>
      <c r="Q808" s="14">
        <v>46268</v>
      </c>
      <c r="R808" s="15">
        <v>42</v>
      </c>
    </row>
    <row r="809" spans="2:18" x14ac:dyDescent="0.35">
      <c r="B809" s="9">
        <v>40</v>
      </c>
      <c r="C809" s="9" t="str">
        <v>출고재고</v>
      </c>
      <c r="D809" s="9" t="str">
        <v/>
      </c>
      <c r="E809" s="9" t="str">
        <v>기초</v>
      </c>
      <c r="F809" s="9" t="str">
        <v/>
      </c>
      <c r="G809" s="9" t="str">
        <v/>
      </c>
      <c r="H809" s="9" t="str">
        <v>RF-10A-2086</v>
      </c>
      <c r="I809" s="11" t="str">
        <v>RF-10A-2086]ASM JETSON NANO</v>
      </c>
      <c r="J809" s="9">
        <v>59</v>
      </c>
      <c r="K809" s="9" t="str">
        <v/>
      </c>
      <c r="L809" s="9" t="str">
        <v>A6-3</v>
      </c>
      <c r="M809" s="12">
        <v>46224</v>
      </c>
      <c r="N809" s="5" t="str">
        <v/>
      </c>
      <c r="O809" s="5">
        <v>84393</v>
      </c>
      <c r="P809" s="5">
        <v>50</v>
      </c>
      <c r="Q809" s="14">
        <v>46224</v>
      </c>
      <c r="R809" s="15">
        <v>9</v>
      </c>
    </row>
    <row r="810" spans="2:18" x14ac:dyDescent="0.35">
      <c r="B810" s="9">
        <v>80</v>
      </c>
      <c r="C810" s="9" t="str">
        <v>출고재고</v>
      </c>
      <c r="D810" s="9" t="str">
        <v/>
      </c>
      <c r="E810" s="9" t="str">
        <v>기초</v>
      </c>
      <c r="F810" s="9" t="str">
        <v/>
      </c>
      <c r="G810" s="9" t="str">
        <v/>
      </c>
      <c r="H810" s="9" t="str">
        <v>RP-01H-5009</v>
      </c>
      <c r="I810" s="11" t="str">
        <v>RP-01H-5009]Lan cable</v>
      </c>
      <c r="J810" s="9">
        <v>59</v>
      </c>
      <c r="K810" s="9" t="str">
        <v/>
      </c>
      <c r="L810" s="9" t="str">
        <v>3S3-2</v>
      </c>
      <c r="M810" s="12">
        <v>46224</v>
      </c>
      <c r="N810" s="5" t="str">
        <v/>
      </c>
      <c r="O810" s="5">
        <v>84393</v>
      </c>
      <c r="P810" s="5">
        <v>59</v>
      </c>
      <c r="Q810" s="14">
        <v>46224</v>
      </c>
      <c r="R810" s="15">
        <v>0</v>
      </c>
    </row>
    <row r="811" spans="2:18" x14ac:dyDescent="0.35">
      <c r="B811" s="9">
        <v>119</v>
      </c>
      <c r="C811" s="9" t="str">
        <v>출고재고</v>
      </c>
      <c r="D811" s="9" t="str">
        <v/>
      </c>
      <c r="E811" s="9" t="str">
        <v/>
      </c>
      <c r="F811" s="9" t="str">
        <v/>
      </c>
      <c r="G811" s="9" t="str">
        <v/>
      </c>
      <c r="H811" s="9" t="str">
        <v>RF-01S-5097</v>
      </c>
      <c r="I811" s="11" t="str">
        <v/>
      </c>
      <c r="J811" s="9">
        <v>59</v>
      </c>
      <c r="K811" s="9" t="str">
        <v/>
      </c>
      <c r="L811" s="9" t="str">
        <v>3F2</v>
      </c>
      <c r="M811" s="12">
        <v>46224</v>
      </c>
      <c r="N811" s="5" t="str">
        <v/>
      </c>
      <c r="O811" s="5">
        <v>84393</v>
      </c>
      <c r="P811" s="5">
        <v>59</v>
      </c>
      <c r="Q811" s="14">
        <v>46226</v>
      </c>
      <c r="R811" s="15">
        <v>0</v>
      </c>
    </row>
    <row r="812" spans="2:18" x14ac:dyDescent="0.35">
      <c r="B812" s="9">
        <v>51</v>
      </c>
      <c r="C812" s="9" t="str">
        <v>출고재고</v>
      </c>
      <c r="D812" s="9" t="str">
        <v/>
      </c>
      <c r="E812" s="9" t="str">
        <v>기초</v>
      </c>
      <c r="F812" s="9" t="str">
        <v/>
      </c>
      <c r="G812" s="9" t="str">
        <v/>
      </c>
      <c r="H812" s="9" t="str">
        <v>RF-01S-5095</v>
      </c>
      <c r="I812" s="11" t="str">
        <v/>
      </c>
      <c r="J812" s="9">
        <v>60</v>
      </c>
      <c r="K812" s="9" t="str">
        <v/>
      </c>
      <c r="L812" s="9" t="str">
        <v>3F10</v>
      </c>
      <c r="M812" s="12">
        <v>46224</v>
      </c>
      <c r="N812" s="5" t="str">
        <v/>
      </c>
      <c r="O812" s="5">
        <v>84393</v>
      </c>
      <c r="P812" s="5">
        <v>50</v>
      </c>
      <c r="Q812" s="14">
        <v>46224</v>
      </c>
      <c r="R812" s="15">
        <v>10</v>
      </c>
    </row>
    <row r="813" spans="2:18" x14ac:dyDescent="0.35">
      <c r="B813" s="9">
        <v>60</v>
      </c>
      <c r="C813" s="9" t="str">
        <v>출고재고</v>
      </c>
      <c r="D813" s="9" t="str">
        <v/>
      </c>
      <c r="E813" s="9" t="str">
        <v>기초</v>
      </c>
      <c r="F813" s="9" t="str">
        <v/>
      </c>
      <c r="G813" s="9" t="str">
        <v/>
      </c>
      <c r="H813" s="9" t="str">
        <v>RF-01T-0355</v>
      </c>
      <c r="I813" s="11" t="str">
        <v>RF-01T-0355]CAMERA CASE R</v>
      </c>
      <c r="J813" s="9">
        <v>63</v>
      </c>
      <c r="K813" s="9" t="str">
        <v/>
      </c>
      <c r="L813" s="9" t="str">
        <v>3E9</v>
      </c>
      <c r="M813" s="12">
        <v>46224</v>
      </c>
      <c r="N813" s="5" t="str">
        <v/>
      </c>
      <c r="O813" s="5">
        <v>84393</v>
      </c>
      <c r="P813" s="5">
        <v>50</v>
      </c>
      <c r="Q813" s="14">
        <v>46224</v>
      </c>
      <c r="R813" s="15">
        <v>13</v>
      </c>
    </row>
    <row r="814" spans="2:18" x14ac:dyDescent="0.35">
      <c r="B814" s="9">
        <v>124</v>
      </c>
      <c r="C814" s="9" t="str">
        <v>출고재고</v>
      </c>
      <c r="D814" s="9" t="str">
        <v/>
      </c>
      <c r="E814" s="9" t="str">
        <v/>
      </c>
      <c r="F814" s="9" t="str">
        <v/>
      </c>
      <c r="G814" s="9" t="str">
        <v/>
      </c>
      <c r="H814" s="9" t="str">
        <v>RF-01T-0353</v>
      </c>
      <c r="I814" s="11" t="str">
        <v>RF-01T-0353]WINDOW LED</v>
      </c>
      <c r="J814" s="9">
        <v>75</v>
      </c>
      <c r="K814" s="9" t="str">
        <v/>
      </c>
      <c r="L814" s="9" t="str">
        <v>3E9</v>
      </c>
      <c r="M814" s="12">
        <v>46224</v>
      </c>
      <c r="N814" s="5" t="str">
        <v/>
      </c>
      <c r="O814" s="5">
        <v>84393</v>
      </c>
      <c r="P814" s="5">
        <v>50</v>
      </c>
      <c r="Q814" s="14">
        <v>46226</v>
      </c>
      <c r="R814" s="15">
        <v>25</v>
      </c>
    </row>
    <row r="815" spans="2:18" x14ac:dyDescent="0.35">
      <c r="B815" s="9">
        <v>33</v>
      </c>
      <c r="C815" s="9" t="str">
        <v>출고재고</v>
      </c>
      <c r="D815" s="9" t="str">
        <v/>
      </c>
      <c r="E815" s="9" t="str">
        <v>기초</v>
      </c>
      <c r="F815" s="9" t="str">
        <v/>
      </c>
      <c r="G815" s="9" t="str">
        <v/>
      </c>
      <c r="H815" s="9" t="str">
        <v>RF-01S-5046</v>
      </c>
      <c r="I815" s="11" t="str">
        <v>RF-01S-5046]DLP ENGINE</v>
      </c>
      <c r="J815" s="9">
        <v>76</v>
      </c>
      <c r="K815" s="9" t="str">
        <v/>
      </c>
      <c r="L815" s="9" t="str">
        <v>3C7</v>
      </c>
      <c r="M815" s="12">
        <v>46224</v>
      </c>
      <c r="N815" s="5" t="str">
        <v/>
      </c>
      <c r="O815" s="5">
        <v>84393</v>
      </c>
      <c r="P815" s="5">
        <v>50</v>
      </c>
      <c r="Q815" s="14">
        <v>46224</v>
      </c>
      <c r="R815" s="15">
        <v>26</v>
      </c>
    </row>
    <row r="816" spans="2:18" x14ac:dyDescent="0.35">
      <c r="B816" s="9">
        <v>62</v>
      </c>
      <c r="C816" s="9" t="str">
        <v>출고재고</v>
      </c>
      <c r="D816" s="9" t="str">
        <v/>
      </c>
      <c r="E816" s="9" t="str">
        <v>기초</v>
      </c>
      <c r="F816" s="9" t="str">
        <v/>
      </c>
      <c r="G816" s="9" t="str">
        <v/>
      </c>
      <c r="H816" s="9" t="str">
        <v>RF-01T-0171</v>
      </c>
      <c r="I816" s="11" t="str">
        <v>RF-01T-0171]ARM CVR REAR R</v>
      </c>
      <c r="J816" s="9">
        <v>83</v>
      </c>
      <c r="K816" s="9" t="str">
        <v/>
      </c>
      <c r="L816" s="9" t="str">
        <v>3B4</v>
      </c>
      <c r="M816" s="12">
        <v>46224</v>
      </c>
      <c r="N816" s="5" t="str">
        <v/>
      </c>
      <c r="O816" s="5">
        <v>84393</v>
      </c>
      <c r="P816" s="5">
        <v>50</v>
      </c>
      <c r="Q816" s="14">
        <v>46224</v>
      </c>
      <c r="R816" s="15">
        <v>33</v>
      </c>
    </row>
    <row r="817" spans="2:18" x14ac:dyDescent="0.35">
      <c r="B817" s="9">
        <v>29</v>
      </c>
      <c r="C817" s="9" t="str">
        <v>출고재고</v>
      </c>
      <c r="D817" s="9" t="str">
        <v/>
      </c>
      <c r="E817" s="9" t="str">
        <v>기초</v>
      </c>
      <c r="F817" s="9" t="str">
        <v/>
      </c>
      <c r="G817" s="9" t="str">
        <v/>
      </c>
      <c r="H817" s="9" t="str">
        <v>RF-01S-5049</v>
      </c>
      <c r="I817" s="11" t="str">
        <v>RF-01S-5049]Face Lens</v>
      </c>
      <c r="J817" s="9">
        <v>90</v>
      </c>
      <c r="K817" s="9" t="str">
        <v/>
      </c>
      <c r="L817" s="9" t="str">
        <v>3L4-2</v>
      </c>
      <c r="M817" s="12">
        <v>46224</v>
      </c>
      <c r="N817" s="5" t="str">
        <v/>
      </c>
      <c r="O817" s="5">
        <v>84393</v>
      </c>
      <c r="P817" s="5">
        <v>50</v>
      </c>
      <c r="Q817" s="14">
        <v>46224</v>
      </c>
      <c r="R817" s="15">
        <v>40</v>
      </c>
    </row>
    <row r="818" spans="2:18" x14ac:dyDescent="0.35">
      <c r="B818" s="9">
        <v>11</v>
      </c>
      <c r="C818" s="9" t="str">
        <v>출고재고</v>
      </c>
      <c r="D818" s="9" t="str">
        <v/>
      </c>
      <c r="E818" s="9" t="str">
        <v>기초</v>
      </c>
      <c r="F818" s="9" t="str">
        <v/>
      </c>
      <c r="G818" s="9" t="str">
        <v/>
      </c>
      <c r="H818" s="9" t="str">
        <v>RF-01T-0160</v>
      </c>
      <c r="I818" s="11" t="str">
        <v>RF-01T-0160_C]Bas BOT LWR</v>
      </c>
      <c r="J818" s="9">
        <v>95</v>
      </c>
      <c r="K818" s="9" t="str">
        <v/>
      </c>
      <c r="L818" s="9" t="str">
        <v>3B6</v>
      </c>
      <c r="M818" s="12">
        <v>46224</v>
      </c>
      <c r="N818" s="5" t="str">
        <v/>
      </c>
      <c r="O818" s="5">
        <v>84393</v>
      </c>
      <c r="P818" s="5">
        <v>50</v>
      </c>
      <c r="Q818" s="14">
        <v>46224</v>
      </c>
      <c r="R818" s="15">
        <v>45</v>
      </c>
    </row>
    <row r="819" spans="2:18" x14ac:dyDescent="0.35">
      <c r="B819" s="9">
        <v>26</v>
      </c>
      <c r="C819" s="9" t="str">
        <v>출고재고</v>
      </c>
      <c r="D819" s="9" t="str">
        <v/>
      </c>
      <c r="E819" s="9" t="str">
        <v>기초</v>
      </c>
      <c r="F819" s="9" t="str">
        <v/>
      </c>
      <c r="G819" s="9" t="str">
        <v/>
      </c>
      <c r="H819" s="9" t="str">
        <v>RF-20A-0369</v>
      </c>
      <c r="I819" s="11" t="str">
        <v>MODULE ARM RIGHT</v>
      </c>
      <c r="J819" s="9">
        <v>95</v>
      </c>
      <c r="K819" s="9" t="str">
        <v/>
      </c>
      <c r="L819" s="9" t="str">
        <v>3C6</v>
      </c>
      <c r="M819" s="12">
        <v>46224</v>
      </c>
      <c r="N819" s="5" t="str">
        <v/>
      </c>
      <c r="O819" s="5">
        <v>84393</v>
      </c>
      <c r="P819" s="5">
        <v>50</v>
      </c>
      <c r="Q819" s="14">
        <v>46224</v>
      </c>
      <c r="R819" s="15">
        <v>45</v>
      </c>
    </row>
    <row r="820" spans="2:18" x14ac:dyDescent="0.35">
      <c r="B820" s="9">
        <v>48</v>
      </c>
      <c r="C820" s="9" t="str">
        <v>출고재고</v>
      </c>
      <c r="D820" s="9" t="str">
        <v/>
      </c>
      <c r="E820" s="9" t="str">
        <v>기초</v>
      </c>
      <c r="F820" s="9" t="str">
        <v/>
      </c>
      <c r="G820" s="9" t="str">
        <v/>
      </c>
      <c r="H820" s="9" t="str">
        <v>RF-01H-5068</v>
      </c>
      <c r="I820" s="11" t="str">
        <v>RF-01H-5068]LED_Left harness</v>
      </c>
      <c r="J820" s="9">
        <v>95</v>
      </c>
      <c r="K820" s="9" t="str">
        <v/>
      </c>
      <c r="L820" s="9" t="str">
        <v>3S3-5</v>
      </c>
      <c r="M820" s="12">
        <v>46224</v>
      </c>
      <c r="N820" s="5" t="str">
        <v/>
      </c>
      <c r="O820" s="5">
        <v>84393</v>
      </c>
      <c r="P820" s="5">
        <v>50</v>
      </c>
      <c r="Q820" s="14">
        <v>46224</v>
      </c>
      <c r="R820" s="15">
        <v>45</v>
      </c>
    </row>
    <row r="821" spans="2:18" x14ac:dyDescent="0.35">
      <c r="B821" s="9">
        <v>57</v>
      </c>
      <c r="C821" s="9" t="str">
        <v>출고재고</v>
      </c>
      <c r="D821" s="9" t="str">
        <v/>
      </c>
      <c r="E821" s="9" t="str">
        <v>기초</v>
      </c>
      <c r="F821" s="9" t="str">
        <v/>
      </c>
      <c r="G821" s="9" t="str">
        <v/>
      </c>
      <c r="H821" s="9" t="str">
        <v>RF-01S-5093</v>
      </c>
      <c r="I821" s="11" t="str">
        <v>RF-01S-5093]CAM Cable_TEETH_R</v>
      </c>
      <c r="J821" s="9">
        <v>95</v>
      </c>
      <c r="K821" s="9" t="str">
        <v/>
      </c>
      <c r="L821" s="9" t="str">
        <v>3F10</v>
      </c>
      <c r="M821" s="12">
        <v>46224</v>
      </c>
      <c r="N821" s="5" t="str">
        <v/>
      </c>
      <c r="O821" s="5">
        <v>84393</v>
      </c>
      <c r="P821" s="5">
        <v>50</v>
      </c>
      <c r="Q821" s="14">
        <v>46224</v>
      </c>
      <c r="R821" s="15">
        <v>45</v>
      </c>
    </row>
    <row r="822" spans="2:18" x14ac:dyDescent="0.35">
      <c r="B822" s="9">
        <v>32</v>
      </c>
      <c r="C822" s="9" t="str">
        <v>출고재고</v>
      </c>
      <c r="D822" s="9" t="str">
        <v/>
      </c>
      <c r="E822" s="9" t="str">
        <v>기초</v>
      </c>
      <c r="F822" s="9" t="str">
        <v/>
      </c>
      <c r="G822" s="9" t="str">
        <v/>
      </c>
      <c r="H822" s="9" t="str">
        <v>RF-01S-5084</v>
      </c>
      <c r="I822" s="11" t="str">
        <v>RF-01S-5084]CAM Trigger_C harness</v>
      </c>
      <c r="J822" s="9">
        <v>98</v>
      </c>
      <c r="K822" s="9" t="str">
        <v/>
      </c>
      <c r="L822" s="9" t="str">
        <v>3L3-2</v>
      </c>
      <c r="M822" s="12">
        <v>46224</v>
      </c>
      <c r="N822" s="5" t="str">
        <v/>
      </c>
      <c r="O822" s="5">
        <v>84393</v>
      </c>
      <c r="P822" s="5">
        <v>50</v>
      </c>
      <c r="Q822" s="14">
        <v>46224</v>
      </c>
      <c r="R822" s="15">
        <v>48</v>
      </c>
    </row>
    <row r="823" spans="2:18" x14ac:dyDescent="0.35">
      <c r="B823" s="9">
        <v>45</v>
      </c>
      <c r="C823" s="9" t="str">
        <v>출고재고</v>
      </c>
      <c r="D823" s="9" t="str">
        <v/>
      </c>
      <c r="E823" s="9" t="str">
        <v>기초</v>
      </c>
      <c r="F823" s="9" t="str">
        <v/>
      </c>
      <c r="G823" s="9" t="str">
        <v/>
      </c>
      <c r="H823" s="9" t="str">
        <v>RF-01M-0396</v>
      </c>
      <c r="I823" s="11" t="str">
        <v>RF-01M-0396]FRAME PIPE ALIGN</v>
      </c>
      <c r="J823" s="9">
        <v>99</v>
      </c>
      <c r="K823" s="9" t="str">
        <v/>
      </c>
      <c r="L823" s="9" t="str">
        <v>3C10</v>
      </c>
      <c r="M823" s="12">
        <v>46224</v>
      </c>
      <c r="N823" s="5" t="str">
        <v/>
      </c>
      <c r="O823" s="5">
        <v>84393</v>
      </c>
      <c r="P823" s="5">
        <v>50</v>
      </c>
      <c r="Q823" s="14">
        <v>46224</v>
      </c>
      <c r="R823" s="15">
        <v>49</v>
      </c>
    </row>
    <row r="824" spans="2:18" x14ac:dyDescent="0.35">
      <c r="B824" s="9">
        <v>76</v>
      </c>
      <c r="C824" s="9" t="str">
        <v>출고재고</v>
      </c>
      <c r="D824" s="9" t="str">
        <v/>
      </c>
      <c r="E824" s="9" t="str">
        <v>기초</v>
      </c>
      <c r="F824" s="9" t="str">
        <v/>
      </c>
      <c r="G824" s="9" t="str">
        <v/>
      </c>
      <c r="H824" s="9" t="str">
        <v>RF-01T-0172</v>
      </c>
      <c r="I824" s="11" t="str">
        <v>RF-01T-0172]ARM CVR REAR L</v>
      </c>
      <c r="J824" s="9">
        <v>99</v>
      </c>
      <c r="K824" s="9" t="str">
        <v/>
      </c>
      <c r="L824" s="9" t="str">
        <v>3B5</v>
      </c>
      <c r="M824" s="12">
        <v>46224</v>
      </c>
      <c r="N824" s="5" t="str">
        <v/>
      </c>
      <c r="O824" s="5">
        <v>84393</v>
      </c>
      <c r="P824" s="5">
        <v>50</v>
      </c>
      <c r="Q824" s="14">
        <v>46224</v>
      </c>
      <c r="R824" s="15">
        <v>49</v>
      </c>
    </row>
    <row r="825" spans="2:18" x14ac:dyDescent="0.35">
      <c r="B825" s="9">
        <v>2</v>
      </c>
      <c r="C825" s="9" t="str">
        <v>출고재고</v>
      </c>
      <c r="D825" s="9" t="str">
        <v/>
      </c>
      <c r="E825" s="9" t="str">
        <v>기초</v>
      </c>
      <c r="F825" s="9" t="str">
        <v/>
      </c>
      <c r="G825" s="9" t="str">
        <v/>
      </c>
      <c r="H825" s="9" t="str">
        <v>RF-01V-0293</v>
      </c>
      <c r="I825" s="11" t="str">
        <v>RF-01V-0293]BRK USB HLDR</v>
      </c>
      <c r="J825" s="9">
        <v>100</v>
      </c>
      <c r="K825" s="9" t="str">
        <v/>
      </c>
      <c r="L825" s="9" t="str">
        <v>3L4-5</v>
      </c>
      <c r="M825" s="12">
        <v>46224</v>
      </c>
      <c r="N825" s="5" t="str">
        <v/>
      </c>
      <c r="O825" s="5">
        <v>84393</v>
      </c>
      <c r="P825" s="5">
        <v>100</v>
      </c>
      <c r="Q825" s="14">
        <v>46224</v>
      </c>
      <c r="R825" s="15">
        <v>0</v>
      </c>
    </row>
    <row r="826" spans="2:18" x14ac:dyDescent="0.35">
      <c r="B826" s="9">
        <v>27</v>
      </c>
      <c r="C826" s="9" t="str">
        <v>출고재고</v>
      </c>
      <c r="D826" s="9" t="str">
        <v/>
      </c>
      <c r="E826" s="9" t="str">
        <v>기초</v>
      </c>
      <c r="F826" s="9" t="str">
        <v/>
      </c>
      <c r="G826" s="9" t="str">
        <v/>
      </c>
      <c r="H826" s="9" t="str">
        <v>RF-20A-0381</v>
      </c>
      <c r="I826" s="11" t="str">
        <v/>
      </c>
      <c r="J826" s="9">
        <v>100</v>
      </c>
      <c r="K826" s="9" t="str">
        <v/>
      </c>
      <c r="L826" s="9" t="str">
        <v>3I5</v>
      </c>
      <c r="M826" s="12">
        <v>46224</v>
      </c>
      <c r="N826" s="5" t="str">
        <v/>
      </c>
      <c r="O826" s="5">
        <v>84393</v>
      </c>
      <c r="P826" s="5">
        <v>50</v>
      </c>
      <c r="Q826" s="14">
        <v>46224</v>
      </c>
      <c r="R826" s="15">
        <v>50</v>
      </c>
    </row>
    <row r="827" spans="2:18" x14ac:dyDescent="0.35">
      <c r="B827" s="9">
        <v>56</v>
      </c>
      <c r="C827" s="9" t="str">
        <v>출고재고</v>
      </c>
      <c r="D827" s="9" t="str">
        <v/>
      </c>
      <c r="E827" s="9" t="str">
        <v>기초</v>
      </c>
      <c r="F827" s="9" t="str">
        <v/>
      </c>
      <c r="G827" s="9" t="str">
        <v/>
      </c>
      <c r="H827" s="9" t="str">
        <v>RF-01M-0268</v>
      </c>
      <c r="I827" s="11" t="str">
        <v>RF-01M-0268]TEETH CAM BLK_HR</v>
      </c>
      <c r="J827" s="9">
        <v>100</v>
      </c>
      <c r="K827" s="9" t="str">
        <v/>
      </c>
      <c r="L827" s="9" t="str">
        <v>3S2-1</v>
      </c>
      <c r="M827" s="12">
        <v>46224</v>
      </c>
      <c r="N827" s="5" t="str">
        <v/>
      </c>
      <c r="O827" s="5">
        <v>84393</v>
      </c>
      <c r="P827" s="5">
        <v>50</v>
      </c>
      <c r="Q827" s="14">
        <v>46224</v>
      </c>
      <c r="R827" s="15">
        <v>50</v>
      </c>
    </row>
    <row r="828" spans="2:18" x14ac:dyDescent="0.35">
      <c r="B828" s="9">
        <v>154</v>
      </c>
      <c r="C828" s="9" t="str">
        <v>출고재고</v>
      </c>
      <c r="D828" s="9" t="str">
        <v/>
      </c>
      <c r="E828" s="9" t="str">
        <v>기초추가</v>
      </c>
      <c r="F828" s="9" t="str">
        <v/>
      </c>
      <c r="G828" s="9" t="str">
        <v/>
      </c>
      <c r="H828" s="9" t="str">
        <v>RF-20A-0280</v>
      </c>
      <c r="I828" s="11" t="str">
        <v>RF-20A-0280]MODULE DLP MCU BRACKET</v>
      </c>
      <c r="J828" s="9">
        <v>100</v>
      </c>
      <c r="K828" s="9" t="str">
        <v/>
      </c>
      <c r="L828" s="9" t="str">
        <v>3F2</v>
      </c>
      <c r="M828" s="12">
        <v>46227</v>
      </c>
      <c r="N828" s="5" t="str">
        <v/>
      </c>
      <c r="O828" s="5">
        <v>84393</v>
      </c>
      <c r="P828" s="5">
        <v>50</v>
      </c>
      <c r="Q828" s="14">
        <v>46227</v>
      </c>
      <c r="R828" s="15">
        <v>50</v>
      </c>
    </row>
    <row r="829" spans="2:18" x14ac:dyDescent="0.35">
      <c r="B829" s="9">
        <v>505</v>
      </c>
      <c r="C829" s="9" t="str">
        <v>출고재고</v>
      </c>
      <c r="D829" s="9" t="str">
        <v/>
      </c>
      <c r="E829" s="9" t="str">
        <v>입고</v>
      </c>
      <c r="F829" s="9" t="str">
        <v>하이크로봇</v>
      </c>
      <c r="G829" s="9" t="str">
        <v>장동은</v>
      </c>
      <c r="H829" s="9" t="str">
        <v>RF-01S-5086</v>
      </c>
      <c r="I829" s="11" t="str">
        <v>RF-01S-5086]TEETH CAM</v>
      </c>
      <c r="J829" s="9">
        <v>100</v>
      </c>
      <c r="K829" s="9" t="str">
        <v/>
      </c>
      <c r="L829" s="9" t="str">
        <v>3F10</v>
      </c>
      <c r="M829" s="12">
        <v>46265</v>
      </c>
      <c r="N829" s="5" t="str">
        <v/>
      </c>
      <c r="O829" s="5">
        <v>84393</v>
      </c>
      <c r="P829" s="5">
        <v>12</v>
      </c>
      <c r="Q829" s="14">
        <v>46268</v>
      </c>
      <c r="R829" s="15">
        <v>88</v>
      </c>
    </row>
    <row r="830" spans="2:18" x14ac:dyDescent="0.35">
      <c r="B830" s="9">
        <v>47</v>
      </c>
      <c r="C830" s="9" t="str">
        <v>출고재고</v>
      </c>
      <c r="D830" s="9" t="str">
        <v/>
      </c>
      <c r="E830" s="9" t="str">
        <v>기초</v>
      </c>
      <c r="F830" s="9" t="str">
        <v/>
      </c>
      <c r="G830" s="9" t="str">
        <v/>
      </c>
      <c r="H830" s="9" t="str">
        <v>RF-01M-0398</v>
      </c>
      <c r="I830" s="11" t="str">
        <v>RF-01M-0398]COVER TOP</v>
      </c>
      <c r="J830" s="9">
        <v>102</v>
      </c>
      <c r="K830" s="9" t="str">
        <v/>
      </c>
      <c r="L830" s="9" t="str">
        <v>3E5</v>
      </c>
      <c r="M830" s="12">
        <v>46224</v>
      </c>
      <c r="N830" s="5" t="str">
        <v/>
      </c>
      <c r="O830" s="5">
        <v>84393</v>
      </c>
      <c r="P830" s="5">
        <v>50</v>
      </c>
      <c r="Q830" s="14">
        <v>46224</v>
      </c>
      <c r="R830" s="15">
        <v>52</v>
      </c>
    </row>
    <row r="831" spans="2:18" x14ac:dyDescent="0.35">
      <c r="B831" s="9">
        <v>72</v>
      </c>
      <c r="C831" s="9" t="str">
        <v>출고재고</v>
      </c>
      <c r="D831" s="9" t="str">
        <v/>
      </c>
      <c r="E831" s="9" t="str">
        <v>기초</v>
      </c>
      <c r="F831" s="9" t="str">
        <v/>
      </c>
      <c r="G831" s="9" t="str">
        <v/>
      </c>
      <c r="H831" s="9" t="str">
        <v>RF-01V-0209</v>
      </c>
      <c r="I831" s="11" t="str">
        <v>RF-01V-0209]FRONT BRK TOP</v>
      </c>
      <c r="J831" s="9">
        <v>105</v>
      </c>
      <c r="K831" s="9" t="str">
        <v/>
      </c>
      <c r="L831" s="9" t="str">
        <v>3L4-5</v>
      </c>
      <c r="M831" s="12">
        <v>46224</v>
      </c>
      <c r="N831" s="5" t="str">
        <v/>
      </c>
      <c r="O831" s="5">
        <v>84393</v>
      </c>
      <c r="P831" s="5">
        <v>50</v>
      </c>
      <c r="Q831" s="14">
        <v>46224</v>
      </c>
      <c r="R831" s="15">
        <v>55</v>
      </c>
    </row>
    <row r="832" spans="2:18" x14ac:dyDescent="0.35">
      <c r="B832" s="9">
        <v>73</v>
      </c>
      <c r="C832" s="9" t="str">
        <v>출고재고</v>
      </c>
      <c r="D832" s="9" t="str">
        <v/>
      </c>
      <c r="E832" s="9" t="str">
        <v>기초</v>
      </c>
      <c r="F832" s="9" t="str">
        <v/>
      </c>
      <c r="G832" s="9" t="str">
        <v/>
      </c>
      <c r="H832" s="9" t="str">
        <v>RF-01S-5090</v>
      </c>
      <c r="I832" s="11" t="str">
        <v>RF-01S-5090]CAM Cable_TEETH_L</v>
      </c>
      <c r="J832" s="9">
        <v>106</v>
      </c>
      <c r="K832" s="9" t="str">
        <v/>
      </c>
      <c r="L832" s="9" t="str">
        <v>3F10</v>
      </c>
      <c r="M832" s="12">
        <v>46224</v>
      </c>
      <c r="N832" s="5" t="str">
        <v/>
      </c>
      <c r="O832" s="5">
        <v>84393</v>
      </c>
      <c r="P832" s="5">
        <v>50</v>
      </c>
      <c r="Q832" s="14">
        <v>46224</v>
      </c>
      <c r="R832" s="15">
        <v>56</v>
      </c>
    </row>
    <row r="833" spans="2:18" x14ac:dyDescent="0.35">
      <c r="B833" s="9">
        <v>10</v>
      </c>
      <c r="C833" s="9" t="str">
        <v>출고재고</v>
      </c>
      <c r="D833" s="9" t="str">
        <v/>
      </c>
      <c r="E833" s="9" t="str">
        <v>기초</v>
      </c>
      <c r="F833" s="9" t="str">
        <v/>
      </c>
      <c r="G833" s="9" t="str">
        <v/>
      </c>
      <c r="H833" s="9" t="str">
        <v>RF-01S-5085</v>
      </c>
      <c r="I833" s="11" t="str">
        <v>RF-01S-5085]FACE CAM</v>
      </c>
      <c r="J833" s="9">
        <v>107</v>
      </c>
      <c r="K833" s="9" t="str">
        <v/>
      </c>
      <c r="L833" s="9" t="str">
        <v>3F9</v>
      </c>
      <c r="M833" s="12">
        <v>46224</v>
      </c>
      <c r="N833" s="5" t="str">
        <v/>
      </c>
      <c r="O833" s="5">
        <v>84393</v>
      </c>
      <c r="P833" s="5">
        <v>50</v>
      </c>
      <c r="Q833" s="14">
        <v>46224</v>
      </c>
      <c r="R833" s="15">
        <v>57</v>
      </c>
    </row>
    <row r="834" spans="2:18" x14ac:dyDescent="0.35">
      <c r="B834" s="9">
        <v>52</v>
      </c>
      <c r="C834" s="9" t="str">
        <v>출고재고</v>
      </c>
      <c r="D834" s="9" t="str">
        <v/>
      </c>
      <c r="E834" s="9" t="str">
        <v>기초</v>
      </c>
      <c r="F834" s="9" t="str">
        <v/>
      </c>
      <c r="G834" s="9" t="str">
        <v/>
      </c>
      <c r="H834" s="9" t="str">
        <v>RF-01S-5097</v>
      </c>
      <c r="I834" s="11" t="str">
        <v/>
      </c>
      <c r="J834" s="9">
        <v>109</v>
      </c>
      <c r="K834" s="9" t="str">
        <v/>
      </c>
      <c r="L834" s="9" t="str">
        <v>3F2</v>
      </c>
      <c r="M834" s="12">
        <v>46224</v>
      </c>
      <c r="N834" s="5" t="str">
        <v/>
      </c>
      <c r="O834" s="5">
        <v>84393</v>
      </c>
      <c r="P834" s="5">
        <v>50</v>
      </c>
      <c r="Q834" s="14">
        <v>46224</v>
      </c>
      <c r="R834" s="15">
        <v>59</v>
      </c>
    </row>
    <row r="835" spans="2:18" x14ac:dyDescent="0.35">
      <c r="B835" s="9">
        <v>8</v>
      </c>
      <c r="C835" s="9" t="str">
        <v>출고재고</v>
      </c>
      <c r="D835" s="9" t="str">
        <v/>
      </c>
      <c r="E835" s="9" t="str">
        <v>기초</v>
      </c>
      <c r="F835" s="9" t="str">
        <v/>
      </c>
      <c r="G835" s="9" t="str">
        <v/>
      </c>
      <c r="H835" s="9" t="str">
        <v>RF-01M-0200</v>
      </c>
      <c r="I835" s="11" t="str">
        <v>RF-01M-0200]MIRROR PLT</v>
      </c>
      <c r="J835" s="9">
        <v>110</v>
      </c>
      <c r="K835" s="9" t="str">
        <v/>
      </c>
      <c r="L835" s="9" t="str">
        <v>3L4-3</v>
      </c>
      <c r="M835" s="12">
        <v>46224</v>
      </c>
      <c r="N835" s="5" t="str">
        <v/>
      </c>
      <c r="O835" s="5">
        <v>84393</v>
      </c>
      <c r="P835" s="5">
        <v>50</v>
      </c>
      <c r="Q835" s="14">
        <v>46224</v>
      </c>
      <c r="R835" s="15">
        <v>60</v>
      </c>
    </row>
    <row r="836" spans="2:18" x14ac:dyDescent="0.35">
      <c r="B836" s="9">
        <v>67</v>
      </c>
      <c r="C836" s="9" t="str">
        <v>출고재고</v>
      </c>
      <c r="D836" s="9" t="str">
        <v/>
      </c>
      <c r="E836" s="9" t="str">
        <v>기초</v>
      </c>
      <c r="F836" s="9" t="str">
        <v/>
      </c>
      <c r="G836" s="9" t="str">
        <v/>
      </c>
      <c r="H836" s="9" t="str">
        <v>RF-01T-0351</v>
      </c>
      <c r="I836" s="11" t="str">
        <v>RF-01T-0351]WINDOW LED B</v>
      </c>
      <c r="J836" s="9">
        <v>112</v>
      </c>
      <c r="K836" s="9" t="str">
        <v/>
      </c>
      <c r="L836" s="9" t="str">
        <v>3E9</v>
      </c>
      <c r="M836" s="12">
        <v>46224</v>
      </c>
      <c r="N836" s="5" t="str">
        <v/>
      </c>
      <c r="O836" s="5">
        <v>84393</v>
      </c>
      <c r="P836" s="5">
        <v>50</v>
      </c>
      <c r="Q836" s="14">
        <v>46224</v>
      </c>
      <c r="R836" s="15">
        <v>62</v>
      </c>
    </row>
    <row r="837" spans="2:18" x14ac:dyDescent="0.35">
      <c r="B837" s="9">
        <v>69</v>
      </c>
      <c r="C837" s="9" t="str">
        <v>출고재고</v>
      </c>
      <c r="D837" s="9" t="str">
        <v/>
      </c>
      <c r="E837" s="9" t="str">
        <v>기초</v>
      </c>
      <c r="F837" s="9" t="str">
        <v/>
      </c>
      <c r="G837" s="9" t="str">
        <v/>
      </c>
      <c r="H837" s="9" t="str">
        <v>RF-01T-0352</v>
      </c>
      <c r="I837" s="11" t="str">
        <v>RF-01T-0352]CAMERA CASE B</v>
      </c>
      <c r="J837" s="9">
        <v>115</v>
      </c>
      <c r="K837" s="9" t="str">
        <v/>
      </c>
      <c r="L837" s="9" t="str">
        <v>3E9</v>
      </c>
      <c r="M837" s="12">
        <v>46224</v>
      </c>
      <c r="N837" s="5" t="str">
        <v/>
      </c>
      <c r="O837" s="5">
        <v>84393</v>
      </c>
      <c r="P837" s="5">
        <v>50</v>
      </c>
      <c r="Q837" s="14">
        <v>46224</v>
      </c>
      <c r="R837" s="15">
        <v>65</v>
      </c>
    </row>
    <row r="838" spans="2:18" x14ac:dyDescent="0.35">
      <c r="B838" s="9">
        <v>78</v>
      </c>
      <c r="C838" s="9" t="str">
        <v>출고재고</v>
      </c>
      <c r="D838" s="9" t="str">
        <v/>
      </c>
      <c r="E838" s="9" t="str">
        <v>기초</v>
      </c>
      <c r="F838" s="9" t="str">
        <v/>
      </c>
      <c r="G838" s="9" t="str">
        <v/>
      </c>
      <c r="H838" s="9" t="str">
        <v>RF-01T-0199</v>
      </c>
      <c r="I838" s="11" t="str">
        <v>RF-01T-0199]CVR REAR TOP</v>
      </c>
      <c r="J838" s="9">
        <v>123</v>
      </c>
      <c r="K838" s="9" t="str">
        <v/>
      </c>
      <c r="L838" s="9" t="str">
        <v>3F5</v>
      </c>
      <c r="M838" s="12">
        <v>46224</v>
      </c>
      <c r="N838" s="5" t="str">
        <v/>
      </c>
      <c r="O838" s="5">
        <v>84393</v>
      </c>
      <c r="P838" s="5">
        <v>50</v>
      </c>
      <c r="Q838" s="14">
        <v>46224</v>
      </c>
      <c r="R838" s="15">
        <v>73</v>
      </c>
    </row>
    <row r="839" spans="2:18" x14ac:dyDescent="0.35">
      <c r="B839" s="9">
        <v>120</v>
      </c>
      <c r="C839" s="9" t="str">
        <v>출고재고</v>
      </c>
      <c r="D839" s="9" t="str">
        <v/>
      </c>
      <c r="E839" s="9" t="str">
        <v/>
      </c>
      <c r="F839" s="9" t="str">
        <v/>
      </c>
      <c r="G839" s="9" t="str">
        <v/>
      </c>
      <c r="H839" s="9" t="str">
        <v>RF-01S-5050</v>
      </c>
      <c r="I839" s="11" t="str">
        <v>RF-01S-5050]TEETH LENS</v>
      </c>
      <c r="J839" s="9">
        <v>123</v>
      </c>
      <c r="K839" s="9" t="str">
        <v/>
      </c>
      <c r="L839" s="9" t="str">
        <v>3L4-2</v>
      </c>
      <c r="M839" s="12">
        <v>46224</v>
      </c>
      <c r="N839" s="5" t="str">
        <v/>
      </c>
      <c r="O839" s="5">
        <v>84393</v>
      </c>
      <c r="P839" s="5">
        <v>50</v>
      </c>
      <c r="Q839" s="14">
        <v>46226</v>
      </c>
      <c r="R839" s="15">
        <v>73</v>
      </c>
    </row>
    <row r="840" spans="2:18" x14ac:dyDescent="0.35">
      <c r="B840" s="9">
        <v>59</v>
      </c>
      <c r="C840" s="9" t="str">
        <v>출고재고</v>
      </c>
      <c r="D840" s="9" t="str">
        <v/>
      </c>
      <c r="E840" s="9" t="str">
        <v>기초</v>
      </c>
      <c r="F840" s="9" t="str">
        <v/>
      </c>
      <c r="G840" s="9" t="str">
        <v/>
      </c>
      <c r="H840" s="9" t="str">
        <v>RF-01T-0353</v>
      </c>
      <c r="I840" s="11" t="str">
        <v>RF-01T-0353]WINDOW LED</v>
      </c>
      <c r="J840" s="9">
        <v>125</v>
      </c>
      <c r="K840" s="9" t="str">
        <v/>
      </c>
      <c r="L840" s="9" t="str">
        <v>3E9</v>
      </c>
      <c r="M840" s="12">
        <v>46224</v>
      </c>
      <c r="N840" s="5" t="str">
        <v/>
      </c>
      <c r="O840" s="5">
        <v>84393</v>
      </c>
      <c r="P840" s="5">
        <v>50</v>
      </c>
      <c r="Q840" s="14">
        <v>46224</v>
      </c>
      <c r="R840" s="15">
        <v>75</v>
      </c>
    </row>
    <row r="841" spans="2:18" x14ac:dyDescent="0.35">
      <c r="B841" s="9">
        <v>3</v>
      </c>
      <c r="C841" s="9" t="str">
        <v>출고재고</v>
      </c>
      <c r="D841" s="9" t="str">
        <v/>
      </c>
      <c r="E841" s="9" t="str">
        <v>기초</v>
      </c>
      <c r="F841" s="9" t="str">
        <v/>
      </c>
      <c r="G841" s="9" t="str">
        <v/>
      </c>
      <c r="H841" s="9" t="str">
        <v>RF-01T-0190</v>
      </c>
      <c r="I841" s="11" t="str">
        <v>RF-01T-0190]CVR FRONT</v>
      </c>
      <c r="J841" s="9">
        <v>141</v>
      </c>
      <c r="K841" s="9" t="str">
        <v/>
      </c>
      <c r="L841" s="9" t="str">
        <v>3F4</v>
      </c>
      <c r="M841" s="12">
        <v>46224</v>
      </c>
      <c r="N841" s="5" t="str">
        <v/>
      </c>
      <c r="O841" s="5">
        <v>84393</v>
      </c>
      <c r="P841" s="5">
        <v>50</v>
      </c>
      <c r="Q841" s="14">
        <v>46224</v>
      </c>
      <c r="R841" s="15">
        <v>91</v>
      </c>
    </row>
    <row r="842" spans="2:18" x14ac:dyDescent="0.35">
      <c r="B842" s="9">
        <v>24</v>
      </c>
      <c r="C842" s="9" t="str">
        <v>출고재고</v>
      </c>
      <c r="D842" s="9" t="str">
        <v/>
      </c>
      <c r="E842" s="9" t="str">
        <v>기초</v>
      </c>
      <c r="F842" s="9" t="str">
        <v/>
      </c>
      <c r="G842" s="9" t="str">
        <v/>
      </c>
      <c r="H842" s="9" t="str">
        <v>RF-20A-0378</v>
      </c>
      <c r="I842" s="11" t="str">
        <v>MODULE ARM LEFT</v>
      </c>
      <c r="J842" s="9">
        <v>143</v>
      </c>
      <c r="K842" s="9" t="str">
        <v/>
      </c>
      <c r="L842" s="9" t="str">
        <v>94760</v>
      </c>
      <c r="M842" s="12">
        <v>46224</v>
      </c>
      <c r="N842" s="5" t="str">
        <v/>
      </c>
      <c r="O842" s="5">
        <v>84393</v>
      </c>
      <c r="P842" s="5">
        <v>50</v>
      </c>
      <c r="Q842" s="14">
        <v>46224</v>
      </c>
      <c r="R842" s="15">
        <v>93</v>
      </c>
    </row>
    <row r="843" spans="2:18" x14ac:dyDescent="0.35">
      <c r="B843" s="9">
        <v>44</v>
      </c>
      <c r="C843" s="9" t="str">
        <v>출고재고</v>
      </c>
      <c r="D843" s="9" t="str">
        <v/>
      </c>
      <c r="E843" s="9" t="str">
        <v>기초</v>
      </c>
      <c r="F843" s="9" t="str">
        <v/>
      </c>
      <c r="G843" s="9" t="str">
        <v/>
      </c>
      <c r="H843" s="9" t="str">
        <v>RF-01M-0395</v>
      </c>
      <c r="I843" s="11" t="str">
        <v>RF-01M-0395]BLOCK BASE BOTTOM</v>
      </c>
      <c r="J843" s="9">
        <v>150</v>
      </c>
      <c r="K843" s="9" t="str">
        <v/>
      </c>
      <c r="L843" s="9" t="str">
        <v>3E5</v>
      </c>
      <c r="M843" s="12">
        <v>46224</v>
      </c>
      <c r="N843" s="5" t="str">
        <v/>
      </c>
      <c r="O843" s="5">
        <v>84393</v>
      </c>
      <c r="P843" s="5">
        <v>50</v>
      </c>
      <c r="Q843" s="14">
        <v>46224</v>
      </c>
      <c r="R843" s="15">
        <v>100</v>
      </c>
    </row>
    <row r="844" spans="2:18" x14ac:dyDescent="0.35">
      <c r="B844" s="9">
        <v>68</v>
      </c>
      <c r="C844" s="9" t="str">
        <v>출고재고</v>
      </c>
      <c r="D844" s="9" t="str">
        <v/>
      </c>
      <c r="E844" s="9" t="str">
        <v>기초</v>
      </c>
      <c r="F844" s="9" t="str">
        <v/>
      </c>
      <c r="G844" s="9" t="str">
        <v/>
      </c>
      <c r="H844" s="9" t="str">
        <v>RF-01B-5038</v>
      </c>
      <c r="I844" s="11" t="str">
        <v>RF-01B-5038] BOTTOM LED BOARD</v>
      </c>
      <c r="J844" s="9">
        <v>150</v>
      </c>
      <c r="K844" s="9" t="str">
        <v/>
      </c>
      <c r="L844" s="9" t="str">
        <v>A6-4</v>
      </c>
      <c r="M844" s="12">
        <v>46224</v>
      </c>
      <c r="N844" s="5" t="str">
        <v/>
      </c>
      <c r="O844" s="5">
        <v>84393</v>
      </c>
      <c r="P844" s="5">
        <v>50</v>
      </c>
      <c r="Q844" s="14">
        <v>46224</v>
      </c>
      <c r="R844" s="15">
        <v>100</v>
      </c>
    </row>
    <row r="845" spans="2:18" x14ac:dyDescent="0.35">
      <c r="B845" s="9">
        <v>6</v>
      </c>
      <c r="C845" s="9" t="str">
        <v>출고재고</v>
      </c>
      <c r="D845" s="9" t="str">
        <v/>
      </c>
      <c r="E845" s="9" t="str">
        <v>기초</v>
      </c>
      <c r="F845" s="9" t="str">
        <v/>
      </c>
      <c r="G845" s="9" t="str">
        <v/>
      </c>
      <c r="H845" s="9" t="str">
        <v>RF-01V-0208</v>
      </c>
      <c r="I845" s="11" t="str">
        <v>RF-01V-0208]FRONT FRM</v>
      </c>
      <c r="J845" s="9">
        <v>151</v>
      </c>
      <c r="K845" s="9" t="str">
        <v/>
      </c>
      <c r="L845" s="9" t="str">
        <v>3C10</v>
      </c>
      <c r="M845" s="12">
        <v>46224</v>
      </c>
      <c r="N845" s="5" t="str">
        <v/>
      </c>
      <c r="O845" s="5">
        <v>84393</v>
      </c>
      <c r="P845" s="5">
        <v>50</v>
      </c>
      <c r="Q845" s="14">
        <v>46224</v>
      </c>
      <c r="R845" s="15">
        <v>101</v>
      </c>
    </row>
    <row r="846" spans="2:18" x14ac:dyDescent="0.35">
      <c r="B846" s="9">
        <v>31</v>
      </c>
      <c r="C846" s="9" t="str">
        <v>출고재고</v>
      </c>
      <c r="D846" s="9" t="str">
        <v/>
      </c>
      <c r="E846" s="9" t="str">
        <v>기초</v>
      </c>
      <c r="F846" s="9" t="str">
        <v/>
      </c>
      <c r="G846" s="9" t="str">
        <v/>
      </c>
      <c r="H846" s="9" t="str">
        <v>RF-01S-5087</v>
      </c>
      <c r="I846" s="11" t="str">
        <v>RF-01S-5087]CAM Cable_Face</v>
      </c>
      <c r="J846" s="9">
        <v>158</v>
      </c>
      <c r="K846" s="9" t="str">
        <v/>
      </c>
      <c r="L846" s="9" t="str">
        <v>3F1</v>
      </c>
      <c r="M846" s="12">
        <v>46224</v>
      </c>
      <c r="N846" s="5" t="str">
        <v/>
      </c>
      <c r="O846" s="5">
        <v>84393</v>
      </c>
      <c r="P846" s="5">
        <v>50</v>
      </c>
      <c r="Q846" s="14">
        <v>46224</v>
      </c>
      <c r="R846" s="15">
        <v>108</v>
      </c>
    </row>
    <row r="847" spans="2:18" x14ac:dyDescent="0.35">
      <c r="B847" s="9">
        <v>123</v>
      </c>
      <c r="C847" s="9" t="str">
        <v>출고재고</v>
      </c>
      <c r="D847" s="9" t="str">
        <v/>
      </c>
      <c r="E847" s="9" t="str">
        <v/>
      </c>
      <c r="F847" s="9" t="str">
        <v/>
      </c>
      <c r="G847" s="9" t="str">
        <v/>
      </c>
      <c r="H847" s="9" t="str">
        <v>RF-01S-5083</v>
      </c>
      <c r="I847" s="11" t="str">
        <v>RF-01S-5083]CAM Trigger_L-R harness</v>
      </c>
      <c r="J847" s="9">
        <v>158</v>
      </c>
      <c r="K847" s="9" t="str">
        <v/>
      </c>
      <c r="L847" s="9" t="str">
        <v>3L3-3</v>
      </c>
      <c r="M847" s="12">
        <v>46224</v>
      </c>
      <c r="N847" s="5" t="str">
        <v/>
      </c>
      <c r="O847" s="5">
        <v>84393</v>
      </c>
      <c r="P847" s="5">
        <v>50</v>
      </c>
      <c r="Q847" s="14">
        <v>46226</v>
      </c>
      <c r="R847" s="15">
        <v>108</v>
      </c>
    </row>
    <row r="848" spans="2:18" x14ac:dyDescent="0.35">
      <c r="B848" s="9">
        <v>129</v>
      </c>
      <c r="C848" s="9" t="str">
        <v>출고재고</v>
      </c>
      <c r="D848" s="9" t="str">
        <v/>
      </c>
      <c r="E848" s="9" t="str">
        <v/>
      </c>
      <c r="F848" s="9" t="str">
        <v/>
      </c>
      <c r="G848" s="9" t="str">
        <v/>
      </c>
      <c r="H848" s="9" t="str">
        <v>RF-01T-0356</v>
      </c>
      <c r="I848" s="11" t="str">
        <v>RF-01T-0356]RUBBER CAP ARM</v>
      </c>
      <c r="J848" s="9">
        <v>159</v>
      </c>
      <c r="K848" s="9" t="str">
        <v/>
      </c>
      <c r="L848" s="9" t="str">
        <v>3L4-2</v>
      </c>
      <c r="M848" s="12">
        <v>46224</v>
      </c>
      <c r="N848" s="5" t="str">
        <v/>
      </c>
      <c r="O848" s="5">
        <v>84393</v>
      </c>
      <c r="P848" s="5">
        <v>50</v>
      </c>
      <c r="Q848" s="14">
        <v>46226</v>
      </c>
      <c r="R848" s="15">
        <v>109</v>
      </c>
    </row>
    <row r="849" spans="2:18" x14ac:dyDescent="0.35">
      <c r="B849" s="9">
        <v>81</v>
      </c>
      <c r="C849" s="9" t="str">
        <v>출고재고</v>
      </c>
      <c r="D849" s="9" t="str">
        <v/>
      </c>
      <c r="E849" s="9" t="str">
        <v>기초</v>
      </c>
      <c r="F849" s="9" t="str">
        <v/>
      </c>
      <c r="G849" s="9" t="str">
        <v/>
      </c>
      <c r="H849" s="9" t="str">
        <v>RF-01S-5030</v>
      </c>
      <c r="I849" s="11" t="str">
        <v/>
      </c>
      <c r="J849" s="9">
        <v>161</v>
      </c>
      <c r="K849" s="9" t="str">
        <v/>
      </c>
      <c r="L849" s="9" t="str">
        <v>3B21</v>
      </c>
      <c r="M849" s="12">
        <v>46224</v>
      </c>
      <c r="N849" s="5" t="str">
        <v/>
      </c>
      <c r="O849" s="5">
        <v>84393</v>
      </c>
      <c r="P849" s="5">
        <v>50</v>
      </c>
      <c r="Q849" s="14">
        <v>46224</v>
      </c>
      <c r="R849" s="15">
        <v>111</v>
      </c>
    </row>
    <row r="850" spans="2:18" x14ac:dyDescent="0.35">
      <c r="B850" s="9">
        <v>82</v>
      </c>
      <c r="C850" s="9" t="str">
        <v>출고재고</v>
      </c>
      <c r="D850" s="9" t="str">
        <v/>
      </c>
      <c r="E850" s="9" t="str">
        <v>기초</v>
      </c>
      <c r="F850" s="9" t="str">
        <v/>
      </c>
      <c r="G850" s="9" t="str">
        <v/>
      </c>
      <c r="H850" s="9" t="str">
        <v>RD-00S-5201</v>
      </c>
      <c r="I850" s="11" t="str">
        <v>RD-00S-5201]USB A to B Cable</v>
      </c>
      <c r="J850" s="9">
        <v>170</v>
      </c>
      <c r="K850" s="9" t="str">
        <v/>
      </c>
      <c r="L850" s="9" t="str">
        <v>3S3-2</v>
      </c>
      <c r="M850" s="12">
        <v>46224</v>
      </c>
      <c r="N850" s="5" t="str">
        <v/>
      </c>
      <c r="O850" s="5">
        <v>84393</v>
      </c>
      <c r="P850" s="5">
        <v>50</v>
      </c>
      <c r="Q850" s="14">
        <v>46224</v>
      </c>
      <c r="R850" s="15">
        <v>120</v>
      </c>
    </row>
    <row r="851" spans="2:18" x14ac:dyDescent="0.35">
      <c r="B851" s="9">
        <v>1</v>
      </c>
      <c r="C851" s="9" t="str">
        <v>출고재고</v>
      </c>
      <c r="D851" s="9" t="str">
        <v/>
      </c>
      <c r="E851" s="9" t="str">
        <v>기초</v>
      </c>
      <c r="F851" s="9" t="str">
        <v/>
      </c>
      <c r="G851" s="9" t="str">
        <v/>
      </c>
      <c r="H851" s="9" t="str">
        <v>RF-01M-0256</v>
      </c>
      <c r="I851" s="11" t="str">
        <v>USB HOLDER FRONT</v>
      </c>
      <c r="J851" s="9">
        <v>172</v>
      </c>
      <c r="K851" s="9" t="str">
        <v/>
      </c>
      <c r="L851" s="9" t="str">
        <v>3L4-4</v>
      </c>
      <c r="M851" s="12">
        <v>46224</v>
      </c>
      <c r="N851" s="5" t="str">
        <v/>
      </c>
      <c r="O851" s="5">
        <v>84393</v>
      </c>
      <c r="P851" s="5">
        <v>100</v>
      </c>
      <c r="Q851" s="14">
        <v>46224</v>
      </c>
      <c r="R851" s="15">
        <v>72</v>
      </c>
    </row>
    <row r="852" spans="2:18" x14ac:dyDescent="0.35">
      <c r="B852" s="9">
        <v>55</v>
      </c>
      <c r="C852" s="9" t="str">
        <v>출고재고</v>
      </c>
      <c r="D852" s="9" t="str">
        <v/>
      </c>
      <c r="E852" s="9" t="str">
        <v>기초</v>
      </c>
      <c r="F852" s="9" t="str">
        <v/>
      </c>
      <c r="G852" s="9" t="str">
        <v/>
      </c>
      <c r="H852" s="9" t="str">
        <v>RF-01S-5050</v>
      </c>
      <c r="I852" s="11" t="str">
        <v>RF-01S-5050]TEETH LENS</v>
      </c>
      <c r="J852" s="9">
        <v>173</v>
      </c>
      <c r="K852" s="9" t="str">
        <v/>
      </c>
      <c r="L852" s="9" t="str">
        <v>3L4-2</v>
      </c>
      <c r="M852" s="12">
        <v>46224</v>
      </c>
      <c r="N852" s="5" t="str">
        <v/>
      </c>
      <c r="O852" s="5">
        <v>84393</v>
      </c>
      <c r="P852" s="5">
        <v>50</v>
      </c>
      <c r="Q852" s="14">
        <v>46224</v>
      </c>
      <c r="R852" s="15">
        <v>123</v>
      </c>
    </row>
    <row r="853" spans="2:18" x14ac:dyDescent="0.35">
      <c r="B853" s="9">
        <v>54</v>
      </c>
      <c r="C853" s="9" t="str">
        <v>출고재고</v>
      </c>
      <c r="D853" s="9" t="str">
        <v/>
      </c>
      <c r="E853" s="9" t="str">
        <v>기초</v>
      </c>
      <c r="F853" s="9" t="str">
        <v/>
      </c>
      <c r="G853" s="9" t="str">
        <v/>
      </c>
      <c r="H853" s="9" t="str">
        <v>RF-01S-5086</v>
      </c>
      <c r="I853" s="11" t="str">
        <v>RF-01S-5086]TEETH CAM</v>
      </c>
      <c r="J853" s="9">
        <v>188</v>
      </c>
      <c r="K853" s="9" t="str">
        <v/>
      </c>
      <c r="L853" s="9" t="str">
        <v>3F10</v>
      </c>
      <c r="M853" s="12">
        <v>46224</v>
      </c>
      <c r="N853" s="5" t="str">
        <v/>
      </c>
      <c r="O853" s="5">
        <v>84393</v>
      </c>
      <c r="P853" s="5">
        <v>188</v>
      </c>
      <c r="Q853" s="14">
        <v>46224</v>
      </c>
      <c r="R853" s="15">
        <v>0</v>
      </c>
    </row>
    <row r="854" spans="2:18" x14ac:dyDescent="0.35">
      <c r="B854" s="9">
        <v>128</v>
      </c>
      <c r="C854" s="9" t="str">
        <v>출고재고</v>
      </c>
      <c r="D854" s="9" t="str">
        <v/>
      </c>
      <c r="E854" s="9" t="str">
        <v/>
      </c>
      <c r="F854" s="9" t="str">
        <v/>
      </c>
      <c r="G854" s="9" t="str">
        <v/>
      </c>
      <c r="H854" s="9" t="str">
        <v>RF-01T-0173</v>
      </c>
      <c r="I854" s="11" t="str">
        <v>RF-01T-0173]ARM CVR REAR DECO</v>
      </c>
      <c r="J854" s="9">
        <v>190</v>
      </c>
      <c r="K854" s="9" t="str">
        <v/>
      </c>
      <c r="L854" s="9" t="str">
        <v>3B8</v>
      </c>
      <c r="M854" s="12">
        <v>46224</v>
      </c>
      <c r="N854" s="5" t="str">
        <v/>
      </c>
      <c r="O854" s="5">
        <v>84393</v>
      </c>
      <c r="P854" s="5">
        <v>50</v>
      </c>
      <c r="Q854" s="14">
        <v>46226</v>
      </c>
      <c r="R854" s="15">
        <v>140</v>
      </c>
    </row>
    <row r="855" spans="2:18" x14ac:dyDescent="0.35">
      <c r="B855" s="9">
        <v>58</v>
      </c>
      <c r="C855" s="9" t="str">
        <v>출고재고</v>
      </c>
      <c r="D855" s="9" t="str">
        <v/>
      </c>
      <c r="E855" s="9" t="str">
        <v>기초</v>
      </c>
      <c r="F855" s="9" t="str">
        <v/>
      </c>
      <c r="G855" s="9" t="str">
        <v/>
      </c>
      <c r="H855" s="9" t="str">
        <v>RF-01S-5083</v>
      </c>
      <c r="I855" s="11" t="str">
        <v>RF-01S-5083]CAM Trigger_L-R harness</v>
      </c>
      <c r="J855" s="9">
        <v>208</v>
      </c>
      <c r="K855" s="9" t="str">
        <v/>
      </c>
      <c r="L855" s="9" t="str">
        <v>3L3-3</v>
      </c>
      <c r="M855" s="12">
        <v>46224</v>
      </c>
      <c r="N855" s="5" t="str">
        <v/>
      </c>
      <c r="O855" s="5">
        <v>84393</v>
      </c>
      <c r="P855" s="5">
        <v>50</v>
      </c>
      <c r="Q855" s="14">
        <v>46224</v>
      </c>
      <c r="R855" s="15">
        <v>158</v>
      </c>
    </row>
    <row r="856" spans="2:18" x14ac:dyDescent="0.35">
      <c r="B856" s="9">
        <v>126</v>
      </c>
      <c r="C856" s="9" t="str">
        <v>출고재고</v>
      </c>
      <c r="D856" s="9" t="str">
        <v/>
      </c>
      <c r="E856" s="9" t="str">
        <v/>
      </c>
      <c r="F856" s="9" t="str">
        <v/>
      </c>
      <c r="G856" s="9" t="str">
        <v/>
      </c>
      <c r="H856" s="9" t="str">
        <v>RF-01B-5037</v>
      </c>
      <c r="I856" s="11" t="str">
        <v>RF-01B-5037] LED SIDE BOARD_REV2</v>
      </c>
      <c r="J856" s="9">
        <v>208</v>
      </c>
      <c r="K856" s="9" t="str">
        <v/>
      </c>
      <c r="L856" s="9" t="str">
        <v>A5-4</v>
      </c>
      <c r="M856" s="12">
        <v>46224</v>
      </c>
      <c r="N856" s="5" t="str">
        <v/>
      </c>
      <c r="O856" s="5">
        <v>84393</v>
      </c>
      <c r="P856" s="5">
        <v>50</v>
      </c>
      <c r="Q856" s="14">
        <v>46226</v>
      </c>
      <c r="R856" s="15">
        <v>158</v>
      </c>
    </row>
    <row r="857" spans="2:18" x14ac:dyDescent="0.35">
      <c r="B857" s="9">
        <v>4</v>
      </c>
      <c r="C857" s="9" t="str">
        <v>출고재고</v>
      </c>
      <c r="D857" s="9" t="str">
        <v/>
      </c>
      <c r="E857" s="9" t="str">
        <v>기초</v>
      </c>
      <c r="F857" s="9" t="str">
        <v/>
      </c>
      <c r="G857" s="9" t="str">
        <v/>
      </c>
      <c r="H857" s="9" t="str">
        <v>RF-01T-0255</v>
      </c>
      <c r="I857" s="11" t="str">
        <v>RF-01T-0255]CVR FRONT MID R</v>
      </c>
      <c r="J857" s="9">
        <v>209</v>
      </c>
      <c r="K857" s="9" t="str">
        <v/>
      </c>
      <c r="L857" s="9" t="str">
        <v>3L3-1</v>
      </c>
      <c r="M857" s="12">
        <v>46224</v>
      </c>
      <c r="N857" s="5" t="str">
        <v/>
      </c>
      <c r="O857" s="5">
        <v>84393</v>
      </c>
      <c r="P857" s="5">
        <v>50</v>
      </c>
      <c r="Q857" s="14">
        <v>46224</v>
      </c>
      <c r="R857" s="15">
        <v>159</v>
      </c>
    </row>
    <row r="858" spans="2:18" x14ac:dyDescent="0.35">
      <c r="B858" s="9">
        <v>5</v>
      </c>
      <c r="C858" s="9" t="str">
        <v>출고재고</v>
      </c>
      <c r="D858" s="9" t="str">
        <v/>
      </c>
      <c r="E858" s="9" t="str">
        <v>기초</v>
      </c>
      <c r="F858" s="9" t="str">
        <v/>
      </c>
      <c r="G858" s="9" t="str">
        <v/>
      </c>
      <c r="H858" s="9" t="str">
        <v>RF-01T-0210</v>
      </c>
      <c r="I858" s="11" t="str">
        <v>RF-01T-0210]CVR FRONT MID L</v>
      </c>
      <c r="J858" s="9">
        <v>209</v>
      </c>
      <c r="K858" s="9" t="str">
        <v/>
      </c>
      <c r="L858" s="9" t="str">
        <v>3L3-1</v>
      </c>
      <c r="M858" s="12">
        <v>46224</v>
      </c>
      <c r="N858" s="5" t="str">
        <v/>
      </c>
      <c r="O858" s="5">
        <v>84393</v>
      </c>
      <c r="P858" s="5">
        <v>50</v>
      </c>
      <c r="Q858" s="14">
        <v>46224</v>
      </c>
      <c r="R858" s="15">
        <v>159</v>
      </c>
    </row>
    <row r="859" spans="2:18" x14ac:dyDescent="0.35">
      <c r="B859" s="9">
        <v>64</v>
      </c>
      <c r="C859" s="9" t="str">
        <v>출고재고</v>
      </c>
      <c r="D859" s="9" t="str">
        <v/>
      </c>
      <c r="E859" s="9" t="str">
        <v>기초</v>
      </c>
      <c r="F859" s="9" t="str">
        <v/>
      </c>
      <c r="G859" s="9" t="str">
        <v/>
      </c>
      <c r="H859" s="9" t="str">
        <v>RF-01T-0356</v>
      </c>
      <c r="I859" s="11" t="str">
        <v>RF-01T-0356]RUBBER CAP ARM</v>
      </c>
      <c r="J859" s="9">
        <v>209</v>
      </c>
      <c r="K859" s="9" t="str">
        <v/>
      </c>
      <c r="L859" s="9" t="str">
        <v>3L4-2</v>
      </c>
      <c r="M859" s="12">
        <v>46224</v>
      </c>
      <c r="N859" s="5" t="str">
        <v/>
      </c>
      <c r="O859" s="5">
        <v>84393</v>
      </c>
      <c r="P859" s="5">
        <v>50</v>
      </c>
      <c r="Q859" s="14">
        <v>46224</v>
      </c>
      <c r="R859" s="15">
        <v>159</v>
      </c>
    </row>
    <row r="860" spans="2:18" x14ac:dyDescent="0.35">
      <c r="B860" s="9">
        <v>49</v>
      </c>
      <c r="C860" s="9" t="str">
        <v>출고재고</v>
      </c>
      <c r="D860" s="9" t="str">
        <v/>
      </c>
      <c r="E860" s="9" t="str">
        <v>기초</v>
      </c>
      <c r="F860" s="9" t="str">
        <v/>
      </c>
      <c r="G860" s="9" t="str">
        <v/>
      </c>
      <c r="H860" s="9" t="str">
        <v>RF-20A-0279</v>
      </c>
      <c r="I860" s="11" t="str">
        <v>RF-20A-0279]Mdl DLP PLT</v>
      </c>
      <c r="J860" s="9">
        <v>215</v>
      </c>
      <c r="K860" s="9" t="str">
        <v/>
      </c>
      <c r="L860" s="9" t="str">
        <v>3F2</v>
      </c>
      <c r="M860" s="12">
        <v>46224</v>
      </c>
      <c r="N860" s="5" t="str">
        <v/>
      </c>
      <c r="O860" s="5">
        <v>84393</v>
      </c>
      <c r="P860" s="5">
        <v>50</v>
      </c>
      <c r="Q860" s="14">
        <v>46224</v>
      </c>
      <c r="R860" s="15">
        <v>165</v>
      </c>
    </row>
    <row r="861" spans="2:18" x14ac:dyDescent="0.35">
      <c r="B861" s="9">
        <v>28</v>
      </c>
      <c r="C861" s="9" t="str">
        <v>출고재고</v>
      </c>
      <c r="D861" s="9" t="str">
        <v/>
      </c>
      <c r="E861" s="9" t="str">
        <v>기초</v>
      </c>
      <c r="F861" s="9" t="str">
        <v/>
      </c>
      <c r="G861" s="9" t="str">
        <v/>
      </c>
      <c r="H861" s="9" t="str">
        <v>RF-20A-0357</v>
      </c>
      <c r="I861" s="11" t="str">
        <v>MODULE BASE BOTTOM FRAME</v>
      </c>
      <c r="J861" s="9">
        <v>216</v>
      </c>
      <c r="K861" s="9" t="str">
        <v/>
      </c>
      <c r="L861" s="9" t="str">
        <v>3F3</v>
      </c>
      <c r="M861" s="12">
        <v>46224</v>
      </c>
      <c r="N861" s="5" t="str">
        <v/>
      </c>
      <c r="O861" s="5">
        <v>84393</v>
      </c>
      <c r="P861" s="5">
        <v>50</v>
      </c>
      <c r="Q861" s="14">
        <v>46224</v>
      </c>
      <c r="R861" s="15">
        <v>166</v>
      </c>
    </row>
    <row r="862" spans="2:18" x14ac:dyDescent="0.35">
      <c r="B862" s="9">
        <v>14</v>
      </c>
      <c r="C862" s="9" t="str">
        <v>출고재고</v>
      </c>
      <c r="D862" s="9" t="str">
        <v/>
      </c>
      <c r="E862" s="9" t="str">
        <v>기초</v>
      </c>
      <c r="F862" s="9" t="str">
        <v/>
      </c>
      <c r="G862" s="9" t="str">
        <v/>
      </c>
      <c r="H862" s="9" t="str">
        <v>RF-01B-5035</v>
      </c>
      <c r="I862" s="11" t="str">
        <v>RF-01B-5035]CONNECTOR Bd</v>
      </c>
      <c r="J862" s="9">
        <v>237</v>
      </c>
      <c r="K862" s="9" t="str">
        <v/>
      </c>
      <c r="L862" s="9" t="str">
        <v>A4-3</v>
      </c>
      <c r="M862" s="12">
        <v>46224</v>
      </c>
      <c r="N862" s="5" t="str">
        <v/>
      </c>
      <c r="O862" s="5">
        <v>84393</v>
      </c>
      <c r="P862" s="5">
        <v>50</v>
      </c>
      <c r="Q862" s="14">
        <v>46224</v>
      </c>
      <c r="R862" s="15">
        <v>187</v>
      </c>
    </row>
    <row r="863" spans="2:18" x14ac:dyDescent="0.35">
      <c r="B863" s="9">
        <v>63</v>
      </c>
      <c r="C863" s="9" t="str">
        <v>출고재고</v>
      </c>
      <c r="D863" s="9" t="str">
        <v/>
      </c>
      <c r="E863" s="9" t="str">
        <v>기초</v>
      </c>
      <c r="F863" s="9" t="str">
        <v/>
      </c>
      <c r="G863" s="9" t="str">
        <v/>
      </c>
      <c r="H863" s="9" t="str">
        <v>RF-01T-0173</v>
      </c>
      <c r="I863" s="11" t="str">
        <v>RF-01T-0173]ARM CVR REAR DECO</v>
      </c>
      <c r="J863" s="9">
        <v>240</v>
      </c>
      <c r="K863" s="9" t="str">
        <v/>
      </c>
      <c r="L863" s="9" t="str">
        <v>3B8</v>
      </c>
      <c r="M863" s="12">
        <v>46224</v>
      </c>
      <c r="N863" s="5" t="str">
        <v/>
      </c>
      <c r="O863" s="5">
        <v>84393</v>
      </c>
      <c r="P863" s="5">
        <v>50</v>
      </c>
      <c r="Q863" s="14">
        <v>46224</v>
      </c>
      <c r="R863" s="15">
        <v>190</v>
      </c>
    </row>
    <row r="864" spans="2:18" x14ac:dyDescent="0.35">
      <c r="B864" s="9">
        <v>41</v>
      </c>
      <c r="C864" s="9" t="str">
        <v>출고재고</v>
      </c>
      <c r="D864" s="9" t="str">
        <v/>
      </c>
      <c r="E864" s="9" t="str">
        <v>기초</v>
      </c>
      <c r="F864" s="9" t="str">
        <v/>
      </c>
      <c r="G864" s="9" t="str">
        <v/>
      </c>
      <c r="H864" s="9" t="str">
        <v>RF-01V-0254</v>
      </c>
      <c r="I864" s="11" t="str">
        <v>RF-01V-0254]REAR CVR TOP BRK</v>
      </c>
      <c r="J864" s="9">
        <v>250</v>
      </c>
      <c r="K864" s="9" t="str">
        <v/>
      </c>
      <c r="L864" s="9" t="str">
        <v>3L4-5</v>
      </c>
      <c r="M864" s="12">
        <v>46224</v>
      </c>
      <c r="N864" s="5" t="str">
        <v/>
      </c>
      <c r="O864" s="5">
        <v>84393</v>
      </c>
      <c r="P864" s="5">
        <v>50</v>
      </c>
      <c r="Q864" s="14">
        <v>46224</v>
      </c>
      <c r="R864" s="15">
        <v>200</v>
      </c>
    </row>
    <row r="865" spans="2:18" x14ac:dyDescent="0.35">
      <c r="B865" s="9">
        <v>71</v>
      </c>
      <c r="C865" s="9" t="str">
        <v>출고재고</v>
      </c>
      <c r="D865" s="9" t="str">
        <v/>
      </c>
      <c r="E865" s="9" t="str">
        <v>기초</v>
      </c>
      <c r="F865" s="9" t="str">
        <v/>
      </c>
      <c r="G865" s="9" t="str">
        <v/>
      </c>
      <c r="H865" s="9" t="str">
        <v>RF-01B-5039</v>
      </c>
      <c r="I865" s="11" t="str">
        <v>RF-01B-5039]POWER HUB Bd</v>
      </c>
      <c r="J865" s="9">
        <v>250</v>
      </c>
      <c r="K865" s="9" t="str">
        <v/>
      </c>
      <c r="L865" s="9" t="str">
        <v>A3-4</v>
      </c>
      <c r="M865" s="12">
        <v>46224</v>
      </c>
      <c r="N865" s="5" t="str">
        <v/>
      </c>
      <c r="O865" s="5">
        <v>84393</v>
      </c>
      <c r="P865" s="5">
        <v>50</v>
      </c>
      <c r="Q865" s="14">
        <v>46224</v>
      </c>
      <c r="R865" s="15">
        <v>200</v>
      </c>
    </row>
    <row r="866" spans="2:18" x14ac:dyDescent="0.35">
      <c r="B866" s="9">
        <v>61</v>
      </c>
      <c r="C866" s="9" t="str">
        <v>출고재고</v>
      </c>
      <c r="D866" s="9" t="str">
        <v/>
      </c>
      <c r="E866" s="9" t="str">
        <v>기초</v>
      </c>
      <c r="F866" s="9" t="str">
        <v/>
      </c>
      <c r="G866" s="9" t="str">
        <v/>
      </c>
      <c r="H866" s="9" t="str">
        <v>RF-01B-5037</v>
      </c>
      <c r="I866" s="11" t="str">
        <v>RF-01B-5037] LED SIDE BOARD_REV2</v>
      </c>
      <c r="J866" s="9">
        <v>258</v>
      </c>
      <c r="K866" s="9" t="str">
        <v/>
      </c>
      <c r="L866" s="9" t="str">
        <v>A5-4</v>
      </c>
      <c r="M866" s="12">
        <v>46224</v>
      </c>
      <c r="N866" s="5" t="str">
        <v/>
      </c>
      <c r="O866" s="5">
        <v>84393</v>
      </c>
      <c r="P866" s="5">
        <v>50</v>
      </c>
      <c r="Q866" s="14">
        <v>46224</v>
      </c>
      <c r="R866" s="15">
        <v>208</v>
      </c>
    </row>
    <row r="867" spans="2:18" x14ac:dyDescent="0.35">
      <c r="B867" s="9">
        <v>39</v>
      </c>
      <c r="C867" s="9" t="str">
        <v>출고재고</v>
      </c>
      <c r="D867" s="9" t="str">
        <v/>
      </c>
      <c r="E867" s="9" t="str">
        <v>기초</v>
      </c>
      <c r="F867" s="9" t="str">
        <v/>
      </c>
      <c r="G867" s="9" t="str">
        <v/>
      </c>
      <c r="H867" s="9" t="str">
        <v>RD-01G-0502</v>
      </c>
      <c r="I867" s="11" t="str">
        <v>RD-01G-0502]SPONGE)UV SNSR</v>
      </c>
      <c r="J867" s="9">
        <v>277</v>
      </c>
      <c r="K867" s="9" t="str">
        <v/>
      </c>
      <c r="L867" s="9" t="str">
        <v>3S3-1</v>
      </c>
      <c r="M867" s="12">
        <v>46224</v>
      </c>
      <c r="N867" s="5" t="str">
        <v/>
      </c>
      <c r="O867" s="5">
        <v>84393</v>
      </c>
      <c r="P867" s="5">
        <v>100</v>
      </c>
      <c r="Q867" s="14">
        <v>46224</v>
      </c>
      <c r="R867" s="15">
        <v>177</v>
      </c>
    </row>
    <row r="868" spans="2:18" x14ac:dyDescent="0.35">
      <c r="B868" s="9">
        <v>313</v>
      </c>
      <c r="C868" s="9" t="str">
        <v>출고재고</v>
      </c>
      <c r="D868" s="9" t="str">
        <v/>
      </c>
      <c r="E868" s="9" t="str">
        <v/>
      </c>
      <c r="F868" s="9" t="str">
        <v/>
      </c>
      <c r="G868" s="9" t="str">
        <v/>
      </c>
      <c r="H868" s="9" t="str">
        <v>RF-01T-0196</v>
      </c>
      <c r="I868" s="11" t="str">
        <v>RF-01T-0196]CVR REAR</v>
      </c>
      <c r="J868" s="9">
        <v>281</v>
      </c>
      <c r="K868" s="9" t="str">
        <v/>
      </c>
      <c r="L868" s="9" t="str">
        <v>3I5</v>
      </c>
      <c r="M868" s="12">
        <v>46233</v>
      </c>
      <c r="N868" s="5" t="str">
        <v/>
      </c>
      <c r="O868" s="5">
        <v>84393</v>
      </c>
      <c r="P868" s="5">
        <v>50</v>
      </c>
      <c r="Q868" s="14">
        <v>46233</v>
      </c>
      <c r="R868" s="15">
        <v>231</v>
      </c>
    </row>
    <row r="869" spans="2:18" x14ac:dyDescent="0.35">
      <c r="B869" s="9">
        <v>30</v>
      </c>
      <c r="C869" s="9" t="str">
        <v>출고재고</v>
      </c>
      <c r="D869" s="9" t="str">
        <v/>
      </c>
      <c r="E869" s="9" t="str">
        <v>기초</v>
      </c>
      <c r="F869" s="9" t="str">
        <v/>
      </c>
      <c r="G869" s="9" t="str">
        <v/>
      </c>
      <c r="H869" s="9" t="str">
        <v>RF-01M-0269</v>
      </c>
      <c r="I869" s="11" t="str">
        <v>RF-01M-0269]FACE CAM BLK_HR</v>
      </c>
      <c r="J869" s="9">
        <v>294</v>
      </c>
      <c r="K869" s="9" t="str">
        <v/>
      </c>
      <c r="L869" s="9" t="str">
        <v>3L4-4</v>
      </c>
      <c r="M869" s="12">
        <v>46224</v>
      </c>
      <c r="N869" s="5" t="str">
        <v/>
      </c>
      <c r="O869" s="5">
        <v>84393</v>
      </c>
      <c r="P869" s="5">
        <v>50</v>
      </c>
      <c r="Q869" s="14">
        <v>46224</v>
      </c>
      <c r="R869" s="15">
        <v>244</v>
      </c>
    </row>
    <row r="870" spans="2:18" x14ac:dyDescent="0.35">
      <c r="B870" s="9">
        <v>65</v>
      </c>
      <c r="C870" s="9" t="str">
        <v>출고재고</v>
      </c>
      <c r="D870" s="9" t="str">
        <v/>
      </c>
      <c r="E870" s="9" t="str">
        <v>기초</v>
      </c>
      <c r="F870" s="9" t="str">
        <v/>
      </c>
      <c r="G870" s="9" t="str">
        <v/>
      </c>
      <c r="H870" s="9" t="str">
        <v>RF-01T-0241</v>
      </c>
      <c r="I870" s="11" t="str">
        <v>RF-01T-0241]CAL Bas UPPER</v>
      </c>
      <c r="J870" s="9">
        <v>294</v>
      </c>
      <c r="K870" s="9" t="str">
        <v/>
      </c>
      <c r="L870" s="9" t="str">
        <v>3E5</v>
      </c>
      <c r="M870" s="12">
        <v>46224</v>
      </c>
      <c r="N870" s="5" t="str">
        <v/>
      </c>
      <c r="O870" s="5">
        <v>84393</v>
      </c>
      <c r="P870" s="5">
        <v>50</v>
      </c>
      <c r="Q870" s="14">
        <v>46224</v>
      </c>
      <c r="R870" s="15">
        <v>244</v>
      </c>
    </row>
    <row r="871" spans="2:18" x14ac:dyDescent="0.35">
      <c r="B871" s="9">
        <v>19</v>
      </c>
      <c r="C871" s="9" t="str">
        <v>출고재고</v>
      </c>
      <c r="D871" s="9" t="str">
        <v/>
      </c>
      <c r="E871" s="9" t="str">
        <v>기초</v>
      </c>
      <c r="F871" s="9" t="str">
        <v/>
      </c>
      <c r="G871" s="9" t="str">
        <v/>
      </c>
      <c r="H871" s="9" t="str">
        <v>RF-01T-0161</v>
      </c>
      <c r="I871" s="11" t="str">
        <v>RF-01T-0161]Bas BOT UPPER</v>
      </c>
      <c r="J871" s="9">
        <v>300</v>
      </c>
      <c r="K871" s="9" t="str">
        <v/>
      </c>
      <c r="L871" s="9" t="str">
        <v>3B11</v>
      </c>
      <c r="M871" s="12">
        <v>46224</v>
      </c>
      <c r="N871" s="5" t="str">
        <v/>
      </c>
      <c r="O871" s="5">
        <v>84393</v>
      </c>
      <c r="P871" s="5">
        <v>50</v>
      </c>
      <c r="Q871" s="14">
        <v>46224</v>
      </c>
      <c r="R871" s="15">
        <v>250</v>
      </c>
    </row>
    <row r="872" spans="2:18" x14ac:dyDescent="0.35">
      <c r="B872" s="9">
        <v>46</v>
      </c>
      <c r="C872" s="9" t="str">
        <v>출고재고</v>
      </c>
      <c r="D872" s="9" t="str">
        <v/>
      </c>
      <c r="E872" s="9" t="str">
        <v>기초</v>
      </c>
      <c r="F872" s="9" t="str">
        <v/>
      </c>
      <c r="G872" s="9" t="str">
        <v/>
      </c>
      <c r="H872" s="9" t="str">
        <v>RF-01M-0397</v>
      </c>
      <c r="I872" s="11" t="str">
        <v>RF-01M-0397]COVER BOTTOM</v>
      </c>
      <c r="J872" s="9">
        <v>305</v>
      </c>
      <c r="K872" s="9" t="str">
        <v/>
      </c>
      <c r="L872" s="9" t="str">
        <v>3E5</v>
      </c>
      <c r="M872" s="12">
        <v>46224</v>
      </c>
      <c r="N872" s="5" t="str">
        <v/>
      </c>
      <c r="O872" s="5">
        <v>84393</v>
      </c>
      <c r="P872" s="5">
        <v>50</v>
      </c>
      <c r="Q872" s="14">
        <v>46224</v>
      </c>
      <c r="R872" s="15">
        <v>255</v>
      </c>
    </row>
    <row r="873" spans="2:18" x14ac:dyDescent="0.35">
      <c r="B873" s="9">
        <v>83</v>
      </c>
      <c r="C873" s="9" t="str">
        <v>출고재고</v>
      </c>
      <c r="D873" s="9" t="str">
        <v/>
      </c>
      <c r="E873" s="9" t="str">
        <v>기초</v>
      </c>
      <c r="F873" s="9" t="str">
        <v/>
      </c>
      <c r="G873" s="9" t="str">
        <v/>
      </c>
      <c r="H873" s="9" t="str">
        <v>RP-00S-5041</v>
      </c>
      <c r="I873" s="11" t="str">
        <v/>
      </c>
      <c r="J873" s="9">
        <v>355</v>
      </c>
      <c r="K873" s="9" t="str">
        <v/>
      </c>
      <c r="L873" s="9" t="str">
        <v>3B20</v>
      </c>
      <c r="M873" s="12">
        <v>46224</v>
      </c>
      <c r="N873" s="5" t="str">
        <v/>
      </c>
      <c r="O873" s="5">
        <v>84393</v>
      </c>
      <c r="P873" s="5">
        <v>50</v>
      </c>
      <c r="Q873" s="14">
        <v>46224</v>
      </c>
      <c r="R873" s="15">
        <v>305</v>
      </c>
    </row>
    <row r="874" spans="2:18" x14ac:dyDescent="0.35">
      <c r="B874" s="9">
        <v>7</v>
      </c>
      <c r="C874" s="9" t="str">
        <v>출고재고</v>
      </c>
      <c r="D874" s="9" t="str">
        <v/>
      </c>
      <c r="E874" s="9" t="str">
        <v>기초</v>
      </c>
      <c r="F874" s="9" t="str">
        <v/>
      </c>
      <c r="G874" s="9" t="str">
        <v/>
      </c>
      <c r="H874" s="9" t="str">
        <v>RF-01B-5036</v>
      </c>
      <c r="I874" s="11" t="str">
        <v>RF-01B-5036] LED CENTER BOARD</v>
      </c>
      <c r="J874" s="9">
        <v>467</v>
      </c>
      <c r="K874" s="9" t="str">
        <v/>
      </c>
      <c r="L874" s="9" t="str">
        <v>A16</v>
      </c>
      <c r="M874" s="12">
        <v>46224</v>
      </c>
      <c r="N874" s="5" t="str">
        <v/>
      </c>
      <c r="O874" s="5">
        <v>84393</v>
      </c>
      <c r="P874" s="5">
        <v>50</v>
      </c>
      <c r="Q874" s="14">
        <v>46224</v>
      </c>
      <c r="R874" s="15">
        <v>417</v>
      </c>
    </row>
    <row r="875" spans="2:18" x14ac:dyDescent="0.35">
      <c r="B875" s="9">
        <v>21</v>
      </c>
      <c r="C875" s="9" t="str">
        <v>출고재고</v>
      </c>
      <c r="D875" s="9" t="str">
        <v/>
      </c>
      <c r="E875" s="9" t="str">
        <v>기초</v>
      </c>
      <c r="F875" s="9" t="str">
        <v/>
      </c>
      <c r="G875" s="9" t="str">
        <v/>
      </c>
      <c r="H875" s="9" t="str">
        <v>RF-01B-5034</v>
      </c>
      <c r="I875" s="11" t="str">
        <v>RF-01B-5034] POWER BUTTON BOARD</v>
      </c>
      <c r="J875" s="9">
        <v>513</v>
      </c>
      <c r="K875" s="9" t="str">
        <v/>
      </c>
      <c r="L875" s="9" t="str">
        <v>A4-2</v>
      </c>
      <c r="M875" s="12">
        <v>46224</v>
      </c>
      <c r="N875" s="5" t="str">
        <v/>
      </c>
      <c r="O875" s="5">
        <v>84393</v>
      </c>
      <c r="P875" s="5">
        <v>50</v>
      </c>
      <c r="Q875" s="14">
        <v>46224</v>
      </c>
      <c r="R875" s="15">
        <v>463</v>
      </c>
    </row>
    <row r="876" spans="2:18" x14ac:dyDescent="0.35">
      <c r="B876" s="9">
        <v>13</v>
      </c>
      <c r="C876" s="9" t="str">
        <v>출고재고</v>
      </c>
      <c r="D876" s="9" t="str">
        <v/>
      </c>
      <c r="E876" s="9" t="str">
        <v>기초</v>
      </c>
      <c r="F876" s="9" t="str">
        <v/>
      </c>
      <c r="G876" s="9" t="str">
        <v/>
      </c>
      <c r="H876" s="9" t="str">
        <v>RF-01G-0168</v>
      </c>
      <c r="I876" s="11" t="str">
        <v>RF-01G-0168]BOT RUBBER</v>
      </c>
      <c r="J876" s="9">
        <v>535</v>
      </c>
      <c r="K876" s="9" t="str">
        <v/>
      </c>
      <c r="L876" s="9" t="str">
        <v>3S3-1</v>
      </c>
      <c r="M876" s="12">
        <v>46224</v>
      </c>
      <c r="N876" s="5" t="str">
        <v/>
      </c>
      <c r="O876" s="5">
        <v>84393</v>
      </c>
      <c r="P876" s="5">
        <v>300</v>
      </c>
      <c r="Q876" s="14">
        <v>46224</v>
      </c>
      <c r="R876" s="15">
        <v>235</v>
      </c>
    </row>
    <row r="877" spans="2:18" x14ac:dyDescent="0.35">
      <c r="B877" s="9">
        <v>9</v>
      </c>
      <c r="C877" s="9" t="str">
        <v>출고재고</v>
      </c>
      <c r="D877" s="9" t="str">
        <v/>
      </c>
      <c r="E877" s="9" t="str">
        <v>기초</v>
      </c>
      <c r="F877" s="9" t="str">
        <v/>
      </c>
      <c r="G877" s="9" t="str">
        <v/>
      </c>
      <c r="H877" s="9" t="str">
        <v>RF-01G-0252</v>
      </c>
      <c r="I877" s="11" t="str">
        <v>RF-01G-0252]MOLDING FRONT MIRROR</v>
      </c>
      <c r="J877" s="9">
        <v>1071</v>
      </c>
      <c r="K877" s="9" t="str">
        <v/>
      </c>
      <c r="L877" s="9" t="str">
        <v>3S3-1</v>
      </c>
      <c r="M877" s="12">
        <v>46224</v>
      </c>
      <c r="N877" s="5" t="str">
        <v/>
      </c>
      <c r="O877" s="5">
        <v>84393</v>
      </c>
      <c r="P877" s="5">
        <v>50</v>
      </c>
      <c r="Q877" s="14">
        <v>46224</v>
      </c>
      <c r="R877" s="15">
        <v>1021</v>
      </c>
    </row>
    <row r="878" spans="2:18" x14ac:dyDescent="0.35">
      <c r="B878" s="9">
        <v>79</v>
      </c>
      <c r="C878" s="9" t="str">
        <v>출고재고</v>
      </c>
      <c r="D878" s="9" t="str">
        <v/>
      </c>
      <c r="E878" s="9" t="str">
        <v>기초</v>
      </c>
      <c r="F878" s="9" t="str">
        <v/>
      </c>
      <c r="G878" s="9" t="str">
        <v/>
      </c>
      <c r="H878" s="9" t="str">
        <v>RF-09P-0271</v>
      </c>
      <c r="I878" s="11" t="str">
        <v>RF-09P-0271]MIRROR PROTIVE FILM</v>
      </c>
      <c r="J878" s="9">
        <v>1603</v>
      </c>
      <c r="K878" s="9" t="str">
        <v/>
      </c>
      <c r="L878" s="9" t="str">
        <v>3S3-1</v>
      </c>
      <c r="M878" s="12">
        <v>46224</v>
      </c>
      <c r="N878" s="5" t="str">
        <v/>
      </c>
      <c r="O878" s="5">
        <v>84393</v>
      </c>
      <c r="P878" s="5">
        <v>50</v>
      </c>
      <c r="Q878" s="14">
        <v>46224</v>
      </c>
      <c r="R878" s="15">
        <v>1553</v>
      </c>
    </row>
    <row r="879" spans="2:18" x14ac:dyDescent="0.35">
      <c r="B879" s="9">
        <v>1339</v>
      </c>
      <c r="C879" s="9" t="str">
        <v>출고재고</v>
      </c>
      <c r="D879" s="9" t="str">
        <v/>
      </c>
      <c r="E879" s="9" t="str">
        <v/>
      </c>
      <c r="F879" s="9" t="str">
        <v/>
      </c>
      <c r="G879" s="9" t="str">
        <v/>
      </c>
      <c r="H879" s="9" t="str">
        <v>RP-01H-5009</v>
      </c>
      <c r="I879" s="11" t="str">
        <v>RP-01H-5009]Lan cable</v>
      </c>
      <c r="J879" s="9">
        <v>10</v>
      </c>
      <c r="K879" s="9" t="str">
        <v/>
      </c>
      <c r="L879" s="9" t="str">
        <v>3S3-2</v>
      </c>
      <c r="M879" s="12">
        <v>46287</v>
      </c>
      <c r="N879" s="5" t="str">
        <v/>
      </c>
      <c r="O879" s="5">
        <v>84394</v>
      </c>
      <c r="P879" s="5">
        <v>10</v>
      </c>
      <c r="Q879" s="14">
        <v>46301</v>
      </c>
      <c r="R879" s="15">
        <v>0</v>
      </c>
    </row>
    <row r="880" spans="2:18" x14ac:dyDescent="0.35">
      <c r="B880" s="9">
        <v>1266</v>
      </c>
      <c r="C880" s="9" t="str">
        <v>출고재고</v>
      </c>
      <c r="D880" s="9" t="str">
        <v/>
      </c>
      <c r="E880" s="9" t="str">
        <v>반납</v>
      </c>
      <c r="F880" s="9" t="str">
        <v/>
      </c>
      <c r="G880" s="9" t="str">
        <v/>
      </c>
      <c r="H880" s="9" t="str">
        <v>RP-01H-5009</v>
      </c>
      <c r="I880" s="11" t="str">
        <v>RP-01H-5009]Lan cable</v>
      </c>
      <c r="J880" s="9">
        <v>106</v>
      </c>
      <c r="K880" s="9" t="str">
        <v/>
      </c>
      <c r="L880" s="9" t="str">
        <v>3S3-2</v>
      </c>
      <c r="M880" s="12">
        <v>46287</v>
      </c>
      <c r="N880" s="5" t="str">
        <v/>
      </c>
      <c r="O880" s="5">
        <v>84394</v>
      </c>
      <c r="P880" s="5">
        <v>40</v>
      </c>
      <c r="Q880" s="14">
        <v>46301</v>
      </c>
      <c r="R880" s="15">
        <v>66</v>
      </c>
    </row>
    <row r="881" spans="2:18" x14ac:dyDescent="0.35">
      <c r="B881" s="9">
        <v>144</v>
      </c>
      <c r="C881" s="9" t="str">
        <v>출고재고</v>
      </c>
      <c r="D881" s="9" t="str">
        <v/>
      </c>
      <c r="E881" s="9" t="str">
        <v/>
      </c>
      <c r="F881" s="9" t="str">
        <v/>
      </c>
      <c r="G881" s="9" t="str">
        <v/>
      </c>
      <c r="H881" s="9" t="str">
        <v>RP-00S-5041</v>
      </c>
      <c r="I881" s="11" t="str">
        <v/>
      </c>
      <c r="J881" s="9">
        <v>305</v>
      </c>
      <c r="K881" s="9" t="str">
        <v/>
      </c>
      <c r="L881" s="9" t="str">
        <v>3B20</v>
      </c>
      <c r="M881" s="12">
        <v>46224</v>
      </c>
      <c r="N881" s="5" t="str">
        <v/>
      </c>
      <c r="O881" s="5">
        <v>84394</v>
      </c>
      <c r="P881" s="5">
        <v>50</v>
      </c>
      <c r="Q881" s="14">
        <v>46253</v>
      </c>
      <c r="R881" s="15">
        <v>255</v>
      </c>
    </row>
    <row r="882" spans="2:18" x14ac:dyDescent="0.35">
      <c r="B882" s="9">
        <v>730</v>
      </c>
      <c r="C882" s="9" t="str">
        <v>출고재고</v>
      </c>
      <c r="D882" s="9" t="str">
        <v/>
      </c>
      <c r="E882" s="9" t="str">
        <v/>
      </c>
      <c r="F882" s="9" t="str">
        <v/>
      </c>
      <c r="G882" s="9" t="str">
        <v/>
      </c>
      <c r="H882" s="9" t="str">
        <v>RA-9-12</v>
      </c>
      <c r="I882" s="11" t="str">
        <v>RA-9-12]SCEPH LAN</v>
      </c>
      <c r="J882" s="9">
        <v>9</v>
      </c>
      <c r="K882" s="9" t="str">
        <v/>
      </c>
      <c r="L882" s="9" t="str">
        <v>G3-4</v>
      </c>
      <c r="M882" s="12">
        <v>46238</v>
      </c>
      <c r="N882" s="5" t="str">
        <v/>
      </c>
      <c r="O882" s="5">
        <v>85052</v>
      </c>
      <c r="P882" s="5">
        <v>9</v>
      </c>
      <c r="Q882" s="14">
        <v>46240</v>
      </c>
      <c r="R882" s="15">
        <v>0</v>
      </c>
    </row>
    <row r="883" spans="2:18" x14ac:dyDescent="0.35">
      <c r="B883" s="9">
        <v>202</v>
      </c>
      <c r="C883" s="9" t="str">
        <v>출고재고</v>
      </c>
      <c r="D883" s="9" t="str">
        <v/>
      </c>
      <c r="E883" s="9" t="str">
        <v>기초</v>
      </c>
      <c r="F883" s="9" t="str">
        <v/>
      </c>
      <c r="G883" s="9" t="str">
        <v/>
      </c>
      <c r="H883" s="9" t="str">
        <v>RA-08S-6076</v>
      </c>
      <c r="I883" s="11" t="str">
        <v>RA-08S-6076]VIEWORKS, FXRD-1717VA DET</v>
      </c>
      <c r="J883" s="9">
        <v>1</v>
      </c>
      <c r="K883" s="9" t="str">
        <v/>
      </c>
      <c r="L883" s="9" t="str">
        <v>A11-1</v>
      </c>
      <c r="M883" s="12">
        <v>46232</v>
      </c>
      <c r="N883" s="5" t="str">
        <v/>
      </c>
      <c r="O883" s="5">
        <v>87119</v>
      </c>
      <c r="P883" s="5">
        <v>1</v>
      </c>
      <c r="Q883" s="14">
        <v>46232</v>
      </c>
      <c r="R883" s="15">
        <v>0</v>
      </c>
    </row>
    <row r="884" spans="2:18" x14ac:dyDescent="0.35">
      <c r="B884" s="9">
        <v>215</v>
      </c>
      <c r="C884" s="9" t="str">
        <v>출고재고</v>
      </c>
      <c r="D884" s="9" t="str">
        <v/>
      </c>
      <c r="E884" s="9" t="str">
        <v>기초</v>
      </c>
      <c r="F884" s="9" t="str">
        <v/>
      </c>
      <c r="G884" s="9" t="str">
        <v/>
      </c>
      <c r="H884" s="9" t="str">
        <v>RA-08A-0612</v>
      </c>
      <c r="I884" s="11" t="str">
        <v>RA-08A-0612]ASM _4HEAD Mdl</v>
      </c>
      <c r="J884" s="9">
        <v>1</v>
      </c>
      <c r="K884" s="9" t="str">
        <v/>
      </c>
      <c r="L884" s="9" t="str">
        <v>E1-6</v>
      </c>
      <c r="M884" s="12">
        <v>46232</v>
      </c>
      <c r="N884" s="5" t="str">
        <v/>
      </c>
      <c r="O884" s="5">
        <v>87119</v>
      </c>
      <c r="P884" s="5">
        <v>1</v>
      </c>
      <c r="Q884" s="14">
        <v>46232</v>
      </c>
      <c r="R884" s="15">
        <v>0</v>
      </c>
    </row>
    <row r="885" spans="2:18" x14ac:dyDescent="0.35">
      <c r="B885" s="9">
        <v>220</v>
      </c>
      <c r="C885" s="9" t="str">
        <v>출고재고</v>
      </c>
      <c r="D885" s="9" t="str">
        <v/>
      </c>
      <c r="E885" s="9" t="str">
        <v>기초</v>
      </c>
      <c r="F885" s="9" t="str">
        <v/>
      </c>
      <c r="G885" s="9" t="str">
        <v/>
      </c>
      <c r="H885" s="9" t="str">
        <v>RA-08T-0177</v>
      </c>
      <c r="I885" s="11" t="str">
        <v/>
      </c>
      <c r="J885" s="9">
        <v>2</v>
      </c>
      <c r="K885" s="9" t="str">
        <v/>
      </c>
      <c r="L885" s="9" t="str">
        <v>S</v>
      </c>
      <c r="M885" s="12">
        <v>46232</v>
      </c>
      <c r="N885" s="5" t="str">
        <v/>
      </c>
      <c r="O885" s="5">
        <v>87119</v>
      </c>
      <c r="P885" s="5">
        <v>1</v>
      </c>
      <c r="Q885" s="14">
        <v>46232</v>
      </c>
      <c r="R885" s="15">
        <v>1</v>
      </c>
    </row>
    <row r="886" spans="2:18" x14ac:dyDescent="0.35">
      <c r="B886" s="9">
        <v>227</v>
      </c>
      <c r="C886" s="9" t="str">
        <v>출고재고</v>
      </c>
      <c r="D886" s="9" t="str">
        <v/>
      </c>
      <c r="E886" s="9" t="str">
        <v>기초</v>
      </c>
      <c r="F886" s="9" t="str">
        <v/>
      </c>
      <c r="G886" s="9" t="str">
        <v/>
      </c>
      <c r="H886" s="9" t="str">
        <v>RA-08M-0623</v>
      </c>
      <c r="I886" s="11" t="str">
        <v>RA-08M-0623]PIN STOPPER</v>
      </c>
      <c r="J886" s="9">
        <v>2</v>
      </c>
      <c r="K886" s="9" t="str">
        <v/>
      </c>
      <c r="L886" s="9" t="str">
        <v>E2-1</v>
      </c>
      <c r="M886" s="12">
        <v>46232</v>
      </c>
      <c r="N886" s="5" t="str">
        <v/>
      </c>
      <c r="O886" s="5">
        <v>87119</v>
      </c>
      <c r="P886" s="5">
        <v>1</v>
      </c>
      <c r="Q886" s="14">
        <v>46232</v>
      </c>
      <c r="R886" s="15">
        <v>1</v>
      </c>
    </row>
    <row r="887" spans="2:18" x14ac:dyDescent="0.35">
      <c r="B887" s="9">
        <v>307</v>
      </c>
      <c r="C887" s="9" t="str">
        <v>출고재고</v>
      </c>
      <c r="D887" s="9" t="str">
        <v/>
      </c>
      <c r="E887" s="9" t="str">
        <v>불량 대체품</v>
      </c>
      <c r="F887" s="9" t="str">
        <v/>
      </c>
      <c r="G887" s="9" t="str">
        <v/>
      </c>
      <c r="H887" s="9" t="str">
        <v>RA-08M-1887</v>
      </c>
      <c r="I887" s="11" t="str">
        <v>RA-08M-1887]FRM Bas CEPH (VW)</v>
      </c>
      <c r="J887" s="9">
        <v>3</v>
      </c>
      <c r="K887" s="9" t="str">
        <v/>
      </c>
      <c r="L887" s="9" t="str">
        <v>E4-2</v>
      </c>
      <c r="M887" s="12">
        <v>46233</v>
      </c>
      <c r="N887" s="5" t="str">
        <v/>
      </c>
      <c r="O887" s="5">
        <v>87119</v>
      </c>
      <c r="P887" s="5">
        <v>1</v>
      </c>
      <c r="Q887" s="14">
        <v>46233</v>
      </c>
      <c r="R887" s="15">
        <v>2</v>
      </c>
    </row>
    <row r="888" spans="2:18" x14ac:dyDescent="0.35">
      <c r="B888" s="9">
        <v>214</v>
      </c>
      <c r="C888" s="9" t="str">
        <v>출고재고</v>
      </c>
      <c r="D888" s="9" t="str">
        <v/>
      </c>
      <c r="E888" s="9" t="str">
        <v>기초</v>
      </c>
      <c r="F888" s="9" t="str">
        <v/>
      </c>
      <c r="G888" s="9" t="str">
        <v/>
      </c>
      <c r="H888" s="9" t="str">
        <v>RA-08A-0611</v>
      </c>
      <c r="I888" s="11" t="str">
        <v>RA-08A-0611]ASM EARLOD Mdl</v>
      </c>
      <c r="J888" s="9">
        <v>4</v>
      </c>
      <c r="K888" s="9" t="str">
        <v/>
      </c>
      <c r="L888" s="9" t="str">
        <v>E1-6</v>
      </c>
      <c r="M888" s="12">
        <v>46232</v>
      </c>
      <c r="N888" s="5" t="str">
        <v/>
      </c>
      <c r="O888" s="5">
        <v>87119</v>
      </c>
      <c r="P888" s="5">
        <v>1</v>
      </c>
      <c r="Q888" s="14">
        <v>46232</v>
      </c>
      <c r="R888" s="15">
        <v>3</v>
      </c>
    </row>
    <row r="889" spans="2:18" x14ac:dyDescent="0.35">
      <c r="B889" s="9">
        <v>304</v>
      </c>
      <c r="C889" s="9" t="str">
        <v>출고재고</v>
      </c>
      <c r="D889" s="9" t="str">
        <v/>
      </c>
      <c r="E889" s="9" t="str">
        <v>입고</v>
      </c>
      <c r="F889" s="9" t="str">
        <v/>
      </c>
      <c r="G889" s="9" t="str">
        <v/>
      </c>
      <c r="H889" s="9" t="str">
        <v>RA-08M-2679</v>
      </c>
      <c r="I889" s="11" t="str">
        <v>RA-08M-2679]SHAFT CEPH AXIS BODY (VW)</v>
      </c>
      <c r="J889" s="9">
        <v>5</v>
      </c>
      <c r="K889" s="9" t="str">
        <v/>
      </c>
      <c r="L889" s="9" t="str">
        <v>E1-2</v>
      </c>
      <c r="M889" s="12">
        <v>46233</v>
      </c>
      <c r="N889" s="5" t="str">
        <v/>
      </c>
      <c r="O889" s="5">
        <v>87119</v>
      </c>
      <c r="P889" s="5">
        <v>1</v>
      </c>
      <c r="Q889" s="14">
        <v>46233</v>
      </c>
      <c r="R889" s="15">
        <v>4</v>
      </c>
    </row>
    <row r="890" spans="2:18" x14ac:dyDescent="0.35">
      <c r="B890" s="9">
        <v>305</v>
      </c>
      <c r="C890" s="9" t="str">
        <v>출고재고</v>
      </c>
      <c r="D890" s="9" t="str">
        <v/>
      </c>
      <c r="E890" s="9" t="str">
        <v>입고</v>
      </c>
      <c r="F890" s="9" t="str">
        <v/>
      </c>
      <c r="G890" s="9" t="str">
        <v/>
      </c>
      <c r="H890" s="9" t="str">
        <v>RA-08M-2705</v>
      </c>
      <c r="I890" s="11" t="str">
        <v>RA-08M-2705]BLK CEPH AXIS BODY TOP (VW)</v>
      </c>
      <c r="J890" s="9">
        <v>5</v>
      </c>
      <c r="K890" s="9" t="str">
        <v/>
      </c>
      <c r="L890" s="9" t="str">
        <v>E1-2</v>
      </c>
      <c r="M890" s="12">
        <v>46233</v>
      </c>
      <c r="N890" s="5" t="str">
        <v/>
      </c>
      <c r="O890" s="5">
        <v>87119</v>
      </c>
      <c r="P890" s="5">
        <v>1</v>
      </c>
      <c r="Q890" s="14">
        <v>46233</v>
      </c>
      <c r="R890" s="15">
        <v>4</v>
      </c>
    </row>
    <row r="891" spans="2:18" x14ac:dyDescent="0.35">
      <c r="B891" s="9">
        <v>306</v>
      </c>
      <c r="C891" s="9" t="str">
        <v>출고재고</v>
      </c>
      <c r="D891" s="9" t="str">
        <v/>
      </c>
      <c r="E891" s="9" t="str">
        <v>입고</v>
      </c>
      <c r="F891" s="9" t="str">
        <v/>
      </c>
      <c r="G891" s="9" t="str">
        <v/>
      </c>
      <c r="H891" s="9" t="str">
        <v>RA-08M-2707</v>
      </c>
      <c r="I891" s="11" t="str">
        <v>RA-08M-2707]BLK CEPH AXIS BODY REAR (VW)</v>
      </c>
      <c r="J891" s="9">
        <v>5</v>
      </c>
      <c r="K891" s="9" t="str">
        <v/>
      </c>
      <c r="L891" s="9" t="str">
        <v>E1-2</v>
      </c>
      <c r="M891" s="12">
        <v>46233</v>
      </c>
      <c r="N891" s="5" t="str">
        <v/>
      </c>
      <c r="O891" s="5">
        <v>87119</v>
      </c>
      <c r="P891" s="5">
        <v>1</v>
      </c>
      <c r="Q891" s="14">
        <v>46233</v>
      </c>
      <c r="R891" s="15">
        <v>4</v>
      </c>
    </row>
    <row r="892" spans="2:18" x14ac:dyDescent="0.35">
      <c r="B892" s="9">
        <v>173</v>
      </c>
      <c r="C892" s="9" t="str">
        <v>출고재고</v>
      </c>
      <c r="D892" s="9" t="str">
        <v/>
      </c>
      <c r="E892" s="9" t="str">
        <v>기초</v>
      </c>
      <c r="F892" s="9" t="str">
        <v/>
      </c>
      <c r="G892" s="9" t="str">
        <v/>
      </c>
      <c r="H892" s="9" t="str">
        <v>RA-08M-2706</v>
      </c>
      <c r="I892" s="11" t="str">
        <v>RA-08M-2706]BLK CEPH AXIS BODY FRONT(VW</v>
      </c>
      <c r="J892" s="9">
        <v>7</v>
      </c>
      <c r="K892" s="9" t="str">
        <v/>
      </c>
      <c r="L892" s="9" t="str">
        <v>E1-2</v>
      </c>
      <c r="M892" s="12">
        <v>46232</v>
      </c>
      <c r="N892" s="5" t="str">
        <v/>
      </c>
      <c r="O892" s="5">
        <v>87119</v>
      </c>
      <c r="P892" s="5">
        <v>1</v>
      </c>
      <c r="Q892" s="14">
        <v>46232</v>
      </c>
      <c r="R892" s="15">
        <v>6</v>
      </c>
    </row>
    <row r="893" spans="2:18" x14ac:dyDescent="0.35">
      <c r="B893" s="9">
        <v>175</v>
      </c>
      <c r="C893" s="9" t="str">
        <v>출고재고</v>
      </c>
      <c r="D893" s="9" t="str">
        <v/>
      </c>
      <c r="E893" s="9" t="str">
        <v>기초</v>
      </c>
      <c r="F893" s="9" t="str">
        <v/>
      </c>
      <c r="G893" s="9" t="str">
        <v/>
      </c>
      <c r="H893" s="9" t="str">
        <v>RA-08M-2708</v>
      </c>
      <c r="I893" s="11" t="str">
        <v>RA-08M-2708]SHAFT CEPH AXIS BODY (VW)</v>
      </c>
      <c r="J893" s="9">
        <v>7</v>
      </c>
      <c r="K893" s="9" t="str">
        <v/>
      </c>
      <c r="L893" s="9" t="str">
        <v>E1-2</v>
      </c>
      <c r="M893" s="12">
        <v>46232</v>
      </c>
      <c r="N893" s="5" t="str">
        <v/>
      </c>
      <c r="O893" s="5">
        <v>87119</v>
      </c>
      <c r="P893" s="5">
        <v>1</v>
      </c>
      <c r="Q893" s="14">
        <v>46232</v>
      </c>
      <c r="R893" s="15">
        <v>6</v>
      </c>
    </row>
    <row r="894" spans="2:18" x14ac:dyDescent="0.35">
      <c r="B894" s="9">
        <v>196</v>
      </c>
      <c r="C894" s="9" t="str">
        <v>출고재고</v>
      </c>
      <c r="D894" s="9" t="str">
        <v/>
      </c>
      <c r="E894" s="9" t="str">
        <v>기초</v>
      </c>
      <c r="F894" s="9" t="str">
        <v/>
      </c>
      <c r="G894" s="9" t="str">
        <v/>
      </c>
      <c r="H894" s="9" t="str">
        <v>RA-08V-2680</v>
      </c>
      <c r="I894" s="11" t="str">
        <v>RA-08V-2680]TILT ARM HINGE (VW)</v>
      </c>
      <c r="J894" s="9">
        <v>8</v>
      </c>
      <c r="K894" s="9" t="str">
        <v/>
      </c>
      <c r="L894" s="9" t="str">
        <v>E1-5</v>
      </c>
      <c r="M894" s="12">
        <v>46232</v>
      </c>
      <c r="N894" s="5" t="str">
        <v/>
      </c>
      <c r="O894" s="5">
        <v>87119</v>
      </c>
      <c r="P894" s="5">
        <v>1</v>
      </c>
      <c r="Q894" s="14">
        <v>46232</v>
      </c>
      <c r="R894" s="15">
        <v>7</v>
      </c>
    </row>
    <row r="895" spans="2:18" x14ac:dyDescent="0.35">
      <c r="B895" s="9">
        <v>237</v>
      </c>
      <c r="C895" s="9" t="str">
        <v>출고재고</v>
      </c>
      <c r="D895" s="9" t="str">
        <v/>
      </c>
      <c r="E895" s="9" t="str">
        <v>기초</v>
      </c>
      <c r="F895" s="9" t="str">
        <v/>
      </c>
      <c r="G895" s="9" t="str">
        <v/>
      </c>
      <c r="H895" s="9" t="str">
        <v>RA-08M-2670</v>
      </c>
      <c r="I895" s="11" t="str">
        <v>RA-08M-2670]ARM CEPH BODY (VW)</v>
      </c>
      <c r="J895" s="9">
        <v>8</v>
      </c>
      <c r="K895" s="9" t="str">
        <v/>
      </c>
      <c r="L895" s="9" t="str">
        <v>E4-4</v>
      </c>
      <c r="M895" s="12">
        <v>46232</v>
      </c>
      <c r="N895" s="5" t="str">
        <v/>
      </c>
      <c r="O895" s="5">
        <v>87119</v>
      </c>
      <c r="P895" s="5">
        <v>1</v>
      </c>
      <c r="Q895" s="14">
        <v>46232</v>
      </c>
      <c r="R895" s="15">
        <v>7</v>
      </c>
    </row>
    <row r="896" spans="2:18" x14ac:dyDescent="0.35">
      <c r="B896" s="9">
        <v>216</v>
      </c>
      <c r="C896" s="9" t="str">
        <v>출고재고</v>
      </c>
      <c r="D896" s="9" t="str">
        <v/>
      </c>
      <c r="E896" s="9" t="str">
        <v>기초</v>
      </c>
      <c r="F896" s="9" t="str">
        <v/>
      </c>
      <c r="G896" s="9" t="str">
        <v/>
      </c>
      <c r="H896" s="9" t="str">
        <v>RA-08A-0744</v>
      </c>
      <c r="I896" s="11" t="str">
        <v/>
      </c>
      <c r="J896" s="9">
        <v>9</v>
      </c>
      <c r="K896" s="9" t="str">
        <v/>
      </c>
      <c r="L896" s="9" t="str">
        <v/>
      </c>
      <c r="M896" s="12">
        <v>46232</v>
      </c>
      <c r="N896" s="5" t="str">
        <v/>
      </c>
      <c r="O896" s="5">
        <v>87119</v>
      </c>
      <c r="P896" s="5">
        <v>1</v>
      </c>
      <c r="Q896" s="14">
        <v>46232</v>
      </c>
      <c r="R896" s="15">
        <v>8</v>
      </c>
    </row>
    <row r="897" spans="2:18" x14ac:dyDescent="0.35">
      <c r="B897" s="9">
        <v>217</v>
      </c>
      <c r="C897" s="9" t="str">
        <v>출고재고</v>
      </c>
      <c r="D897" s="9" t="str">
        <v/>
      </c>
      <c r="E897" s="9" t="str">
        <v>기초</v>
      </c>
      <c r="F897" s="9" t="str">
        <v/>
      </c>
      <c r="G897" s="9" t="str">
        <v/>
      </c>
      <c r="H897" s="9" t="str">
        <v>RA-08A-0745</v>
      </c>
      <c r="I897" s="11" t="str">
        <v>RA-08A-0745]ASM OC EARLOD L</v>
      </c>
      <c r="J897" s="9">
        <v>9</v>
      </c>
      <c r="K897" s="9" t="str">
        <v/>
      </c>
      <c r="L897" s="9" t="str">
        <v>E1-6</v>
      </c>
      <c r="M897" s="12">
        <v>46232</v>
      </c>
      <c r="N897" s="5" t="str">
        <v/>
      </c>
      <c r="O897" s="5">
        <v>87119</v>
      </c>
      <c r="P897" s="5">
        <v>1</v>
      </c>
      <c r="Q897" s="14">
        <v>46232</v>
      </c>
      <c r="R897" s="15">
        <v>8</v>
      </c>
    </row>
    <row r="898" spans="2:18" x14ac:dyDescent="0.35">
      <c r="B898" s="9">
        <v>204</v>
      </c>
      <c r="C898" s="9" t="str">
        <v>출고재고</v>
      </c>
      <c r="D898" s="9" t="str">
        <v/>
      </c>
      <c r="E898" s="9" t="str">
        <v>기초</v>
      </c>
      <c r="F898" s="9" t="str">
        <v/>
      </c>
      <c r="G898" s="9" t="str">
        <v/>
      </c>
      <c r="H898" s="9" t="str">
        <v>C16-6808ZZ</v>
      </c>
      <c r="I898" s="11" t="str">
        <v>C16-6808ZZ]BALL B-Ring</v>
      </c>
      <c r="J898" s="9">
        <v>12</v>
      </c>
      <c r="K898" s="9" t="str">
        <v/>
      </c>
      <c r="L898" s="9" t="str">
        <v>3M1-4</v>
      </c>
      <c r="M898" s="12">
        <v>46232</v>
      </c>
      <c r="N898" s="5" t="str">
        <v/>
      </c>
      <c r="O898" s="5">
        <v>87119</v>
      </c>
      <c r="P898" s="5">
        <v>2</v>
      </c>
      <c r="Q898" s="14">
        <v>46232</v>
      </c>
      <c r="R898" s="15">
        <v>10</v>
      </c>
    </row>
    <row r="899" spans="2:18" x14ac:dyDescent="0.35">
      <c r="B899" s="9">
        <v>187</v>
      </c>
      <c r="C899" s="9" t="str">
        <v>출고재고</v>
      </c>
      <c r="D899" s="9" t="str">
        <v/>
      </c>
      <c r="E899" s="9" t="str">
        <v>기초</v>
      </c>
      <c r="F899" s="9" t="str">
        <v/>
      </c>
      <c r="G899" s="9" t="str">
        <v/>
      </c>
      <c r="H899" s="9" t="str">
        <v>RA-08V-2663</v>
      </c>
      <c r="I899" s="11" t="str">
        <v>RA-08V-2663]HOOK CAS CEPH SNSR (L)</v>
      </c>
      <c r="J899" s="9">
        <v>16</v>
      </c>
      <c r="K899" s="9" t="str">
        <v/>
      </c>
      <c r="L899" s="9" t="str">
        <v>E2-5</v>
      </c>
      <c r="M899" s="12">
        <v>46232</v>
      </c>
      <c r="N899" s="5" t="str">
        <v/>
      </c>
      <c r="O899" s="5">
        <v>87119</v>
      </c>
      <c r="P899" s="5">
        <v>1</v>
      </c>
      <c r="Q899" s="14">
        <v>46232</v>
      </c>
      <c r="R899" s="15">
        <v>15</v>
      </c>
    </row>
    <row r="900" spans="2:18" x14ac:dyDescent="0.35">
      <c r="B900" s="9">
        <v>197</v>
      </c>
      <c r="C900" s="9" t="str">
        <v>출고재고</v>
      </c>
      <c r="D900" s="9" t="str">
        <v/>
      </c>
      <c r="E900" s="9" t="str">
        <v>기초</v>
      </c>
      <c r="F900" s="9" t="str">
        <v/>
      </c>
      <c r="G900" s="9" t="str">
        <v/>
      </c>
      <c r="H900" s="9" t="str">
        <v>RA-08V-2681</v>
      </c>
      <c r="I900" s="11" t="str">
        <v>RA-08V-2681]PLT STOPPER GUIDE (VW)</v>
      </c>
      <c r="J900" s="9">
        <v>16</v>
      </c>
      <c r="K900" s="9" t="str">
        <v/>
      </c>
      <c r="L900" s="9" t="str">
        <v>E1-5</v>
      </c>
      <c r="M900" s="12">
        <v>46232</v>
      </c>
      <c r="N900" s="5" t="str">
        <v/>
      </c>
      <c r="O900" s="5">
        <v>87119</v>
      </c>
      <c r="P900" s="5">
        <v>1</v>
      </c>
      <c r="Q900" s="14">
        <v>46232</v>
      </c>
      <c r="R900" s="15">
        <v>15</v>
      </c>
    </row>
    <row r="901" spans="2:18" x14ac:dyDescent="0.35">
      <c r="B901" s="9">
        <v>189</v>
      </c>
      <c r="C901" s="9" t="str">
        <v>출고재고</v>
      </c>
      <c r="D901" s="9" t="str">
        <v/>
      </c>
      <c r="E901" s="9" t="str">
        <v>기초</v>
      </c>
      <c r="F901" s="9" t="str">
        <v/>
      </c>
      <c r="G901" s="9" t="str">
        <v/>
      </c>
      <c r="H901" s="9" t="str">
        <v>RA-08V-2665</v>
      </c>
      <c r="I901" s="11" t="str">
        <v>RA-08V-2665]BRK PUSH VIEWORKS POWER</v>
      </c>
      <c r="J901" s="9">
        <v>17</v>
      </c>
      <c r="K901" s="9" t="str">
        <v/>
      </c>
      <c r="L901" s="9" t="str">
        <v>E2-5</v>
      </c>
      <c r="M901" s="12">
        <v>46232</v>
      </c>
      <c r="N901" s="5" t="str">
        <v/>
      </c>
      <c r="O901" s="5">
        <v>87119</v>
      </c>
      <c r="P901" s="5">
        <v>1</v>
      </c>
      <c r="Q901" s="14">
        <v>46232</v>
      </c>
      <c r="R901" s="15">
        <v>16</v>
      </c>
    </row>
    <row r="902" spans="2:18" x14ac:dyDescent="0.35">
      <c r="B902" s="9">
        <v>193</v>
      </c>
      <c r="C902" s="9" t="str">
        <v>출고재고</v>
      </c>
      <c r="D902" s="9" t="str">
        <v/>
      </c>
      <c r="E902" s="9" t="str">
        <v>기초</v>
      </c>
      <c r="F902" s="9" t="str">
        <v/>
      </c>
      <c r="G902" s="9" t="str">
        <v/>
      </c>
      <c r="H902" s="9" t="str">
        <v>RA-08V-2672</v>
      </c>
      <c r="I902" s="11" t="str">
        <v>RA-08V-2672]BRK SCAN CEPH BOT (VW)</v>
      </c>
      <c r="J902" s="9">
        <v>17</v>
      </c>
      <c r="K902" s="9" t="str">
        <v/>
      </c>
      <c r="L902" s="9" t="str">
        <v>E1-5</v>
      </c>
      <c r="M902" s="12">
        <v>46232</v>
      </c>
      <c r="N902" s="5" t="str">
        <v/>
      </c>
      <c r="O902" s="5">
        <v>87119</v>
      </c>
      <c r="P902" s="5">
        <v>1</v>
      </c>
      <c r="Q902" s="14">
        <v>46232</v>
      </c>
      <c r="R902" s="15">
        <v>16</v>
      </c>
    </row>
    <row r="903" spans="2:18" x14ac:dyDescent="0.35">
      <c r="B903" s="9">
        <v>195</v>
      </c>
      <c r="C903" s="9" t="str">
        <v>출고재고</v>
      </c>
      <c r="D903" s="9" t="str">
        <v/>
      </c>
      <c r="E903" s="9" t="str">
        <v>기초</v>
      </c>
      <c r="F903" s="9" t="str">
        <v/>
      </c>
      <c r="G903" s="9" t="str">
        <v/>
      </c>
      <c r="H903" s="9" t="str">
        <v>RA-08V-2678</v>
      </c>
      <c r="I903" s="11" t="str">
        <v>RA-08V-2678]PLT DRUM MOUNT HEADREST (VW)</v>
      </c>
      <c r="J903" s="9">
        <v>17</v>
      </c>
      <c r="K903" s="9" t="str">
        <v/>
      </c>
      <c r="L903" s="9" t="str">
        <v>E1-5</v>
      </c>
      <c r="M903" s="12">
        <v>46232</v>
      </c>
      <c r="N903" s="5" t="str">
        <v/>
      </c>
      <c r="O903" s="5">
        <v>87119</v>
      </c>
      <c r="P903" s="5">
        <v>1</v>
      </c>
      <c r="Q903" s="14">
        <v>46232</v>
      </c>
      <c r="R903" s="15">
        <v>16</v>
      </c>
    </row>
    <row r="904" spans="2:18" x14ac:dyDescent="0.35">
      <c r="B904" s="9">
        <v>200</v>
      </c>
      <c r="C904" s="9" t="str">
        <v>출고재고</v>
      </c>
      <c r="D904" s="9" t="str">
        <v/>
      </c>
      <c r="E904" s="9" t="str">
        <v>기초</v>
      </c>
      <c r="F904" s="9" t="str">
        <v/>
      </c>
      <c r="G904" s="9" t="str">
        <v/>
      </c>
      <c r="H904" s="9" t="str">
        <v>RA-08V-2691</v>
      </c>
      <c r="I904" s="11" t="str">
        <v>RA-08V-2691]HLDR CAS CEPH SNSR BOT (VW)</v>
      </c>
      <c r="J904" s="9">
        <v>17</v>
      </c>
      <c r="K904" s="9" t="str">
        <v/>
      </c>
      <c r="L904" s="9" t="str">
        <v>E2-6</v>
      </c>
      <c r="M904" s="12">
        <v>46232</v>
      </c>
      <c r="N904" s="5" t="str">
        <v/>
      </c>
      <c r="O904" s="5">
        <v>87119</v>
      </c>
      <c r="P904" s="5">
        <v>1</v>
      </c>
      <c r="Q904" s="14">
        <v>46232</v>
      </c>
      <c r="R904" s="15">
        <v>16</v>
      </c>
    </row>
    <row r="905" spans="2:18" x14ac:dyDescent="0.35">
      <c r="B905" s="9">
        <v>185</v>
      </c>
      <c r="C905" s="9" t="str">
        <v>출고재고</v>
      </c>
      <c r="D905" s="9" t="str">
        <v/>
      </c>
      <c r="E905" s="9" t="str">
        <v>기초</v>
      </c>
      <c r="F905" s="9" t="str">
        <v/>
      </c>
      <c r="G905" s="9" t="str">
        <v/>
      </c>
      <c r="H905" s="9" t="str">
        <v>RA-08V-1872</v>
      </c>
      <c r="I905" s="11" t="str">
        <v>RA-08V-1872]BLK MOUNT OCG SNSR (VW)</v>
      </c>
      <c r="J905" s="9">
        <v>18</v>
      </c>
      <c r="K905" s="9" t="str">
        <v/>
      </c>
      <c r="L905" s="9" t="str">
        <v>E2-5</v>
      </c>
      <c r="M905" s="12">
        <v>46232</v>
      </c>
      <c r="N905" s="5" t="str">
        <v/>
      </c>
      <c r="O905" s="5">
        <v>87119</v>
      </c>
      <c r="P905" s="5">
        <v>1</v>
      </c>
      <c r="Q905" s="14">
        <v>46232</v>
      </c>
      <c r="R905" s="15">
        <v>17</v>
      </c>
    </row>
    <row r="906" spans="2:18" x14ac:dyDescent="0.35">
      <c r="B906" s="9">
        <v>199</v>
      </c>
      <c r="C906" s="9" t="str">
        <v>출고재고</v>
      </c>
      <c r="D906" s="9" t="str">
        <v/>
      </c>
      <c r="E906" s="9" t="str">
        <v>기초</v>
      </c>
      <c r="F906" s="9" t="str">
        <v/>
      </c>
      <c r="G906" s="9" t="str">
        <v/>
      </c>
      <c r="H906" s="9" t="str">
        <v>RA-08V-2688</v>
      </c>
      <c r="I906" s="11" t="str">
        <v>RA-08V-2688]SPACER WASHER HEADREST (VW)</v>
      </c>
      <c r="J906" s="9">
        <v>19</v>
      </c>
      <c r="K906" s="9" t="str">
        <v/>
      </c>
      <c r="L906" s="9" t="str">
        <v>E2-6</v>
      </c>
      <c r="M906" s="12">
        <v>46232</v>
      </c>
      <c r="N906" s="5" t="str">
        <v/>
      </c>
      <c r="O906" s="5">
        <v>87119</v>
      </c>
      <c r="P906" s="5">
        <v>1</v>
      </c>
      <c r="Q906" s="14">
        <v>46232</v>
      </c>
      <c r="R906" s="15">
        <v>18</v>
      </c>
    </row>
    <row r="907" spans="2:18" x14ac:dyDescent="0.35">
      <c r="B907" s="9">
        <v>183</v>
      </c>
      <c r="C907" s="9" t="str">
        <v>출고재고</v>
      </c>
      <c r="D907" s="9" t="str">
        <v/>
      </c>
      <c r="E907" s="9" t="str">
        <v>기초</v>
      </c>
      <c r="F907" s="9" t="str">
        <v/>
      </c>
      <c r="G907" s="9" t="str">
        <v/>
      </c>
      <c r="H907" s="9" t="str">
        <v>RA-08V-0737</v>
      </c>
      <c r="I907" s="11" t="str">
        <v>RA-08V-0737]CVR OC HEADREST BOT</v>
      </c>
      <c r="J907" s="9">
        <v>20</v>
      </c>
      <c r="K907" s="9" t="str">
        <v/>
      </c>
      <c r="L907" s="9" t="str">
        <v>F1</v>
      </c>
      <c r="M907" s="12">
        <v>46232</v>
      </c>
      <c r="N907" s="5" t="str">
        <v/>
      </c>
      <c r="O907" s="5">
        <v>87119</v>
      </c>
      <c r="P907" s="5">
        <v>1</v>
      </c>
      <c r="Q907" s="14">
        <v>46232</v>
      </c>
      <c r="R907" s="15">
        <v>19</v>
      </c>
    </row>
    <row r="908" spans="2:18" x14ac:dyDescent="0.35">
      <c r="B908" s="9">
        <v>186</v>
      </c>
      <c r="C908" s="9" t="str">
        <v>출고재고</v>
      </c>
      <c r="D908" s="9" t="str">
        <v/>
      </c>
      <c r="E908" s="9" t="str">
        <v>기초</v>
      </c>
      <c r="F908" s="9" t="str">
        <v/>
      </c>
      <c r="G908" s="9" t="str">
        <v/>
      </c>
      <c r="H908" s="9" t="str">
        <v>RA-08V-2662</v>
      </c>
      <c r="I908" s="11" t="str">
        <v>RA-08V-2662]HOOK CAS CEPH SNSR (R)</v>
      </c>
      <c r="J908" s="9">
        <v>20</v>
      </c>
      <c r="K908" s="9" t="str">
        <v/>
      </c>
      <c r="L908" s="9" t="str">
        <v>E2-5</v>
      </c>
      <c r="M908" s="12">
        <v>46232</v>
      </c>
      <c r="N908" s="5" t="str">
        <v/>
      </c>
      <c r="O908" s="5">
        <v>87119</v>
      </c>
      <c r="P908" s="5">
        <v>1</v>
      </c>
      <c r="Q908" s="14">
        <v>46232</v>
      </c>
      <c r="R908" s="15">
        <v>19</v>
      </c>
    </row>
    <row r="909" spans="2:18" x14ac:dyDescent="0.35">
      <c r="B909" s="9">
        <v>191</v>
      </c>
      <c r="C909" s="9" t="str">
        <v>출고재고</v>
      </c>
      <c r="D909" s="9" t="str">
        <v/>
      </c>
      <c r="E909" s="9" t="str">
        <v>기초</v>
      </c>
      <c r="F909" s="9" t="str">
        <v/>
      </c>
      <c r="G909" s="9" t="str">
        <v/>
      </c>
      <c r="H909" s="9" t="str">
        <v>RA-08V-2667</v>
      </c>
      <c r="I909" s="11" t="str">
        <v>RA-08V-2667]BRK EARLOD FIX B (VW)</v>
      </c>
      <c r="J909" s="9">
        <v>20</v>
      </c>
      <c r="K909" s="9" t="str">
        <v/>
      </c>
      <c r="L909" s="9" t="str">
        <v>E1-5</v>
      </c>
      <c r="M909" s="12">
        <v>46232</v>
      </c>
      <c r="N909" s="5" t="str">
        <v/>
      </c>
      <c r="O909" s="5">
        <v>87119</v>
      </c>
      <c r="P909" s="5">
        <v>1</v>
      </c>
      <c r="Q909" s="14">
        <v>46232</v>
      </c>
      <c r="R909" s="15">
        <v>19</v>
      </c>
    </row>
    <row r="910" spans="2:18" x14ac:dyDescent="0.35">
      <c r="B910" s="9">
        <v>192</v>
      </c>
      <c r="C910" s="9" t="str">
        <v>출고재고</v>
      </c>
      <c r="D910" s="9" t="str">
        <v/>
      </c>
      <c r="E910" s="9" t="str">
        <v>기초</v>
      </c>
      <c r="F910" s="9" t="str">
        <v/>
      </c>
      <c r="G910" s="9" t="str">
        <v/>
      </c>
      <c r="H910" s="9" t="str">
        <v>RA-08V-2671</v>
      </c>
      <c r="I910" s="11" t="str">
        <v>RA-08V-2671]BRK ROT CAS BRIDGE A (VW)</v>
      </c>
      <c r="J910" s="9">
        <v>20</v>
      </c>
      <c r="K910" s="9" t="str">
        <v/>
      </c>
      <c r="L910" s="9" t="str">
        <v>E1-5</v>
      </c>
      <c r="M910" s="12">
        <v>46232</v>
      </c>
      <c r="N910" s="5" t="str">
        <v/>
      </c>
      <c r="O910" s="5">
        <v>87119</v>
      </c>
      <c r="P910" s="5">
        <v>7</v>
      </c>
      <c r="Q910" s="14">
        <v>46232</v>
      </c>
      <c r="R910" s="15">
        <v>13</v>
      </c>
    </row>
    <row r="911" spans="2:18" x14ac:dyDescent="0.35">
      <c r="B911" s="9">
        <v>198</v>
      </c>
      <c r="C911" s="9" t="str">
        <v>출고재고</v>
      </c>
      <c r="D911" s="9" t="str">
        <v/>
      </c>
      <c r="E911" s="9" t="str">
        <v>기초</v>
      </c>
      <c r="F911" s="9" t="str">
        <v/>
      </c>
      <c r="G911" s="9" t="str">
        <v/>
      </c>
      <c r="H911" s="9" t="str">
        <v>RA-08V-2683</v>
      </c>
      <c r="I911" s="11" t="str">
        <v>RA-08V-2683]PLT CEPH ARM FIX (VW)</v>
      </c>
      <c r="J911" s="9">
        <v>20</v>
      </c>
      <c r="K911" s="9" t="str">
        <v/>
      </c>
      <c r="L911" s="9" t="str">
        <v>E2-6</v>
      </c>
      <c r="M911" s="12">
        <v>46232</v>
      </c>
      <c r="N911" s="5" t="str">
        <v/>
      </c>
      <c r="O911" s="5">
        <v>87119</v>
      </c>
      <c r="P911" s="5">
        <v>1</v>
      </c>
      <c r="Q911" s="14">
        <v>46232</v>
      </c>
      <c r="R911" s="15">
        <v>19</v>
      </c>
    </row>
    <row r="912" spans="2:18" x14ac:dyDescent="0.35">
      <c r="B912" s="9">
        <v>210</v>
      </c>
      <c r="C912" s="9" t="str">
        <v>출고재고</v>
      </c>
      <c r="D912" s="9" t="str">
        <v/>
      </c>
      <c r="E912" s="9" t="str">
        <v>기초</v>
      </c>
      <c r="F912" s="9" t="str">
        <v/>
      </c>
      <c r="G912" s="9" t="str">
        <v/>
      </c>
      <c r="H912" s="9" t="str">
        <v>RA-9-12</v>
      </c>
      <c r="I912" s="11" t="str">
        <v>RA-9-12]SCEPH LAN</v>
      </c>
      <c r="J912" s="9">
        <v>20</v>
      </c>
      <c r="K912" s="9" t="str">
        <v/>
      </c>
      <c r="L912" s="9" t="str">
        <v>G3-4</v>
      </c>
      <c r="M912" s="12">
        <v>46232</v>
      </c>
      <c r="N912" s="5" t="str">
        <v/>
      </c>
      <c r="O912" s="5">
        <v>87119</v>
      </c>
      <c r="P912" s="5">
        <v>1</v>
      </c>
      <c r="Q912" s="14">
        <v>46232</v>
      </c>
      <c r="R912" s="15">
        <v>19</v>
      </c>
    </row>
    <row r="913" spans="2:18" x14ac:dyDescent="0.35">
      <c r="B913" s="9">
        <v>184</v>
      </c>
      <c r="C913" s="9" t="str">
        <v>출고재고</v>
      </c>
      <c r="D913" s="9" t="str">
        <v/>
      </c>
      <c r="E913" s="9" t="str">
        <v>기초</v>
      </c>
      <c r="F913" s="9" t="str">
        <v/>
      </c>
      <c r="G913" s="9" t="str">
        <v/>
      </c>
      <c r="H913" s="9" t="str">
        <v>RA-08V-0974</v>
      </c>
      <c r="I913" s="11" t="str">
        <v>RA-08V-0974]BRK WIRE MOUNT</v>
      </c>
      <c r="J913" s="9">
        <v>21</v>
      </c>
      <c r="K913" s="9" t="str">
        <v/>
      </c>
      <c r="L913" s="9" t="str">
        <v>E1-3</v>
      </c>
      <c r="M913" s="12">
        <v>46232</v>
      </c>
      <c r="N913" s="5" t="str">
        <v/>
      </c>
      <c r="O913" s="5">
        <v>87119</v>
      </c>
      <c r="P913" s="5">
        <v>1</v>
      </c>
      <c r="Q913" s="14">
        <v>46232</v>
      </c>
      <c r="R913" s="15">
        <v>20</v>
      </c>
    </row>
    <row r="914" spans="2:18" x14ac:dyDescent="0.35">
      <c r="B914" s="9">
        <v>194</v>
      </c>
      <c r="C914" s="9" t="str">
        <v>출고재고</v>
      </c>
      <c r="D914" s="9" t="str">
        <v/>
      </c>
      <c r="E914" s="9" t="str">
        <v>기초</v>
      </c>
      <c r="F914" s="9" t="str">
        <v/>
      </c>
      <c r="G914" s="9" t="str">
        <v/>
      </c>
      <c r="H914" s="9" t="str">
        <v>RA-08V-2676</v>
      </c>
      <c r="I914" s="11" t="str">
        <v>RA-08V-2676]BRK MOUNT CEPH ARM (VW)</v>
      </c>
      <c r="J914" s="9">
        <v>22</v>
      </c>
      <c r="K914" s="9" t="str">
        <v/>
      </c>
      <c r="L914" s="9" t="str">
        <v>E1-5</v>
      </c>
      <c r="M914" s="12">
        <v>46232</v>
      </c>
      <c r="N914" s="5" t="str">
        <v/>
      </c>
      <c r="O914" s="5">
        <v>87119</v>
      </c>
      <c r="P914" s="5">
        <v>1</v>
      </c>
      <c r="Q914" s="14">
        <v>46232</v>
      </c>
      <c r="R914" s="15">
        <v>21</v>
      </c>
    </row>
    <row r="915" spans="2:18" x14ac:dyDescent="0.35">
      <c r="B915" s="9">
        <v>224</v>
      </c>
      <c r="C915" s="9" t="str">
        <v>출고재고</v>
      </c>
      <c r="D915" s="9" t="str">
        <v/>
      </c>
      <c r="E915" s="9" t="str">
        <v>기초</v>
      </c>
      <c r="F915" s="9" t="str">
        <v/>
      </c>
      <c r="G915" s="9" t="str">
        <v/>
      </c>
      <c r="H915" s="9" t="str">
        <v>RA-08T-2661</v>
      </c>
      <c r="I915" s="11" t="str">
        <v/>
      </c>
      <c r="J915" s="9">
        <v>23</v>
      </c>
      <c r="K915" s="9" t="str">
        <v/>
      </c>
      <c r="L915" s="9" t="str">
        <v>1층</v>
      </c>
      <c r="M915" s="12">
        <v>46232</v>
      </c>
      <c r="N915" s="5" t="str">
        <v/>
      </c>
      <c r="O915" s="5">
        <v>87119</v>
      </c>
      <c r="P915" s="5">
        <v>1</v>
      </c>
      <c r="Q915" s="14">
        <v>46232</v>
      </c>
      <c r="R915" s="15">
        <v>22</v>
      </c>
    </row>
    <row r="916" spans="2:18" x14ac:dyDescent="0.35">
      <c r="B916" s="9">
        <v>188</v>
      </c>
      <c r="C916" s="9" t="str">
        <v>출고재고</v>
      </c>
      <c r="D916" s="9" t="str">
        <v/>
      </c>
      <c r="E916" s="9" t="str">
        <v>기초</v>
      </c>
      <c r="F916" s="9" t="str">
        <v/>
      </c>
      <c r="G916" s="9" t="str">
        <v/>
      </c>
      <c r="H916" s="9" t="str">
        <v>RA-08V-2664</v>
      </c>
      <c r="I916" s="11" t="str">
        <v>RA-08V-2664]HLDR CAS CEPH SNSR (RL) (VW)</v>
      </c>
      <c r="J916" s="9">
        <v>24</v>
      </c>
      <c r="K916" s="9" t="str">
        <v/>
      </c>
      <c r="L916" s="9" t="str">
        <v>E2-5</v>
      </c>
      <c r="M916" s="12">
        <v>46232</v>
      </c>
      <c r="N916" s="5" t="str">
        <v/>
      </c>
      <c r="O916" s="5">
        <v>87119</v>
      </c>
      <c r="P916" s="5">
        <v>2</v>
      </c>
      <c r="Q916" s="14">
        <v>46232</v>
      </c>
      <c r="R916" s="15">
        <v>22</v>
      </c>
    </row>
    <row r="917" spans="2:18" x14ac:dyDescent="0.35">
      <c r="B917" s="9">
        <v>190</v>
      </c>
      <c r="C917" s="9" t="str">
        <v>출고재고</v>
      </c>
      <c r="D917" s="9" t="str">
        <v/>
      </c>
      <c r="E917" s="9" t="str">
        <v>기초</v>
      </c>
      <c r="F917" s="9" t="str">
        <v/>
      </c>
      <c r="G917" s="9" t="str">
        <v/>
      </c>
      <c r="H917" s="9" t="str">
        <v>RA-08V-2666</v>
      </c>
      <c r="I917" s="11" t="str">
        <v>RA-08V-2666]BRK EARLOD FIX A (VW)</v>
      </c>
      <c r="J917" s="9">
        <v>24</v>
      </c>
      <c r="K917" s="9" t="str">
        <v/>
      </c>
      <c r="L917" s="9" t="str">
        <v>E2-5</v>
      </c>
      <c r="M917" s="12">
        <v>46232</v>
      </c>
      <c r="N917" s="5" t="str">
        <v/>
      </c>
      <c r="O917" s="5">
        <v>87119</v>
      </c>
      <c r="P917" s="5">
        <v>1</v>
      </c>
      <c r="Q917" s="14">
        <v>46232</v>
      </c>
      <c r="R917" s="15">
        <v>23</v>
      </c>
    </row>
    <row r="918" spans="2:18" x14ac:dyDescent="0.35">
      <c r="B918" s="9">
        <v>180</v>
      </c>
      <c r="C918" s="9" t="str">
        <v>출고재고</v>
      </c>
      <c r="D918" s="9" t="str">
        <v/>
      </c>
      <c r="E918" s="9" t="str">
        <v>기초</v>
      </c>
      <c r="F918" s="9" t="str">
        <v/>
      </c>
      <c r="G918" s="9" t="str">
        <v/>
      </c>
      <c r="H918" s="9" t="str">
        <v>RA-08V-0604</v>
      </c>
      <c r="I918" s="11" t="str">
        <v>RA-08V-0604]STOPPER SCAN CEPH</v>
      </c>
      <c r="J918" s="9">
        <v>27</v>
      </c>
      <c r="K918" s="9" t="str">
        <v/>
      </c>
      <c r="L918" s="9" t="str">
        <v>E1-3</v>
      </c>
      <c r="M918" s="12">
        <v>46232</v>
      </c>
      <c r="N918" s="5" t="str">
        <v/>
      </c>
      <c r="O918" s="5">
        <v>87119</v>
      </c>
      <c r="P918" s="5">
        <v>1</v>
      </c>
      <c r="Q918" s="14">
        <v>46232</v>
      </c>
      <c r="R918" s="15">
        <v>26</v>
      </c>
    </row>
    <row r="919" spans="2:18" x14ac:dyDescent="0.35">
      <c r="B919" s="9">
        <v>182</v>
      </c>
      <c r="C919" s="9" t="str">
        <v>출고재고</v>
      </c>
      <c r="D919" s="9" t="str">
        <v/>
      </c>
      <c r="E919" s="9" t="str">
        <v>기초</v>
      </c>
      <c r="F919" s="9" t="str">
        <v/>
      </c>
      <c r="G919" s="9" t="str">
        <v/>
      </c>
      <c r="H919" s="9" t="str">
        <v>RA-08V-0621</v>
      </c>
      <c r="I919" s="11" t="str">
        <v>RA-08V-0621]PLT WASHER FIX</v>
      </c>
      <c r="J919" s="9">
        <v>27</v>
      </c>
      <c r="K919" s="9" t="str">
        <v/>
      </c>
      <c r="L919" s="9" t="str">
        <v>E1-3</v>
      </c>
      <c r="M919" s="12">
        <v>46232</v>
      </c>
      <c r="N919" s="5" t="str">
        <v/>
      </c>
      <c r="O919" s="5">
        <v>87119</v>
      </c>
      <c r="P919" s="5">
        <v>1</v>
      </c>
      <c r="Q919" s="14">
        <v>46232</v>
      </c>
      <c r="R919" s="15">
        <v>26</v>
      </c>
    </row>
    <row r="920" spans="2:18" x14ac:dyDescent="0.35">
      <c r="B920" s="9">
        <v>207</v>
      </c>
      <c r="C920" s="9" t="str">
        <v>출고재고</v>
      </c>
      <c r="D920" s="9" t="str">
        <v/>
      </c>
      <c r="E920" s="9" t="str">
        <v>기초</v>
      </c>
      <c r="F920" s="9" t="str">
        <v/>
      </c>
      <c r="G920" s="9" t="str">
        <v/>
      </c>
      <c r="H920" s="9" t="str">
        <v>C16-MF128ZZS</v>
      </c>
      <c r="I920" s="11" t="str">
        <v>C16-MF128ZZS]BALL B-Ring</v>
      </c>
      <c r="J920" s="9">
        <v>46</v>
      </c>
      <c r="K920" s="9" t="str">
        <v/>
      </c>
      <c r="L920" s="9" t="str">
        <v>C1-1</v>
      </c>
      <c r="M920" s="12">
        <v>46232</v>
      </c>
      <c r="N920" s="5" t="str">
        <v/>
      </c>
      <c r="O920" s="5">
        <v>87119</v>
      </c>
      <c r="P920" s="5">
        <v>1</v>
      </c>
      <c r="Q920" s="14">
        <v>46232</v>
      </c>
      <c r="R920" s="15">
        <v>45</v>
      </c>
    </row>
    <row r="921" spans="2:18" x14ac:dyDescent="0.35">
      <c r="B921" s="9">
        <v>219</v>
      </c>
      <c r="C921" s="9" t="str">
        <v>출고재고</v>
      </c>
      <c r="D921" s="9" t="str">
        <v/>
      </c>
      <c r="E921" s="9" t="str">
        <v>기초</v>
      </c>
      <c r="F921" s="9" t="str">
        <v/>
      </c>
      <c r="G921" s="9" t="str">
        <v/>
      </c>
      <c r="H921" s="9" t="str">
        <v>RA-08T-0176</v>
      </c>
      <c r="I921" s="11" t="str">
        <v/>
      </c>
      <c r="J921" s="9">
        <v>48</v>
      </c>
      <c r="K921" s="9" t="str">
        <v/>
      </c>
      <c r="L921" s="9" t="str">
        <v>1층</v>
      </c>
      <c r="M921" s="12">
        <v>46232</v>
      </c>
      <c r="N921" s="5" t="str">
        <v/>
      </c>
      <c r="O921" s="5">
        <v>87119</v>
      </c>
      <c r="P921" s="5">
        <v>1</v>
      </c>
      <c r="Q921" s="14">
        <v>46232</v>
      </c>
      <c r="R921" s="15">
        <v>47</v>
      </c>
    </row>
    <row r="922" spans="2:18" x14ac:dyDescent="0.35">
      <c r="B922" s="9">
        <v>213</v>
      </c>
      <c r="C922" s="9" t="str">
        <v>출고재고</v>
      </c>
      <c r="D922" s="9" t="str">
        <v/>
      </c>
      <c r="E922" s="9" t="str">
        <v>기초</v>
      </c>
      <c r="F922" s="9" t="str">
        <v/>
      </c>
      <c r="G922" s="9" t="str">
        <v/>
      </c>
      <c r="H922" s="9" t="str">
        <v>RA-8-17</v>
      </c>
      <c r="I922" s="11" t="str">
        <v>RA-8-17]AC POWER OC(V)</v>
      </c>
      <c r="J922" s="9">
        <v>49</v>
      </c>
      <c r="K922" s="9" t="str">
        <v/>
      </c>
      <c r="L922" s="9" t="str">
        <v>G2-3</v>
      </c>
      <c r="M922" s="12">
        <v>46232</v>
      </c>
      <c r="N922" s="5" t="str">
        <v/>
      </c>
      <c r="O922" s="5">
        <v>87119</v>
      </c>
      <c r="P922" s="5">
        <v>1</v>
      </c>
      <c r="Q922" s="14">
        <v>46232</v>
      </c>
      <c r="R922" s="15">
        <v>48</v>
      </c>
    </row>
    <row r="923" spans="2:18" x14ac:dyDescent="0.35">
      <c r="B923" s="9">
        <v>235</v>
      </c>
      <c r="C923" s="9" t="str">
        <v>출고재고</v>
      </c>
      <c r="D923" s="9" t="str">
        <v/>
      </c>
      <c r="E923" s="9" t="str">
        <v>기초</v>
      </c>
      <c r="F923" s="9" t="str">
        <v/>
      </c>
      <c r="G923" s="9" t="str">
        <v/>
      </c>
      <c r="H923" s="9" t="str">
        <v>RA-08M-1225</v>
      </c>
      <c r="I923" s="11" t="str">
        <v>RA-08M-1225]STRIPPER BOLT ROLLER</v>
      </c>
      <c r="J923" s="9">
        <v>68</v>
      </c>
      <c r="K923" s="9" t="str">
        <v/>
      </c>
      <c r="L923" s="9" t="str">
        <v>E1-1</v>
      </c>
      <c r="M923" s="12">
        <v>46232</v>
      </c>
      <c r="N923" s="5" t="str">
        <v/>
      </c>
      <c r="O923" s="5">
        <v>87119</v>
      </c>
      <c r="P923" s="5">
        <v>2</v>
      </c>
      <c r="Q923" s="14">
        <v>46232</v>
      </c>
      <c r="R923" s="15">
        <v>66</v>
      </c>
    </row>
    <row r="924" spans="2:18" x14ac:dyDescent="0.35">
      <c r="B924" s="9">
        <v>221</v>
      </c>
      <c r="C924" s="9" t="str">
        <v>출고재고</v>
      </c>
      <c r="D924" s="9" t="str">
        <v/>
      </c>
      <c r="E924" s="9" t="str">
        <v>기초</v>
      </c>
      <c r="F924" s="9" t="str">
        <v/>
      </c>
      <c r="G924" s="9" t="str">
        <v/>
      </c>
      <c r="H924" s="9" t="str">
        <v>RA-08T-0178</v>
      </c>
      <c r="I924" s="11" t="str">
        <v>RA-08T-0178]CAS CEPH SNSR BOT</v>
      </c>
      <c r="J924" s="9">
        <v>88</v>
      </c>
      <c r="K924" s="9" t="str">
        <v/>
      </c>
      <c r="L924" s="9" t="str">
        <v>V</v>
      </c>
      <c r="M924" s="12">
        <v>46232</v>
      </c>
      <c r="N924" s="5" t="str">
        <v/>
      </c>
      <c r="O924" s="5">
        <v>87119</v>
      </c>
      <c r="P924" s="5">
        <v>1</v>
      </c>
      <c r="Q924" s="14">
        <v>46232</v>
      </c>
      <c r="R924" s="15">
        <v>87</v>
      </c>
    </row>
    <row r="925" spans="2:18" x14ac:dyDescent="0.35">
      <c r="B925" s="9">
        <v>177</v>
      </c>
      <c r="C925" s="9" t="str">
        <v>출고재고</v>
      </c>
      <c r="D925" s="9" t="str">
        <v/>
      </c>
      <c r="E925" s="9" t="str">
        <v>기초</v>
      </c>
      <c r="F925" s="9" t="str">
        <v/>
      </c>
      <c r="G925" s="9" t="str">
        <v/>
      </c>
      <c r="H925" s="9" t="str">
        <v>RA-08V-0173</v>
      </c>
      <c r="I925" s="11" t="str">
        <v>RA-08V-0173]DECO CEPH ARM</v>
      </c>
      <c r="J925" s="9">
        <v>91</v>
      </c>
      <c r="K925" s="9" t="str">
        <v/>
      </c>
      <c r="L925" s="9" t="str">
        <v>E2-3</v>
      </c>
      <c r="M925" s="12">
        <v>46232</v>
      </c>
      <c r="N925" s="5" t="str">
        <v/>
      </c>
      <c r="O925" s="5">
        <v>87119</v>
      </c>
      <c r="P925" s="5">
        <v>1</v>
      </c>
      <c r="Q925" s="14">
        <v>46232</v>
      </c>
      <c r="R925" s="15">
        <v>90</v>
      </c>
    </row>
    <row r="926" spans="2:18" x14ac:dyDescent="0.35">
      <c r="B926" s="9">
        <v>176</v>
      </c>
      <c r="C926" s="9" t="str">
        <v>출고재고</v>
      </c>
      <c r="D926" s="9" t="str">
        <v/>
      </c>
      <c r="E926" s="9" t="str">
        <v>기초</v>
      </c>
      <c r="F926" s="9" t="str">
        <v/>
      </c>
      <c r="G926" s="9" t="str">
        <v/>
      </c>
      <c r="H926" s="9" t="str">
        <v>RA-08V-0170</v>
      </c>
      <c r="I926" s="11" t="str">
        <v>RA-08V-0170]CVR MOUNT CEPH ARM</v>
      </c>
      <c r="J926" s="9">
        <v>98</v>
      </c>
      <c r="K926" s="9" t="str">
        <v/>
      </c>
      <c r="L926" s="9" t="str">
        <v>E2-3</v>
      </c>
      <c r="M926" s="12">
        <v>46232</v>
      </c>
      <c r="N926" s="5" t="str">
        <v/>
      </c>
      <c r="O926" s="5">
        <v>87119</v>
      </c>
      <c r="P926" s="5">
        <v>1</v>
      </c>
      <c r="Q926" s="14">
        <v>46232</v>
      </c>
      <c r="R926" s="15">
        <v>97</v>
      </c>
    </row>
    <row r="927" spans="2:18" x14ac:dyDescent="0.35">
      <c r="B927" s="9">
        <v>179</v>
      </c>
      <c r="C927" s="9" t="str">
        <v>출고재고</v>
      </c>
      <c r="D927" s="9" t="str">
        <v/>
      </c>
      <c r="E927" s="9" t="str">
        <v>기초</v>
      </c>
      <c r="F927" s="9" t="str">
        <v/>
      </c>
      <c r="G927" s="9" t="str">
        <v/>
      </c>
      <c r="H927" s="9" t="str">
        <v>RA-08V-0361</v>
      </c>
      <c r="I927" s="11" t="str">
        <v>RA-08V-0361]HLDR CAS CEPH SNSR BACK</v>
      </c>
      <c r="J927" s="9">
        <v>98</v>
      </c>
      <c r="K927" s="9" t="str">
        <v/>
      </c>
      <c r="L927" s="9" t="str">
        <v>L2-3</v>
      </c>
      <c r="M927" s="12">
        <v>46232</v>
      </c>
      <c r="N927" s="5" t="str">
        <v/>
      </c>
      <c r="O927" s="5">
        <v>87119</v>
      </c>
      <c r="P927" s="5">
        <v>3</v>
      </c>
      <c r="Q927" s="14">
        <v>46232</v>
      </c>
      <c r="R927" s="15">
        <v>95</v>
      </c>
    </row>
    <row r="928" spans="2:18" x14ac:dyDescent="0.35">
      <c r="B928" s="9">
        <v>201</v>
      </c>
      <c r="C928" s="9" t="str">
        <v>출고재고</v>
      </c>
      <c r="D928" s="9" t="str">
        <v/>
      </c>
      <c r="E928" s="9" t="str">
        <v>기초</v>
      </c>
      <c r="F928" s="9" t="str">
        <v/>
      </c>
      <c r="G928" s="9" t="str">
        <v/>
      </c>
      <c r="H928" s="9" t="str">
        <v>RA-06V-1509</v>
      </c>
      <c r="I928" s="11" t="str">
        <v>RA-06V-1509]BRK XTRUSION PB COL OCL</v>
      </c>
      <c r="J928" s="9">
        <v>98</v>
      </c>
      <c r="K928" s="9" t="str">
        <v/>
      </c>
      <c r="L928" s="9" t="str">
        <v>H4-4</v>
      </c>
      <c r="M928" s="12">
        <v>46232</v>
      </c>
      <c r="N928" s="5" t="str">
        <v/>
      </c>
      <c r="O928" s="5">
        <v>87119</v>
      </c>
      <c r="P928" s="5">
        <v>1</v>
      </c>
      <c r="Q928" s="14">
        <v>46232</v>
      </c>
      <c r="R928" s="15">
        <v>97</v>
      </c>
    </row>
    <row r="929" spans="2:18" x14ac:dyDescent="0.35">
      <c r="B929" s="9">
        <v>181</v>
      </c>
      <c r="C929" s="9" t="str">
        <v>출고재고</v>
      </c>
      <c r="D929" s="9" t="str">
        <v/>
      </c>
      <c r="E929" s="9" t="str">
        <v>기초</v>
      </c>
      <c r="F929" s="9" t="str">
        <v/>
      </c>
      <c r="G929" s="9" t="str">
        <v/>
      </c>
      <c r="H929" s="9" t="str">
        <v>RA-08M-0620</v>
      </c>
      <c r="I929" s="11" t="str">
        <v>RA-08M-0620]PLT CEPH _4HEAD</v>
      </c>
      <c r="J929" s="9">
        <v>99</v>
      </c>
      <c r="K929" s="9" t="str">
        <v/>
      </c>
      <c r="L929" s="9" t="str">
        <v>E2-1</v>
      </c>
      <c r="M929" s="12">
        <v>46232</v>
      </c>
      <c r="N929" s="5" t="str">
        <v/>
      </c>
      <c r="O929" s="5">
        <v>87119</v>
      </c>
      <c r="P929" s="5">
        <v>1</v>
      </c>
      <c r="Q929" s="14">
        <v>46232</v>
      </c>
      <c r="R929" s="15">
        <v>98</v>
      </c>
    </row>
    <row r="930" spans="2:18" x14ac:dyDescent="0.35">
      <c r="B930" s="9">
        <v>203</v>
      </c>
      <c r="C930" s="9" t="str">
        <v>출고재고</v>
      </c>
      <c r="D930" s="9" t="str">
        <v/>
      </c>
      <c r="E930" s="9" t="str">
        <v>기초</v>
      </c>
      <c r="F930" s="9" t="str">
        <v/>
      </c>
      <c r="G930" s="9" t="str">
        <v/>
      </c>
      <c r="H930" s="9" t="str">
        <v>RA-08V-1308</v>
      </c>
      <c r="I930" s="11" t="str">
        <v>RA-08V-1308]HLDR CAS CEPH SNSR BOT (SG)</v>
      </c>
      <c r="J930" s="9">
        <v>100</v>
      </c>
      <c r="K930" s="9" t="str">
        <v/>
      </c>
      <c r="L930" s="9" t="str">
        <v>E1-4</v>
      </c>
      <c r="M930" s="12">
        <v>46232</v>
      </c>
      <c r="N930" s="5" t="str">
        <v/>
      </c>
      <c r="O930" s="5">
        <v>87119</v>
      </c>
      <c r="P930" s="5">
        <v>1</v>
      </c>
      <c r="Q930" s="14">
        <v>46232</v>
      </c>
      <c r="R930" s="15">
        <v>99</v>
      </c>
    </row>
    <row r="931" spans="2:18" x14ac:dyDescent="0.35">
      <c r="B931" s="9">
        <v>178</v>
      </c>
      <c r="C931" s="9" t="str">
        <v>출고재고</v>
      </c>
      <c r="D931" s="9" t="str">
        <v/>
      </c>
      <c r="E931" s="9" t="str">
        <v>기초</v>
      </c>
      <c r="F931" s="9" t="str">
        <v/>
      </c>
      <c r="G931" s="9" t="str">
        <v/>
      </c>
      <c r="H931" s="9" t="str">
        <v>RA-08V-0181</v>
      </c>
      <c r="I931" s="11" t="str">
        <v>RA-08V-0181]BLK CEPH ARM FIX</v>
      </c>
      <c r="J931" s="9">
        <v>102</v>
      </c>
      <c r="K931" s="9" t="str">
        <v/>
      </c>
      <c r="L931" s="9" t="str">
        <v>E2-3</v>
      </c>
      <c r="M931" s="12">
        <v>46232</v>
      </c>
      <c r="N931" s="5" t="str">
        <v/>
      </c>
      <c r="O931" s="5">
        <v>87119</v>
      </c>
      <c r="P931" s="5">
        <v>1</v>
      </c>
      <c r="Q931" s="14">
        <v>46232</v>
      </c>
      <c r="R931" s="15">
        <v>101</v>
      </c>
    </row>
    <row r="932" spans="2:18" x14ac:dyDescent="0.35">
      <c r="B932" s="9">
        <v>233</v>
      </c>
      <c r="C932" s="9" t="str">
        <v>출고재고</v>
      </c>
      <c r="D932" s="9" t="str">
        <v/>
      </c>
      <c r="E932" s="9" t="str">
        <v>기초</v>
      </c>
      <c r="F932" s="9" t="str">
        <v/>
      </c>
      <c r="G932" s="9" t="str">
        <v/>
      </c>
      <c r="H932" s="9" t="str">
        <v>RA-08M-0975</v>
      </c>
      <c r="I932" s="11" t="str">
        <v>RA-08M-0975]SHAFT ROLLER AXIS</v>
      </c>
      <c r="J932" s="9">
        <v>119</v>
      </c>
      <c r="K932" s="9" t="str">
        <v/>
      </c>
      <c r="L932" s="9" t="str">
        <v>E1-2</v>
      </c>
      <c r="M932" s="12">
        <v>46232</v>
      </c>
      <c r="N932" s="5" t="str">
        <v/>
      </c>
      <c r="O932" s="5">
        <v>87119</v>
      </c>
      <c r="P932" s="5">
        <v>2</v>
      </c>
      <c r="Q932" s="14">
        <v>46232</v>
      </c>
      <c r="R932" s="15">
        <v>117</v>
      </c>
    </row>
    <row r="933" spans="2:18" x14ac:dyDescent="0.35">
      <c r="B933" s="9">
        <v>209</v>
      </c>
      <c r="C933" s="9" t="str">
        <v>출고재고</v>
      </c>
      <c r="D933" s="9" t="str">
        <v/>
      </c>
      <c r="E933" s="9" t="str">
        <v>기초</v>
      </c>
      <c r="F933" s="9" t="str">
        <v/>
      </c>
      <c r="G933" s="9" t="str">
        <v/>
      </c>
      <c r="H933" s="9" t="str">
        <v>RA-5-2</v>
      </c>
      <c r="I933" s="11" t="str">
        <v>RA-5-2_2]EARTH CEPH</v>
      </c>
      <c r="J933" s="9">
        <v>125</v>
      </c>
      <c r="K933" s="9" t="str">
        <v/>
      </c>
      <c r="L933" s="9" t="str">
        <v>G4</v>
      </c>
      <c r="M933" s="12">
        <v>46232</v>
      </c>
      <c r="N933" s="5" t="str">
        <v/>
      </c>
      <c r="O933" s="5">
        <v>87119</v>
      </c>
      <c r="P933" s="5">
        <v>1</v>
      </c>
      <c r="Q933" s="14">
        <v>46232</v>
      </c>
      <c r="R933" s="15">
        <v>124</v>
      </c>
    </row>
    <row r="934" spans="2:18" x14ac:dyDescent="0.35">
      <c r="B934" s="9">
        <v>211</v>
      </c>
      <c r="C934" s="9" t="str">
        <v>출고재고</v>
      </c>
      <c r="D934" s="9" t="str">
        <v/>
      </c>
      <c r="E934" s="9" t="str">
        <v>기초</v>
      </c>
      <c r="F934" s="9" t="str">
        <v/>
      </c>
      <c r="G934" s="9" t="str">
        <v/>
      </c>
      <c r="H934" s="9" t="str">
        <v>RA-8-15</v>
      </c>
      <c r="I934" s="11" t="str">
        <v>RA-8-15]OCL SIGNAL(V)</v>
      </c>
      <c r="J934" s="9">
        <v>132</v>
      </c>
      <c r="K934" s="9" t="str">
        <v/>
      </c>
      <c r="L934" s="9" t="str">
        <v>G3-3</v>
      </c>
      <c r="M934" s="12">
        <v>46232</v>
      </c>
      <c r="N934" s="5" t="str">
        <v/>
      </c>
      <c r="O934" s="5">
        <v>87119</v>
      </c>
      <c r="P934" s="5">
        <v>1</v>
      </c>
      <c r="Q934" s="14">
        <v>46232</v>
      </c>
      <c r="R934" s="15">
        <v>131</v>
      </c>
    </row>
    <row r="935" spans="2:18" x14ac:dyDescent="0.35">
      <c r="B935" s="9">
        <v>232</v>
      </c>
      <c r="C935" s="9" t="str">
        <v>출고재고</v>
      </c>
      <c r="D935" s="9" t="str">
        <v/>
      </c>
      <c r="E935" s="9" t="str">
        <v>기초</v>
      </c>
      <c r="F935" s="9" t="str">
        <v/>
      </c>
      <c r="G935" s="9" t="str">
        <v/>
      </c>
      <c r="H935" s="9" t="str">
        <v>RA-08M-0738</v>
      </c>
      <c r="I935" s="11" t="str">
        <v>RA-08M-0738]BLK OC _4HEAD FIX</v>
      </c>
      <c r="J935" s="9">
        <v>177</v>
      </c>
      <c r="K935" s="9" t="str">
        <v/>
      </c>
      <c r="L935" s="9" t="str">
        <v>E1-2</v>
      </c>
      <c r="M935" s="12">
        <v>46232</v>
      </c>
      <c r="N935" s="5" t="str">
        <v/>
      </c>
      <c r="O935" s="5">
        <v>87119</v>
      </c>
      <c r="P935" s="5">
        <v>1</v>
      </c>
      <c r="Q935" s="14">
        <v>46232</v>
      </c>
      <c r="R935" s="15">
        <v>176</v>
      </c>
    </row>
    <row r="936" spans="2:18" x14ac:dyDescent="0.35">
      <c r="B936" s="9">
        <v>223</v>
      </c>
      <c r="C936" s="9" t="str">
        <v>출고재고</v>
      </c>
      <c r="D936" s="9" t="str">
        <v/>
      </c>
      <c r="E936" s="9" t="str">
        <v>기초</v>
      </c>
      <c r="F936" s="9" t="str">
        <v/>
      </c>
      <c r="G936" s="9" t="str">
        <v/>
      </c>
      <c r="H936" s="9" t="str">
        <v>RA-08T-2185</v>
      </c>
      <c r="I936" s="11" t="str">
        <v>RA-08T-2185]CAS CEPH _4HEAD</v>
      </c>
      <c r="J936" s="9">
        <v>178</v>
      </c>
      <c r="K936" s="9" t="str">
        <v/>
      </c>
      <c r="L936" s="9" t="str">
        <v>R</v>
      </c>
      <c r="M936" s="12">
        <v>46232</v>
      </c>
      <c r="N936" s="5" t="str">
        <v/>
      </c>
      <c r="O936" s="5">
        <v>87119</v>
      </c>
      <c r="P936" s="5">
        <v>1</v>
      </c>
      <c r="Q936" s="14">
        <v>46232</v>
      </c>
      <c r="R936" s="15">
        <v>177</v>
      </c>
    </row>
    <row r="937" spans="2:18" x14ac:dyDescent="0.35">
      <c r="B937" s="9">
        <v>225</v>
      </c>
      <c r="C937" s="9" t="str">
        <v>출고재고</v>
      </c>
      <c r="D937" s="9" t="str">
        <v/>
      </c>
      <c r="E937" s="9" t="str">
        <v>기초</v>
      </c>
      <c r="F937" s="9" t="str">
        <v/>
      </c>
      <c r="G937" s="9" t="str">
        <v/>
      </c>
      <c r="H937" s="9" t="str">
        <v>RA-08M-0619</v>
      </c>
      <c r="I937" s="11" t="str">
        <v>RA-08M-0619]SHAFT _4HEAD FIX</v>
      </c>
      <c r="J937" s="9">
        <v>221</v>
      </c>
      <c r="K937" s="9" t="str">
        <v/>
      </c>
      <c r="L937" s="9" t="str">
        <v>E2-1</v>
      </c>
      <c r="M937" s="12">
        <v>46232</v>
      </c>
      <c r="N937" s="5" t="str">
        <v/>
      </c>
      <c r="O937" s="5">
        <v>87119</v>
      </c>
      <c r="P937" s="5">
        <v>1</v>
      </c>
      <c r="Q937" s="14">
        <v>46232</v>
      </c>
      <c r="R937" s="15">
        <v>220</v>
      </c>
    </row>
    <row r="938" spans="2:18" x14ac:dyDescent="0.35">
      <c r="B938" s="9">
        <v>226</v>
      </c>
      <c r="C938" s="9" t="str">
        <v>출고재고</v>
      </c>
      <c r="D938" s="9" t="str">
        <v/>
      </c>
      <c r="E938" s="9" t="str">
        <v>기초</v>
      </c>
      <c r="F938" s="9" t="str">
        <v/>
      </c>
      <c r="G938" s="9" t="str">
        <v/>
      </c>
      <c r="H938" s="9" t="str">
        <v>RA-08M-0622</v>
      </c>
      <c r="I938" s="11" t="str">
        <v>RA-08M-0622]WASHER SCAN CEPH</v>
      </c>
      <c r="J938" s="9">
        <v>232</v>
      </c>
      <c r="K938" s="9" t="str">
        <v/>
      </c>
      <c r="L938" s="9" t="str">
        <v>E2-1</v>
      </c>
      <c r="M938" s="12">
        <v>46232</v>
      </c>
      <c r="N938" s="5" t="str">
        <v/>
      </c>
      <c r="O938" s="5">
        <v>87119</v>
      </c>
      <c r="P938" s="5">
        <v>2</v>
      </c>
      <c r="Q938" s="14">
        <v>46232</v>
      </c>
      <c r="R938" s="15">
        <v>230</v>
      </c>
    </row>
    <row r="939" spans="2:18" x14ac:dyDescent="0.35">
      <c r="B939" s="9">
        <v>212</v>
      </c>
      <c r="C939" s="9" t="str">
        <v>출고재고</v>
      </c>
      <c r="D939" s="9" t="str">
        <v/>
      </c>
      <c r="E939" s="9" t="str">
        <v>기초</v>
      </c>
      <c r="F939" s="9" t="str">
        <v/>
      </c>
      <c r="G939" s="9" t="str">
        <v/>
      </c>
      <c r="H939" s="9" t="str">
        <v>RA-8-16</v>
      </c>
      <c r="I939" s="11" t="str">
        <v>RA-8-16]OCL INTERFACE(V)</v>
      </c>
      <c r="J939" s="9">
        <v>233</v>
      </c>
      <c r="K939" s="9" t="str">
        <v/>
      </c>
      <c r="L939" s="9" t="str">
        <v>G2-3</v>
      </c>
      <c r="M939" s="12">
        <v>46232</v>
      </c>
      <c r="N939" s="5" t="str">
        <v/>
      </c>
      <c r="O939" s="5">
        <v>87119</v>
      </c>
      <c r="P939" s="5">
        <v>1</v>
      </c>
      <c r="Q939" s="14">
        <v>46232</v>
      </c>
      <c r="R939" s="15">
        <v>232</v>
      </c>
    </row>
    <row r="940" spans="2:18" x14ac:dyDescent="0.35">
      <c r="B940" s="9">
        <v>234</v>
      </c>
      <c r="C940" s="9" t="str">
        <v>출고재고</v>
      </c>
      <c r="D940" s="9" t="str">
        <v/>
      </c>
      <c r="E940" s="9" t="str">
        <v>기초</v>
      </c>
      <c r="F940" s="9" t="str">
        <v/>
      </c>
      <c r="G940" s="9" t="str">
        <v/>
      </c>
      <c r="H940" s="9" t="str">
        <v>RA-08M-0976</v>
      </c>
      <c r="I940" s="11" t="str">
        <v>RA-08M-0976]CEPH SCALE BAR</v>
      </c>
      <c r="J940" s="9">
        <v>248</v>
      </c>
      <c r="K940" s="9" t="str">
        <v/>
      </c>
      <c r="L940" s="9" t="str">
        <v>E1-1</v>
      </c>
      <c r="M940" s="12">
        <v>46232</v>
      </c>
      <c r="N940" s="5" t="str">
        <v/>
      </c>
      <c r="O940" s="5">
        <v>87119</v>
      </c>
      <c r="P940" s="5">
        <v>1</v>
      </c>
      <c r="Q940" s="14">
        <v>46232</v>
      </c>
      <c r="R940" s="15">
        <v>247</v>
      </c>
    </row>
    <row r="941" spans="2:18" x14ac:dyDescent="0.35">
      <c r="B941" s="9">
        <v>228</v>
      </c>
      <c r="C941" s="9" t="str">
        <v>출고재고</v>
      </c>
      <c r="D941" s="9" t="str">
        <v/>
      </c>
      <c r="E941" s="9" t="str">
        <v>기초</v>
      </c>
      <c r="F941" s="9" t="str">
        <v/>
      </c>
      <c r="G941" s="9" t="str">
        <v/>
      </c>
      <c r="H941" s="9" t="str">
        <v>RA-08M-0624</v>
      </c>
      <c r="I941" s="11" t="str">
        <v>RA-08M-0624]BLK CEPH _4HEAD</v>
      </c>
      <c r="J941" s="9">
        <v>300</v>
      </c>
      <c r="K941" s="9" t="str">
        <v/>
      </c>
      <c r="L941" s="9" t="str">
        <v>E2-1</v>
      </c>
      <c r="M941" s="12">
        <v>46232</v>
      </c>
      <c r="N941" s="5" t="str">
        <v/>
      </c>
      <c r="O941" s="5">
        <v>87119</v>
      </c>
      <c r="P941" s="5">
        <v>1</v>
      </c>
      <c r="Q941" s="14">
        <v>46232</v>
      </c>
      <c r="R941" s="15">
        <v>299</v>
      </c>
    </row>
    <row r="942" spans="2:18" x14ac:dyDescent="0.35">
      <c r="B942" s="9">
        <v>218</v>
      </c>
      <c r="C942" s="9" t="str">
        <v>출고재고</v>
      </c>
      <c r="D942" s="9" t="str">
        <v/>
      </c>
      <c r="E942" s="9" t="str">
        <v>기초</v>
      </c>
      <c r="F942" s="9" t="str">
        <v/>
      </c>
      <c r="G942" s="9" t="str">
        <v/>
      </c>
      <c r="H942" s="9" t="str">
        <v>RA-08T-0632</v>
      </c>
      <c r="I942" s="11" t="str">
        <v>RA-08T-0632]CAS CEPH _4HEAD BAR</v>
      </c>
      <c r="J942" s="9">
        <v>308</v>
      </c>
      <c r="K942" s="9" t="str">
        <v/>
      </c>
      <c r="L942" s="9" t="str">
        <v>S</v>
      </c>
      <c r="M942" s="12">
        <v>46232</v>
      </c>
      <c r="N942" s="5" t="str">
        <v/>
      </c>
      <c r="O942" s="5">
        <v>87119</v>
      </c>
      <c r="P942" s="5">
        <v>1</v>
      </c>
      <c r="Q942" s="14">
        <v>46232</v>
      </c>
      <c r="R942" s="15">
        <v>307</v>
      </c>
    </row>
    <row r="943" spans="2:18" x14ac:dyDescent="0.35">
      <c r="B943" s="9">
        <v>222</v>
      </c>
      <c r="C943" s="9" t="str">
        <v>출고재고</v>
      </c>
      <c r="D943" s="9" t="str">
        <v/>
      </c>
      <c r="E943" s="9" t="str">
        <v>기초</v>
      </c>
      <c r="F943" s="9" t="str">
        <v/>
      </c>
      <c r="G943" s="9" t="str">
        <v/>
      </c>
      <c r="H943" s="9" t="str">
        <v>RA-08T-1466</v>
      </c>
      <c r="I943" s="11" t="str">
        <v>RA-08T-1466]CAS CEPH EAR-ROD</v>
      </c>
      <c r="J943" s="9">
        <v>335</v>
      </c>
      <c r="K943" s="9" t="str">
        <v/>
      </c>
      <c r="L943" s="9" t="str">
        <v>S</v>
      </c>
      <c r="M943" s="12">
        <v>46232</v>
      </c>
      <c r="N943" s="5" t="str">
        <v/>
      </c>
      <c r="O943" s="5">
        <v>87119</v>
      </c>
      <c r="P943" s="5">
        <v>2</v>
      </c>
      <c r="Q943" s="14">
        <v>46232</v>
      </c>
      <c r="R943" s="15">
        <v>333</v>
      </c>
    </row>
    <row r="944" spans="2:18" x14ac:dyDescent="0.35">
      <c r="B944" s="9">
        <v>205</v>
      </c>
      <c r="C944" s="9" t="str">
        <v>출고재고</v>
      </c>
      <c r="D944" s="9" t="str">
        <v/>
      </c>
      <c r="E944" s="9" t="str">
        <v>기초</v>
      </c>
      <c r="F944" s="9" t="str">
        <v/>
      </c>
      <c r="G944" s="9" t="str">
        <v/>
      </c>
      <c r="H944" s="9" t="str">
        <v>RA-04S-0977</v>
      </c>
      <c r="I944" s="11" t="str">
        <v>RA-04S-0977]SPRING CEPH AND ARM</v>
      </c>
      <c r="J944" s="9">
        <v>400</v>
      </c>
      <c r="K944" s="9" t="str">
        <v/>
      </c>
      <c r="L944" s="9" t="str">
        <v>B2-2</v>
      </c>
      <c r="M944" s="12">
        <v>46232</v>
      </c>
      <c r="N944" s="5" t="str">
        <v/>
      </c>
      <c r="O944" s="5">
        <v>87119</v>
      </c>
      <c r="P944" s="5">
        <v>1</v>
      </c>
      <c r="Q944" s="14">
        <v>46232</v>
      </c>
      <c r="R944" s="15">
        <v>399</v>
      </c>
    </row>
    <row r="945" spans="2:18" x14ac:dyDescent="0.35">
      <c r="B945" s="9">
        <v>208</v>
      </c>
      <c r="C945" s="9" t="str">
        <v>출고재고</v>
      </c>
      <c r="D945" s="9" t="str">
        <v/>
      </c>
      <c r="E945" s="9" t="str">
        <v>기초</v>
      </c>
      <c r="F945" s="9" t="str">
        <v/>
      </c>
      <c r="G945" s="9" t="str">
        <v/>
      </c>
      <c r="H945" s="9" t="str">
        <v>RA-3-3B</v>
      </c>
      <c r="I945" s="11" t="str">
        <v>RA-3-3B]DCM CONTROL-B</v>
      </c>
      <c r="J945" s="9">
        <v>583</v>
      </c>
      <c r="K945" s="9" t="str">
        <v/>
      </c>
      <c r="L945" s="9" t="str">
        <v>G2-1</v>
      </c>
      <c r="M945" s="12">
        <v>46232</v>
      </c>
      <c r="N945" s="5" t="str">
        <v/>
      </c>
      <c r="O945" s="5">
        <v>87119</v>
      </c>
      <c r="P945" s="5">
        <v>1</v>
      </c>
      <c r="Q945" s="14">
        <v>46232</v>
      </c>
      <c r="R945" s="15">
        <v>582</v>
      </c>
    </row>
    <row r="946" spans="2:18" x14ac:dyDescent="0.35">
      <c r="B946" s="9">
        <v>231</v>
      </c>
      <c r="C946" s="9" t="str">
        <v>출고재고</v>
      </c>
      <c r="D946" s="9" t="str">
        <v/>
      </c>
      <c r="E946" s="9" t="str">
        <v>기초</v>
      </c>
      <c r="F946" s="9" t="str">
        <v/>
      </c>
      <c r="G946" s="9" t="str">
        <v/>
      </c>
      <c r="H946" s="9" t="str">
        <v>RA-08M-0708</v>
      </c>
      <c r="I946" s="11" t="str">
        <v>RA-08M-0708]RING EARLOD</v>
      </c>
      <c r="J946" s="9">
        <v>597</v>
      </c>
      <c r="K946" s="9" t="str">
        <v/>
      </c>
      <c r="L946" s="9" t="str">
        <v>E1-1</v>
      </c>
      <c r="M946" s="12">
        <v>46232</v>
      </c>
      <c r="N946" s="5" t="str">
        <v/>
      </c>
      <c r="O946" s="5">
        <v>87119</v>
      </c>
      <c r="P946" s="5">
        <v>1</v>
      </c>
      <c r="Q946" s="14">
        <v>46232</v>
      </c>
      <c r="R946" s="15">
        <v>596</v>
      </c>
    </row>
    <row r="947" spans="2:18" x14ac:dyDescent="0.35">
      <c r="B947" s="9">
        <v>230</v>
      </c>
      <c r="C947" s="9" t="str">
        <v>출고재고</v>
      </c>
      <c r="D947" s="9" t="str">
        <v/>
      </c>
      <c r="E947" s="9" t="str">
        <v>기초</v>
      </c>
      <c r="F947" s="9" t="str">
        <v/>
      </c>
      <c r="G947" s="9" t="str">
        <v/>
      </c>
      <c r="H947" s="9" t="str">
        <v>RA-08M-0707</v>
      </c>
      <c r="I947" s="11" t="str">
        <v>RA-08M-0707]CAP EARLOD</v>
      </c>
      <c r="J947" s="9">
        <v>713</v>
      </c>
      <c r="K947" s="9" t="str">
        <v/>
      </c>
      <c r="L947" s="9" t="str">
        <v>E1-1</v>
      </c>
      <c r="M947" s="12">
        <v>46232</v>
      </c>
      <c r="N947" s="5" t="str">
        <v/>
      </c>
      <c r="O947" s="5">
        <v>87119</v>
      </c>
      <c r="P947" s="5">
        <v>1</v>
      </c>
      <c r="Q947" s="14">
        <v>46232</v>
      </c>
      <c r="R947" s="15">
        <v>712</v>
      </c>
    </row>
    <row r="948" spans="2:18" x14ac:dyDescent="0.35">
      <c r="B948" s="9">
        <v>206</v>
      </c>
      <c r="C948" s="9" t="str">
        <v>출고재고</v>
      </c>
      <c r="D948" s="9" t="str">
        <v/>
      </c>
      <c r="E948" s="9" t="str">
        <v>기초</v>
      </c>
      <c r="F948" s="9" t="str">
        <v/>
      </c>
      <c r="G948" s="9" t="str">
        <v/>
      </c>
      <c r="H948" s="9" t="str">
        <v>C16-626ZZ</v>
      </c>
      <c r="I948" s="11" t="str">
        <v>C16-626ZZ]BALL B-Ring</v>
      </c>
      <c r="J948" s="9">
        <v>982</v>
      </c>
      <c r="K948" s="9" t="str">
        <v/>
      </c>
      <c r="L948" s="9" t="str">
        <v>C1-1</v>
      </c>
      <c r="M948" s="12">
        <v>46232</v>
      </c>
      <c r="N948" s="5" t="str">
        <v/>
      </c>
      <c r="O948" s="5">
        <v>87119</v>
      </c>
      <c r="P948" s="5">
        <v>1</v>
      </c>
      <c r="Q948" s="14">
        <v>46232</v>
      </c>
      <c r="R948" s="15">
        <v>981</v>
      </c>
    </row>
    <row r="949" spans="2:18" x14ac:dyDescent="0.35">
      <c r="B949" s="9">
        <v>229</v>
      </c>
      <c r="C949" s="9" t="str">
        <v>출고재고</v>
      </c>
      <c r="D949" s="9" t="str">
        <v/>
      </c>
      <c r="E949" s="9" t="str">
        <v>기초</v>
      </c>
      <c r="F949" s="9" t="str">
        <v/>
      </c>
      <c r="G949" s="9" t="str">
        <v/>
      </c>
      <c r="H949" s="9" t="str">
        <v>RA-08M-0625</v>
      </c>
      <c r="I949" s="11" t="str">
        <v>RA-08M-0625]_4M CEPH _4HEAD</v>
      </c>
      <c r="J949" s="9">
        <v>1018</v>
      </c>
      <c r="K949" s="9" t="str">
        <v/>
      </c>
      <c r="L949" s="9" t="str">
        <v>E2-1</v>
      </c>
      <c r="M949" s="12">
        <v>46232</v>
      </c>
      <c r="N949" s="5" t="str">
        <v/>
      </c>
      <c r="O949" s="5">
        <v>87119</v>
      </c>
      <c r="P949" s="5">
        <v>1</v>
      </c>
      <c r="Q949" s="14">
        <v>46232</v>
      </c>
      <c r="R949" s="15">
        <v>1017</v>
      </c>
    </row>
    <row r="950" spans="2:18" x14ac:dyDescent="0.35">
      <c r="B950" s="9">
        <v>2314</v>
      </c>
      <c r="C950" s="9" t="str">
        <v>출고재고</v>
      </c>
      <c r="D950" s="9" t="str">
        <v/>
      </c>
      <c r="E950" s="9" t="str">
        <v/>
      </c>
      <c r="F950" s="9" t="str">
        <v/>
      </c>
      <c r="G950" s="9" t="str">
        <v/>
      </c>
      <c r="H950" s="9" t="str">
        <v>RE-05B-5101</v>
      </c>
      <c r="I950" s="11" t="str">
        <v>RE-05B-5101]eSUB Bd</v>
      </c>
      <c r="J950" s="9">
        <v>10</v>
      </c>
      <c r="K950" s="9" t="str">
        <v/>
      </c>
      <c r="L950" s="9" t="str">
        <v>K6-4</v>
      </c>
      <c r="M950" s="12">
        <v>46302</v>
      </c>
      <c r="N950" s="5" t="str">
        <v/>
      </c>
      <c r="O950" s="5">
        <v>87808</v>
      </c>
      <c r="P950" s="5">
        <v>8</v>
      </c>
      <c r="Q950" s="14">
        <v>46296</v>
      </c>
      <c r="R950" s="15">
        <v>2</v>
      </c>
    </row>
    <row r="951" spans="2:18" x14ac:dyDescent="0.35">
      <c r="B951" s="9">
        <v>89</v>
      </c>
      <c r="C951" s="9" t="str">
        <v>출고재고</v>
      </c>
      <c r="D951" s="9" t="str">
        <v/>
      </c>
      <c r="E951" s="9" t="str">
        <v/>
      </c>
      <c r="F951" s="9" t="str">
        <v/>
      </c>
      <c r="G951" s="9" t="str">
        <v/>
      </c>
      <c r="H951" s="9" t="str">
        <v>RF-01B-5036</v>
      </c>
      <c r="I951" s="11" t="str">
        <v>RF-01B-5036] LED CENTER BOARD</v>
      </c>
      <c r="J951" s="9">
        <v>417</v>
      </c>
      <c r="K951" s="9" t="str">
        <v/>
      </c>
      <c r="L951" s="9" t="str">
        <v>A16</v>
      </c>
      <c r="M951" s="12">
        <v>46224</v>
      </c>
      <c r="N951" s="5" t="str">
        <v/>
      </c>
      <c r="O951" s="5">
        <v>87813</v>
      </c>
      <c r="P951" s="5">
        <v>5</v>
      </c>
      <c r="Q951" s="14">
        <v>46234</v>
      </c>
      <c r="R951" s="15">
        <v>412</v>
      </c>
    </row>
    <row r="952" spans="2:18" x14ac:dyDescent="0.35">
      <c r="B952" s="9">
        <v>270</v>
      </c>
      <c r="C952" s="9" t="str">
        <v>출고재고</v>
      </c>
      <c r="D952" s="9" t="str">
        <v/>
      </c>
      <c r="E952" s="9" t="str">
        <v/>
      </c>
      <c r="F952" s="9" t="str">
        <v/>
      </c>
      <c r="G952" s="9" t="str">
        <v/>
      </c>
      <c r="H952" s="9" t="str">
        <v>RA-9-12</v>
      </c>
      <c r="I952" s="11" t="str">
        <v>RA-9-12]SCEPH LAN</v>
      </c>
      <c r="J952" s="9">
        <v>19</v>
      </c>
      <c r="K952" s="9" t="str">
        <v/>
      </c>
      <c r="L952" s="9" t="str">
        <v>G3-4</v>
      </c>
      <c r="M952" s="12">
        <v>46232</v>
      </c>
      <c r="N952" s="5" t="str">
        <v/>
      </c>
      <c r="O952" s="5">
        <v>89084</v>
      </c>
      <c r="P952" s="5">
        <v>10</v>
      </c>
      <c r="Q952" s="14">
        <v>46238</v>
      </c>
      <c r="R952" s="15">
        <v>9</v>
      </c>
    </row>
    <row r="953" spans="2:18" x14ac:dyDescent="0.35">
      <c r="B953" s="9">
        <v>731</v>
      </c>
      <c r="C953" s="9" t="str">
        <v>출고재고</v>
      </c>
      <c r="D953" s="9" t="str">
        <v/>
      </c>
      <c r="E953" s="9" t="str">
        <v>입고</v>
      </c>
      <c r="F953" s="9" t="str">
        <v/>
      </c>
      <c r="G953" s="9" t="str">
        <v/>
      </c>
      <c r="H953" s="9" t="str">
        <v>RA-9-12</v>
      </c>
      <c r="I953" s="11" t="str">
        <v>RA-9-12]SCEPH LAN</v>
      </c>
      <c r="J953" s="9">
        <v>150</v>
      </c>
      <c r="K953" s="9" t="str">
        <v/>
      </c>
      <c r="L953" s="9" t="str">
        <v>G3-4</v>
      </c>
      <c r="M953" s="12">
        <v>46240</v>
      </c>
      <c r="N953" s="5" t="str">
        <v/>
      </c>
      <c r="O953" s="5">
        <v>89084</v>
      </c>
      <c r="P953" s="5">
        <v>20</v>
      </c>
      <c r="Q953" s="14">
        <v>46240</v>
      </c>
      <c r="R953" s="15">
        <v>130</v>
      </c>
    </row>
    <row r="954" spans="2:18" x14ac:dyDescent="0.35">
      <c r="B954" s="9">
        <v>138</v>
      </c>
      <c r="C954" s="9" t="str">
        <v>출고재고</v>
      </c>
      <c r="D954" s="9" t="str">
        <v/>
      </c>
      <c r="E954" s="9" t="str">
        <v/>
      </c>
      <c r="F954" s="9" t="str">
        <v/>
      </c>
      <c r="G954" s="9" t="str">
        <v/>
      </c>
      <c r="H954" s="9" t="str">
        <v>RF-01T-0354</v>
      </c>
      <c r="I954" s="11" t="str">
        <v>RF-01T-0354]CAMERA CASE L</v>
      </c>
      <c r="J954" s="9">
        <v>4</v>
      </c>
      <c r="K954" s="9" t="str">
        <v/>
      </c>
      <c r="L954" s="9" t="str">
        <v>3E9</v>
      </c>
      <c r="M954" s="12">
        <v>46224</v>
      </c>
      <c r="N954" s="5" t="str">
        <v/>
      </c>
      <c r="O954" s="5">
        <v>90249</v>
      </c>
      <c r="P954" s="5">
        <v>4</v>
      </c>
      <c r="Q954" s="14">
        <v>46253</v>
      </c>
      <c r="R954" s="15">
        <v>0</v>
      </c>
    </row>
    <row r="955" spans="2:18" x14ac:dyDescent="0.35">
      <c r="B955" s="9">
        <v>147</v>
      </c>
      <c r="C955" s="9" t="str">
        <v>출고재고</v>
      </c>
      <c r="D955" s="9" t="str">
        <v/>
      </c>
      <c r="E955" s="9" t="str">
        <v/>
      </c>
      <c r="F955" s="9" t="str">
        <v/>
      </c>
      <c r="G955" s="9" t="str">
        <v/>
      </c>
      <c r="H955" s="9" t="str">
        <v>RF-01B-5073</v>
      </c>
      <c r="I955" s="11" t="str">
        <v>RF-01B-5073]DMD FPC Cable</v>
      </c>
      <c r="J955" s="9">
        <v>4</v>
      </c>
      <c r="K955" s="9" t="str">
        <v/>
      </c>
      <c r="L955" s="9" t="str">
        <v>A5-3</v>
      </c>
      <c r="M955" s="12">
        <v>46226</v>
      </c>
      <c r="N955" s="5" t="str">
        <v/>
      </c>
      <c r="O955" s="5">
        <v>90249</v>
      </c>
      <c r="P955" s="5">
        <v>4</v>
      </c>
      <c r="Q955" s="14">
        <v>46253</v>
      </c>
      <c r="R955" s="15">
        <v>0</v>
      </c>
    </row>
    <row r="956" spans="2:18" x14ac:dyDescent="0.35">
      <c r="B956" s="9">
        <v>125</v>
      </c>
      <c r="C956" s="9" t="str">
        <v>출고재고</v>
      </c>
      <c r="D956" s="9" t="str">
        <v/>
      </c>
      <c r="E956" s="9" t="str">
        <v/>
      </c>
      <c r="F956" s="9" t="str">
        <v/>
      </c>
      <c r="G956" s="9" t="str">
        <v/>
      </c>
      <c r="H956" s="9" t="str">
        <v>RF-01T-0355</v>
      </c>
      <c r="I956" s="11" t="str">
        <v>RF-01T-0355]CAMERA CASE R</v>
      </c>
      <c r="J956" s="9">
        <v>13</v>
      </c>
      <c r="K956" s="9" t="str">
        <v/>
      </c>
      <c r="L956" s="9" t="str">
        <v>3E9</v>
      </c>
      <c r="M956" s="12">
        <v>46224</v>
      </c>
      <c r="N956" s="5" t="str">
        <v/>
      </c>
      <c r="O956" s="5">
        <v>90249</v>
      </c>
      <c r="P956" s="5">
        <v>3</v>
      </c>
      <c r="Q956" s="14">
        <v>46253</v>
      </c>
      <c r="R956" s="15">
        <v>10</v>
      </c>
    </row>
    <row r="957" spans="2:18" x14ac:dyDescent="0.35">
      <c r="B957" s="9">
        <v>363</v>
      </c>
      <c r="C957" s="9" t="str">
        <v>출고재고</v>
      </c>
      <c r="D957" s="9" t="str">
        <v/>
      </c>
      <c r="E957" s="9" t="str">
        <v>입고</v>
      </c>
      <c r="F957" s="9" t="str">
        <v/>
      </c>
      <c r="G957" s="9" t="str">
        <v/>
      </c>
      <c r="H957" s="9" t="str">
        <v>RF-20A-0383</v>
      </c>
      <c r="I957" s="11" t="str">
        <v/>
      </c>
      <c r="J957" s="9">
        <v>14</v>
      </c>
      <c r="K957" s="9" t="str">
        <v/>
      </c>
      <c r="L957" s="9" t="str">
        <v>3L1-3</v>
      </c>
      <c r="M957" s="12">
        <v>46233</v>
      </c>
      <c r="N957" s="5" t="str">
        <v/>
      </c>
      <c r="O957" s="5">
        <v>90249</v>
      </c>
      <c r="P957" s="5">
        <v>3</v>
      </c>
      <c r="Q957" s="14">
        <v>46253</v>
      </c>
      <c r="R957" s="15">
        <v>11</v>
      </c>
    </row>
    <row r="958" spans="2:18" x14ac:dyDescent="0.35">
      <c r="B958" s="9">
        <v>503</v>
      </c>
      <c r="C958" s="9" t="str">
        <v>출고재고</v>
      </c>
      <c r="D958" s="9" t="str">
        <v/>
      </c>
      <c r="E958" s="9" t="str">
        <v>입고</v>
      </c>
      <c r="F958" s="9" t="str">
        <v>A&amp;T</v>
      </c>
      <c r="G958" s="9" t="str">
        <v>조영우</v>
      </c>
      <c r="H958" s="9" t="str">
        <v>RF-20A-0382</v>
      </c>
      <c r="I958" s="11" t="str">
        <v/>
      </c>
      <c r="J958" s="9">
        <v>18</v>
      </c>
      <c r="K958" s="9" t="str">
        <v/>
      </c>
      <c r="L958" s="9" t="str">
        <v>3C6</v>
      </c>
      <c r="M958" s="12">
        <v>46261</v>
      </c>
      <c r="N958" s="5" t="str">
        <v/>
      </c>
      <c r="O958" s="5">
        <v>90249</v>
      </c>
      <c r="P958" s="5">
        <v>4</v>
      </c>
      <c r="Q958" s="14">
        <v>46268</v>
      </c>
      <c r="R958" s="15">
        <v>14</v>
      </c>
    </row>
    <row r="959" spans="2:18" x14ac:dyDescent="0.35">
      <c r="B959" s="9">
        <v>107</v>
      </c>
      <c r="C959" s="9" t="str">
        <v>출고재고</v>
      </c>
      <c r="D959" s="9" t="str">
        <v/>
      </c>
      <c r="E959" s="9" t="str">
        <v/>
      </c>
      <c r="F959" s="9" t="str">
        <v/>
      </c>
      <c r="G959" s="9" t="str">
        <v/>
      </c>
      <c r="H959" s="9" t="str">
        <v>RF-01S-5046</v>
      </c>
      <c r="I959" s="11" t="str">
        <v>RF-01S-5046]DLP ENGINE</v>
      </c>
      <c r="J959" s="9">
        <v>26</v>
      </c>
      <c r="K959" s="9" t="str">
        <v/>
      </c>
      <c r="L959" s="9" t="str">
        <v>3C7</v>
      </c>
      <c r="M959" s="12">
        <v>46224</v>
      </c>
      <c r="N959" s="5" t="str">
        <v/>
      </c>
      <c r="O959" s="5">
        <v>90249</v>
      </c>
      <c r="P959" s="5">
        <v>2</v>
      </c>
      <c r="Q959" s="14">
        <v>46253</v>
      </c>
      <c r="R959" s="15">
        <v>24</v>
      </c>
    </row>
    <row r="960" spans="2:18" x14ac:dyDescent="0.35">
      <c r="B960" s="9">
        <v>127</v>
      </c>
      <c r="C960" s="9" t="str">
        <v>출고재고</v>
      </c>
      <c r="D960" s="9" t="str">
        <v/>
      </c>
      <c r="E960" s="9" t="str">
        <v/>
      </c>
      <c r="F960" s="9" t="str">
        <v/>
      </c>
      <c r="G960" s="9" t="str">
        <v/>
      </c>
      <c r="H960" s="9" t="str">
        <v>RF-01T-0171</v>
      </c>
      <c r="I960" s="11" t="str">
        <v>RF-01T-0171]ARM CVR REAR R</v>
      </c>
      <c r="J960" s="9">
        <v>33</v>
      </c>
      <c r="K960" s="9" t="str">
        <v/>
      </c>
      <c r="L960" s="9" t="str">
        <v>3B4</v>
      </c>
      <c r="M960" s="12">
        <v>46224</v>
      </c>
      <c r="N960" s="5" t="str">
        <v/>
      </c>
      <c r="O960" s="5">
        <v>90249</v>
      </c>
      <c r="P960" s="5">
        <v>8</v>
      </c>
      <c r="Q960" s="14">
        <v>46253</v>
      </c>
      <c r="R960" s="15">
        <v>25</v>
      </c>
    </row>
    <row r="961" spans="2:18" x14ac:dyDescent="0.35">
      <c r="B961" s="9">
        <v>113</v>
      </c>
      <c r="C961" s="9" t="str">
        <v>출고재고</v>
      </c>
      <c r="D961" s="9" t="str">
        <v/>
      </c>
      <c r="E961" s="9" t="str">
        <v/>
      </c>
      <c r="F961" s="9" t="str">
        <v/>
      </c>
      <c r="G961" s="9" t="str">
        <v/>
      </c>
      <c r="H961" s="9" t="str">
        <v>RF-01M-0396</v>
      </c>
      <c r="I961" s="11" t="str">
        <v>RF-01M-0396]FRAME PIPE ALIGN</v>
      </c>
      <c r="J961" s="9">
        <v>49</v>
      </c>
      <c r="K961" s="9" t="str">
        <v/>
      </c>
      <c r="L961" s="9" t="str">
        <v>3C10</v>
      </c>
      <c r="M961" s="12">
        <v>46224</v>
      </c>
      <c r="N961" s="5" t="str">
        <v/>
      </c>
      <c r="O961" s="5">
        <v>90249</v>
      </c>
      <c r="P961" s="5">
        <v>2</v>
      </c>
      <c r="Q961" s="14">
        <v>46253</v>
      </c>
      <c r="R961" s="15">
        <v>47</v>
      </c>
    </row>
    <row r="962" spans="2:18" x14ac:dyDescent="0.35">
      <c r="B962" s="9">
        <v>378</v>
      </c>
      <c r="C962" s="9" t="str">
        <v>출고재고</v>
      </c>
      <c r="D962" s="9" t="str">
        <v/>
      </c>
      <c r="E962" s="9" t="str">
        <v/>
      </c>
      <c r="F962" s="9" t="str">
        <v/>
      </c>
      <c r="G962" s="9" t="str">
        <v/>
      </c>
      <c r="H962" s="9" t="str">
        <v>RF-01T-0173</v>
      </c>
      <c r="I962" s="11" t="str">
        <v>RF-01T-0173]ARM CVR REAR DECO</v>
      </c>
      <c r="J962" s="9">
        <v>51</v>
      </c>
      <c r="K962" s="9" t="str">
        <v/>
      </c>
      <c r="L962" s="9" t="str">
        <v>3B8</v>
      </c>
      <c r="M962" s="12">
        <v>46225</v>
      </c>
      <c r="N962" s="5" t="str">
        <v/>
      </c>
      <c r="O962" s="5">
        <v>90249</v>
      </c>
      <c r="P962" s="5">
        <v>2</v>
      </c>
      <c r="Q962" s="14">
        <v>46253</v>
      </c>
      <c r="R962" s="15">
        <v>49</v>
      </c>
    </row>
    <row r="963" spans="2:18" x14ac:dyDescent="0.35">
      <c r="B963" s="9">
        <v>133</v>
      </c>
      <c r="C963" s="9" t="str">
        <v>출고재고</v>
      </c>
      <c r="D963" s="9" t="str">
        <v/>
      </c>
      <c r="E963" s="9" t="str">
        <v/>
      </c>
      <c r="F963" s="9" t="str">
        <v/>
      </c>
      <c r="G963" s="9" t="str">
        <v/>
      </c>
      <c r="H963" s="9" t="str">
        <v>RF-01T-0352</v>
      </c>
      <c r="I963" s="11" t="str">
        <v>RF-01T-0352]CAMERA CASE B</v>
      </c>
      <c r="J963" s="9">
        <v>65</v>
      </c>
      <c r="K963" s="9" t="str">
        <v/>
      </c>
      <c r="L963" s="9" t="str">
        <v>3E9</v>
      </c>
      <c r="M963" s="12">
        <v>46224</v>
      </c>
      <c r="N963" s="5" t="str">
        <v/>
      </c>
      <c r="O963" s="5">
        <v>90249</v>
      </c>
      <c r="P963" s="5">
        <v>3</v>
      </c>
      <c r="Q963" s="14">
        <v>46253</v>
      </c>
      <c r="R963" s="15">
        <v>62</v>
      </c>
    </row>
    <row r="964" spans="2:18" x14ac:dyDescent="0.35">
      <c r="B964" s="9">
        <v>385</v>
      </c>
      <c r="C964" s="9" t="str">
        <v>출고재고</v>
      </c>
      <c r="D964" s="9" t="str">
        <v/>
      </c>
      <c r="E964" s="9" t="str">
        <v/>
      </c>
      <c r="F964" s="9" t="str">
        <v/>
      </c>
      <c r="G964" s="9" t="str">
        <v/>
      </c>
      <c r="H964" s="9" t="str">
        <v>RF-01T-0199</v>
      </c>
      <c r="I964" s="11" t="str">
        <v>RF-01T-0199]CVR REAR TOP</v>
      </c>
      <c r="J964" s="9">
        <v>71</v>
      </c>
      <c r="K964" s="9" t="str">
        <v/>
      </c>
      <c r="L964" s="9" t="str">
        <v>3F5</v>
      </c>
      <c r="M964" s="12">
        <v>46227</v>
      </c>
      <c r="N964" s="5" t="str">
        <v/>
      </c>
      <c r="O964" s="5">
        <v>90249</v>
      </c>
      <c r="P964" s="5">
        <v>4</v>
      </c>
      <c r="Q964" s="14">
        <v>46253</v>
      </c>
      <c r="R964" s="15">
        <v>67</v>
      </c>
    </row>
    <row r="965" spans="2:18" x14ac:dyDescent="0.35">
      <c r="B965" s="9">
        <v>380</v>
      </c>
      <c r="C965" s="9" t="str">
        <v>출고재고</v>
      </c>
      <c r="D965" s="9" t="str">
        <v/>
      </c>
      <c r="E965" s="9" t="str">
        <v/>
      </c>
      <c r="F965" s="9" t="str">
        <v/>
      </c>
      <c r="G965" s="9" t="str">
        <v/>
      </c>
      <c r="H965" s="9" t="str">
        <v>RF-01T-0190</v>
      </c>
      <c r="I965" s="11" t="str">
        <v>RF-01T-0190]CVR FRONT</v>
      </c>
      <c r="J965" s="9">
        <v>89</v>
      </c>
      <c r="K965" s="9" t="str">
        <v/>
      </c>
      <c r="L965" s="9" t="str">
        <v>3F4</v>
      </c>
      <c r="M965" s="12">
        <v>46227</v>
      </c>
      <c r="N965" s="5" t="str">
        <v/>
      </c>
      <c r="O965" s="5">
        <v>90249</v>
      </c>
      <c r="P965" s="5">
        <v>14</v>
      </c>
      <c r="Q965" s="14">
        <v>46253</v>
      </c>
      <c r="R965" s="15">
        <v>75</v>
      </c>
    </row>
    <row r="966" spans="2:18" x14ac:dyDescent="0.35">
      <c r="B966" s="9">
        <v>391</v>
      </c>
      <c r="C966" s="9" t="str">
        <v>출고재고</v>
      </c>
      <c r="D966" s="9" t="str">
        <v/>
      </c>
      <c r="E966" s="9" t="str">
        <v/>
      </c>
      <c r="F966" s="9" t="str">
        <v/>
      </c>
      <c r="G966" s="9" t="str">
        <v/>
      </c>
      <c r="H966" s="9" t="str">
        <v>RF-01T-0255</v>
      </c>
      <c r="I966" s="11" t="str">
        <v>RF-01T-0255]CVR FRONT MID R</v>
      </c>
      <c r="J966" s="9">
        <v>157</v>
      </c>
      <c r="K966" s="9" t="str">
        <v/>
      </c>
      <c r="L966" s="9" t="str">
        <v>3L3-1</v>
      </c>
      <c r="M966" s="12">
        <v>46227</v>
      </c>
      <c r="N966" s="5" t="str">
        <v/>
      </c>
      <c r="O966" s="5">
        <v>90249</v>
      </c>
      <c r="P966" s="5">
        <v>2</v>
      </c>
      <c r="Q966" s="14">
        <v>46253</v>
      </c>
      <c r="R966" s="15">
        <v>155</v>
      </c>
    </row>
    <row r="967" spans="2:18" x14ac:dyDescent="0.35">
      <c r="B967" s="9">
        <v>135</v>
      </c>
      <c r="C967" s="9" t="str">
        <v>출고재고</v>
      </c>
      <c r="D967" s="9" t="str">
        <v/>
      </c>
      <c r="E967" s="9" t="str">
        <v/>
      </c>
      <c r="F967" s="9" t="str">
        <v/>
      </c>
      <c r="G967" s="9" t="str">
        <v/>
      </c>
      <c r="H967" s="9" t="str">
        <v>RF-01B-5039</v>
      </c>
      <c r="I967" s="11" t="str">
        <v>RF-01B-5039]POWER HUB Bd</v>
      </c>
      <c r="J967" s="9">
        <v>200</v>
      </c>
      <c r="K967" s="9" t="str">
        <v/>
      </c>
      <c r="L967" s="9" t="str">
        <v>A3-4</v>
      </c>
      <c r="M967" s="12">
        <v>46224</v>
      </c>
      <c r="N967" s="5" t="str">
        <v/>
      </c>
      <c r="O967" s="5">
        <v>90249</v>
      </c>
      <c r="P967" s="5">
        <v>1</v>
      </c>
      <c r="Q967" s="14">
        <v>46253</v>
      </c>
      <c r="R967" s="15">
        <v>199</v>
      </c>
    </row>
    <row r="968" spans="2:18" x14ac:dyDescent="0.35">
      <c r="B968" s="9">
        <v>382</v>
      </c>
      <c r="C968" s="9" t="str">
        <v>출고재고</v>
      </c>
      <c r="D968" s="9" t="str">
        <v/>
      </c>
      <c r="E968" s="9" t="str">
        <v/>
      </c>
      <c r="F968" s="9" t="str">
        <v/>
      </c>
      <c r="G968" s="9" t="str">
        <v/>
      </c>
      <c r="H968" s="9" t="str">
        <v>RF-01T-0196</v>
      </c>
      <c r="I968" s="11" t="str">
        <v>RF-01T-0196]CVR REAR</v>
      </c>
      <c r="J968" s="9">
        <v>229</v>
      </c>
      <c r="K968" s="9" t="str">
        <v/>
      </c>
      <c r="L968" s="9" t="str">
        <v>3I5</v>
      </c>
      <c r="M968" s="12">
        <v>46227</v>
      </c>
      <c r="N968" s="5" t="str">
        <v/>
      </c>
      <c r="O968" s="5">
        <v>90249</v>
      </c>
      <c r="P968" s="5">
        <v>3</v>
      </c>
      <c r="Q968" s="14">
        <v>46253</v>
      </c>
      <c r="R968" s="15">
        <v>226</v>
      </c>
    </row>
    <row r="969" spans="2:18" x14ac:dyDescent="0.35">
      <c r="B969" s="9">
        <v>97</v>
      </c>
      <c r="C969" s="9" t="str">
        <v>출고재고</v>
      </c>
      <c r="D969" s="9" t="str">
        <v/>
      </c>
      <c r="E969" s="9" t="str">
        <v/>
      </c>
      <c r="F969" s="9" t="str">
        <v/>
      </c>
      <c r="G969" s="9" t="str">
        <v/>
      </c>
      <c r="H969" s="9" t="str">
        <v>RF-01T-0161</v>
      </c>
      <c r="I969" s="11" t="str">
        <v>RF-01T-0161]Bas BOT UPPER</v>
      </c>
      <c r="J969" s="9">
        <v>250</v>
      </c>
      <c r="K969" s="9" t="str">
        <v/>
      </c>
      <c r="L969" s="9" t="str">
        <v>3B11</v>
      </c>
      <c r="M969" s="12">
        <v>46224</v>
      </c>
      <c r="N969" s="5" t="str">
        <v/>
      </c>
      <c r="O969" s="5">
        <v>90249</v>
      </c>
      <c r="P969" s="5">
        <v>2</v>
      </c>
      <c r="Q969" s="14">
        <v>46253</v>
      </c>
      <c r="R969" s="15">
        <v>248</v>
      </c>
    </row>
    <row r="970" spans="2:18" x14ac:dyDescent="0.35">
      <c r="B970" s="9">
        <v>1902</v>
      </c>
      <c r="C970" s="9" t="str">
        <v>출고재고</v>
      </c>
      <c r="D970" s="9" t="str">
        <v/>
      </c>
      <c r="E970" s="9" t="str">
        <v/>
      </c>
      <c r="F970" s="9" t="str">
        <v/>
      </c>
      <c r="G970" s="9" t="str">
        <v/>
      </c>
      <c r="H970" s="9" t="str">
        <v>RA-06A-2760</v>
      </c>
      <c r="I970" s="11" t="str">
        <v>RA-06A-2760]ASM COL MOVING (ST) (VN)</v>
      </c>
      <c r="J970" s="9">
        <v>35</v>
      </c>
      <c r="K970" s="9" t="str">
        <v/>
      </c>
      <c r="L970" s="9" t="str">
        <v>U</v>
      </c>
      <c r="M970" s="12">
        <v>46295</v>
      </c>
      <c r="N970" s="5" t="str">
        <v/>
      </c>
      <c r="O970" s="5">
        <v>92543</v>
      </c>
      <c r="P970" s="5">
        <v>30</v>
      </c>
      <c r="Q970" s="14">
        <v>46287</v>
      </c>
      <c r="R970" s="15">
        <v>5</v>
      </c>
    </row>
    <row r="971" spans="2:18" x14ac:dyDescent="0.35">
      <c r="B971" s="9">
        <v>775</v>
      </c>
      <c r="C971" s="9" t="str">
        <v>출고재고</v>
      </c>
      <c r="D971" s="9" t="str">
        <v/>
      </c>
      <c r="E971" s="9" t="str">
        <v>입고</v>
      </c>
      <c r="F971" s="9" t="str">
        <v/>
      </c>
      <c r="G971" s="9" t="str">
        <v/>
      </c>
      <c r="H971" s="9" t="str">
        <v>RA-02A-2740</v>
      </c>
      <c r="I971" s="11" t="str">
        <v>RA-02A-2740]ASM VERT TOTAL (A+) (VN)</v>
      </c>
      <c r="J971" s="9">
        <v>15</v>
      </c>
      <c r="K971" s="9" t="str">
        <v/>
      </c>
      <c r="L971" s="9" t="str">
        <v>P</v>
      </c>
      <c r="M971" s="12">
        <v>46260</v>
      </c>
      <c r="N971" s="5" t="str">
        <v/>
      </c>
      <c r="O971" s="5">
        <v>92546</v>
      </c>
      <c r="P971" s="5">
        <v>15</v>
      </c>
      <c r="Q971" s="14">
        <v>46265</v>
      </c>
      <c r="R971" s="15">
        <v>0</v>
      </c>
    </row>
    <row r="972" spans="2:18" x14ac:dyDescent="0.35">
      <c r="B972" s="9">
        <v>315</v>
      </c>
      <c r="C972" s="9" t="str">
        <v>출고재고</v>
      </c>
      <c r="D972" s="9" t="str">
        <v/>
      </c>
      <c r="E972" s="9" t="str">
        <v>기초</v>
      </c>
      <c r="F972" s="9" t="str">
        <v/>
      </c>
      <c r="G972" s="9" t="str">
        <v/>
      </c>
      <c r="H972" s="9" t="str">
        <v>RA-05A-6004</v>
      </c>
      <c r="I972" s="11" t="str">
        <v>RA-05A-6004]Bd ASSY'-Aux MCU</v>
      </c>
      <c r="J972" s="9">
        <v>19</v>
      </c>
      <c r="K972" s="9" t="str">
        <v/>
      </c>
      <c r="L972" s="9" t="str">
        <v>A2-2</v>
      </c>
      <c r="M972" s="12">
        <v>46253</v>
      </c>
      <c r="N972" s="5" t="str">
        <v/>
      </c>
      <c r="O972" s="5">
        <v>92546</v>
      </c>
      <c r="P972" s="5">
        <v>19</v>
      </c>
      <c r="Q972" s="14">
        <v>46253</v>
      </c>
      <c r="R972" s="15">
        <v>0</v>
      </c>
    </row>
    <row r="973" spans="2:18" x14ac:dyDescent="0.35">
      <c r="B973" s="9">
        <v>776</v>
      </c>
      <c r="C973" s="9" t="str">
        <v>출고재고</v>
      </c>
      <c r="D973" s="9" t="str">
        <v/>
      </c>
      <c r="E973" s="9" t="str">
        <v/>
      </c>
      <c r="F973" s="9" t="str">
        <v/>
      </c>
      <c r="G973" s="9" t="str">
        <v/>
      </c>
      <c r="H973" s="9" t="str">
        <v>RA-02A-2740</v>
      </c>
      <c r="I973" s="11" t="str">
        <v>RA-02A-2740]ASM VERT TOTAL (A+) (VN)</v>
      </c>
      <c r="J973" s="9">
        <v>25</v>
      </c>
      <c r="K973" s="9" t="str">
        <v/>
      </c>
      <c r="L973" s="9" t="str">
        <v>P</v>
      </c>
      <c r="M973" s="12">
        <v>46265</v>
      </c>
      <c r="N973" s="5" t="str">
        <v/>
      </c>
      <c r="O973" s="5">
        <v>92546</v>
      </c>
      <c r="P973" s="5">
        <v>25</v>
      </c>
      <c r="Q973" s="14">
        <v>46265</v>
      </c>
      <c r="R973" s="15">
        <v>0</v>
      </c>
    </row>
    <row r="974" spans="2:18" x14ac:dyDescent="0.35">
      <c r="B974" s="9">
        <v>479</v>
      </c>
      <c r="C974" s="9" t="str">
        <v>출고재고</v>
      </c>
      <c r="D974" s="9" t="str">
        <v/>
      </c>
      <c r="E974" s="9" t="str">
        <v>입고</v>
      </c>
      <c r="F974" s="9" t="str">
        <v/>
      </c>
      <c r="G974" s="9" t="str">
        <v/>
      </c>
      <c r="H974" s="9" t="str">
        <v>RA-05A-6004</v>
      </c>
      <c r="I974" s="11" t="str">
        <v>RA-05A-6004]Bd ASSY'-Aux MCU</v>
      </c>
      <c r="J974" s="9">
        <v>300</v>
      </c>
      <c r="K974" s="9" t="str">
        <v/>
      </c>
      <c r="L974" s="9" t="str">
        <v>A2-2</v>
      </c>
      <c r="M974" s="12">
        <v>46254</v>
      </c>
      <c r="N974" s="5" t="str">
        <v/>
      </c>
      <c r="O974" s="5">
        <v>92546</v>
      </c>
      <c r="P974" s="5">
        <v>21</v>
      </c>
      <c r="Q974" s="14">
        <v>46254</v>
      </c>
      <c r="R974" s="15">
        <v>279</v>
      </c>
    </row>
    <row r="975" spans="2:18" x14ac:dyDescent="0.35">
      <c r="B975" s="9">
        <v>1104</v>
      </c>
      <c r="C975" s="9" t="str">
        <v>출고재고</v>
      </c>
      <c r="D975" s="9" t="str">
        <v/>
      </c>
      <c r="E975" s="9" t="str">
        <v>기초</v>
      </c>
      <c r="F975" s="9" t="str">
        <v/>
      </c>
      <c r="G975" s="9" t="str">
        <v/>
      </c>
      <c r="H975" s="9" t="str">
        <v>RA-07M-2786</v>
      </c>
      <c r="I975" s="11" t="str">
        <v>RA-07M-2786]PLT DET SNSR (IR)</v>
      </c>
      <c r="J975" s="9">
        <v>164</v>
      </c>
      <c r="K975" s="9" t="str">
        <v/>
      </c>
      <c r="L975" s="9" t="str">
        <v>J2-2</v>
      </c>
      <c r="M975" s="12">
        <v>46276</v>
      </c>
      <c r="N975" s="5" t="str">
        <v/>
      </c>
      <c r="O975" s="5">
        <v>92548</v>
      </c>
      <c r="P975" s="5">
        <v>14</v>
      </c>
      <c r="Q975" s="14">
        <v>46283</v>
      </c>
      <c r="R975" s="15">
        <v>150</v>
      </c>
    </row>
    <row r="976" spans="2:18" x14ac:dyDescent="0.35">
      <c r="B976" s="9">
        <v>774</v>
      </c>
      <c r="C976" s="9" t="str">
        <v>출고재고</v>
      </c>
      <c r="D976" s="9" t="str">
        <v/>
      </c>
      <c r="E976" s="9" t="str">
        <v>입고</v>
      </c>
      <c r="F976" s="9" t="str">
        <v/>
      </c>
      <c r="G976" s="9" t="str">
        <v/>
      </c>
      <c r="H976" s="9" t="str">
        <v>RA-02A-2740</v>
      </c>
      <c r="I976" s="11" t="str">
        <v>RA-02A-2740]ASM VERT TOTAL (A+) (VN)</v>
      </c>
      <c r="J976" s="9">
        <v>15</v>
      </c>
      <c r="K976" s="9" t="str">
        <v/>
      </c>
      <c r="L976" s="9" t="str">
        <v>P</v>
      </c>
      <c r="M976" s="12">
        <v>46261</v>
      </c>
      <c r="N976" s="5" t="str">
        <v/>
      </c>
      <c r="O976" s="5">
        <v>92568</v>
      </c>
      <c r="P976" s="5">
        <v>15</v>
      </c>
      <c r="Q976" s="14">
        <v>46262</v>
      </c>
      <c r="R976" s="15">
        <v>0</v>
      </c>
    </row>
    <row r="977" spans="2:18" x14ac:dyDescent="0.35">
      <c r="B977" s="9">
        <v>773</v>
      </c>
      <c r="C977" s="9" t="str">
        <v>출고재고</v>
      </c>
      <c r="D977" s="9" t="str">
        <v/>
      </c>
      <c r="E977" s="9" t="str">
        <v>입고</v>
      </c>
      <c r="F977" s="9" t="str">
        <v/>
      </c>
      <c r="G977" s="9" t="str">
        <v/>
      </c>
      <c r="H977" s="9" t="str">
        <v>RA-02A-2740</v>
      </c>
      <c r="I977" s="11" t="str">
        <v>RA-02A-2740]ASM VERT TOTAL (A+) (VN)</v>
      </c>
      <c r="J977" s="9">
        <v>30</v>
      </c>
      <c r="K977" s="9" t="str">
        <v/>
      </c>
      <c r="L977" s="9" t="str">
        <v>P</v>
      </c>
      <c r="M977" s="12">
        <v>46261</v>
      </c>
      <c r="N977" s="5" t="str">
        <v/>
      </c>
      <c r="O977" s="5">
        <v>92568</v>
      </c>
      <c r="P977" s="5">
        <v>5</v>
      </c>
      <c r="Q977" s="14">
        <v>46265</v>
      </c>
      <c r="R977" s="15">
        <v>25</v>
      </c>
    </row>
    <row r="978" spans="2:18" x14ac:dyDescent="0.35">
      <c r="B978" s="9">
        <v>779</v>
      </c>
      <c r="C978" s="9" t="str">
        <v>출고재고</v>
      </c>
      <c r="D978" s="9" t="str">
        <v/>
      </c>
      <c r="E978" s="9" t="str">
        <v/>
      </c>
      <c r="F978" s="9" t="str">
        <v/>
      </c>
      <c r="G978" s="9" t="str">
        <v/>
      </c>
      <c r="H978" s="9" t="str">
        <v>RA-02A-2740</v>
      </c>
      <c r="I978" s="11" t="str">
        <v>RA-02A-2740]ASM VERT TOTAL (A+) (VN)</v>
      </c>
      <c r="J978" s="9">
        <v>30</v>
      </c>
      <c r="K978" s="9" t="str">
        <v/>
      </c>
      <c r="L978" s="9" t="str">
        <v>P</v>
      </c>
      <c r="M978" s="12">
        <v>46274</v>
      </c>
      <c r="N978" s="5" t="str">
        <v/>
      </c>
      <c r="O978" s="5">
        <v>92568</v>
      </c>
      <c r="P978" s="5">
        <v>10</v>
      </c>
      <c r="Q978" s="14">
        <v>46274</v>
      </c>
      <c r="R978" s="15">
        <v>20</v>
      </c>
    </row>
    <row r="979" spans="2:18" x14ac:dyDescent="0.35">
      <c r="B979" s="9">
        <v>1170</v>
      </c>
      <c r="C979" s="9" t="str">
        <v>출고재고</v>
      </c>
      <c r="D979" s="9" t="str">
        <v/>
      </c>
      <c r="E979" s="9" t="str">
        <v>입고</v>
      </c>
      <c r="F979" s="9" t="str">
        <v/>
      </c>
      <c r="G979" s="9" t="str">
        <v/>
      </c>
      <c r="H979" s="9" t="str">
        <v>RA-05M-3359</v>
      </c>
      <c r="I979" s="11" t="str">
        <v>RA-05M-3359]FRM ROT WEIGHT (ST)</v>
      </c>
      <c r="J979" s="9">
        <v>70</v>
      </c>
      <c r="K979" s="9" t="str">
        <v/>
      </c>
      <c r="L979" s="9" t="str">
        <v>P</v>
      </c>
      <c r="M979" s="12">
        <v>46280</v>
      </c>
      <c r="N979" s="5" t="str">
        <v/>
      </c>
      <c r="O979" s="5">
        <v>92568</v>
      </c>
      <c r="P979" s="5">
        <v>1</v>
      </c>
      <c r="Q979" s="14">
        <v>46280</v>
      </c>
      <c r="R979" s="15">
        <v>69</v>
      </c>
    </row>
    <row r="980" spans="2:18" x14ac:dyDescent="0.35">
      <c r="B980" s="9">
        <v>482</v>
      </c>
      <c r="C980" s="9" t="str">
        <v>출고재고</v>
      </c>
      <c r="D980" s="9" t="str">
        <v/>
      </c>
      <c r="E980" s="9" t="str">
        <v/>
      </c>
      <c r="F980" s="9" t="str">
        <v/>
      </c>
      <c r="G980" s="9" t="str">
        <v/>
      </c>
      <c r="H980" s="9" t="str">
        <v>RA-05A-6004</v>
      </c>
      <c r="I980" s="11" t="str">
        <v>RA-05A-6004]Bd ASSY'-Aux MCU</v>
      </c>
      <c r="J980" s="9">
        <v>278</v>
      </c>
      <c r="K980" s="9" t="str">
        <v/>
      </c>
      <c r="L980" s="9" t="str">
        <v>A2-2</v>
      </c>
      <c r="M980" s="12">
        <v>46261</v>
      </c>
      <c r="N980" s="5" t="str">
        <v/>
      </c>
      <c r="O980" s="5">
        <v>92568</v>
      </c>
      <c r="P980" s="5">
        <v>30</v>
      </c>
      <c r="Q980" s="14">
        <v>46262</v>
      </c>
      <c r="R980" s="15">
        <v>248</v>
      </c>
    </row>
    <row r="981" spans="2:18" x14ac:dyDescent="0.35">
      <c r="B981" s="9">
        <v>1146</v>
      </c>
      <c r="C981" s="9" t="str">
        <v>출고재고</v>
      </c>
      <c r="D981" s="9" t="str">
        <v/>
      </c>
      <c r="E981" s="9" t="str">
        <v/>
      </c>
      <c r="F981" s="9" t="str">
        <v/>
      </c>
      <c r="G981" s="9" t="str">
        <v/>
      </c>
      <c r="H981" s="9" t="str">
        <v>RA-09T-2534</v>
      </c>
      <c r="I981" s="11" t="str">
        <v>RA-09T-2534]CAS CT HEADREST (A+)</v>
      </c>
      <c r="J981" s="9">
        <v>216</v>
      </c>
      <c r="K981" s="9" t="str">
        <v/>
      </c>
      <c r="L981" s="9" t="str">
        <v>S</v>
      </c>
      <c r="M981" s="12">
        <v>46276</v>
      </c>
      <c r="N981" s="5" t="str">
        <v/>
      </c>
      <c r="O981" s="5">
        <v>92571</v>
      </c>
      <c r="P981" s="5">
        <v>45</v>
      </c>
      <c r="Q981" s="14">
        <v>46281</v>
      </c>
      <c r="R981" s="15">
        <v>171</v>
      </c>
    </row>
    <row r="982" spans="2:18" x14ac:dyDescent="0.35">
      <c r="B982" s="9">
        <v>410</v>
      </c>
      <c r="C982" s="9" t="str">
        <v>출고재고</v>
      </c>
      <c r="D982" s="9" t="str">
        <v/>
      </c>
      <c r="E982" s="9" t="str">
        <v>기초추가</v>
      </c>
      <c r="F982" s="9" t="str">
        <v/>
      </c>
      <c r="G982" s="9" t="str">
        <v/>
      </c>
      <c r="H982" s="9" t="str">
        <v>RF-01S-5093</v>
      </c>
      <c r="I982" s="11" t="str">
        <v>RF-01S-5093]CAM Cable_TEETH_R</v>
      </c>
      <c r="J982" s="9">
        <v>1</v>
      </c>
      <c r="K982" s="9" t="str">
        <v/>
      </c>
      <c r="L982" s="9" t="str">
        <v>3F10</v>
      </c>
      <c r="M982" s="12">
        <v>46224</v>
      </c>
      <c r="N982" s="5" t="str">
        <v/>
      </c>
      <c r="O982" s="5">
        <v>92574</v>
      </c>
      <c r="P982" s="5">
        <v>1</v>
      </c>
      <c r="Q982" s="14">
        <v>46259</v>
      </c>
      <c r="R982" s="15">
        <v>0</v>
      </c>
    </row>
    <row r="983" spans="2:18" x14ac:dyDescent="0.35">
      <c r="B983" s="9">
        <v>411</v>
      </c>
      <c r="C983" s="9" t="str">
        <v>출고재고</v>
      </c>
      <c r="D983" s="9" t="str">
        <v/>
      </c>
      <c r="E983" s="9" t="str">
        <v>기초추가</v>
      </c>
      <c r="F983" s="9" t="str">
        <v/>
      </c>
      <c r="G983" s="9" t="str">
        <v/>
      </c>
      <c r="H983" s="9" t="str">
        <v>RF-01T-0173</v>
      </c>
      <c r="I983" s="11" t="str">
        <v>RF-01T-0173]ARM CVR REAR DECO</v>
      </c>
      <c r="J983" s="9">
        <v>1</v>
      </c>
      <c r="K983" s="9" t="str">
        <v/>
      </c>
      <c r="L983" s="9" t="str">
        <v>3B8</v>
      </c>
      <c r="M983" s="12">
        <v>46253</v>
      </c>
      <c r="N983" s="5" t="str">
        <v/>
      </c>
      <c r="O983" s="5">
        <v>92574</v>
      </c>
      <c r="P983" s="5">
        <v>1</v>
      </c>
      <c r="Q983" s="14">
        <v>46259</v>
      </c>
      <c r="R983" s="15">
        <v>0</v>
      </c>
    </row>
    <row r="984" spans="2:18" x14ac:dyDescent="0.35">
      <c r="B984" s="9">
        <v>163</v>
      </c>
      <c r="C984" s="9" t="str">
        <v>출고재고</v>
      </c>
      <c r="D984" s="9" t="str">
        <v/>
      </c>
      <c r="E984" s="9" t="str">
        <v/>
      </c>
      <c r="F984" s="9" t="str">
        <v/>
      </c>
      <c r="G984" s="9" t="str">
        <v/>
      </c>
      <c r="H984" s="9" t="str">
        <v>RF-01H-5052</v>
      </c>
      <c r="I984" s="11" t="str">
        <v>RF-01H-5052]USB TO SBC HARNESS</v>
      </c>
      <c r="J984" s="9">
        <v>2</v>
      </c>
      <c r="K984" s="9" t="str">
        <v/>
      </c>
      <c r="L984" s="9" t="str">
        <v>3S3-4</v>
      </c>
      <c r="M984" s="12">
        <v>46230</v>
      </c>
      <c r="N984" s="5" t="str">
        <v/>
      </c>
      <c r="O984" s="5">
        <v>92574</v>
      </c>
      <c r="P984" s="5">
        <v>2</v>
      </c>
      <c r="Q984" s="14">
        <v>46259</v>
      </c>
      <c r="R984" s="15">
        <v>0</v>
      </c>
    </row>
    <row r="985" spans="2:18" x14ac:dyDescent="0.35">
      <c r="B985" s="9">
        <v>165</v>
      </c>
      <c r="C985" s="9" t="str">
        <v>출고재고</v>
      </c>
      <c r="D985" s="9" t="str">
        <v/>
      </c>
      <c r="E985" s="9" t="str">
        <v/>
      </c>
      <c r="F985" s="9" t="str">
        <v/>
      </c>
      <c r="G985" s="9" t="str">
        <v/>
      </c>
      <c r="H985" s="9" t="str">
        <v>RF-01H-5054</v>
      </c>
      <c r="I985" s="11" t="str">
        <v>RF-01H-5054]DLP Power harness</v>
      </c>
      <c r="J985" s="9">
        <v>2</v>
      </c>
      <c r="K985" s="9" t="str">
        <v/>
      </c>
      <c r="L985" s="9" t="str">
        <v>3S3-4</v>
      </c>
      <c r="M985" s="12">
        <v>46230</v>
      </c>
      <c r="N985" s="5" t="str">
        <v/>
      </c>
      <c r="O985" s="5">
        <v>92574</v>
      </c>
      <c r="P985" s="5">
        <v>2</v>
      </c>
      <c r="Q985" s="14">
        <v>46259</v>
      </c>
      <c r="R985" s="15">
        <v>0</v>
      </c>
    </row>
    <row r="986" spans="2:18" x14ac:dyDescent="0.35">
      <c r="B986" s="9">
        <v>407</v>
      </c>
      <c r="C986" s="9" t="str">
        <v>출고재고</v>
      </c>
      <c r="D986" s="9" t="str">
        <v/>
      </c>
      <c r="E986" s="9" t="str">
        <v>기초추가</v>
      </c>
      <c r="F986" s="9" t="str">
        <v/>
      </c>
      <c r="G986" s="9" t="str">
        <v/>
      </c>
      <c r="H986" s="9" t="str">
        <v>RF-01S-5084</v>
      </c>
      <c r="I986" s="11" t="str">
        <v>RF-01S-5084]CAM Trigger_C harness</v>
      </c>
      <c r="J986" s="9">
        <v>2</v>
      </c>
      <c r="K986" s="9" t="str">
        <v/>
      </c>
      <c r="L986" s="9" t="str">
        <v>3L3-2</v>
      </c>
      <c r="M986" s="12">
        <v>46259</v>
      </c>
      <c r="N986" s="5" t="str">
        <v/>
      </c>
      <c r="O986" s="5">
        <v>92574</v>
      </c>
      <c r="P986" s="5">
        <v>2</v>
      </c>
      <c r="Q986" s="14">
        <v>46259</v>
      </c>
      <c r="R986" s="15">
        <v>0</v>
      </c>
    </row>
    <row r="987" spans="2:18" x14ac:dyDescent="0.35">
      <c r="B987" s="9">
        <v>412</v>
      </c>
      <c r="C987" s="9" t="str">
        <v>출고재고</v>
      </c>
      <c r="D987" s="9" t="str">
        <v/>
      </c>
      <c r="E987" s="9" t="str">
        <v>기초추가</v>
      </c>
      <c r="F987" s="9" t="str">
        <v/>
      </c>
      <c r="G987" s="9" t="str">
        <v/>
      </c>
      <c r="H987" s="9" t="str">
        <v>RF-01T-0172</v>
      </c>
      <c r="I987" s="11" t="str">
        <v>RF-01T-0172]ARM CVR REAR L</v>
      </c>
      <c r="J987" s="9">
        <v>2</v>
      </c>
      <c r="K987" s="9" t="str">
        <v/>
      </c>
      <c r="L987" s="9" t="str">
        <v>3B5</v>
      </c>
      <c r="M987" s="12">
        <v>46259</v>
      </c>
      <c r="N987" s="5" t="str">
        <v/>
      </c>
      <c r="O987" s="5">
        <v>92574</v>
      </c>
      <c r="P987" s="5">
        <v>2</v>
      </c>
      <c r="Q987" s="14">
        <v>46259</v>
      </c>
      <c r="R987" s="15">
        <v>0</v>
      </c>
    </row>
    <row r="988" spans="2:18" x14ac:dyDescent="0.35">
      <c r="B988" s="9">
        <v>134</v>
      </c>
      <c r="C988" s="9" t="str">
        <v>출고재고</v>
      </c>
      <c r="D988" s="9" t="str">
        <v/>
      </c>
      <c r="E988" s="9" t="str">
        <v/>
      </c>
      <c r="F988" s="9" t="str">
        <v/>
      </c>
      <c r="G988" s="9" t="str">
        <v/>
      </c>
      <c r="H988" s="9" t="str">
        <v>RF-01H-5069</v>
      </c>
      <c r="I988" s="11" t="str">
        <v>RF-01H-5069]LED_Bottom harness</v>
      </c>
      <c r="J988" s="9">
        <v>3</v>
      </c>
      <c r="K988" s="9" t="str">
        <v/>
      </c>
      <c r="L988" s="9" t="str">
        <v>3S3-5</v>
      </c>
      <c r="M988" s="12">
        <v>46224</v>
      </c>
      <c r="N988" s="5" t="str">
        <v/>
      </c>
      <c r="O988" s="5">
        <v>92574</v>
      </c>
      <c r="P988" s="5">
        <v>3</v>
      </c>
      <c r="Q988" s="14">
        <v>46259</v>
      </c>
      <c r="R988" s="15">
        <v>0</v>
      </c>
    </row>
    <row r="989" spans="2:18" x14ac:dyDescent="0.35">
      <c r="B989" s="9">
        <v>166</v>
      </c>
      <c r="C989" s="9" t="str">
        <v>출고재고</v>
      </c>
      <c r="D989" s="9" t="str">
        <v/>
      </c>
      <c r="E989" s="9" t="str">
        <v/>
      </c>
      <c r="F989" s="9" t="str">
        <v/>
      </c>
      <c r="G989" s="9" t="str">
        <v/>
      </c>
      <c r="H989" s="9" t="str">
        <v>RF-01H-5055</v>
      </c>
      <c r="I989" s="11" t="str">
        <v>RF-01H-5055]LED Power harness</v>
      </c>
      <c r="J989" s="9">
        <v>3</v>
      </c>
      <c r="K989" s="9" t="str">
        <v/>
      </c>
      <c r="L989" s="9" t="str">
        <v>3S3-4</v>
      </c>
      <c r="M989" s="12">
        <v>46230</v>
      </c>
      <c r="N989" s="5" t="str">
        <v/>
      </c>
      <c r="O989" s="5">
        <v>92574</v>
      </c>
      <c r="P989" s="5">
        <v>3</v>
      </c>
      <c r="Q989" s="14">
        <v>46259</v>
      </c>
      <c r="R989" s="15">
        <v>0</v>
      </c>
    </row>
    <row r="990" spans="2:18" x14ac:dyDescent="0.35">
      <c r="B990" s="9">
        <v>397</v>
      </c>
      <c r="C990" s="9" t="str">
        <v>출고재고</v>
      </c>
      <c r="D990" s="9" t="str">
        <v/>
      </c>
      <c r="E990" s="9" t="str">
        <v/>
      </c>
      <c r="F990" s="9" t="str">
        <v/>
      </c>
      <c r="G990" s="9" t="str">
        <v/>
      </c>
      <c r="H990" s="9" t="str">
        <v>RF-20A-0383</v>
      </c>
      <c r="I990" s="11" t="str">
        <v/>
      </c>
      <c r="J990" s="9">
        <v>3</v>
      </c>
      <c r="K990" s="9" t="str">
        <v/>
      </c>
      <c r="L990" s="9" t="str">
        <v>3L1-3</v>
      </c>
      <c r="M990" s="12">
        <v>46253</v>
      </c>
      <c r="N990" s="5" t="str">
        <v/>
      </c>
      <c r="O990" s="5">
        <v>92574</v>
      </c>
      <c r="P990" s="5">
        <v>3</v>
      </c>
      <c r="Q990" s="14">
        <v>46259</v>
      </c>
      <c r="R990" s="15">
        <v>0</v>
      </c>
    </row>
    <row r="991" spans="2:18" x14ac:dyDescent="0.35">
      <c r="B991" s="9">
        <v>164</v>
      </c>
      <c r="C991" s="9" t="str">
        <v>출고재고</v>
      </c>
      <c r="D991" s="9" t="str">
        <v/>
      </c>
      <c r="E991" s="9" t="str">
        <v/>
      </c>
      <c r="F991" s="9" t="str">
        <v/>
      </c>
      <c r="G991" s="9" t="str">
        <v/>
      </c>
      <c r="H991" s="9" t="str">
        <v>RF-01H-5053</v>
      </c>
      <c r="I991" s="11" t="str">
        <v>RF-01H-5053]USB to PC harness</v>
      </c>
      <c r="J991" s="9">
        <v>5</v>
      </c>
      <c r="K991" s="9" t="str">
        <v/>
      </c>
      <c r="L991" s="9" t="str">
        <v>3S3-4</v>
      </c>
      <c r="M991" s="12">
        <v>46230</v>
      </c>
      <c r="N991" s="5" t="str">
        <v/>
      </c>
      <c r="O991" s="5">
        <v>92574</v>
      </c>
      <c r="P991" s="5">
        <v>5</v>
      </c>
      <c r="Q991" s="14">
        <v>46259</v>
      </c>
      <c r="R991" s="15">
        <v>0</v>
      </c>
    </row>
    <row r="992" spans="2:18" x14ac:dyDescent="0.35">
      <c r="B992" s="9">
        <v>168</v>
      </c>
      <c r="C992" s="9" t="str">
        <v>출고재고</v>
      </c>
      <c r="D992" s="9" t="str">
        <v/>
      </c>
      <c r="E992" s="9" t="str">
        <v/>
      </c>
      <c r="F992" s="9" t="str">
        <v/>
      </c>
      <c r="G992" s="9" t="str">
        <v/>
      </c>
      <c r="H992" s="9" t="str">
        <v>RF-01H-5067</v>
      </c>
      <c r="I992" s="11" t="str">
        <v>RF-01H-5067]LED_Right harness</v>
      </c>
      <c r="J992" s="9">
        <v>5</v>
      </c>
      <c r="K992" s="9" t="str">
        <v/>
      </c>
      <c r="L992" s="9" t="str">
        <v>3S3-5</v>
      </c>
      <c r="M992" s="12">
        <v>46230</v>
      </c>
      <c r="N992" s="5" t="str">
        <v/>
      </c>
      <c r="O992" s="5">
        <v>92574</v>
      </c>
      <c r="P992" s="5">
        <v>5</v>
      </c>
      <c r="Q992" s="14">
        <v>46259</v>
      </c>
      <c r="R992" s="15">
        <v>0</v>
      </c>
    </row>
    <row r="993" spans="2:18" x14ac:dyDescent="0.35">
      <c r="B993" s="9">
        <v>169</v>
      </c>
      <c r="C993" s="9" t="str">
        <v>출고재고</v>
      </c>
      <c r="D993" s="9" t="str">
        <v/>
      </c>
      <c r="E993" s="9" t="str">
        <v/>
      </c>
      <c r="F993" s="9" t="str">
        <v/>
      </c>
      <c r="G993" s="9" t="str">
        <v/>
      </c>
      <c r="H993" s="9" t="str">
        <v>RF-01H-5075</v>
      </c>
      <c r="I993" s="11" t="str">
        <v>RF-01H-5075] USB to Cal kit harness</v>
      </c>
      <c r="J993" s="9">
        <v>5</v>
      </c>
      <c r="K993" s="9" t="str">
        <v/>
      </c>
      <c r="L993" s="9" t="str">
        <v>3S3-6</v>
      </c>
      <c r="M993" s="12">
        <v>46230</v>
      </c>
      <c r="N993" s="5" t="str">
        <v/>
      </c>
      <c r="O993" s="5">
        <v>92574</v>
      </c>
      <c r="P993" s="5">
        <v>5</v>
      </c>
      <c r="Q993" s="14">
        <v>46259</v>
      </c>
      <c r="R993" s="15">
        <v>0</v>
      </c>
    </row>
    <row r="994" spans="2:18" x14ac:dyDescent="0.35">
      <c r="B994" s="9">
        <v>108</v>
      </c>
      <c r="C994" s="9" t="str">
        <v>출고재고</v>
      </c>
      <c r="D994" s="9" t="str">
        <v/>
      </c>
      <c r="E994" s="9" t="str">
        <v/>
      </c>
      <c r="F994" s="9" t="str">
        <v/>
      </c>
      <c r="G994" s="9" t="str">
        <v/>
      </c>
      <c r="H994" s="9" t="str">
        <v>RF-01B-5040</v>
      </c>
      <c r="I994" s="11" t="str">
        <v>RF-01B-5040]MAIN Bd</v>
      </c>
      <c r="J994" s="9">
        <v>6</v>
      </c>
      <c r="K994" s="9" t="str">
        <v/>
      </c>
      <c r="L994" s="9" t="str">
        <v>A5-4</v>
      </c>
      <c r="M994" s="12">
        <v>46224</v>
      </c>
      <c r="N994" s="5" t="str">
        <v/>
      </c>
      <c r="O994" s="5">
        <v>92574</v>
      </c>
      <c r="P994" s="5">
        <v>6</v>
      </c>
      <c r="Q994" s="14">
        <v>46259</v>
      </c>
      <c r="R994" s="15">
        <v>0</v>
      </c>
    </row>
    <row r="995" spans="2:18" x14ac:dyDescent="0.35">
      <c r="B995" s="9">
        <v>167</v>
      </c>
      <c r="C995" s="9" t="str">
        <v>출고재고</v>
      </c>
      <c r="D995" s="9" t="str">
        <v/>
      </c>
      <c r="E995" s="9" t="str">
        <v/>
      </c>
      <c r="F995" s="9" t="str">
        <v/>
      </c>
      <c r="G995" s="9" t="str">
        <v/>
      </c>
      <c r="H995" s="9" t="str">
        <v>RF-01H-5056</v>
      </c>
      <c r="I995" s="11" t="str">
        <v>RF-01H-5056]LED PWM harness</v>
      </c>
      <c r="J995" s="9">
        <v>6</v>
      </c>
      <c r="K995" s="9" t="str">
        <v/>
      </c>
      <c r="L995" s="9" t="str">
        <v>3S3-4</v>
      </c>
      <c r="M995" s="12">
        <v>46230</v>
      </c>
      <c r="N995" s="5" t="str">
        <v/>
      </c>
      <c r="O995" s="5">
        <v>92574</v>
      </c>
      <c r="P995" s="5">
        <v>6</v>
      </c>
      <c r="Q995" s="14">
        <v>46259</v>
      </c>
      <c r="R995" s="15">
        <v>0</v>
      </c>
    </row>
    <row r="996" spans="2:18" x14ac:dyDescent="0.35">
      <c r="B996" s="9">
        <v>368</v>
      </c>
      <c r="C996" s="9" t="str">
        <v>출고재고</v>
      </c>
      <c r="D996" s="9" t="str">
        <v/>
      </c>
      <c r="E996" s="9" t="str">
        <v/>
      </c>
      <c r="F996" s="9" t="str">
        <v/>
      </c>
      <c r="G996" s="9" t="str">
        <v/>
      </c>
      <c r="H996" s="9" t="str">
        <v>RF-01H-5056</v>
      </c>
      <c r="I996" s="11" t="str">
        <v>RF-01H-5056]LED PWM harness</v>
      </c>
      <c r="J996" s="9">
        <v>6</v>
      </c>
      <c r="K996" s="9" t="str">
        <v/>
      </c>
      <c r="L996" s="9" t="str">
        <v>3S3-4</v>
      </c>
      <c r="M996" s="12">
        <v>46230</v>
      </c>
      <c r="N996" s="5" t="str">
        <v/>
      </c>
      <c r="O996" s="5">
        <v>92574</v>
      </c>
      <c r="P996" s="5">
        <v>6</v>
      </c>
      <c r="Q996" s="14">
        <v>46259</v>
      </c>
      <c r="R996" s="15">
        <v>0</v>
      </c>
    </row>
    <row r="997" spans="2:18" x14ac:dyDescent="0.35">
      <c r="B997" s="9">
        <v>322</v>
      </c>
      <c r="C997" s="9" t="str">
        <v>출고재고</v>
      </c>
      <c r="D997" s="9" t="str">
        <v/>
      </c>
      <c r="E997" s="9" t="str">
        <v>입고</v>
      </c>
      <c r="F997" s="9" t="str">
        <v/>
      </c>
      <c r="G997" s="9" t="str">
        <v/>
      </c>
      <c r="H997" s="9" t="str">
        <v>RF-01H-5052</v>
      </c>
      <c r="I997" s="11" t="str">
        <v>RF-01H-5052]USB TO SBC HARNESS</v>
      </c>
      <c r="J997" s="9">
        <v>7</v>
      </c>
      <c r="K997" s="9" t="str">
        <v/>
      </c>
      <c r="L997" s="9" t="str">
        <v>3S3-4</v>
      </c>
      <c r="M997" s="12">
        <v>46227</v>
      </c>
      <c r="N997" s="5" t="str">
        <v/>
      </c>
      <c r="O997" s="5">
        <v>92574</v>
      </c>
      <c r="P997" s="5">
        <v>7</v>
      </c>
      <c r="Q997" s="14">
        <v>46259</v>
      </c>
      <c r="R997" s="15">
        <v>0</v>
      </c>
    </row>
    <row r="998" spans="2:18" x14ac:dyDescent="0.35">
      <c r="B998" s="9">
        <v>96</v>
      </c>
      <c r="C998" s="9" t="str">
        <v>출고재고</v>
      </c>
      <c r="D998" s="9" t="str">
        <v/>
      </c>
      <c r="E998" s="9" t="str">
        <v/>
      </c>
      <c r="F998" s="9" t="str">
        <v/>
      </c>
      <c r="G998" s="9" t="str">
        <v/>
      </c>
      <c r="H998" s="9" t="str">
        <v>RF-01H-5071</v>
      </c>
      <c r="I998" s="11" t="str">
        <v>RF-01H-5071]SBC LAN Cable</v>
      </c>
      <c r="J998" s="9">
        <v>8</v>
      </c>
      <c r="K998" s="9" t="str">
        <v/>
      </c>
      <c r="L998" s="9" t="str">
        <v>3S3-6</v>
      </c>
      <c r="M998" s="12">
        <v>46224</v>
      </c>
      <c r="N998" s="5" t="str">
        <v/>
      </c>
      <c r="O998" s="5">
        <v>92574</v>
      </c>
      <c r="P998" s="5">
        <v>8</v>
      </c>
      <c r="Q998" s="14">
        <v>46259</v>
      </c>
      <c r="R998" s="15">
        <v>0</v>
      </c>
    </row>
    <row r="999" spans="2:18" x14ac:dyDescent="0.35">
      <c r="B999" s="9">
        <v>110</v>
      </c>
      <c r="C999" s="9" t="str">
        <v>출고재고</v>
      </c>
      <c r="D999" s="9" t="str">
        <v/>
      </c>
      <c r="E999" s="9" t="str">
        <v/>
      </c>
      <c r="F999" s="9" t="str">
        <v/>
      </c>
      <c r="G999" s="9" t="str">
        <v/>
      </c>
      <c r="H999" s="9" t="str">
        <v>RF-10A-2086</v>
      </c>
      <c r="I999" s="11" t="str">
        <v>RF-10A-2086]ASM JETSON NANO</v>
      </c>
      <c r="J999" s="9">
        <v>9</v>
      </c>
      <c r="K999" s="9" t="str">
        <v/>
      </c>
      <c r="L999" s="9" t="str">
        <v>A6-3</v>
      </c>
      <c r="M999" s="12">
        <v>46224</v>
      </c>
      <c r="N999" s="5" t="str">
        <v/>
      </c>
      <c r="O999" s="5">
        <v>92574</v>
      </c>
      <c r="P999" s="5">
        <v>9</v>
      </c>
      <c r="Q999" s="14">
        <v>46259</v>
      </c>
      <c r="R999" s="15">
        <v>0</v>
      </c>
    </row>
    <row r="1000" spans="2:18" x14ac:dyDescent="0.35">
      <c r="B1000" s="9">
        <v>118</v>
      </c>
      <c r="C1000" s="9" t="str">
        <v>출고재고</v>
      </c>
      <c r="D1000" s="9" t="str">
        <v/>
      </c>
      <c r="E1000" s="9" t="str">
        <v/>
      </c>
      <c r="F1000" s="9" t="str">
        <v/>
      </c>
      <c r="G1000" s="9" t="str">
        <v/>
      </c>
      <c r="H1000" s="9" t="str">
        <v>RF-01S-5095</v>
      </c>
      <c r="I1000" s="11" t="str">
        <v/>
      </c>
      <c r="J1000" s="9">
        <v>10</v>
      </c>
      <c r="K1000" s="9" t="str">
        <v/>
      </c>
      <c r="L1000" s="9" t="str">
        <v>3F10</v>
      </c>
      <c r="M1000" s="12">
        <v>46224</v>
      </c>
      <c r="N1000" s="5" t="str">
        <v/>
      </c>
      <c r="O1000" s="5">
        <v>92574</v>
      </c>
      <c r="P1000" s="5">
        <v>10</v>
      </c>
      <c r="Q1000" s="14">
        <v>46259</v>
      </c>
      <c r="R1000" s="15">
        <v>0</v>
      </c>
    </row>
    <row r="1001" spans="2:18" x14ac:dyDescent="0.35">
      <c r="B1001" s="9">
        <v>336</v>
      </c>
      <c r="C1001" s="9" t="str">
        <v>출고재고</v>
      </c>
      <c r="D1001" s="9" t="str">
        <v/>
      </c>
      <c r="E1001" s="9" t="str">
        <v>입고</v>
      </c>
      <c r="F1001" s="9" t="str">
        <v/>
      </c>
      <c r="G1001" s="9" t="str">
        <v/>
      </c>
      <c r="H1001" s="9" t="str">
        <v>RF-01H-5069</v>
      </c>
      <c r="I1001" s="11" t="str">
        <v>RF-01H-5069]LED_Bottom harness</v>
      </c>
      <c r="J1001" s="9">
        <v>10</v>
      </c>
      <c r="K1001" s="9" t="str">
        <v/>
      </c>
      <c r="L1001" s="9" t="str">
        <v>3S3-5</v>
      </c>
      <c r="M1001" s="12">
        <v>46227</v>
      </c>
      <c r="N1001" s="5" t="str">
        <v/>
      </c>
      <c r="O1001" s="5">
        <v>92574</v>
      </c>
      <c r="P1001" s="5">
        <v>10</v>
      </c>
      <c r="Q1001" s="14">
        <v>46259</v>
      </c>
      <c r="R1001" s="15">
        <v>0</v>
      </c>
    </row>
    <row r="1002" spans="2:18" x14ac:dyDescent="0.35">
      <c r="B1002" s="9">
        <v>501</v>
      </c>
      <c r="C1002" s="9" t="str">
        <v>출고재고</v>
      </c>
      <c r="D1002" s="9" t="str">
        <v/>
      </c>
      <c r="E1002" s="9" t="str">
        <v>입고</v>
      </c>
      <c r="F1002" s="9" t="str">
        <v>하이크로봇</v>
      </c>
      <c r="G1002" s="9" t="str">
        <v>장동은</v>
      </c>
      <c r="H1002" s="9" t="str">
        <v>RF-01S-5084</v>
      </c>
      <c r="I1002" s="11" t="str">
        <v>RF-01S-5084]CAM Trigger_C harness</v>
      </c>
      <c r="J1002" s="9">
        <v>10</v>
      </c>
      <c r="K1002" s="9" t="str">
        <v/>
      </c>
      <c r="L1002" s="9" t="str">
        <v>3L3-2</v>
      </c>
      <c r="M1002" s="12">
        <v>46265</v>
      </c>
      <c r="N1002" s="5" t="str">
        <v/>
      </c>
      <c r="O1002" s="5">
        <v>92574</v>
      </c>
      <c r="P1002" s="5">
        <v>2</v>
      </c>
      <c r="Q1002" s="14">
        <v>46268</v>
      </c>
      <c r="R1002" s="15">
        <v>8</v>
      </c>
    </row>
    <row r="1003" spans="2:18" x14ac:dyDescent="0.35">
      <c r="B1003" s="9">
        <v>504</v>
      </c>
      <c r="C1003" s="9" t="str">
        <v>출고재고</v>
      </c>
      <c r="D1003" s="9" t="str">
        <v/>
      </c>
      <c r="E1003" s="9" t="str">
        <v>입고</v>
      </c>
      <c r="F1003" s="9" t="str">
        <v>하이크로봇</v>
      </c>
      <c r="G1003" s="9" t="str">
        <v>장동은</v>
      </c>
      <c r="H1003" s="9" t="str">
        <v>RF-01S-5093</v>
      </c>
      <c r="I1003" s="11" t="str">
        <v>RF-01S-5093]CAM Cable_TEETH_R</v>
      </c>
      <c r="J1003" s="9">
        <v>10</v>
      </c>
      <c r="K1003" s="9" t="str">
        <v/>
      </c>
      <c r="L1003" s="9" t="str">
        <v>3F10</v>
      </c>
      <c r="M1003" s="12">
        <v>46265</v>
      </c>
      <c r="N1003" s="5" t="str">
        <v/>
      </c>
      <c r="O1003" s="5">
        <v>92574</v>
      </c>
      <c r="P1003" s="5">
        <v>4</v>
      </c>
      <c r="Q1003" s="14">
        <v>46268</v>
      </c>
      <c r="R1003" s="15">
        <v>6</v>
      </c>
    </row>
    <row r="1004" spans="2:18" x14ac:dyDescent="0.35">
      <c r="B1004" s="9">
        <v>324</v>
      </c>
      <c r="C1004" s="9" t="str">
        <v>출고재고</v>
      </c>
      <c r="D1004" s="9" t="str">
        <v/>
      </c>
      <c r="E1004" s="9" t="str">
        <v>입고</v>
      </c>
      <c r="F1004" s="9" t="str">
        <v/>
      </c>
      <c r="G1004" s="9" t="str">
        <v/>
      </c>
      <c r="H1004" s="9" t="str">
        <v>RF-01H-5053</v>
      </c>
      <c r="I1004" s="11" t="str">
        <v>RF-01H-5053]USB to PC harness</v>
      </c>
      <c r="J1004" s="9">
        <v>11</v>
      </c>
      <c r="K1004" s="9" t="str">
        <v/>
      </c>
      <c r="L1004" s="9" t="str">
        <v>3S3-4</v>
      </c>
      <c r="M1004" s="12">
        <v>46227</v>
      </c>
      <c r="N1004" s="5" t="str">
        <v/>
      </c>
      <c r="O1004" s="5">
        <v>92574</v>
      </c>
      <c r="P1004" s="5">
        <v>11</v>
      </c>
      <c r="Q1004" s="14">
        <v>46259</v>
      </c>
      <c r="R1004" s="15">
        <v>0</v>
      </c>
    </row>
    <row r="1005" spans="2:18" x14ac:dyDescent="0.35">
      <c r="B1005" s="9">
        <v>395</v>
      </c>
      <c r="C1005" s="9" t="str">
        <v>출고재고</v>
      </c>
      <c r="D1005" s="9" t="str">
        <v/>
      </c>
      <c r="E1005" s="9" t="str">
        <v/>
      </c>
      <c r="F1005" s="9" t="str">
        <v/>
      </c>
      <c r="G1005" s="9" t="str">
        <v/>
      </c>
      <c r="H1005" s="9" t="str">
        <v>RF-20A-0383</v>
      </c>
      <c r="I1005" s="11" t="str">
        <v/>
      </c>
      <c r="J1005" s="9">
        <v>11</v>
      </c>
      <c r="K1005" s="9" t="str">
        <v/>
      </c>
      <c r="L1005" s="9" t="str">
        <v>3L1-3</v>
      </c>
      <c r="M1005" s="12">
        <v>46253</v>
      </c>
      <c r="N1005" s="5" t="str">
        <v/>
      </c>
      <c r="O1005" s="5">
        <v>92574</v>
      </c>
      <c r="P1005" s="5">
        <v>11</v>
      </c>
      <c r="Q1005" s="14">
        <v>46259</v>
      </c>
      <c r="R1005" s="15">
        <v>0</v>
      </c>
    </row>
    <row r="1006" spans="2:18" x14ac:dyDescent="0.35">
      <c r="B1006" s="9">
        <v>341</v>
      </c>
      <c r="C1006" s="9" t="str">
        <v>출고재고</v>
      </c>
      <c r="D1006" s="9" t="str">
        <v/>
      </c>
      <c r="E1006" s="9" t="str">
        <v>입고</v>
      </c>
      <c r="F1006" s="9" t="str">
        <v/>
      </c>
      <c r="G1006" s="9" t="str">
        <v/>
      </c>
      <c r="H1006" s="9" t="str">
        <v>RF-01H-5075</v>
      </c>
      <c r="I1006" s="11" t="str">
        <v>RF-01H-5075] USB to Cal kit harness</v>
      </c>
      <c r="J1006" s="9">
        <v>12</v>
      </c>
      <c r="K1006" s="9" t="str">
        <v/>
      </c>
      <c r="L1006" s="9" t="str">
        <v>3S3-6</v>
      </c>
      <c r="M1006" s="12">
        <v>46227</v>
      </c>
      <c r="N1006" s="5" t="str">
        <v/>
      </c>
      <c r="O1006" s="5">
        <v>92574</v>
      </c>
      <c r="P1006" s="5">
        <v>12</v>
      </c>
      <c r="Q1006" s="14">
        <v>46259</v>
      </c>
      <c r="R1006" s="15">
        <v>0</v>
      </c>
    </row>
    <row r="1007" spans="2:18" x14ac:dyDescent="0.35">
      <c r="B1007" s="9">
        <v>489</v>
      </c>
      <c r="C1007" s="9" t="str">
        <v>출고재고</v>
      </c>
      <c r="D1007" s="9" t="str">
        <v/>
      </c>
      <c r="E1007" s="9" t="str">
        <v/>
      </c>
      <c r="F1007" s="9" t="str">
        <v/>
      </c>
      <c r="G1007" s="9" t="str">
        <v/>
      </c>
      <c r="H1007" s="9" t="str">
        <v>RF-01M-0396</v>
      </c>
      <c r="I1007" s="11" t="str">
        <v>RF-01M-0396]FRAME PIPE ALIGN</v>
      </c>
      <c r="J1007" s="9">
        <v>12</v>
      </c>
      <c r="K1007" s="9" t="str">
        <v/>
      </c>
      <c r="L1007" s="9" t="str">
        <v>3C10</v>
      </c>
      <c r="M1007" s="12">
        <v>46268</v>
      </c>
      <c r="N1007" s="5" t="str">
        <v/>
      </c>
      <c r="O1007" s="5">
        <v>92574</v>
      </c>
      <c r="P1007" s="5">
        <v>3</v>
      </c>
      <c r="Q1007" s="14">
        <v>46268</v>
      </c>
      <c r="R1007" s="15">
        <v>9</v>
      </c>
    </row>
    <row r="1008" spans="2:18" x14ac:dyDescent="0.35">
      <c r="B1008" s="9">
        <v>326</v>
      </c>
      <c r="C1008" s="9" t="str">
        <v>출고재고</v>
      </c>
      <c r="D1008" s="9" t="str">
        <v/>
      </c>
      <c r="E1008" s="9" t="str">
        <v>입고</v>
      </c>
      <c r="F1008" s="9" t="str">
        <v/>
      </c>
      <c r="G1008" s="9" t="str">
        <v/>
      </c>
      <c r="H1008" s="9" t="str">
        <v>RF-01H-5054</v>
      </c>
      <c r="I1008" s="11" t="str">
        <v>RF-01H-5054]DLP Power harness</v>
      </c>
      <c r="J1008" s="9">
        <v>14</v>
      </c>
      <c r="K1008" s="9" t="str">
        <v/>
      </c>
      <c r="L1008" s="9" t="str">
        <v>3S3-4</v>
      </c>
      <c r="M1008" s="12">
        <v>46227</v>
      </c>
      <c r="N1008" s="5" t="str">
        <v/>
      </c>
      <c r="O1008" s="5">
        <v>92574</v>
      </c>
      <c r="P1008" s="5">
        <v>14</v>
      </c>
      <c r="Q1008" s="14">
        <v>46259</v>
      </c>
      <c r="R1008" s="15">
        <v>0</v>
      </c>
    </row>
    <row r="1009" spans="2:18" x14ac:dyDescent="0.35">
      <c r="B1009" s="9">
        <v>333</v>
      </c>
      <c r="C1009" s="9" t="str">
        <v>출고재고</v>
      </c>
      <c r="D1009" s="9" t="str">
        <v/>
      </c>
      <c r="E1009" s="9" t="str">
        <v>입고</v>
      </c>
      <c r="F1009" s="9" t="str">
        <v/>
      </c>
      <c r="G1009" s="9" t="str">
        <v/>
      </c>
      <c r="H1009" s="9" t="str">
        <v>RF-01H-5067</v>
      </c>
      <c r="I1009" s="11" t="str">
        <v>RF-01H-5067]LED_Right harness</v>
      </c>
      <c r="J1009" s="9">
        <v>15</v>
      </c>
      <c r="K1009" s="9" t="str">
        <v/>
      </c>
      <c r="L1009" s="9" t="str">
        <v>3S3-5</v>
      </c>
      <c r="M1009" s="12">
        <v>46227</v>
      </c>
      <c r="N1009" s="5" t="str">
        <v/>
      </c>
      <c r="O1009" s="5">
        <v>92574</v>
      </c>
      <c r="P1009" s="5">
        <v>15</v>
      </c>
      <c r="Q1009" s="14">
        <v>46259</v>
      </c>
      <c r="R1009" s="15">
        <v>0</v>
      </c>
    </row>
    <row r="1010" spans="2:18" x14ac:dyDescent="0.35">
      <c r="B1010" s="9">
        <v>413</v>
      </c>
      <c r="C1010" s="9" t="str">
        <v>출고재고</v>
      </c>
      <c r="D1010" s="9" t="str">
        <v/>
      </c>
      <c r="E1010" s="9" t="str">
        <v>기초추가</v>
      </c>
      <c r="F1010" s="9" t="str">
        <v/>
      </c>
      <c r="G1010" s="9" t="str">
        <v/>
      </c>
      <c r="H1010" s="9" t="str">
        <v>RF-01M-0268</v>
      </c>
      <c r="I1010" s="11" t="str">
        <v>RF-01M-0268]TEETH CAM BLK_HR</v>
      </c>
      <c r="J1010" s="9">
        <v>16</v>
      </c>
      <c r="K1010" s="9" t="str">
        <v/>
      </c>
      <c r="L1010" s="9" t="str">
        <v>3S2-1</v>
      </c>
      <c r="M1010" s="12">
        <v>46259</v>
      </c>
      <c r="N1010" s="5" t="str">
        <v/>
      </c>
      <c r="O1010" s="5">
        <v>92574</v>
      </c>
      <c r="P1010" s="5">
        <v>16</v>
      </c>
      <c r="Q1010" s="14">
        <v>46259</v>
      </c>
      <c r="R1010" s="15">
        <v>0</v>
      </c>
    </row>
    <row r="1011" spans="2:18" x14ac:dyDescent="0.35">
      <c r="B1011" s="9">
        <v>328</v>
      </c>
      <c r="C1011" s="9" t="str">
        <v>출고재고</v>
      </c>
      <c r="D1011" s="9" t="str">
        <v/>
      </c>
      <c r="E1011" s="9" t="str">
        <v>입고</v>
      </c>
      <c r="F1011" s="9" t="str">
        <v/>
      </c>
      <c r="G1011" s="9" t="str">
        <v/>
      </c>
      <c r="H1011" s="9" t="str">
        <v>RF-01H-5055</v>
      </c>
      <c r="I1011" s="11" t="str">
        <v>RF-01H-5055]LED Power harness</v>
      </c>
      <c r="J1011" s="9">
        <v>18</v>
      </c>
      <c r="K1011" s="9" t="str">
        <v/>
      </c>
      <c r="L1011" s="9" t="str">
        <v>3S3-4</v>
      </c>
      <c r="M1011" s="12">
        <v>46227</v>
      </c>
      <c r="N1011" s="5" t="str">
        <v/>
      </c>
      <c r="O1011" s="5">
        <v>92574</v>
      </c>
      <c r="P1011" s="5">
        <v>18</v>
      </c>
      <c r="Q1011" s="14">
        <v>46259</v>
      </c>
      <c r="R1011" s="15">
        <v>0</v>
      </c>
    </row>
    <row r="1012" spans="2:18" x14ac:dyDescent="0.35">
      <c r="B1012" s="9">
        <v>370</v>
      </c>
      <c r="C1012" s="9" t="str">
        <v>출고재고</v>
      </c>
      <c r="D1012" s="9" t="str">
        <v/>
      </c>
      <c r="E1012" s="9" t="str">
        <v/>
      </c>
      <c r="F1012" s="9" t="str">
        <v/>
      </c>
      <c r="G1012" s="9" t="str">
        <v/>
      </c>
      <c r="H1012" s="9" t="str">
        <v>RF-01S-5046</v>
      </c>
      <c r="I1012" s="11" t="str">
        <v>RF-01S-5046]DLP ENGINE</v>
      </c>
      <c r="J1012" s="9">
        <v>24</v>
      </c>
      <c r="K1012" s="9" t="str">
        <v/>
      </c>
      <c r="L1012" s="9" t="str">
        <v>3C7</v>
      </c>
      <c r="M1012" s="12">
        <v>46253</v>
      </c>
      <c r="N1012" s="5" t="str">
        <v/>
      </c>
      <c r="O1012" s="5">
        <v>92574</v>
      </c>
      <c r="P1012" s="5">
        <v>24</v>
      </c>
      <c r="Q1012" s="14">
        <v>46259</v>
      </c>
      <c r="R1012" s="15">
        <v>0</v>
      </c>
    </row>
    <row r="1013" spans="2:18" x14ac:dyDescent="0.35">
      <c r="B1013" s="9">
        <v>150</v>
      </c>
      <c r="C1013" s="9" t="str">
        <v>출고재고</v>
      </c>
      <c r="D1013" s="9" t="str">
        <v/>
      </c>
      <c r="E1013" s="9" t="str">
        <v/>
      </c>
      <c r="F1013" s="9" t="str">
        <v/>
      </c>
      <c r="G1013" s="9" t="str">
        <v/>
      </c>
      <c r="H1013" s="9" t="str">
        <v>RF-01T-0353</v>
      </c>
      <c r="I1013" s="11" t="str">
        <v>RF-01T-0353]WINDOW LED</v>
      </c>
      <c r="J1013" s="9">
        <v>25</v>
      </c>
      <c r="K1013" s="9" t="str">
        <v/>
      </c>
      <c r="L1013" s="9" t="str">
        <v>3E9</v>
      </c>
      <c r="M1013" s="12">
        <v>46226</v>
      </c>
      <c r="N1013" s="5" t="str">
        <v/>
      </c>
      <c r="O1013" s="5">
        <v>92574</v>
      </c>
      <c r="P1013" s="5">
        <v>25</v>
      </c>
      <c r="Q1013" s="14">
        <v>46259</v>
      </c>
      <c r="R1013" s="15">
        <v>0</v>
      </c>
    </row>
    <row r="1014" spans="2:18" x14ac:dyDescent="0.35">
      <c r="B1014" s="9">
        <v>376</v>
      </c>
      <c r="C1014" s="9" t="str">
        <v>출고재고</v>
      </c>
      <c r="D1014" s="9" t="str">
        <v/>
      </c>
      <c r="E1014" s="9" t="str">
        <v/>
      </c>
      <c r="F1014" s="9" t="str">
        <v/>
      </c>
      <c r="G1014" s="9" t="str">
        <v/>
      </c>
      <c r="H1014" s="9" t="str">
        <v>RF-01T-0171</v>
      </c>
      <c r="I1014" s="11" t="str">
        <v>RF-01T-0171]ARM CVR REAR R</v>
      </c>
      <c r="J1014" s="9">
        <v>25</v>
      </c>
      <c r="K1014" s="9" t="str">
        <v/>
      </c>
      <c r="L1014" s="9" t="str">
        <v>3B4</v>
      </c>
      <c r="M1014" s="12">
        <v>46253</v>
      </c>
      <c r="N1014" s="5" t="str">
        <v/>
      </c>
      <c r="O1014" s="5">
        <v>92574</v>
      </c>
      <c r="P1014" s="5">
        <v>25</v>
      </c>
      <c r="Q1014" s="14">
        <v>46259</v>
      </c>
      <c r="R1014" s="15">
        <v>0</v>
      </c>
    </row>
    <row r="1015" spans="2:18" x14ac:dyDescent="0.35">
      <c r="B1015" s="9">
        <v>103</v>
      </c>
      <c r="C1015" s="9" t="str">
        <v>출고재고</v>
      </c>
      <c r="D1015" s="9" t="str">
        <v/>
      </c>
      <c r="E1015" s="9" t="str">
        <v/>
      </c>
      <c r="F1015" s="9" t="str">
        <v/>
      </c>
      <c r="G1015" s="9" t="str">
        <v/>
      </c>
      <c r="H1015" s="9" t="str">
        <v>RF-01S-5049</v>
      </c>
      <c r="I1015" s="11" t="str">
        <v>RF-01S-5049]Face Lens</v>
      </c>
      <c r="J1015" s="9">
        <v>40</v>
      </c>
      <c r="K1015" s="9" t="str">
        <v/>
      </c>
      <c r="L1015" s="9" t="str">
        <v>3L4-2</v>
      </c>
      <c r="M1015" s="12">
        <v>46224</v>
      </c>
      <c r="N1015" s="5" t="str">
        <v/>
      </c>
      <c r="O1015" s="5">
        <v>92574</v>
      </c>
      <c r="P1015" s="5">
        <v>40</v>
      </c>
      <c r="Q1015" s="14">
        <v>46259</v>
      </c>
      <c r="R1015" s="15">
        <v>0</v>
      </c>
    </row>
    <row r="1016" spans="2:18" x14ac:dyDescent="0.35">
      <c r="B1016" s="9">
        <v>93</v>
      </c>
      <c r="C1016" s="9" t="str">
        <v>출고재고</v>
      </c>
      <c r="D1016" s="9" t="str">
        <v/>
      </c>
      <c r="E1016" s="9" t="str">
        <v/>
      </c>
      <c r="F1016" s="9" t="str">
        <v/>
      </c>
      <c r="G1016" s="9" t="str">
        <v/>
      </c>
      <c r="H1016" s="9" t="str">
        <v>RF-01T-0160</v>
      </c>
      <c r="I1016" s="11" t="str">
        <v>RF-01T-0160_C]Bas BOT LWR</v>
      </c>
      <c r="J1016" s="9">
        <v>45</v>
      </c>
      <c r="K1016" s="9" t="str">
        <v/>
      </c>
      <c r="L1016" s="9" t="str">
        <v>3B6</v>
      </c>
      <c r="M1016" s="12">
        <v>46224</v>
      </c>
      <c r="N1016" s="5" t="str">
        <v/>
      </c>
      <c r="O1016" s="5">
        <v>92574</v>
      </c>
      <c r="P1016" s="5">
        <v>45</v>
      </c>
      <c r="Q1016" s="14">
        <v>46259</v>
      </c>
      <c r="R1016" s="15">
        <v>0</v>
      </c>
    </row>
    <row r="1017" spans="2:18" x14ac:dyDescent="0.35">
      <c r="B1017" s="9">
        <v>100</v>
      </c>
      <c r="C1017" s="9" t="str">
        <v>출고재고</v>
      </c>
      <c r="D1017" s="9" t="str">
        <v/>
      </c>
      <c r="E1017" s="9" t="str">
        <v/>
      </c>
      <c r="F1017" s="9" t="str">
        <v/>
      </c>
      <c r="G1017" s="9" t="str">
        <v/>
      </c>
      <c r="H1017" s="9" t="str">
        <v>RF-20A-0369</v>
      </c>
      <c r="I1017" s="11" t="str">
        <v>MODULE ARM RIGHT</v>
      </c>
      <c r="J1017" s="9">
        <v>45</v>
      </c>
      <c r="K1017" s="9" t="str">
        <v/>
      </c>
      <c r="L1017" s="9" t="str">
        <v>3C6</v>
      </c>
      <c r="M1017" s="12">
        <v>46224</v>
      </c>
      <c r="N1017" s="5" t="str">
        <v/>
      </c>
      <c r="O1017" s="5">
        <v>92574</v>
      </c>
      <c r="P1017" s="5">
        <v>45</v>
      </c>
      <c r="Q1017" s="14">
        <v>46259</v>
      </c>
      <c r="R1017" s="15">
        <v>0</v>
      </c>
    </row>
    <row r="1018" spans="2:18" x14ac:dyDescent="0.35">
      <c r="B1018" s="9">
        <v>116</v>
      </c>
      <c r="C1018" s="9" t="str">
        <v>출고재고</v>
      </c>
      <c r="D1018" s="9" t="str">
        <v/>
      </c>
      <c r="E1018" s="9" t="str">
        <v/>
      </c>
      <c r="F1018" s="9" t="str">
        <v/>
      </c>
      <c r="G1018" s="9" t="str">
        <v/>
      </c>
      <c r="H1018" s="9" t="str">
        <v>RF-01H-5068</v>
      </c>
      <c r="I1018" s="11" t="str">
        <v>RF-01H-5068]LED_Left harness</v>
      </c>
      <c r="J1018" s="9">
        <v>45</v>
      </c>
      <c r="K1018" s="9" t="str">
        <v/>
      </c>
      <c r="L1018" s="9" t="str">
        <v>3S3-5</v>
      </c>
      <c r="M1018" s="12">
        <v>46224</v>
      </c>
      <c r="N1018" s="5" t="str">
        <v/>
      </c>
      <c r="O1018" s="5">
        <v>92574</v>
      </c>
      <c r="P1018" s="5">
        <v>45</v>
      </c>
      <c r="Q1018" s="14">
        <v>46259</v>
      </c>
      <c r="R1018" s="15">
        <v>0</v>
      </c>
    </row>
    <row r="1019" spans="2:18" x14ac:dyDescent="0.35">
      <c r="B1019" s="9">
        <v>122</v>
      </c>
      <c r="C1019" s="9" t="str">
        <v>출고재고</v>
      </c>
      <c r="D1019" s="9" t="str">
        <v/>
      </c>
      <c r="E1019" s="9" t="str">
        <v/>
      </c>
      <c r="F1019" s="9" t="str">
        <v/>
      </c>
      <c r="G1019" s="9" t="str">
        <v/>
      </c>
      <c r="H1019" s="9" t="str">
        <v>RF-01S-5093</v>
      </c>
      <c r="I1019" s="11" t="str">
        <v>RF-01S-5093]CAM Cable_TEETH_R</v>
      </c>
      <c r="J1019" s="9">
        <v>45</v>
      </c>
      <c r="K1019" s="9" t="str">
        <v/>
      </c>
      <c r="L1019" s="9" t="str">
        <v>3F10</v>
      </c>
      <c r="M1019" s="12">
        <v>46224</v>
      </c>
      <c r="N1019" s="5" t="str">
        <v/>
      </c>
      <c r="O1019" s="5">
        <v>92574</v>
      </c>
      <c r="P1019" s="5">
        <v>45</v>
      </c>
      <c r="Q1019" s="14">
        <v>46259</v>
      </c>
      <c r="R1019" s="15">
        <v>0</v>
      </c>
    </row>
    <row r="1020" spans="2:18" x14ac:dyDescent="0.35">
      <c r="B1020" s="9">
        <v>372</v>
      </c>
      <c r="C1020" s="9" t="str">
        <v>출고재고</v>
      </c>
      <c r="D1020" s="9" t="str">
        <v/>
      </c>
      <c r="E1020" s="9" t="str">
        <v/>
      </c>
      <c r="F1020" s="9" t="str">
        <v/>
      </c>
      <c r="G1020" s="9" t="str">
        <v/>
      </c>
      <c r="H1020" s="9" t="str">
        <v>RF-01S-5084</v>
      </c>
      <c r="I1020" s="11" t="str">
        <v>RF-01S-5084]CAM Trigger_C harness</v>
      </c>
      <c r="J1020" s="9">
        <v>46</v>
      </c>
      <c r="K1020" s="9" t="str">
        <v/>
      </c>
      <c r="L1020" s="9" t="str">
        <v>3L3-2</v>
      </c>
      <c r="M1020" s="12">
        <v>46230</v>
      </c>
      <c r="N1020" s="5" t="str">
        <v/>
      </c>
      <c r="O1020" s="5">
        <v>92574</v>
      </c>
      <c r="P1020" s="5">
        <v>46</v>
      </c>
      <c r="Q1020" s="14">
        <v>46259</v>
      </c>
      <c r="R1020" s="15">
        <v>0</v>
      </c>
    </row>
    <row r="1021" spans="2:18" x14ac:dyDescent="0.35">
      <c r="B1021" s="9">
        <v>369</v>
      </c>
      <c r="C1021" s="9" t="str">
        <v>출고재고</v>
      </c>
      <c r="D1021" s="9" t="str">
        <v/>
      </c>
      <c r="E1021" s="9" t="str">
        <v/>
      </c>
      <c r="F1021" s="9" t="str">
        <v/>
      </c>
      <c r="G1021" s="9" t="str">
        <v/>
      </c>
      <c r="H1021" s="9" t="str">
        <v>RF-01M-0396</v>
      </c>
      <c r="I1021" s="11" t="str">
        <v>RF-01M-0396]FRAME PIPE ALIGN</v>
      </c>
      <c r="J1021" s="9">
        <v>47</v>
      </c>
      <c r="K1021" s="9" t="str">
        <v/>
      </c>
      <c r="L1021" s="9" t="str">
        <v>3C10</v>
      </c>
      <c r="M1021" s="12">
        <v>46253</v>
      </c>
      <c r="N1021" s="5" t="str">
        <v/>
      </c>
      <c r="O1021" s="5">
        <v>92574</v>
      </c>
      <c r="P1021" s="5">
        <v>47</v>
      </c>
      <c r="Q1021" s="14">
        <v>46259</v>
      </c>
      <c r="R1021" s="15">
        <v>0</v>
      </c>
    </row>
    <row r="1022" spans="2:18" x14ac:dyDescent="0.35">
      <c r="B1022" s="9">
        <v>377</v>
      </c>
      <c r="C1022" s="9" t="str">
        <v>출고재고</v>
      </c>
      <c r="D1022" s="9" t="str">
        <v/>
      </c>
      <c r="E1022" s="9" t="str">
        <v/>
      </c>
      <c r="F1022" s="9" t="str">
        <v/>
      </c>
      <c r="G1022" s="9" t="str">
        <v/>
      </c>
      <c r="H1022" s="9" t="str">
        <v>RF-01T-0172</v>
      </c>
      <c r="I1022" s="11" t="str">
        <v>RF-01T-0172]ARM CVR REAR L</v>
      </c>
      <c r="J1022" s="9">
        <v>47</v>
      </c>
      <c r="K1022" s="9" t="str">
        <v/>
      </c>
      <c r="L1022" s="9" t="str">
        <v>3B5</v>
      </c>
      <c r="M1022" s="12">
        <v>46227</v>
      </c>
      <c r="N1022" s="5" t="str">
        <v/>
      </c>
      <c r="O1022" s="5">
        <v>92574</v>
      </c>
      <c r="P1022" s="5">
        <v>47</v>
      </c>
      <c r="Q1022" s="14">
        <v>46259</v>
      </c>
      <c r="R1022" s="15">
        <v>0</v>
      </c>
    </row>
    <row r="1023" spans="2:18" x14ac:dyDescent="0.35">
      <c r="B1023" s="9">
        <v>379</v>
      </c>
      <c r="C1023" s="9" t="str">
        <v>출고재고</v>
      </c>
      <c r="D1023" s="9" t="str">
        <v/>
      </c>
      <c r="E1023" s="9" t="str">
        <v/>
      </c>
      <c r="F1023" s="9" t="str">
        <v/>
      </c>
      <c r="G1023" s="9" t="str">
        <v/>
      </c>
      <c r="H1023" s="9" t="str">
        <v>RF-01T-0173</v>
      </c>
      <c r="I1023" s="11" t="str">
        <v>RF-01T-0173]ARM CVR REAR DECO</v>
      </c>
      <c r="J1023" s="9">
        <v>49</v>
      </c>
      <c r="K1023" s="9" t="str">
        <v/>
      </c>
      <c r="L1023" s="9" t="str">
        <v>3B8</v>
      </c>
      <c r="M1023" s="12">
        <v>46253</v>
      </c>
      <c r="N1023" s="5" t="str">
        <v/>
      </c>
      <c r="O1023" s="5">
        <v>92574</v>
      </c>
      <c r="P1023" s="5">
        <v>49</v>
      </c>
      <c r="Q1023" s="14">
        <v>46259</v>
      </c>
      <c r="R1023" s="15">
        <v>0</v>
      </c>
    </row>
    <row r="1024" spans="2:18" x14ac:dyDescent="0.35">
      <c r="B1024" s="9">
        <v>101</v>
      </c>
      <c r="C1024" s="9" t="str">
        <v>출고재고</v>
      </c>
      <c r="D1024" s="9" t="str">
        <v/>
      </c>
      <c r="E1024" s="9" t="str">
        <v/>
      </c>
      <c r="F1024" s="9" t="str">
        <v/>
      </c>
      <c r="G1024" s="9" t="str">
        <v/>
      </c>
      <c r="H1024" s="9" t="str">
        <v>RF-20A-0381</v>
      </c>
      <c r="I1024" s="11" t="str">
        <v/>
      </c>
      <c r="J1024" s="9">
        <v>50</v>
      </c>
      <c r="K1024" s="9" t="str">
        <v/>
      </c>
      <c r="L1024" s="9" t="str">
        <v>3I5</v>
      </c>
      <c r="M1024" s="12">
        <v>46224</v>
      </c>
      <c r="N1024" s="5" t="str">
        <v/>
      </c>
      <c r="O1024" s="5">
        <v>92574</v>
      </c>
      <c r="P1024" s="5">
        <v>50</v>
      </c>
      <c r="Q1024" s="14">
        <v>46259</v>
      </c>
      <c r="R1024" s="15">
        <v>0</v>
      </c>
    </row>
    <row r="1025" spans="2:18" x14ac:dyDescent="0.35">
      <c r="B1025" s="9">
        <v>155</v>
      </c>
      <c r="C1025" s="9" t="str">
        <v>출고재고</v>
      </c>
      <c r="D1025" s="9" t="str">
        <v/>
      </c>
      <c r="E1025" s="9" t="str">
        <v/>
      </c>
      <c r="F1025" s="9" t="str">
        <v/>
      </c>
      <c r="G1025" s="9" t="str">
        <v/>
      </c>
      <c r="H1025" s="9" t="str">
        <v>RF-20A-0280</v>
      </c>
      <c r="I1025" s="11" t="str">
        <v>RF-20A-0280]MODULE DLP MCU BRACKET</v>
      </c>
      <c r="J1025" s="9">
        <v>50</v>
      </c>
      <c r="K1025" s="9" t="str">
        <v/>
      </c>
      <c r="L1025" s="9" t="str">
        <v>3F2</v>
      </c>
      <c r="M1025" s="12">
        <v>46227</v>
      </c>
      <c r="N1025" s="5" t="str">
        <v/>
      </c>
      <c r="O1025" s="5">
        <v>92574</v>
      </c>
      <c r="P1025" s="5">
        <v>50</v>
      </c>
      <c r="Q1025" s="14">
        <v>46259</v>
      </c>
      <c r="R1025" s="15">
        <v>0</v>
      </c>
    </row>
    <row r="1026" spans="2:18" x14ac:dyDescent="0.35">
      <c r="B1026" s="9">
        <v>323</v>
      </c>
      <c r="C1026" s="9" t="str">
        <v>출고재고</v>
      </c>
      <c r="D1026" s="9" t="str">
        <v/>
      </c>
      <c r="E1026" s="9" t="str">
        <v>입고</v>
      </c>
      <c r="F1026" s="9" t="str">
        <v/>
      </c>
      <c r="G1026" s="9" t="str">
        <v/>
      </c>
      <c r="H1026" s="9" t="str">
        <v>RF-01H-5052</v>
      </c>
      <c r="I1026" s="11" t="str">
        <v>RF-01H-5052]USB TO SBC HARNESS</v>
      </c>
      <c r="J1026" s="9">
        <v>50</v>
      </c>
      <c r="K1026" s="9" t="str">
        <v/>
      </c>
      <c r="L1026" s="9" t="str">
        <v>3S3-4</v>
      </c>
      <c r="M1026" s="12">
        <v>46253</v>
      </c>
      <c r="N1026" s="5" t="str">
        <v/>
      </c>
      <c r="O1026" s="5">
        <v>92574</v>
      </c>
      <c r="P1026" s="5">
        <v>41</v>
      </c>
      <c r="Q1026" s="14">
        <v>46259</v>
      </c>
      <c r="R1026" s="15">
        <v>9</v>
      </c>
    </row>
    <row r="1027" spans="2:18" x14ac:dyDescent="0.35">
      <c r="B1027" s="9">
        <v>325</v>
      </c>
      <c r="C1027" s="9" t="str">
        <v>출고재고</v>
      </c>
      <c r="D1027" s="9" t="str">
        <v/>
      </c>
      <c r="E1027" s="9" t="str">
        <v>입고</v>
      </c>
      <c r="F1027" s="9" t="str">
        <v/>
      </c>
      <c r="G1027" s="9" t="str">
        <v/>
      </c>
      <c r="H1027" s="9" t="str">
        <v>RF-01H-5053</v>
      </c>
      <c r="I1027" s="11" t="str">
        <v>RF-01H-5053]USB to PC harness</v>
      </c>
      <c r="J1027" s="9">
        <v>50</v>
      </c>
      <c r="K1027" s="9" t="str">
        <v/>
      </c>
      <c r="L1027" s="9" t="str">
        <v>3S3-4</v>
      </c>
      <c r="M1027" s="12">
        <v>46253</v>
      </c>
      <c r="N1027" s="5" t="str">
        <v/>
      </c>
      <c r="O1027" s="5">
        <v>92574</v>
      </c>
      <c r="P1027" s="5">
        <v>34</v>
      </c>
      <c r="Q1027" s="14">
        <v>46259</v>
      </c>
      <c r="R1027" s="15">
        <v>16</v>
      </c>
    </row>
    <row r="1028" spans="2:18" x14ac:dyDescent="0.35">
      <c r="B1028" s="9">
        <v>327</v>
      </c>
      <c r="C1028" s="9" t="str">
        <v>출고재고</v>
      </c>
      <c r="D1028" s="9" t="str">
        <v/>
      </c>
      <c r="E1028" s="9" t="str">
        <v>입고</v>
      </c>
      <c r="F1028" s="9" t="str">
        <v/>
      </c>
      <c r="G1028" s="9" t="str">
        <v/>
      </c>
      <c r="H1028" s="9" t="str">
        <v>RF-01H-5054</v>
      </c>
      <c r="I1028" s="11" t="str">
        <v>RF-01H-5054]DLP Power harness</v>
      </c>
      <c r="J1028" s="9">
        <v>50</v>
      </c>
      <c r="K1028" s="9" t="str">
        <v/>
      </c>
      <c r="L1028" s="9" t="str">
        <v>3S3-4</v>
      </c>
      <c r="M1028" s="12">
        <v>46253</v>
      </c>
      <c r="N1028" s="5" t="str">
        <v/>
      </c>
      <c r="O1028" s="5">
        <v>92574</v>
      </c>
      <c r="P1028" s="5">
        <v>34</v>
      </c>
      <c r="Q1028" s="14">
        <v>46259</v>
      </c>
      <c r="R1028" s="15">
        <v>16</v>
      </c>
    </row>
    <row r="1029" spans="2:18" x14ac:dyDescent="0.35">
      <c r="B1029" s="9">
        <v>329</v>
      </c>
      <c r="C1029" s="9" t="str">
        <v>출고재고</v>
      </c>
      <c r="D1029" s="9" t="str">
        <v/>
      </c>
      <c r="E1029" s="9" t="str">
        <v>입고</v>
      </c>
      <c r="F1029" s="9" t="str">
        <v/>
      </c>
      <c r="G1029" s="9" t="str">
        <v/>
      </c>
      <c r="H1029" s="9" t="str">
        <v>RF-01H-5055</v>
      </c>
      <c r="I1029" s="11" t="str">
        <v>RF-01H-5055]LED Power harness</v>
      </c>
      <c r="J1029" s="9">
        <v>50</v>
      </c>
      <c r="K1029" s="9" t="str">
        <v/>
      </c>
      <c r="L1029" s="9" t="str">
        <v>3S3-4</v>
      </c>
      <c r="M1029" s="12">
        <v>46253</v>
      </c>
      <c r="N1029" s="5" t="str">
        <v/>
      </c>
      <c r="O1029" s="5">
        <v>92574</v>
      </c>
      <c r="P1029" s="5">
        <v>29</v>
      </c>
      <c r="Q1029" s="14">
        <v>46259</v>
      </c>
      <c r="R1029" s="15">
        <v>21</v>
      </c>
    </row>
    <row r="1030" spans="2:18" x14ac:dyDescent="0.35">
      <c r="B1030" s="9">
        <v>334</v>
      </c>
      <c r="C1030" s="9" t="str">
        <v>출고재고</v>
      </c>
      <c r="D1030" s="9" t="str">
        <v/>
      </c>
      <c r="E1030" s="9" t="str">
        <v>입고</v>
      </c>
      <c r="F1030" s="9" t="str">
        <v/>
      </c>
      <c r="G1030" s="9" t="str">
        <v/>
      </c>
      <c r="H1030" s="9" t="str">
        <v>RF-01H-5067</v>
      </c>
      <c r="I1030" s="11" t="str">
        <v>RF-01H-5067]LED_Right harness</v>
      </c>
      <c r="J1030" s="9">
        <v>50</v>
      </c>
      <c r="K1030" s="9" t="str">
        <v/>
      </c>
      <c r="L1030" s="9" t="str">
        <v>3S3-5</v>
      </c>
      <c r="M1030" s="12">
        <v>46253</v>
      </c>
      <c r="N1030" s="5" t="str">
        <v/>
      </c>
      <c r="O1030" s="5">
        <v>92574</v>
      </c>
      <c r="P1030" s="5">
        <v>30</v>
      </c>
      <c r="Q1030" s="14">
        <v>46259</v>
      </c>
      <c r="R1030" s="15">
        <v>20</v>
      </c>
    </row>
    <row r="1031" spans="2:18" x14ac:dyDescent="0.35">
      <c r="B1031" s="9">
        <v>335</v>
      </c>
      <c r="C1031" s="9" t="str">
        <v>출고재고</v>
      </c>
      <c r="D1031" s="9" t="str">
        <v/>
      </c>
      <c r="E1031" s="9" t="str">
        <v>입고</v>
      </c>
      <c r="F1031" s="9" t="str">
        <v/>
      </c>
      <c r="G1031" s="9" t="str">
        <v/>
      </c>
      <c r="H1031" s="9" t="str">
        <v>RF-01H-5068</v>
      </c>
      <c r="I1031" s="11" t="str">
        <v>RF-01H-5068]LED_Left harness</v>
      </c>
      <c r="J1031" s="9">
        <v>50</v>
      </c>
      <c r="K1031" s="9" t="str">
        <v/>
      </c>
      <c r="L1031" s="9" t="str">
        <v>3S3-5</v>
      </c>
      <c r="M1031" s="12">
        <v>46253</v>
      </c>
      <c r="N1031" s="5" t="str">
        <v/>
      </c>
      <c r="O1031" s="5">
        <v>92574</v>
      </c>
      <c r="P1031" s="5">
        <v>5</v>
      </c>
      <c r="Q1031" s="14">
        <v>46259</v>
      </c>
      <c r="R1031" s="15">
        <v>45</v>
      </c>
    </row>
    <row r="1032" spans="2:18" x14ac:dyDescent="0.35">
      <c r="B1032" s="9">
        <v>337</v>
      </c>
      <c r="C1032" s="9" t="str">
        <v>출고재고</v>
      </c>
      <c r="D1032" s="9" t="str">
        <v/>
      </c>
      <c r="E1032" s="9" t="str">
        <v>입고</v>
      </c>
      <c r="F1032" s="9" t="str">
        <v/>
      </c>
      <c r="G1032" s="9" t="str">
        <v/>
      </c>
      <c r="H1032" s="9" t="str">
        <v>RF-01H-5069</v>
      </c>
      <c r="I1032" s="11" t="str">
        <v>RF-01H-5069]LED_Bottom harness</v>
      </c>
      <c r="J1032" s="9">
        <v>50</v>
      </c>
      <c r="K1032" s="9" t="str">
        <v/>
      </c>
      <c r="L1032" s="9" t="str">
        <v>3S3-5</v>
      </c>
      <c r="M1032" s="12">
        <v>46253</v>
      </c>
      <c r="N1032" s="5" t="str">
        <v/>
      </c>
      <c r="O1032" s="5">
        <v>92574</v>
      </c>
      <c r="P1032" s="5">
        <v>37</v>
      </c>
      <c r="Q1032" s="14">
        <v>46259</v>
      </c>
      <c r="R1032" s="15">
        <v>13</v>
      </c>
    </row>
    <row r="1033" spans="2:18" x14ac:dyDescent="0.35">
      <c r="B1033" s="9">
        <v>340</v>
      </c>
      <c r="C1033" s="9" t="str">
        <v>출고재고</v>
      </c>
      <c r="D1033" s="9" t="str">
        <v/>
      </c>
      <c r="E1033" s="9" t="str">
        <v>입고</v>
      </c>
      <c r="F1033" s="9" t="str">
        <v/>
      </c>
      <c r="G1033" s="9" t="str">
        <v/>
      </c>
      <c r="H1033" s="9" t="str">
        <v>RF-01H-5071</v>
      </c>
      <c r="I1033" s="11" t="str">
        <v>RF-01H-5071]SBC LAN Cable</v>
      </c>
      <c r="J1033" s="9">
        <v>50</v>
      </c>
      <c r="K1033" s="9" t="str">
        <v/>
      </c>
      <c r="L1033" s="9" t="str">
        <v>3S3-6</v>
      </c>
      <c r="M1033" s="12">
        <v>46253</v>
      </c>
      <c r="N1033" s="5" t="str">
        <v/>
      </c>
      <c r="O1033" s="5">
        <v>92574</v>
      </c>
      <c r="P1033" s="5">
        <v>42</v>
      </c>
      <c r="Q1033" s="14">
        <v>46259</v>
      </c>
      <c r="R1033" s="15">
        <v>8</v>
      </c>
    </row>
    <row r="1034" spans="2:18" x14ac:dyDescent="0.35">
      <c r="B1034" s="9">
        <v>342</v>
      </c>
      <c r="C1034" s="9" t="str">
        <v>출고재고</v>
      </c>
      <c r="D1034" s="9" t="str">
        <v/>
      </c>
      <c r="E1034" s="9" t="str">
        <v>입고</v>
      </c>
      <c r="F1034" s="9" t="str">
        <v/>
      </c>
      <c r="G1034" s="9" t="str">
        <v/>
      </c>
      <c r="H1034" s="9" t="str">
        <v>RF-01H-5075</v>
      </c>
      <c r="I1034" s="11" t="str">
        <v>RF-01H-5075] USB to Cal kit harness</v>
      </c>
      <c r="J1034" s="9">
        <v>50</v>
      </c>
      <c r="K1034" s="9" t="str">
        <v/>
      </c>
      <c r="L1034" s="9" t="str">
        <v>3S3-6</v>
      </c>
      <c r="M1034" s="12">
        <v>46253</v>
      </c>
      <c r="N1034" s="5" t="str">
        <v/>
      </c>
      <c r="O1034" s="5">
        <v>92574</v>
      </c>
      <c r="P1034" s="5">
        <v>33</v>
      </c>
      <c r="Q1034" s="14">
        <v>46259</v>
      </c>
      <c r="R1034" s="15">
        <v>17</v>
      </c>
    </row>
    <row r="1035" spans="2:18" x14ac:dyDescent="0.35">
      <c r="B1035" s="9">
        <v>349</v>
      </c>
      <c r="C1035" s="9" t="str">
        <v>출고재고</v>
      </c>
      <c r="D1035" s="9" t="str">
        <v/>
      </c>
      <c r="E1035" s="9" t="str">
        <v>입고</v>
      </c>
      <c r="F1035" s="9" t="str">
        <v/>
      </c>
      <c r="G1035" s="9" t="str">
        <v/>
      </c>
      <c r="H1035" s="9" t="str">
        <v>RF-01S-5049</v>
      </c>
      <c r="I1035" s="11" t="str">
        <v>RF-01S-5049]Face Lens</v>
      </c>
      <c r="J1035" s="9">
        <v>50</v>
      </c>
      <c r="K1035" s="9" t="str">
        <v/>
      </c>
      <c r="L1035" s="9" t="str">
        <v>3L4-2</v>
      </c>
      <c r="M1035" s="12">
        <v>46253</v>
      </c>
      <c r="N1035" s="5" t="str">
        <v/>
      </c>
      <c r="O1035" s="5">
        <v>92574</v>
      </c>
      <c r="P1035" s="5">
        <v>10</v>
      </c>
      <c r="Q1035" s="14">
        <v>46259</v>
      </c>
      <c r="R1035" s="15">
        <v>40</v>
      </c>
    </row>
    <row r="1036" spans="2:18" x14ac:dyDescent="0.35">
      <c r="B1036" s="9">
        <v>362</v>
      </c>
      <c r="C1036" s="9" t="str">
        <v>출고재고</v>
      </c>
      <c r="D1036" s="9" t="str">
        <v/>
      </c>
      <c r="E1036" s="9" t="str">
        <v>입고</v>
      </c>
      <c r="F1036" s="9" t="str">
        <v/>
      </c>
      <c r="G1036" s="9" t="str">
        <v/>
      </c>
      <c r="H1036" s="9" t="str">
        <v>RF-20A-0382</v>
      </c>
      <c r="I1036" s="11" t="str">
        <v/>
      </c>
      <c r="J1036" s="9">
        <v>50</v>
      </c>
      <c r="K1036" s="9" t="str">
        <v/>
      </c>
      <c r="L1036" s="9" t="str">
        <v>3C6</v>
      </c>
      <c r="M1036" s="12">
        <v>46237</v>
      </c>
      <c r="N1036" s="5" t="str">
        <v/>
      </c>
      <c r="O1036" s="5">
        <v>92574</v>
      </c>
      <c r="P1036" s="5">
        <v>50</v>
      </c>
      <c r="Q1036" s="14">
        <v>46259</v>
      </c>
      <c r="R1036" s="15">
        <v>0</v>
      </c>
    </row>
    <row r="1037" spans="2:18" x14ac:dyDescent="0.35">
      <c r="B1037" s="9">
        <v>400</v>
      </c>
      <c r="C1037" s="9" t="str">
        <v>출고재고</v>
      </c>
      <c r="D1037" s="9" t="str">
        <v/>
      </c>
      <c r="E1037" s="9" t="str">
        <v>입고</v>
      </c>
      <c r="F1037" s="9" t="str">
        <v/>
      </c>
      <c r="G1037" s="9" t="str">
        <v/>
      </c>
      <c r="H1037" s="9" t="str">
        <v>RF-01S-5094</v>
      </c>
      <c r="I1037" s="11" t="str">
        <v/>
      </c>
      <c r="J1037" s="9">
        <v>50</v>
      </c>
      <c r="K1037" s="9" t="str">
        <v/>
      </c>
      <c r="L1037" s="9" t="str">
        <v>3F10</v>
      </c>
      <c r="M1037" s="12">
        <v>46255</v>
      </c>
      <c r="N1037" s="5" t="str">
        <v/>
      </c>
      <c r="O1037" s="5">
        <v>92574</v>
      </c>
      <c r="P1037" s="5">
        <v>50</v>
      </c>
      <c r="Q1037" s="14">
        <v>46259</v>
      </c>
      <c r="R1037" s="15">
        <v>0</v>
      </c>
    </row>
    <row r="1038" spans="2:18" x14ac:dyDescent="0.35">
      <c r="B1038" s="9">
        <v>401</v>
      </c>
      <c r="C1038" s="9" t="str">
        <v>출고재고</v>
      </c>
      <c r="D1038" s="9" t="str">
        <v/>
      </c>
      <c r="E1038" s="9" t="str">
        <v>입고</v>
      </c>
      <c r="F1038" s="9" t="str">
        <v/>
      </c>
      <c r="G1038" s="9" t="str">
        <v/>
      </c>
      <c r="H1038" s="9" t="str">
        <v>RF-01S-5095</v>
      </c>
      <c r="I1038" s="11" t="str">
        <v/>
      </c>
      <c r="J1038" s="9">
        <v>50</v>
      </c>
      <c r="K1038" s="9" t="str">
        <v/>
      </c>
      <c r="L1038" s="9" t="str">
        <v>3F10</v>
      </c>
      <c r="M1038" s="12">
        <v>46255</v>
      </c>
      <c r="N1038" s="5" t="str">
        <v/>
      </c>
      <c r="O1038" s="5">
        <v>92574</v>
      </c>
      <c r="P1038" s="5">
        <v>40</v>
      </c>
      <c r="Q1038" s="14">
        <v>46259</v>
      </c>
      <c r="R1038" s="15">
        <v>10</v>
      </c>
    </row>
    <row r="1039" spans="2:18" x14ac:dyDescent="0.35">
      <c r="B1039" s="9">
        <v>402</v>
      </c>
      <c r="C1039" s="9" t="str">
        <v>출고재고</v>
      </c>
      <c r="D1039" s="9" t="str">
        <v/>
      </c>
      <c r="E1039" s="9" t="str">
        <v>입고</v>
      </c>
      <c r="F1039" s="9" t="str">
        <v/>
      </c>
      <c r="G1039" s="9" t="str">
        <v/>
      </c>
      <c r="H1039" s="9" t="str">
        <v>RF-01S-5096</v>
      </c>
      <c r="I1039" s="11" t="str">
        <v/>
      </c>
      <c r="J1039" s="9">
        <v>50</v>
      </c>
      <c r="K1039" s="9" t="str">
        <v/>
      </c>
      <c r="L1039" s="9" t="str">
        <v>3F1</v>
      </c>
      <c r="M1039" s="12">
        <v>46255</v>
      </c>
      <c r="N1039" s="5" t="str">
        <v/>
      </c>
      <c r="O1039" s="5">
        <v>92574</v>
      </c>
      <c r="P1039" s="5">
        <v>50</v>
      </c>
      <c r="Q1039" s="14">
        <v>46259</v>
      </c>
      <c r="R1039" s="15">
        <v>0</v>
      </c>
    </row>
    <row r="1040" spans="2:18" x14ac:dyDescent="0.35">
      <c r="B1040" s="9">
        <v>408</v>
      </c>
      <c r="C1040" s="9" t="str">
        <v>출고재고</v>
      </c>
      <c r="D1040" s="9" t="str">
        <v/>
      </c>
      <c r="E1040" s="9" t="str">
        <v>입고</v>
      </c>
      <c r="F1040" s="9" t="str">
        <v/>
      </c>
      <c r="G1040" s="9" t="str">
        <v/>
      </c>
      <c r="H1040" s="9" t="str">
        <v>RF-01S-5046</v>
      </c>
      <c r="I1040" s="11" t="str">
        <v>RF-01S-5046]DLP ENGINE</v>
      </c>
      <c r="J1040" s="9">
        <v>50</v>
      </c>
      <c r="K1040" s="9" t="str">
        <v/>
      </c>
      <c r="L1040" s="9" t="str">
        <v>3C7</v>
      </c>
      <c r="M1040" s="12">
        <v>46254</v>
      </c>
      <c r="N1040" s="5" t="str">
        <v/>
      </c>
      <c r="O1040" s="5">
        <v>92574</v>
      </c>
      <c r="P1040" s="5">
        <v>26</v>
      </c>
      <c r="Q1040" s="14">
        <v>46259</v>
      </c>
      <c r="R1040" s="15">
        <v>24</v>
      </c>
    </row>
    <row r="1041" spans="2:18" x14ac:dyDescent="0.35">
      <c r="B1041" s="9">
        <v>506</v>
      </c>
      <c r="C1041" s="9" t="str">
        <v>출고재고</v>
      </c>
      <c r="D1041" s="9" t="str">
        <v/>
      </c>
      <c r="E1041" s="9" t="str">
        <v>입고</v>
      </c>
      <c r="F1041" s="9" t="str">
        <v>A&amp;T</v>
      </c>
      <c r="G1041" s="9" t="str">
        <v>조영우</v>
      </c>
      <c r="H1041" s="9" t="str">
        <v>RF-01V-0197</v>
      </c>
      <c r="I1041" s="11" t="str">
        <v>RF-01V-0197]JETSON BRK</v>
      </c>
      <c r="J1041" s="9">
        <v>50</v>
      </c>
      <c r="K1041" s="9" t="str">
        <v/>
      </c>
      <c r="L1041" s="9" t="str">
        <v>3F3</v>
      </c>
      <c r="M1041" s="12">
        <v>46266</v>
      </c>
      <c r="N1041" s="5" t="str">
        <v/>
      </c>
      <c r="O1041" s="5">
        <v>92574</v>
      </c>
      <c r="P1041" s="5">
        <v>50</v>
      </c>
      <c r="Q1041" s="14">
        <v>46268</v>
      </c>
      <c r="R1041" s="15">
        <v>0</v>
      </c>
    </row>
    <row r="1042" spans="2:18" x14ac:dyDescent="0.35">
      <c r="B1042" s="9">
        <v>115</v>
      </c>
      <c r="C1042" s="9" t="str">
        <v>출고재고</v>
      </c>
      <c r="D1042" s="9" t="str">
        <v/>
      </c>
      <c r="E1042" s="9" t="str">
        <v/>
      </c>
      <c r="F1042" s="9" t="str">
        <v/>
      </c>
      <c r="G1042" s="9" t="str">
        <v/>
      </c>
      <c r="H1042" s="9" t="str">
        <v>RF-01M-0398</v>
      </c>
      <c r="I1042" s="11" t="str">
        <v>RF-01M-0398]COVER TOP</v>
      </c>
      <c r="J1042" s="9">
        <v>52</v>
      </c>
      <c r="K1042" s="9" t="str">
        <v/>
      </c>
      <c r="L1042" s="9" t="str">
        <v>3E5</v>
      </c>
      <c r="M1042" s="12">
        <v>46224</v>
      </c>
      <c r="N1042" s="5" t="str">
        <v/>
      </c>
      <c r="O1042" s="5">
        <v>92574</v>
      </c>
      <c r="P1042" s="5">
        <v>50</v>
      </c>
      <c r="Q1042" s="14">
        <v>46259</v>
      </c>
      <c r="R1042" s="15">
        <v>2</v>
      </c>
    </row>
    <row r="1043" spans="2:18" x14ac:dyDescent="0.35">
      <c r="B1043" s="9">
        <v>136</v>
      </c>
      <c r="C1043" s="9" t="str">
        <v>출고재고</v>
      </c>
      <c r="D1043" s="9" t="str">
        <v/>
      </c>
      <c r="E1043" s="9" t="str">
        <v/>
      </c>
      <c r="F1043" s="9" t="str">
        <v/>
      </c>
      <c r="G1043" s="9" t="str">
        <v/>
      </c>
      <c r="H1043" s="9" t="str">
        <v>RF-01V-0209</v>
      </c>
      <c r="I1043" s="11" t="str">
        <v>RF-01V-0209]FRONT BRK TOP</v>
      </c>
      <c r="J1043" s="9">
        <v>55</v>
      </c>
      <c r="K1043" s="9" t="str">
        <v/>
      </c>
      <c r="L1043" s="9" t="str">
        <v>3L4-5</v>
      </c>
      <c r="M1043" s="12">
        <v>46224</v>
      </c>
      <c r="N1043" s="5" t="str">
        <v/>
      </c>
      <c r="O1043" s="5">
        <v>92574</v>
      </c>
      <c r="P1043" s="5">
        <v>50</v>
      </c>
      <c r="Q1043" s="14">
        <v>46259</v>
      </c>
      <c r="R1043" s="15">
        <v>5</v>
      </c>
    </row>
    <row r="1044" spans="2:18" x14ac:dyDescent="0.35">
      <c r="B1044" s="9">
        <v>137</v>
      </c>
      <c r="C1044" s="9" t="str">
        <v>출고재고</v>
      </c>
      <c r="D1044" s="9" t="str">
        <v/>
      </c>
      <c r="E1044" s="9" t="str">
        <v/>
      </c>
      <c r="F1044" s="9" t="str">
        <v/>
      </c>
      <c r="G1044" s="9" t="str">
        <v/>
      </c>
      <c r="H1044" s="9" t="str">
        <v>RF-01S-5090</v>
      </c>
      <c r="I1044" s="11" t="str">
        <v>RF-01S-5090]CAM Cable_TEETH_L</v>
      </c>
      <c r="J1044" s="9">
        <v>56</v>
      </c>
      <c r="K1044" s="9" t="str">
        <v/>
      </c>
      <c r="L1044" s="9" t="str">
        <v>3F10</v>
      </c>
      <c r="M1044" s="12">
        <v>46224</v>
      </c>
      <c r="N1044" s="5" t="str">
        <v/>
      </c>
      <c r="O1044" s="5">
        <v>92574</v>
      </c>
      <c r="P1044" s="5">
        <v>50</v>
      </c>
      <c r="Q1044" s="14">
        <v>46259</v>
      </c>
      <c r="R1044" s="15">
        <v>6</v>
      </c>
    </row>
    <row r="1045" spans="2:18" x14ac:dyDescent="0.35">
      <c r="B1045" s="9">
        <v>92</v>
      </c>
      <c r="C1045" s="9" t="str">
        <v>출고재고</v>
      </c>
      <c r="D1045" s="9" t="str">
        <v/>
      </c>
      <c r="E1045" s="9" t="str">
        <v/>
      </c>
      <c r="F1045" s="9" t="str">
        <v/>
      </c>
      <c r="G1045" s="9" t="str">
        <v/>
      </c>
      <c r="H1045" s="9" t="str">
        <v>RF-01S-5085</v>
      </c>
      <c r="I1045" s="11" t="str">
        <v>RF-01S-5085]FACE CAM</v>
      </c>
      <c r="J1045" s="9">
        <v>57</v>
      </c>
      <c r="K1045" s="9" t="str">
        <v/>
      </c>
      <c r="L1045" s="9" t="str">
        <v>3F9</v>
      </c>
      <c r="M1045" s="12">
        <v>46224</v>
      </c>
      <c r="N1045" s="5" t="str">
        <v/>
      </c>
      <c r="O1045" s="5">
        <v>92574</v>
      </c>
      <c r="P1045" s="5">
        <v>50</v>
      </c>
      <c r="Q1045" s="14">
        <v>46259</v>
      </c>
      <c r="R1045" s="15">
        <v>7</v>
      </c>
    </row>
    <row r="1046" spans="2:18" x14ac:dyDescent="0.35">
      <c r="B1046" s="9">
        <v>90</v>
      </c>
      <c r="C1046" s="9" t="str">
        <v>출고재고</v>
      </c>
      <c r="D1046" s="9" t="str">
        <v/>
      </c>
      <c r="E1046" s="9" t="str">
        <v/>
      </c>
      <c r="F1046" s="9" t="str">
        <v/>
      </c>
      <c r="G1046" s="9" t="str">
        <v/>
      </c>
      <c r="H1046" s="9" t="str">
        <v>RF-01M-0200</v>
      </c>
      <c r="I1046" s="11" t="str">
        <v>RF-01M-0200]MIRROR PLT</v>
      </c>
      <c r="J1046" s="9">
        <v>60</v>
      </c>
      <c r="K1046" s="9" t="str">
        <v/>
      </c>
      <c r="L1046" s="9" t="str">
        <v>3L4-3</v>
      </c>
      <c r="M1046" s="12">
        <v>46224</v>
      </c>
      <c r="N1046" s="5" t="str">
        <v/>
      </c>
      <c r="O1046" s="5">
        <v>92574</v>
      </c>
      <c r="P1046" s="5">
        <v>50</v>
      </c>
      <c r="Q1046" s="14">
        <v>46259</v>
      </c>
      <c r="R1046" s="15">
        <v>10</v>
      </c>
    </row>
    <row r="1047" spans="2:18" x14ac:dyDescent="0.35">
      <c r="B1047" s="9">
        <v>131</v>
      </c>
      <c r="C1047" s="9" t="str">
        <v>출고재고</v>
      </c>
      <c r="D1047" s="9" t="str">
        <v/>
      </c>
      <c r="E1047" s="9" t="str">
        <v/>
      </c>
      <c r="F1047" s="9" t="str">
        <v/>
      </c>
      <c r="G1047" s="9" t="str">
        <v/>
      </c>
      <c r="H1047" s="9" t="str">
        <v>RF-01T-0351</v>
      </c>
      <c r="I1047" s="11" t="str">
        <v>RF-01T-0351]WINDOW LED B</v>
      </c>
      <c r="J1047" s="9">
        <v>62</v>
      </c>
      <c r="K1047" s="9" t="str">
        <v/>
      </c>
      <c r="L1047" s="9" t="str">
        <v>3E9</v>
      </c>
      <c r="M1047" s="12">
        <v>46224</v>
      </c>
      <c r="N1047" s="5" t="str">
        <v/>
      </c>
      <c r="O1047" s="5">
        <v>92574</v>
      </c>
      <c r="P1047" s="5">
        <v>50</v>
      </c>
      <c r="Q1047" s="14">
        <v>46259</v>
      </c>
      <c r="R1047" s="15">
        <v>12</v>
      </c>
    </row>
    <row r="1048" spans="2:18" x14ac:dyDescent="0.35">
      <c r="B1048" s="9">
        <v>393</v>
      </c>
      <c r="C1048" s="9" t="str">
        <v>출고재고</v>
      </c>
      <c r="D1048" s="9" t="str">
        <v/>
      </c>
      <c r="E1048" s="9" t="str">
        <v/>
      </c>
      <c r="F1048" s="9" t="str">
        <v/>
      </c>
      <c r="G1048" s="9" t="str">
        <v/>
      </c>
      <c r="H1048" s="9" t="str">
        <v>RF-01T-0352</v>
      </c>
      <c r="I1048" s="11" t="str">
        <v>RF-01T-0352]CAMERA CASE B</v>
      </c>
      <c r="J1048" s="9">
        <v>62</v>
      </c>
      <c r="K1048" s="9" t="str">
        <v/>
      </c>
      <c r="L1048" s="9" t="str">
        <v>3E9</v>
      </c>
      <c r="M1048" s="12">
        <v>46253</v>
      </c>
      <c r="N1048" s="5" t="str">
        <v/>
      </c>
      <c r="O1048" s="5">
        <v>92574</v>
      </c>
      <c r="P1048" s="5">
        <v>50</v>
      </c>
      <c r="Q1048" s="14">
        <v>46259</v>
      </c>
      <c r="R1048" s="15">
        <v>12</v>
      </c>
    </row>
    <row r="1049" spans="2:18" x14ac:dyDescent="0.35">
      <c r="B1049" s="9">
        <v>389</v>
      </c>
      <c r="C1049" s="9" t="str">
        <v>출고재고</v>
      </c>
      <c r="D1049" s="9" t="str">
        <v/>
      </c>
      <c r="E1049" s="9" t="str">
        <v/>
      </c>
      <c r="F1049" s="9" t="str">
        <v/>
      </c>
      <c r="G1049" s="9" t="str">
        <v/>
      </c>
      <c r="H1049" s="9" t="str">
        <v>RF-01T-0210</v>
      </c>
      <c r="I1049" s="11" t="str">
        <v>RF-01T-0210]CVR FRONT MID L</v>
      </c>
      <c r="J1049" s="9">
        <v>66</v>
      </c>
      <c r="K1049" s="9" t="str">
        <v/>
      </c>
      <c r="L1049" s="9" t="str">
        <v>3L3-1</v>
      </c>
      <c r="M1049" s="12">
        <v>46227</v>
      </c>
      <c r="N1049" s="5" t="str">
        <v/>
      </c>
      <c r="O1049" s="5">
        <v>92574</v>
      </c>
      <c r="P1049" s="5">
        <v>50</v>
      </c>
      <c r="Q1049" s="14">
        <v>46259</v>
      </c>
      <c r="R1049" s="15">
        <v>16</v>
      </c>
    </row>
    <row r="1050" spans="2:18" x14ac:dyDescent="0.35">
      <c r="B1050" s="9">
        <v>371</v>
      </c>
      <c r="C1050" s="9" t="str">
        <v>출고재고</v>
      </c>
      <c r="D1050" s="9" t="str">
        <v/>
      </c>
      <c r="E1050" s="9" t="str">
        <v/>
      </c>
      <c r="F1050" s="9" t="str">
        <v/>
      </c>
      <c r="G1050" s="9" t="str">
        <v/>
      </c>
      <c r="H1050" s="9" t="str">
        <v>RF-01S-5072</v>
      </c>
      <c r="I1050" s="11" t="str">
        <v>RF-01S-5072]USB 3.0 A to B Cable</v>
      </c>
      <c r="J1050" s="9">
        <v>67</v>
      </c>
      <c r="K1050" s="9" t="str">
        <v/>
      </c>
      <c r="L1050" s="9" t="str">
        <v>3S3-2</v>
      </c>
      <c r="M1050" s="12">
        <v>46232</v>
      </c>
      <c r="N1050" s="5" t="str">
        <v/>
      </c>
      <c r="O1050" s="5">
        <v>92574</v>
      </c>
      <c r="P1050" s="5">
        <v>50</v>
      </c>
      <c r="Q1050" s="14">
        <v>46259</v>
      </c>
      <c r="R1050" s="15">
        <v>17</v>
      </c>
    </row>
    <row r="1051" spans="2:18" x14ac:dyDescent="0.35">
      <c r="B1051" s="9">
        <v>386</v>
      </c>
      <c r="C1051" s="9" t="str">
        <v>출고재고</v>
      </c>
      <c r="D1051" s="9" t="str">
        <v/>
      </c>
      <c r="E1051" s="9" t="str">
        <v/>
      </c>
      <c r="F1051" s="9" t="str">
        <v/>
      </c>
      <c r="G1051" s="9" t="str">
        <v/>
      </c>
      <c r="H1051" s="9" t="str">
        <v>RF-01T-0199</v>
      </c>
      <c r="I1051" s="11" t="str">
        <v>RF-01T-0199]CVR REAR TOP</v>
      </c>
      <c r="J1051" s="9">
        <v>67</v>
      </c>
      <c r="K1051" s="9" t="str">
        <v/>
      </c>
      <c r="L1051" s="9" t="str">
        <v>3F5</v>
      </c>
      <c r="M1051" s="12">
        <v>46253</v>
      </c>
      <c r="N1051" s="5" t="str">
        <v/>
      </c>
      <c r="O1051" s="5">
        <v>92574</v>
      </c>
      <c r="P1051" s="5">
        <v>50</v>
      </c>
      <c r="Q1051" s="14">
        <v>46259</v>
      </c>
      <c r="R1051" s="15">
        <v>17</v>
      </c>
    </row>
    <row r="1052" spans="2:18" x14ac:dyDescent="0.35">
      <c r="B1052" s="9">
        <v>84</v>
      </c>
      <c r="C1052" s="9" t="str">
        <v>출고재고</v>
      </c>
      <c r="D1052" s="9" t="str">
        <v/>
      </c>
      <c r="E1052" s="9" t="str">
        <v/>
      </c>
      <c r="F1052" s="9" t="str">
        <v/>
      </c>
      <c r="G1052" s="9" t="str">
        <v/>
      </c>
      <c r="H1052" s="9" t="str">
        <v>RF-01M-0256</v>
      </c>
      <c r="I1052" s="11" t="str">
        <v>USB HOLDER FRONT</v>
      </c>
      <c r="J1052" s="9">
        <v>72</v>
      </c>
      <c r="K1052" s="9" t="str">
        <v/>
      </c>
      <c r="L1052" s="9" t="str">
        <v>3L4-4</v>
      </c>
      <c r="M1052" s="12">
        <v>46224</v>
      </c>
      <c r="N1052" s="5" t="str">
        <v/>
      </c>
      <c r="O1052" s="5">
        <v>92574</v>
      </c>
      <c r="P1052" s="5">
        <v>72</v>
      </c>
      <c r="Q1052" s="14">
        <v>46259</v>
      </c>
      <c r="R1052" s="15">
        <v>0</v>
      </c>
    </row>
    <row r="1053" spans="2:18" x14ac:dyDescent="0.35">
      <c r="B1053" s="9">
        <v>148</v>
      </c>
      <c r="C1053" s="9" t="str">
        <v>출고재고</v>
      </c>
      <c r="D1053" s="9" t="str">
        <v/>
      </c>
      <c r="E1053" s="9" t="str">
        <v/>
      </c>
      <c r="F1053" s="9" t="str">
        <v/>
      </c>
      <c r="G1053" s="9" t="str">
        <v/>
      </c>
      <c r="H1053" s="9" t="str">
        <v>RF-01S-5050</v>
      </c>
      <c r="I1053" s="11" t="str">
        <v>RF-01S-5050]TEETH LENS</v>
      </c>
      <c r="J1053" s="9">
        <v>73</v>
      </c>
      <c r="K1053" s="9" t="str">
        <v/>
      </c>
      <c r="L1053" s="9" t="str">
        <v>3L4-2</v>
      </c>
      <c r="M1053" s="12">
        <v>46226</v>
      </c>
      <c r="N1053" s="5" t="str">
        <v/>
      </c>
      <c r="O1053" s="5">
        <v>92574</v>
      </c>
      <c r="P1053" s="5">
        <v>73</v>
      </c>
      <c r="Q1053" s="14">
        <v>46259</v>
      </c>
      <c r="R1053" s="15">
        <v>0</v>
      </c>
    </row>
    <row r="1054" spans="2:18" x14ac:dyDescent="0.35">
      <c r="B1054" s="9">
        <v>381</v>
      </c>
      <c r="C1054" s="9" t="str">
        <v>출고재고</v>
      </c>
      <c r="D1054" s="9" t="str">
        <v/>
      </c>
      <c r="E1054" s="9" t="str">
        <v/>
      </c>
      <c r="F1054" s="9" t="str">
        <v/>
      </c>
      <c r="G1054" s="9" t="str">
        <v/>
      </c>
      <c r="H1054" s="9" t="str">
        <v>RF-01T-0190</v>
      </c>
      <c r="I1054" s="11" t="str">
        <v>RF-01T-0190]CVR FRONT</v>
      </c>
      <c r="J1054" s="9">
        <v>75</v>
      </c>
      <c r="K1054" s="9" t="str">
        <v/>
      </c>
      <c r="L1054" s="9" t="str">
        <v>3F4</v>
      </c>
      <c r="M1054" s="12">
        <v>46253</v>
      </c>
      <c r="N1054" s="5" t="str">
        <v/>
      </c>
      <c r="O1054" s="5">
        <v>92574</v>
      </c>
      <c r="P1054" s="5">
        <v>50</v>
      </c>
      <c r="Q1054" s="14">
        <v>46259</v>
      </c>
      <c r="R1054" s="15">
        <v>25</v>
      </c>
    </row>
    <row r="1055" spans="2:18" x14ac:dyDescent="0.35">
      <c r="B1055" s="9">
        <v>516</v>
      </c>
      <c r="C1055" s="9" t="str">
        <v>출고재고</v>
      </c>
      <c r="D1055" s="9" t="str">
        <v/>
      </c>
      <c r="E1055" s="9" t="str">
        <v/>
      </c>
      <c r="F1055" s="9" t="str">
        <v/>
      </c>
      <c r="G1055" s="9" t="str">
        <v/>
      </c>
      <c r="H1055" s="9" t="str">
        <v>RF-01S-5086</v>
      </c>
      <c r="I1055" s="11" t="str">
        <v>RF-01S-5086]TEETH CAM</v>
      </c>
      <c r="J1055" s="9">
        <v>88</v>
      </c>
      <c r="K1055" s="9" t="str">
        <v/>
      </c>
      <c r="L1055" s="9" t="str">
        <v>3F10</v>
      </c>
      <c r="M1055" s="12">
        <v>46268</v>
      </c>
      <c r="N1055" s="5" t="str">
        <v/>
      </c>
      <c r="O1055" s="5">
        <v>92574</v>
      </c>
      <c r="P1055" s="5">
        <v>88</v>
      </c>
      <c r="Q1055" s="14">
        <v>46268</v>
      </c>
      <c r="R1055" s="15">
        <v>0</v>
      </c>
    </row>
    <row r="1056" spans="2:18" x14ac:dyDescent="0.35">
      <c r="B1056" s="9">
        <v>99</v>
      </c>
      <c r="C1056" s="9" t="str">
        <v>출고재고</v>
      </c>
      <c r="D1056" s="9" t="str">
        <v/>
      </c>
      <c r="E1056" s="9" t="str">
        <v/>
      </c>
      <c r="F1056" s="9" t="str">
        <v/>
      </c>
      <c r="G1056" s="9" t="str">
        <v/>
      </c>
      <c r="H1056" s="9" t="str">
        <v>RF-20A-0378</v>
      </c>
      <c r="I1056" s="11" t="str">
        <v>MODULE ARM LEFT</v>
      </c>
      <c r="J1056" s="9">
        <v>93</v>
      </c>
      <c r="K1056" s="9" t="str">
        <v/>
      </c>
      <c r="L1056" s="9" t="str">
        <v>94760</v>
      </c>
      <c r="M1056" s="12">
        <v>46224</v>
      </c>
      <c r="N1056" s="5" t="str">
        <v/>
      </c>
      <c r="O1056" s="5">
        <v>92574</v>
      </c>
      <c r="P1056" s="5">
        <v>50</v>
      </c>
      <c r="Q1056" s="14">
        <v>46259</v>
      </c>
      <c r="R1056" s="15">
        <v>43</v>
      </c>
    </row>
    <row r="1057" spans="2:18" x14ac:dyDescent="0.35">
      <c r="B1057" s="9">
        <v>112</v>
      </c>
      <c r="C1057" s="9" t="str">
        <v>출고재고</v>
      </c>
      <c r="D1057" s="9" t="str">
        <v/>
      </c>
      <c r="E1057" s="9" t="str">
        <v/>
      </c>
      <c r="F1057" s="9" t="str">
        <v/>
      </c>
      <c r="G1057" s="9" t="str">
        <v/>
      </c>
      <c r="H1057" s="9" t="str">
        <v>RF-01M-0395</v>
      </c>
      <c r="I1057" s="11" t="str">
        <v>RF-01M-0395]BLOCK BASE BOTTOM</v>
      </c>
      <c r="J1057" s="9">
        <v>100</v>
      </c>
      <c r="K1057" s="9" t="str">
        <v/>
      </c>
      <c r="L1057" s="9" t="str">
        <v>3E5</v>
      </c>
      <c r="M1057" s="12">
        <v>46224</v>
      </c>
      <c r="N1057" s="5" t="str">
        <v/>
      </c>
      <c r="O1057" s="5">
        <v>92574</v>
      </c>
      <c r="P1057" s="5">
        <v>50</v>
      </c>
      <c r="Q1057" s="14">
        <v>46259</v>
      </c>
      <c r="R1057" s="15">
        <v>50</v>
      </c>
    </row>
    <row r="1058" spans="2:18" x14ac:dyDescent="0.35">
      <c r="B1058" s="9">
        <v>132</v>
      </c>
      <c r="C1058" s="9" t="str">
        <v>출고재고</v>
      </c>
      <c r="D1058" s="9" t="str">
        <v/>
      </c>
      <c r="E1058" s="9" t="str">
        <v/>
      </c>
      <c r="F1058" s="9" t="str">
        <v/>
      </c>
      <c r="G1058" s="9" t="str">
        <v/>
      </c>
      <c r="H1058" s="9" t="str">
        <v>RF-01B-5038</v>
      </c>
      <c r="I1058" s="11" t="str">
        <v>RF-01B-5038] BOTTOM LED BOARD</v>
      </c>
      <c r="J1058" s="9">
        <v>100</v>
      </c>
      <c r="K1058" s="9" t="str">
        <v/>
      </c>
      <c r="L1058" s="9" t="str">
        <v>A6-4</v>
      </c>
      <c r="M1058" s="12">
        <v>46224</v>
      </c>
      <c r="N1058" s="5" t="str">
        <v/>
      </c>
      <c r="O1058" s="5">
        <v>92574</v>
      </c>
      <c r="P1058" s="5">
        <v>50</v>
      </c>
      <c r="Q1058" s="14">
        <v>46259</v>
      </c>
      <c r="R1058" s="15">
        <v>50</v>
      </c>
    </row>
    <row r="1059" spans="2:18" x14ac:dyDescent="0.35">
      <c r="B1059" s="9">
        <v>300</v>
      </c>
      <c r="C1059" s="9" t="str">
        <v>출고재고</v>
      </c>
      <c r="D1059" s="9" t="str">
        <v/>
      </c>
      <c r="E1059" s="9" t="str">
        <v>입고</v>
      </c>
      <c r="F1059" s="9" t="str">
        <v/>
      </c>
      <c r="G1059" s="9" t="str">
        <v/>
      </c>
      <c r="H1059" s="9" t="str">
        <v>RF-01H-5056</v>
      </c>
      <c r="I1059" s="11" t="str">
        <v>RF-01H-5056]LED PWM harness</v>
      </c>
      <c r="J1059" s="9">
        <v>100</v>
      </c>
      <c r="K1059" s="9" t="str">
        <v/>
      </c>
      <c r="L1059" s="9" t="str">
        <v>3S3-4</v>
      </c>
      <c r="M1059" s="12">
        <v>46232</v>
      </c>
      <c r="N1059" s="5" t="str">
        <v/>
      </c>
      <c r="O1059" s="5">
        <v>92574</v>
      </c>
      <c r="P1059" s="5">
        <v>38</v>
      </c>
      <c r="Q1059" s="14">
        <v>46259</v>
      </c>
      <c r="R1059" s="15">
        <v>62</v>
      </c>
    </row>
    <row r="1060" spans="2:18" x14ac:dyDescent="0.35">
      <c r="B1060" s="9">
        <v>320</v>
      </c>
      <c r="C1060" s="9" t="str">
        <v>출고재고</v>
      </c>
      <c r="D1060" s="9" t="str">
        <v/>
      </c>
      <c r="E1060" s="9" t="str">
        <v>입고</v>
      </c>
      <c r="F1060" s="9" t="str">
        <v/>
      </c>
      <c r="G1060" s="9" t="str">
        <v/>
      </c>
      <c r="H1060" s="9" t="str">
        <v>RF-01B-5040</v>
      </c>
      <c r="I1060" s="11" t="str">
        <v>RF-01B-5040]MAIN Bd</v>
      </c>
      <c r="J1060" s="9">
        <v>100</v>
      </c>
      <c r="K1060" s="9" t="str">
        <v/>
      </c>
      <c r="L1060" s="9" t="str">
        <v>A5-4</v>
      </c>
      <c r="M1060" s="12">
        <v>46254</v>
      </c>
      <c r="N1060" s="5" t="str">
        <v/>
      </c>
      <c r="O1060" s="5">
        <v>92574</v>
      </c>
      <c r="P1060" s="5">
        <v>44</v>
      </c>
      <c r="Q1060" s="14">
        <v>46259</v>
      </c>
      <c r="R1060" s="15">
        <v>56</v>
      </c>
    </row>
    <row r="1061" spans="2:18" x14ac:dyDescent="0.35">
      <c r="B1061" s="9">
        <v>332</v>
      </c>
      <c r="C1061" s="9" t="str">
        <v>출고재고</v>
      </c>
      <c r="D1061" s="9" t="str">
        <v/>
      </c>
      <c r="E1061" s="9" t="str">
        <v>입고</v>
      </c>
      <c r="F1061" s="9" t="str">
        <v/>
      </c>
      <c r="G1061" s="9" t="str">
        <v/>
      </c>
      <c r="H1061" s="9" t="str">
        <v>RF-01H-5065</v>
      </c>
      <c r="I1061" s="11" t="str">
        <v>RF-01H-5065]Main Power harness</v>
      </c>
      <c r="J1061" s="9">
        <v>100</v>
      </c>
      <c r="K1061" s="9" t="str">
        <v/>
      </c>
      <c r="L1061" s="9" t="str">
        <v>3S3-5</v>
      </c>
      <c r="M1061" s="12">
        <v>46232</v>
      </c>
      <c r="N1061" s="5" t="str">
        <v/>
      </c>
      <c r="O1061" s="5">
        <v>92574</v>
      </c>
      <c r="P1061" s="5">
        <v>50</v>
      </c>
      <c r="Q1061" s="14">
        <v>46259</v>
      </c>
      <c r="R1061" s="15">
        <v>50</v>
      </c>
    </row>
    <row r="1062" spans="2:18" x14ac:dyDescent="0.35">
      <c r="B1062" s="9">
        <v>338</v>
      </c>
      <c r="C1062" s="9" t="str">
        <v>출고재고</v>
      </c>
      <c r="D1062" s="9" t="str">
        <v/>
      </c>
      <c r="E1062" s="9" t="str">
        <v>입고</v>
      </c>
      <c r="F1062" s="9" t="str">
        <v/>
      </c>
      <c r="G1062" s="9" t="str">
        <v/>
      </c>
      <c r="H1062" s="9" t="str">
        <v>RF-01H-5070</v>
      </c>
      <c r="I1062" s="11" t="str">
        <v>RF-01H-5070]Power Switch harness</v>
      </c>
      <c r="J1062" s="9">
        <v>100</v>
      </c>
      <c r="K1062" s="9" t="str">
        <v/>
      </c>
      <c r="L1062" s="9" t="str">
        <v>3S3-6</v>
      </c>
      <c r="M1062" s="12">
        <v>46232</v>
      </c>
      <c r="N1062" s="5" t="str">
        <v/>
      </c>
      <c r="O1062" s="5">
        <v>92574</v>
      </c>
      <c r="P1062" s="5">
        <v>50</v>
      </c>
      <c r="Q1062" s="14">
        <v>46259</v>
      </c>
      <c r="R1062" s="15">
        <v>50</v>
      </c>
    </row>
    <row r="1063" spans="2:18" x14ac:dyDescent="0.35">
      <c r="B1063" s="9">
        <v>350</v>
      </c>
      <c r="C1063" s="9" t="str">
        <v>출고재고</v>
      </c>
      <c r="D1063" s="9" t="str">
        <v/>
      </c>
      <c r="E1063" s="9" t="str">
        <v>입고</v>
      </c>
      <c r="F1063" s="9" t="str">
        <v/>
      </c>
      <c r="G1063" s="9" t="str">
        <v/>
      </c>
      <c r="H1063" s="9" t="str">
        <v>RF-01S-5050</v>
      </c>
      <c r="I1063" s="11" t="str">
        <v>RF-01S-5050]TEETH LENS</v>
      </c>
      <c r="J1063" s="9">
        <v>100</v>
      </c>
      <c r="K1063" s="9" t="str">
        <v/>
      </c>
      <c r="L1063" s="9" t="str">
        <v>3L4-2</v>
      </c>
      <c r="M1063" s="12">
        <v>46253</v>
      </c>
      <c r="N1063" s="5" t="str">
        <v/>
      </c>
      <c r="O1063" s="5">
        <v>92574</v>
      </c>
      <c r="P1063" s="5">
        <v>27</v>
      </c>
      <c r="Q1063" s="14">
        <v>46259</v>
      </c>
      <c r="R1063" s="15">
        <v>73</v>
      </c>
    </row>
    <row r="1064" spans="2:18" x14ac:dyDescent="0.35">
      <c r="B1064" s="9">
        <v>360</v>
      </c>
      <c r="C1064" s="9" t="str">
        <v>출고재고</v>
      </c>
      <c r="D1064" s="9" t="str">
        <v/>
      </c>
      <c r="E1064" s="9" t="str">
        <v>입고</v>
      </c>
      <c r="F1064" s="9" t="str">
        <v/>
      </c>
      <c r="G1064" s="9" t="str">
        <v/>
      </c>
      <c r="H1064" s="9" t="str">
        <v>RF-10A-2086</v>
      </c>
      <c r="I1064" s="11" t="str">
        <v>RF-10A-2086]ASM JETSON NANO</v>
      </c>
      <c r="J1064" s="9">
        <v>100</v>
      </c>
      <c r="K1064" s="9" t="str">
        <v/>
      </c>
      <c r="L1064" s="9" t="str">
        <v>A6-3</v>
      </c>
      <c r="M1064" s="12">
        <v>46253</v>
      </c>
      <c r="N1064" s="5" t="str">
        <v/>
      </c>
      <c r="O1064" s="5">
        <v>92574</v>
      </c>
      <c r="P1064" s="5">
        <v>41</v>
      </c>
      <c r="Q1064" s="14">
        <v>46259</v>
      </c>
      <c r="R1064" s="15">
        <v>59</v>
      </c>
    </row>
    <row r="1065" spans="2:18" x14ac:dyDescent="0.35">
      <c r="B1065" s="9">
        <v>405</v>
      </c>
      <c r="C1065" s="9" t="str">
        <v>출고재고</v>
      </c>
      <c r="D1065" s="9" t="str">
        <v/>
      </c>
      <c r="E1065" s="9" t="str">
        <v>입고</v>
      </c>
      <c r="F1065" s="9" t="str">
        <v/>
      </c>
      <c r="G1065" s="9" t="str">
        <v/>
      </c>
      <c r="H1065" s="9" t="str">
        <v>RF-01V-0293</v>
      </c>
      <c r="I1065" s="11" t="str">
        <v>RF-01V-0293]BRK USB HLDR</v>
      </c>
      <c r="J1065" s="9">
        <v>100</v>
      </c>
      <c r="K1065" s="9" t="str">
        <v/>
      </c>
      <c r="L1065" s="9" t="str">
        <v>3L4-5</v>
      </c>
      <c r="M1065" s="12">
        <v>46259</v>
      </c>
      <c r="N1065" s="5" t="str">
        <v/>
      </c>
      <c r="O1065" s="5">
        <v>92574</v>
      </c>
      <c r="P1065" s="5">
        <v>100</v>
      </c>
      <c r="Q1065" s="14">
        <v>46259</v>
      </c>
      <c r="R1065" s="15">
        <v>0</v>
      </c>
    </row>
    <row r="1066" spans="2:18" x14ac:dyDescent="0.35">
      <c r="B1066" s="9">
        <v>406</v>
      </c>
      <c r="C1066" s="9" t="str">
        <v>출고재고</v>
      </c>
      <c r="D1066" s="9" t="str">
        <v/>
      </c>
      <c r="E1066" s="9" t="str">
        <v>입고</v>
      </c>
      <c r="F1066" s="9" t="str">
        <v/>
      </c>
      <c r="G1066" s="9" t="str">
        <v/>
      </c>
      <c r="H1066" s="9" t="str">
        <v>RF-20A-0383</v>
      </c>
      <c r="I1066" s="11" t="str">
        <v/>
      </c>
      <c r="J1066" s="9">
        <v>100</v>
      </c>
      <c r="K1066" s="9" t="str">
        <v/>
      </c>
      <c r="L1066" s="9" t="str">
        <v>3L1-3</v>
      </c>
      <c r="M1066" s="12">
        <v>46259</v>
      </c>
      <c r="N1066" s="5" t="str">
        <v/>
      </c>
      <c r="O1066" s="5">
        <v>92574</v>
      </c>
      <c r="P1066" s="5">
        <v>36</v>
      </c>
      <c r="Q1066" s="14">
        <v>46259</v>
      </c>
      <c r="R1066" s="15">
        <v>64</v>
      </c>
    </row>
    <row r="1067" spans="2:18" x14ac:dyDescent="0.35">
      <c r="B1067" s="9">
        <v>409</v>
      </c>
      <c r="C1067" s="9" t="str">
        <v>출고재고</v>
      </c>
      <c r="D1067" s="9" t="str">
        <v/>
      </c>
      <c r="E1067" s="9" t="str">
        <v>입고</v>
      </c>
      <c r="F1067" s="9" t="str">
        <v/>
      </c>
      <c r="G1067" s="9" t="str">
        <v/>
      </c>
      <c r="H1067" s="9" t="str">
        <v>RF-01B-5073</v>
      </c>
      <c r="I1067" s="11" t="str">
        <v>RF-01B-5073]DMD FPC Cable</v>
      </c>
      <c r="J1067" s="9">
        <v>100</v>
      </c>
      <c r="K1067" s="9" t="str">
        <v/>
      </c>
      <c r="L1067" s="9" t="str">
        <v>A5-3</v>
      </c>
      <c r="M1067" s="12">
        <v>46223</v>
      </c>
      <c r="N1067" s="5" t="str">
        <v/>
      </c>
      <c r="O1067" s="5">
        <v>92574</v>
      </c>
      <c r="P1067" s="5">
        <v>50</v>
      </c>
      <c r="Q1067" s="14">
        <v>46259</v>
      </c>
      <c r="R1067" s="15">
        <v>50</v>
      </c>
    </row>
    <row r="1068" spans="2:18" x14ac:dyDescent="0.35">
      <c r="B1068" s="9">
        <v>88</v>
      </c>
      <c r="C1068" s="9" t="str">
        <v>출고재고</v>
      </c>
      <c r="D1068" s="9" t="str">
        <v/>
      </c>
      <c r="E1068" s="9" t="str">
        <v/>
      </c>
      <c r="F1068" s="9" t="str">
        <v/>
      </c>
      <c r="G1068" s="9" t="str">
        <v/>
      </c>
      <c r="H1068" s="9" t="str">
        <v>RF-01V-0208</v>
      </c>
      <c r="I1068" s="11" t="str">
        <v>RF-01V-0208]FRONT FRM</v>
      </c>
      <c r="J1068" s="9">
        <v>101</v>
      </c>
      <c r="K1068" s="9" t="str">
        <v/>
      </c>
      <c r="L1068" s="9" t="str">
        <v>3C10</v>
      </c>
      <c r="M1068" s="12">
        <v>46224</v>
      </c>
      <c r="N1068" s="5" t="str">
        <v/>
      </c>
      <c r="O1068" s="5">
        <v>92574</v>
      </c>
      <c r="P1068" s="5">
        <v>50</v>
      </c>
      <c r="Q1068" s="14">
        <v>46259</v>
      </c>
      <c r="R1068" s="15">
        <v>51</v>
      </c>
    </row>
    <row r="1069" spans="2:18" x14ac:dyDescent="0.35">
      <c r="B1069" s="9">
        <v>373</v>
      </c>
      <c r="C1069" s="9" t="str">
        <v>출고재고</v>
      </c>
      <c r="D1069" s="9" t="str">
        <v/>
      </c>
      <c r="E1069" s="9" t="str">
        <v/>
      </c>
      <c r="F1069" s="9" t="str">
        <v/>
      </c>
      <c r="G1069" s="9" t="str">
        <v/>
      </c>
      <c r="H1069" s="9" t="str">
        <v>RF-01S-5087</v>
      </c>
      <c r="I1069" s="11" t="str">
        <v>RF-01S-5087]CAM Cable_Face</v>
      </c>
      <c r="J1069" s="9">
        <v>106</v>
      </c>
      <c r="K1069" s="9" t="str">
        <v/>
      </c>
      <c r="L1069" s="9" t="str">
        <v>3F1</v>
      </c>
      <c r="M1069" s="12">
        <v>46230</v>
      </c>
      <c r="N1069" s="5" t="str">
        <v/>
      </c>
      <c r="O1069" s="5">
        <v>92574</v>
      </c>
      <c r="P1069" s="5">
        <v>50</v>
      </c>
      <c r="Q1069" s="14">
        <v>46259</v>
      </c>
      <c r="R1069" s="15">
        <v>56</v>
      </c>
    </row>
    <row r="1070" spans="2:18" x14ac:dyDescent="0.35">
      <c r="B1070" s="9">
        <v>149</v>
      </c>
      <c r="C1070" s="9" t="str">
        <v>출고재고</v>
      </c>
      <c r="D1070" s="9" t="str">
        <v/>
      </c>
      <c r="E1070" s="9" t="str">
        <v/>
      </c>
      <c r="F1070" s="9" t="str">
        <v/>
      </c>
      <c r="G1070" s="9" t="str">
        <v/>
      </c>
      <c r="H1070" s="9" t="str">
        <v>RF-01S-5083</v>
      </c>
      <c r="I1070" s="11" t="str">
        <v>RF-01S-5083]CAM Trigger_L-R harness</v>
      </c>
      <c r="J1070" s="9">
        <v>108</v>
      </c>
      <c r="K1070" s="9" t="str">
        <v/>
      </c>
      <c r="L1070" s="9" t="str">
        <v>3L3-3</v>
      </c>
      <c r="M1070" s="12">
        <v>46226</v>
      </c>
      <c r="N1070" s="5" t="str">
        <v/>
      </c>
      <c r="O1070" s="5">
        <v>92574</v>
      </c>
      <c r="P1070" s="5">
        <v>100</v>
      </c>
      <c r="Q1070" s="14">
        <v>46259</v>
      </c>
      <c r="R1070" s="15">
        <v>8</v>
      </c>
    </row>
    <row r="1071" spans="2:18" x14ac:dyDescent="0.35">
      <c r="B1071" s="9">
        <v>153</v>
      </c>
      <c r="C1071" s="9" t="str">
        <v>출고재고</v>
      </c>
      <c r="D1071" s="9" t="str">
        <v/>
      </c>
      <c r="E1071" s="9" t="str">
        <v/>
      </c>
      <c r="F1071" s="9" t="str">
        <v/>
      </c>
      <c r="G1071" s="9" t="str">
        <v/>
      </c>
      <c r="H1071" s="9" t="str">
        <v>RF-01T-0356</v>
      </c>
      <c r="I1071" s="11" t="str">
        <v>RF-01T-0356]RUBBER CAP ARM</v>
      </c>
      <c r="J1071" s="9">
        <v>109</v>
      </c>
      <c r="K1071" s="9" t="str">
        <v/>
      </c>
      <c r="L1071" s="9" t="str">
        <v>3L4-2</v>
      </c>
      <c r="M1071" s="12">
        <v>46226</v>
      </c>
      <c r="N1071" s="5" t="str">
        <v/>
      </c>
      <c r="O1071" s="5">
        <v>92574</v>
      </c>
      <c r="P1071" s="5">
        <v>100</v>
      </c>
      <c r="Q1071" s="14">
        <v>46259</v>
      </c>
      <c r="R1071" s="15">
        <v>9</v>
      </c>
    </row>
    <row r="1072" spans="2:18" x14ac:dyDescent="0.35">
      <c r="B1072" s="9">
        <v>366</v>
      </c>
      <c r="C1072" s="9" t="str">
        <v>출고재고</v>
      </c>
      <c r="D1072" s="9" t="str">
        <v/>
      </c>
      <c r="E1072" s="9" t="str">
        <v>입고</v>
      </c>
      <c r="F1072" s="9" t="str">
        <v/>
      </c>
      <c r="G1072" s="9" t="str">
        <v/>
      </c>
      <c r="H1072" s="9" t="str">
        <v>RP-01H-5009</v>
      </c>
      <c r="I1072" s="11" t="str">
        <v>RP-01H-5009]Lan cable</v>
      </c>
      <c r="J1072" s="9">
        <v>110</v>
      </c>
      <c r="K1072" s="9" t="str">
        <v/>
      </c>
      <c r="L1072" s="9" t="str">
        <v>3S3-2</v>
      </c>
      <c r="M1072" s="12">
        <v>46252</v>
      </c>
      <c r="N1072" s="5" t="str">
        <v/>
      </c>
      <c r="O1072" s="5">
        <v>92574</v>
      </c>
      <c r="P1072" s="5">
        <v>50</v>
      </c>
      <c r="Q1072" s="14">
        <v>46259</v>
      </c>
      <c r="R1072" s="15">
        <v>60</v>
      </c>
    </row>
    <row r="1073" spans="2:18" x14ac:dyDescent="0.35">
      <c r="B1073" s="9">
        <v>142</v>
      </c>
      <c r="C1073" s="9" t="str">
        <v>출고재고</v>
      </c>
      <c r="D1073" s="9" t="str">
        <v/>
      </c>
      <c r="E1073" s="9" t="str">
        <v/>
      </c>
      <c r="F1073" s="9" t="str">
        <v/>
      </c>
      <c r="G1073" s="9" t="str">
        <v/>
      </c>
      <c r="H1073" s="9" t="str">
        <v>RF-01S-5030</v>
      </c>
      <c r="I1073" s="11" t="str">
        <v/>
      </c>
      <c r="J1073" s="9">
        <v>111</v>
      </c>
      <c r="K1073" s="9" t="str">
        <v/>
      </c>
      <c r="L1073" s="9" t="str">
        <v>3B21</v>
      </c>
      <c r="M1073" s="12">
        <v>46224</v>
      </c>
      <c r="N1073" s="5" t="str">
        <v/>
      </c>
      <c r="O1073" s="5">
        <v>92574</v>
      </c>
      <c r="P1073" s="5">
        <v>50</v>
      </c>
      <c r="Q1073" s="14">
        <v>46259</v>
      </c>
      <c r="R1073" s="15">
        <v>61</v>
      </c>
    </row>
    <row r="1074" spans="2:18" x14ac:dyDescent="0.35">
      <c r="B1074" s="9">
        <v>143</v>
      </c>
      <c r="C1074" s="9" t="str">
        <v>출고재고</v>
      </c>
      <c r="D1074" s="9" t="str">
        <v/>
      </c>
      <c r="E1074" s="9" t="str">
        <v/>
      </c>
      <c r="F1074" s="9" t="str">
        <v/>
      </c>
      <c r="G1074" s="9" t="str">
        <v/>
      </c>
      <c r="H1074" s="9" t="str">
        <v>RD-00S-5201</v>
      </c>
      <c r="I1074" s="11" t="str">
        <v>RD-00S-5201]USB A to B Cable</v>
      </c>
      <c r="J1074" s="9">
        <v>120</v>
      </c>
      <c r="K1074" s="9" t="str">
        <v/>
      </c>
      <c r="L1074" s="9" t="str">
        <v>3S3-2</v>
      </c>
      <c r="M1074" s="12">
        <v>46224</v>
      </c>
      <c r="N1074" s="5" t="str">
        <v/>
      </c>
      <c r="O1074" s="5">
        <v>92574</v>
      </c>
      <c r="P1074" s="5">
        <v>50</v>
      </c>
      <c r="Q1074" s="14">
        <v>46259</v>
      </c>
      <c r="R1074" s="15">
        <v>70</v>
      </c>
    </row>
    <row r="1075" spans="2:18" x14ac:dyDescent="0.35">
      <c r="B1075" s="9">
        <v>392</v>
      </c>
      <c r="C1075" s="9" t="str">
        <v>출고재고</v>
      </c>
      <c r="D1075" s="9" t="str">
        <v/>
      </c>
      <c r="E1075" s="9" t="str">
        <v/>
      </c>
      <c r="F1075" s="9" t="str">
        <v/>
      </c>
      <c r="G1075" s="9" t="str">
        <v/>
      </c>
      <c r="H1075" s="9" t="str">
        <v>RF-01T-0255</v>
      </c>
      <c r="I1075" s="11" t="str">
        <v>RF-01T-0255]CVR FRONT MID R</v>
      </c>
      <c r="J1075" s="9">
        <v>155</v>
      </c>
      <c r="K1075" s="9" t="str">
        <v/>
      </c>
      <c r="L1075" s="9" t="str">
        <v>3L3-1</v>
      </c>
      <c r="M1075" s="12">
        <v>46253</v>
      </c>
      <c r="N1075" s="5" t="str">
        <v/>
      </c>
      <c r="O1075" s="5">
        <v>92574</v>
      </c>
      <c r="P1075" s="5">
        <v>50</v>
      </c>
      <c r="Q1075" s="14">
        <v>46259</v>
      </c>
      <c r="R1075" s="15">
        <v>105</v>
      </c>
    </row>
    <row r="1076" spans="2:18" x14ac:dyDescent="0.35">
      <c r="B1076" s="9">
        <v>403</v>
      </c>
      <c r="C1076" s="9" t="str">
        <v>출고재고</v>
      </c>
      <c r="D1076" s="9" t="str">
        <v/>
      </c>
      <c r="E1076" s="9" t="str">
        <v>입고</v>
      </c>
      <c r="F1076" s="9" t="str">
        <v/>
      </c>
      <c r="G1076" s="9" t="str">
        <v/>
      </c>
      <c r="H1076" s="9" t="str">
        <v>RF-01S-5097</v>
      </c>
      <c r="I1076" s="11" t="str">
        <v/>
      </c>
      <c r="J1076" s="9">
        <v>155</v>
      </c>
      <c r="K1076" s="9" t="str">
        <v/>
      </c>
      <c r="L1076" s="9" t="str">
        <v>3F2</v>
      </c>
      <c r="M1076" s="12">
        <v>46255</v>
      </c>
      <c r="N1076" s="5" t="str">
        <v/>
      </c>
      <c r="O1076" s="5">
        <v>92574</v>
      </c>
      <c r="P1076" s="5">
        <v>150</v>
      </c>
      <c r="Q1076" s="14">
        <v>46259</v>
      </c>
      <c r="R1076" s="15">
        <v>5</v>
      </c>
    </row>
    <row r="1077" spans="2:18" x14ac:dyDescent="0.35">
      <c r="B1077" s="9">
        <v>151</v>
      </c>
      <c r="C1077" s="9" t="str">
        <v>출고재고</v>
      </c>
      <c r="D1077" s="9" t="str">
        <v/>
      </c>
      <c r="E1077" s="9" t="str">
        <v/>
      </c>
      <c r="F1077" s="9" t="str">
        <v/>
      </c>
      <c r="G1077" s="9" t="str">
        <v/>
      </c>
      <c r="H1077" s="9" t="str">
        <v>RF-01B-5037</v>
      </c>
      <c r="I1077" s="11" t="str">
        <v>RF-01B-5037] LED SIDE BOARD_REV2</v>
      </c>
      <c r="J1077" s="9">
        <v>158</v>
      </c>
      <c r="K1077" s="9" t="str">
        <v/>
      </c>
      <c r="L1077" s="9" t="str">
        <v>A5-4</v>
      </c>
      <c r="M1077" s="12">
        <v>46226</v>
      </c>
      <c r="N1077" s="5" t="str">
        <v/>
      </c>
      <c r="O1077" s="5">
        <v>92574</v>
      </c>
      <c r="P1077" s="5">
        <v>100</v>
      </c>
      <c r="Q1077" s="14">
        <v>46259</v>
      </c>
      <c r="R1077" s="15">
        <v>58</v>
      </c>
    </row>
    <row r="1078" spans="2:18" x14ac:dyDescent="0.35">
      <c r="B1078" s="9">
        <v>117</v>
      </c>
      <c r="C1078" s="9" t="str">
        <v>출고재고</v>
      </c>
      <c r="D1078" s="9" t="str">
        <v/>
      </c>
      <c r="E1078" s="9" t="str">
        <v/>
      </c>
      <c r="F1078" s="9" t="str">
        <v/>
      </c>
      <c r="G1078" s="9" t="str">
        <v/>
      </c>
      <c r="H1078" s="9" t="str">
        <v>RF-20A-0279</v>
      </c>
      <c r="I1078" s="11" t="str">
        <v>RF-20A-0279]Mdl DLP PLT</v>
      </c>
      <c r="J1078" s="9">
        <v>165</v>
      </c>
      <c r="K1078" s="9" t="str">
        <v/>
      </c>
      <c r="L1078" s="9" t="str">
        <v>3F2</v>
      </c>
      <c r="M1078" s="12">
        <v>46224</v>
      </c>
      <c r="N1078" s="5" t="str">
        <v/>
      </c>
      <c r="O1078" s="5">
        <v>92574</v>
      </c>
      <c r="P1078" s="5">
        <v>50</v>
      </c>
      <c r="Q1078" s="14">
        <v>46259</v>
      </c>
      <c r="R1078" s="15">
        <v>115</v>
      </c>
    </row>
    <row r="1079" spans="2:18" x14ac:dyDescent="0.35">
      <c r="B1079" s="9">
        <v>102</v>
      </c>
      <c r="C1079" s="9" t="str">
        <v>출고재고</v>
      </c>
      <c r="D1079" s="9" t="str">
        <v/>
      </c>
      <c r="E1079" s="9" t="str">
        <v/>
      </c>
      <c r="F1079" s="9" t="str">
        <v/>
      </c>
      <c r="G1079" s="9" t="str">
        <v/>
      </c>
      <c r="H1079" s="9" t="str">
        <v>RF-20A-0357</v>
      </c>
      <c r="I1079" s="11" t="str">
        <v>MODULE BASE BOTTOM FRAME</v>
      </c>
      <c r="J1079" s="9">
        <v>166</v>
      </c>
      <c r="K1079" s="9" t="str">
        <v/>
      </c>
      <c r="L1079" s="9" t="str">
        <v>3F3</v>
      </c>
      <c r="M1079" s="12">
        <v>46224</v>
      </c>
      <c r="N1079" s="5" t="str">
        <v/>
      </c>
      <c r="O1079" s="5">
        <v>92574</v>
      </c>
      <c r="P1079" s="5">
        <v>50</v>
      </c>
      <c r="Q1079" s="14">
        <v>46259</v>
      </c>
      <c r="R1079" s="15">
        <v>116</v>
      </c>
    </row>
    <row r="1080" spans="2:18" x14ac:dyDescent="0.35">
      <c r="B1080" s="9">
        <v>109</v>
      </c>
      <c r="C1080" s="9" t="str">
        <v>출고재고</v>
      </c>
      <c r="D1080" s="9" t="str">
        <v/>
      </c>
      <c r="E1080" s="9" t="str">
        <v/>
      </c>
      <c r="F1080" s="9" t="str">
        <v/>
      </c>
      <c r="G1080" s="9" t="str">
        <v/>
      </c>
      <c r="H1080" s="9" t="str">
        <v>RD-01G-0502</v>
      </c>
      <c r="I1080" s="11" t="str">
        <v>RD-01G-0502]SPONGE)UV SNSR</v>
      </c>
      <c r="J1080" s="9">
        <v>177</v>
      </c>
      <c r="K1080" s="9" t="str">
        <v/>
      </c>
      <c r="L1080" s="9" t="str">
        <v>3S3-1</v>
      </c>
      <c r="M1080" s="12">
        <v>46224</v>
      </c>
      <c r="N1080" s="5" t="str">
        <v/>
      </c>
      <c r="O1080" s="5">
        <v>92574</v>
      </c>
      <c r="P1080" s="5">
        <v>100</v>
      </c>
      <c r="Q1080" s="14">
        <v>46259</v>
      </c>
      <c r="R1080" s="15">
        <v>77</v>
      </c>
    </row>
    <row r="1081" spans="2:18" x14ac:dyDescent="0.35">
      <c r="B1081" s="9">
        <v>95</v>
      </c>
      <c r="C1081" s="9" t="str">
        <v>출고재고</v>
      </c>
      <c r="D1081" s="9" t="str">
        <v/>
      </c>
      <c r="E1081" s="9" t="str">
        <v/>
      </c>
      <c r="F1081" s="9" t="str">
        <v/>
      </c>
      <c r="G1081" s="9" t="str">
        <v/>
      </c>
      <c r="H1081" s="9" t="str">
        <v>RF-01B-5035</v>
      </c>
      <c r="I1081" s="11" t="str">
        <v>RF-01B-5035]CONNECTOR Bd</v>
      </c>
      <c r="J1081" s="9">
        <v>187</v>
      </c>
      <c r="K1081" s="9" t="str">
        <v/>
      </c>
      <c r="L1081" s="9" t="str">
        <v>A4-3</v>
      </c>
      <c r="M1081" s="12">
        <v>46224</v>
      </c>
      <c r="N1081" s="5" t="str">
        <v/>
      </c>
      <c r="O1081" s="5">
        <v>92574</v>
      </c>
      <c r="P1081" s="5">
        <v>50</v>
      </c>
      <c r="Q1081" s="14">
        <v>46259</v>
      </c>
      <c r="R1081" s="15">
        <v>137</v>
      </c>
    </row>
    <row r="1082" spans="2:18" x14ac:dyDescent="0.35">
      <c r="B1082" s="9">
        <v>367</v>
      </c>
      <c r="C1082" s="9" t="str">
        <v>출고재고</v>
      </c>
      <c r="D1082" s="9" t="str">
        <v/>
      </c>
      <c r="E1082" s="9" t="str">
        <v/>
      </c>
      <c r="F1082" s="9" t="str">
        <v/>
      </c>
      <c r="G1082" s="9" t="str">
        <v/>
      </c>
      <c r="H1082" s="9" t="str">
        <v>RF-01B-5039</v>
      </c>
      <c r="I1082" s="11" t="str">
        <v>RF-01B-5039]POWER HUB Bd</v>
      </c>
      <c r="J1082" s="9">
        <v>199</v>
      </c>
      <c r="K1082" s="9" t="str">
        <v/>
      </c>
      <c r="L1082" s="9" t="str">
        <v>A3-4</v>
      </c>
      <c r="M1082" s="12">
        <v>46253</v>
      </c>
      <c r="N1082" s="5" t="str">
        <v/>
      </c>
      <c r="O1082" s="5">
        <v>92574</v>
      </c>
      <c r="P1082" s="5">
        <v>50</v>
      </c>
      <c r="Q1082" s="14">
        <v>46259</v>
      </c>
      <c r="R1082" s="15">
        <v>149</v>
      </c>
    </row>
    <row r="1083" spans="2:18" x14ac:dyDescent="0.35">
      <c r="B1083" s="9">
        <v>111</v>
      </c>
      <c r="C1083" s="9" t="str">
        <v>출고재고</v>
      </c>
      <c r="D1083" s="9" t="str">
        <v/>
      </c>
      <c r="E1083" s="9" t="str">
        <v/>
      </c>
      <c r="F1083" s="9" t="str">
        <v/>
      </c>
      <c r="G1083" s="9" t="str">
        <v/>
      </c>
      <c r="H1083" s="9" t="str">
        <v>RF-01V-0254</v>
      </c>
      <c r="I1083" s="11" t="str">
        <v>RF-01V-0254]REAR CVR TOP BRK</v>
      </c>
      <c r="J1083" s="9">
        <v>200</v>
      </c>
      <c r="K1083" s="9" t="str">
        <v/>
      </c>
      <c r="L1083" s="9" t="str">
        <v>3L4-5</v>
      </c>
      <c r="M1083" s="12">
        <v>46224</v>
      </c>
      <c r="N1083" s="5" t="str">
        <v/>
      </c>
      <c r="O1083" s="5">
        <v>92574</v>
      </c>
      <c r="P1083" s="5">
        <v>50</v>
      </c>
      <c r="Q1083" s="14">
        <v>46259</v>
      </c>
      <c r="R1083" s="15">
        <v>150</v>
      </c>
    </row>
    <row r="1084" spans="2:18" x14ac:dyDescent="0.35">
      <c r="B1084" s="9">
        <v>301</v>
      </c>
      <c r="C1084" s="9" t="str">
        <v>출고재고</v>
      </c>
      <c r="D1084" s="9" t="str">
        <v/>
      </c>
      <c r="E1084" s="9" t="str">
        <v>입고</v>
      </c>
      <c r="F1084" s="9" t="str">
        <v/>
      </c>
      <c r="G1084" s="9" t="str">
        <v/>
      </c>
      <c r="H1084" s="9" t="str">
        <v>RF-01T-0355</v>
      </c>
      <c r="I1084" s="11" t="str">
        <v>RF-01T-0355]CAMERA CASE R</v>
      </c>
      <c r="J1084" s="9">
        <v>200</v>
      </c>
      <c r="K1084" s="9" t="str">
        <v/>
      </c>
      <c r="L1084" s="9" t="str">
        <v>3E9</v>
      </c>
      <c r="M1084" s="12">
        <v>46230</v>
      </c>
      <c r="N1084" s="5" t="str">
        <v/>
      </c>
      <c r="O1084" s="5">
        <v>92574</v>
      </c>
      <c r="P1084" s="5">
        <v>50</v>
      </c>
      <c r="Q1084" s="14">
        <v>46259</v>
      </c>
      <c r="R1084" s="15">
        <v>150</v>
      </c>
    </row>
    <row r="1085" spans="2:18" x14ac:dyDescent="0.35">
      <c r="B1085" s="9">
        <v>303</v>
      </c>
      <c r="C1085" s="9" t="str">
        <v>출고재고</v>
      </c>
      <c r="D1085" s="9" t="str">
        <v/>
      </c>
      <c r="E1085" s="9" t="str">
        <v>입고</v>
      </c>
      <c r="F1085" s="9" t="str">
        <v/>
      </c>
      <c r="G1085" s="9" t="str">
        <v/>
      </c>
      <c r="H1085" s="9" t="str">
        <v>RF-01T-0354</v>
      </c>
      <c r="I1085" s="11" t="str">
        <v>RF-01T-0354]CAMERA CASE L</v>
      </c>
      <c r="J1085" s="9">
        <v>200</v>
      </c>
      <c r="K1085" s="9" t="str">
        <v/>
      </c>
      <c r="L1085" s="9" t="str">
        <v>3E9</v>
      </c>
      <c r="M1085" s="12">
        <v>46230</v>
      </c>
      <c r="N1085" s="5" t="str">
        <v/>
      </c>
      <c r="O1085" s="5">
        <v>92574</v>
      </c>
      <c r="P1085" s="5">
        <v>50</v>
      </c>
      <c r="Q1085" s="14">
        <v>46259</v>
      </c>
      <c r="R1085" s="15">
        <v>150</v>
      </c>
    </row>
    <row r="1086" spans="2:18" x14ac:dyDescent="0.35">
      <c r="B1086" s="9">
        <v>390</v>
      </c>
      <c r="C1086" s="9" t="str">
        <v>출고재고</v>
      </c>
      <c r="D1086" s="9" t="str">
        <v/>
      </c>
      <c r="E1086" s="9" t="str">
        <v/>
      </c>
      <c r="F1086" s="9" t="str">
        <v/>
      </c>
      <c r="G1086" s="9" t="str">
        <v/>
      </c>
      <c r="H1086" s="9" t="str">
        <v>RF-01T-0241</v>
      </c>
      <c r="I1086" s="11" t="str">
        <v>RF-01T-0241]CAL Bas UPPER</v>
      </c>
      <c r="J1086" s="9">
        <v>201</v>
      </c>
      <c r="K1086" s="9" t="str">
        <v/>
      </c>
      <c r="L1086" s="9" t="str">
        <v>3E5</v>
      </c>
      <c r="M1086" s="12">
        <v>46225</v>
      </c>
      <c r="N1086" s="5" t="str">
        <v/>
      </c>
      <c r="O1086" s="5">
        <v>92574</v>
      </c>
      <c r="P1086" s="5">
        <v>50</v>
      </c>
      <c r="Q1086" s="14">
        <v>46259</v>
      </c>
      <c r="R1086" s="15">
        <v>151</v>
      </c>
    </row>
    <row r="1087" spans="2:18" x14ac:dyDescent="0.35">
      <c r="B1087" s="9">
        <v>94</v>
      </c>
      <c r="C1087" s="9" t="str">
        <v>출고재고</v>
      </c>
      <c r="D1087" s="9" t="str">
        <v/>
      </c>
      <c r="E1087" s="9" t="str">
        <v/>
      </c>
      <c r="F1087" s="9" t="str">
        <v/>
      </c>
      <c r="G1087" s="9" t="str">
        <v/>
      </c>
      <c r="H1087" s="9" t="str">
        <v>RF-01G-0168</v>
      </c>
      <c r="I1087" s="11" t="str">
        <v>RF-01G-0168]BOT RUBBER</v>
      </c>
      <c r="J1087" s="9">
        <v>235</v>
      </c>
      <c r="K1087" s="9" t="str">
        <v/>
      </c>
      <c r="L1087" s="9" t="str">
        <v>3S3-1</v>
      </c>
      <c r="M1087" s="12">
        <v>46224</v>
      </c>
      <c r="N1087" s="5" t="str">
        <v/>
      </c>
      <c r="O1087" s="5">
        <v>92574</v>
      </c>
      <c r="P1087" s="5">
        <v>235</v>
      </c>
      <c r="Q1087" s="14">
        <v>46259</v>
      </c>
      <c r="R1087" s="15">
        <v>0</v>
      </c>
    </row>
    <row r="1088" spans="2:18" x14ac:dyDescent="0.35">
      <c r="B1088" s="9">
        <v>104</v>
      </c>
      <c r="C1088" s="9" t="str">
        <v>출고재고</v>
      </c>
      <c r="D1088" s="9" t="str">
        <v/>
      </c>
      <c r="E1088" s="9" t="str">
        <v/>
      </c>
      <c r="F1088" s="9" t="str">
        <v/>
      </c>
      <c r="G1088" s="9" t="str">
        <v/>
      </c>
      <c r="H1088" s="9" t="str">
        <v>RF-01M-0269</v>
      </c>
      <c r="I1088" s="11" t="str">
        <v>RF-01M-0269]FACE CAM BLK_HR</v>
      </c>
      <c r="J1088" s="9">
        <v>244</v>
      </c>
      <c r="K1088" s="9" t="str">
        <v/>
      </c>
      <c r="L1088" s="9" t="str">
        <v>3L4-4</v>
      </c>
      <c r="M1088" s="12">
        <v>46224</v>
      </c>
      <c r="N1088" s="5" t="str">
        <v/>
      </c>
      <c r="O1088" s="5">
        <v>92574</v>
      </c>
      <c r="P1088" s="5">
        <v>50</v>
      </c>
      <c r="Q1088" s="14">
        <v>46259</v>
      </c>
      <c r="R1088" s="15">
        <v>194</v>
      </c>
    </row>
    <row r="1089" spans="2:18" x14ac:dyDescent="0.35">
      <c r="B1089" s="9">
        <v>374</v>
      </c>
      <c r="C1089" s="9" t="str">
        <v>출고재고</v>
      </c>
      <c r="D1089" s="9" t="str">
        <v/>
      </c>
      <c r="E1089" s="9" t="str">
        <v/>
      </c>
      <c r="F1089" s="9" t="str">
        <v/>
      </c>
      <c r="G1089" s="9" t="str">
        <v/>
      </c>
      <c r="H1089" s="9" t="str">
        <v>RF-01T-0161</v>
      </c>
      <c r="I1089" s="11" t="str">
        <v>RF-01T-0161]Bas BOT UPPER</v>
      </c>
      <c r="J1089" s="9">
        <v>248</v>
      </c>
      <c r="K1089" s="9" t="str">
        <v/>
      </c>
      <c r="L1089" s="9" t="str">
        <v>3B11</v>
      </c>
      <c r="M1089" s="12">
        <v>46253</v>
      </c>
      <c r="N1089" s="5" t="str">
        <v/>
      </c>
      <c r="O1089" s="5">
        <v>92574</v>
      </c>
      <c r="P1089" s="5">
        <v>50</v>
      </c>
      <c r="Q1089" s="14">
        <v>46259</v>
      </c>
      <c r="R1089" s="15">
        <v>198</v>
      </c>
    </row>
    <row r="1090" spans="2:18" x14ac:dyDescent="0.35">
      <c r="B1090" s="9">
        <v>114</v>
      </c>
      <c r="C1090" s="9" t="str">
        <v>출고재고</v>
      </c>
      <c r="D1090" s="9" t="str">
        <v/>
      </c>
      <c r="E1090" s="9" t="str">
        <v/>
      </c>
      <c r="F1090" s="9" t="str">
        <v/>
      </c>
      <c r="G1090" s="9" t="str">
        <v/>
      </c>
      <c r="H1090" s="9" t="str">
        <v>RF-01M-0397</v>
      </c>
      <c r="I1090" s="11" t="str">
        <v>RF-01M-0397]COVER BOTTOM</v>
      </c>
      <c r="J1090" s="9">
        <v>255</v>
      </c>
      <c r="K1090" s="9" t="str">
        <v/>
      </c>
      <c r="L1090" s="9" t="str">
        <v>3E5</v>
      </c>
      <c r="M1090" s="12">
        <v>46224</v>
      </c>
      <c r="N1090" s="5" t="str">
        <v/>
      </c>
      <c r="O1090" s="5">
        <v>92574</v>
      </c>
      <c r="P1090" s="5">
        <v>50</v>
      </c>
      <c r="Q1090" s="14">
        <v>46259</v>
      </c>
      <c r="R1090" s="15">
        <v>205</v>
      </c>
    </row>
    <row r="1091" spans="2:18" x14ac:dyDescent="0.35">
      <c r="B1091" s="9">
        <v>396</v>
      </c>
      <c r="C1091" s="9" t="str">
        <v>출고재고</v>
      </c>
      <c r="D1091" s="9" t="str">
        <v/>
      </c>
      <c r="E1091" s="9" t="str">
        <v/>
      </c>
      <c r="F1091" s="9" t="str">
        <v/>
      </c>
      <c r="G1091" s="9" t="str">
        <v/>
      </c>
      <c r="H1091" s="9" t="str">
        <v>RP-00S-5041</v>
      </c>
      <c r="I1091" s="11" t="str">
        <v/>
      </c>
      <c r="J1091" s="9">
        <v>255</v>
      </c>
      <c r="K1091" s="9" t="str">
        <v/>
      </c>
      <c r="L1091" s="9" t="str">
        <v>3B20</v>
      </c>
      <c r="M1091" s="12">
        <v>46253</v>
      </c>
      <c r="N1091" s="5" t="str">
        <v/>
      </c>
      <c r="O1091" s="5">
        <v>92574</v>
      </c>
      <c r="P1091" s="5">
        <v>50</v>
      </c>
      <c r="Q1091" s="14">
        <v>46259</v>
      </c>
      <c r="R1091" s="15">
        <v>205</v>
      </c>
    </row>
    <row r="1092" spans="2:18" x14ac:dyDescent="0.35">
      <c r="B1092" s="9">
        <v>383</v>
      </c>
      <c r="C1092" s="9" t="str">
        <v>출고재고</v>
      </c>
      <c r="D1092" s="9" t="str">
        <v/>
      </c>
      <c r="E1092" s="9" t="str">
        <v/>
      </c>
      <c r="F1092" s="9" t="str">
        <v/>
      </c>
      <c r="G1092" s="9" t="str">
        <v/>
      </c>
      <c r="H1092" s="9" t="str">
        <v>RF-01T-0196</v>
      </c>
      <c r="I1092" s="11" t="str">
        <v>RF-01T-0196]CVR REAR</v>
      </c>
      <c r="J1092" s="9">
        <v>281</v>
      </c>
      <c r="K1092" s="9" t="str">
        <v/>
      </c>
      <c r="L1092" s="9" t="str">
        <v>3I5</v>
      </c>
      <c r="M1092" s="12">
        <v>46233</v>
      </c>
      <c r="N1092" s="5" t="str">
        <v/>
      </c>
      <c r="O1092" s="5">
        <v>92574</v>
      </c>
      <c r="P1092" s="5">
        <v>50</v>
      </c>
      <c r="Q1092" s="14">
        <v>46259</v>
      </c>
      <c r="R1092" s="15">
        <v>231</v>
      </c>
    </row>
    <row r="1093" spans="2:18" x14ac:dyDescent="0.35">
      <c r="B1093" s="9">
        <v>375</v>
      </c>
      <c r="C1093" s="9" t="str">
        <v>출고재고</v>
      </c>
      <c r="D1093" s="9" t="str">
        <v/>
      </c>
      <c r="E1093" s="9" t="str">
        <v/>
      </c>
      <c r="F1093" s="9" t="str">
        <v/>
      </c>
      <c r="G1093" s="9" t="str">
        <v/>
      </c>
      <c r="H1093" s="9" t="str">
        <v>RF-01T-0164</v>
      </c>
      <c r="I1093" s="11" t="str">
        <v>RF-01T-0164]LED TOUCH INDIGATOR</v>
      </c>
      <c r="J1093" s="9">
        <v>292</v>
      </c>
      <c r="K1093" s="9" t="str">
        <v/>
      </c>
      <c r="L1093" s="9" t="str">
        <v>3L3-5</v>
      </c>
      <c r="M1093" s="12">
        <v>46227</v>
      </c>
      <c r="N1093" s="5" t="str">
        <v/>
      </c>
      <c r="O1093" s="5">
        <v>92574</v>
      </c>
      <c r="P1093" s="5">
        <v>50</v>
      </c>
      <c r="Q1093" s="14">
        <v>46259</v>
      </c>
      <c r="R1093" s="15">
        <v>242</v>
      </c>
    </row>
    <row r="1094" spans="2:18" x14ac:dyDescent="0.35">
      <c r="B1094" s="9">
        <v>318</v>
      </c>
      <c r="C1094" s="9" t="str">
        <v>출고재고</v>
      </c>
      <c r="D1094" s="9" t="str">
        <v/>
      </c>
      <c r="E1094" s="9" t="str">
        <v/>
      </c>
      <c r="F1094" s="9" t="str">
        <v/>
      </c>
      <c r="G1094" s="9" t="str">
        <v/>
      </c>
      <c r="H1094" s="9" t="str">
        <v>RF-01B-5036</v>
      </c>
      <c r="I1094" s="11" t="str">
        <v>RF-01B-5036] LED CENTER BOARD</v>
      </c>
      <c r="J1094" s="9">
        <v>412</v>
      </c>
      <c r="K1094" s="9" t="str">
        <v/>
      </c>
      <c r="L1094" s="9" t="str">
        <v>A16</v>
      </c>
      <c r="M1094" s="12">
        <v>46234</v>
      </c>
      <c r="N1094" s="5" t="str">
        <v/>
      </c>
      <c r="O1094" s="5">
        <v>92574</v>
      </c>
      <c r="P1094" s="5">
        <v>50</v>
      </c>
      <c r="Q1094" s="14">
        <v>46259</v>
      </c>
      <c r="R1094" s="15">
        <v>362</v>
      </c>
    </row>
    <row r="1095" spans="2:18" x14ac:dyDescent="0.35">
      <c r="B1095" s="9">
        <v>98</v>
      </c>
      <c r="C1095" s="9" t="str">
        <v>출고재고</v>
      </c>
      <c r="D1095" s="9" t="str">
        <v/>
      </c>
      <c r="E1095" s="9" t="str">
        <v/>
      </c>
      <c r="F1095" s="9" t="str">
        <v/>
      </c>
      <c r="G1095" s="9" t="str">
        <v/>
      </c>
      <c r="H1095" s="9" t="str">
        <v>RF-01B-5034</v>
      </c>
      <c r="I1095" s="11" t="str">
        <v>RF-01B-5034] POWER BUTTON BOARD</v>
      </c>
      <c r="J1095" s="9">
        <v>463</v>
      </c>
      <c r="K1095" s="9" t="str">
        <v/>
      </c>
      <c r="L1095" s="9" t="str">
        <v>A4-2</v>
      </c>
      <c r="M1095" s="12">
        <v>46224</v>
      </c>
      <c r="N1095" s="5" t="str">
        <v/>
      </c>
      <c r="O1095" s="5">
        <v>92574</v>
      </c>
      <c r="P1095" s="5">
        <v>50</v>
      </c>
      <c r="Q1095" s="14">
        <v>46259</v>
      </c>
      <c r="R1095" s="15">
        <v>413</v>
      </c>
    </row>
    <row r="1096" spans="2:18" x14ac:dyDescent="0.35">
      <c r="B1096" s="9">
        <v>347</v>
      </c>
      <c r="C1096" s="9" t="str">
        <v>출고재고</v>
      </c>
      <c r="D1096" s="9" t="str">
        <v/>
      </c>
      <c r="E1096" s="9" t="str">
        <v>입고</v>
      </c>
      <c r="F1096" s="9" t="str">
        <v/>
      </c>
      <c r="G1096" s="9" t="str">
        <v/>
      </c>
      <c r="H1096" s="9" t="str">
        <v>RF-01S-0251</v>
      </c>
      <c r="I1096" s="11" t="str">
        <v>RF-01S-0251]CAL Mgnet</v>
      </c>
      <c r="J1096" s="9">
        <v>500</v>
      </c>
      <c r="K1096" s="9" t="str">
        <v/>
      </c>
      <c r="L1096" s="9" t="str">
        <v>3L4-3</v>
      </c>
      <c r="M1096" s="12">
        <v>46248</v>
      </c>
      <c r="N1096" s="5" t="str">
        <v/>
      </c>
      <c r="O1096" s="5">
        <v>92574</v>
      </c>
      <c r="P1096" s="5">
        <v>200</v>
      </c>
      <c r="Q1096" s="14">
        <v>46259</v>
      </c>
      <c r="R1096" s="15">
        <v>300</v>
      </c>
    </row>
    <row r="1097" spans="2:18" x14ac:dyDescent="0.35">
      <c r="B1097" s="9">
        <v>404</v>
      </c>
      <c r="C1097" s="9" t="str">
        <v>출고재고</v>
      </c>
      <c r="D1097" s="9" t="str">
        <v/>
      </c>
      <c r="E1097" s="9" t="str">
        <v>입고</v>
      </c>
      <c r="F1097" s="9" t="str">
        <v/>
      </c>
      <c r="G1097" s="9" t="str">
        <v/>
      </c>
      <c r="H1097" s="9" t="str">
        <v>RF-01G-0168</v>
      </c>
      <c r="I1097" s="11" t="str">
        <v>RF-01G-0168]BOT RUBBER</v>
      </c>
      <c r="J1097" s="9">
        <v>600</v>
      </c>
      <c r="K1097" s="9" t="str">
        <v/>
      </c>
      <c r="L1097" s="9" t="str">
        <v>3S3-1</v>
      </c>
      <c r="M1097" s="12">
        <v>46254</v>
      </c>
      <c r="N1097" s="5" t="str">
        <v/>
      </c>
      <c r="O1097" s="5">
        <v>92574</v>
      </c>
      <c r="P1097" s="5">
        <v>65</v>
      </c>
      <c r="Q1097" s="14">
        <v>46259</v>
      </c>
      <c r="R1097" s="15">
        <v>535</v>
      </c>
    </row>
    <row r="1098" spans="2:18" x14ac:dyDescent="0.35">
      <c r="B1098" s="9">
        <v>507</v>
      </c>
      <c r="C1098" s="9" t="str">
        <v>출고재고</v>
      </c>
      <c r="D1098" s="9" t="str">
        <v/>
      </c>
      <c r="E1098" s="9" t="str">
        <v>입고</v>
      </c>
      <c r="F1098" s="9" t="str">
        <v>SON TUNG</v>
      </c>
      <c r="G1098" s="9" t="str">
        <v>조영우</v>
      </c>
      <c r="H1098" s="9" t="str">
        <v>RF-01T-0173</v>
      </c>
      <c r="I1098" s="11" t="str">
        <v>RF-01T-0173]ARM CVR REAR DECO</v>
      </c>
      <c r="J1098" s="9">
        <v>770</v>
      </c>
      <c r="K1098" s="9" t="str">
        <v/>
      </c>
      <c r="L1098" s="9" t="str">
        <v>3B8</v>
      </c>
      <c r="M1098" s="12">
        <v>46259</v>
      </c>
      <c r="N1098" s="5" t="str">
        <v/>
      </c>
      <c r="O1098" s="5">
        <v>92574</v>
      </c>
      <c r="P1098" s="5">
        <v>50</v>
      </c>
      <c r="Q1098" s="14">
        <v>46268</v>
      </c>
      <c r="R1098" s="15">
        <v>720</v>
      </c>
    </row>
    <row r="1099" spans="2:18" x14ac:dyDescent="0.35">
      <c r="B1099" s="9">
        <v>91</v>
      </c>
      <c r="C1099" s="9" t="str">
        <v>출고재고</v>
      </c>
      <c r="D1099" s="9" t="str">
        <v/>
      </c>
      <c r="E1099" s="9" t="str">
        <v/>
      </c>
      <c r="F1099" s="9" t="str">
        <v/>
      </c>
      <c r="G1099" s="9" t="str">
        <v/>
      </c>
      <c r="H1099" s="9" t="str">
        <v>RF-01G-0252</v>
      </c>
      <c r="I1099" s="11" t="str">
        <v>RF-01G-0252]MOLDING FRONT MIRROR</v>
      </c>
      <c r="J1099" s="9">
        <v>1021</v>
      </c>
      <c r="K1099" s="9" t="str">
        <v/>
      </c>
      <c r="L1099" s="9" t="str">
        <v>3S3-1</v>
      </c>
      <c r="M1099" s="12">
        <v>46224</v>
      </c>
      <c r="N1099" s="5" t="str">
        <v/>
      </c>
      <c r="O1099" s="5">
        <v>92574</v>
      </c>
      <c r="P1099" s="5">
        <v>50</v>
      </c>
      <c r="Q1099" s="14">
        <v>46259</v>
      </c>
      <c r="R1099" s="15">
        <v>971</v>
      </c>
    </row>
    <row r="1100" spans="2:18" x14ac:dyDescent="0.35">
      <c r="B1100" s="9">
        <v>141</v>
      </c>
      <c r="C1100" s="9" t="str">
        <v>출고재고</v>
      </c>
      <c r="D1100" s="9" t="str">
        <v/>
      </c>
      <c r="E1100" s="9" t="str">
        <v/>
      </c>
      <c r="F1100" s="9" t="str">
        <v/>
      </c>
      <c r="G1100" s="9" t="str">
        <v/>
      </c>
      <c r="H1100" s="9" t="str">
        <v>RF-09P-0271</v>
      </c>
      <c r="I1100" s="11" t="str">
        <v>RF-09P-0271]MIRROR PROTIVE FILM</v>
      </c>
      <c r="J1100" s="9">
        <v>1553</v>
      </c>
      <c r="K1100" s="9" t="str">
        <v/>
      </c>
      <c r="L1100" s="9" t="str">
        <v>3S3-1</v>
      </c>
      <c r="M1100" s="12">
        <v>46224</v>
      </c>
      <c r="N1100" s="5" t="str">
        <v/>
      </c>
      <c r="O1100" s="5">
        <v>92574</v>
      </c>
      <c r="P1100" s="5">
        <v>50</v>
      </c>
      <c r="Q1100" s="14">
        <v>46259</v>
      </c>
      <c r="R1100" s="15">
        <v>1503</v>
      </c>
    </row>
    <row r="1101" spans="2:18" x14ac:dyDescent="0.35">
      <c r="B1101" s="9">
        <v>480</v>
      </c>
      <c r="C1101" s="9" t="str">
        <v>출고재고</v>
      </c>
      <c r="D1101" s="9" t="str">
        <v/>
      </c>
      <c r="E1101" s="9" t="str">
        <v>입고</v>
      </c>
      <c r="F1101" s="9" t="str">
        <v/>
      </c>
      <c r="G1101" s="9" t="str">
        <v/>
      </c>
      <c r="H1101" s="9" t="str">
        <v>RA-05A-6004</v>
      </c>
      <c r="I1101" s="11" t="str">
        <v>RA-05A-6004]Bd ASSY'-Aux MCU</v>
      </c>
      <c r="J1101" s="9">
        <v>99</v>
      </c>
      <c r="K1101" s="9" t="str">
        <v/>
      </c>
      <c r="L1101" s="9" t="str">
        <v>A2-2</v>
      </c>
      <c r="M1101" s="12">
        <v>46261</v>
      </c>
      <c r="N1101" s="5" t="str">
        <v/>
      </c>
      <c r="O1101" s="5">
        <v>92575</v>
      </c>
      <c r="P1101" s="5">
        <v>3</v>
      </c>
      <c r="Q1101" s="14">
        <v>46274</v>
      </c>
      <c r="R1101" s="15">
        <v>96</v>
      </c>
    </row>
    <row r="1102" spans="2:18" x14ac:dyDescent="0.35">
      <c r="B1102" s="9">
        <v>732</v>
      </c>
      <c r="C1102" s="9" t="str">
        <v>출고재고</v>
      </c>
      <c r="D1102" s="9" t="str">
        <v/>
      </c>
      <c r="E1102" s="9" t="str">
        <v/>
      </c>
      <c r="F1102" s="9" t="str">
        <v/>
      </c>
      <c r="G1102" s="9" t="str">
        <v/>
      </c>
      <c r="H1102" s="9" t="str">
        <v>RA-9-12</v>
      </c>
      <c r="I1102" s="11" t="str">
        <v>RA-9-12]SCEPH LAN</v>
      </c>
      <c r="J1102" s="9">
        <v>130</v>
      </c>
      <c r="K1102" s="9" t="str">
        <v/>
      </c>
      <c r="L1102" s="9" t="str">
        <v>G3-4</v>
      </c>
      <c r="M1102" s="12">
        <v>46240</v>
      </c>
      <c r="N1102" s="5" t="str">
        <v/>
      </c>
      <c r="O1102" s="5">
        <v>92893</v>
      </c>
      <c r="P1102" s="5">
        <v>30</v>
      </c>
      <c r="Q1102" s="14">
        <v>46261</v>
      </c>
      <c r="R1102" s="15">
        <v>100</v>
      </c>
    </row>
    <row r="1103" spans="2:18" x14ac:dyDescent="0.35">
      <c r="B1103" s="9">
        <v>2087</v>
      </c>
      <c r="C1103" s="9" t="str">
        <v>출고재고</v>
      </c>
      <c r="D1103" s="9" t="str">
        <v/>
      </c>
      <c r="E1103" s="9" t="str">
        <v/>
      </c>
      <c r="F1103" s="9" t="str">
        <v/>
      </c>
      <c r="G1103" s="9" t="str">
        <v/>
      </c>
      <c r="H1103" s="9" t="str">
        <v>RA-06A-2760</v>
      </c>
      <c r="I1103" s="11" t="str">
        <v>RA-06A-2760]ASM COL MOVING (ST) (VN)</v>
      </c>
      <c r="J1103" s="9">
        <v>5</v>
      </c>
      <c r="K1103" s="9" t="str">
        <v/>
      </c>
      <c r="L1103" s="9" t="str">
        <v>U</v>
      </c>
      <c r="M1103" s="12">
        <v>46287</v>
      </c>
      <c r="N1103" s="5" t="str">
        <v/>
      </c>
      <c r="O1103" s="5">
        <v>92897</v>
      </c>
      <c r="P1103" s="5">
        <v>2</v>
      </c>
      <c r="Q1103" s="14">
        <v>46287</v>
      </c>
      <c r="R1103" s="15">
        <v>3</v>
      </c>
    </row>
    <row r="1104" spans="2:18" x14ac:dyDescent="0.35">
      <c r="B1104" s="9">
        <v>1155</v>
      </c>
      <c r="C1104" s="9" t="str">
        <v>출고재고</v>
      </c>
      <c r="D1104" s="9" t="str">
        <v/>
      </c>
      <c r="E1104" s="9" t="str">
        <v>입고</v>
      </c>
      <c r="F1104" s="9" t="str">
        <v>Bach Tung</v>
      </c>
      <c r="G1104" s="9" t="str">
        <v>유영국</v>
      </c>
      <c r="H1104" s="9" t="str">
        <v>RA-06A-2760</v>
      </c>
      <c r="I1104" s="11" t="str">
        <v>RA-06A-2760]ASM COL MOVING (ST) (VN)</v>
      </c>
      <c r="J1104" s="9">
        <v>11</v>
      </c>
      <c r="K1104" s="9" t="str">
        <v/>
      </c>
      <c r="L1104" s="9" t="str">
        <v>U</v>
      </c>
      <c r="M1104" s="12">
        <v>46281</v>
      </c>
      <c r="N1104" s="5" t="str">
        <v/>
      </c>
      <c r="O1104" s="5">
        <v>92897</v>
      </c>
      <c r="P1104" s="5">
        <v>1</v>
      </c>
      <c r="Q1104" s="14">
        <v>46281</v>
      </c>
      <c r="R1104" s="15">
        <v>10</v>
      </c>
    </row>
    <row r="1105" spans="2:18" x14ac:dyDescent="0.35">
      <c r="B1105" s="9">
        <v>1863</v>
      </c>
      <c r="C1105" s="9" t="str">
        <v>출고재고</v>
      </c>
      <c r="D1105" s="9" t="str">
        <v/>
      </c>
      <c r="E1105" s="9" t="str">
        <v/>
      </c>
      <c r="F1105" s="9" t="str">
        <v/>
      </c>
      <c r="G1105" s="9" t="str">
        <v/>
      </c>
      <c r="H1105" s="9" t="str">
        <v>RA-1-11</v>
      </c>
      <c r="I1105" s="11" t="str">
        <v>RA-1-11]DC POWER HUB</v>
      </c>
      <c r="J1105" s="9">
        <v>105</v>
      </c>
      <c r="K1105" s="9" t="str">
        <v/>
      </c>
      <c r="L1105" s="9" t="str">
        <v>G3-1</v>
      </c>
      <c r="M1105" s="12">
        <v>46295</v>
      </c>
      <c r="N1105" s="5" t="str">
        <v/>
      </c>
      <c r="O1105" s="5">
        <v>93204</v>
      </c>
      <c r="P1105" s="5">
        <v>22</v>
      </c>
      <c r="Q1105" s="14">
        <v>46283</v>
      </c>
      <c r="R1105" s="15">
        <v>83</v>
      </c>
    </row>
    <row r="1106" spans="2:18" x14ac:dyDescent="0.35">
      <c r="B1106" s="9">
        <v>509</v>
      </c>
      <c r="C1106" s="9" t="str">
        <v>출고재고</v>
      </c>
      <c r="D1106" s="9" t="str">
        <v/>
      </c>
      <c r="E1106" s="9" t="str">
        <v/>
      </c>
      <c r="F1106" s="9" t="str">
        <v/>
      </c>
      <c r="G1106" s="9" t="str">
        <v/>
      </c>
      <c r="H1106" s="9" t="str">
        <v>RF-01S-5097</v>
      </c>
      <c r="I1106" s="11" t="str">
        <v/>
      </c>
      <c r="J1106" s="9">
        <v>2</v>
      </c>
      <c r="K1106" s="9" t="str">
        <v/>
      </c>
      <c r="L1106" s="9" t="str">
        <v>3F2</v>
      </c>
      <c r="M1106" s="12">
        <v>46268</v>
      </c>
      <c r="N1106" s="5" t="str">
        <v/>
      </c>
      <c r="O1106" s="5">
        <v>93215</v>
      </c>
      <c r="P1106" s="5">
        <v>1</v>
      </c>
      <c r="Q1106" s="14">
        <v>46268</v>
      </c>
      <c r="R1106" s="15">
        <v>1</v>
      </c>
    </row>
    <row r="1107" spans="2:18" x14ac:dyDescent="0.35">
      <c r="B1107" s="9">
        <v>492</v>
      </c>
      <c r="C1107" s="9" t="str">
        <v>출고재고</v>
      </c>
      <c r="D1107" s="9" t="str">
        <v/>
      </c>
      <c r="E1107" s="9" t="str">
        <v/>
      </c>
      <c r="F1107" s="9" t="str">
        <v/>
      </c>
      <c r="G1107" s="9" t="str">
        <v/>
      </c>
      <c r="H1107" s="9" t="str">
        <v>RF-01S-5097</v>
      </c>
      <c r="I1107" s="11" t="str">
        <v/>
      </c>
      <c r="J1107" s="9">
        <v>4</v>
      </c>
      <c r="K1107" s="9" t="str">
        <v/>
      </c>
      <c r="L1107" s="9" t="str">
        <v>3F2</v>
      </c>
      <c r="M1107" s="12">
        <v>46268</v>
      </c>
      <c r="N1107" s="5" t="str">
        <v/>
      </c>
      <c r="O1107" s="5">
        <v>93215</v>
      </c>
      <c r="P1107" s="5">
        <v>1</v>
      </c>
      <c r="Q1107" s="14">
        <v>46268</v>
      </c>
      <c r="R1107" s="15">
        <v>3</v>
      </c>
    </row>
    <row r="1108" spans="2:18" x14ac:dyDescent="0.35">
      <c r="B1108" s="9">
        <v>655</v>
      </c>
      <c r="C1108" s="9" t="str">
        <v>출고재고</v>
      </c>
      <c r="D1108" s="9" t="str">
        <v/>
      </c>
      <c r="E1108" s="9" t="str">
        <v/>
      </c>
      <c r="F1108" s="9" t="str">
        <v/>
      </c>
      <c r="G1108" s="9" t="str">
        <v/>
      </c>
      <c r="H1108" s="9" t="str">
        <v>RF-01M-0396</v>
      </c>
      <c r="I1108" s="11" t="str">
        <v>RF-01M-0396]FRAME PIPE ALIGN</v>
      </c>
      <c r="J1108" s="9">
        <v>6</v>
      </c>
      <c r="K1108" s="9" t="str">
        <v/>
      </c>
      <c r="L1108" s="9" t="str">
        <v>3C10</v>
      </c>
      <c r="M1108" s="12">
        <v>46272</v>
      </c>
      <c r="N1108" s="5" t="str">
        <v/>
      </c>
      <c r="O1108" s="5">
        <v>93215</v>
      </c>
      <c r="P1108" s="5">
        <v>1</v>
      </c>
      <c r="Q1108" s="14">
        <v>46268</v>
      </c>
      <c r="R1108" s="15">
        <v>5</v>
      </c>
    </row>
    <row r="1109" spans="2:18" x14ac:dyDescent="0.35">
      <c r="B1109" s="9">
        <v>468</v>
      </c>
      <c r="C1109" s="9" t="str">
        <v>출고재고</v>
      </c>
      <c r="D1109" s="9" t="str">
        <v/>
      </c>
      <c r="E1109" s="9" t="str">
        <v/>
      </c>
      <c r="F1109" s="9" t="str">
        <v/>
      </c>
      <c r="G1109" s="9" t="str">
        <v/>
      </c>
      <c r="H1109" s="9" t="str">
        <v>RF-01M-0200</v>
      </c>
      <c r="I1109" s="11" t="str">
        <v>RF-01M-0200]MIRROR PLT</v>
      </c>
      <c r="J1109" s="9">
        <v>10</v>
      </c>
      <c r="K1109" s="9" t="str">
        <v/>
      </c>
      <c r="L1109" s="9" t="str">
        <v>3L4-3</v>
      </c>
      <c r="M1109" s="12">
        <v>46259</v>
      </c>
      <c r="N1109" s="5" t="str">
        <v/>
      </c>
      <c r="O1109" s="5">
        <v>93215</v>
      </c>
      <c r="P1109" s="5">
        <v>10</v>
      </c>
      <c r="Q1109" s="14">
        <v>46268</v>
      </c>
      <c r="R1109" s="15">
        <v>0</v>
      </c>
    </row>
    <row r="1110" spans="2:18" x14ac:dyDescent="0.35">
      <c r="B1110" s="9">
        <v>653</v>
      </c>
      <c r="C1110" s="9" t="str">
        <v>출고재고</v>
      </c>
      <c r="D1110" s="9" t="str">
        <v/>
      </c>
      <c r="E1110" s="9" t="str">
        <v/>
      </c>
      <c r="F1110" s="9" t="str">
        <v/>
      </c>
      <c r="G1110" s="9" t="str">
        <v/>
      </c>
      <c r="H1110" s="9" t="str">
        <v>RF-01T-0199</v>
      </c>
      <c r="I1110" s="11" t="str">
        <v>RF-01T-0199]CVR REAR TOP</v>
      </c>
      <c r="J1110" s="9">
        <v>10</v>
      </c>
      <c r="K1110" s="9" t="str">
        <v/>
      </c>
      <c r="L1110" s="9" t="str">
        <v>3F5</v>
      </c>
      <c r="M1110" s="12">
        <v>46272</v>
      </c>
      <c r="N1110" s="5" t="str">
        <v/>
      </c>
      <c r="O1110" s="5">
        <v>93215</v>
      </c>
      <c r="P1110" s="5">
        <v>5</v>
      </c>
      <c r="Q1110" s="14">
        <v>46268</v>
      </c>
      <c r="R1110" s="15">
        <v>5</v>
      </c>
    </row>
    <row r="1111" spans="2:18" x14ac:dyDescent="0.35">
      <c r="B1111" s="9">
        <v>491</v>
      </c>
      <c r="C1111" s="9" t="str">
        <v>출고재고</v>
      </c>
      <c r="D1111" s="9" t="str">
        <v/>
      </c>
      <c r="E1111" s="9" t="str">
        <v/>
      </c>
      <c r="F1111" s="9" t="str">
        <v/>
      </c>
      <c r="G1111" s="9" t="str">
        <v/>
      </c>
      <c r="H1111" s="9" t="str">
        <v>RF-01T-0199</v>
      </c>
      <c r="I1111" s="11" t="str">
        <v>RF-01T-0199]CVR REAR TOP</v>
      </c>
      <c r="J1111" s="9">
        <v>16</v>
      </c>
      <c r="K1111" s="9" t="str">
        <v/>
      </c>
      <c r="L1111" s="9" t="str">
        <v>3F5</v>
      </c>
      <c r="M1111" s="12">
        <v>46268</v>
      </c>
      <c r="N1111" s="5" t="str">
        <v/>
      </c>
      <c r="O1111" s="5">
        <v>93215</v>
      </c>
      <c r="P1111" s="5">
        <v>5</v>
      </c>
      <c r="Q1111" s="14">
        <v>46268</v>
      </c>
      <c r="R1111" s="15">
        <v>11</v>
      </c>
    </row>
    <row r="1112" spans="2:18" x14ac:dyDescent="0.35">
      <c r="B1112" s="9">
        <v>486</v>
      </c>
      <c r="C1112" s="9" t="str">
        <v>출고재고</v>
      </c>
      <c r="D1112" s="9" t="str">
        <v/>
      </c>
      <c r="E1112" s="9" t="str">
        <v>입고</v>
      </c>
      <c r="F1112" s="9" t="str">
        <v>A&amp;T</v>
      </c>
      <c r="G1112" s="9" t="str">
        <v>조영우</v>
      </c>
      <c r="H1112" s="9" t="str">
        <v>RF-01M-0396</v>
      </c>
      <c r="I1112" s="11" t="str">
        <v>RF-01M-0396]FRAME PIPE ALIGN</v>
      </c>
      <c r="J1112" s="9">
        <v>30</v>
      </c>
      <c r="K1112" s="9" t="str">
        <v/>
      </c>
      <c r="L1112" s="9" t="str">
        <v>3C10</v>
      </c>
      <c r="M1112" s="12">
        <v>46261</v>
      </c>
      <c r="N1112" s="5" t="str">
        <v/>
      </c>
      <c r="O1112" s="5">
        <v>93215</v>
      </c>
      <c r="P1112" s="5">
        <v>1</v>
      </c>
      <c r="Q1112" s="14">
        <v>46268</v>
      </c>
      <c r="R1112" s="15">
        <v>29</v>
      </c>
    </row>
    <row r="1113" spans="2:18" x14ac:dyDescent="0.35">
      <c r="B1113" s="9">
        <v>497</v>
      </c>
      <c r="C1113" s="9" t="str">
        <v>출고재고</v>
      </c>
      <c r="D1113" s="9" t="str">
        <v/>
      </c>
      <c r="E1113" s="9" t="str">
        <v/>
      </c>
      <c r="F1113" s="9" t="str">
        <v/>
      </c>
      <c r="G1113" s="9" t="str">
        <v/>
      </c>
      <c r="H1113" s="9" t="str">
        <v>RF-01M-0200</v>
      </c>
      <c r="I1113" s="11" t="str">
        <v>RF-01M-0200]MIRROR PLT</v>
      </c>
      <c r="J1113" s="9">
        <v>76</v>
      </c>
      <c r="K1113" s="9" t="str">
        <v/>
      </c>
      <c r="L1113" s="9" t="str">
        <v>3L4-3</v>
      </c>
      <c r="M1113" s="12">
        <v>46268</v>
      </c>
      <c r="N1113" s="5" t="str">
        <v/>
      </c>
      <c r="O1113" s="5">
        <v>93215</v>
      </c>
      <c r="P1113" s="5">
        <v>4</v>
      </c>
      <c r="Q1113" s="14">
        <v>46268</v>
      </c>
      <c r="R1113" s="15">
        <v>72</v>
      </c>
    </row>
    <row r="1114" spans="2:18" x14ac:dyDescent="0.35">
      <c r="B1114" s="9">
        <v>343</v>
      </c>
      <c r="C1114" s="9" t="str">
        <v>출고재고</v>
      </c>
      <c r="D1114" s="9" t="str">
        <v/>
      </c>
      <c r="E1114" s="9" t="str">
        <v>입고</v>
      </c>
      <c r="F1114" s="9" t="str">
        <v/>
      </c>
      <c r="G1114" s="9" t="str">
        <v/>
      </c>
      <c r="H1114" s="9" t="str">
        <v>RF-01M-0200</v>
      </c>
      <c r="I1114" s="11" t="str">
        <v>RF-01M-0200]MIRROR PLT</v>
      </c>
      <c r="J1114" s="9">
        <v>90</v>
      </c>
      <c r="K1114" s="9" t="str">
        <v/>
      </c>
      <c r="L1114" s="9" t="str">
        <v>3L4-3</v>
      </c>
      <c r="M1114" s="12">
        <v>46252</v>
      </c>
      <c r="N1114" s="5" t="str">
        <v/>
      </c>
      <c r="O1114" s="5">
        <v>93215</v>
      </c>
      <c r="P1114" s="5">
        <v>14</v>
      </c>
      <c r="Q1114" s="14">
        <v>46268</v>
      </c>
      <c r="R1114" s="15">
        <v>76</v>
      </c>
    </row>
    <row r="1115" spans="2:18" x14ac:dyDescent="0.35">
      <c r="B1115" s="9">
        <v>666</v>
      </c>
      <c r="C1115" s="9" t="str">
        <v>출고재고</v>
      </c>
      <c r="D1115" s="9" t="str">
        <v/>
      </c>
      <c r="E1115" s="9" t="str">
        <v>입고</v>
      </c>
      <c r="F1115" s="9" t="str">
        <v/>
      </c>
      <c r="G1115" s="9" t="str">
        <v/>
      </c>
      <c r="H1115" s="9" t="str">
        <v>RF-01T-0352</v>
      </c>
      <c r="I1115" s="11" t="str">
        <v>RF-01T-0352]CAMERA CASE B</v>
      </c>
      <c r="J1115" s="9">
        <v>200</v>
      </c>
      <c r="K1115" s="9" t="str">
        <v/>
      </c>
      <c r="L1115" s="9" t="str">
        <v>3E9</v>
      </c>
      <c r="M1115" s="12">
        <v>46230</v>
      </c>
      <c r="N1115" s="5" t="str">
        <v/>
      </c>
      <c r="O1115" s="5">
        <v>93215</v>
      </c>
      <c r="P1115" s="5">
        <v>2</v>
      </c>
      <c r="Q1115" s="14">
        <v>46268</v>
      </c>
      <c r="R1115" s="15">
        <v>198</v>
      </c>
    </row>
    <row r="1116" spans="2:18" x14ac:dyDescent="0.35">
      <c r="B1116" s="9">
        <v>494</v>
      </c>
      <c r="C1116" s="9" t="str">
        <v>출고재고</v>
      </c>
      <c r="D1116" s="9" t="str">
        <v/>
      </c>
      <c r="E1116" s="9" t="str">
        <v/>
      </c>
      <c r="F1116" s="9" t="str">
        <v/>
      </c>
      <c r="G1116" s="9" t="str">
        <v/>
      </c>
      <c r="H1116" s="9" t="str">
        <v>RF-01T-0196</v>
      </c>
      <c r="I1116" s="11" t="str">
        <v>RF-01T-0196]CVR REAR</v>
      </c>
      <c r="J1116" s="9">
        <v>229</v>
      </c>
      <c r="K1116" s="9" t="str">
        <v/>
      </c>
      <c r="L1116" s="9" t="str">
        <v>3I5</v>
      </c>
      <c r="M1116" s="12">
        <v>46268</v>
      </c>
      <c r="N1116" s="5" t="str">
        <v/>
      </c>
      <c r="O1116" s="5">
        <v>93215</v>
      </c>
      <c r="P1116" s="5">
        <v>2</v>
      </c>
      <c r="Q1116" s="14">
        <v>46268</v>
      </c>
      <c r="R1116" s="15">
        <v>227</v>
      </c>
    </row>
    <row r="1117" spans="2:18" x14ac:dyDescent="0.35">
      <c r="B1117" s="9">
        <v>421</v>
      </c>
      <c r="C1117" s="9" t="str">
        <v>출고재고</v>
      </c>
      <c r="D1117" s="9" t="str">
        <v/>
      </c>
      <c r="E1117" s="9" t="str">
        <v/>
      </c>
      <c r="F1117" s="9" t="str">
        <v/>
      </c>
      <c r="G1117" s="9" t="str">
        <v/>
      </c>
      <c r="H1117" s="9" t="str">
        <v>RF-01T-0196</v>
      </c>
      <c r="I1117" s="11" t="str">
        <v>RF-01T-0196]CVR REAR</v>
      </c>
      <c r="J1117" s="9">
        <v>231</v>
      </c>
      <c r="K1117" s="9" t="str">
        <v/>
      </c>
      <c r="L1117" s="9" t="str">
        <v>3I5</v>
      </c>
      <c r="M1117" s="12">
        <v>46259</v>
      </c>
      <c r="N1117" s="5" t="str">
        <v/>
      </c>
      <c r="O1117" s="5">
        <v>93215</v>
      </c>
      <c r="P1117" s="5">
        <v>2</v>
      </c>
      <c r="Q1117" s="14">
        <v>46268</v>
      </c>
      <c r="R1117" s="15">
        <v>229</v>
      </c>
    </row>
    <row r="1118" spans="2:18" x14ac:dyDescent="0.35">
      <c r="B1118" s="9">
        <v>777</v>
      </c>
      <c r="C1118" s="9" t="str">
        <v>출고재고</v>
      </c>
      <c r="D1118" s="9" t="str">
        <v/>
      </c>
      <c r="E1118" s="9" t="str">
        <v>입고</v>
      </c>
      <c r="F1118" s="9" t="str">
        <v/>
      </c>
      <c r="G1118" s="9" t="str">
        <v/>
      </c>
      <c r="H1118" s="9" t="str">
        <v>RA-02A-2740</v>
      </c>
      <c r="I1118" s="11" t="str">
        <v>RA-02A-2740]ASM VERT TOTAL (A+) (VN)</v>
      </c>
      <c r="J1118" s="9">
        <v>45</v>
      </c>
      <c r="K1118" s="9" t="str">
        <v/>
      </c>
      <c r="L1118" s="9" t="str">
        <v>P</v>
      </c>
      <c r="M1118" s="12">
        <v>46266</v>
      </c>
      <c r="N1118" s="5" t="str">
        <v/>
      </c>
      <c r="O1118" s="5">
        <v>93218</v>
      </c>
      <c r="P1118" s="5">
        <v>2</v>
      </c>
      <c r="Q1118" s="14">
        <v>46274</v>
      </c>
      <c r="R1118" s="15">
        <v>43</v>
      </c>
    </row>
    <row r="1119" spans="2:18" x14ac:dyDescent="0.35">
      <c r="B1119" s="9">
        <v>483</v>
      </c>
      <c r="C1119" s="9" t="str">
        <v>출고재고</v>
      </c>
      <c r="D1119" s="9" t="str">
        <v/>
      </c>
      <c r="E1119" s="9" t="str">
        <v/>
      </c>
      <c r="F1119" s="9" t="str">
        <v/>
      </c>
      <c r="G1119" s="9" t="str">
        <v/>
      </c>
      <c r="H1119" s="9" t="str">
        <v>RA-05A-6004</v>
      </c>
      <c r="I1119" s="11" t="str">
        <v>RA-05A-6004]Bd ASSY'-Aux MCU</v>
      </c>
      <c r="J1119" s="9">
        <v>248</v>
      </c>
      <c r="K1119" s="9" t="str">
        <v/>
      </c>
      <c r="L1119" s="9" t="str">
        <v>A2-2</v>
      </c>
      <c r="M1119" s="12">
        <v>46262</v>
      </c>
      <c r="N1119" s="5" t="str">
        <v/>
      </c>
      <c r="O1119" s="5">
        <v>93218</v>
      </c>
      <c r="P1119" s="5">
        <v>2</v>
      </c>
      <c r="Q1119" s="14">
        <v>46265</v>
      </c>
      <c r="R1119" s="15">
        <v>246</v>
      </c>
    </row>
    <row r="1120" spans="2:18" x14ac:dyDescent="0.35">
      <c r="B1120" s="9">
        <v>1171</v>
      </c>
      <c r="C1120" s="9" t="str">
        <v>출고재고</v>
      </c>
      <c r="D1120" s="9" t="str">
        <v/>
      </c>
      <c r="E1120" s="9" t="str">
        <v>입고</v>
      </c>
      <c r="F1120" s="9" t="str">
        <v>다유</v>
      </c>
      <c r="G1120" s="9" t="str">
        <v>유영국</v>
      </c>
      <c r="H1120" s="9" t="str">
        <v>RA-05M-2907</v>
      </c>
      <c r="I1120" s="11" t="str">
        <v>RA-05M-2907]FRM ROT WEIGHT</v>
      </c>
      <c r="J1120" s="9">
        <v>48</v>
      </c>
      <c r="K1120" s="9" t="str">
        <v/>
      </c>
      <c r="L1120" s="9" t="str">
        <v>O4,T</v>
      </c>
      <c r="M1120" s="12">
        <v>46280</v>
      </c>
      <c r="N1120" s="5" t="str">
        <v/>
      </c>
      <c r="O1120" s="5">
        <v>93222</v>
      </c>
      <c r="P1120" s="5">
        <v>25</v>
      </c>
      <c r="Q1120" s="14">
        <v>46280</v>
      </c>
      <c r="R1120" s="15">
        <v>23</v>
      </c>
    </row>
    <row r="1121" spans="2:18" x14ac:dyDescent="0.35">
      <c r="B1121" s="9">
        <v>733</v>
      </c>
      <c r="C1121" s="9" t="str">
        <v>출고재고</v>
      </c>
      <c r="D1121" s="9" t="str">
        <v/>
      </c>
      <c r="E1121" s="9" t="str">
        <v/>
      </c>
      <c r="F1121" s="9" t="str">
        <v/>
      </c>
      <c r="G1121" s="9" t="str">
        <v/>
      </c>
      <c r="H1121" s="9" t="str">
        <v>RA-9-12</v>
      </c>
      <c r="I1121" s="11" t="str">
        <v>RA-9-12]SCEPH LAN</v>
      </c>
      <c r="J1121" s="9">
        <v>100</v>
      </c>
      <c r="K1121" s="9" t="str">
        <v/>
      </c>
      <c r="L1121" s="9" t="str">
        <v>G3-4</v>
      </c>
      <c r="M1121" s="12">
        <v>46261</v>
      </c>
      <c r="N1121" s="5" t="str">
        <v/>
      </c>
      <c r="O1121" s="5">
        <v>94129</v>
      </c>
      <c r="P1121" s="5">
        <v>20</v>
      </c>
      <c r="Q1121" s="14">
        <v>46261</v>
      </c>
      <c r="R1121" s="15">
        <v>80</v>
      </c>
    </row>
    <row r="1122" spans="2:18" x14ac:dyDescent="0.35">
      <c r="B1122" s="9">
        <v>2281</v>
      </c>
      <c r="C1122" s="9" t="str">
        <v>출고재고</v>
      </c>
      <c r="D1122" s="9" t="str">
        <v/>
      </c>
      <c r="E1122" s="9" t="str">
        <v>입고</v>
      </c>
      <c r="F1122" s="9" t="str">
        <v>에이투케이</v>
      </c>
      <c r="G1122" s="9" t="str">
        <v>유영국</v>
      </c>
      <c r="H1122" s="9" t="str">
        <v>RE-05H-5049</v>
      </c>
      <c r="I1122" s="11" t="str">
        <v>RE-05H-5049_1]LASER_H Extend</v>
      </c>
      <c r="J1122" s="9">
        <v>150</v>
      </c>
      <c r="K1122" s="9" t="str">
        <v/>
      </c>
      <c r="L1122" s="9" t="str">
        <v>F2-4</v>
      </c>
      <c r="M1122" s="12">
        <v>46303</v>
      </c>
      <c r="N1122" s="5" t="str">
        <v/>
      </c>
      <c r="O1122" s="5">
        <v>94139</v>
      </c>
      <c r="P1122" s="5">
        <v>6</v>
      </c>
      <c r="Q1122" s="14">
        <v>46303</v>
      </c>
      <c r="R1122" s="15">
        <v>144</v>
      </c>
    </row>
    <row r="1123" spans="2:18" x14ac:dyDescent="0.35">
      <c r="B1123" s="9">
        <v>780</v>
      </c>
      <c r="C1123" s="9" t="str">
        <v>출고재고</v>
      </c>
      <c r="D1123" s="9" t="str">
        <v/>
      </c>
      <c r="E1123" s="9" t="str">
        <v/>
      </c>
      <c r="F1123" s="9" t="str">
        <v/>
      </c>
      <c r="G1123" s="9" t="str">
        <v/>
      </c>
      <c r="H1123" s="9" t="str">
        <v>RA-02A-2740</v>
      </c>
      <c r="I1123" s="11" t="str">
        <v>RA-02A-2740]ASM VERT TOTAL (A+) (VN)</v>
      </c>
      <c r="J1123" s="9">
        <v>20</v>
      </c>
      <c r="K1123" s="9" t="str">
        <v/>
      </c>
      <c r="L1123" s="9" t="str">
        <v>P</v>
      </c>
      <c r="M1123" s="12">
        <v>46274</v>
      </c>
      <c r="N1123" s="5" t="str">
        <v/>
      </c>
      <c r="O1123" s="5">
        <v>94740</v>
      </c>
      <c r="P1123" s="5">
        <v>20</v>
      </c>
      <c r="Q1123" s="14">
        <v>46274</v>
      </c>
      <c r="R1123" s="15">
        <v>0</v>
      </c>
    </row>
    <row r="1124" spans="2:18" x14ac:dyDescent="0.35">
      <c r="B1124" s="9">
        <v>484</v>
      </c>
      <c r="C1124" s="9" t="str">
        <v>출고재고</v>
      </c>
      <c r="D1124" s="9" t="str">
        <v/>
      </c>
      <c r="E1124" s="9" t="str">
        <v/>
      </c>
      <c r="F1124" s="9" t="str">
        <v/>
      </c>
      <c r="G1124" s="9" t="str">
        <v/>
      </c>
      <c r="H1124" s="9" t="str">
        <v>RA-05A-6004</v>
      </c>
      <c r="I1124" s="11" t="str">
        <v>RA-05A-6004]Bd ASSY'-Aux MCU</v>
      </c>
      <c r="J1124" s="9">
        <v>246</v>
      </c>
      <c r="K1124" s="9" t="str">
        <v/>
      </c>
      <c r="L1124" s="9" t="str">
        <v>A2-2</v>
      </c>
      <c r="M1124" s="12">
        <v>46265</v>
      </c>
      <c r="N1124" s="5" t="str">
        <v/>
      </c>
      <c r="O1124" s="5">
        <v>94740</v>
      </c>
      <c r="P1124" s="5">
        <v>20</v>
      </c>
      <c r="Q1124" s="14">
        <v>46265</v>
      </c>
      <c r="R1124" s="15">
        <v>226</v>
      </c>
    </row>
    <row r="1125" spans="2:18" x14ac:dyDescent="0.35">
      <c r="B1125" s="9">
        <v>1743</v>
      </c>
      <c r="C1125" s="9" t="str">
        <v>출고재고</v>
      </c>
      <c r="D1125" s="9" t="str">
        <v/>
      </c>
      <c r="E1125" s="9" t="str">
        <v/>
      </c>
      <c r="F1125" s="9" t="str">
        <v/>
      </c>
      <c r="G1125" s="9" t="str">
        <v/>
      </c>
      <c r="H1125" s="9" t="str">
        <v>RA-07A-1777</v>
      </c>
      <c r="I1125" s="11" t="str">
        <v>RA-07A-1777]ASM SCREW MOVING DET (VA)</v>
      </c>
      <c r="J1125" s="9">
        <v>170</v>
      </c>
      <c r="K1125" s="9" t="str">
        <v/>
      </c>
      <c r="L1125" s="9" t="str">
        <v>J2-2</v>
      </c>
      <c r="M1125" s="12">
        <v>46294</v>
      </c>
      <c r="N1125" s="5" t="str">
        <v/>
      </c>
      <c r="O1125" s="5">
        <v>94741</v>
      </c>
      <c r="P1125" s="5">
        <v>5</v>
      </c>
      <c r="Q1125" s="14">
        <v>46287</v>
      </c>
      <c r="R1125" s="15">
        <v>165</v>
      </c>
    </row>
    <row r="1126" spans="2:18" x14ac:dyDescent="0.35">
      <c r="B1126" s="9">
        <v>852</v>
      </c>
      <c r="C1126" s="9" t="str">
        <v>출고재고</v>
      </c>
      <c r="D1126" s="9" t="str">
        <v/>
      </c>
      <c r="E1126" s="9" t="str">
        <v/>
      </c>
      <c r="F1126" s="9" t="str">
        <v/>
      </c>
      <c r="G1126" s="9" t="str">
        <v/>
      </c>
      <c r="H1126" s="9" t="str">
        <v>RA-01T-1790</v>
      </c>
      <c r="I1126" s="11" t="str">
        <v>RA-01T-1790]CAS MAIN Bas FRONT</v>
      </c>
      <c r="J1126" s="9">
        <v>50</v>
      </c>
      <c r="K1126" s="9" t="str">
        <v/>
      </c>
      <c r="L1126" s="9" t="str">
        <v>V</v>
      </c>
      <c r="M1126" s="12">
        <v>46275</v>
      </c>
      <c r="N1126" s="5" t="str">
        <v/>
      </c>
      <c r="O1126" s="5">
        <v>94743</v>
      </c>
      <c r="P1126" s="5">
        <v>20</v>
      </c>
      <c r="Q1126" s="14">
        <v>46281</v>
      </c>
      <c r="R1126" s="15">
        <v>30</v>
      </c>
    </row>
    <row r="1127" spans="2:18" x14ac:dyDescent="0.35">
      <c r="B1127" s="9">
        <v>862</v>
      </c>
      <c r="C1127" s="9" t="str">
        <v>출고재고</v>
      </c>
      <c r="D1127" s="9" t="str">
        <v/>
      </c>
      <c r="E1127" s="9" t="str">
        <v/>
      </c>
      <c r="F1127" s="9" t="str">
        <v/>
      </c>
      <c r="G1127" s="9" t="str">
        <v/>
      </c>
      <c r="H1127" s="9" t="str">
        <v>RA-04A-2296</v>
      </c>
      <c r="I1127" s="11" t="str">
        <v>RA-04A-2296]ASM HANDLE (A+)</v>
      </c>
      <c r="J1127" s="9">
        <v>75</v>
      </c>
      <c r="K1127" s="9" t="str">
        <v/>
      </c>
      <c r="L1127" s="9" t="str">
        <v>M1</v>
      </c>
      <c r="M1127" s="12">
        <v>46275</v>
      </c>
      <c r="N1127" s="5" t="str">
        <v/>
      </c>
      <c r="O1127" s="5">
        <v>94743</v>
      </c>
      <c r="P1127" s="5">
        <v>14</v>
      </c>
      <c r="Q1127" s="14">
        <v>46281</v>
      </c>
      <c r="R1127" s="15">
        <v>61</v>
      </c>
    </row>
    <row r="1128" spans="2:18" x14ac:dyDescent="0.35">
      <c r="B1128" s="9">
        <v>1159</v>
      </c>
      <c r="C1128" s="9" t="str">
        <v>출고재고</v>
      </c>
      <c r="D1128" s="9" t="str">
        <v/>
      </c>
      <c r="E1128" s="9" t="str">
        <v/>
      </c>
      <c r="F1128" s="9" t="str">
        <v/>
      </c>
      <c r="G1128" s="9" t="str">
        <v/>
      </c>
      <c r="H1128" s="9" t="str">
        <v>RA-09T-2534</v>
      </c>
      <c r="I1128" s="11" t="str">
        <v>RA-09T-2534]CAS CT HEADREST (A+)</v>
      </c>
      <c r="J1128" s="9">
        <v>151</v>
      </c>
      <c r="K1128" s="9" t="str">
        <v/>
      </c>
      <c r="L1128" s="9" t="str">
        <v>S</v>
      </c>
      <c r="M1128" s="12">
        <v>46281</v>
      </c>
      <c r="N1128" s="5" t="str">
        <v/>
      </c>
      <c r="O1128" s="5">
        <v>94743</v>
      </c>
      <c r="P1128" s="5">
        <v>40</v>
      </c>
      <c r="Q1128" s="14">
        <v>46281</v>
      </c>
      <c r="R1128" s="15">
        <v>111</v>
      </c>
    </row>
    <row r="1129" spans="2:18" x14ac:dyDescent="0.35">
      <c r="B1129" s="9">
        <v>735</v>
      </c>
      <c r="C1129" s="9" t="str">
        <v>출고재고</v>
      </c>
      <c r="D1129" s="9" t="str">
        <v/>
      </c>
      <c r="E1129" s="9" t="str">
        <v/>
      </c>
      <c r="F1129" s="9" t="str">
        <v/>
      </c>
      <c r="G1129" s="9" t="str">
        <v/>
      </c>
      <c r="H1129" s="9" t="str">
        <v>RA-9-12</v>
      </c>
      <c r="I1129" s="11" t="str">
        <v>RA-9-12]SCEPH LAN</v>
      </c>
      <c r="J1129" s="9">
        <v>78</v>
      </c>
      <c r="K1129" s="9" t="str">
        <v/>
      </c>
      <c r="L1129" s="9" t="str">
        <v>G3-4</v>
      </c>
      <c r="M1129" s="12">
        <v>46261</v>
      </c>
      <c r="N1129" s="5" t="str">
        <v/>
      </c>
      <c r="O1129" s="5">
        <v>94744</v>
      </c>
      <c r="P1129" s="5">
        <v>30</v>
      </c>
      <c r="Q1129" s="14">
        <v>46265</v>
      </c>
      <c r="R1129" s="15">
        <v>48</v>
      </c>
    </row>
    <row r="1130" spans="2:18" x14ac:dyDescent="0.35">
      <c r="B1130" s="9">
        <v>1156</v>
      </c>
      <c r="C1130" s="9" t="str">
        <v>출고재고</v>
      </c>
      <c r="D1130" s="9" t="str">
        <v/>
      </c>
      <c r="E1130" s="9" t="str">
        <v/>
      </c>
      <c r="F1130" s="9" t="str">
        <v/>
      </c>
      <c r="G1130" s="9" t="str">
        <v/>
      </c>
      <c r="H1130" s="9" t="str">
        <v>RA-06A-2760</v>
      </c>
      <c r="I1130" s="11" t="str">
        <v>RA-06A-2760]ASM COL MOVING (ST) (VN)</v>
      </c>
      <c r="J1130" s="9">
        <v>10</v>
      </c>
      <c r="K1130" s="9" t="str">
        <v/>
      </c>
      <c r="L1130" s="9" t="str">
        <v>U</v>
      </c>
      <c r="M1130" s="12">
        <v>46281</v>
      </c>
      <c r="N1130" s="5" t="str">
        <v/>
      </c>
      <c r="O1130" s="5">
        <v>94746</v>
      </c>
      <c r="P1130" s="5">
        <v>10</v>
      </c>
      <c r="Q1130" s="14">
        <v>46281</v>
      </c>
      <c r="R1130" s="15">
        <v>0</v>
      </c>
    </row>
    <row r="1131" spans="2:18" x14ac:dyDescent="0.35">
      <c r="B1131" s="9">
        <v>1157</v>
      </c>
      <c r="C1131" s="9" t="str">
        <v>출고재고</v>
      </c>
      <c r="D1131" s="9" t="str">
        <v/>
      </c>
      <c r="E1131" s="9" t="str">
        <v/>
      </c>
      <c r="F1131" s="9" t="str">
        <v/>
      </c>
      <c r="G1131" s="9" t="str">
        <v/>
      </c>
      <c r="H1131" s="9" t="str">
        <v>RA-09T-2534</v>
      </c>
      <c r="I1131" s="11" t="str">
        <v>RA-09T-2534]CAS CT HEADREST (A+)</v>
      </c>
      <c r="J1131" s="9">
        <v>171</v>
      </c>
      <c r="K1131" s="9" t="str">
        <v/>
      </c>
      <c r="L1131" s="9" t="str">
        <v>S</v>
      </c>
      <c r="M1131" s="12">
        <v>46281</v>
      </c>
      <c r="N1131" s="5" t="str">
        <v/>
      </c>
      <c r="O1131" s="5">
        <v>94748</v>
      </c>
      <c r="P1131" s="5">
        <v>20</v>
      </c>
      <c r="Q1131" s="14">
        <v>46281</v>
      </c>
      <c r="R1131" s="15">
        <v>151</v>
      </c>
    </row>
    <row r="1132" spans="2:18" x14ac:dyDescent="0.35">
      <c r="B1132" s="9">
        <v>658</v>
      </c>
      <c r="C1132" s="9" t="str">
        <v>출고재고</v>
      </c>
      <c r="D1132" s="9" t="str">
        <v/>
      </c>
      <c r="E1132" s="9" t="str">
        <v/>
      </c>
      <c r="F1132" s="9" t="str">
        <v/>
      </c>
      <c r="G1132" s="9" t="str">
        <v/>
      </c>
      <c r="H1132" s="9" t="str">
        <v>RF-01S-5097</v>
      </c>
      <c r="I1132" s="11" t="str">
        <v/>
      </c>
      <c r="J1132" s="9">
        <v>1</v>
      </c>
      <c r="K1132" s="9" t="str">
        <v/>
      </c>
      <c r="L1132" s="9" t="str">
        <v>3F2</v>
      </c>
      <c r="M1132" s="12">
        <v>46268</v>
      </c>
      <c r="N1132" s="5" t="str">
        <v/>
      </c>
      <c r="O1132" s="5">
        <v>94753</v>
      </c>
      <c r="P1132" s="5">
        <v>1</v>
      </c>
      <c r="Q1132" s="14">
        <v>46268</v>
      </c>
      <c r="R1132" s="15">
        <v>0</v>
      </c>
    </row>
    <row r="1133" spans="2:18" x14ac:dyDescent="0.35">
      <c r="B1133" s="9">
        <v>476</v>
      </c>
      <c r="C1133" s="9" t="str">
        <v>출고재고</v>
      </c>
      <c r="D1133" s="9" t="str">
        <v/>
      </c>
      <c r="E1133" s="9" t="str">
        <v/>
      </c>
      <c r="F1133" s="9" t="str">
        <v/>
      </c>
      <c r="G1133" s="9" t="str">
        <v/>
      </c>
      <c r="H1133" s="9" t="str">
        <v>RF-01S-5097</v>
      </c>
      <c r="I1133" s="11" t="str">
        <v/>
      </c>
      <c r="J1133" s="9">
        <v>5</v>
      </c>
      <c r="K1133" s="9" t="str">
        <v/>
      </c>
      <c r="L1133" s="9" t="str">
        <v>3F2</v>
      </c>
      <c r="M1133" s="12">
        <v>46259</v>
      </c>
      <c r="N1133" s="5" t="str">
        <v/>
      </c>
      <c r="O1133" s="5">
        <v>94753</v>
      </c>
      <c r="P1133" s="5">
        <v>1</v>
      </c>
      <c r="Q1133" s="14">
        <v>46268</v>
      </c>
      <c r="R1133" s="15">
        <v>4</v>
      </c>
    </row>
    <row r="1134" spans="2:18" x14ac:dyDescent="0.35">
      <c r="B1134" s="9">
        <v>657</v>
      </c>
      <c r="C1134" s="9" t="str">
        <v>출고재고</v>
      </c>
      <c r="D1134" s="9" t="str">
        <v/>
      </c>
      <c r="E1134" s="9" t="str">
        <v/>
      </c>
      <c r="F1134" s="9" t="str">
        <v/>
      </c>
      <c r="G1134" s="9" t="str">
        <v/>
      </c>
      <c r="H1134" s="9" t="str">
        <v>RF-01M-0396</v>
      </c>
      <c r="I1134" s="11" t="str">
        <v>RF-01M-0396]FRAME PIPE ALIGN</v>
      </c>
      <c r="J1134" s="9">
        <v>5</v>
      </c>
      <c r="K1134" s="9" t="str">
        <v/>
      </c>
      <c r="L1134" s="9" t="str">
        <v>3C10</v>
      </c>
      <c r="M1134" s="12">
        <v>46268</v>
      </c>
      <c r="N1134" s="5" t="str">
        <v/>
      </c>
      <c r="O1134" s="5">
        <v>94753</v>
      </c>
      <c r="P1134" s="5">
        <v>2</v>
      </c>
      <c r="Q1134" s="14">
        <v>46268</v>
      </c>
      <c r="R1134" s="15">
        <v>3</v>
      </c>
    </row>
    <row r="1135" spans="2:18" x14ac:dyDescent="0.35">
      <c r="B1135" s="9">
        <v>661</v>
      </c>
      <c r="C1135" s="9" t="str">
        <v>출고재고</v>
      </c>
      <c r="D1135" s="9" t="str">
        <v/>
      </c>
      <c r="E1135" s="9" t="str">
        <v/>
      </c>
      <c r="F1135" s="9" t="str">
        <v/>
      </c>
      <c r="G1135" s="9" t="str">
        <v/>
      </c>
      <c r="H1135" s="9" t="str">
        <v>RF-01T-0199</v>
      </c>
      <c r="I1135" s="11" t="str">
        <v>RF-01T-0199]CVR REAR TOP</v>
      </c>
      <c r="J1135" s="9">
        <v>5</v>
      </c>
      <c r="K1135" s="9" t="str">
        <v/>
      </c>
      <c r="L1135" s="9" t="str">
        <v>3F5</v>
      </c>
      <c r="M1135" s="12">
        <v>46268</v>
      </c>
      <c r="N1135" s="5" t="str">
        <v/>
      </c>
      <c r="O1135" s="5">
        <v>94753</v>
      </c>
      <c r="P1135" s="5">
        <v>1</v>
      </c>
      <c r="Q1135" s="14">
        <v>46268</v>
      </c>
      <c r="R1135" s="15">
        <v>4</v>
      </c>
    </row>
    <row r="1136" spans="2:18" x14ac:dyDescent="0.35">
      <c r="B1136" s="9">
        <v>487</v>
      </c>
      <c r="C1136" s="9" t="str">
        <v>출고재고</v>
      </c>
      <c r="D1136" s="9" t="str">
        <v/>
      </c>
      <c r="E1136" s="9" t="str">
        <v>입고</v>
      </c>
      <c r="F1136" s="9" t="str">
        <v>A&amp;T</v>
      </c>
      <c r="G1136" s="9" t="str">
        <v>조영우</v>
      </c>
      <c r="H1136" s="9" t="str">
        <v>RF-01M-0396</v>
      </c>
      <c r="I1136" s="11" t="str">
        <v>RF-01M-0396]FRAME PIPE ALIGN</v>
      </c>
      <c r="J1136" s="9">
        <v>14</v>
      </c>
      <c r="K1136" s="9" t="str">
        <v/>
      </c>
      <c r="L1136" s="9" t="str">
        <v>3C10</v>
      </c>
      <c r="M1136" s="12">
        <v>46261</v>
      </c>
      <c r="N1136" s="5" t="str">
        <v/>
      </c>
      <c r="O1136" s="5">
        <v>94753</v>
      </c>
      <c r="P1136" s="5">
        <v>2</v>
      </c>
      <c r="Q1136" s="14">
        <v>46268</v>
      </c>
      <c r="R1136" s="15">
        <v>12</v>
      </c>
    </row>
    <row r="1137" spans="2:18" x14ac:dyDescent="0.35">
      <c r="B1137" s="9">
        <v>461</v>
      </c>
      <c r="C1137" s="9" t="str">
        <v>출고재고</v>
      </c>
      <c r="D1137" s="9" t="str">
        <v/>
      </c>
      <c r="E1137" s="9" t="str">
        <v/>
      </c>
      <c r="F1137" s="9" t="str">
        <v/>
      </c>
      <c r="G1137" s="9" t="str">
        <v/>
      </c>
      <c r="H1137" s="9" t="str">
        <v>RF-01T-0199</v>
      </c>
      <c r="I1137" s="11" t="str">
        <v>RF-01T-0199]CVR REAR TOP</v>
      </c>
      <c r="J1137" s="9">
        <v>17</v>
      </c>
      <c r="K1137" s="9" t="str">
        <v/>
      </c>
      <c r="L1137" s="9" t="str">
        <v>3F5</v>
      </c>
      <c r="M1137" s="12">
        <v>46259</v>
      </c>
      <c r="N1137" s="5" t="str">
        <v/>
      </c>
      <c r="O1137" s="5">
        <v>94753</v>
      </c>
      <c r="P1137" s="5">
        <v>1</v>
      </c>
      <c r="Q1137" s="14">
        <v>46268</v>
      </c>
      <c r="R1137" s="15">
        <v>16</v>
      </c>
    </row>
    <row r="1138" spans="2:18" x14ac:dyDescent="0.35">
      <c r="B1138" s="9">
        <v>493</v>
      </c>
      <c r="C1138" s="9" t="str">
        <v>출고재고</v>
      </c>
      <c r="D1138" s="9" t="str">
        <v/>
      </c>
      <c r="E1138" s="9" t="str">
        <v/>
      </c>
      <c r="F1138" s="9" t="str">
        <v/>
      </c>
      <c r="G1138" s="9" t="str">
        <v/>
      </c>
      <c r="H1138" s="9" t="str">
        <v>RF-01S-5046</v>
      </c>
      <c r="I1138" s="11" t="str">
        <v>RF-01S-5046]DLP ENGINE</v>
      </c>
      <c r="J1138" s="9">
        <v>23</v>
      </c>
      <c r="K1138" s="9" t="str">
        <v/>
      </c>
      <c r="L1138" s="9" t="str">
        <v>3C7</v>
      </c>
      <c r="M1138" s="12">
        <v>46268</v>
      </c>
      <c r="N1138" s="5" t="str">
        <v/>
      </c>
      <c r="O1138" s="5">
        <v>94753</v>
      </c>
      <c r="P1138" s="5">
        <v>1</v>
      </c>
      <c r="Q1138" s="14">
        <v>46268</v>
      </c>
      <c r="R1138" s="15">
        <v>22</v>
      </c>
    </row>
    <row r="1139" spans="2:18" x14ac:dyDescent="0.35">
      <c r="B1139" s="9">
        <v>456</v>
      </c>
      <c r="C1139" s="9" t="str">
        <v>출고재고</v>
      </c>
      <c r="D1139" s="9" t="str">
        <v/>
      </c>
      <c r="E1139" s="9" t="str">
        <v/>
      </c>
      <c r="F1139" s="9" t="str">
        <v/>
      </c>
      <c r="G1139" s="9" t="str">
        <v/>
      </c>
      <c r="H1139" s="9" t="str">
        <v>RF-01S-5046</v>
      </c>
      <c r="I1139" s="11" t="str">
        <v>RF-01S-5046]DLP ENGINE</v>
      </c>
      <c r="J1139" s="9">
        <v>24</v>
      </c>
      <c r="K1139" s="9" t="str">
        <v/>
      </c>
      <c r="L1139" s="9" t="str">
        <v>3C7</v>
      </c>
      <c r="M1139" s="12">
        <v>46259</v>
      </c>
      <c r="N1139" s="5" t="str">
        <v/>
      </c>
      <c r="O1139" s="5">
        <v>94753</v>
      </c>
      <c r="P1139" s="5">
        <v>1</v>
      </c>
      <c r="Q1139" s="14">
        <v>46268</v>
      </c>
      <c r="R1139" s="15">
        <v>23</v>
      </c>
    </row>
    <row r="1140" spans="2:18" x14ac:dyDescent="0.35">
      <c r="B1140" s="9">
        <v>438</v>
      </c>
      <c r="C1140" s="9" t="str">
        <v>출고재고</v>
      </c>
      <c r="D1140" s="9" t="str">
        <v/>
      </c>
      <c r="E1140" s="9" t="str">
        <v/>
      </c>
      <c r="F1140" s="9" t="str">
        <v/>
      </c>
      <c r="G1140" s="9" t="str">
        <v/>
      </c>
      <c r="H1140" s="9" t="str">
        <v>RF-20A-0383</v>
      </c>
      <c r="I1140" s="11" t="str">
        <v/>
      </c>
      <c r="J1140" s="9">
        <v>64</v>
      </c>
      <c r="K1140" s="9" t="str">
        <v/>
      </c>
      <c r="L1140" s="9" t="str">
        <v>3L1-3</v>
      </c>
      <c r="M1140" s="12">
        <v>46259</v>
      </c>
      <c r="N1140" s="5" t="str">
        <v/>
      </c>
      <c r="O1140" s="5">
        <v>94753</v>
      </c>
      <c r="P1140" s="5">
        <v>6</v>
      </c>
      <c r="Q1140" s="14">
        <v>46268</v>
      </c>
      <c r="R1140" s="15">
        <v>58</v>
      </c>
    </row>
    <row r="1141" spans="2:18" x14ac:dyDescent="0.35">
      <c r="B1141" s="9">
        <v>508</v>
      </c>
      <c r="C1141" s="9" t="str">
        <v>출고재고</v>
      </c>
      <c r="D1141" s="9" t="str">
        <v/>
      </c>
      <c r="E1141" s="9" t="str">
        <v/>
      </c>
      <c r="F1141" s="9" t="str">
        <v/>
      </c>
      <c r="G1141" s="9" t="str">
        <v/>
      </c>
      <c r="H1141" s="9" t="str">
        <v>RF-01T-0196</v>
      </c>
      <c r="I1141" s="11" t="str">
        <v>RF-01T-0196]CVR REAR</v>
      </c>
      <c r="J1141" s="9">
        <v>224</v>
      </c>
      <c r="K1141" s="9" t="str">
        <v/>
      </c>
      <c r="L1141" s="9" t="str">
        <v>3I5</v>
      </c>
      <c r="M1141" s="12">
        <v>46268</v>
      </c>
      <c r="N1141" s="5" t="str">
        <v/>
      </c>
      <c r="O1141" s="5">
        <v>94753</v>
      </c>
      <c r="P1141" s="5">
        <v>1</v>
      </c>
      <c r="Q1141" s="14">
        <v>46268</v>
      </c>
      <c r="R1141" s="15">
        <v>223</v>
      </c>
    </row>
    <row r="1142" spans="2:18" x14ac:dyDescent="0.35">
      <c r="B1142" s="9">
        <v>384</v>
      </c>
      <c r="C1142" s="9" t="str">
        <v>출고재고</v>
      </c>
      <c r="D1142" s="9" t="str">
        <v/>
      </c>
      <c r="E1142" s="9" t="str">
        <v/>
      </c>
      <c r="F1142" s="9" t="str">
        <v/>
      </c>
      <c r="G1142" s="9" t="str">
        <v/>
      </c>
      <c r="H1142" s="9" t="str">
        <v>RF-01T-0196</v>
      </c>
      <c r="I1142" s="11" t="str">
        <v>RF-01T-0196]CVR REAR</v>
      </c>
      <c r="J1142" s="9">
        <v>226</v>
      </c>
      <c r="K1142" s="9" t="str">
        <v/>
      </c>
      <c r="L1142" s="9" t="str">
        <v>3I5</v>
      </c>
      <c r="M1142" s="12">
        <v>46253</v>
      </c>
      <c r="N1142" s="5" t="str">
        <v/>
      </c>
      <c r="O1142" s="5">
        <v>94753</v>
      </c>
      <c r="P1142" s="5">
        <v>1</v>
      </c>
      <c r="Q1142" s="14">
        <v>46268</v>
      </c>
      <c r="R1142" s="15">
        <v>225</v>
      </c>
    </row>
    <row r="1143" spans="2:18" x14ac:dyDescent="0.35">
      <c r="B1143" s="9">
        <v>2099</v>
      </c>
      <c r="C1143" s="9" t="str">
        <v>출고재고</v>
      </c>
      <c r="D1143" s="9" t="str">
        <v/>
      </c>
      <c r="E1143" s="9" t="str">
        <v/>
      </c>
      <c r="F1143" s="9" t="str">
        <v/>
      </c>
      <c r="G1143" s="9" t="str">
        <v/>
      </c>
      <c r="H1143" s="9" t="str">
        <v>RA-1-11</v>
      </c>
      <c r="I1143" s="11" t="str">
        <v>RA-1-11]DC POWER HUB</v>
      </c>
      <c r="J1143" s="9">
        <v>83</v>
      </c>
      <c r="K1143" s="9" t="str">
        <v/>
      </c>
      <c r="L1143" s="9" t="str">
        <v>G3-1</v>
      </c>
      <c r="M1143" s="12">
        <v>46283</v>
      </c>
      <c r="N1143" s="5" t="str">
        <v/>
      </c>
      <c r="O1143" s="5">
        <v>94756</v>
      </c>
      <c r="P1143" s="5">
        <v>20</v>
      </c>
      <c r="Q1143" s="14">
        <v>46283</v>
      </c>
      <c r="R1143" s="15">
        <v>63</v>
      </c>
    </row>
    <row r="1144" spans="2:18" x14ac:dyDescent="0.35">
      <c r="B1144" s="9">
        <v>2098</v>
      </c>
      <c r="C1144" s="9" t="str">
        <v>출고재고</v>
      </c>
      <c r="D1144" s="9" t="str">
        <v/>
      </c>
      <c r="E1144" s="9" t="str">
        <v/>
      </c>
      <c r="F1144" s="9" t="str">
        <v/>
      </c>
      <c r="G1144" s="9" t="str">
        <v/>
      </c>
      <c r="H1144" s="9" t="str">
        <v>RA-07M-2786</v>
      </c>
      <c r="I1144" s="11" t="str">
        <v>RA-07M-2786]PLT DET SNSR (IR)</v>
      </c>
      <c r="J1144" s="9">
        <v>150</v>
      </c>
      <c r="K1144" s="9" t="str">
        <v/>
      </c>
      <c r="L1144" s="9" t="str">
        <v>J2-2</v>
      </c>
      <c r="M1144" s="12">
        <v>46283</v>
      </c>
      <c r="N1144" s="5" t="str">
        <v/>
      </c>
      <c r="O1144" s="5">
        <v>94756</v>
      </c>
      <c r="P1144" s="5">
        <v>40</v>
      </c>
      <c r="Q1144" s="14">
        <v>46283</v>
      </c>
      <c r="R1144" s="15">
        <v>110</v>
      </c>
    </row>
    <row r="1145" spans="2:18" x14ac:dyDescent="0.35">
      <c r="B1145" s="9">
        <v>2510</v>
      </c>
      <c r="C1145" s="9" t="str">
        <v>출고재고</v>
      </c>
      <c r="D1145" s="9" t="str">
        <v/>
      </c>
      <c r="E1145" s="9" t="str">
        <v/>
      </c>
      <c r="F1145" s="9" t="str">
        <v/>
      </c>
      <c r="G1145" s="9" t="str">
        <v/>
      </c>
      <c r="H1145" s="9" t="str">
        <v>RA-04A-6035</v>
      </c>
      <c r="I1145" s="11" t="str">
        <v>RA-04A-6035_4]Bd ASSY'-THU Bd</v>
      </c>
      <c r="J1145" s="9">
        <v>12</v>
      </c>
      <c r="K1145" s="9" t="str">
        <v/>
      </c>
      <c r="L1145" s="9" t="str">
        <v>A1-1</v>
      </c>
      <c r="M1145" s="12">
        <v>46296</v>
      </c>
      <c r="N1145" s="5" t="str">
        <v/>
      </c>
      <c r="O1145" s="5">
        <v>94759</v>
      </c>
      <c r="P1145" s="5">
        <v>10</v>
      </c>
      <c r="Q1145" s="14">
        <v>46296</v>
      </c>
      <c r="R1145" s="15">
        <v>2</v>
      </c>
    </row>
    <row r="1146" spans="2:18" x14ac:dyDescent="0.35">
      <c r="B1146" s="9">
        <v>778</v>
      </c>
      <c r="C1146" s="9" t="str">
        <v>출고재고</v>
      </c>
      <c r="D1146" s="9" t="str">
        <v/>
      </c>
      <c r="E1146" s="9" t="str">
        <v/>
      </c>
      <c r="F1146" s="9" t="str">
        <v/>
      </c>
      <c r="G1146" s="9" t="str">
        <v/>
      </c>
      <c r="H1146" s="9" t="str">
        <v>RA-02A-2740</v>
      </c>
      <c r="I1146" s="11" t="str">
        <v>RA-02A-2740]ASM VERT TOTAL (A+) (VN)</v>
      </c>
      <c r="J1146" s="9">
        <v>43</v>
      </c>
      <c r="K1146" s="9" t="str">
        <v/>
      </c>
      <c r="L1146" s="9" t="str">
        <v>P</v>
      </c>
      <c r="M1146" s="12">
        <v>46274</v>
      </c>
      <c r="N1146" s="5" t="str">
        <v/>
      </c>
      <c r="O1146" s="5">
        <v>94760</v>
      </c>
      <c r="P1146" s="5">
        <v>13</v>
      </c>
      <c r="Q1146" s="14">
        <v>46274</v>
      </c>
      <c r="R1146" s="15">
        <v>30</v>
      </c>
    </row>
    <row r="1147" spans="2:18" x14ac:dyDescent="0.35">
      <c r="B1147" s="9">
        <v>781</v>
      </c>
      <c r="C1147" s="9" t="str">
        <v>출고재고</v>
      </c>
      <c r="D1147" s="9" t="str">
        <v/>
      </c>
      <c r="E1147" s="9" t="str">
        <v/>
      </c>
      <c r="F1147" s="9" t="str">
        <v/>
      </c>
      <c r="G1147" s="9" t="str">
        <v/>
      </c>
      <c r="H1147" s="9" t="str">
        <v>RA-05A-6004</v>
      </c>
      <c r="I1147" s="11" t="str">
        <v>RA-05A-6004]Bd ASSY'-Aux MCU</v>
      </c>
      <c r="J1147" s="9">
        <v>96</v>
      </c>
      <c r="K1147" s="9" t="str">
        <v/>
      </c>
      <c r="L1147" s="9" t="str">
        <v>A2-2</v>
      </c>
      <c r="M1147" s="12">
        <v>46274</v>
      </c>
      <c r="N1147" s="5" t="str">
        <v/>
      </c>
      <c r="O1147" s="5">
        <v>94760</v>
      </c>
      <c r="P1147" s="5">
        <v>10</v>
      </c>
      <c r="Q1147" s="14">
        <v>46274</v>
      </c>
      <c r="R1147" s="15">
        <v>86</v>
      </c>
    </row>
    <row r="1148" spans="2:18" x14ac:dyDescent="0.35">
      <c r="B1148" s="9">
        <v>2100</v>
      </c>
      <c r="C1148" s="9" t="str">
        <v>출고재고</v>
      </c>
      <c r="D1148" s="9" t="str">
        <v/>
      </c>
      <c r="E1148" s="9" t="str">
        <v/>
      </c>
      <c r="F1148" s="9" t="str">
        <v/>
      </c>
      <c r="G1148" s="9" t="str">
        <v/>
      </c>
      <c r="H1148" s="9" t="str">
        <v>RA-1-11</v>
      </c>
      <c r="I1148" s="11" t="str">
        <v>RA-1-11]DC POWER HUB</v>
      </c>
      <c r="J1148" s="9">
        <v>63</v>
      </c>
      <c r="K1148" s="9" t="str">
        <v/>
      </c>
      <c r="L1148" s="9" t="str">
        <v>G3-1</v>
      </c>
      <c r="M1148" s="12">
        <v>46283</v>
      </c>
      <c r="N1148" s="5" t="str">
        <v/>
      </c>
      <c r="O1148" s="5">
        <v>94763</v>
      </c>
      <c r="P1148" s="5">
        <v>10</v>
      </c>
      <c r="Q1148" s="14">
        <v>46283</v>
      </c>
      <c r="R1148" s="15">
        <v>53</v>
      </c>
    </row>
    <row r="1149" spans="2:18" x14ac:dyDescent="0.35">
      <c r="B1149" s="9">
        <v>1860</v>
      </c>
      <c r="C1149" s="9" t="str">
        <v>출고재고</v>
      </c>
      <c r="D1149" s="9" t="str">
        <v/>
      </c>
      <c r="E1149" s="9" t="str">
        <v/>
      </c>
      <c r="F1149" s="9" t="str">
        <v/>
      </c>
      <c r="G1149" s="9" t="str">
        <v/>
      </c>
      <c r="H1149" s="9" t="str">
        <v>RA-11-9</v>
      </c>
      <c r="I1149" s="11" t="str">
        <v>RA-11-9]DC POWER MOT-A</v>
      </c>
      <c r="J1149" s="9">
        <v>74</v>
      </c>
      <c r="K1149" s="9" t="str">
        <v/>
      </c>
      <c r="L1149" s="9" t="str">
        <v>G4</v>
      </c>
      <c r="M1149" s="12">
        <v>46295</v>
      </c>
      <c r="N1149" s="5" t="str">
        <v/>
      </c>
      <c r="O1149" s="5">
        <v>94763</v>
      </c>
      <c r="P1149" s="5">
        <v>2</v>
      </c>
      <c r="Q1149" s="14">
        <v>46283</v>
      </c>
      <c r="R1149" s="15">
        <v>72</v>
      </c>
    </row>
    <row r="1150" spans="2:18" x14ac:dyDescent="0.35">
      <c r="B1150" s="9">
        <v>1811</v>
      </c>
      <c r="C1150" s="9" t="str">
        <v>출고재고</v>
      </c>
      <c r="D1150" s="9" t="str">
        <v/>
      </c>
      <c r="E1150" s="9" t="str">
        <v/>
      </c>
      <c r="F1150" s="9" t="str">
        <v/>
      </c>
      <c r="G1150" s="9" t="str">
        <v/>
      </c>
      <c r="H1150" s="9" t="str">
        <v>RA-04A-2748</v>
      </c>
      <c r="I1150" s="11" t="str">
        <v>RA-04A-2748]ASM ARM SUB (A+) (VN)</v>
      </c>
      <c r="J1150" s="9">
        <v>110</v>
      </c>
      <c r="K1150" s="9" t="str">
        <v/>
      </c>
      <c r="L1150" s="9" t="str">
        <v>T</v>
      </c>
      <c r="M1150" s="12">
        <v>46294</v>
      </c>
      <c r="N1150" s="5" t="str">
        <v/>
      </c>
      <c r="O1150" s="5">
        <v>95066</v>
      </c>
      <c r="P1150" s="5">
        <v>5</v>
      </c>
      <c r="Q1150" s="14">
        <v>46294</v>
      </c>
      <c r="R1150" s="15">
        <v>105</v>
      </c>
    </row>
    <row r="1151" spans="2:18" x14ac:dyDescent="0.35">
      <c r="B1151" s="9">
        <v>2101</v>
      </c>
      <c r="C1151" s="9" t="str">
        <v>출고재고</v>
      </c>
      <c r="D1151" s="9" t="str">
        <v/>
      </c>
      <c r="E1151" s="9" t="str">
        <v/>
      </c>
      <c r="F1151" s="9" t="str">
        <v/>
      </c>
      <c r="G1151" s="9" t="str">
        <v/>
      </c>
      <c r="H1151" s="9" t="str">
        <v>RA-1-11</v>
      </c>
      <c r="I1151" s="11" t="str">
        <v>RA-1-11]DC POWER HUB</v>
      </c>
      <c r="J1151" s="9">
        <v>53</v>
      </c>
      <c r="K1151" s="9" t="str">
        <v/>
      </c>
      <c r="L1151" s="9" t="str">
        <v>G3-1</v>
      </c>
      <c r="M1151" s="12">
        <v>46283</v>
      </c>
      <c r="N1151" s="5" t="str">
        <v/>
      </c>
      <c r="O1151" s="5">
        <v>95088</v>
      </c>
      <c r="P1151" s="5">
        <v>20</v>
      </c>
      <c r="Q1151" s="14">
        <v>46283</v>
      </c>
      <c r="R1151" s="15">
        <v>33</v>
      </c>
    </row>
    <row r="1152" spans="2:18" x14ac:dyDescent="0.35">
      <c r="B1152" s="9">
        <v>1483</v>
      </c>
      <c r="C1152" s="9" t="str">
        <v>출고재고</v>
      </c>
      <c r="D1152" s="9" t="str">
        <v/>
      </c>
      <c r="E1152" s="9" t="str">
        <v/>
      </c>
      <c r="F1152" s="9" t="str">
        <v/>
      </c>
      <c r="G1152" s="9" t="str">
        <v/>
      </c>
      <c r="H1152" s="9" t="str">
        <v>RA-04T-1707</v>
      </c>
      <c r="I1152" s="11" t="str">
        <v>RA-04T-1707]CAS MONITOR DECO</v>
      </c>
      <c r="J1152" s="9">
        <v>300</v>
      </c>
      <c r="K1152" s="9" t="str">
        <v/>
      </c>
      <c r="L1152" s="9" t="str">
        <v>R</v>
      </c>
      <c r="M1152" s="12">
        <v>46282</v>
      </c>
      <c r="N1152" s="5" t="str">
        <v/>
      </c>
      <c r="O1152" s="5">
        <v>95090</v>
      </c>
      <c r="P1152" s="5">
        <v>2</v>
      </c>
      <c r="Q1152" s="14">
        <v>46283</v>
      </c>
      <c r="R1152" s="15">
        <v>298</v>
      </c>
    </row>
    <row r="1153" spans="2:18" x14ac:dyDescent="0.35">
      <c r="B1153" s="9">
        <v>1342</v>
      </c>
      <c r="C1153" s="9" t="str">
        <v>출고재고</v>
      </c>
      <c r="D1153" s="9" t="str">
        <v/>
      </c>
      <c r="E1153" s="9" t="str">
        <v/>
      </c>
      <c r="F1153" s="9" t="str">
        <v/>
      </c>
      <c r="G1153" s="9" t="str">
        <v/>
      </c>
      <c r="H1153" s="9" t="str">
        <v>RP-00S-5041</v>
      </c>
      <c r="I1153" s="11" t="str">
        <v/>
      </c>
      <c r="J1153" s="9">
        <v>30</v>
      </c>
      <c r="K1153" s="9" t="str">
        <v/>
      </c>
      <c r="L1153" s="9" t="str">
        <v>3B20</v>
      </c>
      <c r="M1153" s="12">
        <v>46287</v>
      </c>
      <c r="N1153" s="5" t="str">
        <v/>
      </c>
      <c r="O1153" s="5">
        <v>96191</v>
      </c>
      <c r="P1153" s="5">
        <v>4</v>
      </c>
      <c r="Q1153" s="14">
        <v>46275</v>
      </c>
      <c r="R1153" s="15">
        <v>26</v>
      </c>
    </row>
    <row r="1154" spans="2:18" x14ac:dyDescent="0.35">
      <c r="B1154" s="9">
        <v>1805</v>
      </c>
      <c r="C1154" s="9" t="str">
        <v>출고재고</v>
      </c>
      <c r="D1154" s="9" t="str">
        <v/>
      </c>
      <c r="E1154" s="9" t="str">
        <v/>
      </c>
      <c r="F1154" s="9" t="str">
        <v/>
      </c>
      <c r="G1154" s="9" t="str">
        <v/>
      </c>
      <c r="H1154" s="9" t="str">
        <v>RA-03S-6045</v>
      </c>
      <c r="I1154" s="11" t="str">
        <v>RA-03S-6045]SMPS-RPS-200-24V</v>
      </c>
      <c r="J1154" s="9">
        <v>79</v>
      </c>
      <c r="K1154" s="9" t="str">
        <v/>
      </c>
      <c r="L1154" s="9" t="str">
        <v>A12-4</v>
      </c>
      <c r="M1154" s="12">
        <v>46294</v>
      </c>
      <c r="N1154" s="5" t="str">
        <v/>
      </c>
      <c r="O1154" s="5">
        <v>96191</v>
      </c>
      <c r="P1154" s="5">
        <v>4</v>
      </c>
      <c r="Q1154" s="14">
        <v>46275</v>
      </c>
      <c r="R1154" s="15">
        <v>75</v>
      </c>
    </row>
    <row r="1155" spans="2:18" x14ac:dyDescent="0.35">
      <c r="B1155" s="9">
        <v>1873</v>
      </c>
      <c r="C1155" s="9" t="str">
        <v>출고재고</v>
      </c>
      <c r="D1155" s="9" t="str">
        <v/>
      </c>
      <c r="E1155" s="9" t="str">
        <v/>
      </c>
      <c r="F1155" s="9" t="str">
        <v/>
      </c>
      <c r="G1155" s="9" t="str">
        <v/>
      </c>
      <c r="H1155" s="9" t="str">
        <v>RA-2-4</v>
      </c>
      <c r="I1155" s="11" t="str">
        <v>RA-2-4]SERIAL POWER THU</v>
      </c>
      <c r="J1155" s="9">
        <v>208</v>
      </c>
      <c r="K1155" s="9" t="str">
        <v/>
      </c>
      <c r="L1155" s="9" t="str">
        <v>G2-1</v>
      </c>
      <c r="M1155" s="12">
        <v>46295</v>
      </c>
      <c r="N1155" s="5" t="str">
        <v/>
      </c>
      <c r="O1155" s="5">
        <v>96191</v>
      </c>
      <c r="P1155" s="5">
        <v>4</v>
      </c>
      <c r="Q1155" s="14">
        <v>46275</v>
      </c>
      <c r="R1155" s="15">
        <v>204</v>
      </c>
    </row>
    <row r="1156" spans="2:18" x14ac:dyDescent="0.35">
      <c r="B1156" s="9">
        <v>2461</v>
      </c>
      <c r="C1156" s="9" t="str">
        <v>출고재고</v>
      </c>
      <c r="D1156" s="9" t="str">
        <v/>
      </c>
      <c r="E1156" s="9" t="str">
        <v/>
      </c>
      <c r="F1156" s="9" t="str">
        <v/>
      </c>
      <c r="G1156" s="9" t="str">
        <v/>
      </c>
      <c r="H1156" s="9" t="str">
        <v>RA-04A-6035</v>
      </c>
      <c r="I1156" s="11" t="str">
        <v>RA-04A-6035_4]Bd ASSY'-THU Bd</v>
      </c>
      <c r="J1156" s="9">
        <v>16</v>
      </c>
      <c r="K1156" s="9" t="str">
        <v/>
      </c>
      <c r="L1156" s="9" t="str">
        <v>A1-1</v>
      </c>
      <c r="M1156" s="12">
        <v>46301</v>
      </c>
      <c r="N1156" s="5" t="str">
        <v/>
      </c>
      <c r="O1156" s="5">
        <v>96704</v>
      </c>
      <c r="P1156" s="5">
        <v>4</v>
      </c>
      <c r="Q1156" s="14">
        <v>46296</v>
      </c>
      <c r="R1156" s="15">
        <v>12</v>
      </c>
    </row>
    <row r="1157" spans="2:18" x14ac:dyDescent="0.35">
      <c r="B1157" s="9">
        <v>598</v>
      </c>
      <c r="C1157" s="9" t="str">
        <v>출고재고</v>
      </c>
      <c r="D1157" s="9" t="str">
        <v/>
      </c>
      <c r="E1157" s="9" t="str">
        <v>기초</v>
      </c>
      <c r="F1157" s="9" t="str">
        <v/>
      </c>
      <c r="G1157" s="9" t="str">
        <v/>
      </c>
      <c r="H1157" s="9" t="str">
        <v>RA-04A-0899</v>
      </c>
      <c r="I1157" s="11" t="str">
        <v>RA-04A-0899]ASM LCD M101NWT2 R1</v>
      </c>
      <c r="J1157" s="9">
        <v>43</v>
      </c>
      <c r="K1157" s="9" t="str">
        <v/>
      </c>
      <c r="L1157" s="9" t="str">
        <v>A16</v>
      </c>
      <c r="M1157" s="12">
        <v>46273</v>
      </c>
      <c r="N1157" s="5" t="str">
        <v/>
      </c>
      <c r="O1157" s="5">
        <v>96710</v>
      </c>
      <c r="P1157" s="5">
        <v>40</v>
      </c>
      <c r="Q1157" s="14">
        <v>46274</v>
      </c>
      <c r="R1157" s="15">
        <v>3</v>
      </c>
    </row>
    <row r="1158" spans="2:18" x14ac:dyDescent="0.35">
      <c r="B1158" s="9">
        <v>623</v>
      </c>
      <c r="C1158" s="9" t="str">
        <v>출고재고</v>
      </c>
      <c r="D1158" s="9" t="str">
        <v/>
      </c>
      <c r="E1158" s="9" t="str">
        <v>기초</v>
      </c>
      <c r="F1158" s="9" t="str">
        <v/>
      </c>
      <c r="G1158" s="9" t="str">
        <v/>
      </c>
      <c r="H1158" s="9" t="str">
        <v>RA-03V-1639</v>
      </c>
      <c r="I1158" s="11" t="str">
        <v>RA-03V-1639]PLT ELECT COMPONENT (VA)</v>
      </c>
      <c r="J1158" s="9">
        <v>48</v>
      </c>
      <c r="K1158" s="9" t="str">
        <v/>
      </c>
      <c r="L1158" s="9" t="str">
        <v>M2</v>
      </c>
      <c r="M1158" s="12">
        <v>46273</v>
      </c>
      <c r="N1158" s="5" t="str">
        <v/>
      </c>
      <c r="O1158" s="5">
        <v>96710</v>
      </c>
      <c r="P1158" s="5">
        <v>40</v>
      </c>
      <c r="Q1158" s="14">
        <v>46274</v>
      </c>
      <c r="R1158" s="15">
        <v>8</v>
      </c>
    </row>
    <row r="1159" spans="2:18" x14ac:dyDescent="0.35">
      <c r="B1159" s="9">
        <v>594</v>
      </c>
      <c r="C1159" s="9" t="str">
        <v>출고재고</v>
      </c>
      <c r="D1159" s="9" t="str">
        <v/>
      </c>
      <c r="E1159" s="9" t="str">
        <v>기초</v>
      </c>
      <c r="F1159" s="9" t="str">
        <v/>
      </c>
      <c r="G1159" s="9" t="str">
        <v/>
      </c>
      <c r="H1159" s="9" t="str">
        <v>RA-03S-6045</v>
      </c>
      <c r="I1159" s="11" t="str">
        <v>RA-03S-6045]SMPS-RPS-200-24V</v>
      </c>
      <c r="J1159" s="9">
        <v>59</v>
      </c>
      <c r="K1159" s="9" t="str">
        <v/>
      </c>
      <c r="L1159" s="9" t="str">
        <v>A12-4</v>
      </c>
      <c r="M1159" s="12">
        <v>46273</v>
      </c>
      <c r="N1159" s="5" t="str">
        <v/>
      </c>
      <c r="O1159" s="5">
        <v>96710</v>
      </c>
      <c r="P1159" s="5">
        <v>40</v>
      </c>
      <c r="Q1159" s="14">
        <v>46274</v>
      </c>
      <c r="R1159" s="15">
        <v>19</v>
      </c>
    </row>
    <row r="1160" spans="2:18" x14ac:dyDescent="0.35">
      <c r="B1160" s="9">
        <v>600</v>
      </c>
      <c r="C1160" s="9" t="str">
        <v>출고재고</v>
      </c>
      <c r="D1160" s="9" t="str">
        <v/>
      </c>
      <c r="E1160" s="9" t="str">
        <v>기초</v>
      </c>
      <c r="F1160" s="9" t="str">
        <v/>
      </c>
      <c r="G1160" s="9" t="str">
        <v/>
      </c>
      <c r="H1160" s="9" t="str">
        <v>RA-03A-6012</v>
      </c>
      <c r="I1160" s="11" t="str">
        <v>RA-03A-6012]Bd ASSY'-ACT Bd(A/A+)</v>
      </c>
      <c r="J1160" s="9">
        <v>60</v>
      </c>
      <c r="K1160" s="9" t="str">
        <v/>
      </c>
      <c r="L1160" s="9" t="str">
        <v>A7-3</v>
      </c>
      <c r="M1160" s="12">
        <v>46273</v>
      </c>
      <c r="N1160" s="5" t="str">
        <v/>
      </c>
      <c r="O1160" s="5">
        <v>96710</v>
      </c>
      <c r="P1160" s="5">
        <v>40</v>
      </c>
      <c r="Q1160" s="14">
        <v>46274</v>
      </c>
      <c r="R1160" s="15">
        <v>20</v>
      </c>
    </row>
    <row r="1161" spans="2:18" x14ac:dyDescent="0.35">
      <c r="B1161" s="9">
        <v>609</v>
      </c>
      <c r="C1161" s="9" t="str">
        <v>출고재고</v>
      </c>
      <c r="D1161" s="9" t="str">
        <v/>
      </c>
      <c r="E1161" s="9" t="str">
        <v>기초</v>
      </c>
      <c r="F1161" s="9" t="str">
        <v/>
      </c>
      <c r="G1161" s="9" t="str">
        <v/>
      </c>
      <c r="H1161" s="9" t="str">
        <v>RA-03V-2066</v>
      </c>
      <c r="I1161" s="11" t="str">
        <v>RA-03V-2066]BRK CLMN REAR CAS UPPER (A+)</v>
      </c>
      <c r="J1161" s="9">
        <v>62</v>
      </c>
      <c r="K1161" s="9" t="str">
        <v/>
      </c>
      <c r="L1161" s="9" t="str">
        <v>B1-3</v>
      </c>
      <c r="M1161" s="12">
        <v>46273</v>
      </c>
      <c r="N1161" s="5" t="str">
        <v/>
      </c>
      <c r="O1161" s="5">
        <v>96710</v>
      </c>
      <c r="P1161" s="5">
        <v>40</v>
      </c>
      <c r="Q1161" s="14">
        <v>46274</v>
      </c>
      <c r="R1161" s="15">
        <v>22</v>
      </c>
    </row>
    <row r="1162" spans="2:18" x14ac:dyDescent="0.35">
      <c r="B1162" s="9">
        <v>593</v>
      </c>
      <c r="C1162" s="9" t="str">
        <v>출고재고</v>
      </c>
      <c r="D1162" s="9" t="str">
        <v/>
      </c>
      <c r="E1162" s="9" t="str">
        <v>기초</v>
      </c>
      <c r="F1162" s="9" t="str">
        <v/>
      </c>
      <c r="G1162" s="9" t="str">
        <v/>
      </c>
      <c r="H1162" s="9" t="str">
        <v>RA-04A-6035</v>
      </c>
      <c r="I1162" s="11" t="str">
        <v>RA-04A-6035_4]Bd ASSY'-THU Bd</v>
      </c>
      <c r="J1162" s="9">
        <v>80</v>
      </c>
      <c r="K1162" s="9" t="str">
        <v/>
      </c>
      <c r="L1162" s="9" t="str">
        <v>A1-1</v>
      </c>
      <c r="M1162" s="12">
        <v>46273</v>
      </c>
      <c r="N1162" s="5" t="str">
        <v/>
      </c>
      <c r="O1162" s="5">
        <v>96710</v>
      </c>
      <c r="P1162" s="5">
        <v>40</v>
      </c>
      <c r="Q1162" s="14">
        <v>46274</v>
      </c>
      <c r="R1162" s="15">
        <v>40</v>
      </c>
    </row>
    <row r="1163" spans="2:18" x14ac:dyDescent="0.35">
      <c r="B1163" s="9">
        <v>619</v>
      </c>
      <c r="C1163" s="9" t="str">
        <v>출고재고</v>
      </c>
      <c r="D1163" s="9" t="str">
        <v/>
      </c>
      <c r="E1163" s="9" t="str">
        <v>기초</v>
      </c>
      <c r="F1163" s="9" t="str">
        <v/>
      </c>
      <c r="G1163" s="9" t="str">
        <v/>
      </c>
      <c r="H1163" s="9" t="str">
        <v>RA-04V-1708</v>
      </c>
      <c r="I1163" s="11" t="str">
        <v>RA-04V-1708]CVR THU Bd</v>
      </c>
      <c r="J1163" s="9">
        <v>98</v>
      </c>
      <c r="K1163" s="9" t="str">
        <v/>
      </c>
      <c r="L1163" s="9" t="str">
        <v>B3-3</v>
      </c>
      <c r="M1163" s="12">
        <v>46273</v>
      </c>
      <c r="N1163" s="5" t="str">
        <v/>
      </c>
      <c r="O1163" s="5">
        <v>96710</v>
      </c>
      <c r="P1163" s="5">
        <v>40</v>
      </c>
      <c r="Q1163" s="14">
        <v>46274</v>
      </c>
      <c r="R1163" s="15">
        <v>58</v>
      </c>
    </row>
    <row r="1164" spans="2:18" x14ac:dyDescent="0.35">
      <c r="B1164" s="9">
        <v>617</v>
      </c>
      <c r="C1164" s="9" t="str">
        <v>출고재고</v>
      </c>
      <c r="D1164" s="9" t="str">
        <v/>
      </c>
      <c r="E1164" s="9" t="str">
        <v>기초</v>
      </c>
      <c r="F1164" s="9" t="str">
        <v/>
      </c>
      <c r="G1164" s="9" t="str">
        <v/>
      </c>
      <c r="H1164" s="9" t="str">
        <v>RA-04V-0118</v>
      </c>
      <c r="I1164" s="11" t="str">
        <v>RA-04V-0118]BRK MONITOR HINGE</v>
      </c>
      <c r="J1164" s="9">
        <v>99</v>
      </c>
      <c r="K1164" s="9" t="str">
        <v/>
      </c>
      <c r="L1164" s="9" t="str">
        <v>B2-3</v>
      </c>
      <c r="M1164" s="12">
        <v>46273</v>
      </c>
      <c r="N1164" s="5" t="str">
        <v/>
      </c>
      <c r="O1164" s="5">
        <v>96710</v>
      </c>
      <c r="P1164" s="5">
        <v>79</v>
      </c>
      <c r="Q1164" s="14">
        <v>46274</v>
      </c>
      <c r="R1164" s="15">
        <v>20</v>
      </c>
    </row>
    <row r="1165" spans="2:18" x14ac:dyDescent="0.35">
      <c r="B1165" s="9">
        <v>2004</v>
      </c>
      <c r="C1165" s="9" t="str">
        <v>출고재고</v>
      </c>
      <c r="D1165" s="9" t="str">
        <v/>
      </c>
      <c r="E1165" s="9" t="str">
        <v/>
      </c>
      <c r="F1165" s="9" t="str">
        <v/>
      </c>
      <c r="G1165" s="9" t="str">
        <v/>
      </c>
      <c r="H1165" s="9" t="str">
        <v>RA-04A-2748</v>
      </c>
      <c r="I1165" s="11" t="str">
        <v>RA-04A-2748]ASM ARM SUB (A+) (VN)</v>
      </c>
      <c r="J1165" s="9">
        <v>105</v>
      </c>
      <c r="K1165" s="9" t="str">
        <v/>
      </c>
      <c r="L1165" s="9" t="str">
        <v>T</v>
      </c>
      <c r="M1165" s="12">
        <v>46294</v>
      </c>
      <c r="N1165" s="5" t="str">
        <v/>
      </c>
      <c r="O1165" s="5">
        <v>96710</v>
      </c>
      <c r="P1165" s="5">
        <v>40</v>
      </c>
      <c r="Q1165" s="14">
        <v>46294</v>
      </c>
      <c r="R1165" s="15">
        <v>65</v>
      </c>
    </row>
    <row r="1166" spans="2:18" x14ac:dyDescent="0.35">
      <c r="B1166" s="9">
        <v>608</v>
      </c>
      <c r="C1166" s="9" t="str">
        <v>출고재고</v>
      </c>
      <c r="D1166" s="9" t="str">
        <v/>
      </c>
      <c r="E1166" s="9" t="str">
        <v>기초</v>
      </c>
      <c r="F1166" s="9" t="str">
        <v/>
      </c>
      <c r="G1166" s="9" t="str">
        <v/>
      </c>
      <c r="H1166" s="9" t="str">
        <v>RA-03V-1909</v>
      </c>
      <c r="I1166" s="11" t="str">
        <v>RA-03V-1909]BRK PUSH HUB</v>
      </c>
      <c r="J1166" s="9">
        <v>109</v>
      </c>
      <c r="K1166" s="9" t="str">
        <v/>
      </c>
      <c r="L1166" s="9" t="str">
        <v>B1-3</v>
      </c>
      <c r="M1166" s="12">
        <v>46273</v>
      </c>
      <c r="N1166" s="5" t="str">
        <v/>
      </c>
      <c r="O1166" s="5">
        <v>96710</v>
      </c>
      <c r="P1166" s="5">
        <v>40</v>
      </c>
      <c r="Q1166" s="14">
        <v>46274</v>
      </c>
      <c r="R1166" s="15">
        <v>69</v>
      </c>
    </row>
    <row r="1167" spans="2:18" x14ac:dyDescent="0.35">
      <c r="B1167" s="9">
        <v>534</v>
      </c>
      <c r="C1167" s="9" t="str">
        <v>출고재고</v>
      </c>
      <c r="D1167" s="9" t="str">
        <v/>
      </c>
      <c r="E1167" s="9" t="str">
        <v>기초</v>
      </c>
      <c r="F1167" s="9" t="str">
        <v/>
      </c>
      <c r="G1167" s="9" t="str">
        <v/>
      </c>
      <c r="H1167" s="9" t="str">
        <v>RA-5-1</v>
      </c>
      <c r="I1167" s="11" t="str">
        <v>RA-5-1]EARTH NF</v>
      </c>
      <c r="J1167" s="9">
        <v>150</v>
      </c>
      <c r="K1167" s="9" t="str">
        <v/>
      </c>
      <c r="L1167" s="9" t="str">
        <v>G3-2</v>
      </c>
      <c r="M1167" s="12">
        <v>46273</v>
      </c>
      <c r="N1167" s="5" t="str">
        <v/>
      </c>
      <c r="O1167" s="5">
        <v>96710</v>
      </c>
      <c r="P1167" s="5">
        <v>40</v>
      </c>
      <c r="Q1167" s="14">
        <v>46274</v>
      </c>
      <c r="R1167" s="15">
        <v>110</v>
      </c>
    </row>
    <row r="1168" spans="2:18" x14ac:dyDescent="0.35">
      <c r="B1168" s="9">
        <v>622</v>
      </c>
      <c r="C1168" s="9" t="str">
        <v>출고재고</v>
      </c>
      <c r="D1168" s="9" t="str">
        <v/>
      </c>
      <c r="E1168" s="9" t="str">
        <v>기초</v>
      </c>
      <c r="F1168" s="9" t="str">
        <v/>
      </c>
      <c r="G1168" s="9" t="str">
        <v/>
      </c>
      <c r="H1168" s="9" t="str">
        <v>RA-04V-0117</v>
      </c>
      <c r="I1168" s="11" t="str">
        <v>RA-04V-0117] ARM MONITOR</v>
      </c>
      <c r="J1168" s="9">
        <v>152</v>
      </c>
      <c r="K1168" s="9" t="str">
        <v/>
      </c>
      <c r="L1168" s="9" t="str">
        <v>H1</v>
      </c>
      <c r="M1168" s="12">
        <v>46273</v>
      </c>
      <c r="N1168" s="5" t="str">
        <v/>
      </c>
      <c r="O1168" s="5">
        <v>96710</v>
      </c>
      <c r="P1168" s="5">
        <v>40</v>
      </c>
      <c r="Q1168" s="14">
        <v>46274</v>
      </c>
      <c r="R1168" s="15">
        <v>112</v>
      </c>
    </row>
    <row r="1169" spans="2:18" x14ac:dyDescent="0.35">
      <c r="B1169" s="9">
        <v>597</v>
      </c>
      <c r="C1169" s="9" t="str">
        <v>출고재고</v>
      </c>
      <c r="D1169" s="9" t="str">
        <v/>
      </c>
      <c r="E1169" s="9" t="str">
        <v>기초</v>
      </c>
      <c r="F1169" s="9" t="str">
        <v/>
      </c>
      <c r="G1169" s="9" t="str">
        <v/>
      </c>
      <c r="H1169" s="9" t="str">
        <v>RA-03S-5013</v>
      </c>
      <c r="I1169" s="11" t="str">
        <v>RA-03S-5013]Mgnet CONTECTOR-LP1K0910BD</v>
      </c>
      <c r="J1169" s="9">
        <v>167</v>
      </c>
      <c r="K1169" s="9" t="str">
        <v/>
      </c>
      <c r="L1169" s="9" t="str">
        <v>A13-4</v>
      </c>
      <c r="M1169" s="12">
        <v>46273</v>
      </c>
      <c r="N1169" s="5" t="str">
        <v/>
      </c>
      <c r="O1169" s="5">
        <v>96710</v>
      </c>
      <c r="P1169" s="5">
        <v>40</v>
      </c>
      <c r="Q1169" s="14">
        <v>46274</v>
      </c>
      <c r="R1169" s="15">
        <v>127</v>
      </c>
    </row>
    <row r="1170" spans="2:18" x14ac:dyDescent="0.35">
      <c r="B1170" s="9">
        <v>603</v>
      </c>
      <c r="C1170" s="9" t="str">
        <v>출고재고</v>
      </c>
      <c r="D1170" s="9" t="str">
        <v/>
      </c>
      <c r="E1170" s="9" t="str">
        <v>기초</v>
      </c>
      <c r="F1170" s="9" t="str">
        <v/>
      </c>
      <c r="G1170" s="9" t="str">
        <v/>
      </c>
      <c r="H1170" s="9" t="str">
        <v>RA-03S-6025</v>
      </c>
      <c r="I1170" s="11" t="str">
        <v>RA-03S-6025]LBM-RAY01</v>
      </c>
      <c r="J1170" s="9">
        <v>169</v>
      </c>
      <c r="K1170" s="9" t="str">
        <v/>
      </c>
      <c r="L1170" s="9" t="str">
        <v>B1-1</v>
      </c>
      <c r="M1170" s="12">
        <v>46273</v>
      </c>
      <c r="N1170" s="5" t="str">
        <v/>
      </c>
      <c r="O1170" s="5">
        <v>96710</v>
      </c>
      <c r="P1170" s="5">
        <v>13</v>
      </c>
      <c r="Q1170" s="14">
        <v>46274</v>
      </c>
      <c r="R1170" s="15">
        <v>156</v>
      </c>
    </row>
    <row r="1171" spans="2:18" x14ac:dyDescent="0.35">
      <c r="B1171" s="9">
        <v>616</v>
      </c>
      <c r="C1171" s="9" t="str">
        <v>출고재고</v>
      </c>
      <c r="D1171" s="9" t="str">
        <v/>
      </c>
      <c r="E1171" s="9" t="str">
        <v>기초</v>
      </c>
      <c r="F1171" s="9" t="str">
        <v/>
      </c>
      <c r="G1171" s="9" t="str">
        <v/>
      </c>
      <c r="H1171" s="9" t="str">
        <v>RA-04S-5174</v>
      </c>
      <c r="I1171" s="11" t="str">
        <v>RA-04S-5174]THU Cable Ass'y</v>
      </c>
      <c r="J1171" s="9">
        <v>169</v>
      </c>
      <c r="K1171" s="9" t="str">
        <v/>
      </c>
      <c r="L1171" s="9" t="str">
        <v>B2-2</v>
      </c>
      <c r="M1171" s="12">
        <v>46273</v>
      </c>
      <c r="N1171" s="5" t="str">
        <v/>
      </c>
      <c r="O1171" s="5">
        <v>96710</v>
      </c>
      <c r="P1171" s="5">
        <v>40</v>
      </c>
      <c r="Q1171" s="14">
        <v>46274</v>
      </c>
      <c r="R1171" s="15">
        <v>129</v>
      </c>
    </row>
    <row r="1172" spans="2:18" x14ac:dyDescent="0.35">
      <c r="B1172" s="9">
        <v>618</v>
      </c>
      <c r="C1172" s="9" t="str">
        <v>출고재고</v>
      </c>
      <c r="D1172" s="9" t="str">
        <v/>
      </c>
      <c r="E1172" s="9" t="str">
        <v>기초</v>
      </c>
      <c r="F1172" s="9" t="str">
        <v/>
      </c>
      <c r="G1172" s="9" t="str">
        <v/>
      </c>
      <c r="H1172" s="9" t="str">
        <v>RA-04V-1709</v>
      </c>
      <c r="I1172" s="11" t="str">
        <v>RA-04V-1709]BRK THU Bd</v>
      </c>
      <c r="J1172" s="9">
        <v>175</v>
      </c>
      <c r="K1172" s="9" t="str">
        <v/>
      </c>
      <c r="L1172" s="9" t="str">
        <v>B3-1</v>
      </c>
      <c r="M1172" s="12">
        <v>46273</v>
      </c>
      <c r="N1172" s="5" t="str">
        <v/>
      </c>
      <c r="O1172" s="5">
        <v>96710</v>
      </c>
      <c r="P1172" s="5">
        <v>40</v>
      </c>
      <c r="Q1172" s="14">
        <v>46274</v>
      </c>
      <c r="R1172" s="15">
        <v>135</v>
      </c>
    </row>
    <row r="1173" spans="2:18" x14ac:dyDescent="0.35">
      <c r="B1173" s="9">
        <v>595</v>
      </c>
      <c r="C1173" s="9" t="str">
        <v>출고재고</v>
      </c>
      <c r="D1173" s="9" t="str">
        <v/>
      </c>
      <c r="E1173" s="9" t="str">
        <v>기초</v>
      </c>
      <c r="F1173" s="9" t="str">
        <v/>
      </c>
      <c r="G1173" s="9" t="str">
        <v/>
      </c>
      <c r="H1173" s="9" t="str">
        <v>RA-03S-5176</v>
      </c>
      <c r="I1173" s="11" t="str">
        <v>RA-03S-5176]NOISE FILTER RSHN2016</v>
      </c>
      <c r="J1173" s="9">
        <v>179</v>
      </c>
      <c r="K1173" s="9" t="str">
        <v/>
      </c>
      <c r="L1173" s="9" t="str">
        <v>A12-4</v>
      </c>
      <c r="M1173" s="12">
        <v>46273</v>
      </c>
      <c r="N1173" s="5" t="str">
        <v/>
      </c>
      <c r="O1173" s="5">
        <v>96710</v>
      </c>
      <c r="P1173" s="5">
        <v>40</v>
      </c>
      <c r="Q1173" s="14">
        <v>46274</v>
      </c>
      <c r="R1173" s="15">
        <v>139</v>
      </c>
    </row>
    <row r="1174" spans="2:18" x14ac:dyDescent="0.35">
      <c r="B1174" s="9">
        <v>607</v>
      </c>
      <c r="C1174" s="9" t="str">
        <v>출고재고</v>
      </c>
      <c r="D1174" s="9" t="str">
        <v/>
      </c>
      <c r="E1174" s="9" t="str">
        <v>기초</v>
      </c>
      <c r="F1174" s="9" t="str">
        <v/>
      </c>
      <c r="G1174" s="9" t="str">
        <v/>
      </c>
      <c r="H1174" s="9" t="str">
        <v>RA-03V-1908</v>
      </c>
      <c r="I1174" s="11" t="str">
        <v>RA-03V-1908]BRK FIX HUB</v>
      </c>
      <c r="J1174" s="9">
        <v>194</v>
      </c>
      <c r="K1174" s="9" t="str">
        <v/>
      </c>
      <c r="L1174" s="9" t="str">
        <v>B1-2</v>
      </c>
      <c r="M1174" s="12">
        <v>46273</v>
      </c>
      <c r="N1174" s="5" t="str">
        <v/>
      </c>
      <c r="O1174" s="5">
        <v>96710</v>
      </c>
      <c r="P1174" s="5">
        <v>40</v>
      </c>
      <c r="Q1174" s="14">
        <v>46274</v>
      </c>
      <c r="R1174" s="15">
        <v>154</v>
      </c>
    </row>
    <row r="1175" spans="2:18" x14ac:dyDescent="0.35">
      <c r="B1175" s="9">
        <v>602</v>
      </c>
      <c r="C1175" s="9" t="str">
        <v>출고재고</v>
      </c>
      <c r="D1175" s="9" t="str">
        <v/>
      </c>
      <c r="E1175" s="9" t="str">
        <v>기초</v>
      </c>
      <c r="F1175" s="9" t="str">
        <v/>
      </c>
      <c r="G1175" s="9" t="str">
        <v/>
      </c>
      <c r="H1175" s="9" t="str">
        <v>RA-03S-5180A</v>
      </c>
      <c r="I1175" s="11" t="str">
        <v>RA-03S-5180A]A2K_LBM01-570</v>
      </c>
      <c r="J1175" s="9">
        <v>196</v>
      </c>
      <c r="K1175" s="9" t="str">
        <v/>
      </c>
      <c r="L1175" s="9" t="str">
        <v>B1-1</v>
      </c>
      <c r="M1175" s="12">
        <v>46273</v>
      </c>
      <c r="N1175" s="5" t="str">
        <v/>
      </c>
      <c r="O1175" s="5">
        <v>96710</v>
      </c>
      <c r="P1175" s="5">
        <v>40</v>
      </c>
      <c r="Q1175" s="14">
        <v>46274</v>
      </c>
      <c r="R1175" s="15">
        <v>156</v>
      </c>
    </row>
    <row r="1176" spans="2:18" x14ac:dyDescent="0.35">
      <c r="B1176" s="9">
        <v>612</v>
      </c>
      <c r="C1176" s="9" t="str">
        <v>출고재고</v>
      </c>
      <c r="D1176" s="9" t="str">
        <v/>
      </c>
      <c r="E1176" s="9" t="str">
        <v>기초</v>
      </c>
      <c r="F1176" s="9" t="str">
        <v/>
      </c>
      <c r="G1176" s="9" t="str">
        <v/>
      </c>
      <c r="H1176" s="9" t="str">
        <v>RA-04M-1339</v>
      </c>
      <c r="I1176" s="11" t="str">
        <v>RA-04M-1339]BLK HEADREST FIX BAR-R</v>
      </c>
      <c r="J1176" s="9">
        <v>200</v>
      </c>
      <c r="K1176" s="9" t="str">
        <v/>
      </c>
      <c r="L1176" s="9" t="str">
        <v>B1-5</v>
      </c>
      <c r="M1176" s="12">
        <v>46273</v>
      </c>
      <c r="N1176" s="5" t="str">
        <v/>
      </c>
      <c r="O1176" s="5">
        <v>96710</v>
      </c>
      <c r="P1176" s="5">
        <v>40</v>
      </c>
      <c r="Q1176" s="14">
        <v>46274</v>
      </c>
      <c r="R1176" s="15">
        <v>160</v>
      </c>
    </row>
    <row r="1177" spans="2:18" x14ac:dyDescent="0.35">
      <c r="B1177" s="9">
        <v>610</v>
      </c>
      <c r="C1177" s="9" t="str">
        <v>출고재고</v>
      </c>
      <c r="D1177" s="9" t="str">
        <v/>
      </c>
      <c r="E1177" s="9" t="str">
        <v>기초</v>
      </c>
      <c r="F1177" s="9" t="str">
        <v/>
      </c>
      <c r="G1177" s="9" t="str">
        <v/>
      </c>
      <c r="H1177" s="9" t="str">
        <v>RA-03V-1991</v>
      </c>
      <c r="I1177" s="11" t="str">
        <v>RA-03V-1991]BRK CENTER LASERBEAM (A+)</v>
      </c>
      <c r="J1177" s="9">
        <v>215</v>
      </c>
      <c r="K1177" s="9" t="str">
        <v/>
      </c>
      <c r="L1177" s="9" t="str">
        <v>B1-3</v>
      </c>
      <c r="M1177" s="12">
        <v>46273</v>
      </c>
      <c r="N1177" s="5" t="str">
        <v/>
      </c>
      <c r="O1177" s="5">
        <v>96710</v>
      </c>
      <c r="P1177" s="5">
        <v>40</v>
      </c>
      <c r="Q1177" s="14">
        <v>46274</v>
      </c>
      <c r="R1177" s="15">
        <v>175</v>
      </c>
    </row>
    <row r="1178" spans="2:18" x14ac:dyDescent="0.35">
      <c r="B1178" s="9">
        <v>601</v>
      </c>
      <c r="C1178" s="9" t="str">
        <v>출고재고</v>
      </c>
      <c r="D1178" s="9" t="str">
        <v/>
      </c>
      <c r="E1178" s="9" t="str">
        <v>기초</v>
      </c>
      <c r="F1178" s="9" t="str">
        <v/>
      </c>
      <c r="G1178" s="9" t="str">
        <v/>
      </c>
      <c r="H1178" s="9" t="str">
        <v>RA-03M-2193</v>
      </c>
      <c r="I1178" s="11" t="str">
        <v>RA-03M-2193]CVR PROT (A+)</v>
      </c>
      <c r="J1178" s="9">
        <v>226</v>
      </c>
      <c r="K1178" s="9" t="str">
        <v/>
      </c>
      <c r="L1178" s="9" t="str">
        <v>B1-1</v>
      </c>
      <c r="M1178" s="12">
        <v>46273</v>
      </c>
      <c r="N1178" s="5" t="str">
        <v/>
      </c>
      <c r="O1178" s="5">
        <v>96710</v>
      </c>
      <c r="P1178" s="5">
        <v>40</v>
      </c>
      <c r="Q1178" s="14">
        <v>46274</v>
      </c>
      <c r="R1178" s="15">
        <v>186</v>
      </c>
    </row>
    <row r="1179" spans="2:18" x14ac:dyDescent="0.35">
      <c r="B1179" s="9">
        <v>613</v>
      </c>
      <c r="C1179" s="9" t="str">
        <v>출고재고</v>
      </c>
      <c r="D1179" s="9" t="str">
        <v/>
      </c>
      <c r="E1179" s="9" t="str">
        <v>기초</v>
      </c>
      <c r="F1179" s="9" t="str">
        <v/>
      </c>
      <c r="G1179" s="9" t="str">
        <v/>
      </c>
      <c r="H1179" s="9" t="str">
        <v>RA-04M-1338</v>
      </c>
      <c r="I1179" s="11" t="str">
        <v>RA-04M-1338]BLK HEADREST FIX BAR-L</v>
      </c>
      <c r="J1179" s="9">
        <v>250</v>
      </c>
      <c r="K1179" s="9" t="str">
        <v/>
      </c>
      <c r="L1179" s="9" t="str">
        <v>B1-5</v>
      </c>
      <c r="M1179" s="12">
        <v>46273</v>
      </c>
      <c r="N1179" s="5" t="str">
        <v/>
      </c>
      <c r="O1179" s="5">
        <v>96710</v>
      </c>
      <c r="P1179" s="5">
        <v>40</v>
      </c>
      <c r="Q1179" s="14">
        <v>46274</v>
      </c>
      <c r="R1179" s="15">
        <v>210</v>
      </c>
    </row>
    <row r="1180" spans="2:18" x14ac:dyDescent="0.35">
      <c r="B1180" s="9">
        <v>604</v>
      </c>
      <c r="C1180" s="9" t="str">
        <v>출고재고</v>
      </c>
      <c r="D1180" s="9" t="str">
        <v/>
      </c>
      <c r="E1180" s="9" t="str">
        <v>기초</v>
      </c>
      <c r="F1180" s="9" t="str">
        <v/>
      </c>
      <c r="G1180" s="9" t="str">
        <v/>
      </c>
      <c r="H1180" s="9" t="str">
        <v>RA-03T-1992</v>
      </c>
      <c r="I1180" s="11" t="str">
        <v>RA-03T-1992]HLDR LASER BEAM V</v>
      </c>
      <c r="J1180" s="9">
        <v>305</v>
      </c>
      <c r="K1180" s="9" t="str">
        <v/>
      </c>
      <c r="L1180" s="9" t="str">
        <v>B1-1</v>
      </c>
      <c r="M1180" s="12">
        <v>46273</v>
      </c>
      <c r="N1180" s="5" t="str">
        <v/>
      </c>
      <c r="O1180" s="5">
        <v>96710</v>
      </c>
      <c r="P1180" s="5">
        <v>40</v>
      </c>
      <c r="Q1180" s="14">
        <v>46274</v>
      </c>
      <c r="R1180" s="15">
        <v>265</v>
      </c>
    </row>
    <row r="1181" spans="2:18" x14ac:dyDescent="0.35">
      <c r="B1181" s="9">
        <v>599</v>
      </c>
      <c r="C1181" s="9" t="str">
        <v>출고재고</v>
      </c>
      <c r="D1181" s="9" t="str">
        <v/>
      </c>
      <c r="E1181" s="9" t="str">
        <v>기초</v>
      </c>
      <c r="F1181" s="9" t="str">
        <v/>
      </c>
      <c r="G1181" s="9" t="str">
        <v/>
      </c>
      <c r="H1181" s="9" t="str">
        <v>RA-03A-6016A</v>
      </c>
      <c r="I1181" s="11" t="str">
        <v>RA-03A-6016A]BD ASSY'-AC FUSE BLK</v>
      </c>
      <c r="J1181" s="9">
        <v>320</v>
      </c>
      <c r="K1181" s="9" t="str">
        <v/>
      </c>
      <c r="L1181" s="9" t="str">
        <v>A3-1</v>
      </c>
      <c r="M1181" s="12">
        <v>46273</v>
      </c>
      <c r="N1181" s="5" t="str">
        <v/>
      </c>
      <c r="O1181" s="5">
        <v>96710</v>
      </c>
      <c r="P1181" s="5">
        <v>40</v>
      </c>
      <c r="Q1181" s="14">
        <v>46274</v>
      </c>
      <c r="R1181" s="15">
        <v>280</v>
      </c>
    </row>
    <row r="1182" spans="2:18" x14ac:dyDescent="0.35">
      <c r="B1182" s="9">
        <v>625</v>
      </c>
      <c r="C1182" s="9" t="str">
        <v>출고재고</v>
      </c>
      <c r="D1182" s="9" t="str">
        <v/>
      </c>
      <c r="E1182" s="9" t="str">
        <v>기초</v>
      </c>
      <c r="F1182" s="9" t="str">
        <v/>
      </c>
      <c r="G1182" s="9" t="str">
        <v/>
      </c>
      <c r="H1182" s="9" t="str">
        <v>RA-03A-0050</v>
      </c>
      <c r="I1182" s="11" t="str">
        <v>RA-03A-0050_I]ASM HORIZONTAL LASER BEAM</v>
      </c>
      <c r="J1182" s="9">
        <v>334</v>
      </c>
      <c r="K1182" s="9" t="str">
        <v/>
      </c>
      <c r="L1182" s="9" t="str">
        <v>O2</v>
      </c>
      <c r="M1182" s="12">
        <v>46273</v>
      </c>
      <c r="N1182" s="5" t="str">
        <v/>
      </c>
      <c r="O1182" s="5">
        <v>96710</v>
      </c>
      <c r="P1182" s="5">
        <v>40</v>
      </c>
      <c r="Q1182" s="14">
        <v>46274</v>
      </c>
      <c r="R1182" s="15">
        <v>294</v>
      </c>
    </row>
    <row r="1183" spans="2:18" x14ac:dyDescent="0.35">
      <c r="B1183" s="9">
        <v>620</v>
      </c>
      <c r="C1183" s="9" t="str">
        <v>출고재고</v>
      </c>
      <c r="D1183" s="9" t="str">
        <v/>
      </c>
      <c r="E1183" s="9" t="str">
        <v>기초</v>
      </c>
      <c r="F1183" s="9" t="str">
        <v/>
      </c>
      <c r="G1183" s="9" t="str">
        <v/>
      </c>
      <c r="H1183" s="9" t="str">
        <v>RA-1-1</v>
      </c>
      <c r="I1183" s="11" t="str">
        <v>RA-1-1_2]AC POWER FUSE TO NF2</v>
      </c>
      <c r="J1183" s="9">
        <v>349</v>
      </c>
      <c r="K1183" s="9" t="str">
        <v/>
      </c>
      <c r="L1183" s="9" t="str">
        <v>G3-1</v>
      </c>
      <c r="M1183" s="12">
        <v>46273</v>
      </c>
      <c r="N1183" s="5" t="str">
        <v/>
      </c>
      <c r="O1183" s="5">
        <v>96710</v>
      </c>
      <c r="P1183" s="5">
        <v>40</v>
      </c>
      <c r="Q1183" s="14">
        <v>46274</v>
      </c>
      <c r="R1183" s="15">
        <v>309</v>
      </c>
    </row>
    <row r="1184" spans="2:18" x14ac:dyDescent="0.35">
      <c r="B1184" s="9">
        <v>614</v>
      </c>
      <c r="C1184" s="9" t="str">
        <v>출고재고</v>
      </c>
      <c r="D1184" s="9" t="str">
        <v/>
      </c>
      <c r="E1184" s="9" t="str">
        <v>기초</v>
      </c>
      <c r="F1184" s="9" t="str">
        <v/>
      </c>
      <c r="G1184" s="9" t="str">
        <v/>
      </c>
      <c r="H1184" s="9" t="str">
        <v>RA-04M-2399</v>
      </c>
      <c r="I1184" s="11" t="str">
        <v>RA-04M-2399]GUIDE BITE BLK A (A+)</v>
      </c>
      <c r="J1184" s="9">
        <v>367</v>
      </c>
      <c r="K1184" s="9" t="str">
        <v/>
      </c>
      <c r="L1184" s="9" t="str">
        <v>B1-6</v>
      </c>
      <c r="M1184" s="12">
        <v>46273</v>
      </c>
      <c r="N1184" s="5" t="str">
        <v/>
      </c>
      <c r="O1184" s="5">
        <v>96710</v>
      </c>
      <c r="P1184" s="5">
        <v>40</v>
      </c>
      <c r="Q1184" s="14">
        <v>46274</v>
      </c>
      <c r="R1184" s="15">
        <v>327</v>
      </c>
    </row>
    <row r="1185" spans="2:18" x14ac:dyDescent="0.35">
      <c r="B1185" s="9">
        <v>596</v>
      </c>
      <c r="C1185" s="9" t="str">
        <v>출고재고</v>
      </c>
      <c r="D1185" s="9" t="str">
        <v/>
      </c>
      <c r="E1185" s="9" t="str">
        <v>기초</v>
      </c>
      <c r="F1185" s="9" t="str">
        <v/>
      </c>
      <c r="G1185" s="9" t="str">
        <v/>
      </c>
      <c r="H1185" s="9" t="str">
        <v>RA-03A-6046</v>
      </c>
      <c r="I1185" s="11" t="str">
        <v>RA-03A-6046]SMPS CONN B/D</v>
      </c>
      <c r="J1185" s="9">
        <v>424</v>
      </c>
      <c r="K1185" s="9" t="str">
        <v/>
      </c>
      <c r="L1185" s="9" t="str">
        <v>A1-3</v>
      </c>
      <c r="M1185" s="12">
        <v>46273</v>
      </c>
      <c r="N1185" s="5" t="str">
        <v/>
      </c>
      <c r="O1185" s="5">
        <v>96710</v>
      </c>
      <c r="P1185" s="5">
        <v>40</v>
      </c>
      <c r="Q1185" s="14">
        <v>46274</v>
      </c>
      <c r="R1185" s="15">
        <v>384</v>
      </c>
    </row>
    <row r="1186" spans="2:18" x14ac:dyDescent="0.35">
      <c r="B1186" s="9">
        <v>621</v>
      </c>
      <c r="C1186" s="9" t="str">
        <v>출고재고</v>
      </c>
      <c r="D1186" s="9" t="str">
        <v/>
      </c>
      <c r="E1186" s="9" t="str">
        <v>기초</v>
      </c>
      <c r="F1186" s="9" t="str">
        <v/>
      </c>
      <c r="G1186" s="9" t="str">
        <v/>
      </c>
      <c r="H1186" s="9" t="str">
        <v>RA-1-2</v>
      </c>
      <c r="I1186" s="11" t="str">
        <v>RA-1-2_2]AC POWER FUSE TO NF1</v>
      </c>
      <c r="J1186" s="9">
        <v>610</v>
      </c>
      <c r="K1186" s="9" t="str">
        <v/>
      </c>
      <c r="L1186" s="9" t="str">
        <v>G3-1</v>
      </c>
      <c r="M1186" s="12">
        <v>46273</v>
      </c>
      <c r="N1186" s="5" t="str">
        <v/>
      </c>
      <c r="O1186" s="5">
        <v>96710</v>
      </c>
      <c r="P1186" s="5">
        <v>40</v>
      </c>
      <c r="Q1186" s="14">
        <v>46274</v>
      </c>
      <c r="R1186" s="15">
        <v>570</v>
      </c>
    </row>
    <row r="1187" spans="2:18" x14ac:dyDescent="0.35">
      <c r="B1187" s="9">
        <v>615</v>
      </c>
      <c r="C1187" s="9" t="str">
        <v>출고재고</v>
      </c>
      <c r="D1187" s="9" t="str">
        <v/>
      </c>
      <c r="E1187" s="9" t="str">
        <v>기초</v>
      </c>
      <c r="F1187" s="9" t="str">
        <v/>
      </c>
      <c r="G1187" s="9" t="str">
        <v/>
      </c>
      <c r="H1187" s="9" t="str">
        <v>RA-03V-2285</v>
      </c>
      <c r="I1187" s="11" t="str">
        <v>RA-03V-2285]BRK CABLE GUIDE CLMN (A+)</v>
      </c>
      <c r="J1187" s="9">
        <v>726</v>
      </c>
      <c r="K1187" s="9" t="str">
        <v/>
      </c>
      <c r="L1187" s="9" t="str">
        <v>B2-1</v>
      </c>
      <c r="M1187" s="12">
        <v>46273</v>
      </c>
      <c r="N1187" s="5" t="str">
        <v/>
      </c>
      <c r="O1187" s="5">
        <v>96710</v>
      </c>
      <c r="P1187" s="5">
        <v>80</v>
      </c>
      <c r="Q1187" s="14">
        <v>46274</v>
      </c>
      <c r="R1187" s="15">
        <v>646</v>
      </c>
    </row>
    <row r="1188" spans="2:18" x14ac:dyDescent="0.35">
      <c r="B1188" s="9">
        <v>605</v>
      </c>
      <c r="C1188" s="9" t="str">
        <v>출고재고</v>
      </c>
      <c r="D1188" s="9" t="str">
        <v/>
      </c>
      <c r="E1188" s="9" t="str">
        <v>기초</v>
      </c>
      <c r="F1188" s="9" t="str">
        <v/>
      </c>
      <c r="G1188" s="9" t="str">
        <v/>
      </c>
      <c r="H1188" s="9" t="str">
        <v>RA-03M-0063</v>
      </c>
      <c r="I1188" s="11" t="str">
        <v>RA-03M-0063]GUIDE PIN 2</v>
      </c>
      <c r="J1188" s="9">
        <v>862</v>
      </c>
      <c r="K1188" s="9" t="str">
        <v/>
      </c>
      <c r="L1188" s="9" t="str">
        <v>B1-2</v>
      </c>
      <c r="M1188" s="12">
        <v>46273</v>
      </c>
      <c r="N1188" s="5" t="str">
        <v/>
      </c>
      <c r="O1188" s="5">
        <v>96710</v>
      </c>
      <c r="P1188" s="5">
        <v>80</v>
      </c>
      <c r="Q1188" s="14">
        <v>46274</v>
      </c>
      <c r="R1188" s="15">
        <v>782</v>
      </c>
    </row>
    <row r="1189" spans="2:18" x14ac:dyDescent="0.35">
      <c r="B1189" s="9">
        <v>1577</v>
      </c>
      <c r="C1189" s="9" t="str">
        <v>출고재고</v>
      </c>
      <c r="D1189" s="9" t="str">
        <v/>
      </c>
      <c r="E1189" s="9" t="str">
        <v/>
      </c>
      <c r="F1189" s="9" t="str">
        <v/>
      </c>
      <c r="G1189" s="9" t="str">
        <v/>
      </c>
      <c r="H1189" s="9" t="str">
        <v>RA-02A-2740</v>
      </c>
      <c r="I1189" s="11" t="str">
        <v>RA-02A-2740]ASM VERT TOTAL (A+) (VN)</v>
      </c>
      <c r="J1189" s="9">
        <v>30</v>
      </c>
      <c r="K1189" s="9" t="str">
        <v/>
      </c>
      <c r="L1189" s="9" t="str">
        <v>P</v>
      </c>
      <c r="M1189" s="12">
        <v>46282</v>
      </c>
      <c r="N1189" s="5" t="str">
        <v/>
      </c>
      <c r="O1189" s="5">
        <v>96711</v>
      </c>
      <c r="P1189" s="5">
        <v>30</v>
      </c>
      <c r="Q1189" s="14">
        <v>46280</v>
      </c>
      <c r="R1189" s="15">
        <v>0</v>
      </c>
    </row>
    <row r="1190" spans="2:18" x14ac:dyDescent="0.35">
      <c r="B1190" s="9">
        <v>782</v>
      </c>
      <c r="C1190" s="9" t="str">
        <v>출고재고</v>
      </c>
      <c r="D1190" s="9" t="str">
        <v/>
      </c>
      <c r="E1190" s="9" t="str">
        <v/>
      </c>
      <c r="F1190" s="9" t="str">
        <v/>
      </c>
      <c r="G1190" s="9" t="str">
        <v/>
      </c>
      <c r="H1190" s="9" t="str">
        <v>RA-05A-6004</v>
      </c>
      <c r="I1190" s="11" t="str">
        <v>RA-05A-6004]Bd ASSY'-Aux MCU</v>
      </c>
      <c r="J1190" s="9">
        <v>86</v>
      </c>
      <c r="K1190" s="9" t="str">
        <v/>
      </c>
      <c r="L1190" s="9" t="str">
        <v>A2-2</v>
      </c>
      <c r="M1190" s="12">
        <v>46274</v>
      </c>
      <c r="N1190" s="5" t="str">
        <v/>
      </c>
      <c r="O1190" s="5">
        <v>96711</v>
      </c>
      <c r="P1190" s="5">
        <v>40</v>
      </c>
      <c r="Q1190" s="14">
        <v>46274</v>
      </c>
      <c r="R1190" s="15">
        <v>46</v>
      </c>
    </row>
    <row r="1191" spans="2:18" x14ac:dyDescent="0.35">
      <c r="B1191" s="9">
        <v>592</v>
      </c>
      <c r="C1191" s="9" t="str">
        <v>출고재고</v>
      </c>
      <c r="D1191" s="9" t="str">
        <v/>
      </c>
      <c r="E1191" s="9" t="str">
        <v>기초</v>
      </c>
      <c r="F1191" s="9" t="str">
        <v/>
      </c>
      <c r="G1191" s="9" t="str">
        <v/>
      </c>
      <c r="H1191" s="9" t="str">
        <v>RA-05V-0501</v>
      </c>
      <c r="I1191" s="11" t="str">
        <v>RA-05V-0501]BRK ROT CAS-A</v>
      </c>
      <c r="J1191" s="9">
        <v>201</v>
      </c>
      <c r="K1191" s="9" t="str">
        <v/>
      </c>
      <c r="L1191" s="9" t="str">
        <v>W</v>
      </c>
      <c r="M1191" s="12">
        <v>46273</v>
      </c>
      <c r="N1191" s="5" t="str">
        <v/>
      </c>
      <c r="O1191" s="5">
        <v>96711</v>
      </c>
      <c r="P1191" s="5">
        <v>80</v>
      </c>
      <c r="Q1191" s="14">
        <v>46273</v>
      </c>
      <c r="R1191" s="15">
        <v>121</v>
      </c>
    </row>
    <row r="1192" spans="2:18" x14ac:dyDescent="0.35">
      <c r="B1192" s="9">
        <v>587</v>
      </c>
      <c r="C1192" s="9" t="str">
        <v>출고재고</v>
      </c>
      <c r="D1192" s="9" t="str">
        <v/>
      </c>
      <c r="E1192" s="9" t="str">
        <v>기초</v>
      </c>
      <c r="F1192" s="9" t="str">
        <v/>
      </c>
      <c r="G1192" s="9" t="str">
        <v/>
      </c>
      <c r="H1192" s="9" t="str">
        <v>RA-05V-0513</v>
      </c>
      <c r="I1192" s="11" t="str">
        <v>RA-05V-0513]BRK LED PCB</v>
      </c>
      <c r="J1192" s="9">
        <v>315</v>
      </c>
      <c r="K1192" s="9" t="str">
        <v/>
      </c>
      <c r="L1192" s="9" t="str">
        <v>J4-2</v>
      </c>
      <c r="M1192" s="12">
        <v>46273</v>
      </c>
      <c r="N1192" s="5" t="str">
        <v/>
      </c>
      <c r="O1192" s="5">
        <v>96711</v>
      </c>
      <c r="P1192" s="5">
        <v>40</v>
      </c>
      <c r="Q1192" s="14">
        <v>46273</v>
      </c>
      <c r="R1192" s="15">
        <v>275</v>
      </c>
    </row>
    <row r="1193" spans="2:18" x14ac:dyDescent="0.35">
      <c r="B1193" s="9">
        <v>537</v>
      </c>
      <c r="C1193" s="9" t="str">
        <v>출고재고</v>
      </c>
      <c r="D1193" s="9" t="str">
        <v/>
      </c>
      <c r="E1193" s="9" t="str">
        <v>기초</v>
      </c>
      <c r="F1193" s="9" t="str">
        <v/>
      </c>
      <c r="G1193" s="9" t="str">
        <v/>
      </c>
      <c r="H1193" s="9" t="str">
        <v>RA-11-34</v>
      </c>
      <c r="I1193" s="11" t="str">
        <v>RA-11-34_2]SUB MOT DET(V)</v>
      </c>
      <c r="J1193" s="9">
        <v>392</v>
      </c>
      <c r="K1193" s="9" t="str">
        <v/>
      </c>
      <c r="L1193" s="9" t="str">
        <v>G3-6</v>
      </c>
      <c r="M1193" s="12">
        <v>46273</v>
      </c>
      <c r="N1193" s="5" t="str">
        <v/>
      </c>
      <c r="O1193" s="5">
        <v>96711</v>
      </c>
      <c r="P1193" s="5">
        <v>40</v>
      </c>
      <c r="Q1193" s="14">
        <v>46273</v>
      </c>
      <c r="R1193" s="15">
        <v>352</v>
      </c>
    </row>
    <row r="1194" spans="2:18" x14ac:dyDescent="0.35">
      <c r="B1194" s="9">
        <v>647</v>
      </c>
      <c r="C1194" s="9" t="str">
        <v>출고재고</v>
      </c>
      <c r="D1194" s="9" t="str">
        <v/>
      </c>
      <c r="E1194" s="9" t="str">
        <v>기초</v>
      </c>
      <c r="F1194" s="9" t="str">
        <v/>
      </c>
      <c r="G1194" s="9" t="str">
        <v/>
      </c>
      <c r="H1194" s="9" t="str">
        <v>RA-06M-0520</v>
      </c>
      <c r="I1194" s="11" t="str">
        <v>RA-06M-0520]HEATSINK</v>
      </c>
      <c r="J1194" s="9">
        <v>160</v>
      </c>
      <c r="K1194" s="9" t="str">
        <v/>
      </c>
      <c r="L1194" s="9" t="str">
        <v>M1</v>
      </c>
      <c r="M1194" s="12">
        <v>46273</v>
      </c>
      <c r="N1194" s="5" t="str">
        <v/>
      </c>
      <c r="O1194" s="5">
        <v>96712</v>
      </c>
      <c r="P1194" s="5">
        <v>40</v>
      </c>
      <c r="Q1194" s="14">
        <v>46274</v>
      </c>
      <c r="R1194" s="15">
        <v>120</v>
      </c>
    </row>
    <row r="1195" spans="2:18" x14ac:dyDescent="0.35">
      <c r="B1195" s="9">
        <v>2095</v>
      </c>
      <c r="C1195" s="9" t="str">
        <v>출고재고</v>
      </c>
      <c r="D1195" s="9" t="str">
        <v/>
      </c>
      <c r="E1195" s="9" t="str">
        <v/>
      </c>
      <c r="F1195" s="9" t="str">
        <v/>
      </c>
      <c r="G1195" s="9" t="str">
        <v/>
      </c>
      <c r="H1195" s="9" t="str">
        <v>RA-07A-1777</v>
      </c>
      <c r="I1195" s="11" t="str">
        <v>RA-07A-1777]ASM SCREW MOVING DET (VA)</v>
      </c>
      <c r="J1195" s="9">
        <v>165</v>
      </c>
      <c r="K1195" s="9" t="str">
        <v/>
      </c>
      <c r="L1195" s="9" t="str">
        <v>J2-2</v>
      </c>
      <c r="M1195" s="12">
        <v>46287</v>
      </c>
      <c r="N1195" s="5" t="str">
        <v/>
      </c>
      <c r="O1195" s="5">
        <v>96712</v>
      </c>
      <c r="P1195" s="5">
        <v>40</v>
      </c>
      <c r="Q1195" s="14">
        <v>46287</v>
      </c>
      <c r="R1195" s="15">
        <v>125</v>
      </c>
    </row>
    <row r="1196" spans="2:18" x14ac:dyDescent="0.35">
      <c r="B1196" s="9">
        <v>630</v>
      </c>
      <c r="C1196" s="9" t="str">
        <v>출고재고</v>
      </c>
      <c r="D1196" s="9" t="str">
        <v/>
      </c>
      <c r="E1196" s="9" t="str">
        <v>기초</v>
      </c>
      <c r="F1196" s="9" t="str">
        <v/>
      </c>
      <c r="G1196" s="9" t="str">
        <v/>
      </c>
      <c r="H1196" s="9" t="str">
        <v>RA-5-4</v>
      </c>
      <c r="I1196" s="11" t="str">
        <v>RA-5-4]EARTH ROT TO TUBE</v>
      </c>
      <c r="J1196" s="9">
        <v>166</v>
      </c>
      <c r="K1196" s="9" t="str">
        <v/>
      </c>
      <c r="L1196" s="9" t="str">
        <v>G3-2</v>
      </c>
      <c r="M1196" s="12">
        <v>46273</v>
      </c>
      <c r="N1196" s="5" t="str">
        <v/>
      </c>
      <c r="O1196" s="5">
        <v>96712</v>
      </c>
      <c r="P1196" s="5">
        <v>40</v>
      </c>
      <c r="Q1196" s="14">
        <v>46274</v>
      </c>
      <c r="R1196" s="15">
        <v>126</v>
      </c>
    </row>
    <row r="1197" spans="2:18" x14ac:dyDescent="0.35">
      <c r="B1197" s="9">
        <v>265</v>
      </c>
      <c r="C1197" s="9" t="str">
        <v>출고재고</v>
      </c>
      <c r="D1197" s="9" t="str">
        <v/>
      </c>
      <c r="E1197" s="9" t="str">
        <v/>
      </c>
      <c r="F1197" s="9" t="str">
        <v/>
      </c>
      <c r="G1197" s="9" t="str">
        <v/>
      </c>
      <c r="H1197" s="9" t="str">
        <v>RA-04S-0977</v>
      </c>
      <c r="I1197" s="11" t="str">
        <v>RA-04S-0977]SPRING CEPH AND ARM</v>
      </c>
      <c r="J1197" s="9">
        <v>399</v>
      </c>
      <c r="K1197" s="9" t="str">
        <v/>
      </c>
      <c r="L1197" s="9" t="str">
        <v>B2-2</v>
      </c>
      <c r="M1197" s="12">
        <v>46232</v>
      </c>
      <c r="N1197" s="5" t="str">
        <v/>
      </c>
      <c r="O1197" s="5">
        <v>96712</v>
      </c>
      <c r="P1197" s="5">
        <v>40</v>
      </c>
      <c r="Q1197" s="14">
        <v>46274</v>
      </c>
      <c r="R1197" s="15">
        <v>359</v>
      </c>
    </row>
    <row r="1198" spans="2:18" x14ac:dyDescent="0.35">
      <c r="B1198" s="9">
        <v>628</v>
      </c>
      <c r="C1198" s="9" t="str">
        <v>출고재고</v>
      </c>
      <c r="D1198" s="9" t="str">
        <v/>
      </c>
      <c r="E1198" s="9" t="str">
        <v>기초</v>
      </c>
      <c r="F1198" s="9" t="str">
        <v/>
      </c>
      <c r="G1198" s="9" t="str">
        <v/>
      </c>
      <c r="H1198" s="9" t="str">
        <v>RA-1-8B</v>
      </c>
      <c r="I1198" s="11" t="str">
        <v>RA-1-8B]AC POWER PFC CONNECT</v>
      </c>
      <c r="J1198" s="9">
        <v>527</v>
      </c>
      <c r="K1198" s="9" t="str">
        <v/>
      </c>
      <c r="L1198" s="9" t="str">
        <v>G3-1</v>
      </c>
      <c r="M1198" s="12">
        <v>46273</v>
      </c>
      <c r="N1198" s="5" t="str">
        <v/>
      </c>
      <c r="O1198" s="5">
        <v>96712</v>
      </c>
      <c r="P1198" s="5">
        <v>80</v>
      </c>
      <c r="Q1198" s="14">
        <v>46274</v>
      </c>
      <c r="R1198" s="15">
        <v>447</v>
      </c>
    </row>
    <row r="1199" spans="2:18" x14ac:dyDescent="0.35">
      <c r="B1199" s="9">
        <v>268</v>
      </c>
      <c r="C1199" s="9" t="str">
        <v>출고재고</v>
      </c>
      <c r="D1199" s="9" t="str">
        <v/>
      </c>
      <c r="E1199" s="9" t="str">
        <v/>
      </c>
      <c r="F1199" s="9" t="str">
        <v/>
      </c>
      <c r="G1199" s="9" t="str">
        <v/>
      </c>
      <c r="H1199" s="9" t="str">
        <v>RA-3-3B</v>
      </c>
      <c r="I1199" s="11" t="str">
        <v>RA-3-3B]DCM CONTROL-B</v>
      </c>
      <c r="J1199" s="9">
        <v>582</v>
      </c>
      <c r="K1199" s="9" t="str">
        <v/>
      </c>
      <c r="L1199" s="9" t="str">
        <v>G2-1</v>
      </c>
      <c r="M1199" s="12">
        <v>46232</v>
      </c>
      <c r="N1199" s="5" t="str">
        <v/>
      </c>
      <c r="O1199" s="5">
        <v>96712</v>
      </c>
      <c r="P1199" s="5">
        <v>40</v>
      </c>
      <c r="Q1199" s="14">
        <v>46274</v>
      </c>
      <c r="R1199" s="15">
        <v>542</v>
      </c>
    </row>
    <row r="1200" spans="2:18" x14ac:dyDescent="0.35">
      <c r="B1200" s="9">
        <v>629</v>
      </c>
      <c r="C1200" s="9" t="str">
        <v>출고재고</v>
      </c>
      <c r="D1200" s="9" t="str">
        <v/>
      </c>
      <c r="E1200" s="9" t="str">
        <v>기초</v>
      </c>
      <c r="F1200" s="9" t="str">
        <v/>
      </c>
      <c r="G1200" s="9" t="str">
        <v/>
      </c>
      <c r="H1200" s="9" t="str">
        <v>RA-5-5</v>
      </c>
      <c r="I1200" s="11" t="str">
        <v>RA-5-5]EARTH ROT TO PFC</v>
      </c>
      <c r="J1200" s="9">
        <v>621</v>
      </c>
      <c r="K1200" s="9" t="str">
        <v/>
      </c>
      <c r="L1200" s="9" t="str">
        <v>G3-2</v>
      </c>
      <c r="M1200" s="12">
        <v>46273</v>
      </c>
      <c r="N1200" s="5" t="str">
        <v/>
      </c>
      <c r="O1200" s="5">
        <v>96712</v>
      </c>
      <c r="P1200" s="5">
        <v>40</v>
      </c>
      <c r="Q1200" s="14">
        <v>46274</v>
      </c>
      <c r="R1200" s="15">
        <v>581</v>
      </c>
    </row>
    <row r="1201" spans="2:18" x14ac:dyDescent="0.35">
      <c r="B1201" s="9">
        <v>541</v>
      </c>
      <c r="C1201" s="9" t="str">
        <v>출고재고</v>
      </c>
      <c r="D1201" s="9" t="str">
        <v/>
      </c>
      <c r="E1201" s="9" t="str">
        <v>기초</v>
      </c>
      <c r="F1201" s="9" t="str">
        <v/>
      </c>
      <c r="G1201" s="9" t="str">
        <v/>
      </c>
      <c r="H1201" s="9" t="str">
        <v>RA-10-1</v>
      </c>
      <c r="I1201" s="11" t="str">
        <v>RA-10-1]AC CABLE ASS’Y</v>
      </c>
      <c r="J1201" s="9">
        <v>30</v>
      </c>
      <c r="K1201" s="9" t="str">
        <v/>
      </c>
      <c r="L1201" s="9" t="str">
        <v>G4</v>
      </c>
      <c r="M1201" s="12">
        <v>46273</v>
      </c>
      <c r="N1201" s="5" t="str">
        <v/>
      </c>
      <c r="O1201" s="5">
        <v>96713</v>
      </c>
      <c r="P1201" s="5">
        <v>30</v>
      </c>
      <c r="Q1201" s="14">
        <v>46275</v>
      </c>
      <c r="R1201" s="15">
        <v>0</v>
      </c>
    </row>
    <row r="1202" spans="2:18" x14ac:dyDescent="0.35">
      <c r="B1202" s="9">
        <v>551</v>
      </c>
      <c r="C1202" s="9" t="str">
        <v>출고재고</v>
      </c>
      <c r="D1202" s="9" t="str">
        <v/>
      </c>
      <c r="E1202" s="9" t="str">
        <v>기초</v>
      </c>
      <c r="F1202" s="9" t="str">
        <v/>
      </c>
      <c r="G1202" s="9" t="str">
        <v/>
      </c>
      <c r="H1202" s="9" t="str">
        <v>RA-02T-0045</v>
      </c>
      <c r="I1202" s="11" t="str">
        <v>RA-02T-0045]CAS VERT SUB BOT</v>
      </c>
      <c r="J1202" s="9">
        <v>32</v>
      </c>
      <c r="K1202" s="9" t="str">
        <v/>
      </c>
      <c r="L1202" s="9" t="str">
        <v>S</v>
      </c>
      <c r="M1202" s="12">
        <v>46273</v>
      </c>
      <c r="N1202" s="5" t="str">
        <v/>
      </c>
      <c r="O1202" s="5">
        <v>96713</v>
      </c>
      <c r="P1202" s="5">
        <v>32</v>
      </c>
      <c r="Q1202" s="14">
        <v>46275</v>
      </c>
      <c r="R1202" s="15">
        <v>0</v>
      </c>
    </row>
    <row r="1203" spans="2:18" x14ac:dyDescent="0.35">
      <c r="B1203" s="9">
        <v>540</v>
      </c>
      <c r="C1203" s="9" t="str">
        <v>출고재고</v>
      </c>
      <c r="D1203" s="9" t="str">
        <v/>
      </c>
      <c r="E1203" s="9" t="str">
        <v>기초</v>
      </c>
      <c r="F1203" s="9" t="str">
        <v/>
      </c>
      <c r="G1203" s="9" t="str">
        <v/>
      </c>
      <c r="H1203" s="9" t="str">
        <v>RA-8-4</v>
      </c>
      <c r="I1203" s="11" t="str">
        <v>RA-8-4]AC POWER CEPH</v>
      </c>
      <c r="J1203" s="9">
        <v>78</v>
      </c>
      <c r="K1203" s="9" t="str">
        <v/>
      </c>
      <c r="L1203" s="9" t="str">
        <v>G4</v>
      </c>
      <c r="M1203" s="12">
        <v>46273</v>
      </c>
      <c r="N1203" s="5" t="str">
        <v/>
      </c>
      <c r="O1203" s="5">
        <v>96713</v>
      </c>
      <c r="P1203" s="5">
        <v>40</v>
      </c>
      <c r="Q1203" s="14">
        <v>46275</v>
      </c>
      <c r="R1203" s="15">
        <v>38</v>
      </c>
    </row>
    <row r="1204" spans="2:18" x14ac:dyDescent="0.35">
      <c r="B1204" s="9">
        <v>548</v>
      </c>
      <c r="C1204" s="9" t="str">
        <v>출고재고</v>
      </c>
      <c r="D1204" s="9" t="str">
        <v/>
      </c>
      <c r="E1204" s="9" t="str">
        <v>기초</v>
      </c>
      <c r="F1204" s="9" t="str">
        <v/>
      </c>
      <c r="G1204" s="9" t="str">
        <v/>
      </c>
      <c r="H1204" s="9" t="str">
        <v>RA-05V-2654</v>
      </c>
      <c r="I1204" s="11" t="str">
        <v>RA-05V-2654]BRK CAS ROT BOT</v>
      </c>
      <c r="J1204" s="9">
        <v>79</v>
      </c>
      <c r="K1204" s="9" t="str">
        <v/>
      </c>
      <c r="L1204" s="9" t="str">
        <v>J4-2</v>
      </c>
      <c r="M1204" s="12">
        <v>46273</v>
      </c>
      <c r="N1204" s="5" t="str">
        <v/>
      </c>
      <c r="O1204" s="5">
        <v>96713</v>
      </c>
      <c r="P1204" s="5">
        <v>40</v>
      </c>
      <c r="Q1204" s="14">
        <v>46275</v>
      </c>
      <c r="R1204" s="15">
        <v>39</v>
      </c>
    </row>
    <row r="1205" spans="2:18" x14ac:dyDescent="0.35">
      <c r="B1205" s="9">
        <v>521</v>
      </c>
      <c r="C1205" s="9" t="str">
        <v>출고재고</v>
      </c>
      <c r="D1205" s="9" t="str">
        <v/>
      </c>
      <c r="E1205" s="9" t="str">
        <v>기초</v>
      </c>
      <c r="F1205" s="9" t="str">
        <v/>
      </c>
      <c r="G1205" s="9" t="str">
        <v/>
      </c>
      <c r="H1205" s="9" t="str">
        <v>RA-04V-1109</v>
      </c>
      <c r="I1205" s="11" t="str">
        <v>RA-04V-1109]BRK ARM RIGID L</v>
      </c>
      <c r="J1205" s="9">
        <v>100</v>
      </c>
      <c r="K1205" s="9" t="str">
        <v/>
      </c>
      <c r="L1205" s="9" t="str">
        <v>B1-6</v>
      </c>
      <c r="M1205" s="12">
        <v>46273</v>
      </c>
      <c r="N1205" s="5" t="str">
        <v/>
      </c>
      <c r="O1205" s="5">
        <v>96713</v>
      </c>
      <c r="P1205" s="5">
        <v>40</v>
      </c>
      <c r="Q1205" s="14">
        <v>46275</v>
      </c>
      <c r="R1205" s="15">
        <v>60</v>
      </c>
    </row>
    <row r="1206" spans="2:18" x14ac:dyDescent="0.35">
      <c r="B1206" s="9">
        <v>522</v>
      </c>
      <c r="C1206" s="9" t="str">
        <v>출고재고</v>
      </c>
      <c r="D1206" s="9" t="str">
        <v/>
      </c>
      <c r="E1206" s="9" t="str">
        <v>기초</v>
      </c>
      <c r="F1206" s="9" t="str">
        <v/>
      </c>
      <c r="G1206" s="9" t="str">
        <v/>
      </c>
      <c r="H1206" s="9" t="str">
        <v>RA-04V-1108</v>
      </c>
      <c r="I1206" s="11" t="str">
        <v>RA-04V-1108]BRK ARM RIGID R</v>
      </c>
      <c r="J1206" s="9">
        <v>100</v>
      </c>
      <c r="K1206" s="9" t="str">
        <v/>
      </c>
      <c r="L1206" s="9" t="str">
        <v>B1-6</v>
      </c>
      <c r="M1206" s="12">
        <v>46273</v>
      </c>
      <c r="N1206" s="5" t="str">
        <v/>
      </c>
      <c r="O1206" s="5">
        <v>96713</v>
      </c>
      <c r="P1206" s="5">
        <v>40</v>
      </c>
      <c r="Q1206" s="14">
        <v>46275</v>
      </c>
      <c r="R1206" s="15">
        <v>60</v>
      </c>
    </row>
    <row r="1207" spans="2:18" x14ac:dyDescent="0.35">
      <c r="B1207" s="9">
        <v>2081</v>
      </c>
      <c r="C1207" s="9" t="str">
        <v>출고재고</v>
      </c>
      <c r="D1207" s="9" t="str">
        <v/>
      </c>
      <c r="E1207" s="9" t="str">
        <v/>
      </c>
      <c r="F1207" s="9" t="str">
        <v/>
      </c>
      <c r="G1207" s="9" t="str">
        <v/>
      </c>
      <c r="H1207" s="9" t="str">
        <v>RA-02T-0045</v>
      </c>
      <c r="I1207" s="11" t="str">
        <v>RA-02T-0045]CAS VERT SUB BOT</v>
      </c>
      <c r="J1207" s="9">
        <v>108</v>
      </c>
      <c r="K1207" s="9" t="str">
        <v/>
      </c>
      <c r="L1207" s="9" t="str">
        <v>S</v>
      </c>
      <c r="M1207" s="12">
        <v>46288</v>
      </c>
      <c r="N1207" s="5" t="str">
        <v/>
      </c>
      <c r="O1207" s="5">
        <v>96713</v>
      </c>
      <c r="P1207" s="5">
        <v>8</v>
      </c>
      <c r="Q1207" s="14">
        <v>46283</v>
      </c>
      <c r="R1207" s="15">
        <v>100</v>
      </c>
    </row>
    <row r="1208" spans="2:18" x14ac:dyDescent="0.35">
      <c r="B1208" s="9">
        <v>524</v>
      </c>
      <c r="C1208" s="9" t="str">
        <v>출고재고</v>
      </c>
      <c r="D1208" s="9" t="str">
        <v/>
      </c>
      <c r="E1208" s="9" t="str">
        <v>기초</v>
      </c>
      <c r="F1208" s="9" t="str">
        <v/>
      </c>
      <c r="G1208" s="9" t="str">
        <v/>
      </c>
      <c r="H1208" s="9" t="str">
        <v>RA-3-6</v>
      </c>
      <c r="I1208" s="11" t="str">
        <v>RA-3-6]INDICATOR CONTROL</v>
      </c>
      <c r="J1208" s="9">
        <v>126</v>
      </c>
      <c r="K1208" s="9" t="str">
        <v/>
      </c>
      <c r="L1208" s="9" t="str">
        <v>G1-1</v>
      </c>
      <c r="M1208" s="12">
        <v>46273</v>
      </c>
      <c r="N1208" s="5" t="str">
        <v/>
      </c>
      <c r="O1208" s="5">
        <v>96713</v>
      </c>
      <c r="P1208" s="5">
        <v>40</v>
      </c>
      <c r="Q1208" s="14">
        <v>46275</v>
      </c>
      <c r="R1208" s="15">
        <v>86</v>
      </c>
    </row>
    <row r="1209" spans="2:18" x14ac:dyDescent="0.35">
      <c r="B1209" s="9">
        <v>533</v>
      </c>
      <c r="C1209" s="9" t="str">
        <v>출고재고</v>
      </c>
      <c r="D1209" s="9" t="str">
        <v/>
      </c>
      <c r="E1209" s="9" t="str">
        <v>기초</v>
      </c>
      <c r="F1209" s="9" t="str">
        <v/>
      </c>
      <c r="G1209" s="9" t="str">
        <v/>
      </c>
      <c r="H1209" s="9" t="str">
        <v>RA-1-5</v>
      </c>
      <c r="I1209" s="11" t="str">
        <v>RA-1-5]AC POWER SMPS-1</v>
      </c>
      <c r="J1209" s="9">
        <v>140</v>
      </c>
      <c r="K1209" s="9" t="str">
        <v/>
      </c>
      <c r="L1209" s="9" t="str">
        <v>G3-1</v>
      </c>
      <c r="M1209" s="12">
        <v>46273</v>
      </c>
      <c r="N1209" s="5" t="str">
        <v/>
      </c>
      <c r="O1209" s="5">
        <v>96713</v>
      </c>
      <c r="P1209" s="5">
        <v>40</v>
      </c>
      <c r="Q1209" s="14">
        <v>46275</v>
      </c>
      <c r="R1209" s="15">
        <v>100</v>
      </c>
    </row>
    <row r="1210" spans="2:18" x14ac:dyDescent="0.35">
      <c r="B1210" s="9">
        <v>531</v>
      </c>
      <c r="C1210" s="9" t="str">
        <v>출고재고</v>
      </c>
      <c r="D1210" s="9" t="str">
        <v/>
      </c>
      <c r="E1210" s="9" t="str">
        <v>기초</v>
      </c>
      <c r="F1210" s="9" t="str">
        <v/>
      </c>
      <c r="G1210" s="9" t="str">
        <v/>
      </c>
      <c r="H1210" s="9" t="str">
        <v>RA-7-5</v>
      </c>
      <c r="I1210" s="11" t="str">
        <v>RA-7-5]LAN THU</v>
      </c>
      <c r="J1210" s="9">
        <v>196</v>
      </c>
      <c r="K1210" s="9" t="str">
        <v/>
      </c>
      <c r="L1210" s="9" t="str">
        <v>G2-2</v>
      </c>
      <c r="M1210" s="12">
        <v>46273</v>
      </c>
      <c r="N1210" s="5" t="str">
        <v/>
      </c>
      <c r="O1210" s="5">
        <v>96713</v>
      </c>
      <c r="P1210" s="5">
        <v>40</v>
      </c>
      <c r="Q1210" s="14">
        <v>46275</v>
      </c>
      <c r="R1210" s="15">
        <v>156</v>
      </c>
    </row>
    <row r="1211" spans="2:18" x14ac:dyDescent="0.35">
      <c r="B1211" s="9">
        <v>525</v>
      </c>
      <c r="C1211" s="9" t="str">
        <v>출고재고</v>
      </c>
      <c r="D1211" s="9" t="str">
        <v/>
      </c>
      <c r="E1211" s="9" t="str">
        <v>기초</v>
      </c>
      <c r="F1211" s="9" t="str">
        <v/>
      </c>
      <c r="G1211" s="9" t="str">
        <v/>
      </c>
      <c r="H1211" s="9" t="str">
        <v>RA-3-5</v>
      </c>
      <c r="I1211" s="11" t="str">
        <v>RA-3-5]INDICATOR</v>
      </c>
      <c r="J1211" s="9">
        <v>205</v>
      </c>
      <c r="K1211" s="9" t="str">
        <v/>
      </c>
      <c r="L1211" s="9" t="str">
        <v>G1-1</v>
      </c>
      <c r="M1211" s="12">
        <v>46273</v>
      </c>
      <c r="N1211" s="5" t="str">
        <v/>
      </c>
      <c r="O1211" s="5">
        <v>96713</v>
      </c>
      <c r="P1211" s="5">
        <v>40</v>
      </c>
      <c r="Q1211" s="14">
        <v>46275</v>
      </c>
      <c r="R1211" s="15">
        <v>165</v>
      </c>
    </row>
    <row r="1212" spans="2:18" x14ac:dyDescent="0.35">
      <c r="B1212" s="9">
        <v>532</v>
      </c>
      <c r="C1212" s="9" t="str">
        <v>출고재고</v>
      </c>
      <c r="D1212" s="9" t="str">
        <v/>
      </c>
      <c r="E1212" s="9" t="str">
        <v>기초</v>
      </c>
      <c r="F1212" s="9" t="str">
        <v/>
      </c>
      <c r="G1212" s="9" t="str">
        <v/>
      </c>
      <c r="H1212" s="9" t="str">
        <v>RA-1-11</v>
      </c>
      <c r="I1212" s="11" t="str">
        <v>RA-1-11]DC POWER HUB</v>
      </c>
      <c r="J1212" s="9">
        <v>205</v>
      </c>
      <c r="K1212" s="9" t="str">
        <v/>
      </c>
      <c r="L1212" s="9" t="str">
        <v>G3-1</v>
      </c>
      <c r="M1212" s="12">
        <v>46273</v>
      </c>
      <c r="N1212" s="5" t="str">
        <v/>
      </c>
      <c r="O1212" s="5">
        <v>96713</v>
      </c>
      <c r="P1212" s="5">
        <v>40</v>
      </c>
      <c r="Q1212" s="14">
        <v>46275</v>
      </c>
      <c r="R1212" s="15">
        <v>165</v>
      </c>
    </row>
    <row r="1213" spans="2:18" x14ac:dyDescent="0.35">
      <c r="B1213" s="9">
        <v>527</v>
      </c>
      <c r="C1213" s="9" t="str">
        <v>출고재고</v>
      </c>
      <c r="D1213" s="9" t="str">
        <v/>
      </c>
      <c r="E1213" s="9" t="str">
        <v>기초</v>
      </c>
      <c r="F1213" s="9" t="str">
        <v/>
      </c>
      <c r="G1213" s="9" t="str">
        <v/>
      </c>
      <c r="H1213" s="9" t="str">
        <v>RA-9-8</v>
      </c>
      <c r="I1213" s="11" t="str">
        <v>RA-9-8]SERIAL POWER LS 1</v>
      </c>
      <c r="J1213" s="9">
        <v>214</v>
      </c>
      <c r="K1213" s="9" t="str">
        <v/>
      </c>
      <c r="L1213" s="9" t="str">
        <v>G1-3</v>
      </c>
      <c r="M1213" s="12">
        <v>46273</v>
      </c>
      <c r="N1213" s="5" t="str">
        <v/>
      </c>
      <c r="O1213" s="5">
        <v>96713</v>
      </c>
      <c r="P1213" s="5">
        <v>40</v>
      </c>
      <c r="Q1213" s="14">
        <v>46275</v>
      </c>
      <c r="R1213" s="15">
        <v>174</v>
      </c>
    </row>
    <row r="1214" spans="2:18" x14ac:dyDescent="0.35">
      <c r="B1214" s="9">
        <v>520</v>
      </c>
      <c r="C1214" s="9" t="str">
        <v>출고재고</v>
      </c>
      <c r="D1214" s="9" t="str">
        <v/>
      </c>
      <c r="E1214" s="9" t="str">
        <v>기초</v>
      </c>
      <c r="F1214" s="9" t="str">
        <v/>
      </c>
      <c r="G1214" s="9" t="str">
        <v/>
      </c>
      <c r="H1214" s="9" t="str">
        <v>RA-06A-5004</v>
      </c>
      <c r="I1214" s="11" t="str">
        <v>RA-06A-5004]Bd ASSY'-Indicator Bd</v>
      </c>
      <c r="J1214" s="9">
        <v>218</v>
      </c>
      <c r="K1214" s="9" t="str">
        <v/>
      </c>
      <c r="L1214" s="9" t="str">
        <v>A1-5</v>
      </c>
      <c r="M1214" s="12">
        <v>46273</v>
      </c>
      <c r="N1214" s="5" t="str">
        <v/>
      </c>
      <c r="O1214" s="5">
        <v>96713</v>
      </c>
      <c r="P1214" s="5">
        <v>80</v>
      </c>
      <c r="Q1214" s="14">
        <v>46275</v>
      </c>
      <c r="R1214" s="15">
        <v>138</v>
      </c>
    </row>
    <row r="1215" spans="2:18" x14ac:dyDescent="0.35">
      <c r="B1215" s="9">
        <v>550</v>
      </c>
      <c r="C1215" s="9" t="str">
        <v>출고재고</v>
      </c>
      <c r="D1215" s="9" t="str">
        <v/>
      </c>
      <c r="E1215" s="9" t="str">
        <v>기초</v>
      </c>
      <c r="F1215" s="9" t="str">
        <v/>
      </c>
      <c r="G1215" s="9" t="str">
        <v/>
      </c>
      <c r="H1215" s="9" t="str">
        <v>RA-05T-0210</v>
      </c>
      <c r="I1215" s="11" t="str">
        <v>RA-05T-0210]CAS ROT TOP SUB</v>
      </c>
      <c r="J1215" s="9">
        <v>233</v>
      </c>
      <c r="K1215" s="9" t="str">
        <v/>
      </c>
      <c r="L1215" s="9" t="str">
        <v>S</v>
      </c>
      <c r="M1215" s="12">
        <v>46273</v>
      </c>
      <c r="N1215" s="5" t="str">
        <v/>
      </c>
      <c r="O1215" s="5">
        <v>96713</v>
      </c>
      <c r="P1215" s="5">
        <v>40</v>
      </c>
      <c r="Q1215" s="14">
        <v>46275</v>
      </c>
      <c r="R1215" s="15">
        <v>193</v>
      </c>
    </row>
    <row r="1216" spans="2:18" x14ac:dyDescent="0.35">
      <c r="B1216" s="9">
        <v>633</v>
      </c>
      <c r="C1216" s="9" t="str">
        <v>출고재고</v>
      </c>
      <c r="D1216" s="9" t="str">
        <v/>
      </c>
      <c r="E1216" s="9" t="str">
        <v>기초</v>
      </c>
      <c r="F1216" s="9" t="str">
        <v/>
      </c>
      <c r="G1216" s="9" t="str">
        <v/>
      </c>
      <c r="H1216" s="9" t="str">
        <v>RA-3-3A</v>
      </c>
      <c r="I1216" s="11" t="str">
        <v>RA-3-3A]DCM CONTROL-A</v>
      </c>
      <c r="J1216" s="9">
        <v>277</v>
      </c>
      <c r="K1216" s="9" t="str">
        <v/>
      </c>
      <c r="L1216" s="9" t="str">
        <v>G4</v>
      </c>
      <c r="M1216" s="12">
        <v>46273</v>
      </c>
      <c r="N1216" s="5" t="str">
        <v/>
      </c>
      <c r="O1216" s="5">
        <v>96713</v>
      </c>
      <c r="P1216" s="5">
        <v>40</v>
      </c>
      <c r="Q1216" s="14">
        <v>46275</v>
      </c>
      <c r="R1216" s="15">
        <v>237</v>
      </c>
    </row>
    <row r="1217" spans="2:18" x14ac:dyDescent="0.35">
      <c r="B1217" s="9">
        <v>2318</v>
      </c>
      <c r="C1217" s="9" t="str">
        <v>출고재고</v>
      </c>
      <c r="D1217" s="9" t="str">
        <v/>
      </c>
      <c r="E1217" s="9" t="str">
        <v/>
      </c>
      <c r="F1217" s="9" t="str">
        <v/>
      </c>
      <c r="G1217" s="9" t="str">
        <v/>
      </c>
      <c r="H1217" s="9" t="str">
        <v>RA-10-1</v>
      </c>
      <c r="I1217" s="11" t="str">
        <v>RA-10-1]AC CABLE ASS’Y</v>
      </c>
      <c r="J1217" s="9">
        <v>280</v>
      </c>
      <c r="K1217" s="9" t="str">
        <v/>
      </c>
      <c r="L1217" s="9" t="str">
        <v>G4</v>
      </c>
      <c r="M1217" s="12">
        <v>46302</v>
      </c>
      <c r="N1217" s="5" t="str">
        <v/>
      </c>
      <c r="O1217" s="5">
        <v>96713</v>
      </c>
      <c r="P1217" s="5">
        <v>10</v>
      </c>
      <c r="Q1217" s="14">
        <v>46297</v>
      </c>
      <c r="R1217" s="15">
        <v>270</v>
      </c>
    </row>
    <row r="1218" spans="2:18" x14ac:dyDescent="0.35">
      <c r="B1218" s="9">
        <v>529</v>
      </c>
      <c r="C1218" s="9" t="str">
        <v>출고재고</v>
      </c>
      <c r="D1218" s="9" t="str">
        <v/>
      </c>
      <c r="E1218" s="9" t="str">
        <v>기초</v>
      </c>
      <c r="F1218" s="9" t="str">
        <v/>
      </c>
      <c r="G1218" s="9" t="str">
        <v/>
      </c>
      <c r="H1218" s="9" t="str">
        <v>RA-1-12</v>
      </c>
      <c r="I1218" s="11" t="str">
        <v>RA-1-12]DC POWER SMPS CONN</v>
      </c>
      <c r="J1218" s="9">
        <v>280</v>
      </c>
      <c r="K1218" s="9" t="str">
        <v/>
      </c>
      <c r="L1218" s="9" t="str">
        <v>G2-1</v>
      </c>
      <c r="M1218" s="12">
        <v>46273</v>
      </c>
      <c r="N1218" s="5" t="str">
        <v/>
      </c>
      <c r="O1218" s="5">
        <v>96713</v>
      </c>
      <c r="P1218" s="5">
        <v>40</v>
      </c>
      <c r="Q1218" s="14">
        <v>46275</v>
      </c>
      <c r="R1218" s="15">
        <v>240</v>
      </c>
    </row>
    <row r="1219" spans="2:18" x14ac:dyDescent="0.35">
      <c r="B1219" s="9">
        <v>528</v>
      </c>
      <c r="C1219" s="9" t="str">
        <v>출고재고</v>
      </c>
      <c r="D1219" s="9" t="str">
        <v/>
      </c>
      <c r="E1219" s="9" t="str">
        <v>기초</v>
      </c>
      <c r="F1219" s="9" t="str">
        <v/>
      </c>
      <c r="G1219" s="9" t="str">
        <v/>
      </c>
      <c r="H1219" s="9" t="str">
        <v>RA-2-9</v>
      </c>
      <c r="I1219" s="11" t="str">
        <v>RA-2-9]ACT 2nd LIMIT</v>
      </c>
      <c r="J1219" s="9">
        <v>282</v>
      </c>
      <c r="K1219" s="9" t="str">
        <v/>
      </c>
      <c r="L1219" s="9" t="str">
        <v>G2-1</v>
      </c>
      <c r="M1219" s="12">
        <v>46273</v>
      </c>
      <c r="N1219" s="5" t="str">
        <v/>
      </c>
      <c r="O1219" s="5">
        <v>96713</v>
      </c>
      <c r="P1219" s="5">
        <v>40</v>
      </c>
      <c r="Q1219" s="14">
        <v>46275</v>
      </c>
      <c r="R1219" s="15">
        <v>242</v>
      </c>
    </row>
    <row r="1220" spans="2:18" x14ac:dyDescent="0.35">
      <c r="B1220" s="9">
        <v>536</v>
      </c>
      <c r="C1220" s="9" t="str">
        <v>출고재고</v>
      </c>
      <c r="D1220" s="9" t="str">
        <v/>
      </c>
      <c r="E1220" s="9" t="str">
        <v>기초</v>
      </c>
      <c r="F1220" s="9" t="str">
        <v/>
      </c>
      <c r="G1220" s="9" t="str">
        <v/>
      </c>
      <c r="H1220" s="9" t="str">
        <v>RA-5-8</v>
      </c>
      <c r="I1220" s="11" t="str">
        <v>RA-5-8]EARTH CTRL SMPS</v>
      </c>
      <c r="J1220" s="9">
        <v>296</v>
      </c>
      <c r="K1220" s="9" t="str">
        <v/>
      </c>
      <c r="L1220" s="9" t="str">
        <v>G3-2</v>
      </c>
      <c r="M1220" s="12">
        <v>46273</v>
      </c>
      <c r="N1220" s="5" t="str">
        <v/>
      </c>
      <c r="O1220" s="5">
        <v>96713</v>
      </c>
      <c r="P1220" s="5">
        <v>40</v>
      </c>
      <c r="Q1220" s="14">
        <v>46275</v>
      </c>
      <c r="R1220" s="15">
        <v>256</v>
      </c>
    </row>
    <row r="1221" spans="2:18" x14ac:dyDescent="0.35">
      <c r="B1221" s="9">
        <v>790</v>
      </c>
      <c r="C1221" s="9" t="str">
        <v>출고재고</v>
      </c>
      <c r="D1221" s="9" t="str">
        <v/>
      </c>
      <c r="E1221" s="9" t="str">
        <v/>
      </c>
      <c r="F1221" s="9" t="str">
        <v/>
      </c>
      <c r="G1221" s="9" t="str">
        <v/>
      </c>
      <c r="H1221" s="9" t="str">
        <v>RA-02M-0395</v>
      </c>
      <c r="I1221" s="11" t="str">
        <v>RA-02M-0395]PIN VERT POSITION</v>
      </c>
      <c r="J1221" s="9">
        <v>326</v>
      </c>
      <c r="K1221" s="9" t="str">
        <v/>
      </c>
      <c r="L1221" s="9" t="str">
        <v>C3-1</v>
      </c>
      <c r="M1221" s="12">
        <v>46276</v>
      </c>
      <c r="N1221" s="5" t="str">
        <v/>
      </c>
      <c r="O1221" s="5">
        <v>96713</v>
      </c>
      <c r="P1221" s="5">
        <v>80</v>
      </c>
      <c r="Q1221" s="14">
        <v>46275</v>
      </c>
      <c r="R1221" s="15">
        <v>246</v>
      </c>
    </row>
    <row r="1222" spans="2:18" x14ac:dyDescent="0.35">
      <c r="B1222" s="9">
        <v>530</v>
      </c>
      <c r="C1222" s="9" t="str">
        <v>출고재고</v>
      </c>
      <c r="D1222" s="9" t="str">
        <v/>
      </c>
      <c r="E1222" s="9" t="str">
        <v>기초</v>
      </c>
      <c r="F1222" s="9" t="str">
        <v/>
      </c>
      <c r="G1222" s="9" t="str">
        <v/>
      </c>
      <c r="H1222" s="9" t="str">
        <v>RA-2-4</v>
      </c>
      <c r="I1222" s="11" t="str">
        <v>RA-2-4]SERIAL POWER THU</v>
      </c>
      <c r="J1222" s="9">
        <v>348</v>
      </c>
      <c r="K1222" s="9" t="str">
        <v/>
      </c>
      <c r="L1222" s="9" t="str">
        <v>G2-1</v>
      </c>
      <c r="M1222" s="12">
        <v>46273</v>
      </c>
      <c r="N1222" s="5" t="str">
        <v/>
      </c>
      <c r="O1222" s="5">
        <v>96713</v>
      </c>
      <c r="P1222" s="5">
        <v>80</v>
      </c>
      <c r="Q1222" s="14">
        <v>46275</v>
      </c>
      <c r="R1222" s="15">
        <v>268</v>
      </c>
    </row>
    <row r="1223" spans="2:18" x14ac:dyDescent="0.35">
      <c r="B1223" s="9">
        <v>543</v>
      </c>
      <c r="C1223" s="9" t="str">
        <v>출고재고</v>
      </c>
      <c r="D1223" s="9" t="str">
        <v/>
      </c>
      <c r="E1223" s="9" t="str">
        <v>기초</v>
      </c>
      <c r="F1223" s="9" t="str">
        <v/>
      </c>
      <c r="G1223" s="9" t="str">
        <v/>
      </c>
      <c r="H1223" s="9" t="str">
        <v>RA-05V-0199</v>
      </c>
      <c r="I1223" s="11" t="str">
        <v>RA-05V-0199]BRK PXD-200CT DRV PCB R</v>
      </c>
      <c r="J1223" s="9">
        <v>394</v>
      </c>
      <c r="K1223" s="9" t="str">
        <v/>
      </c>
      <c r="L1223" s="9" t="str">
        <v>H2-2</v>
      </c>
      <c r="M1223" s="12">
        <v>46273</v>
      </c>
      <c r="N1223" s="5" t="str">
        <v/>
      </c>
      <c r="O1223" s="5">
        <v>96713</v>
      </c>
      <c r="P1223" s="5">
        <v>40</v>
      </c>
      <c r="Q1223" s="14">
        <v>46275</v>
      </c>
      <c r="R1223" s="15">
        <v>354</v>
      </c>
    </row>
    <row r="1224" spans="2:18" x14ac:dyDescent="0.35">
      <c r="B1224" s="9">
        <v>542</v>
      </c>
      <c r="C1224" s="9" t="str">
        <v>출고재고</v>
      </c>
      <c r="D1224" s="9" t="str">
        <v/>
      </c>
      <c r="E1224" s="9" t="str">
        <v>기초</v>
      </c>
      <c r="F1224" s="9" t="str">
        <v/>
      </c>
      <c r="G1224" s="9" t="str">
        <v/>
      </c>
      <c r="H1224" s="9" t="str">
        <v>RA-05V-0297</v>
      </c>
      <c r="I1224" s="11" t="str">
        <v>RA-05V-0297]BRK PXD-200CT DRV PCB L</v>
      </c>
      <c r="J1224" s="9">
        <v>399</v>
      </c>
      <c r="K1224" s="9" t="str">
        <v/>
      </c>
      <c r="L1224" s="9" t="str">
        <v>H2-2</v>
      </c>
      <c r="M1224" s="12">
        <v>46273</v>
      </c>
      <c r="N1224" s="5" t="str">
        <v/>
      </c>
      <c r="O1224" s="5">
        <v>96713</v>
      </c>
      <c r="P1224" s="5">
        <v>40</v>
      </c>
      <c r="Q1224" s="14">
        <v>46275</v>
      </c>
      <c r="R1224" s="15">
        <v>359</v>
      </c>
    </row>
    <row r="1225" spans="2:18" x14ac:dyDescent="0.35">
      <c r="B1225" s="9">
        <v>535</v>
      </c>
      <c r="C1225" s="9" t="str">
        <v>출고재고</v>
      </c>
      <c r="D1225" s="9" t="str">
        <v/>
      </c>
      <c r="E1225" s="9" t="str">
        <v>기초</v>
      </c>
      <c r="F1225" s="9" t="str">
        <v/>
      </c>
      <c r="G1225" s="9" t="str">
        <v/>
      </c>
      <c r="H1225" s="9" t="str">
        <v>RA-5-10</v>
      </c>
      <c r="I1225" s="11" t="str">
        <v>RA-5-10]EARTH MOT SMPS(RPS)</v>
      </c>
      <c r="J1225" s="9">
        <v>405</v>
      </c>
      <c r="K1225" s="9" t="str">
        <v/>
      </c>
      <c r="L1225" s="9" t="str">
        <v>G3-2</v>
      </c>
      <c r="M1225" s="12">
        <v>46273</v>
      </c>
      <c r="N1225" s="5" t="str">
        <v/>
      </c>
      <c r="O1225" s="5">
        <v>96713</v>
      </c>
      <c r="P1225" s="5">
        <v>40</v>
      </c>
      <c r="Q1225" s="14">
        <v>46275</v>
      </c>
      <c r="R1225" s="15">
        <v>365</v>
      </c>
    </row>
    <row r="1226" spans="2:18" x14ac:dyDescent="0.35">
      <c r="B1226" s="9">
        <v>573</v>
      </c>
      <c r="C1226" s="9" t="str">
        <v>출고재고</v>
      </c>
      <c r="D1226" s="9" t="str">
        <v/>
      </c>
      <c r="E1226" s="9" t="str">
        <v>기초</v>
      </c>
      <c r="F1226" s="9" t="str">
        <v/>
      </c>
      <c r="G1226" s="9" t="str">
        <v/>
      </c>
      <c r="H1226" s="9" t="str">
        <v>RA-05V-2559</v>
      </c>
      <c r="I1226" s="11" t="str">
        <v>RA-05V-2559]CVR SUB MCU</v>
      </c>
      <c r="J1226" s="9">
        <v>9</v>
      </c>
      <c r="K1226" s="9" t="str">
        <v/>
      </c>
      <c r="L1226" s="9" t="str">
        <v>K5-3</v>
      </c>
      <c r="M1226" s="12">
        <v>46273</v>
      </c>
      <c r="N1226" s="5" t="str">
        <v/>
      </c>
      <c r="O1226" s="5">
        <v>96714</v>
      </c>
      <c r="P1226" s="5">
        <v>9</v>
      </c>
      <c r="Q1226" s="14">
        <v>46275</v>
      </c>
      <c r="R1226" s="15">
        <v>0</v>
      </c>
    </row>
    <row r="1227" spans="2:18" x14ac:dyDescent="0.35">
      <c r="B1227" s="9">
        <v>571</v>
      </c>
      <c r="C1227" s="9" t="str">
        <v>출고재고</v>
      </c>
      <c r="D1227" s="9" t="str">
        <v/>
      </c>
      <c r="E1227" s="9" t="str">
        <v>기초</v>
      </c>
      <c r="F1227" s="9" t="str">
        <v/>
      </c>
      <c r="G1227" s="9" t="str">
        <v/>
      </c>
      <c r="H1227" s="9" t="str">
        <v>RA-03A-0287</v>
      </c>
      <c r="I1227" s="11" t="str">
        <v>RA-03A-0287]ASM LEVER HORIZONTAL LASER</v>
      </c>
      <c r="J1227" s="9">
        <v>178</v>
      </c>
      <c r="K1227" s="9" t="str">
        <v/>
      </c>
      <c r="L1227" s="9" t="str">
        <v>B1-4</v>
      </c>
      <c r="M1227" s="12">
        <v>46273</v>
      </c>
      <c r="N1227" s="5" t="str">
        <v/>
      </c>
      <c r="O1227" s="5">
        <v>96714</v>
      </c>
      <c r="P1227" s="5">
        <v>40</v>
      </c>
      <c r="Q1227" s="14">
        <v>46275</v>
      </c>
      <c r="R1227" s="15">
        <v>138</v>
      </c>
    </row>
    <row r="1228" spans="2:18" x14ac:dyDescent="0.35">
      <c r="B1228" s="9">
        <v>578</v>
      </c>
      <c r="C1228" s="9" t="str">
        <v>출고재고</v>
      </c>
      <c r="D1228" s="9" t="str">
        <v/>
      </c>
      <c r="E1228" s="9" t="str">
        <v>기초</v>
      </c>
      <c r="F1228" s="9" t="str">
        <v/>
      </c>
      <c r="G1228" s="9" t="str">
        <v/>
      </c>
      <c r="H1228" s="9" t="str">
        <v>RA-07M-2497</v>
      </c>
      <c r="I1228" s="11" t="str">
        <v>RA-07M-2497]CVR CT DET FRONT (A+ ODD)</v>
      </c>
      <c r="J1228" s="9">
        <v>184</v>
      </c>
      <c r="K1228" s="9" t="str">
        <v/>
      </c>
      <c r="L1228" s="9" t="str">
        <v>L2-3</v>
      </c>
      <c r="M1228" s="12">
        <v>46273</v>
      </c>
      <c r="N1228" s="5" t="str">
        <v/>
      </c>
      <c r="O1228" s="5">
        <v>96714</v>
      </c>
      <c r="P1228" s="5">
        <v>40</v>
      </c>
      <c r="Q1228" s="14">
        <v>46275</v>
      </c>
      <c r="R1228" s="15">
        <v>144</v>
      </c>
    </row>
    <row r="1229" spans="2:18" x14ac:dyDescent="0.35">
      <c r="B1229" s="9">
        <v>582</v>
      </c>
      <c r="C1229" s="9" t="str">
        <v>출고재고</v>
      </c>
      <c r="D1229" s="9" t="str">
        <v/>
      </c>
      <c r="E1229" s="9" t="str">
        <v>기초</v>
      </c>
      <c r="F1229" s="9" t="str">
        <v/>
      </c>
      <c r="G1229" s="9" t="str">
        <v/>
      </c>
      <c r="H1229" s="9" t="str">
        <v>RA-03T-0076</v>
      </c>
      <c r="I1229" s="11" t="str">
        <v>RA-03T-0076]CAS MIRROR DECO</v>
      </c>
      <c r="J1229" s="9">
        <v>189</v>
      </c>
      <c r="K1229" s="9" t="str">
        <v/>
      </c>
      <c r="L1229" s="9" t="str">
        <v>S</v>
      </c>
      <c r="M1229" s="12">
        <v>46273</v>
      </c>
      <c r="N1229" s="5" t="str">
        <v/>
      </c>
      <c r="O1229" s="5">
        <v>96714</v>
      </c>
      <c r="P1229" s="5">
        <v>104</v>
      </c>
      <c r="Q1229" s="14">
        <v>46275</v>
      </c>
      <c r="R1229" s="15">
        <v>85</v>
      </c>
    </row>
    <row r="1230" spans="2:18" x14ac:dyDescent="0.35">
      <c r="B1230" s="9">
        <v>574</v>
      </c>
      <c r="C1230" s="9" t="str">
        <v>출고재고</v>
      </c>
      <c r="D1230" s="9" t="str">
        <v/>
      </c>
      <c r="E1230" s="9" t="str">
        <v>기초</v>
      </c>
      <c r="F1230" s="9" t="str">
        <v/>
      </c>
      <c r="G1230" s="9" t="str">
        <v/>
      </c>
      <c r="H1230" s="9" t="str">
        <v>RA-03M-2064</v>
      </c>
      <c r="I1230" s="11" t="str">
        <v>RA-03M-2064]PLT MIRROR (A+)</v>
      </c>
      <c r="J1230" s="9">
        <v>254</v>
      </c>
      <c r="K1230" s="9" t="str">
        <v/>
      </c>
      <c r="L1230" s="9" t="str">
        <v>L2-1</v>
      </c>
      <c r="M1230" s="12">
        <v>46273</v>
      </c>
      <c r="N1230" s="5" t="str">
        <v/>
      </c>
      <c r="O1230" s="5">
        <v>96714</v>
      </c>
      <c r="P1230" s="5">
        <v>40</v>
      </c>
      <c r="Q1230" s="14">
        <v>46275</v>
      </c>
      <c r="R1230" s="15">
        <v>214</v>
      </c>
    </row>
    <row r="1231" spans="2:18" x14ac:dyDescent="0.35">
      <c r="B1231" s="9">
        <v>572</v>
      </c>
      <c r="C1231" s="9" t="str">
        <v>출고재고</v>
      </c>
      <c r="D1231" s="9" t="str">
        <v/>
      </c>
      <c r="E1231" s="9" t="str">
        <v>기초</v>
      </c>
      <c r="F1231" s="9" t="str">
        <v/>
      </c>
      <c r="G1231" s="9" t="str">
        <v/>
      </c>
      <c r="H1231" s="9" t="str">
        <v>RA-7-3</v>
      </c>
      <c r="I1231" s="11" t="str">
        <v>RA-7-3]LAN PC</v>
      </c>
      <c r="J1231" s="9">
        <v>311</v>
      </c>
      <c r="K1231" s="9" t="str">
        <v/>
      </c>
      <c r="L1231" s="9" t="str">
        <v>G4</v>
      </c>
      <c r="M1231" s="12">
        <v>46273</v>
      </c>
      <c r="N1231" s="5" t="str">
        <v/>
      </c>
      <c r="O1231" s="5">
        <v>96714</v>
      </c>
      <c r="P1231" s="5">
        <v>40</v>
      </c>
      <c r="Q1231" s="14">
        <v>46275</v>
      </c>
      <c r="R1231" s="15">
        <v>271</v>
      </c>
    </row>
    <row r="1232" spans="2:18" x14ac:dyDescent="0.35">
      <c r="B1232" s="9">
        <v>741</v>
      </c>
      <c r="C1232" s="9" t="str">
        <v>출고재고</v>
      </c>
      <c r="D1232" s="9" t="str">
        <v/>
      </c>
      <c r="E1232" s="9" t="str">
        <v/>
      </c>
      <c r="F1232" s="9" t="str">
        <v/>
      </c>
      <c r="G1232" s="9" t="str">
        <v/>
      </c>
      <c r="H1232" s="9" t="str">
        <v>RA-04T-0144</v>
      </c>
      <c r="I1232" s="11" t="str">
        <v>RA-04T-0144]CAS CHINREST BOT</v>
      </c>
      <c r="J1232" s="9">
        <v>356</v>
      </c>
      <c r="K1232" s="9" t="str">
        <v/>
      </c>
      <c r="L1232" s="9" t="str">
        <v>S</v>
      </c>
      <c r="M1232" s="12">
        <v>46274</v>
      </c>
      <c r="N1232" s="5" t="str">
        <v/>
      </c>
      <c r="O1232" s="5">
        <v>96714</v>
      </c>
      <c r="P1232" s="5">
        <v>40</v>
      </c>
      <c r="Q1232" s="14">
        <v>46275</v>
      </c>
      <c r="R1232" s="15">
        <v>316</v>
      </c>
    </row>
    <row r="1233" spans="2:18" x14ac:dyDescent="0.35">
      <c r="B1233" s="9">
        <v>576</v>
      </c>
      <c r="C1233" s="9" t="str">
        <v>출고재고</v>
      </c>
      <c r="D1233" s="9" t="str">
        <v/>
      </c>
      <c r="E1233" s="9" t="str">
        <v>기초</v>
      </c>
      <c r="F1233" s="9" t="str">
        <v/>
      </c>
      <c r="G1233" s="9" t="str">
        <v/>
      </c>
      <c r="H1233" s="9" t="str">
        <v>RA-06M-2299</v>
      </c>
      <c r="I1233" s="11" t="str">
        <v>RA-06M-2299]PLT MIRROR TUBE CAS R (A+)</v>
      </c>
      <c r="J1233" s="9">
        <v>394</v>
      </c>
      <c r="K1233" s="9" t="str">
        <v/>
      </c>
      <c r="L1233" s="9" t="str">
        <v>L2-2</v>
      </c>
      <c r="M1233" s="12">
        <v>46273</v>
      </c>
      <c r="N1233" s="5" t="str">
        <v/>
      </c>
      <c r="O1233" s="5">
        <v>96714</v>
      </c>
      <c r="P1233" s="5">
        <v>40</v>
      </c>
      <c r="Q1233" s="14">
        <v>46275</v>
      </c>
      <c r="R1233" s="15">
        <v>354</v>
      </c>
    </row>
    <row r="1234" spans="2:18" x14ac:dyDescent="0.35">
      <c r="B1234" s="9">
        <v>575</v>
      </c>
      <c r="C1234" s="9" t="str">
        <v>출고재고</v>
      </c>
      <c r="D1234" s="9" t="str">
        <v/>
      </c>
      <c r="E1234" s="9" t="str">
        <v>기초</v>
      </c>
      <c r="F1234" s="9" t="str">
        <v/>
      </c>
      <c r="G1234" s="9" t="str">
        <v/>
      </c>
      <c r="H1234" s="9" t="str">
        <v>RA-06M-2298</v>
      </c>
      <c r="I1234" s="11" t="str">
        <v>RA-06M-2298]PLT MIRROR TUBE CAS L (A+)</v>
      </c>
      <c r="J1234" s="9">
        <v>478</v>
      </c>
      <c r="K1234" s="9" t="str">
        <v/>
      </c>
      <c r="L1234" s="9" t="str">
        <v>L2-2</v>
      </c>
      <c r="M1234" s="12">
        <v>46273</v>
      </c>
      <c r="N1234" s="5" t="str">
        <v/>
      </c>
      <c r="O1234" s="5">
        <v>96714</v>
      </c>
      <c r="P1234" s="5">
        <v>40</v>
      </c>
      <c r="Q1234" s="14">
        <v>46275</v>
      </c>
      <c r="R1234" s="15">
        <v>438</v>
      </c>
    </row>
    <row r="1235" spans="2:18" x14ac:dyDescent="0.35">
      <c r="B1235" s="9">
        <v>580</v>
      </c>
      <c r="C1235" s="9" t="str">
        <v>출고재고</v>
      </c>
      <c r="D1235" s="9" t="str">
        <v/>
      </c>
      <c r="E1235" s="9" t="str">
        <v>기초</v>
      </c>
      <c r="F1235" s="9" t="str">
        <v/>
      </c>
      <c r="G1235" s="9" t="str">
        <v/>
      </c>
      <c r="H1235" s="9" t="str">
        <v>RA-05T-0207</v>
      </c>
      <c r="I1235" s="11" t="str">
        <v>RA-05T-0207]CAS ROT BOT DECO</v>
      </c>
      <c r="J1235" s="9">
        <v>508</v>
      </c>
      <c r="K1235" s="9" t="str">
        <v/>
      </c>
      <c r="L1235" s="9" t="str">
        <v>R</v>
      </c>
      <c r="M1235" s="12">
        <v>46273</v>
      </c>
      <c r="N1235" s="5" t="str">
        <v/>
      </c>
      <c r="O1235" s="5">
        <v>96714</v>
      </c>
      <c r="P1235" s="5">
        <v>40</v>
      </c>
      <c r="Q1235" s="14">
        <v>46275</v>
      </c>
      <c r="R1235" s="15">
        <v>468</v>
      </c>
    </row>
    <row r="1236" spans="2:18" x14ac:dyDescent="0.35">
      <c r="B1236" s="9">
        <v>583</v>
      </c>
      <c r="C1236" s="9" t="str">
        <v>출고재고</v>
      </c>
      <c r="D1236" s="9" t="str">
        <v/>
      </c>
      <c r="E1236" s="9" t="str">
        <v>기초</v>
      </c>
      <c r="F1236" s="9" t="str">
        <v/>
      </c>
      <c r="G1236" s="9" t="str">
        <v/>
      </c>
      <c r="H1236" s="9" t="str">
        <v>RA-06V-0249</v>
      </c>
      <c r="I1236" s="11" t="str">
        <v>RA-06V-0249]HLDR CAS TUBE TNK REAR</v>
      </c>
      <c r="J1236" s="9">
        <v>650</v>
      </c>
      <c r="K1236" s="9" t="str">
        <v/>
      </c>
      <c r="L1236" s="9" t="str">
        <v>W</v>
      </c>
      <c r="M1236" s="12">
        <v>46273</v>
      </c>
      <c r="N1236" s="5" t="str">
        <v/>
      </c>
      <c r="O1236" s="5">
        <v>96714</v>
      </c>
      <c r="P1236" s="5">
        <v>80</v>
      </c>
      <c r="Q1236" s="14">
        <v>46275</v>
      </c>
      <c r="R1236" s="15">
        <v>570</v>
      </c>
    </row>
    <row r="1237" spans="2:18" x14ac:dyDescent="0.35">
      <c r="B1237" s="9">
        <v>563</v>
      </c>
      <c r="C1237" s="9" t="str">
        <v>출고재고</v>
      </c>
      <c r="D1237" s="9" t="str">
        <v/>
      </c>
      <c r="E1237" s="9" t="str">
        <v>기초</v>
      </c>
      <c r="F1237" s="9" t="str">
        <v/>
      </c>
      <c r="G1237" s="9" t="str">
        <v/>
      </c>
      <c r="H1237" s="9" t="str">
        <v>RA-09A-2730</v>
      </c>
      <c r="I1237" s="11" t="str">
        <v>RA-09A-2730]ASM COMPONENT SUB-2</v>
      </c>
      <c r="J1237" s="9">
        <v>43</v>
      </c>
      <c r="K1237" s="9" t="str">
        <v/>
      </c>
      <c r="L1237" s="9" t="str">
        <v>T</v>
      </c>
      <c r="M1237" s="12">
        <v>46273</v>
      </c>
      <c r="N1237" s="5" t="str">
        <v/>
      </c>
      <c r="O1237" s="5">
        <v>96728</v>
      </c>
      <c r="P1237" s="5">
        <v>40</v>
      </c>
      <c r="Q1237" s="14">
        <v>46275</v>
      </c>
      <c r="R1237" s="15">
        <v>3</v>
      </c>
    </row>
    <row r="1238" spans="2:18" x14ac:dyDescent="0.35">
      <c r="B1238" s="9">
        <v>558</v>
      </c>
      <c r="C1238" s="9" t="str">
        <v>출고재고</v>
      </c>
      <c r="D1238" s="9" t="str">
        <v/>
      </c>
      <c r="E1238" s="9" t="str">
        <v>기초</v>
      </c>
      <c r="F1238" s="9" t="str">
        <v/>
      </c>
      <c r="G1238" s="9" t="str">
        <v/>
      </c>
      <c r="H1238" s="9" t="str">
        <v>RA-03V-0055</v>
      </c>
      <c r="I1238" s="11" t="str">
        <v>RA-03V-0055]HLDR CAS CLMN BODY LWR 2</v>
      </c>
      <c r="J1238" s="9">
        <v>48</v>
      </c>
      <c r="K1238" s="9" t="str">
        <v/>
      </c>
      <c r="L1238" s="9" t="str">
        <v>L1-2</v>
      </c>
      <c r="M1238" s="12">
        <v>46273</v>
      </c>
      <c r="N1238" s="5" t="str">
        <v/>
      </c>
      <c r="O1238" s="5">
        <v>96728</v>
      </c>
      <c r="P1238" s="5">
        <v>40</v>
      </c>
      <c r="Q1238" s="14">
        <v>46275</v>
      </c>
      <c r="R1238" s="15">
        <v>8</v>
      </c>
    </row>
    <row r="1239" spans="2:18" x14ac:dyDescent="0.35">
      <c r="B1239" s="9">
        <v>557</v>
      </c>
      <c r="C1239" s="9" t="str">
        <v>출고재고</v>
      </c>
      <c r="D1239" s="9" t="str">
        <v/>
      </c>
      <c r="E1239" s="9" t="str">
        <v>기초</v>
      </c>
      <c r="F1239" s="9" t="str">
        <v/>
      </c>
      <c r="G1239" s="9" t="str">
        <v/>
      </c>
      <c r="H1239" s="9" t="str">
        <v>RA-09A-0345</v>
      </c>
      <c r="I1239" s="11" t="str">
        <v>RA-09A-0345]ASM REMOTE CONTROL</v>
      </c>
      <c r="J1239" s="9">
        <v>73</v>
      </c>
      <c r="K1239" s="9" t="str">
        <v/>
      </c>
      <c r="L1239" s="9" t="str">
        <v>L1-1</v>
      </c>
      <c r="M1239" s="12">
        <v>46273</v>
      </c>
      <c r="N1239" s="5" t="str">
        <v/>
      </c>
      <c r="O1239" s="5">
        <v>96728</v>
      </c>
      <c r="P1239" s="5">
        <v>40</v>
      </c>
      <c r="Q1239" s="14">
        <v>46275</v>
      </c>
      <c r="R1239" s="15">
        <v>33</v>
      </c>
    </row>
    <row r="1240" spans="2:18" x14ac:dyDescent="0.35">
      <c r="B1240" s="9">
        <v>564</v>
      </c>
      <c r="C1240" s="9" t="str">
        <v>출고재고</v>
      </c>
      <c r="D1240" s="9" t="str">
        <v/>
      </c>
      <c r="E1240" s="9" t="str">
        <v>기초</v>
      </c>
      <c r="F1240" s="9" t="str">
        <v/>
      </c>
      <c r="G1240" s="9" t="str">
        <v/>
      </c>
      <c r="H1240" s="9" t="str">
        <v>RA-02T-2182</v>
      </c>
      <c r="I1240" s="11" t="str">
        <v>RA-02T-2182]CAS VERT UPPER (A+)</v>
      </c>
      <c r="J1240" s="9">
        <v>88</v>
      </c>
      <c r="K1240" s="9" t="str">
        <v/>
      </c>
      <c r="L1240" s="9" t="str">
        <v>V</v>
      </c>
      <c r="M1240" s="12">
        <v>46273</v>
      </c>
      <c r="N1240" s="5" t="str">
        <v/>
      </c>
      <c r="O1240" s="5">
        <v>96728</v>
      </c>
      <c r="P1240" s="5">
        <v>40</v>
      </c>
      <c r="Q1240" s="14">
        <v>46275</v>
      </c>
      <c r="R1240" s="15">
        <v>48</v>
      </c>
    </row>
    <row r="1241" spans="2:18" x14ac:dyDescent="0.35">
      <c r="B1241" s="9">
        <v>566</v>
      </c>
      <c r="C1241" s="9" t="str">
        <v>출고재고</v>
      </c>
      <c r="D1241" s="9" t="str">
        <v/>
      </c>
      <c r="E1241" s="9" t="str">
        <v>기초</v>
      </c>
      <c r="F1241" s="9" t="str">
        <v/>
      </c>
      <c r="G1241" s="9" t="str">
        <v/>
      </c>
      <c r="H1241" s="9" t="str">
        <v>RA-01T-1790</v>
      </c>
      <c r="I1241" s="11" t="str">
        <v>RA-01T-1790]CAS MAIN Bas FRONT</v>
      </c>
      <c r="J1241" s="9">
        <v>90</v>
      </c>
      <c r="K1241" s="9" t="str">
        <v/>
      </c>
      <c r="L1241" s="9" t="str">
        <v>V</v>
      </c>
      <c r="M1241" s="12">
        <v>46273</v>
      </c>
      <c r="N1241" s="5" t="str">
        <v/>
      </c>
      <c r="O1241" s="5">
        <v>96728</v>
      </c>
      <c r="P1241" s="5">
        <v>40</v>
      </c>
      <c r="Q1241" s="14">
        <v>46275</v>
      </c>
      <c r="R1241" s="15">
        <v>50</v>
      </c>
    </row>
    <row r="1242" spans="2:18" x14ac:dyDescent="0.35">
      <c r="B1242" s="9">
        <v>559</v>
      </c>
      <c r="C1242" s="9" t="str">
        <v>출고재고</v>
      </c>
      <c r="D1242" s="9" t="str">
        <v/>
      </c>
      <c r="E1242" s="9" t="str">
        <v>기초</v>
      </c>
      <c r="F1242" s="9" t="str">
        <v/>
      </c>
      <c r="G1242" s="9" t="str">
        <v/>
      </c>
      <c r="H1242" s="9" t="str">
        <v>RA-03V-0054</v>
      </c>
      <c r="I1242" s="11" t="str">
        <v>RA-03V-0054]HLDR CAS CLMN BODY LWR 1</v>
      </c>
      <c r="J1242" s="9">
        <v>95</v>
      </c>
      <c r="K1242" s="9" t="str">
        <v/>
      </c>
      <c r="L1242" s="9" t="str">
        <v>L1-2</v>
      </c>
      <c r="M1242" s="12">
        <v>46273</v>
      </c>
      <c r="N1242" s="5" t="str">
        <v/>
      </c>
      <c r="O1242" s="5">
        <v>96728</v>
      </c>
      <c r="P1242" s="5">
        <v>40</v>
      </c>
      <c r="Q1242" s="14">
        <v>46275</v>
      </c>
      <c r="R1242" s="15">
        <v>55</v>
      </c>
    </row>
    <row r="1243" spans="2:18" x14ac:dyDescent="0.35">
      <c r="B1243" s="9">
        <v>560</v>
      </c>
      <c r="C1243" s="9" t="str">
        <v>출고재고</v>
      </c>
      <c r="D1243" s="9" t="str">
        <v/>
      </c>
      <c r="E1243" s="9" t="str">
        <v>기초</v>
      </c>
      <c r="F1243" s="9" t="str">
        <v/>
      </c>
      <c r="G1243" s="9" t="str">
        <v/>
      </c>
      <c r="H1243" s="9" t="str">
        <v>RA-04A-2296</v>
      </c>
      <c r="I1243" s="11" t="str">
        <v>RA-04A-2296]ASM HANDLE (A+)</v>
      </c>
      <c r="J1243" s="9">
        <v>115</v>
      </c>
      <c r="K1243" s="9" t="str">
        <v/>
      </c>
      <c r="L1243" s="9" t="str">
        <v>M1</v>
      </c>
      <c r="M1243" s="12">
        <v>46273</v>
      </c>
      <c r="N1243" s="5" t="str">
        <v/>
      </c>
      <c r="O1243" s="5">
        <v>96728</v>
      </c>
      <c r="P1243" s="5">
        <v>40</v>
      </c>
      <c r="Q1243" s="14">
        <v>46275</v>
      </c>
      <c r="R1243" s="15">
        <v>75</v>
      </c>
    </row>
    <row r="1244" spans="2:18" x14ac:dyDescent="0.35">
      <c r="B1244" s="9">
        <v>569</v>
      </c>
      <c r="C1244" s="9" t="str">
        <v>출고재고</v>
      </c>
      <c r="D1244" s="9" t="str">
        <v/>
      </c>
      <c r="E1244" s="9" t="str">
        <v>기초</v>
      </c>
      <c r="F1244" s="9" t="str">
        <v/>
      </c>
      <c r="G1244" s="9" t="str">
        <v/>
      </c>
      <c r="H1244" s="9" t="str">
        <v>RA-03A-0314</v>
      </c>
      <c r="I1244" s="11" t="str">
        <v>RA-03A-0314]ASM CAS CLMN LWR (R)</v>
      </c>
      <c r="J1244" s="9">
        <v>157</v>
      </c>
      <c r="K1244" s="9" t="str">
        <v/>
      </c>
      <c r="L1244" s="9" t="str">
        <v>V</v>
      </c>
      <c r="M1244" s="12">
        <v>46273</v>
      </c>
      <c r="N1244" s="5" t="str">
        <v/>
      </c>
      <c r="O1244" s="5">
        <v>96728</v>
      </c>
      <c r="P1244" s="5">
        <v>40</v>
      </c>
      <c r="Q1244" s="14">
        <v>46275</v>
      </c>
      <c r="R1244" s="15">
        <v>117</v>
      </c>
    </row>
    <row r="1245" spans="2:18" x14ac:dyDescent="0.35">
      <c r="B1245" s="9">
        <v>749</v>
      </c>
      <c r="C1245" s="9" t="str">
        <v>출고재고</v>
      </c>
      <c r="D1245" s="9" t="str">
        <v/>
      </c>
      <c r="E1245" s="9" t="str">
        <v/>
      </c>
      <c r="F1245" s="9" t="str">
        <v/>
      </c>
      <c r="G1245" s="9" t="str">
        <v/>
      </c>
      <c r="H1245" s="9" t="str">
        <v>RA-09A-0967</v>
      </c>
      <c r="I1245" s="11" t="str">
        <v>RA-09A-0967]ASM EXPOSURE SW</v>
      </c>
      <c r="J1245" s="9">
        <v>160</v>
      </c>
      <c r="K1245" s="9" t="str">
        <v/>
      </c>
      <c r="L1245" s="9" t="str">
        <v>J1-3</v>
      </c>
      <c r="M1245" s="12">
        <v>46275</v>
      </c>
      <c r="N1245" s="5" t="str">
        <v/>
      </c>
      <c r="O1245" s="5">
        <v>96728</v>
      </c>
      <c r="P1245" s="5">
        <v>40</v>
      </c>
      <c r="Q1245" s="14">
        <v>46275</v>
      </c>
      <c r="R1245" s="15">
        <v>120</v>
      </c>
    </row>
    <row r="1246" spans="2:18" x14ac:dyDescent="0.35">
      <c r="B1246" s="9">
        <v>556</v>
      </c>
      <c r="C1246" s="9" t="str">
        <v>출고재고</v>
      </c>
      <c r="D1246" s="9" t="str">
        <v/>
      </c>
      <c r="E1246" s="9" t="str">
        <v>기초</v>
      </c>
      <c r="F1246" s="9" t="str">
        <v/>
      </c>
      <c r="G1246" s="9" t="str">
        <v/>
      </c>
      <c r="H1246" s="9" t="str">
        <v>RA-09M-1133</v>
      </c>
      <c r="I1246" s="11" t="str">
        <v>RA-09M-1133]PIN GUIDE BITE</v>
      </c>
      <c r="J1246" s="9">
        <v>200</v>
      </c>
      <c r="K1246" s="9" t="str">
        <v/>
      </c>
      <c r="L1246" s="9" t="str">
        <v>L1-1</v>
      </c>
      <c r="M1246" s="12">
        <v>46273</v>
      </c>
      <c r="N1246" s="5" t="str">
        <v/>
      </c>
      <c r="O1246" s="5">
        <v>96728</v>
      </c>
      <c r="P1246" s="5">
        <v>80</v>
      </c>
      <c r="Q1246" s="14">
        <v>46275</v>
      </c>
      <c r="R1246" s="15">
        <v>120</v>
      </c>
    </row>
    <row r="1247" spans="2:18" x14ac:dyDescent="0.35">
      <c r="B1247" s="9">
        <v>568</v>
      </c>
      <c r="C1247" s="9" t="str">
        <v>출고재고</v>
      </c>
      <c r="D1247" s="9" t="str">
        <v/>
      </c>
      <c r="E1247" s="9" t="str">
        <v>기초</v>
      </c>
      <c r="F1247" s="9" t="str">
        <v/>
      </c>
      <c r="G1247" s="9" t="str">
        <v/>
      </c>
      <c r="H1247" s="9" t="str">
        <v>RA-03A-0315</v>
      </c>
      <c r="I1247" s="11" t="str">
        <v>RA-03A-0315]ASM CAS CLMN LWR (L)</v>
      </c>
      <c r="J1247" s="9">
        <v>269</v>
      </c>
      <c r="K1247" s="9" t="str">
        <v/>
      </c>
      <c r="L1247" s="9" t="str">
        <v>V</v>
      </c>
      <c r="M1247" s="12">
        <v>46273</v>
      </c>
      <c r="N1247" s="5" t="str">
        <v/>
      </c>
      <c r="O1247" s="5">
        <v>96728</v>
      </c>
      <c r="P1247" s="5">
        <v>40</v>
      </c>
      <c r="Q1247" s="14">
        <v>46275</v>
      </c>
      <c r="R1247" s="15">
        <v>229</v>
      </c>
    </row>
    <row r="1248" spans="2:18" x14ac:dyDescent="0.35">
      <c r="B1248" s="9">
        <v>552</v>
      </c>
      <c r="C1248" s="9" t="str">
        <v>출고재고</v>
      </c>
      <c r="D1248" s="9" t="str">
        <v/>
      </c>
      <c r="E1248" s="9" t="str">
        <v>기초</v>
      </c>
      <c r="F1248" s="9" t="str">
        <v/>
      </c>
      <c r="G1248" s="9" t="str">
        <v/>
      </c>
      <c r="H1248" s="9" t="str">
        <v>RA-5-7</v>
      </c>
      <c r="I1248" s="11" t="str">
        <v>RA-5-7]EARTH SHAFT TO WALL</v>
      </c>
      <c r="J1248" s="9">
        <v>270</v>
      </c>
      <c r="K1248" s="9" t="str">
        <v/>
      </c>
      <c r="L1248" s="9" t="str">
        <v>G4</v>
      </c>
      <c r="M1248" s="12">
        <v>46273</v>
      </c>
      <c r="N1248" s="5" t="str">
        <v/>
      </c>
      <c r="O1248" s="5">
        <v>96728</v>
      </c>
      <c r="P1248" s="5">
        <v>40</v>
      </c>
      <c r="Q1248" s="14">
        <v>46275</v>
      </c>
      <c r="R1248" s="15">
        <v>230</v>
      </c>
    </row>
    <row r="1249" spans="2:18" x14ac:dyDescent="0.35">
      <c r="B1249" s="9">
        <v>553</v>
      </c>
      <c r="C1249" s="9" t="str">
        <v>출고재고</v>
      </c>
      <c r="D1249" s="9" t="str">
        <v/>
      </c>
      <c r="E1249" s="9" t="str">
        <v>기초</v>
      </c>
      <c r="F1249" s="9" t="str">
        <v/>
      </c>
      <c r="G1249" s="9" t="str">
        <v/>
      </c>
      <c r="H1249" s="9" t="str">
        <v>RA-5-6</v>
      </c>
      <c r="I1249" s="11" t="str">
        <v>RA-5-6]EARTH SHAFT TO PC</v>
      </c>
      <c r="J1249" s="9">
        <v>279</v>
      </c>
      <c r="K1249" s="9" t="str">
        <v/>
      </c>
      <c r="L1249" s="9" t="str">
        <v>G4</v>
      </c>
      <c r="M1249" s="12">
        <v>46273</v>
      </c>
      <c r="N1249" s="5" t="str">
        <v/>
      </c>
      <c r="O1249" s="5">
        <v>96728</v>
      </c>
      <c r="P1249" s="5">
        <v>40</v>
      </c>
      <c r="Q1249" s="14">
        <v>46275</v>
      </c>
      <c r="R1249" s="15">
        <v>239</v>
      </c>
    </row>
    <row r="1250" spans="2:18" x14ac:dyDescent="0.35">
      <c r="B1250" s="9">
        <v>2089</v>
      </c>
      <c r="C1250" s="9" t="str">
        <v>출고재고</v>
      </c>
      <c r="D1250" s="9" t="str">
        <v/>
      </c>
      <c r="E1250" s="9" t="str">
        <v/>
      </c>
      <c r="F1250" s="9" t="str">
        <v/>
      </c>
      <c r="G1250" s="9" t="str">
        <v/>
      </c>
      <c r="H1250" s="9" t="str">
        <v>RA-04T-1707</v>
      </c>
      <c r="I1250" s="11" t="str">
        <v>RA-04T-1707]CAS MONITOR DECO</v>
      </c>
      <c r="J1250" s="9">
        <v>298</v>
      </c>
      <c r="K1250" s="9" t="str">
        <v/>
      </c>
      <c r="L1250" s="9" t="str">
        <v>R</v>
      </c>
      <c r="M1250" s="12">
        <v>46283</v>
      </c>
      <c r="N1250" s="5" t="str">
        <v/>
      </c>
      <c r="O1250" s="5">
        <v>96728</v>
      </c>
      <c r="P1250" s="5">
        <v>40</v>
      </c>
      <c r="Q1250" s="14">
        <v>46283</v>
      </c>
      <c r="R1250" s="15">
        <v>258</v>
      </c>
    </row>
    <row r="1251" spans="2:18" x14ac:dyDescent="0.35">
      <c r="B1251" s="9">
        <v>565</v>
      </c>
      <c r="C1251" s="9" t="str">
        <v>출고재고</v>
      </c>
      <c r="D1251" s="9" t="str">
        <v/>
      </c>
      <c r="E1251" s="9" t="str">
        <v>기초</v>
      </c>
      <c r="F1251" s="9" t="str">
        <v/>
      </c>
      <c r="G1251" s="9" t="str">
        <v/>
      </c>
      <c r="H1251" s="9" t="str">
        <v>RA-01T-1791</v>
      </c>
      <c r="I1251" s="11" t="str">
        <v>RA-01T-1791]CAS MAIN Bas REAR</v>
      </c>
      <c r="J1251" s="9">
        <v>468</v>
      </c>
      <c r="K1251" s="9" t="str">
        <v/>
      </c>
      <c r="L1251" s="9" t="str">
        <v>V</v>
      </c>
      <c r="M1251" s="12">
        <v>46273</v>
      </c>
      <c r="N1251" s="5" t="str">
        <v/>
      </c>
      <c r="O1251" s="5">
        <v>96728</v>
      </c>
      <c r="P1251" s="5">
        <v>40</v>
      </c>
      <c r="Q1251" s="14">
        <v>46275</v>
      </c>
      <c r="R1251" s="15">
        <v>428</v>
      </c>
    </row>
    <row r="1252" spans="2:18" x14ac:dyDescent="0.35">
      <c r="B1252" s="9">
        <v>562</v>
      </c>
      <c r="C1252" s="9" t="str">
        <v>출고재고</v>
      </c>
      <c r="D1252" s="9" t="str">
        <v/>
      </c>
      <c r="E1252" s="9" t="str">
        <v>기초</v>
      </c>
      <c r="F1252" s="9" t="str">
        <v/>
      </c>
      <c r="G1252" s="9" t="str">
        <v/>
      </c>
      <c r="H1252" s="9" t="str">
        <v>RA-09T-1184</v>
      </c>
      <c r="I1252" s="11" t="str">
        <v>RA-09T-1184]CAS CHINREST</v>
      </c>
      <c r="J1252" s="9">
        <v>499</v>
      </c>
      <c r="K1252" s="9" t="str">
        <v/>
      </c>
      <c r="L1252" s="9" t="str">
        <v>S</v>
      </c>
      <c r="M1252" s="12">
        <v>46273</v>
      </c>
      <c r="N1252" s="5" t="str">
        <v/>
      </c>
      <c r="O1252" s="5">
        <v>96728</v>
      </c>
      <c r="P1252" s="5">
        <v>40</v>
      </c>
      <c r="Q1252" s="14">
        <v>46275</v>
      </c>
      <c r="R1252" s="15">
        <v>459</v>
      </c>
    </row>
    <row r="1253" spans="2:18" x14ac:dyDescent="0.35">
      <c r="B1253" s="9">
        <v>567</v>
      </c>
      <c r="C1253" s="9" t="str">
        <v>출고재고</v>
      </c>
      <c r="D1253" s="9" t="str">
        <v/>
      </c>
      <c r="E1253" s="9" t="str">
        <v>기초</v>
      </c>
      <c r="F1253" s="9" t="str">
        <v/>
      </c>
      <c r="G1253" s="9" t="str">
        <v/>
      </c>
      <c r="H1253" s="9" t="str">
        <v>RA-03T-0072</v>
      </c>
      <c r="I1253" s="11" t="str">
        <v>RA-03T-0072]CAS CLMN BODY REAR</v>
      </c>
      <c r="J1253" s="9">
        <v>616</v>
      </c>
      <c r="K1253" s="9" t="str">
        <v/>
      </c>
      <c r="L1253" s="9" t="str">
        <v>V</v>
      </c>
      <c r="M1253" s="12">
        <v>46273</v>
      </c>
      <c r="N1253" s="5" t="str">
        <v/>
      </c>
      <c r="O1253" s="5">
        <v>96728</v>
      </c>
      <c r="P1253" s="5">
        <v>40</v>
      </c>
      <c r="Q1253" s="14">
        <v>46275</v>
      </c>
      <c r="R1253" s="15">
        <v>576</v>
      </c>
    </row>
    <row r="1254" spans="2:18" x14ac:dyDescent="0.35">
      <c r="B1254" s="9">
        <v>748</v>
      </c>
      <c r="C1254" s="9" t="str">
        <v>출고재고</v>
      </c>
      <c r="D1254" s="9" t="str">
        <v/>
      </c>
      <c r="E1254" s="9" t="str">
        <v/>
      </c>
      <c r="F1254" s="9" t="str">
        <v/>
      </c>
      <c r="G1254" s="9" t="str">
        <v/>
      </c>
      <c r="H1254" s="9" t="str">
        <v>RA-09T-0733</v>
      </c>
      <c r="I1254" s="11" t="str">
        <v>RA-09T-0733]CAS S.W HLDR</v>
      </c>
      <c r="J1254" s="9">
        <v>737</v>
      </c>
      <c r="K1254" s="9" t="str">
        <v/>
      </c>
      <c r="L1254" s="9" t="str">
        <v>R</v>
      </c>
      <c r="M1254" s="12">
        <v>46275</v>
      </c>
      <c r="N1254" s="5" t="str">
        <v/>
      </c>
      <c r="O1254" s="5">
        <v>96728</v>
      </c>
      <c r="P1254" s="5">
        <v>40</v>
      </c>
      <c r="Q1254" s="14">
        <v>46275</v>
      </c>
      <c r="R1254" s="15">
        <v>697</v>
      </c>
    </row>
    <row r="1255" spans="2:18" x14ac:dyDescent="0.35">
      <c r="B1255" s="9">
        <v>736</v>
      </c>
      <c r="C1255" s="9" t="str">
        <v>출고재고</v>
      </c>
      <c r="D1255" s="9" t="str">
        <v/>
      </c>
      <c r="E1255" s="9" t="str">
        <v/>
      </c>
      <c r="F1255" s="9" t="str">
        <v/>
      </c>
      <c r="G1255" s="9" t="str">
        <v/>
      </c>
      <c r="H1255" s="9" t="str">
        <v>RA-9-12</v>
      </c>
      <c r="I1255" s="11" t="str">
        <v>RA-9-12]SCEPH LAN</v>
      </c>
      <c r="J1255" s="9">
        <v>48</v>
      </c>
      <c r="K1255" s="9" t="str">
        <v/>
      </c>
      <c r="L1255" s="9" t="str">
        <v>G3-4</v>
      </c>
      <c r="M1255" s="12">
        <v>46265</v>
      </c>
      <c r="N1255" s="5" t="str">
        <v/>
      </c>
      <c r="O1255" s="5">
        <v>96729</v>
      </c>
      <c r="P1255" s="5">
        <v>20</v>
      </c>
      <c r="Q1255" s="14">
        <v>46274</v>
      </c>
      <c r="R1255" s="15">
        <v>28</v>
      </c>
    </row>
    <row r="1256" spans="2:18" x14ac:dyDescent="0.35">
      <c r="B1256" s="9">
        <v>513</v>
      </c>
      <c r="C1256" s="9" t="str">
        <v>출고재고</v>
      </c>
      <c r="D1256" s="9" t="str">
        <v/>
      </c>
      <c r="E1256" s="9" t="str">
        <v/>
      </c>
      <c r="F1256" s="9" t="str">
        <v/>
      </c>
      <c r="G1256" s="9" t="str">
        <v/>
      </c>
      <c r="H1256" s="9" t="str">
        <v>RF-01M-0396</v>
      </c>
      <c r="I1256" s="11" t="str">
        <v>RF-01M-0396]FRAME PIPE ALIGN</v>
      </c>
      <c r="J1256" s="9">
        <v>9</v>
      </c>
      <c r="K1256" s="9" t="str">
        <v/>
      </c>
      <c r="L1256" s="9" t="str">
        <v>3C10</v>
      </c>
      <c r="M1256" s="12">
        <v>46268</v>
      </c>
      <c r="N1256" s="5" t="str">
        <v/>
      </c>
      <c r="O1256" s="5">
        <v>96730</v>
      </c>
      <c r="P1256" s="5">
        <v>3</v>
      </c>
      <c r="Q1256" s="14">
        <v>46272</v>
      </c>
      <c r="R1256" s="15">
        <v>6</v>
      </c>
    </row>
    <row r="1257" spans="2:18" x14ac:dyDescent="0.35">
      <c r="B1257" s="9">
        <v>495</v>
      </c>
      <c r="C1257" s="9" t="str">
        <v>출고재고</v>
      </c>
      <c r="D1257" s="9" t="str">
        <v/>
      </c>
      <c r="E1257" s="9" t="str">
        <v/>
      </c>
      <c r="F1257" s="9" t="str">
        <v/>
      </c>
      <c r="G1257" s="9" t="str">
        <v/>
      </c>
      <c r="H1257" s="9" t="str">
        <v>RF-01T-0199</v>
      </c>
      <c r="I1257" s="11" t="str">
        <v>RF-01T-0199]CVR REAR TOP</v>
      </c>
      <c r="J1257" s="9">
        <v>11</v>
      </c>
      <c r="K1257" s="9" t="str">
        <v/>
      </c>
      <c r="L1257" s="9" t="str">
        <v>3F5</v>
      </c>
      <c r="M1257" s="12">
        <v>46268</v>
      </c>
      <c r="N1257" s="5" t="str">
        <v/>
      </c>
      <c r="O1257" s="5">
        <v>96730</v>
      </c>
      <c r="P1257" s="5">
        <v>1</v>
      </c>
      <c r="Q1257" s="14">
        <v>46272</v>
      </c>
      <c r="R1257" s="15">
        <v>10</v>
      </c>
    </row>
    <row r="1258" spans="2:18" x14ac:dyDescent="0.35">
      <c r="B1258" s="9">
        <v>455</v>
      </c>
      <c r="C1258" s="9" t="str">
        <v>출고재고</v>
      </c>
      <c r="D1258" s="9" t="str">
        <v/>
      </c>
      <c r="E1258" s="9" t="str">
        <v/>
      </c>
      <c r="F1258" s="9" t="str">
        <v/>
      </c>
      <c r="G1258" s="9" t="str">
        <v/>
      </c>
      <c r="H1258" s="9" t="str">
        <v>RF-01T-0190</v>
      </c>
      <c r="I1258" s="11" t="str">
        <v>RF-01T-0190]CVR FRONT</v>
      </c>
      <c r="J1258" s="9">
        <v>25</v>
      </c>
      <c r="K1258" s="9" t="str">
        <v/>
      </c>
      <c r="L1258" s="9" t="str">
        <v>3F4</v>
      </c>
      <c r="M1258" s="12">
        <v>46259</v>
      </c>
      <c r="N1258" s="5" t="str">
        <v/>
      </c>
      <c r="O1258" s="5">
        <v>96730</v>
      </c>
      <c r="P1258" s="5">
        <v>24</v>
      </c>
      <c r="Q1258" s="14">
        <v>46272</v>
      </c>
      <c r="R1258" s="15">
        <v>1</v>
      </c>
    </row>
    <row r="1259" spans="2:18" x14ac:dyDescent="0.35">
      <c r="B1259" s="9">
        <v>429</v>
      </c>
      <c r="C1259" s="9" t="str">
        <v>출고재고</v>
      </c>
      <c r="D1259" s="9" t="str">
        <v/>
      </c>
      <c r="E1259" s="9" t="str">
        <v/>
      </c>
      <c r="F1259" s="9" t="str">
        <v/>
      </c>
      <c r="G1259" s="9" t="str">
        <v/>
      </c>
      <c r="H1259" s="9" t="str">
        <v>RF-01T-0354</v>
      </c>
      <c r="I1259" s="11" t="str">
        <v>RF-01T-0354]CAMERA CASE L</v>
      </c>
      <c r="J1259" s="9">
        <v>150</v>
      </c>
      <c r="K1259" s="9" t="str">
        <v/>
      </c>
      <c r="L1259" s="9" t="str">
        <v>3E9</v>
      </c>
      <c r="M1259" s="12">
        <v>46259</v>
      </c>
      <c r="N1259" s="5" t="str">
        <v/>
      </c>
      <c r="O1259" s="5">
        <v>96730</v>
      </c>
      <c r="P1259" s="5">
        <v>1</v>
      </c>
      <c r="Q1259" s="14">
        <v>46272</v>
      </c>
      <c r="R1259" s="15">
        <v>149</v>
      </c>
    </row>
    <row r="1260" spans="2:18" x14ac:dyDescent="0.35">
      <c r="B1260" s="9">
        <v>742</v>
      </c>
      <c r="C1260" s="9" t="str">
        <v>출고재고</v>
      </c>
      <c r="D1260" s="9" t="str">
        <v/>
      </c>
      <c r="E1260" s="9" t="str">
        <v/>
      </c>
      <c r="F1260" s="9" t="str">
        <v/>
      </c>
      <c r="G1260" s="9" t="str">
        <v/>
      </c>
      <c r="H1260" s="9" t="str">
        <v>RA-04T-0143</v>
      </c>
      <c r="I1260" s="11" t="str">
        <v>RA-04T-0143]CAS CHINREST UPPER</v>
      </c>
      <c r="J1260" s="9">
        <v>809</v>
      </c>
      <c r="K1260" s="9" t="str">
        <v/>
      </c>
      <c r="L1260" s="9" t="str">
        <v>S</v>
      </c>
      <c r="M1260" s="12">
        <v>46274</v>
      </c>
      <c r="N1260" s="5" t="str">
        <v/>
      </c>
      <c r="O1260" s="5">
        <v>96995</v>
      </c>
      <c r="P1260" s="5">
        <v>1</v>
      </c>
      <c r="Q1260" s="14">
        <v>46274</v>
      </c>
      <c r="R1260" s="15">
        <v>808</v>
      </c>
    </row>
    <row r="1261" spans="2:18" x14ac:dyDescent="0.35">
      <c r="B1261" s="9">
        <v>1322</v>
      </c>
      <c r="C1261" s="9" t="str">
        <v>출고재고</v>
      </c>
      <c r="D1261" s="9" t="str">
        <v/>
      </c>
      <c r="E1261" s="9" t="str">
        <v/>
      </c>
      <c r="F1261" s="9" t="str">
        <v/>
      </c>
      <c r="G1261" s="9" t="str">
        <v/>
      </c>
      <c r="H1261" s="9" t="str">
        <v>RF-01S-5095</v>
      </c>
      <c r="I1261" s="11" t="str">
        <v/>
      </c>
      <c r="J1261" s="9">
        <v>1</v>
      </c>
      <c r="K1261" s="9" t="str">
        <v/>
      </c>
      <c r="L1261" s="9" t="str">
        <v>3F10</v>
      </c>
      <c r="M1261" s="12">
        <v>46287</v>
      </c>
      <c r="N1261" s="5" t="str">
        <v/>
      </c>
      <c r="O1261" s="5">
        <v>97000</v>
      </c>
      <c r="P1261" s="5">
        <v>1</v>
      </c>
      <c r="Q1261" s="14">
        <v>46287</v>
      </c>
      <c r="R1261" s="15">
        <v>0</v>
      </c>
    </row>
    <row r="1262" spans="2:18" x14ac:dyDescent="0.35">
      <c r="B1262" s="9">
        <v>656</v>
      </c>
      <c r="C1262" s="9" t="str">
        <v>출고재고</v>
      </c>
      <c r="D1262" s="9" t="str">
        <v/>
      </c>
      <c r="E1262" s="9" t="str">
        <v/>
      </c>
      <c r="F1262" s="9" t="str">
        <v/>
      </c>
      <c r="G1262" s="9" t="str">
        <v/>
      </c>
      <c r="H1262" s="9" t="str">
        <v>RF-01T-0190</v>
      </c>
      <c r="I1262" s="11" t="str">
        <v>RF-01T-0190]CVR FRONT</v>
      </c>
      <c r="J1262" s="9">
        <v>1</v>
      </c>
      <c r="K1262" s="9" t="str">
        <v/>
      </c>
      <c r="L1262" s="9" t="str">
        <v>3F4</v>
      </c>
      <c r="M1262" s="12">
        <v>46272</v>
      </c>
      <c r="N1262" s="5" t="str">
        <v/>
      </c>
      <c r="O1262" s="5">
        <v>97000</v>
      </c>
      <c r="P1262" s="5">
        <v>1</v>
      </c>
      <c r="Q1262" s="14">
        <v>46287</v>
      </c>
      <c r="R1262" s="15">
        <v>0</v>
      </c>
    </row>
    <row r="1263" spans="2:18" x14ac:dyDescent="0.35">
      <c r="B1263" s="9">
        <v>667</v>
      </c>
      <c r="C1263" s="9" t="str">
        <v>출고재고</v>
      </c>
      <c r="D1263" s="9" t="str">
        <v/>
      </c>
      <c r="E1263" s="9" t="str">
        <v/>
      </c>
      <c r="F1263" s="9" t="str">
        <v/>
      </c>
      <c r="G1263" s="9" t="str">
        <v/>
      </c>
      <c r="H1263" s="9" t="str">
        <v>RF-01M-0396</v>
      </c>
      <c r="I1263" s="11" t="str">
        <v>RF-01M-0396]FRAME PIPE ALIGN</v>
      </c>
      <c r="J1263" s="9">
        <v>3</v>
      </c>
      <c r="K1263" s="9" t="str">
        <v/>
      </c>
      <c r="L1263" s="9" t="str">
        <v>3C10</v>
      </c>
      <c r="M1263" s="12">
        <v>46268</v>
      </c>
      <c r="N1263" s="5" t="str">
        <v/>
      </c>
      <c r="O1263" s="5">
        <v>97000</v>
      </c>
      <c r="P1263" s="5">
        <v>3</v>
      </c>
      <c r="Q1263" s="14">
        <v>46287</v>
      </c>
      <c r="R1263" s="15">
        <v>0</v>
      </c>
    </row>
    <row r="1264" spans="2:18" x14ac:dyDescent="0.35">
      <c r="B1264" s="9">
        <v>664</v>
      </c>
      <c r="C1264" s="9" t="str">
        <v>출고재고</v>
      </c>
      <c r="D1264" s="9" t="str">
        <v/>
      </c>
      <c r="E1264" s="9" t="str">
        <v/>
      </c>
      <c r="F1264" s="9" t="str">
        <v/>
      </c>
      <c r="G1264" s="9" t="str">
        <v/>
      </c>
      <c r="H1264" s="9" t="str">
        <v>RF-01T-0199</v>
      </c>
      <c r="I1264" s="11" t="str">
        <v>RF-01T-0199]CVR REAR TOP</v>
      </c>
      <c r="J1264" s="9">
        <v>4</v>
      </c>
      <c r="K1264" s="9" t="str">
        <v/>
      </c>
      <c r="L1264" s="9" t="str">
        <v>3F5</v>
      </c>
      <c r="M1264" s="12">
        <v>46268</v>
      </c>
      <c r="N1264" s="5" t="str">
        <v/>
      </c>
      <c r="O1264" s="5">
        <v>97000</v>
      </c>
      <c r="P1264" s="5">
        <v>4</v>
      </c>
      <c r="Q1264" s="14">
        <v>46287</v>
      </c>
      <c r="R1264" s="15">
        <v>0</v>
      </c>
    </row>
    <row r="1265" spans="2:18" x14ac:dyDescent="0.35">
      <c r="B1265" s="9">
        <v>475</v>
      </c>
      <c r="C1265" s="9" t="str">
        <v>출고재고</v>
      </c>
      <c r="D1265" s="9" t="str">
        <v/>
      </c>
      <c r="E1265" s="9" t="str">
        <v/>
      </c>
      <c r="F1265" s="9" t="str">
        <v/>
      </c>
      <c r="G1265" s="9" t="str">
        <v/>
      </c>
      <c r="H1265" s="9" t="str">
        <v>RF-01S-5090</v>
      </c>
      <c r="I1265" s="11" t="str">
        <v>RF-01S-5090]CAM Cable_TEETH_L</v>
      </c>
      <c r="J1265" s="9">
        <v>6</v>
      </c>
      <c r="K1265" s="9" t="str">
        <v/>
      </c>
      <c r="L1265" s="9" t="str">
        <v>3F10</v>
      </c>
      <c r="M1265" s="12">
        <v>46259</v>
      </c>
      <c r="N1265" s="5" t="str">
        <v/>
      </c>
      <c r="O1265" s="5">
        <v>97000</v>
      </c>
      <c r="P1265" s="5">
        <v>6</v>
      </c>
      <c r="Q1265" s="14">
        <v>46287</v>
      </c>
      <c r="R1265" s="15">
        <v>0</v>
      </c>
    </row>
    <row r="1266" spans="2:18" x14ac:dyDescent="0.35">
      <c r="B1266" s="9">
        <v>515</v>
      </c>
      <c r="C1266" s="9" t="str">
        <v>출고재고</v>
      </c>
      <c r="D1266" s="9" t="str">
        <v/>
      </c>
      <c r="E1266" s="9" t="str">
        <v/>
      </c>
      <c r="F1266" s="9" t="str">
        <v/>
      </c>
      <c r="G1266" s="9" t="str">
        <v/>
      </c>
      <c r="H1266" s="9" t="str">
        <v>RF-01S-5093</v>
      </c>
      <c r="I1266" s="11" t="str">
        <v>RF-01S-5093]CAM Cable_TEETH_R</v>
      </c>
      <c r="J1266" s="9">
        <v>6</v>
      </c>
      <c r="K1266" s="9" t="str">
        <v/>
      </c>
      <c r="L1266" s="9" t="str">
        <v>3F10</v>
      </c>
      <c r="M1266" s="12">
        <v>46268</v>
      </c>
      <c r="N1266" s="5" t="str">
        <v/>
      </c>
      <c r="O1266" s="5">
        <v>97000</v>
      </c>
      <c r="P1266" s="5">
        <v>6</v>
      </c>
      <c r="Q1266" s="14">
        <v>46287</v>
      </c>
      <c r="R1266" s="15">
        <v>0</v>
      </c>
    </row>
    <row r="1267" spans="2:18" x14ac:dyDescent="0.35">
      <c r="B1267" s="9">
        <v>474</v>
      </c>
      <c r="C1267" s="9" t="str">
        <v>출고재고</v>
      </c>
      <c r="D1267" s="9" t="str">
        <v/>
      </c>
      <c r="E1267" s="9" t="str">
        <v/>
      </c>
      <c r="F1267" s="9" t="str">
        <v/>
      </c>
      <c r="G1267" s="9" t="str">
        <v/>
      </c>
      <c r="H1267" s="9" t="str">
        <v>RF-01S-5085</v>
      </c>
      <c r="I1267" s="11" t="str">
        <v>RF-01S-5085]FACE CAM</v>
      </c>
      <c r="J1267" s="9">
        <v>7</v>
      </c>
      <c r="K1267" s="9" t="str">
        <v/>
      </c>
      <c r="L1267" s="9" t="str">
        <v>3F9</v>
      </c>
      <c r="M1267" s="12">
        <v>46259</v>
      </c>
      <c r="N1267" s="5" t="str">
        <v/>
      </c>
      <c r="O1267" s="5">
        <v>97000</v>
      </c>
      <c r="P1267" s="5">
        <v>7</v>
      </c>
      <c r="Q1267" s="14">
        <v>46287</v>
      </c>
      <c r="R1267" s="15">
        <v>0</v>
      </c>
    </row>
    <row r="1268" spans="2:18" x14ac:dyDescent="0.35">
      <c r="B1268" s="9">
        <v>472</v>
      </c>
      <c r="C1268" s="9" t="str">
        <v>출고재고</v>
      </c>
      <c r="D1268" s="9" t="str">
        <v/>
      </c>
      <c r="E1268" s="9" t="str">
        <v/>
      </c>
      <c r="F1268" s="9" t="str">
        <v/>
      </c>
      <c r="G1268" s="9" t="str">
        <v/>
      </c>
      <c r="H1268" s="9" t="str">
        <v>RF-01H-5071</v>
      </c>
      <c r="I1268" s="11" t="str">
        <v>RF-01H-5071]SBC LAN Cable</v>
      </c>
      <c r="J1268" s="9">
        <v>8</v>
      </c>
      <c r="K1268" s="9" t="str">
        <v/>
      </c>
      <c r="L1268" s="9" t="str">
        <v>3S3-6</v>
      </c>
      <c r="M1268" s="12">
        <v>46259</v>
      </c>
      <c r="N1268" s="5" t="str">
        <v/>
      </c>
      <c r="O1268" s="5">
        <v>97000</v>
      </c>
      <c r="P1268" s="5">
        <v>8</v>
      </c>
      <c r="Q1268" s="14">
        <v>46287</v>
      </c>
      <c r="R1268" s="15">
        <v>0</v>
      </c>
    </row>
    <row r="1269" spans="2:18" x14ac:dyDescent="0.35">
      <c r="B1269" s="9">
        <v>473</v>
      </c>
      <c r="C1269" s="9" t="str">
        <v>출고재고</v>
      </c>
      <c r="D1269" s="9" t="str">
        <v/>
      </c>
      <c r="E1269" s="9" t="str">
        <v/>
      </c>
      <c r="F1269" s="9" t="str">
        <v/>
      </c>
      <c r="G1269" s="9" t="str">
        <v/>
      </c>
      <c r="H1269" s="9" t="str">
        <v>RF-01S-5083</v>
      </c>
      <c r="I1269" s="11" t="str">
        <v>RF-01S-5083]CAM Trigger_L-R harness</v>
      </c>
      <c r="J1269" s="9">
        <v>8</v>
      </c>
      <c r="K1269" s="9" t="str">
        <v/>
      </c>
      <c r="L1269" s="9" t="str">
        <v>3L3-3</v>
      </c>
      <c r="M1269" s="12">
        <v>46259</v>
      </c>
      <c r="N1269" s="5" t="str">
        <v/>
      </c>
      <c r="O1269" s="5">
        <v>97000</v>
      </c>
      <c r="P1269" s="5">
        <v>8</v>
      </c>
      <c r="Q1269" s="14">
        <v>46287</v>
      </c>
      <c r="R1269" s="15">
        <v>0</v>
      </c>
    </row>
    <row r="1270" spans="2:18" x14ac:dyDescent="0.35">
      <c r="B1270" s="9">
        <v>511</v>
      </c>
      <c r="C1270" s="9" t="str">
        <v>출고재고</v>
      </c>
      <c r="D1270" s="9" t="str">
        <v/>
      </c>
      <c r="E1270" s="9" t="str">
        <v/>
      </c>
      <c r="F1270" s="9" t="str">
        <v/>
      </c>
      <c r="G1270" s="9" t="str">
        <v/>
      </c>
      <c r="H1270" s="9" t="str">
        <v>RF-01S-5084</v>
      </c>
      <c r="I1270" s="11" t="str">
        <v>RF-01S-5084]CAM Trigger_C harness</v>
      </c>
      <c r="J1270" s="9">
        <v>8</v>
      </c>
      <c r="K1270" s="9" t="str">
        <v/>
      </c>
      <c r="L1270" s="9" t="str">
        <v>3L3-2</v>
      </c>
      <c r="M1270" s="12">
        <v>46268</v>
      </c>
      <c r="N1270" s="5" t="str">
        <v/>
      </c>
      <c r="O1270" s="5">
        <v>97000</v>
      </c>
      <c r="P1270" s="5">
        <v>8</v>
      </c>
      <c r="Q1270" s="14">
        <v>46287</v>
      </c>
      <c r="R1270" s="15">
        <v>0</v>
      </c>
    </row>
    <row r="1271" spans="2:18" x14ac:dyDescent="0.35">
      <c r="B1271" s="9">
        <v>469</v>
      </c>
      <c r="C1271" s="9" t="str">
        <v>출고재고</v>
      </c>
      <c r="D1271" s="9" t="str">
        <v/>
      </c>
      <c r="E1271" s="9" t="str">
        <v/>
      </c>
      <c r="F1271" s="9" t="str">
        <v/>
      </c>
      <c r="G1271" s="9" t="str">
        <v/>
      </c>
      <c r="H1271" s="9" t="str">
        <v>RF-01S-5095</v>
      </c>
      <c r="I1271" s="11" t="str">
        <v/>
      </c>
      <c r="J1271" s="9">
        <v>10</v>
      </c>
      <c r="K1271" s="9" t="str">
        <v/>
      </c>
      <c r="L1271" s="9" t="str">
        <v>3F10</v>
      </c>
      <c r="M1271" s="12">
        <v>46259</v>
      </c>
      <c r="N1271" s="5" t="str">
        <v/>
      </c>
      <c r="O1271" s="5">
        <v>97000</v>
      </c>
      <c r="P1271" s="5">
        <v>9</v>
      </c>
      <c r="Q1271" s="14">
        <v>46287</v>
      </c>
      <c r="R1271" s="15">
        <v>1</v>
      </c>
    </row>
    <row r="1272" spans="2:18" x14ac:dyDescent="0.35">
      <c r="B1272" s="9">
        <v>1199</v>
      </c>
      <c r="C1272" s="9" t="str">
        <v>출고재고</v>
      </c>
      <c r="D1272" s="9" t="str">
        <v/>
      </c>
      <c r="E1272" s="9" t="str">
        <v>반납</v>
      </c>
      <c r="F1272" s="9" t="str">
        <v/>
      </c>
      <c r="G1272" s="9" t="str">
        <v/>
      </c>
      <c r="H1272" s="9" t="str">
        <v>RF-01T-0160</v>
      </c>
      <c r="I1272" s="11" t="str">
        <v>RF-01T-0160_C]Bas BOT LWR</v>
      </c>
      <c r="J1272" s="9">
        <v>11</v>
      </c>
      <c r="K1272" s="9" t="str">
        <v/>
      </c>
      <c r="L1272" s="9" t="str">
        <v>3B6</v>
      </c>
      <c r="M1272" s="12">
        <v>46287</v>
      </c>
      <c r="N1272" s="5" t="str">
        <v/>
      </c>
      <c r="O1272" s="5">
        <v>97000</v>
      </c>
      <c r="P1272" s="5">
        <v>11</v>
      </c>
      <c r="Q1272" s="14">
        <v>46287</v>
      </c>
      <c r="R1272" s="15">
        <v>0</v>
      </c>
    </row>
    <row r="1273" spans="2:18" x14ac:dyDescent="0.35">
      <c r="B1273" s="9">
        <v>466</v>
      </c>
      <c r="C1273" s="9" t="str">
        <v>출고재고</v>
      </c>
      <c r="D1273" s="9" t="str">
        <v/>
      </c>
      <c r="E1273" s="9" t="str">
        <v/>
      </c>
      <c r="F1273" s="9" t="str">
        <v/>
      </c>
      <c r="G1273" s="9" t="str">
        <v/>
      </c>
      <c r="H1273" s="9" t="str">
        <v>RF-01T-0351</v>
      </c>
      <c r="I1273" s="11" t="str">
        <v>RF-01T-0351]WINDOW LED B</v>
      </c>
      <c r="J1273" s="9">
        <v>12</v>
      </c>
      <c r="K1273" s="9" t="str">
        <v/>
      </c>
      <c r="L1273" s="9" t="str">
        <v>3E9</v>
      </c>
      <c r="M1273" s="12">
        <v>46259</v>
      </c>
      <c r="N1273" s="5" t="str">
        <v/>
      </c>
      <c r="O1273" s="5">
        <v>97000</v>
      </c>
      <c r="P1273" s="5">
        <v>12</v>
      </c>
      <c r="Q1273" s="14">
        <v>46287</v>
      </c>
      <c r="R1273" s="15">
        <v>0</v>
      </c>
    </row>
    <row r="1274" spans="2:18" x14ac:dyDescent="0.35">
      <c r="B1274" s="9">
        <v>1192</v>
      </c>
      <c r="C1274" s="9" t="str">
        <v>출고재고</v>
      </c>
      <c r="D1274" s="9" t="str">
        <v/>
      </c>
      <c r="E1274" s="9" t="str">
        <v>반납</v>
      </c>
      <c r="F1274" s="9" t="str">
        <v/>
      </c>
      <c r="G1274" s="9" t="str">
        <v/>
      </c>
      <c r="H1274" s="9" t="str">
        <v>RF-01T-0190</v>
      </c>
      <c r="I1274" s="11" t="str">
        <v>RF-01T-0190]CVR FRONT</v>
      </c>
      <c r="J1274" s="9">
        <v>15</v>
      </c>
      <c r="K1274" s="9" t="str">
        <v/>
      </c>
      <c r="L1274" s="9" t="str">
        <v>3F4</v>
      </c>
      <c r="M1274" s="12">
        <v>46287</v>
      </c>
      <c r="N1274" s="5" t="str">
        <v/>
      </c>
      <c r="O1274" s="5">
        <v>97000</v>
      </c>
      <c r="P1274" s="5">
        <v>15</v>
      </c>
      <c r="Q1274" s="14">
        <v>46287</v>
      </c>
      <c r="R1274" s="15">
        <v>0</v>
      </c>
    </row>
    <row r="1275" spans="2:18" x14ac:dyDescent="0.35">
      <c r="B1275" s="9">
        <v>463</v>
      </c>
      <c r="C1275" s="9" t="str">
        <v>출고재고</v>
      </c>
      <c r="D1275" s="9" t="str">
        <v/>
      </c>
      <c r="E1275" s="9" t="str">
        <v/>
      </c>
      <c r="F1275" s="9" t="str">
        <v/>
      </c>
      <c r="G1275" s="9" t="str">
        <v/>
      </c>
      <c r="H1275" s="9" t="str">
        <v>RF-01H-5053</v>
      </c>
      <c r="I1275" s="11" t="str">
        <v>RF-01H-5053]USB to PC harness</v>
      </c>
      <c r="J1275" s="9">
        <v>16</v>
      </c>
      <c r="K1275" s="9" t="str">
        <v/>
      </c>
      <c r="L1275" s="9" t="str">
        <v>3S3-4</v>
      </c>
      <c r="M1275" s="12">
        <v>46259</v>
      </c>
      <c r="N1275" s="5" t="str">
        <v/>
      </c>
      <c r="O1275" s="5">
        <v>97000</v>
      </c>
      <c r="P1275" s="5">
        <v>16</v>
      </c>
      <c r="Q1275" s="14">
        <v>46287</v>
      </c>
      <c r="R1275" s="15">
        <v>0</v>
      </c>
    </row>
    <row r="1276" spans="2:18" x14ac:dyDescent="0.35">
      <c r="B1276" s="9">
        <v>464</v>
      </c>
      <c r="C1276" s="9" t="str">
        <v>출고재고</v>
      </c>
      <c r="D1276" s="9" t="str">
        <v/>
      </c>
      <c r="E1276" s="9" t="str">
        <v/>
      </c>
      <c r="F1276" s="9" t="str">
        <v/>
      </c>
      <c r="G1276" s="9" t="str">
        <v/>
      </c>
      <c r="H1276" s="9" t="str">
        <v>RF-01H-5054</v>
      </c>
      <c r="I1276" s="11" t="str">
        <v>RF-01H-5054]DLP Power harness</v>
      </c>
      <c r="J1276" s="9">
        <v>16</v>
      </c>
      <c r="K1276" s="9" t="str">
        <v/>
      </c>
      <c r="L1276" s="9" t="str">
        <v>3S3-4</v>
      </c>
      <c r="M1276" s="12">
        <v>46259</v>
      </c>
      <c r="N1276" s="5" t="str">
        <v/>
      </c>
      <c r="O1276" s="5">
        <v>97000</v>
      </c>
      <c r="P1276" s="5">
        <v>16</v>
      </c>
      <c r="Q1276" s="14">
        <v>46287</v>
      </c>
      <c r="R1276" s="15">
        <v>0</v>
      </c>
    </row>
    <row r="1277" spans="2:18" x14ac:dyDescent="0.35">
      <c r="B1277" s="9">
        <v>462</v>
      </c>
      <c r="C1277" s="9" t="str">
        <v>출고재고</v>
      </c>
      <c r="D1277" s="9" t="str">
        <v/>
      </c>
      <c r="E1277" s="9" t="str">
        <v/>
      </c>
      <c r="F1277" s="9" t="str">
        <v/>
      </c>
      <c r="G1277" s="9" t="str">
        <v/>
      </c>
      <c r="H1277" s="9" t="str">
        <v>RF-01T-0210</v>
      </c>
      <c r="I1277" s="11" t="str">
        <v>RF-01T-0210]CVR FRONT MID L</v>
      </c>
      <c r="J1277" s="9">
        <v>16</v>
      </c>
      <c r="K1277" s="9" t="str">
        <v/>
      </c>
      <c r="L1277" s="9" t="str">
        <v>3L3-1</v>
      </c>
      <c r="M1277" s="12">
        <v>46259</v>
      </c>
      <c r="N1277" s="5" t="str">
        <v/>
      </c>
      <c r="O1277" s="5">
        <v>97000</v>
      </c>
      <c r="P1277" s="5">
        <v>5</v>
      </c>
      <c r="Q1277" s="14">
        <v>46287</v>
      </c>
      <c r="R1277" s="15">
        <v>11</v>
      </c>
    </row>
    <row r="1278" spans="2:18" x14ac:dyDescent="0.35">
      <c r="B1278" s="9">
        <v>459</v>
      </c>
      <c r="C1278" s="9" t="str">
        <v>출고재고</v>
      </c>
      <c r="D1278" s="9" t="str">
        <v/>
      </c>
      <c r="E1278" s="9" t="str">
        <v/>
      </c>
      <c r="F1278" s="9" t="str">
        <v/>
      </c>
      <c r="G1278" s="9" t="str">
        <v/>
      </c>
      <c r="H1278" s="9" t="str">
        <v>RF-01H-5075</v>
      </c>
      <c r="I1278" s="11" t="str">
        <v>RF-01H-5075] USB to Cal kit harness</v>
      </c>
      <c r="J1278" s="9">
        <v>17</v>
      </c>
      <c r="K1278" s="9" t="str">
        <v/>
      </c>
      <c r="L1278" s="9" t="str">
        <v>3S3-6</v>
      </c>
      <c r="M1278" s="12">
        <v>46259</v>
      </c>
      <c r="N1278" s="5" t="str">
        <v/>
      </c>
      <c r="O1278" s="5">
        <v>97000</v>
      </c>
      <c r="P1278" s="5">
        <v>17</v>
      </c>
      <c r="Q1278" s="14">
        <v>46287</v>
      </c>
      <c r="R1278" s="15">
        <v>0</v>
      </c>
    </row>
    <row r="1279" spans="2:18" x14ac:dyDescent="0.35">
      <c r="B1279" s="9">
        <v>460</v>
      </c>
      <c r="C1279" s="9" t="str">
        <v>출고재고</v>
      </c>
      <c r="D1279" s="9" t="str">
        <v/>
      </c>
      <c r="E1279" s="9" t="str">
        <v/>
      </c>
      <c r="F1279" s="9" t="str">
        <v/>
      </c>
      <c r="G1279" s="9" t="str">
        <v/>
      </c>
      <c r="H1279" s="9" t="str">
        <v>RF-01S-5072</v>
      </c>
      <c r="I1279" s="11" t="str">
        <v>RF-01S-5072]USB 3.0 A to B Cable</v>
      </c>
      <c r="J1279" s="9">
        <v>17</v>
      </c>
      <c r="K1279" s="9" t="str">
        <v/>
      </c>
      <c r="L1279" s="9" t="str">
        <v>3S3-2</v>
      </c>
      <c r="M1279" s="12">
        <v>46259</v>
      </c>
      <c r="N1279" s="5" t="str">
        <v/>
      </c>
      <c r="O1279" s="5">
        <v>97000</v>
      </c>
      <c r="P1279" s="5">
        <v>17</v>
      </c>
      <c r="Q1279" s="14">
        <v>46287</v>
      </c>
      <c r="R1279" s="15">
        <v>0</v>
      </c>
    </row>
    <row r="1280" spans="2:18" x14ac:dyDescent="0.35">
      <c r="B1280" s="9">
        <v>1264</v>
      </c>
      <c r="C1280" s="9" t="str">
        <v>출고재고</v>
      </c>
      <c r="D1280" s="9" t="str">
        <v/>
      </c>
      <c r="E1280" s="9" t="str">
        <v>반납</v>
      </c>
      <c r="F1280" s="9" t="str">
        <v/>
      </c>
      <c r="G1280" s="9" t="str">
        <v/>
      </c>
      <c r="H1280" s="9" t="str">
        <v>RF-01T-0199</v>
      </c>
      <c r="I1280" s="11" t="str">
        <v>RF-01T-0199]CVR REAR TOP</v>
      </c>
      <c r="J1280" s="9">
        <v>17</v>
      </c>
      <c r="K1280" s="9" t="str">
        <v/>
      </c>
      <c r="L1280" s="9" t="str">
        <v>3F5</v>
      </c>
      <c r="M1280" s="12">
        <v>46287</v>
      </c>
      <c r="N1280" s="5" t="str">
        <v/>
      </c>
      <c r="O1280" s="5">
        <v>97000</v>
      </c>
      <c r="P1280" s="5">
        <v>17</v>
      </c>
      <c r="Q1280" s="14">
        <v>46287</v>
      </c>
      <c r="R1280" s="15">
        <v>0</v>
      </c>
    </row>
    <row r="1281" spans="2:18" x14ac:dyDescent="0.35">
      <c r="B1281" s="9">
        <v>1235</v>
      </c>
      <c r="C1281" s="9" t="str">
        <v>출고재고</v>
      </c>
      <c r="D1281" s="9" t="str">
        <v/>
      </c>
      <c r="E1281" s="9" t="str">
        <v>반납</v>
      </c>
      <c r="F1281" s="9" t="str">
        <v/>
      </c>
      <c r="G1281" s="9" t="str">
        <v/>
      </c>
      <c r="H1281" s="9" t="str">
        <v>RF-01H-5068</v>
      </c>
      <c r="I1281" s="11" t="str">
        <v>RF-01H-5068]LED_Left harness</v>
      </c>
      <c r="J1281" s="9">
        <v>18</v>
      </c>
      <c r="K1281" s="9" t="str">
        <v/>
      </c>
      <c r="L1281" s="9" t="str">
        <v>3S3-5</v>
      </c>
      <c r="M1281" s="12">
        <v>46287</v>
      </c>
      <c r="N1281" s="5" t="str">
        <v/>
      </c>
      <c r="O1281" s="5">
        <v>97000</v>
      </c>
      <c r="P1281" s="5">
        <v>5</v>
      </c>
      <c r="Q1281" s="14">
        <v>46287</v>
      </c>
      <c r="R1281" s="15">
        <v>13</v>
      </c>
    </row>
    <row r="1282" spans="2:18" x14ac:dyDescent="0.35">
      <c r="B1282" s="9">
        <v>1312</v>
      </c>
      <c r="C1282" s="9" t="str">
        <v>출고재고</v>
      </c>
      <c r="D1282" s="9" t="str">
        <v/>
      </c>
      <c r="E1282" s="9" t="str">
        <v/>
      </c>
      <c r="F1282" s="9" t="str">
        <v/>
      </c>
      <c r="G1282" s="9" t="str">
        <v/>
      </c>
      <c r="H1282" s="9" t="str">
        <v>RF-01S-5046</v>
      </c>
      <c r="I1282" s="11" t="str">
        <v>RF-01S-5046]DLP ENGINE</v>
      </c>
      <c r="J1282" s="9">
        <v>18</v>
      </c>
      <c r="K1282" s="9" t="str">
        <v/>
      </c>
      <c r="L1282" s="9" t="str">
        <v>3C7</v>
      </c>
      <c r="M1282" s="12">
        <v>46287</v>
      </c>
      <c r="N1282" s="5" t="str">
        <v/>
      </c>
      <c r="O1282" s="5">
        <v>97000</v>
      </c>
      <c r="P1282" s="5">
        <v>18</v>
      </c>
      <c r="Q1282" s="14">
        <v>46287</v>
      </c>
      <c r="R1282" s="15">
        <v>0</v>
      </c>
    </row>
    <row r="1283" spans="2:18" x14ac:dyDescent="0.35">
      <c r="B1283" s="9">
        <v>1220</v>
      </c>
      <c r="C1283" s="9" t="str">
        <v>출고재고</v>
      </c>
      <c r="D1283" s="9" t="str">
        <v/>
      </c>
      <c r="E1283" s="9" t="str">
        <v>반납</v>
      </c>
      <c r="F1283" s="9" t="str">
        <v/>
      </c>
      <c r="G1283" s="9" t="str">
        <v/>
      </c>
      <c r="H1283" s="9" t="str">
        <v>RF-01S-5046</v>
      </c>
      <c r="I1283" s="11" t="str">
        <v>RF-01S-5046]DLP ENGINE</v>
      </c>
      <c r="J1283" s="9">
        <v>19</v>
      </c>
      <c r="K1283" s="9" t="str">
        <v/>
      </c>
      <c r="L1283" s="9" t="str">
        <v>3C7</v>
      </c>
      <c r="M1283" s="12">
        <v>46287</v>
      </c>
      <c r="N1283" s="5" t="str">
        <v/>
      </c>
      <c r="O1283" s="5">
        <v>97000</v>
      </c>
      <c r="P1283" s="5">
        <v>1</v>
      </c>
      <c r="Q1283" s="14">
        <v>46287</v>
      </c>
      <c r="R1283" s="15">
        <v>18</v>
      </c>
    </row>
    <row r="1284" spans="2:18" x14ac:dyDescent="0.35">
      <c r="B1284" s="9">
        <v>1198</v>
      </c>
      <c r="C1284" s="9" t="str">
        <v>출고재고</v>
      </c>
      <c r="D1284" s="9" t="str">
        <v/>
      </c>
      <c r="E1284" s="9" t="str">
        <v>반납</v>
      </c>
      <c r="F1284" s="9" t="str">
        <v/>
      </c>
      <c r="G1284" s="9" t="str">
        <v/>
      </c>
      <c r="H1284" s="9" t="str">
        <v>RF-01S-5085</v>
      </c>
      <c r="I1284" s="11" t="str">
        <v>RF-01S-5085]FACE CAM</v>
      </c>
      <c r="J1284" s="9">
        <v>19</v>
      </c>
      <c r="K1284" s="9" t="str">
        <v/>
      </c>
      <c r="L1284" s="9" t="str">
        <v>3F9</v>
      </c>
      <c r="M1284" s="12">
        <v>46287</v>
      </c>
      <c r="N1284" s="5" t="str">
        <v/>
      </c>
      <c r="O1284" s="5">
        <v>97000</v>
      </c>
      <c r="P1284" s="5">
        <v>19</v>
      </c>
      <c r="Q1284" s="14">
        <v>46287</v>
      </c>
      <c r="R1284" s="15">
        <v>0</v>
      </c>
    </row>
    <row r="1285" spans="2:18" x14ac:dyDescent="0.35">
      <c r="B1285" s="9">
        <v>1204</v>
      </c>
      <c r="C1285" s="9" t="str">
        <v>출고재고</v>
      </c>
      <c r="D1285" s="9" t="str">
        <v/>
      </c>
      <c r="E1285" s="9" t="str">
        <v>반납</v>
      </c>
      <c r="F1285" s="9" t="str">
        <v/>
      </c>
      <c r="G1285" s="9" t="str">
        <v/>
      </c>
      <c r="H1285" s="9" t="str">
        <v>RF-01H-5075</v>
      </c>
      <c r="I1285" s="11" t="str">
        <v>RF-01H-5075] USB to Cal kit harness</v>
      </c>
      <c r="J1285" s="9">
        <v>20</v>
      </c>
      <c r="K1285" s="9" t="str">
        <v/>
      </c>
      <c r="L1285" s="9" t="str">
        <v>3S3-6</v>
      </c>
      <c r="M1285" s="12">
        <v>46287</v>
      </c>
      <c r="N1285" s="5" t="str">
        <v/>
      </c>
      <c r="O1285" s="5">
        <v>97000</v>
      </c>
      <c r="P1285" s="5">
        <v>20</v>
      </c>
      <c r="Q1285" s="14">
        <v>46287</v>
      </c>
      <c r="R1285" s="15">
        <v>0</v>
      </c>
    </row>
    <row r="1286" spans="2:18" x14ac:dyDescent="0.35">
      <c r="B1286" s="9">
        <v>1205</v>
      </c>
      <c r="C1286" s="9" t="str">
        <v>출고재고</v>
      </c>
      <c r="D1286" s="9" t="str">
        <v/>
      </c>
      <c r="E1286" s="9" t="str">
        <v>반납</v>
      </c>
      <c r="F1286" s="9" t="str">
        <v/>
      </c>
      <c r="G1286" s="9" t="str">
        <v/>
      </c>
      <c r="H1286" s="9" t="str">
        <v>RF-01H-5053</v>
      </c>
      <c r="I1286" s="11" t="str">
        <v>RF-01H-5053]USB to PC harness</v>
      </c>
      <c r="J1286" s="9">
        <v>21</v>
      </c>
      <c r="K1286" s="9" t="str">
        <v/>
      </c>
      <c r="L1286" s="9" t="str">
        <v>3S3-4</v>
      </c>
      <c r="M1286" s="12">
        <v>46287</v>
      </c>
      <c r="N1286" s="5" t="str">
        <v/>
      </c>
      <c r="O1286" s="5">
        <v>97000</v>
      </c>
      <c r="P1286" s="5">
        <v>21</v>
      </c>
      <c r="Q1286" s="14">
        <v>46287</v>
      </c>
      <c r="R1286" s="15">
        <v>0</v>
      </c>
    </row>
    <row r="1287" spans="2:18" x14ac:dyDescent="0.35">
      <c r="B1287" s="9">
        <v>1216</v>
      </c>
      <c r="C1287" s="9" t="str">
        <v>출고재고</v>
      </c>
      <c r="D1287" s="9" t="str">
        <v/>
      </c>
      <c r="E1287" s="9" t="str">
        <v>반납</v>
      </c>
      <c r="F1287" s="9" t="str">
        <v/>
      </c>
      <c r="G1287" s="9" t="str">
        <v/>
      </c>
      <c r="H1287" s="9" t="str">
        <v>RF-01S-5049</v>
      </c>
      <c r="I1287" s="11" t="str">
        <v>RF-01S-5049]Face Lens</v>
      </c>
      <c r="J1287" s="9">
        <v>21</v>
      </c>
      <c r="K1287" s="9" t="str">
        <v/>
      </c>
      <c r="L1287" s="9" t="str">
        <v>3L4-2</v>
      </c>
      <c r="M1287" s="12">
        <v>46287</v>
      </c>
      <c r="N1287" s="5" t="str">
        <v/>
      </c>
      <c r="O1287" s="5">
        <v>97000</v>
      </c>
      <c r="P1287" s="5">
        <v>10</v>
      </c>
      <c r="Q1287" s="14">
        <v>46287</v>
      </c>
      <c r="R1287" s="15">
        <v>11</v>
      </c>
    </row>
    <row r="1288" spans="2:18" x14ac:dyDescent="0.35">
      <c r="B1288" s="9">
        <v>1203</v>
      </c>
      <c r="C1288" s="9" t="str">
        <v>출고재고</v>
      </c>
      <c r="D1288" s="9" t="str">
        <v/>
      </c>
      <c r="E1288" s="9" t="str">
        <v>반납</v>
      </c>
      <c r="F1288" s="9" t="str">
        <v/>
      </c>
      <c r="G1288" s="9" t="str">
        <v/>
      </c>
      <c r="H1288" s="9" t="str">
        <v>RF-01H-5071</v>
      </c>
      <c r="I1288" s="11" t="str">
        <v>RF-01H-5071]SBC LAN Cable</v>
      </c>
      <c r="J1288" s="9">
        <v>22</v>
      </c>
      <c r="K1288" s="9" t="str">
        <v/>
      </c>
      <c r="L1288" s="9" t="str">
        <v>3S3-6</v>
      </c>
      <c r="M1288" s="12">
        <v>46287</v>
      </c>
      <c r="N1288" s="5" t="str">
        <v/>
      </c>
      <c r="O1288" s="5">
        <v>97000</v>
      </c>
      <c r="P1288" s="5">
        <v>22</v>
      </c>
      <c r="Q1288" s="14">
        <v>46287</v>
      </c>
      <c r="R1288" s="15">
        <v>0</v>
      </c>
    </row>
    <row r="1289" spans="2:18" x14ac:dyDescent="0.35">
      <c r="B1289" s="9">
        <v>665</v>
      </c>
      <c r="C1289" s="9" t="str">
        <v>출고재고</v>
      </c>
      <c r="D1289" s="9" t="str">
        <v/>
      </c>
      <c r="E1289" s="9" t="str">
        <v/>
      </c>
      <c r="F1289" s="9" t="str">
        <v/>
      </c>
      <c r="G1289" s="9" t="str">
        <v/>
      </c>
      <c r="H1289" s="9" t="str">
        <v>RF-01S-5046</v>
      </c>
      <c r="I1289" s="11" t="str">
        <v>RF-01S-5046]DLP ENGINE</v>
      </c>
      <c r="J1289" s="9">
        <v>22</v>
      </c>
      <c r="K1289" s="9" t="str">
        <v/>
      </c>
      <c r="L1289" s="9" t="str">
        <v>3C7</v>
      </c>
      <c r="M1289" s="12">
        <v>46268</v>
      </c>
      <c r="N1289" s="5" t="str">
        <v/>
      </c>
      <c r="O1289" s="5">
        <v>97000</v>
      </c>
      <c r="P1289" s="5">
        <v>22</v>
      </c>
      <c r="Q1289" s="14">
        <v>46287</v>
      </c>
      <c r="R1289" s="15">
        <v>0</v>
      </c>
    </row>
    <row r="1290" spans="2:18" x14ac:dyDescent="0.35">
      <c r="B1290" s="9">
        <v>1210</v>
      </c>
      <c r="C1290" s="9" t="str">
        <v>출고재고</v>
      </c>
      <c r="D1290" s="9" t="str">
        <v/>
      </c>
      <c r="E1290" s="9" t="str">
        <v>반납</v>
      </c>
      <c r="F1290" s="9" t="str">
        <v/>
      </c>
      <c r="G1290" s="9" t="str">
        <v/>
      </c>
      <c r="H1290" s="9" t="str">
        <v>RF-01S-5072</v>
      </c>
      <c r="I1290" s="11" t="str">
        <v>RF-01S-5072]USB 3.0 A to B Cable</v>
      </c>
      <c r="J1290" s="9">
        <v>22</v>
      </c>
      <c r="K1290" s="9" t="str">
        <v/>
      </c>
      <c r="L1290" s="9" t="str">
        <v>3S3-2</v>
      </c>
      <c r="M1290" s="12">
        <v>46287</v>
      </c>
      <c r="N1290" s="5" t="str">
        <v/>
      </c>
      <c r="O1290" s="5">
        <v>97000</v>
      </c>
      <c r="P1290" s="5">
        <v>22</v>
      </c>
      <c r="Q1290" s="14">
        <v>46287</v>
      </c>
      <c r="R1290" s="15">
        <v>0</v>
      </c>
    </row>
    <row r="1291" spans="2:18" x14ac:dyDescent="0.35">
      <c r="B1291" s="9">
        <v>1244</v>
      </c>
      <c r="C1291" s="9" t="str">
        <v>출고재고</v>
      </c>
      <c r="D1291" s="9" t="str">
        <v/>
      </c>
      <c r="E1291" s="9" t="str">
        <v>반납</v>
      </c>
      <c r="F1291" s="9" t="str">
        <v/>
      </c>
      <c r="G1291" s="9" t="str">
        <v/>
      </c>
      <c r="H1291" s="9" t="str">
        <v>RF-01S-5093</v>
      </c>
      <c r="I1291" s="11" t="str">
        <v>RF-01S-5093]CAM Cable_TEETH_R</v>
      </c>
      <c r="J1291" s="9">
        <v>22</v>
      </c>
      <c r="K1291" s="9" t="str">
        <v/>
      </c>
      <c r="L1291" s="9" t="str">
        <v>3F10</v>
      </c>
      <c r="M1291" s="12">
        <v>46287</v>
      </c>
      <c r="N1291" s="5" t="str">
        <v/>
      </c>
      <c r="O1291" s="5">
        <v>97000</v>
      </c>
      <c r="P1291" s="5">
        <v>22</v>
      </c>
      <c r="Q1291" s="14">
        <v>46287</v>
      </c>
      <c r="R1291" s="15">
        <v>0</v>
      </c>
    </row>
    <row r="1292" spans="2:18" x14ac:dyDescent="0.35">
      <c r="B1292" s="9">
        <v>1230</v>
      </c>
      <c r="C1292" s="9" t="str">
        <v>출고재고</v>
      </c>
      <c r="D1292" s="9" t="str">
        <v/>
      </c>
      <c r="E1292" s="9" t="str">
        <v>반납</v>
      </c>
      <c r="F1292" s="9" t="str">
        <v/>
      </c>
      <c r="G1292" s="9" t="str">
        <v/>
      </c>
      <c r="H1292" s="9" t="str">
        <v>RF-01S-5094</v>
      </c>
      <c r="I1292" s="11" t="str">
        <v/>
      </c>
      <c r="J1292" s="9">
        <v>22</v>
      </c>
      <c r="K1292" s="9" t="str">
        <v/>
      </c>
      <c r="L1292" s="9" t="str">
        <v>3F10</v>
      </c>
      <c r="M1292" s="12">
        <v>46287</v>
      </c>
      <c r="N1292" s="5" t="str">
        <v/>
      </c>
      <c r="O1292" s="5">
        <v>97000</v>
      </c>
      <c r="P1292" s="5">
        <v>3</v>
      </c>
      <c r="Q1292" s="14">
        <v>46287</v>
      </c>
      <c r="R1292" s="15">
        <v>19</v>
      </c>
    </row>
    <row r="1293" spans="2:18" x14ac:dyDescent="0.35">
      <c r="B1293" s="9">
        <v>1240</v>
      </c>
      <c r="C1293" s="9" t="str">
        <v>출고재고</v>
      </c>
      <c r="D1293" s="9" t="str">
        <v/>
      </c>
      <c r="E1293" s="9" t="str">
        <v>반납</v>
      </c>
      <c r="F1293" s="9" t="str">
        <v/>
      </c>
      <c r="G1293" s="9" t="str">
        <v/>
      </c>
      <c r="H1293" s="9" t="str">
        <v>RF-01S-5096</v>
      </c>
      <c r="I1293" s="11" t="str">
        <v/>
      </c>
      <c r="J1293" s="9">
        <v>22</v>
      </c>
      <c r="K1293" s="9" t="str">
        <v/>
      </c>
      <c r="L1293" s="9" t="str">
        <v>3F1</v>
      </c>
      <c r="M1293" s="12">
        <v>46287</v>
      </c>
      <c r="N1293" s="5" t="str">
        <v/>
      </c>
      <c r="O1293" s="5">
        <v>97000</v>
      </c>
      <c r="P1293" s="5">
        <v>1</v>
      </c>
      <c r="Q1293" s="14">
        <v>46287</v>
      </c>
      <c r="R1293" s="15">
        <v>21</v>
      </c>
    </row>
    <row r="1294" spans="2:18" x14ac:dyDescent="0.35">
      <c r="B1294" s="9">
        <v>1212</v>
      </c>
      <c r="C1294" s="9" t="str">
        <v>출고재고</v>
      </c>
      <c r="D1294" s="9" t="str">
        <v/>
      </c>
      <c r="E1294" s="9" t="str">
        <v>반납</v>
      </c>
      <c r="F1294" s="9" t="str">
        <v/>
      </c>
      <c r="G1294" s="9" t="str">
        <v/>
      </c>
      <c r="H1294" s="9" t="str">
        <v>RF-20A-0378</v>
      </c>
      <c r="I1294" s="11" t="str">
        <v>MODULE ARM LEFT</v>
      </c>
      <c r="J1294" s="9">
        <v>22</v>
      </c>
      <c r="K1294" s="9" t="str">
        <v/>
      </c>
      <c r="L1294" s="9" t="str">
        <v>94760</v>
      </c>
      <c r="M1294" s="12">
        <v>46287</v>
      </c>
      <c r="N1294" s="5" t="str">
        <v/>
      </c>
      <c r="O1294" s="5">
        <v>97000</v>
      </c>
      <c r="P1294" s="5">
        <v>7</v>
      </c>
      <c r="Q1294" s="14">
        <v>46287</v>
      </c>
      <c r="R1294" s="15">
        <v>15</v>
      </c>
    </row>
    <row r="1295" spans="2:18" x14ac:dyDescent="0.35">
      <c r="B1295" s="9">
        <v>1232</v>
      </c>
      <c r="C1295" s="9" t="str">
        <v>출고재고</v>
      </c>
      <c r="D1295" s="9" t="str">
        <v/>
      </c>
      <c r="E1295" s="9" t="str">
        <v>반납</v>
      </c>
      <c r="F1295" s="9" t="str">
        <v/>
      </c>
      <c r="G1295" s="9" t="str">
        <v/>
      </c>
      <c r="H1295" s="9" t="str">
        <v>RF-01M-0396</v>
      </c>
      <c r="I1295" s="11" t="str">
        <v>RF-01M-0396]FRAME PIPE ALIGN</v>
      </c>
      <c r="J1295" s="9">
        <v>23</v>
      </c>
      <c r="K1295" s="9" t="str">
        <v/>
      </c>
      <c r="L1295" s="9" t="str">
        <v>3C10</v>
      </c>
      <c r="M1295" s="12">
        <v>46287</v>
      </c>
      <c r="N1295" s="5" t="str">
        <v/>
      </c>
      <c r="O1295" s="5">
        <v>97000</v>
      </c>
      <c r="P1295" s="5">
        <v>18</v>
      </c>
      <c r="Q1295" s="14">
        <v>46287</v>
      </c>
      <c r="R1295" s="15">
        <v>5</v>
      </c>
    </row>
    <row r="1296" spans="2:18" x14ac:dyDescent="0.35">
      <c r="B1296" s="9">
        <v>1259</v>
      </c>
      <c r="C1296" s="9" t="str">
        <v>출고재고</v>
      </c>
      <c r="D1296" s="9" t="str">
        <v/>
      </c>
      <c r="E1296" s="9" t="str">
        <v>반납</v>
      </c>
      <c r="F1296" s="9" t="str">
        <v/>
      </c>
      <c r="G1296" s="9" t="str">
        <v/>
      </c>
      <c r="H1296" s="9" t="str">
        <v>RF-01S-5090</v>
      </c>
      <c r="I1296" s="11" t="str">
        <v>RF-01S-5090]CAM Cable_TEETH_L</v>
      </c>
      <c r="J1296" s="9">
        <v>23</v>
      </c>
      <c r="K1296" s="9" t="str">
        <v/>
      </c>
      <c r="L1296" s="9" t="str">
        <v>3F10</v>
      </c>
      <c r="M1296" s="12">
        <v>46287</v>
      </c>
      <c r="N1296" s="5" t="str">
        <v/>
      </c>
      <c r="O1296" s="5">
        <v>97000</v>
      </c>
      <c r="P1296" s="5">
        <v>23</v>
      </c>
      <c r="Q1296" s="14">
        <v>46287</v>
      </c>
      <c r="R1296" s="15">
        <v>0</v>
      </c>
    </row>
    <row r="1297" spans="2:18" x14ac:dyDescent="0.35">
      <c r="B1297" s="9">
        <v>1207</v>
      </c>
      <c r="C1297" s="9" t="str">
        <v>출고재고</v>
      </c>
      <c r="D1297" s="9" t="str">
        <v/>
      </c>
      <c r="E1297" s="9" t="str">
        <v>반납</v>
      </c>
      <c r="F1297" s="9" t="str">
        <v/>
      </c>
      <c r="G1297" s="9" t="str">
        <v/>
      </c>
      <c r="H1297" s="9" t="str">
        <v>RF-01T-0161</v>
      </c>
      <c r="I1297" s="11" t="str">
        <v>RF-01T-0161]Bas BOT UPPER</v>
      </c>
      <c r="J1297" s="9">
        <v>23</v>
      </c>
      <c r="K1297" s="9" t="str">
        <v/>
      </c>
      <c r="L1297" s="9" t="str">
        <v>3B11</v>
      </c>
      <c r="M1297" s="12">
        <v>46287</v>
      </c>
      <c r="N1297" s="5" t="str">
        <v/>
      </c>
      <c r="O1297" s="5">
        <v>97000</v>
      </c>
      <c r="P1297" s="5">
        <v>23</v>
      </c>
      <c r="Q1297" s="14">
        <v>46287</v>
      </c>
      <c r="R1297" s="15">
        <v>0</v>
      </c>
    </row>
    <row r="1298" spans="2:18" x14ac:dyDescent="0.35">
      <c r="B1298" s="9">
        <v>1253</v>
      </c>
      <c r="C1298" s="9" t="str">
        <v>출고재고</v>
      </c>
      <c r="D1298" s="9" t="str">
        <v/>
      </c>
      <c r="E1298" s="9" t="str">
        <v>반납</v>
      </c>
      <c r="F1298" s="9" t="str">
        <v/>
      </c>
      <c r="G1298" s="9" t="str">
        <v/>
      </c>
      <c r="H1298" s="9" t="str">
        <v>RF-01T-0351</v>
      </c>
      <c r="I1298" s="11" t="str">
        <v>RF-01T-0351]WINDOW LED B</v>
      </c>
      <c r="J1298" s="9">
        <v>23</v>
      </c>
      <c r="K1298" s="9" t="str">
        <v/>
      </c>
      <c r="L1298" s="9" t="str">
        <v>3E9</v>
      </c>
      <c r="M1298" s="12">
        <v>46287</v>
      </c>
      <c r="N1298" s="5" t="str">
        <v/>
      </c>
      <c r="O1298" s="5">
        <v>97000</v>
      </c>
      <c r="P1298" s="5">
        <v>23</v>
      </c>
      <c r="Q1298" s="14">
        <v>46287</v>
      </c>
      <c r="R1298" s="15">
        <v>0</v>
      </c>
    </row>
    <row r="1299" spans="2:18" x14ac:dyDescent="0.35">
      <c r="B1299" s="9">
        <v>1239</v>
      </c>
      <c r="C1299" s="9" t="str">
        <v>출고재고</v>
      </c>
      <c r="D1299" s="9" t="str">
        <v/>
      </c>
      <c r="E1299" s="9" t="str">
        <v>반납</v>
      </c>
      <c r="F1299" s="9" t="str">
        <v/>
      </c>
      <c r="G1299" s="9" t="str">
        <v/>
      </c>
      <c r="H1299" s="9" t="str">
        <v>RF-01S-5097</v>
      </c>
      <c r="I1299" s="11" t="str">
        <v/>
      </c>
      <c r="J1299" s="9">
        <v>28</v>
      </c>
      <c r="K1299" s="9" t="str">
        <v/>
      </c>
      <c r="L1299" s="9" t="str">
        <v>3F2</v>
      </c>
      <c r="M1299" s="12">
        <v>46287</v>
      </c>
      <c r="N1299" s="5" t="str">
        <v/>
      </c>
      <c r="O1299" s="5">
        <v>97000</v>
      </c>
      <c r="P1299" s="5">
        <v>28</v>
      </c>
      <c r="Q1299" s="14">
        <v>46287</v>
      </c>
      <c r="R1299" s="15">
        <v>0</v>
      </c>
    </row>
    <row r="1300" spans="2:18" x14ac:dyDescent="0.35">
      <c r="B1300" s="9">
        <v>496</v>
      </c>
      <c r="C1300" s="9" t="str">
        <v>출고재고</v>
      </c>
      <c r="D1300" s="9" t="str">
        <v/>
      </c>
      <c r="E1300" s="9" t="str">
        <v/>
      </c>
      <c r="F1300" s="9" t="str">
        <v/>
      </c>
      <c r="G1300" s="9" t="str">
        <v/>
      </c>
      <c r="H1300" s="9" t="str">
        <v>RF-01M-0396</v>
      </c>
      <c r="I1300" s="11" t="str">
        <v>RF-01M-0396]FRAME PIPE ALIGN</v>
      </c>
      <c r="J1300" s="9">
        <v>29</v>
      </c>
      <c r="K1300" s="9" t="str">
        <v/>
      </c>
      <c r="L1300" s="9" t="str">
        <v>3C10</v>
      </c>
      <c r="M1300" s="12">
        <v>46268</v>
      </c>
      <c r="N1300" s="5" t="str">
        <v/>
      </c>
      <c r="O1300" s="5">
        <v>97000</v>
      </c>
      <c r="P1300" s="5">
        <v>29</v>
      </c>
      <c r="Q1300" s="14">
        <v>46287</v>
      </c>
      <c r="R1300" s="15">
        <v>0</v>
      </c>
    </row>
    <row r="1301" spans="2:18" x14ac:dyDescent="0.35">
      <c r="B1301" s="9">
        <v>1219</v>
      </c>
      <c r="C1301" s="9" t="str">
        <v>출고재고</v>
      </c>
      <c r="D1301" s="9" t="str">
        <v/>
      </c>
      <c r="E1301" s="9" t="str">
        <v>반납</v>
      </c>
      <c r="F1301" s="9" t="str">
        <v/>
      </c>
      <c r="G1301" s="9" t="str">
        <v/>
      </c>
      <c r="H1301" s="9" t="str">
        <v>RF-01S-5084</v>
      </c>
      <c r="I1301" s="11" t="str">
        <v>RF-01S-5084]CAM Trigger_C harness</v>
      </c>
      <c r="J1301" s="9">
        <v>29</v>
      </c>
      <c r="K1301" s="9" t="str">
        <v/>
      </c>
      <c r="L1301" s="9" t="str">
        <v>3L3-2</v>
      </c>
      <c r="M1301" s="12">
        <v>46287</v>
      </c>
      <c r="N1301" s="5" t="str">
        <v/>
      </c>
      <c r="O1301" s="5">
        <v>97000</v>
      </c>
      <c r="P1301" s="5">
        <v>29</v>
      </c>
      <c r="Q1301" s="14">
        <v>46287</v>
      </c>
      <c r="R1301" s="15">
        <v>0</v>
      </c>
    </row>
    <row r="1302" spans="2:18" x14ac:dyDescent="0.35">
      <c r="B1302" s="9">
        <v>1286</v>
      </c>
      <c r="C1302" s="9" t="str">
        <v>출고재고</v>
      </c>
      <c r="D1302" s="9" t="str">
        <v/>
      </c>
      <c r="E1302" s="9" t="str">
        <v>기초추가</v>
      </c>
      <c r="F1302" s="9" t="str">
        <v/>
      </c>
      <c r="G1302" s="9" t="str">
        <v/>
      </c>
      <c r="H1302" s="9" t="str">
        <v>RF-01T-0199</v>
      </c>
      <c r="I1302" s="11" t="str">
        <v>RF-01T-0199]CVR REAR TOP</v>
      </c>
      <c r="J1302" s="9">
        <v>29</v>
      </c>
      <c r="K1302" s="9" t="str">
        <v/>
      </c>
      <c r="L1302" s="9" t="str">
        <v>3F5</v>
      </c>
      <c r="M1302" s="12">
        <v>46268</v>
      </c>
      <c r="N1302" s="5" t="str">
        <v/>
      </c>
      <c r="O1302" s="5">
        <v>97000</v>
      </c>
      <c r="P1302" s="5">
        <v>29</v>
      </c>
      <c r="Q1302" s="14">
        <v>46287</v>
      </c>
      <c r="R1302" s="15">
        <v>0</v>
      </c>
    </row>
    <row r="1303" spans="2:18" x14ac:dyDescent="0.35">
      <c r="B1303" s="9">
        <v>1943</v>
      </c>
      <c r="C1303" s="9" t="str">
        <v>출고재고</v>
      </c>
      <c r="D1303" s="9" t="str">
        <v/>
      </c>
      <c r="E1303" s="9" t="str">
        <v>입고</v>
      </c>
      <c r="F1303" s="9" t="str">
        <v>하이크로봇</v>
      </c>
      <c r="G1303" s="9" t="str">
        <v>장동은</v>
      </c>
      <c r="H1303" s="9" t="str">
        <v>RF-01S-5097</v>
      </c>
      <c r="I1303" s="11" t="str">
        <v/>
      </c>
      <c r="J1303" s="9">
        <v>30</v>
      </c>
      <c r="K1303" s="9" t="str">
        <v/>
      </c>
      <c r="L1303" s="9" t="str">
        <v>3F2</v>
      </c>
      <c r="M1303" s="12">
        <v>46301</v>
      </c>
      <c r="N1303" s="5" t="str">
        <v/>
      </c>
      <c r="O1303" s="5">
        <v>97000</v>
      </c>
      <c r="P1303" s="5">
        <v>22</v>
      </c>
      <c r="Q1303" s="14">
        <v>46301</v>
      </c>
      <c r="R1303" s="15">
        <v>8</v>
      </c>
    </row>
    <row r="1304" spans="2:18" x14ac:dyDescent="0.35">
      <c r="B1304" s="9">
        <v>2343</v>
      </c>
      <c r="C1304" s="9" t="str">
        <v>출고재고</v>
      </c>
      <c r="D1304" s="9" t="str">
        <v/>
      </c>
      <c r="E1304" s="9" t="str">
        <v>입고</v>
      </c>
      <c r="F1304" s="9" t="str">
        <v>하이크로봇</v>
      </c>
      <c r="G1304" s="9" t="str">
        <v>장동은</v>
      </c>
      <c r="H1304" s="9" t="str">
        <v>RF-01S-5085</v>
      </c>
      <c r="I1304" s="11" t="str">
        <v>RF-01S-5085]FACE CAM</v>
      </c>
      <c r="J1304" s="9">
        <v>38</v>
      </c>
      <c r="K1304" s="9" t="str">
        <v/>
      </c>
      <c r="L1304" s="9" t="str">
        <v>3F9</v>
      </c>
      <c r="M1304" s="12">
        <v>46293</v>
      </c>
      <c r="N1304" s="5" t="str">
        <v/>
      </c>
      <c r="O1304" s="5">
        <v>97000</v>
      </c>
      <c r="P1304" s="5">
        <v>24</v>
      </c>
      <c r="Q1304" s="14">
        <v>46295</v>
      </c>
      <c r="R1304" s="15">
        <v>14</v>
      </c>
    </row>
    <row r="1305" spans="2:18" x14ac:dyDescent="0.35">
      <c r="B1305" s="9">
        <v>454</v>
      </c>
      <c r="C1305" s="9" t="str">
        <v>출고재고</v>
      </c>
      <c r="D1305" s="9" t="str">
        <v/>
      </c>
      <c r="E1305" s="9" t="str">
        <v/>
      </c>
      <c r="F1305" s="9" t="str">
        <v/>
      </c>
      <c r="G1305" s="9" t="str">
        <v/>
      </c>
      <c r="H1305" s="9" t="str">
        <v>RF-01S-5049</v>
      </c>
      <c r="I1305" s="11" t="str">
        <v>RF-01S-5049]Face Lens</v>
      </c>
      <c r="J1305" s="9">
        <v>40</v>
      </c>
      <c r="K1305" s="9" t="str">
        <v/>
      </c>
      <c r="L1305" s="9" t="str">
        <v>3L4-2</v>
      </c>
      <c r="M1305" s="12">
        <v>46259</v>
      </c>
      <c r="N1305" s="5" t="str">
        <v/>
      </c>
      <c r="O1305" s="5">
        <v>97000</v>
      </c>
      <c r="P1305" s="5">
        <v>40</v>
      </c>
      <c r="Q1305" s="14">
        <v>46287</v>
      </c>
      <c r="R1305" s="15">
        <v>0</v>
      </c>
    </row>
    <row r="1306" spans="2:18" x14ac:dyDescent="0.35">
      <c r="B1306" s="9">
        <v>1148</v>
      </c>
      <c r="C1306" s="9" t="str">
        <v>출고재고</v>
      </c>
      <c r="D1306" s="9" t="str">
        <v/>
      </c>
      <c r="E1306" s="9" t="str">
        <v>입고</v>
      </c>
      <c r="F1306" s="9" t="str">
        <v>하이크로봇</v>
      </c>
      <c r="G1306" s="9" t="str">
        <v>장동은</v>
      </c>
      <c r="H1306" s="9" t="str">
        <v>RF-01S-5095</v>
      </c>
      <c r="I1306" s="11" t="str">
        <v/>
      </c>
      <c r="J1306" s="9">
        <v>40</v>
      </c>
      <c r="K1306" s="9" t="str">
        <v/>
      </c>
      <c r="L1306" s="9" t="str">
        <v>3F10</v>
      </c>
      <c r="M1306" s="12">
        <v>46265</v>
      </c>
      <c r="N1306" s="5" t="str">
        <v/>
      </c>
      <c r="O1306" s="5">
        <v>97000</v>
      </c>
      <c r="P1306" s="5">
        <v>40</v>
      </c>
      <c r="Q1306" s="14">
        <v>46287</v>
      </c>
      <c r="R1306" s="15">
        <v>0</v>
      </c>
    </row>
    <row r="1307" spans="2:18" x14ac:dyDescent="0.35">
      <c r="B1307" s="9">
        <v>517</v>
      </c>
      <c r="C1307" s="9" t="str">
        <v>출고재고</v>
      </c>
      <c r="D1307" s="9" t="str">
        <v/>
      </c>
      <c r="E1307" s="9" t="str">
        <v/>
      </c>
      <c r="F1307" s="9" t="str">
        <v/>
      </c>
      <c r="G1307" s="9" t="str">
        <v/>
      </c>
      <c r="H1307" s="9" t="str">
        <v>RF-20A-0383</v>
      </c>
      <c r="I1307" s="11" t="str">
        <v/>
      </c>
      <c r="J1307" s="9">
        <v>42</v>
      </c>
      <c r="K1307" s="9" t="str">
        <v/>
      </c>
      <c r="L1307" s="9" t="str">
        <v>3L1-3</v>
      </c>
      <c r="M1307" s="12">
        <v>46268</v>
      </c>
      <c r="N1307" s="5" t="str">
        <v/>
      </c>
      <c r="O1307" s="5">
        <v>97000</v>
      </c>
      <c r="P1307" s="5">
        <v>42</v>
      </c>
      <c r="Q1307" s="14">
        <v>46287</v>
      </c>
      <c r="R1307" s="15">
        <v>0</v>
      </c>
    </row>
    <row r="1308" spans="2:18" x14ac:dyDescent="0.35">
      <c r="B1308" s="9">
        <v>1223</v>
      </c>
      <c r="C1308" s="9" t="str">
        <v>출고재고</v>
      </c>
      <c r="D1308" s="9" t="str">
        <v/>
      </c>
      <c r="E1308" s="9" t="str">
        <v>반납</v>
      </c>
      <c r="F1308" s="9" t="str">
        <v/>
      </c>
      <c r="G1308" s="9" t="str">
        <v/>
      </c>
      <c r="H1308" s="9" t="str">
        <v>RF-01H-5054</v>
      </c>
      <c r="I1308" s="11" t="str">
        <v>RF-01H-5054]DLP Power harness</v>
      </c>
      <c r="J1308" s="9">
        <v>43</v>
      </c>
      <c r="K1308" s="9" t="str">
        <v/>
      </c>
      <c r="L1308" s="9" t="str">
        <v>3S3-4</v>
      </c>
      <c r="M1308" s="12">
        <v>46287</v>
      </c>
      <c r="N1308" s="5" t="str">
        <v/>
      </c>
      <c r="O1308" s="5">
        <v>97000</v>
      </c>
      <c r="P1308" s="5">
        <v>34</v>
      </c>
      <c r="Q1308" s="14">
        <v>46287</v>
      </c>
      <c r="R1308" s="15">
        <v>9</v>
      </c>
    </row>
    <row r="1309" spans="2:18" x14ac:dyDescent="0.35">
      <c r="B1309" s="9">
        <v>453</v>
      </c>
      <c r="C1309" s="9" t="str">
        <v>출고재고</v>
      </c>
      <c r="D1309" s="9" t="str">
        <v/>
      </c>
      <c r="E1309" s="9" t="str">
        <v/>
      </c>
      <c r="F1309" s="9" t="str">
        <v/>
      </c>
      <c r="G1309" s="9" t="str">
        <v/>
      </c>
      <c r="H1309" s="9" t="str">
        <v>RF-20A-0378</v>
      </c>
      <c r="I1309" s="11" t="str">
        <v>MODULE ARM LEFT</v>
      </c>
      <c r="J1309" s="9">
        <v>43</v>
      </c>
      <c r="K1309" s="9" t="str">
        <v/>
      </c>
      <c r="L1309" s="9" t="str">
        <v>94760</v>
      </c>
      <c r="M1309" s="12">
        <v>46259</v>
      </c>
      <c r="N1309" s="5" t="str">
        <v/>
      </c>
      <c r="O1309" s="5">
        <v>97000</v>
      </c>
      <c r="P1309" s="5">
        <v>43</v>
      </c>
      <c r="Q1309" s="14">
        <v>46287</v>
      </c>
      <c r="R1309" s="15">
        <v>0</v>
      </c>
    </row>
    <row r="1310" spans="2:18" x14ac:dyDescent="0.35">
      <c r="B1310" s="9">
        <v>1226</v>
      </c>
      <c r="C1310" s="9" t="str">
        <v>출고재고</v>
      </c>
      <c r="D1310" s="9" t="str">
        <v/>
      </c>
      <c r="E1310" s="9" t="str">
        <v>반납</v>
      </c>
      <c r="F1310" s="9" t="str">
        <v/>
      </c>
      <c r="G1310" s="9" t="str">
        <v/>
      </c>
      <c r="H1310" s="9" t="str">
        <v>RD-01G-0502</v>
      </c>
      <c r="I1310" s="11" t="str">
        <v>RD-01G-0502]SPONGE)UV SNSR</v>
      </c>
      <c r="J1310" s="9">
        <v>44</v>
      </c>
      <c r="K1310" s="9" t="str">
        <v/>
      </c>
      <c r="L1310" s="9" t="str">
        <v>3S3-1</v>
      </c>
      <c r="M1310" s="12">
        <v>46287</v>
      </c>
      <c r="N1310" s="5" t="str">
        <v/>
      </c>
      <c r="O1310" s="5">
        <v>97000</v>
      </c>
      <c r="P1310" s="5">
        <v>23</v>
      </c>
      <c r="Q1310" s="14">
        <v>46287</v>
      </c>
      <c r="R1310" s="15">
        <v>21</v>
      </c>
    </row>
    <row r="1311" spans="2:18" x14ac:dyDescent="0.35">
      <c r="B1311" s="9">
        <v>1245</v>
      </c>
      <c r="C1311" s="9" t="str">
        <v>출고재고</v>
      </c>
      <c r="D1311" s="9" t="str">
        <v/>
      </c>
      <c r="E1311" s="9" t="str">
        <v>반납</v>
      </c>
      <c r="F1311" s="9" t="str">
        <v/>
      </c>
      <c r="G1311" s="9" t="str">
        <v/>
      </c>
      <c r="H1311" s="9" t="str">
        <v>RF-01S-5083</v>
      </c>
      <c r="I1311" s="11" t="str">
        <v>RF-01S-5083]CAM Trigger_L-R harness</v>
      </c>
      <c r="J1311" s="9">
        <v>44</v>
      </c>
      <c r="K1311" s="9" t="str">
        <v/>
      </c>
      <c r="L1311" s="9" t="str">
        <v>3L3-3</v>
      </c>
      <c r="M1311" s="12">
        <v>46287</v>
      </c>
      <c r="N1311" s="5" t="str">
        <v/>
      </c>
      <c r="O1311" s="5">
        <v>97000</v>
      </c>
      <c r="P1311" s="5">
        <v>44</v>
      </c>
      <c r="Q1311" s="14">
        <v>46287</v>
      </c>
      <c r="R1311" s="15">
        <v>0</v>
      </c>
    </row>
    <row r="1312" spans="2:18" x14ac:dyDescent="0.35">
      <c r="B1312" s="9">
        <v>452</v>
      </c>
      <c r="C1312" s="9" t="str">
        <v>출고재고</v>
      </c>
      <c r="D1312" s="9" t="str">
        <v/>
      </c>
      <c r="E1312" s="9" t="str">
        <v/>
      </c>
      <c r="F1312" s="9" t="str">
        <v/>
      </c>
      <c r="G1312" s="9" t="str">
        <v/>
      </c>
      <c r="H1312" s="9" t="str">
        <v>RF-01H-5068</v>
      </c>
      <c r="I1312" s="11" t="str">
        <v>RF-01H-5068]LED_Left harness</v>
      </c>
      <c r="J1312" s="9">
        <v>45</v>
      </c>
      <c r="K1312" s="9" t="str">
        <v/>
      </c>
      <c r="L1312" s="9" t="str">
        <v>3S3-5</v>
      </c>
      <c r="M1312" s="12">
        <v>46259</v>
      </c>
      <c r="N1312" s="5" t="str">
        <v/>
      </c>
      <c r="O1312" s="5">
        <v>97000</v>
      </c>
      <c r="P1312" s="5">
        <v>45</v>
      </c>
      <c r="Q1312" s="14">
        <v>46287</v>
      </c>
      <c r="R1312" s="15">
        <v>0</v>
      </c>
    </row>
    <row r="1313" spans="2:18" x14ac:dyDescent="0.35">
      <c r="B1313" s="9">
        <v>1194</v>
      </c>
      <c r="C1313" s="9" t="str">
        <v>출고재고</v>
      </c>
      <c r="D1313" s="9" t="str">
        <v/>
      </c>
      <c r="E1313" s="9" t="str">
        <v>반납</v>
      </c>
      <c r="F1313" s="9" t="str">
        <v/>
      </c>
      <c r="G1313" s="9" t="str">
        <v/>
      </c>
      <c r="H1313" s="9" t="str">
        <v>RF-01T-0210</v>
      </c>
      <c r="I1313" s="11" t="str">
        <v>RF-01T-0210]CVR FRONT MID L</v>
      </c>
      <c r="J1313" s="9">
        <v>45</v>
      </c>
      <c r="K1313" s="9" t="str">
        <v/>
      </c>
      <c r="L1313" s="9" t="str">
        <v>3L3-1</v>
      </c>
      <c r="M1313" s="12">
        <v>46287</v>
      </c>
      <c r="N1313" s="5" t="str">
        <v/>
      </c>
      <c r="O1313" s="5">
        <v>97000</v>
      </c>
      <c r="P1313" s="5">
        <v>45</v>
      </c>
      <c r="Q1313" s="14">
        <v>46287</v>
      </c>
      <c r="R1313" s="15">
        <v>0</v>
      </c>
    </row>
    <row r="1314" spans="2:18" x14ac:dyDescent="0.35">
      <c r="B1314" s="9">
        <v>512</v>
      </c>
      <c r="C1314" s="9" t="str">
        <v>출고재고</v>
      </c>
      <c r="D1314" s="9" t="str">
        <v/>
      </c>
      <c r="E1314" s="9" t="str">
        <v/>
      </c>
      <c r="F1314" s="9" t="str">
        <v/>
      </c>
      <c r="G1314" s="9" t="str">
        <v/>
      </c>
      <c r="H1314" s="9" t="str">
        <v>RF-01S-5094</v>
      </c>
      <c r="I1314" s="11" t="str">
        <v/>
      </c>
      <c r="J1314" s="9">
        <v>47</v>
      </c>
      <c r="K1314" s="9" t="str">
        <v/>
      </c>
      <c r="L1314" s="9" t="str">
        <v>3F10</v>
      </c>
      <c r="M1314" s="12">
        <v>46268</v>
      </c>
      <c r="N1314" s="5" t="str">
        <v/>
      </c>
      <c r="O1314" s="5">
        <v>97000</v>
      </c>
      <c r="P1314" s="5">
        <v>47</v>
      </c>
      <c r="Q1314" s="14">
        <v>46287</v>
      </c>
      <c r="R1314" s="15">
        <v>0</v>
      </c>
    </row>
    <row r="1315" spans="2:18" x14ac:dyDescent="0.35">
      <c r="B1315" s="9">
        <v>510</v>
      </c>
      <c r="C1315" s="9" t="str">
        <v>출고재고</v>
      </c>
      <c r="D1315" s="9" t="str">
        <v/>
      </c>
      <c r="E1315" s="9" t="str">
        <v/>
      </c>
      <c r="F1315" s="9" t="str">
        <v/>
      </c>
      <c r="G1315" s="9" t="str">
        <v/>
      </c>
      <c r="H1315" s="9" t="str">
        <v>RF-01S-5096</v>
      </c>
      <c r="I1315" s="11" t="str">
        <v/>
      </c>
      <c r="J1315" s="9">
        <v>49</v>
      </c>
      <c r="K1315" s="9" t="str">
        <v/>
      </c>
      <c r="L1315" s="9" t="str">
        <v>3F1</v>
      </c>
      <c r="M1315" s="12">
        <v>46268</v>
      </c>
      <c r="N1315" s="5" t="str">
        <v/>
      </c>
      <c r="O1315" s="5">
        <v>97000</v>
      </c>
      <c r="P1315" s="5">
        <v>49</v>
      </c>
      <c r="Q1315" s="14">
        <v>46287</v>
      </c>
      <c r="R1315" s="15">
        <v>0</v>
      </c>
    </row>
    <row r="1316" spans="2:18" x14ac:dyDescent="0.35">
      <c r="B1316" s="9">
        <v>451</v>
      </c>
      <c r="C1316" s="9" t="str">
        <v>출고재고</v>
      </c>
      <c r="D1316" s="9" t="str">
        <v/>
      </c>
      <c r="E1316" s="9" t="str">
        <v/>
      </c>
      <c r="F1316" s="9" t="str">
        <v/>
      </c>
      <c r="G1316" s="9" t="str">
        <v/>
      </c>
      <c r="H1316" s="9" t="str">
        <v>RF-01B-5038</v>
      </c>
      <c r="I1316" s="11" t="str">
        <v>RF-01B-5038] BOTTOM LED BOARD</v>
      </c>
      <c r="J1316" s="9">
        <v>50</v>
      </c>
      <c r="K1316" s="9" t="str">
        <v/>
      </c>
      <c r="L1316" s="9" t="str">
        <v>A6-4</v>
      </c>
      <c r="M1316" s="12">
        <v>46259</v>
      </c>
      <c r="N1316" s="5" t="str">
        <v/>
      </c>
      <c r="O1316" s="5">
        <v>97000</v>
      </c>
      <c r="P1316" s="5">
        <v>50</v>
      </c>
      <c r="Q1316" s="14">
        <v>46287</v>
      </c>
      <c r="R1316" s="15">
        <v>0</v>
      </c>
    </row>
    <row r="1317" spans="2:18" x14ac:dyDescent="0.35">
      <c r="B1317" s="9">
        <v>448</v>
      </c>
      <c r="C1317" s="9" t="str">
        <v>출고재고</v>
      </c>
      <c r="D1317" s="9" t="str">
        <v/>
      </c>
      <c r="E1317" s="9" t="str">
        <v/>
      </c>
      <c r="F1317" s="9" t="str">
        <v/>
      </c>
      <c r="G1317" s="9" t="str">
        <v/>
      </c>
      <c r="H1317" s="9" t="str">
        <v>RF-01B-5073</v>
      </c>
      <c r="I1317" s="11" t="str">
        <v>RF-01B-5073]DMD FPC Cable</v>
      </c>
      <c r="J1317" s="9">
        <v>50</v>
      </c>
      <c r="K1317" s="9" t="str">
        <v/>
      </c>
      <c r="L1317" s="9" t="str">
        <v>A5-3</v>
      </c>
      <c r="M1317" s="12">
        <v>46259</v>
      </c>
      <c r="N1317" s="5" t="str">
        <v/>
      </c>
      <c r="O1317" s="5">
        <v>97000</v>
      </c>
      <c r="P1317" s="5">
        <v>50</v>
      </c>
      <c r="Q1317" s="14">
        <v>46287</v>
      </c>
      <c r="R1317" s="15">
        <v>0</v>
      </c>
    </row>
    <row r="1318" spans="2:18" x14ac:dyDescent="0.35">
      <c r="B1318" s="9">
        <v>1278</v>
      </c>
      <c r="C1318" s="9" t="str">
        <v>출고재고</v>
      </c>
      <c r="D1318" s="9" t="str">
        <v/>
      </c>
      <c r="E1318" s="9" t="str">
        <v>입고</v>
      </c>
      <c r="F1318" s="9" t="str">
        <v>에이투케이</v>
      </c>
      <c r="G1318" s="9" t="str">
        <v>유영국</v>
      </c>
      <c r="H1318" s="9" t="str">
        <v>RF-01H-5052</v>
      </c>
      <c r="I1318" s="11" t="str">
        <v>RF-01H-5052]USB TO SBC HARNESS</v>
      </c>
      <c r="J1318" s="9">
        <v>50</v>
      </c>
      <c r="K1318" s="9" t="str">
        <v/>
      </c>
      <c r="L1318" s="9" t="str">
        <v>3S3-4</v>
      </c>
      <c r="M1318" s="12">
        <v>46272</v>
      </c>
      <c r="N1318" s="5" t="str">
        <v/>
      </c>
      <c r="O1318" s="5">
        <v>97000</v>
      </c>
      <c r="P1318" s="5">
        <v>50</v>
      </c>
      <c r="Q1318" s="14">
        <v>46287</v>
      </c>
      <c r="R1318" s="15">
        <v>0</v>
      </c>
    </row>
    <row r="1319" spans="2:18" x14ac:dyDescent="0.35">
      <c r="B1319" s="9">
        <v>1273</v>
      </c>
      <c r="C1319" s="9" t="str">
        <v>출고재고</v>
      </c>
      <c r="D1319" s="9" t="str">
        <v/>
      </c>
      <c r="E1319" s="9" t="str">
        <v>입고</v>
      </c>
      <c r="F1319" s="9" t="str">
        <v>에이투케이</v>
      </c>
      <c r="G1319" s="9" t="str">
        <v>유영국</v>
      </c>
      <c r="H1319" s="9" t="str">
        <v>RF-01H-5053</v>
      </c>
      <c r="I1319" s="11" t="str">
        <v>RF-01H-5053]USB to PC harness</v>
      </c>
      <c r="J1319" s="9">
        <v>50</v>
      </c>
      <c r="K1319" s="9" t="str">
        <v/>
      </c>
      <c r="L1319" s="9" t="str">
        <v>3S3-4</v>
      </c>
      <c r="M1319" s="12">
        <v>46272</v>
      </c>
      <c r="N1319" s="5" t="str">
        <v/>
      </c>
      <c r="O1319" s="5">
        <v>97000</v>
      </c>
      <c r="P1319" s="5">
        <v>13</v>
      </c>
      <c r="Q1319" s="14">
        <v>46287</v>
      </c>
      <c r="R1319" s="15">
        <v>37</v>
      </c>
    </row>
    <row r="1320" spans="2:18" x14ac:dyDescent="0.35">
      <c r="B1320" s="9">
        <v>1287</v>
      </c>
      <c r="C1320" s="9" t="str">
        <v>출고재고</v>
      </c>
      <c r="D1320" s="9" t="str">
        <v/>
      </c>
      <c r="E1320" s="9" t="str">
        <v>입고</v>
      </c>
      <c r="F1320" s="9" t="str">
        <v>에이투케이</v>
      </c>
      <c r="G1320" s="9" t="str">
        <v>유영국</v>
      </c>
      <c r="H1320" s="9" t="str">
        <v>RF-01H-5055</v>
      </c>
      <c r="I1320" s="11" t="str">
        <v>RF-01H-5055]LED Power harness</v>
      </c>
      <c r="J1320" s="9">
        <v>50</v>
      </c>
      <c r="K1320" s="9" t="str">
        <v/>
      </c>
      <c r="L1320" s="9" t="str">
        <v>3S3-4</v>
      </c>
      <c r="M1320" s="12">
        <v>46272</v>
      </c>
      <c r="N1320" s="5" t="str">
        <v/>
      </c>
      <c r="O1320" s="5">
        <v>97000</v>
      </c>
      <c r="P1320" s="5">
        <v>50</v>
      </c>
      <c r="Q1320" s="14">
        <v>46287</v>
      </c>
      <c r="R1320" s="15">
        <v>0</v>
      </c>
    </row>
    <row r="1321" spans="2:18" x14ac:dyDescent="0.35">
      <c r="B1321" s="9">
        <v>331</v>
      </c>
      <c r="C1321" s="9" t="str">
        <v>출고재고</v>
      </c>
      <c r="D1321" s="9" t="str">
        <v/>
      </c>
      <c r="E1321" s="9" t="str">
        <v>입고</v>
      </c>
      <c r="F1321" s="9" t="str">
        <v/>
      </c>
      <c r="G1321" s="9" t="str">
        <v/>
      </c>
      <c r="H1321" s="9" t="str">
        <v>RF-01H-5056</v>
      </c>
      <c r="I1321" s="11" t="str">
        <v>RF-01H-5056]LED PWM harness</v>
      </c>
      <c r="J1321" s="9">
        <v>50</v>
      </c>
      <c r="K1321" s="9" t="str">
        <v/>
      </c>
      <c r="L1321" s="9" t="str">
        <v>3S3-4</v>
      </c>
      <c r="M1321" s="12">
        <v>46253</v>
      </c>
      <c r="N1321" s="5" t="str">
        <v/>
      </c>
      <c r="O1321" s="5">
        <v>97000</v>
      </c>
      <c r="P1321" s="5">
        <v>50</v>
      </c>
      <c r="Q1321" s="14">
        <v>46287</v>
      </c>
      <c r="R1321" s="15">
        <v>0</v>
      </c>
    </row>
    <row r="1322" spans="2:18" x14ac:dyDescent="0.35">
      <c r="B1322" s="9">
        <v>447</v>
      </c>
      <c r="C1322" s="9" t="str">
        <v>출고재고</v>
      </c>
      <c r="D1322" s="9" t="str">
        <v/>
      </c>
      <c r="E1322" s="9" t="str">
        <v/>
      </c>
      <c r="F1322" s="9" t="str">
        <v/>
      </c>
      <c r="G1322" s="9" t="str">
        <v/>
      </c>
      <c r="H1322" s="9" t="str">
        <v>RF-01H-5065</v>
      </c>
      <c r="I1322" s="11" t="str">
        <v>RF-01H-5065]Main Power harness</v>
      </c>
      <c r="J1322" s="9">
        <v>50</v>
      </c>
      <c r="K1322" s="9" t="str">
        <v/>
      </c>
      <c r="L1322" s="9" t="str">
        <v>3S3-5</v>
      </c>
      <c r="M1322" s="12">
        <v>46259</v>
      </c>
      <c r="N1322" s="5" t="str">
        <v/>
      </c>
      <c r="O1322" s="5">
        <v>97000</v>
      </c>
      <c r="P1322" s="5">
        <v>50</v>
      </c>
      <c r="Q1322" s="14">
        <v>46287</v>
      </c>
      <c r="R1322" s="15">
        <v>0</v>
      </c>
    </row>
    <row r="1323" spans="2:18" x14ac:dyDescent="0.35">
      <c r="B1323" s="9">
        <v>1284</v>
      </c>
      <c r="C1323" s="9" t="str">
        <v>출고재고</v>
      </c>
      <c r="D1323" s="9" t="str">
        <v/>
      </c>
      <c r="E1323" s="9" t="str">
        <v>입고</v>
      </c>
      <c r="F1323" s="9" t="str">
        <v>에이투케이</v>
      </c>
      <c r="G1323" s="9" t="str">
        <v>유영국</v>
      </c>
      <c r="H1323" s="9" t="str">
        <v>RF-01H-5067</v>
      </c>
      <c r="I1323" s="11" t="str">
        <v>RF-01H-5067]LED_Right harness</v>
      </c>
      <c r="J1323" s="9">
        <v>50</v>
      </c>
      <c r="K1323" s="9" t="str">
        <v/>
      </c>
      <c r="L1323" s="9" t="str">
        <v>3S3-5</v>
      </c>
      <c r="M1323" s="12">
        <v>46272</v>
      </c>
      <c r="N1323" s="5" t="str">
        <v/>
      </c>
      <c r="O1323" s="5">
        <v>97000</v>
      </c>
      <c r="P1323" s="5">
        <v>50</v>
      </c>
      <c r="Q1323" s="14">
        <v>46287</v>
      </c>
      <c r="R1323" s="15">
        <v>0</v>
      </c>
    </row>
    <row r="1324" spans="2:18" x14ac:dyDescent="0.35">
      <c r="B1324" s="9">
        <v>1281</v>
      </c>
      <c r="C1324" s="9" t="str">
        <v>출고재고</v>
      </c>
      <c r="D1324" s="9" t="str">
        <v/>
      </c>
      <c r="E1324" s="9" t="str">
        <v>입고</v>
      </c>
      <c r="F1324" s="9" t="str">
        <v>에이투케이</v>
      </c>
      <c r="G1324" s="9" t="str">
        <v>유영국</v>
      </c>
      <c r="H1324" s="9" t="str">
        <v>RF-01H-5069</v>
      </c>
      <c r="I1324" s="11" t="str">
        <v>RF-01H-5069]LED_Bottom harness</v>
      </c>
      <c r="J1324" s="9">
        <v>50</v>
      </c>
      <c r="K1324" s="9" t="str">
        <v/>
      </c>
      <c r="L1324" s="9" t="str">
        <v>3S3-5</v>
      </c>
      <c r="M1324" s="12">
        <v>46272</v>
      </c>
      <c r="N1324" s="5" t="str">
        <v/>
      </c>
      <c r="O1324" s="5">
        <v>97000</v>
      </c>
      <c r="P1324" s="5">
        <v>50</v>
      </c>
      <c r="Q1324" s="14">
        <v>46287</v>
      </c>
      <c r="R1324" s="15">
        <v>0</v>
      </c>
    </row>
    <row r="1325" spans="2:18" x14ac:dyDescent="0.35">
      <c r="B1325" s="9">
        <v>450</v>
      </c>
      <c r="C1325" s="9" t="str">
        <v>출고재고</v>
      </c>
      <c r="D1325" s="9" t="str">
        <v/>
      </c>
      <c r="E1325" s="9" t="str">
        <v/>
      </c>
      <c r="F1325" s="9" t="str">
        <v/>
      </c>
      <c r="G1325" s="9" t="str">
        <v/>
      </c>
      <c r="H1325" s="9" t="str">
        <v>RF-01H-5070</v>
      </c>
      <c r="I1325" s="11" t="str">
        <v>RF-01H-5070]Power Switch harness</v>
      </c>
      <c r="J1325" s="9">
        <v>50</v>
      </c>
      <c r="K1325" s="9" t="str">
        <v/>
      </c>
      <c r="L1325" s="9" t="str">
        <v>3S3-6</v>
      </c>
      <c r="M1325" s="12">
        <v>46259</v>
      </c>
      <c r="N1325" s="5" t="str">
        <v/>
      </c>
      <c r="O1325" s="5">
        <v>97000</v>
      </c>
      <c r="P1325" s="5">
        <v>50</v>
      </c>
      <c r="Q1325" s="14">
        <v>46287</v>
      </c>
      <c r="R1325" s="15">
        <v>0</v>
      </c>
    </row>
    <row r="1326" spans="2:18" x14ac:dyDescent="0.35">
      <c r="B1326" s="9">
        <v>1271</v>
      </c>
      <c r="C1326" s="9" t="str">
        <v>출고재고</v>
      </c>
      <c r="D1326" s="9" t="str">
        <v/>
      </c>
      <c r="E1326" s="9" t="str">
        <v>입고</v>
      </c>
      <c r="F1326" s="9" t="str">
        <v>에이투케이</v>
      </c>
      <c r="G1326" s="9" t="str">
        <v>유영국</v>
      </c>
      <c r="H1326" s="9" t="str">
        <v>RF-01H-5071</v>
      </c>
      <c r="I1326" s="11" t="str">
        <v>RF-01H-5071]SBC LAN Cable</v>
      </c>
      <c r="J1326" s="9">
        <v>50</v>
      </c>
      <c r="K1326" s="9" t="str">
        <v/>
      </c>
      <c r="L1326" s="9" t="str">
        <v>3S3-6</v>
      </c>
      <c r="M1326" s="12">
        <v>46272</v>
      </c>
      <c r="N1326" s="5" t="str">
        <v/>
      </c>
      <c r="O1326" s="5">
        <v>97000</v>
      </c>
      <c r="P1326" s="5">
        <v>20</v>
      </c>
      <c r="Q1326" s="14">
        <v>46287</v>
      </c>
      <c r="R1326" s="15">
        <v>30</v>
      </c>
    </row>
    <row r="1327" spans="2:18" x14ac:dyDescent="0.35">
      <c r="B1327" s="9">
        <v>1272</v>
      </c>
      <c r="C1327" s="9" t="str">
        <v>출고재고</v>
      </c>
      <c r="D1327" s="9" t="str">
        <v/>
      </c>
      <c r="E1327" s="9" t="str">
        <v>입고</v>
      </c>
      <c r="F1327" s="9" t="str">
        <v>에이투케이</v>
      </c>
      <c r="G1327" s="9" t="str">
        <v>유영국</v>
      </c>
      <c r="H1327" s="9" t="str">
        <v>RF-01H-5075</v>
      </c>
      <c r="I1327" s="11" t="str">
        <v>RF-01H-5075] USB to Cal kit harness</v>
      </c>
      <c r="J1327" s="9">
        <v>50</v>
      </c>
      <c r="K1327" s="9" t="str">
        <v/>
      </c>
      <c r="L1327" s="9" t="str">
        <v>3S3-6</v>
      </c>
      <c r="M1327" s="12">
        <v>46272</v>
      </c>
      <c r="N1327" s="5" t="str">
        <v/>
      </c>
      <c r="O1327" s="5">
        <v>97000</v>
      </c>
      <c r="P1327" s="5">
        <v>13</v>
      </c>
      <c r="Q1327" s="14">
        <v>46287</v>
      </c>
      <c r="R1327" s="15">
        <v>37</v>
      </c>
    </row>
    <row r="1328" spans="2:18" x14ac:dyDescent="0.35">
      <c r="B1328" s="9">
        <v>1352</v>
      </c>
      <c r="C1328" s="9" t="str">
        <v>출고재고</v>
      </c>
      <c r="D1328" s="9" t="str">
        <v/>
      </c>
      <c r="E1328" s="9" t="str">
        <v>입고</v>
      </c>
      <c r="F1328" s="9" t="str">
        <v>A&amp;T</v>
      </c>
      <c r="G1328" s="9" t="str">
        <v>조영우</v>
      </c>
      <c r="H1328" s="9" t="str">
        <v>RF-01M-0268</v>
      </c>
      <c r="I1328" s="11" t="str">
        <v>RF-01M-0268]TEETH CAM BLK_HR</v>
      </c>
      <c r="J1328" s="9">
        <v>50</v>
      </c>
      <c r="K1328" s="9" t="str">
        <v/>
      </c>
      <c r="L1328" s="9" t="str">
        <v>3S2-1</v>
      </c>
      <c r="M1328" s="12">
        <v>46261</v>
      </c>
      <c r="N1328" s="5" t="str">
        <v/>
      </c>
      <c r="O1328" s="5">
        <v>97000</v>
      </c>
      <c r="P1328" s="5">
        <v>50</v>
      </c>
      <c r="Q1328" s="14">
        <v>46287</v>
      </c>
      <c r="R1328" s="15">
        <v>0</v>
      </c>
    </row>
    <row r="1329" spans="2:18" x14ac:dyDescent="0.35">
      <c r="B1329" s="9">
        <v>344</v>
      </c>
      <c r="C1329" s="9" t="str">
        <v>출고재고</v>
      </c>
      <c r="D1329" s="9" t="str">
        <v/>
      </c>
      <c r="E1329" s="9" t="str">
        <v>입고</v>
      </c>
      <c r="F1329" s="9" t="str">
        <v/>
      </c>
      <c r="G1329" s="9" t="str">
        <v/>
      </c>
      <c r="H1329" s="9" t="str">
        <v>RF-01M-0395</v>
      </c>
      <c r="I1329" s="11" t="str">
        <v>RF-01M-0395]BLOCK BASE BOTTOM</v>
      </c>
      <c r="J1329" s="9">
        <v>50</v>
      </c>
      <c r="K1329" s="9" t="str">
        <v/>
      </c>
      <c r="L1329" s="9" t="str">
        <v>3E5</v>
      </c>
      <c r="M1329" s="12">
        <v>46252</v>
      </c>
      <c r="N1329" s="5" t="str">
        <v/>
      </c>
      <c r="O1329" s="5">
        <v>97000</v>
      </c>
      <c r="P1329" s="5">
        <v>50</v>
      </c>
      <c r="Q1329" s="14">
        <v>46287</v>
      </c>
      <c r="R1329" s="15">
        <v>0</v>
      </c>
    </row>
    <row r="1330" spans="2:18" x14ac:dyDescent="0.35">
      <c r="B1330" s="9">
        <v>346</v>
      </c>
      <c r="C1330" s="9" t="str">
        <v>출고재고</v>
      </c>
      <c r="D1330" s="9" t="str">
        <v/>
      </c>
      <c r="E1330" s="9" t="str">
        <v>입고</v>
      </c>
      <c r="F1330" s="9" t="str">
        <v/>
      </c>
      <c r="G1330" s="9" t="str">
        <v/>
      </c>
      <c r="H1330" s="9" t="str">
        <v>RF-01M-0398</v>
      </c>
      <c r="I1330" s="11" t="str">
        <v>RF-01M-0398]COVER TOP</v>
      </c>
      <c r="J1330" s="9">
        <v>50</v>
      </c>
      <c r="K1330" s="9" t="str">
        <v/>
      </c>
      <c r="L1330" s="9" t="str">
        <v>3E5</v>
      </c>
      <c r="M1330" s="12">
        <v>46252</v>
      </c>
      <c r="N1330" s="5" t="str">
        <v/>
      </c>
      <c r="O1330" s="5">
        <v>97000</v>
      </c>
      <c r="P1330" s="5">
        <v>50</v>
      </c>
      <c r="Q1330" s="14">
        <v>46287</v>
      </c>
      <c r="R1330" s="15">
        <v>0</v>
      </c>
    </row>
    <row r="1331" spans="2:18" x14ac:dyDescent="0.35">
      <c r="B1331" s="9">
        <v>1345</v>
      </c>
      <c r="C1331" s="9" t="str">
        <v>출고재고</v>
      </c>
      <c r="D1331" s="9" t="str">
        <v/>
      </c>
      <c r="E1331" s="9" t="str">
        <v>입고</v>
      </c>
      <c r="F1331" s="9" t="str">
        <v>클레어옵틱</v>
      </c>
      <c r="G1331" s="9" t="str">
        <v>장동은</v>
      </c>
      <c r="H1331" s="9" t="str">
        <v>RF-01S-5046</v>
      </c>
      <c r="I1331" s="11" t="str">
        <v>RF-01S-5046]DLP ENGINE</v>
      </c>
      <c r="J1331" s="9">
        <v>50</v>
      </c>
      <c r="K1331" s="9" t="str">
        <v/>
      </c>
      <c r="L1331" s="9" t="str">
        <v>3C7</v>
      </c>
      <c r="M1331" s="12">
        <v>46283</v>
      </c>
      <c r="N1331" s="5" t="str">
        <v/>
      </c>
      <c r="O1331" s="5">
        <v>97000</v>
      </c>
      <c r="P1331" s="5">
        <v>9</v>
      </c>
      <c r="Q1331" s="14">
        <v>46287</v>
      </c>
      <c r="R1331" s="15">
        <v>41</v>
      </c>
    </row>
    <row r="1332" spans="2:18" x14ac:dyDescent="0.35">
      <c r="B1332" s="9">
        <v>1282</v>
      </c>
      <c r="C1332" s="9" t="str">
        <v>출고재고</v>
      </c>
      <c r="D1332" s="9" t="str">
        <v/>
      </c>
      <c r="E1332" s="9" t="str">
        <v>입고</v>
      </c>
      <c r="F1332" s="9" t="str">
        <v>A&amp;T</v>
      </c>
      <c r="G1332" s="9" t="str">
        <v>조영우</v>
      </c>
      <c r="H1332" s="9" t="str">
        <v>RF-01V-0209</v>
      </c>
      <c r="I1332" s="11" t="str">
        <v>RF-01V-0209]FRONT BRK TOP</v>
      </c>
      <c r="J1332" s="9">
        <v>50</v>
      </c>
      <c r="K1332" s="9" t="str">
        <v/>
      </c>
      <c r="L1332" s="9" t="str">
        <v>3L4-5</v>
      </c>
      <c r="M1332" s="12">
        <v>46261</v>
      </c>
      <c r="N1332" s="5" t="str">
        <v/>
      </c>
      <c r="O1332" s="5">
        <v>97000</v>
      </c>
      <c r="P1332" s="5">
        <v>50</v>
      </c>
      <c r="Q1332" s="14">
        <v>46287</v>
      </c>
      <c r="R1332" s="15">
        <v>0</v>
      </c>
    </row>
    <row r="1333" spans="2:18" x14ac:dyDescent="0.35">
      <c r="B1333" s="9">
        <v>1149</v>
      </c>
      <c r="C1333" s="9" t="str">
        <v>출고재고</v>
      </c>
      <c r="D1333" s="9" t="str">
        <v/>
      </c>
      <c r="E1333" s="9" t="str">
        <v>입고</v>
      </c>
      <c r="F1333" s="9" t="str">
        <v>A&amp;T</v>
      </c>
      <c r="G1333" s="9" t="str">
        <v>조영우</v>
      </c>
      <c r="H1333" s="9" t="str">
        <v>RF-20A-0280</v>
      </c>
      <c r="I1333" s="11" t="str">
        <v>RF-20A-0280]MODULE DLP MCU BRACKET</v>
      </c>
      <c r="J1333" s="9">
        <v>50</v>
      </c>
      <c r="K1333" s="9" t="str">
        <v/>
      </c>
      <c r="L1333" s="9" t="str">
        <v>3F2</v>
      </c>
      <c r="M1333" s="12">
        <v>46261</v>
      </c>
      <c r="N1333" s="5" t="str">
        <v/>
      </c>
      <c r="O1333" s="5">
        <v>97000</v>
      </c>
      <c r="P1333" s="5">
        <v>50</v>
      </c>
      <c r="Q1333" s="14">
        <v>46287</v>
      </c>
      <c r="R1333" s="15">
        <v>0</v>
      </c>
    </row>
    <row r="1334" spans="2:18" x14ac:dyDescent="0.35">
      <c r="B1334" s="9">
        <v>1274</v>
      </c>
      <c r="C1334" s="9" t="str">
        <v>출고재고</v>
      </c>
      <c r="D1334" s="9" t="str">
        <v/>
      </c>
      <c r="E1334" s="9" t="str">
        <v>입고</v>
      </c>
      <c r="F1334" s="9" t="str">
        <v>A&amp;T</v>
      </c>
      <c r="G1334" s="9" t="str">
        <v>조영우</v>
      </c>
      <c r="H1334" s="9" t="str">
        <v>RF-20A-0382</v>
      </c>
      <c r="I1334" s="11" t="str">
        <v/>
      </c>
      <c r="J1334" s="9">
        <v>50</v>
      </c>
      <c r="K1334" s="9" t="str">
        <v/>
      </c>
      <c r="L1334" s="9" t="str">
        <v>3C6</v>
      </c>
      <c r="M1334" s="12">
        <v>46273</v>
      </c>
      <c r="N1334" s="5" t="str">
        <v/>
      </c>
      <c r="O1334" s="5">
        <v>97000</v>
      </c>
      <c r="P1334" s="5">
        <v>50</v>
      </c>
      <c r="Q1334" s="14">
        <v>46287</v>
      </c>
      <c r="R1334" s="15">
        <v>0</v>
      </c>
    </row>
    <row r="1335" spans="2:18" x14ac:dyDescent="0.35">
      <c r="B1335" s="9">
        <v>2346</v>
      </c>
      <c r="C1335" s="9" t="str">
        <v>출고재고</v>
      </c>
      <c r="D1335" s="9" t="str">
        <v/>
      </c>
      <c r="E1335" s="9" t="str">
        <v>입고</v>
      </c>
      <c r="F1335" s="9" t="str">
        <v>하이크로봇</v>
      </c>
      <c r="G1335" s="9" t="str">
        <v>장동은</v>
      </c>
      <c r="H1335" s="9" t="str">
        <v>RF-01S-5084</v>
      </c>
      <c r="I1335" s="11" t="str">
        <v>RF-01S-5084]CAM Trigger_C harness</v>
      </c>
      <c r="J1335" s="9">
        <v>50</v>
      </c>
      <c r="K1335" s="9" t="str">
        <v/>
      </c>
      <c r="L1335" s="9" t="str">
        <v>3L3-2</v>
      </c>
      <c r="M1335" s="12">
        <v>46293</v>
      </c>
      <c r="N1335" s="5" t="str">
        <v/>
      </c>
      <c r="O1335" s="5">
        <v>97000</v>
      </c>
      <c r="P1335" s="5">
        <v>13</v>
      </c>
      <c r="Q1335" s="14">
        <v>46295</v>
      </c>
      <c r="R1335" s="15">
        <v>37</v>
      </c>
    </row>
    <row r="1336" spans="2:18" x14ac:dyDescent="0.35">
      <c r="B1336" s="9">
        <v>2350</v>
      </c>
      <c r="C1336" s="9" t="str">
        <v>출고재고</v>
      </c>
      <c r="D1336" s="9" t="str">
        <v/>
      </c>
      <c r="E1336" s="9" t="str">
        <v>입고</v>
      </c>
      <c r="F1336" s="9" t="str">
        <v>하이크로봇</v>
      </c>
      <c r="G1336" s="9" t="str">
        <v>장동은</v>
      </c>
      <c r="H1336" s="9" t="str">
        <v>RF-01S-5083</v>
      </c>
      <c r="I1336" s="11" t="str">
        <v>RF-01S-5083]CAM Trigger_L-R harness</v>
      </c>
      <c r="J1336" s="9">
        <v>50</v>
      </c>
      <c r="K1336" s="9" t="str">
        <v/>
      </c>
      <c r="L1336" s="9" t="str">
        <v>3L3-3</v>
      </c>
      <c r="M1336" s="12">
        <v>46293</v>
      </c>
      <c r="N1336" s="5" t="str">
        <v/>
      </c>
      <c r="O1336" s="5">
        <v>97000</v>
      </c>
      <c r="P1336" s="5">
        <v>48</v>
      </c>
      <c r="Q1336" s="14">
        <v>46295</v>
      </c>
      <c r="R1336" s="15">
        <v>2</v>
      </c>
    </row>
    <row r="1337" spans="2:18" x14ac:dyDescent="0.35">
      <c r="B1337" s="9">
        <v>446</v>
      </c>
      <c r="C1337" s="9" t="str">
        <v>출고재고</v>
      </c>
      <c r="D1337" s="9" t="str">
        <v/>
      </c>
      <c r="E1337" s="9" t="str">
        <v/>
      </c>
      <c r="F1337" s="9" t="str">
        <v/>
      </c>
      <c r="G1337" s="9" t="str">
        <v/>
      </c>
      <c r="H1337" s="9" t="str">
        <v>RF-01V-0208</v>
      </c>
      <c r="I1337" s="11" t="str">
        <v>RF-01V-0208]FRONT FRM</v>
      </c>
      <c r="J1337" s="9">
        <v>51</v>
      </c>
      <c r="K1337" s="9" t="str">
        <v/>
      </c>
      <c r="L1337" s="9" t="str">
        <v>3C10</v>
      </c>
      <c r="M1337" s="12">
        <v>46259</v>
      </c>
      <c r="N1337" s="5" t="str">
        <v/>
      </c>
      <c r="O1337" s="5">
        <v>97000</v>
      </c>
      <c r="P1337" s="5">
        <v>50</v>
      </c>
      <c r="Q1337" s="14">
        <v>46287</v>
      </c>
      <c r="R1337" s="15">
        <v>1</v>
      </c>
    </row>
    <row r="1338" spans="2:18" x14ac:dyDescent="0.35">
      <c r="B1338" s="9">
        <v>1193</v>
      </c>
      <c r="C1338" s="9" t="str">
        <v>출고재고</v>
      </c>
      <c r="D1338" s="9" t="str">
        <v/>
      </c>
      <c r="E1338" s="9" t="str">
        <v>반납</v>
      </c>
      <c r="F1338" s="9" t="str">
        <v/>
      </c>
      <c r="G1338" s="9" t="str">
        <v/>
      </c>
      <c r="H1338" s="9" t="str">
        <v>RF-01T-0255</v>
      </c>
      <c r="I1338" s="11" t="str">
        <v>RF-01T-0255]CVR FRONT MID R</v>
      </c>
      <c r="J1338" s="9">
        <v>52</v>
      </c>
      <c r="K1338" s="9" t="str">
        <v/>
      </c>
      <c r="L1338" s="9" t="str">
        <v>3L3-1</v>
      </c>
      <c r="M1338" s="12">
        <v>46287</v>
      </c>
      <c r="N1338" s="5" t="str">
        <v/>
      </c>
      <c r="O1338" s="5">
        <v>97000</v>
      </c>
      <c r="P1338" s="5">
        <v>50</v>
      </c>
      <c r="Q1338" s="14">
        <v>46287</v>
      </c>
      <c r="R1338" s="15">
        <v>2</v>
      </c>
    </row>
    <row r="1339" spans="2:18" x14ac:dyDescent="0.35">
      <c r="B1339" s="9">
        <v>445</v>
      </c>
      <c r="C1339" s="9" t="str">
        <v>출고재고</v>
      </c>
      <c r="D1339" s="9" t="str">
        <v/>
      </c>
      <c r="E1339" s="9" t="str">
        <v/>
      </c>
      <c r="F1339" s="9" t="str">
        <v/>
      </c>
      <c r="G1339" s="9" t="str">
        <v/>
      </c>
      <c r="H1339" s="9" t="str">
        <v>RF-01B-5040</v>
      </c>
      <c r="I1339" s="11" t="str">
        <v>RF-01B-5040]MAIN Bd</v>
      </c>
      <c r="J1339" s="9">
        <v>56</v>
      </c>
      <c r="K1339" s="9" t="str">
        <v/>
      </c>
      <c r="L1339" s="9" t="str">
        <v>A5-4</v>
      </c>
      <c r="M1339" s="12">
        <v>46259</v>
      </c>
      <c r="N1339" s="5" t="str">
        <v/>
      </c>
      <c r="O1339" s="5">
        <v>97000</v>
      </c>
      <c r="P1339" s="5">
        <v>50</v>
      </c>
      <c r="Q1339" s="14">
        <v>46287</v>
      </c>
      <c r="R1339" s="15">
        <v>6</v>
      </c>
    </row>
    <row r="1340" spans="2:18" x14ac:dyDescent="0.35">
      <c r="B1340" s="9">
        <v>444</v>
      </c>
      <c r="C1340" s="9" t="str">
        <v>출고재고</v>
      </c>
      <c r="D1340" s="9" t="str">
        <v/>
      </c>
      <c r="E1340" s="9" t="str">
        <v/>
      </c>
      <c r="F1340" s="9" t="str">
        <v/>
      </c>
      <c r="G1340" s="9" t="str">
        <v/>
      </c>
      <c r="H1340" s="9" t="str">
        <v>RF-01S-5087</v>
      </c>
      <c r="I1340" s="11" t="str">
        <v>RF-01S-5087]CAM Cable_Face</v>
      </c>
      <c r="J1340" s="9">
        <v>56</v>
      </c>
      <c r="K1340" s="9" t="str">
        <v/>
      </c>
      <c r="L1340" s="9" t="str">
        <v>3F1</v>
      </c>
      <c r="M1340" s="12">
        <v>46259</v>
      </c>
      <c r="N1340" s="5" t="str">
        <v/>
      </c>
      <c r="O1340" s="5">
        <v>97000</v>
      </c>
      <c r="P1340" s="5">
        <v>50</v>
      </c>
      <c r="Q1340" s="14">
        <v>46287</v>
      </c>
      <c r="R1340" s="15">
        <v>6</v>
      </c>
    </row>
    <row r="1341" spans="2:18" x14ac:dyDescent="0.35">
      <c r="B1341" s="9">
        <v>443</v>
      </c>
      <c r="C1341" s="9" t="str">
        <v>출고재고</v>
      </c>
      <c r="D1341" s="9" t="str">
        <v/>
      </c>
      <c r="E1341" s="9" t="str">
        <v/>
      </c>
      <c r="F1341" s="9" t="str">
        <v/>
      </c>
      <c r="G1341" s="9" t="str">
        <v/>
      </c>
      <c r="H1341" s="9" t="str">
        <v>RF-01B-5037</v>
      </c>
      <c r="I1341" s="11" t="str">
        <v>RF-01B-5037] LED SIDE BOARD_REV2</v>
      </c>
      <c r="J1341" s="9">
        <v>58</v>
      </c>
      <c r="K1341" s="9" t="str">
        <v/>
      </c>
      <c r="L1341" s="9" t="str">
        <v>A5-4</v>
      </c>
      <c r="M1341" s="12">
        <v>46259</v>
      </c>
      <c r="N1341" s="5" t="str">
        <v/>
      </c>
      <c r="O1341" s="5">
        <v>97000</v>
      </c>
      <c r="P1341" s="5">
        <v>58</v>
      </c>
      <c r="Q1341" s="14">
        <v>46287</v>
      </c>
      <c r="R1341" s="15">
        <v>0</v>
      </c>
    </row>
    <row r="1342" spans="2:18" x14ac:dyDescent="0.35">
      <c r="B1342" s="9">
        <v>442</v>
      </c>
      <c r="C1342" s="9" t="str">
        <v>출고재고</v>
      </c>
      <c r="D1342" s="9" t="str">
        <v/>
      </c>
      <c r="E1342" s="9" t="str">
        <v/>
      </c>
      <c r="F1342" s="9" t="str">
        <v/>
      </c>
      <c r="G1342" s="9" t="str">
        <v/>
      </c>
      <c r="H1342" s="9" t="str">
        <v>RF-10A-2086</v>
      </c>
      <c r="I1342" s="11" t="str">
        <v>RF-10A-2086]ASM JETSON NANO</v>
      </c>
      <c r="J1342" s="9">
        <v>59</v>
      </c>
      <c r="K1342" s="9" t="str">
        <v/>
      </c>
      <c r="L1342" s="9" t="str">
        <v>A6-3</v>
      </c>
      <c r="M1342" s="12">
        <v>46259</v>
      </c>
      <c r="N1342" s="5" t="str">
        <v/>
      </c>
      <c r="O1342" s="5">
        <v>97000</v>
      </c>
      <c r="P1342" s="5">
        <v>50</v>
      </c>
      <c r="Q1342" s="14">
        <v>46287</v>
      </c>
      <c r="R1342" s="15">
        <v>9</v>
      </c>
    </row>
    <row r="1343" spans="2:18" x14ac:dyDescent="0.35">
      <c r="B1343" s="9">
        <v>2265</v>
      </c>
      <c r="C1343" s="9" t="str">
        <v>출고재고</v>
      </c>
      <c r="D1343" s="9" t="str">
        <v/>
      </c>
      <c r="E1343" s="9" t="str">
        <v>입고</v>
      </c>
      <c r="F1343" s="9" t="str">
        <v>하이크로봇</v>
      </c>
      <c r="G1343" s="9" t="str">
        <v>장동은</v>
      </c>
      <c r="H1343" s="9" t="str">
        <v>RF-01S-5093</v>
      </c>
      <c r="I1343" s="11" t="str">
        <v>RF-01S-5093]CAM Cable_TEETH_R</v>
      </c>
      <c r="J1343" s="9">
        <v>60</v>
      </c>
      <c r="K1343" s="9" t="str">
        <v/>
      </c>
      <c r="L1343" s="9" t="str">
        <v>3F10</v>
      </c>
      <c r="M1343" s="12">
        <v>46293</v>
      </c>
      <c r="N1343" s="5" t="str">
        <v/>
      </c>
      <c r="O1343" s="5">
        <v>97000</v>
      </c>
      <c r="P1343" s="5">
        <v>22</v>
      </c>
      <c r="Q1343" s="14">
        <v>46295</v>
      </c>
      <c r="R1343" s="15">
        <v>38</v>
      </c>
    </row>
    <row r="1344" spans="2:18" x14ac:dyDescent="0.35">
      <c r="B1344" s="9">
        <v>441</v>
      </c>
      <c r="C1344" s="9" t="str">
        <v>출고재고</v>
      </c>
      <c r="D1344" s="9" t="str">
        <v/>
      </c>
      <c r="E1344" s="9" t="str">
        <v/>
      </c>
      <c r="F1344" s="9" t="str">
        <v/>
      </c>
      <c r="G1344" s="9" t="str">
        <v/>
      </c>
      <c r="H1344" s="9" t="str">
        <v>RP-01H-5009</v>
      </c>
      <c r="I1344" s="11" t="str">
        <v>RP-01H-5009]Lan cable</v>
      </c>
      <c r="J1344" s="9">
        <v>60</v>
      </c>
      <c r="K1344" s="9" t="str">
        <v/>
      </c>
      <c r="L1344" s="9" t="str">
        <v>3S3-2</v>
      </c>
      <c r="M1344" s="12">
        <v>46259</v>
      </c>
      <c r="N1344" s="5" t="str">
        <v/>
      </c>
      <c r="O1344" s="5">
        <v>97000</v>
      </c>
      <c r="P1344" s="5">
        <v>50</v>
      </c>
      <c r="Q1344" s="14">
        <v>46287</v>
      </c>
      <c r="R1344" s="15">
        <v>10</v>
      </c>
    </row>
    <row r="1345" spans="2:18" x14ac:dyDescent="0.35">
      <c r="B1345" s="9">
        <v>1243</v>
      </c>
      <c r="C1345" s="9" t="str">
        <v>출고재고</v>
      </c>
      <c r="D1345" s="9" t="str">
        <v/>
      </c>
      <c r="E1345" s="9" t="str">
        <v>반납</v>
      </c>
      <c r="F1345" s="9" t="str">
        <v/>
      </c>
      <c r="G1345" s="9" t="str">
        <v/>
      </c>
      <c r="H1345" s="9" t="str">
        <v>RF-01M-0268</v>
      </c>
      <c r="I1345" s="11" t="str">
        <v>RF-01M-0268]TEETH CAM BLK_HR</v>
      </c>
      <c r="J1345" s="9">
        <v>61</v>
      </c>
      <c r="K1345" s="9" t="str">
        <v/>
      </c>
      <c r="L1345" s="9" t="str">
        <v>3S2-1</v>
      </c>
      <c r="M1345" s="12">
        <v>46287</v>
      </c>
      <c r="N1345" s="5" t="str">
        <v/>
      </c>
      <c r="O1345" s="5">
        <v>97000</v>
      </c>
      <c r="P1345" s="5">
        <v>50</v>
      </c>
      <c r="Q1345" s="14">
        <v>46287</v>
      </c>
      <c r="R1345" s="15">
        <v>11</v>
      </c>
    </row>
    <row r="1346" spans="2:18" x14ac:dyDescent="0.35">
      <c r="B1346" s="9">
        <v>440</v>
      </c>
      <c r="C1346" s="9" t="str">
        <v>출고재고</v>
      </c>
      <c r="D1346" s="9" t="str">
        <v/>
      </c>
      <c r="E1346" s="9" t="str">
        <v/>
      </c>
      <c r="F1346" s="9" t="str">
        <v/>
      </c>
      <c r="G1346" s="9" t="str">
        <v/>
      </c>
      <c r="H1346" s="9" t="str">
        <v>RF-01S-5030</v>
      </c>
      <c r="I1346" s="11" t="str">
        <v/>
      </c>
      <c r="J1346" s="9">
        <v>61</v>
      </c>
      <c r="K1346" s="9" t="str">
        <v/>
      </c>
      <c r="L1346" s="9" t="str">
        <v>3B21</v>
      </c>
      <c r="M1346" s="12">
        <v>46259</v>
      </c>
      <c r="N1346" s="5" t="str">
        <v/>
      </c>
      <c r="O1346" s="5">
        <v>97000</v>
      </c>
      <c r="P1346" s="5">
        <v>50</v>
      </c>
      <c r="Q1346" s="14">
        <v>46287</v>
      </c>
      <c r="R1346" s="15">
        <v>11</v>
      </c>
    </row>
    <row r="1347" spans="2:18" x14ac:dyDescent="0.35">
      <c r="B1347" s="9">
        <v>1190</v>
      </c>
      <c r="C1347" s="9" t="str">
        <v>출고재고</v>
      </c>
      <c r="D1347" s="9" t="str">
        <v/>
      </c>
      <c r="E1347" s="9" t="str">
        <v>입고</v>
      </c>
      <c r="F1347" s="9" t="str">
        <v>Son Tung</v>
      </c>
      <c r="G1347" s="9" t="str">
        <v>조영우</v>
      </c>
      <c r="H1347" s="9" t="str">
        <v>RF-01T-0190</v>
      </c>
      <c r="I1347" s="11" t="str">
        <v>RF-01T-0190]CVR FRONT</v>
      </c>
      <c r="J1347" s="9">
        <v>64</v>
      </c>
      <c r="K1347" s="9" t="str">
        <v/>
      </c>
      <c r="L1347" s="9" t="str">
        <v>3F4</v>
      </c>
      <c r="M1347" s="12">
        <v>46286</v>
      </c>
      <c r="N1347" s="5" t="str">
        <v/>
      </c>
      <c r="O1347" s="5">
        <v>97000</v>
      </c>
      <c r="P1347" s="5">
        <v>34</v>
      </c>
      <c r="Q1347" s="14">
        <v>46287</v>
      </c>
      <c r="R1347" s="15">
        <v>30</v>
      </c>
    </row>
    <row r="1348" spans="2:18" x14ac:dyDescent="0.35">
      <c r="B1348" s="9">
        <v>1154</v>
      </c>
      <c r="C1348" s="9" t="str">
        <v>출고재고</v>
      </c>
      <c r="D1348" s="9" t="str">
        <v/>
      </c>
      <c r="E1348" s="9" t="str">
        <v/>
      </c>
      <c r="F1348" s="9" t="str">
        <v/>
      </c>
      <c r="G1348" s="9" t="str">
        <v/>
      </c>
      <c r="H1348" s="9" t="str">
        <v>RF-01M-0200</v>
      </c>
      <c r="I1348" s="11" t="str">
        <v>RF-01M-0200]MIRROR PLT</v>
      </c>
      <c r="J1348" s="9">
        <v>69</v>
      </c>
      <c r="K1348" s="9" t="str">
        <v/>
      </c>
      <c r="L1348" s="9" t="str">
        <v>3L4-3</v>
      </c>
      <c r="M1348" s="12">
        <v>46281</v>
      </c>
      <c r="N1348" s="5" t="str">
        <v/>
      </c>
      <c r="O1348" s="5">
        <v>97000</v>
      </c>
      <c r="P1348" s="5">
        <v>50</v>
      </c>
      <c r="Q1348" s="14">
        <v>46287</v>
      </c>
      <c r="R1348" s="15">
        <v>19</v>
      </c>
    </row>
    <row r="1349" spans="2:18" x14ac:dyDescent="0.35">
      <c r="B1349" s="9">
        <v>437</v>
      </c>
      <c r="C1349" s="9" t="str">
        <v>출고재고</v>
      </c>
      <c r="D1349" s="9" t="str">
        <v/>
      </c>
      <c r="E1349" s="9" t="str">
        <v/>
      </c>
      <c r="F1349" s="9" t="str">
        <v/>
      </c>
      <c r="G1349" s="9" t="str">
        <v/>
      </c>
      <c r="H1349" s="9" t="str">
        <v>RD-00S-5201</v>
      </c>
      <c r="I1349" s="11" t="str">
        <v>RD-00S-5201]USB A to B Cable</v>
      </c>
      <c r="J1349" s="9">
        <v>70</v>
      </c>
      <c r="K1349" s="9" t="str">
        <v/>
      </c>
      <c r="L1349" s="9" t="str">
        <v>3S3-2</v>
      </c>
      <c r="M1349" s="12">
        <v>46259</v>
      </c>
      <c r="N1349" s="5" t="str">
        <v/>
      </c>
      <c r="O1349" s="5">
        <v>97000</v>
      </c>
      <c r="P1349" s="5">
        <v>50</v>
      </c>
      <c r="Q1349" s="14">
        <v>46287</v>
      </c>
      <c r="R1349" s="15">
        <v>20</v>
      </c>
    </row>
    <row r="1350" spans="2:18" x14ac:dyDescent="0.35">
      <c r="B1350" s="9">
        <v>436</v>
      </c>
      <c r="C1350" s="9" t="str">
        <v>출고재고</v>
      </c>
      <c r="D1350" s="9" t="str">
        <v/>
      </c>
      <c r="E1350" s="9" t="str">
        <v/>
      </c>
      <c r="F1350" s="9" t="str">
        <v/>
      </c>
      <c r="G1350" s="9" t="str">
        <v/>
      </c>
      <c r="H1350" s="9" t="str">
        <v>RF-01S-5050</v>
      </c>
      <c r="I1350" s="11" t="str">
        <v>RF-01S-5050]TEETH LENS</v>
      </c>
      <c r="J1350" s="9">
        <v>73</v>
      </c>
      <c r="K1350" s="9" t="str">
        <v/>
      </c>
      <c r="L1350" s="9" t="str">
        <v>3L4-2</v>
      </c>
      <c r="M1350" s="12">
        <v>46259</v>
      </c>
      <c r="N1350" s="5" t="str">
        <v/>
      </c>
      <c r="O1350" s="5">
        <v>97000</v>
      </c>
      <c r="P1350" s="5">
        <v>73</v>
      </c>
      <c r="Q1350" s="14">
        <v>46287</v>
      </c>
      <c r="R1350" s="15">
        <v>0</v>
      </c>
    </row>
    <row r="1351" spans="2:18" x14ac:dyDescent="0.35">
      <c r="B1351" s="9">
        <v>435</v>
      </c>
      <c r="C1351" s="9" t="str">
        <v>출고재고</v>
      </c>
      <c r="D1351" s="9" t="str">
        <v/>
      </c>
      <c r="E1351" s="9" t="str">
        <v/>
      </c>
      <c r="F1351" s="9" t="str">
        <v/>
      </c>
      <c r="G1351" s="9" t="str">
        <v/>
      </c>
      <c r="H1351" s="9" t="str">
        <v>RD-01G-0502</v>
      </c>
      <c r="I1351" s="11" t="str">
        <v>RD-01G-0502]SPONGE)UV SNSR</v>
      </c>
      <c r="J1351" s="9">
        <v>77</v>
      </c>
      <c r="K1351" s="9" t="str">
        <v/>
      </c>
      <c r="L1351" s="9" t="str">
        <v>3S3-1</v>
      </c>
      <c r="M1351" s="12">
        <v>46259</v>
      </c>
      <c r="N1351" s="5" t="str">
        <v/>
      </c>
      <c r="O1351" s="5">
        <v>97000</v>
      </c>
      <c r="P1351" s="5">
        <v>77</v>
      </c>
      <c r="Q1351" s="14">
        <v>46287</v>
      </c>
      <c r="R1351" s="15">
        <v>0</v>
      </c>
    </row>
    <row r="1352" spans="2:18" x14ac:dyDescent="0.35">
      <c r="B1352" s="9">
        <v>1275</v>
      </c>
      <c r="C1352" s="9" t="str">
        <v>출고재고</v>
      </c>
      <c r="D1352" s="9" t="str">
        <v/>
      </c>
      <c r="E1352" s="9" t="str">
        <v>입고</v>
      </c>
      <c r="F1352" s="9" t="str">
        <v>A&amp;T</v>
      </c>
      <c r="G1352" s="9" t="str">
        <v>조영우</v>
      </c>
      <c r="H1352" s="9" t="str">
        <v>RF-20A-0369</v>
      </c>
      <c r="I1352" s="11" t="str">
        <v>MODULE ARM RIGHT</v>
      </c>
      <c r="J1352" s="9">
        <v>80</v>
      </c>
      <c r="K1352" s="9" t="str">
        <v/>
      </c>
      <c r="L1352" s="9" t="str">
        <v>3C6</v>
      </c>
      <c r="M1352" s="12">
        <v>46261</v>
      </c>
      <c r="N1352" s="5" t="str">
        <v/>
      </c>
      <c r="O1352" s="5">
        <v>97000</v>
      </c>
      <c r="P1352" s="5">
        <v>50</v>
      </c>
      <c r="Q1352" s="14">
        <v>46287</v>
      </c>
      <c r="R1352" s="15">
        <v>30</v>
      </c>
    </row>
    <row r="1353" spans="2:18" x14ac:dyDescent="0.35">
      <c r="B1353" s="9">
        <v>365</v>
      </c>
      <c r="C1353" s="9" t="str">
        <v>출고재고</v>
      </c>
      <c r="D1353" s="9" t="str">
        <v/>
      </c>
      <c r="E1353" s="9" t="str">
        <v>입고</v>
      </c>
      <c r="F1353" s="9" t="str">
        <v/>
      </c>
      <c r="G1353" s="9" t="str">
        <v/>
      </c>
      <c r="H1353" s="9" t="str">
        <v>RP-00S-5041</v>
      </c>
      <c r="I1353" s="11" t="str">
        <v/>
      </c>
      <c r="J1353" s="9">
        <v>80</v>
      </c>
      <c r="K1353" s="9" t="str">
        <v/>
      </c>
      <c r="L1353" s="9" t="str">
        <v>3B20</v>
      </c>
      <c r="M1353" s="12">
        <v>46238</v>
      </c>
      <c r="N1353" s="5" t="str">
        <v/>
      </c>
      <c r="O1353" s="5">
        <v>97000</v>
      </c>
      <c r="P1353" s="5">
        <v>50</v>
      </c>
      <c r="Q1353" s="14">
        <v>46287</v>
      </c>
      <c r="R1353" s="15">
        <v>30</v>
      </c>
    </row>
    <row r="1354" spans="2:18" x14ac:dyDescent="0.35">
      <c r="B1354" s="9">
        <v>1248</v>
      </c>
      <c r="C1354" s="9" t="str">
        <v>출고재고</v>
      </c>
      <c r="D1354" s="9" t="str">
        <v/>
      </c>
      <c r="E1354" s="9" t="str">
        <v>반납</v>
      </c>
      <c r="F1354" s="9" t="str">
        <v/>
      </c>
      <c r="G1354" s="9" t="str">
        <v/>
      </c>
      <c r="H1354" s="9" t="str">
        <v>RF-01B-5037</v>
      </c>
      <c r="I1354" s="11" t="str">
        <v>RF-01B-5037] LED SIDE BOARD_REV2</v>
      </c>
      <c r="J1354" s="9">
        <v>84</v>
      </c>
      <c r="K1354" s="9" t="str">
        <v/>
      </c>
      <c r="L1354" s="9" t="str">
        <v>A5-4</v>
      </c>
      <c r="M1354" s="12">
        <v>46287</v>
      </c>
      <c r="N1354" s="5" t="str">
        <v/>
      </c>
      <c r="O1354" s="5">
        <v>97000</v>
      </c>
      <c r="P1354" s="5">
        <v>42</v>
      </c>
      <c r="Q1354" s="14">
        <v>46287</v>
      </c>
      <c r="R1354" s="15">
        <v>42</v>
      </c>
    </row>
    <row r="1355" spans="2:18" x14ac:dyDescent="0.35">
      <c r="B1355" s="9">
        <v>1200</v>
      </c>
      <c r="C1355" s="9" t="str">
        <v>출고재고</v>
      </c>
      <c r="D1355" s="9" t="str">
        <v/>
      </c>
      <c r="E1355" s="9" t="str">
        <v>반납</v>
      </c>
      <c r="F1355" s="9" t="str">
        <v/>
      </c>
      <c r="G1355" s="9" t="str">
        <v/>
      </c>
      <c r="H1355" s="9" t="str">
        <v>RF-01S-0251</v>
      </c>
      <c r="I1355" s="11" t="str">
        <v>RF-01S-0251]CAL Mgnet</v>
      </c>
      <c r="J1355" s="9">
        <v>89</v>
      </c>
      <c r="K1355" s="9" t="str">
        <v/>
      </c>
      <c r="L1355" s="9" t="str">
        <v>3L4-3</v>
      </c>
      <c r="M1355" s="12">
        <v>46287</v>
      </c>
      <c r="N1355" s="5" t="str">
        <v/>
      </c>
      <c r="O1355" s="5">
        <v>97000</v>
      </c>
      <c r="P1355" s="5">
        <v>89</v>
      </c>
      <c r="Q1355" s="14">
        <v>46287</v>
      </c>
      <c r="R1355" s="15">
        <v>0</v>
      </c>
    </row>
    <row r="1356" spans="2:18" x14ac:dyDescent="0.35">
      <c r="B1356" s="9">
        <v>1942</v>
      </c>
      <c r="C1356" s="9" t="str">
        <v>출고재고</v>
      </c>
      <c r="D1356" s="9" t="str">
        <v/>
      </c>
      <c r="E1356" s="9" t="str">
        <v>입고</v>
      </c>
      <c r="F1356" s="9" t="str">
        <v>하이크로봇</v>
      </c>
      <c r="G1356" s="9" t="str">
        <v>장동은</v>
      </c>
      <c r="H1356" s="9" t="str">
        <v>RF-01S-5097</v>
      </c>
      <c r="I1356" s="11" t="str">
        <v/>
      </c>
      <c r="J1356" s="9">
        <v>100</v>
      </c>
      <c r="K1356" s="9" t="str">
        <v/>
      </c>
      <c r="L1356" s="9" t="str">
        <v>3F2</v>
      </c>
      <c r="M1356" s="12">
        <v>46301</v>
      </c>
      <c r="N1356" s="5" t="str">
        <v/>
      </c>
      <c r="O1356" s="5">
        <v>97000</v>
      </c>
      <c r="P1356" s="5">
        <v>100</v>
      </c>
      <c r="Q1356" s="14">
        <v>46301</v>
      </c>
      <c r="R1356" s="15">
        <v>0</v>
      </c>
    </row>
    <row r="1357" spans="2:18" x14ac:dyDescent="0.35">
      <c r="B1357" s="9">
        <v>317</v>
      </c>
      <c r="C1357" s="9" t="str">
        <v>출고재고</v>
      </c>
      <c r="D1357" s="9" t="str">
        <v/>
      </c>
      <c r="E1357" s="9" t="str">
        <v>입고</v>
      </c>
      <c r="F1357" s="9" t="str">
        <v/>
      </c>
      <c r="G1357" s="9" t="str">
        <v/>
      </c>
      <c r="H1357" s="9" t="str">
        <v>RF-01B-5035</v>
      </c>
      <c r="I1357" s="11" t="str">
        <v>RF-01B-5035]CONNECTOR Bd</v>
      </c>
      <c r="J1357" s="9">
        <v>100</v>
      </c>
      <c r="K1357" s="9" t="str">
        <v/>
      </c>
      <c r="L1357" s="9" t="str">
        <v>A4-3</v>
      </c>
      <c r="M1357" s="12">
        <v>46254</v>
      </c>
      <c r="N1357" s="5" t="str">
        <v/>
      </c>
      <c r="O1357" s="5">
        <v>97000</v>
      </c>
      <c r="P1357" s="5">
        <v>50</v>
      </c>
      <c r="Q1357" s="14">
        <v>46287</v>
      </c>
      <c r="R1357" s="15">
        <v>50</v>
      </c>
    </row>
    <row r="1358" spans="2:18" x14ac:dyDescent="0.35">
      <c r="B1358" s="9">
        <v>1288</v>
      </c>
      <c r="C1358" s="9" t="str">
        <v>출고재고</v>
      </c>
      <c r="D1358" s="9" t="str">
        <v/>
      </c>
      <c r="E1358" s="9" t="str">
        <v>입고</v>
      </c>
      <c r="F1358" s="9" t="str">
        <v>A&amp;T</v>
      </c>
      <c r="G1358" s="9" t="str">
        <v>조영우</v>
      </c>
      <c r="H1358" s="9" t="str">
        <v>RF-01M-0256</v>
      </c>
      <c r="I1358" s="11" t="str">
        <v>USB HOLDER FRONT</v>
      </c>
      <c r="J1358" s="9">
        <v>100</v>
      </c>
      <c r="K1358" s="9" t="str">
        <v/>
      </c>
      <c r="L1358" s="9" t="str">
        <v>3L4-4</v>
      </c>
      <c r="M1358" s="12">
        <v>46261</v>
      </c>
      <c r="N1358" s="5" t="str">
        <v/>
      </c>
      <c r="O1358" s="5">
        <v>97000</v>
      </c>
      <c r="P1358" s="5">
        <v>100</v>
      </c>
      <c r="Q1358" s="14">
        <v>46287</v>
      </c>
      <c r="R1358" s="15">
        <v>0</v>
      </c>
    </row>
    <row r="1359" spans="2:18" x14ac:dyDescent="0.35">
      <c r="B1359" s="9">
        <v>352</v>
      </c>
      <c r="C1359" s="9" t="str">
        <v>출고재고</v>
      </c>
      <c r="D1359" s="9" t="str">
        <v/>
      </c>
      <c r="E1359" s="9" t="str">
        <v>입고</v>
      </c>
      <c r="F1359" s="9" t="str">
        <v/>
      </c>
      <c r="G1359" s="9" t="str">
        <v/>
      </c>
      <c r="H1359" s="9" t="str">
        <v>RF-01S-5072</v>
      </c>
      <c r="I1359" s="11" t="str">
        <v>RF-01S-5072]USB 3.0 A to B Cable</v>
      </c>
      <c r="J1359" s="9">
        <v>100</v>
      </c>
      <c r="K1359" s="9" t="str">
        <v/>
      </c>
      <c r="L1359" s="9" t="str">
        <v>3S3-2</v>
      </c>
      <c r="M1359" s="12">
        <v>46252</v>
      </c>
      <c r="N1359" s="5" t="str">
        <v/>
      </c>
      <c r="O1359" s="5">
        <v>97000</v>
      </c>
      <c r="P1359" s="5">
        <v>11</v>
      </c>
      <c r="Q1359" s="14">
        <v>46287</v>
      </c>
      <c r="R1359" s="15">
        <v>89</v>
      </c>
    </row>
    <row r="1360" spans="2:18" x14ac:dyDescent="0.35">
      <c r="B1360" s="9">
        <v>1276</v>
      </c>
      <c r="C1360" s="9" t="str">
        <v>출고재고</v>
      </c>
      <c r="D1360" s="9" t="str">
        <v/>
      </c>
      <c r="E1360" s="9" t="str">
        <v>입고</v>
      </c>
      <c r="F1360" s="9" t="str">
        <v>A&amp;T</v>
      </c>
      <c r="G1360" s="9" t="str">
        <v>조영우</v>
      </c>
      <c r="H1360" s="9" t="str">
        <v>RF-01V-0197</v>
      </c>
      <c r="I1360" s="11" t="str">
        <v>RF-01V-0197]JETSON BRK</v>
      </c>
      <c r="J1360" s="9">
        <v>100</v>
      </c>
      <c r="K1360" s="9" t="str">
        <v/>
      </c>
      <c r="L1360" s="9" t="str">
        <v>3F3</v>
      </c>
      <c r="M1360" s="12">
        <v>46273</v>
      </c>
      <c r="N1360" s="5" t="str">
        <v/>
      </c>
      <c r="O1360" s="5">
        <v>97000</v>
      </c>
      <c r="P1360" s="5">
        <v>50</v>
      </c>
      <c r="Q1360" s="14">
        <v>46287</v>
      </c>
      <c r="R1360" s="15">
        <v>50</v>
      </c>
    </row>
    <row r="1361" spans="2:18" x14ac:dyDescent="0.35">
      <c r="B1361" s="9">
        <v>1189</v>
      </c>
      <c r="C1361" s="9" t="str">
        <v>출고재고</v>
      </c>
      <c r="D1361" s="9" t="str">
        <v/>
      </c>
      <c r="E1361" s="9" t="str">
        <v>입고</v>
      </c>
      <c r="F1361" s="9" t="str">
        <v>A&amp;T</v>
      </c>
      <c r="G1361" s="9" t="str">
        <v>조영우</v>
      </c>
      <c r="H1361" s="9" t="str">
        <v>RF-01V-0293</v>
      </c>
      <c r="I1361" s="11" t="str">
        <v>RF-01V-0293]BRK USB HLDR</v>
      </c>
      <c r="J1361" s="9">
        <v>100</v>
      </c>
      <c r="K1361" s="9" t="str">
        <v/>
      </c>
      <c r="L1361" s="9" t="str">
        <v>3L4-5</v>
      </c>
      <c r="M1361" s="12">
        <v>46261</v>
      </c>
      <c r="N1361" s="5" t="str">
        <v/>
      </c>
      <c r="O1361" s="5">
        <v>97000</v>
      </c>
      <c r="P1361" s="5">
        <v>100</v>
      </c>
      <c r="Q1361" s="14">
        <v>46287</v>
      </c>
      <c r="R1361" s="15">
        <v>0</v>
      </c>
    </row>
    <row r="1362" spans="2:18" x14ac:dyDescent="0.35">
      <c r="B1362" s="9">
        <v>361</v>
      </c>
      <c r="C1362" s="9" t="str">
        <v>출고재고</v>
      </c>
      <c r="D1362" s="9" t="str">
        <v/>
      </c>
      <c r="E1362" s="9" t="str">
        <v>입고</v>
      </c>
      <c r="F1362" s="9" t="str">
        <v/>
      </c>
      <c r="G1362" s="9" t="str">
        <v/>
      </c>
      <c r="H1362" s="9" t="str">
        <v>RF-20A-0381</v>
      </c>
      <c r="I1362" s="11" t="str">
        <v/>
      </c>
      <c r="J1362" s="9">
        <v>100</v>
      </c>
      <c r="K1362" s="9" t="str">
        <v/>
      </c>
      <c r="L1362" s="9" t="str">
        <v>3I5</v>
      </c>
      <c r="M1362" s="12">
        <v>46233</v>
      </c>
      <c r="N1362" s="5" t="str">
        <v/>
      </c>
      <c r="O1362" s="5">
        <v>97000</v>
      </c>
      <c r="P1362" s="5">
        <v>50</v>
      </c>
      <c r="Q1362" s="14">
        <v>46287</v>
      </c>
      <c r="R1362" s="15">
        <v>50</v>
      </c>
    </row>
    <row r="1363" spans="2:18" x14ac:dyDescent="0.35">
      <c r="B1363" s="9">
        <v>433</v>
      </c>
      <c r="C1363" s="9" t="str">
        <v>출고재고</v>
      </c>
      <c r="D1363" s="9" t="str">
        <v/>
      </c>
      <c r="E1363" s="9" t="str">
        <v/>
      </c>
      <c r="F1363" s="9" t="str">
        <v/>
      </c>
      <c r="G1363" s="9" t="str">
        <v/>
      </c>
      <c r="H1363" s="9" t="str">
        <v>RF-20A-0279</v>
      </c>
      <c r="I1363" s="11" t="str">
        <v>RF-20A-0279]Mdl DLP PLT</v>
      </c>
      <c r="J1363" s="9">
        <v>115</v>
      </c>
      <c r="K1363" s="9" t="str">
        <v/>
      </c>
      <c r="L1363" s="9" t="str">
        <v>3F2</v>
      </c>
      <c r="M1363" s="12">
        <v>46259</v>
      </c>
      <c r="N1363" s="5" t="str">
        <v/>
      </c>
      <c r="O1363" s="5">
        <v>97000</v>
      </c>
      <c r="P1363" s="5">
        <v>50</v>
      </c>
      <c r="Q1363" s="14">
        <v>46287</v>
      </c>
      <c r="R1363" s="15">
        <v>65</v>
      </c>
    </row>
    <row r="1364" spans="2:18" x14ac:dyDescent="0.35">
      <c r="B1364" s="9">
        <v>432</v>
      </c>
      <c r="C1364" s="9" t="str">
        <v>출고재고</v>
      </c>
      <c r="D1364" s="9" t="str">
        <v/>
      </c>
      <c r="E1364" s="9" t="str">
        <v/>
      </c>
      <c r="F1364" s="9" t="str">
        <v/>
      </c>
      <c r="G1364" s="9" t="str">
        <v/>
      </c>
      <c r="H1364" s="9" t="str">
        <v>RF-20A-0357</v>
      </c>
      <c r="I1364" s="11" t="str">
        <v>MODULE BASE BOTTOM FRAME</v>
      </c>
      <c r="J1364" s="9">
        <v>116</v>
      </c>
      <c r="K1364" s="9" t="str">
        <v/>
      </c>
      <c r="L1364" s="9" t="str">
        <v>3F3</v>
      </c>
      <c r="M1364" s="12">
        <v>46259</v>
      </c>
      <c r="N1364" s="5" t="str">
        <v/>
      </c>
      <c r="O1364" s="5">
        <v>97000</v>
      </c>
      <c r="P1364" s="5">
        <v>50</v>
      </c>
      <c r="Q1364" s="14">
        <v>46287</v>
      </c>
      <c r="R1364" s="15">
        <v>66</v>
      </c>
    </row>
    <row r="1365" spans="2:18" x14ac:dyDescent="0.35">
      <c r="B1365" s="9">
        <v>1242</v>
      </c>
      <c r="C1365" s="9" t="str">
        <v>출고재고</v>
      </c>
      <c r="D1365" s="9" t="str">
        <v/>
      </c>
      <c r="E1365" s="9" t="str">
        <v>반납</v>
      </c>
      <c r="F1365" s="9" t="str">
        <v/>
      </c>
      <c r="G1365" s="9" t="str">
        <v/>
      </c>
      <c r="H1365" s="9" t="str">
        <v>RF-01S-5050</v>
      </c>
      <c r="I1365" s="11" t="str">
        <v>RF-01S-5050]TEETH LENS</v>
      </c>
      <c r="J1365" s="9">
        <v>124</v>
      </c>
      <c r="K1365" s="9" t="str">
        <v/>
      </c>
      <c r="L1365" s="9" t="str">
        <v>3L4-2</v>
      </c>
      <c r="M1365" s="12">
        <v>46287</v>
      </c>
      <c r="N1365" s="5" t="str">
        <v/>
      </c>
      <c r="O1365" s="5">
        <v>97000</v>
      </c>
      <c r="P1365" s="5">
        <v>27</v>
      </c>
      <c r="Q1365" s="14">
        <v>46287</v>
      </c>
      <c r="R1365" s="15">
        <v>97</v>
      </c>
    </row>
    <row r="1366" spans="2:18" x14ac:dyDescent="0.35">
      <c r="B1366" s="9">
        <v>1241</v>
      </c>
      <c r="C1366" s="9" t="str">
        <v>출고재고</v>
      </c>
      <c r="D1366" s="9" t="str">
        <v/>
      </c>
      <c r="E1366" s="9" t="str">
        <v>반납</v>
      </c>
      <c r="F1366" s="9" t="str">
        <v/>
      </c>
      <c r="G1366" s="9" t="str">
        <v/>
      </c>
      <c r="H1366" s="9" t="str">
        <v>RF-01S-5086</v>
      </c>
      <c r="I1366" s="11" t="str">
        <v>RF-01S-5086]TEETH CAM</v>
      </c>
      <c r="J1366" s="9">
        <v>126</v>
      </c>
      <c r="K1366" s="9" t="str">
        <v/>
      </c>
      <c r="L1366" s="9" t="str">
        <v>3F10</v>
      </c>
      <c r="M1366" s="12">
        <v>46287</v>
      </c>
      <c r="N1366" s="5" t="str">
        <v/>
      </c>
      <c r="O1366" s="5">
        <v>97000</v>
      </c>
      <c r="P1366" s="5">
        <v>100</v>
      </c>
      <c r="Q1366" s="14">
        <v>46287</v>
      </c>
      <c r="R1366" s="15">
        <v>26</v>
      </c>
    </row>
    <row r="1367" spans="2:18" x14ac:dyDescent="0.35">
      <c r="B1367" s="9">
        <v>430</v>
      </c>
      <c r="C1367" s="9" t="str">
        <v>출고재고</v>
      </c>
      <c r="D1367" s="9" t="str">
        <v/>
      </c>
      <c r="E1367" s="9" t="str">
        <v/>
      </c>
      <c r="F1367" s="9" t="str">
        <v/>
      </c>
      <c r="G1367" s="9" t="str">
        <v/>
      </c>
      <c r="H1367" s="9" t="str">
        <v>RF-01B-5039</v>
      </c>
      <c r="I1367" s="11" t="str">
        <v>RF-01B-5039]POWER HUB Bd</v>
      </c>
      <c r="J1367" s="9">
        <v>149</v>
      </c>
      <c r="K1367" s="9" t="str">
        <v/>
      </c>
      <c r="L1367" s="9" t="str">
        <v>A3-4</v>
      </c>
      <c r="M1367" s="12">
        <v>46259</v>
      </c>
      <c r="N1367" s="5" t="str">
        <v/>
      </c>
      <c r="O1367" s="5">
        <v>97000</v>
      </c>
      <c r="P1367" s="5">
        <v>50</v>
      </c>
      <c r="Q1367" s="14">
        <v>46287</v>
      </c>
      <c r="R1367" s="15">
        <v>99</v>
      </c>
    </row>
    <row r="1368" spans="2:18" x14ac:dyDescent="0.35">
      <c r="B1368" s="9">
        <v>654</v>
      </c>
      <c r="C1368" s="9" t="str">
        <v>출고재고</v>
      </c>
      <c r="D1368" s="9" t="str">
        <v/>
      </c>
      <c r="E1368" s="9" t="str">
        <v/>
      </c>
      <c r="F1368" s="9" t="str">
        <v/>
      </c>
      <c r="G1368" s="9" t="str">
        <v/>
      </c>
      <c r="H1368" s="9" t="str">
        <v>RF-01T-0354</v>
      </c>
      <c r="I1368" s="11" t="str">
        <v>RF-01T-0354]CAMERA CASE L</v>
      </c>
      <c r="J1368" s="9">
        <v>149</v>
      </c>
      <c r="K1368" s="9" t="str">
        <v/>
      </c>
      <c r="L1368" s="9" t="str">
        <v>3E9</v>
      </c>
      <c r="M1368" s="12">
        <v>46272</v>
      </c>
      <c r="N1368" s="5" t="str">
        <v/>
      </c>
      <c r="O1368" s="5">
        <v>97000</v>
      </c>
      <c r="P1368" s="5">
        <v>50</v>
      </c>
      <c r="Q1368" s="14">
        <v>46287</v>
      </c>
      <c r="R1368" s="15">
        <v>99</v>
      </c>
    </row>
    <row r="1369" spans="2:18" x14ac:dyDescent="0.35">
      <c r="B1369" s="9">
        <v>428</v>
      </c>
      <c r="C1369" s="9" t="str">
        <v>출고재고</v>
      </c>
      <c r="D1369" s="9" t="str">
        <v/>
      </c>
      <c r="E1369" s="9" t="str">
        <v/>
      </c>
      <c r="F1369" s="9" t="str">
        <v/>
      </c>
      <c r="G1369" s="9" t="str">
        <v/>
      </c>
      <c r="H1369" s="9" t="str">
        <v>RF-01T-0355</v>
      </c>
      <c r="I1369" s="11" t="str">
        <v>RF-01T-0355]CAMERA CASE R</v>
      </c>
      <c r="J1369" s="9">
        <v>150</v>
      </c>
      <c r="K1369" s="9" t="str">
        <v/>
      </c>
      <c r="L1369" s="9" t="str">
        <v>3E9</v>
      </c>
      <c r="M1369" s="12">
        <v>46259</v>
      </c>
      <c r="N1369" s="5" t="str">
        <v/>
      </c>
      <c r="O1369" s="5">
        <v>97000</v>
      </c>
      <c r="P1369" s="5">
        <v>50</v>
      </c>
      <c r="Q1369" s="14">
        <v>46287</v>
      </c>
      <c r="R1369" s="15">
        <v>100</v>
      </c>
    </row>
    <row r="1370" spans="2:18" x14ac:dyDescent="0.35">
      <c r="B1370" s="9">
        <v>427</v>
      </c>
      <c r="C1370" s="9" t="str">
        <v>출고재고</v>
      </c>
      <c r="D1370" s="9" t="str">
        <v/>
      </c>
      <c r="E1370" s="9" t="str">
        <v/>
      </c>
      <c r="F1370" s="9" t="str">
        <v/>
      </c>
      <c r="G1370" s="9" t="str">
        <v/>
      </c>
      <c r="H1370" s="9" t="str">
        <v>RF-01V-0254</v>
      </c>
      <c r="I1370" s="11" t="str">
        <v>RF-01V-0254]REAR CVR TOP BRK</v>
      </c>
      <c r="J1370" s="9">
        <v>150</v>
      </c>
      <c r="K1370" s="9" t="str">
        <v/>
      </c>
      <c r="L1370" s="9" t="str">
        <v>3L4-5</v>
      </c>
      <c r="M1370" s="12">
        <v>46259</v>
      </c>
      <c r="N1370" s="5" t="str">
        <v/>
      </c>
      <c r="O1370" s="5">
        <v>97000</v>
      </c>
      <c r="P1370" s="5">
        <v>50</v>
      </c>
      <c r="Q1370" s="14">
        <v>46287</v>
      </c>
      <c r="R1370" s="15">
        <v>100</v>
      </c>
    </row>
    <row r="1371" spans="2:18" x14ac:dyDescent="0.35">
      <c r="B1371" s="9">
        <v>426</v>
      </c>
      <c r="C1371" s="9" t="str">
        <v>출고재고</v>
      </c>
      <c r="D1371" s="9" t="str">
        <v/>
      </c>
      <c r="E1371" s="9" t="str">
        <v/>
      </c>
      <c r="F1371" s="9" t="str">
        <v/>
      </c>
      <c r="G1371" s="9" t="str">
        <v/>
      </c>
      <c r="H1371" s="9" t="str">
        <v>RF-01T-0241</v>
      </c>
      <c r="I1371" s="11" t="str">
        <v>RF-01T-0241]CAL Bas UPPER</v>
      </c>
      <c r="J1371" s="9">
        <v>151</v>
      </c>
      <c r="K1371" s="9" t="str">
        <v/>
      </c>
      <c r="L1371" s="9" t="str">
        <v>3E5</v>
      </c>
      <c r="M1371" s="12">
        <v>46259</v>
      </c>
      <c r="N1371" s="5" t="str">
        <v/>
      </c>
      <c r="O1371" s="5">
        <v>97000</v>
      </c>
      <c r="P1371" s="5">
        <v>50</v>
      </c>
      <c r="Q1371" s="14">
        <v>46287</v>
      </c>
      <c r="R1371" s="15">
        <v>101</v>
      </c>
    </row>
    <row r="1372" spans="2:18" x14ac:dyDescent="0.35">
      <c r="B1372" s="9">
        <v>2268</v>
      </c>
      <c r="C1372" s="9" t="str">
        <v>출고재고</v>
      </c>
      <c r="D1372" s="9" t="str">
        <v/>
      </c>
      <c r="E1372" s="9" t="str">
        <v/>
      </c>
      <c r="F1372" s="9" t="str">
        <v/>
      </c>
      <c r="G1372" s="9" t="str">
        <v/>
      </c>
      <c r="H1372" s="9" t="str">
        <v>RF-01T-0351</v>
      </c>
      <c r="I1372" s="11" t="str">
        <v>RF-01T-0351]WINDOW LED B</v>
      </c>
      <c r="J1372" s="9">
        <v>184</v>
      </c>
      <c r="K1372" s="9" t="str">
        <v/>
      </c>
      <c r="L1372" s="9" t="str">
        <v>3E9</v>
      </c>
      <c r="M1372" s="12">
        <v>46301</v>
      </c>
      <c r="N1372" s="5" t="str">
        <v/>
      </c>
      <c r="O1372" s="5">
        <v>97000</v>
      </c>
      <c r="P1372" s="5">
        <v>21</v>
      </c>
      <c r="Q1372" s="14">
        <v>46295</v>
      </c>
      <c r="R1372" s="15">
        <v>163</v>
      </c>
    </row>
    <row r="1373" spans="2:18" x14ac:dyDescent="0.35">
      <c r="B1373" s="9">
        <v>425</v>
      </c>
      <c r="C1373" s="9" t="str">
        <v>출고재고</v>
      </c>
      <c r="D1373" s="9" t="str">
        <v/>
      </c>
      <c r="E1373" s="9" t="str">
        <v/>
      </c>
      <c r="F1373" s="9" t="str">
        <v/>
      </c>
      <c r="G1373" s="9" t="str">
        <v/>
      </c>
      <c r="H1373" s="9" t="str">
        <v>RF-01M-0269</v>
      </c>
      <c r="I1373" s="11" t="str">
        <v>RF-01M-0269]FACE CAM BLK_HR</v>
      </c>
      <c r="J1373" s="9">
        <v>194</v>
      </c>
      <c r="K1373" s="9" t="str">
        <v/>
      </c>
      <c r="L1373" s="9" t="str">
        <v>3L4-4</v>
      </c>
      <c r="M1373" s="12">
        <v>46259</v>
      </c>
      <c r="N1373" s="5" t="str">
        <v/>
      </c>
      <c r="O1373" s="5">
        <v>97000</v>
      </c>
      <c r="P1373" s="5">
        <v>50</v>
      </c>
      <c r="Q1373" s="14">
        <v>46287</v>
      </c>
      <c r="R1373" s="15">
        <v>144</v>
      </c>
    </row>
    <row r="1374" spans="2:18" x14ac:dyDescent="0.35">
      <c r="B1374" s="9">
        <v>424</v>
      </c>
      <c r="C1374" s="9" t="str">
        <v>출고재고</v>
      </c>
      <c r="D1374" s="9" t="str">
        <v/>
      </c>
      <c r="E1374" s="9" t="str">
        <v/>
      </c>
      <c r="F1374" s="9" t="str">
        <v/>
      </c>
      <c r="G1374" s="9" t="str">
        <v/>
      </c>
      <c r="H1374" s="9" t="str">
        <v>RF-01T-0161</v>
      </c>
      <c r="I1374" s="11" t="str">
        <v>RF-01T-0161]Bas BOT UPPER</v>
      </c>
      <c r="J1374" s="9">
        <v>198</v>
      </c>
      <c r="K1374" s="9" t="str">
        <v/>
      </c>
      <c r="L1374" s="9" t="str">
        <v>3B11</v>
      </c>
      <c r="M1374" s="12">
        <v>46259</v>
      </c>
      <c r="N1374" s="5" t="str">
        <v/>
      </c>
      <c r="O1374" s="5">
        <v>97000</v>
      </c>
      <c r="P1374" s="5">
        <v>27</v>
      </c>
      <c r="Q1374" s="14">
        <v>46287</v>
      </c>
      <c r="R1374" s="15">
        <v>171</v>
      </c>
    </row>
    <row r="1375" spans="2:18" x14ac:dyDescent="0.35">
      <c r="B1375" s="9">
        <v>499</v>
      </c>
      <c r="C1375" s="9" t="str">
        <v>출고재고</v>
      </c>
      <c r="D1375" s="9" t="str">
        <v/>
      </c>
      <c r="E1375" s="9" t="str">
        <v/>
      </c>
      <c r="F1375" s="9" t="str">
        <v/>
      </c>
      <c r="G1375" s="9" t="str">
        <v/>
      </c>
      <c r="H1375" s="9" t="str">
        <v>RF-01T-0352</v>
      </c>
      <c r="I1375" s="11" t="str">
        <v>RF-01T-0352]CAMERA CASE B</v>
      </c>
      <c r="J1375" s="9">
        <v>198</v>
      </c>
      <c r="K1375" s="9" t="str">
        <v/>
      </c>
      <c r="L1375" s="9" t="str">
        <v>3E9</v>
      </c>
      <c r="M1375" s="12">
        <v>46268</v>
      </c>
      <c r="N1375" s="5" t="str">
        <v/>
      </c>
      <c r="O1375" s="5">
        <v>97000</v>
      </c>
      <c r="P1375" s="5">
        <v>50</v>
      </c>
      <c r="Q1375" s="14">
        <v>46287</v>
      </c>
      <c r="R1375" s="15">
        <v>148</v>
      </c>
    </row>
    <row r="1376" spans="2:18" x14ac:dyDescent="0.35">
      <c r="B1376" s="9">
        <v>1353</v>
      </c>
      <c r="C1376" s="9" t="str">
        <v>출고재고</v>
      </c>
      <c r="D1376" s="9" t="str">
        <v/>
      </c>
      <c r="E1376" s="9" t="str">
        <v>입고</v>
      </c>
      <c r="F1376" s="9" t="str">
        <v>진광</v>
      </c>
      <c r="G1376" s="9" t="str">
        <v>장동은</v>
      </c>
      <c r="H1376" s="9" t="str">
        <v>RF-01T-0351</v>
      </c>
      <c r="I1376" s="11" t="str">
        <v>RF-01T-0351]WINDOW LED B</v>
      </c>
      <c r="J1376" s="9">
        <v>200</v>
      </c>
      <c r="K1376" s="9" t="str">
        <v/>
      </c>
      <c r="L1376" s="9" t="str">
        <v>3E9</v>
      </c>
      <c r="M1376" s="12">
        <v>46286</v>
      </c>
      <c r="N1376" s="5" t="str">
        <v/>
      </c>
      <c r="O1376" s="5">
        <v>97000</v>
      </c>
      <c r="P1376" s="5">
        <v>15</v>
      </c>
      <c r="Q1376" s="14">
        <v>46287</v>
      </c>
      <c r="R1376" s="15">
        <v>185</v>
      </c>
    </row>
    <row r="1377" spans="2:18" x14ac:dyDescent="0.35">
      <c r="B1377" s="9">
        <v>357</v>
      </c>
      <c r="C1377" s="9" t="str">
        <v>출고재고</v>
      </c>
      <c r="D1377" s="9" t="str">
        <v/>
      </c>
      <c r="E1377" s="9" t="str">
        <v>입고</v>
      </c>
      <c r="F1377" s="9" t="str">
        <v/>
      </c>
      <c r="G1377" s="9" t="str">
        <v/>
      </c>
      <c r="H1377" s="9" t="str">
        <v>RF-01T-0356</v>
      </c>
      <c r="I1377" s="11" t="str">
        <v>RF-01T-0356]RUBBER CAP ARM</v>
      </c>
      <c r="J1377" s="9">
        <v>200</v>
      </c>
      <c r="K1377" s="9" t="str">
        <v/>
      </c>
      <c r="L1377" s="9" t="str">
        <v>3L4-2</v>
      </c>
      <c r="M1377" s="12">
        <v>46239</v>
      </c>
      <c r="N1377" s="5" t="str">
        <v/>
      </c>
      <c r="O1377" s="5">
        <v>97000</v>
      </c>
      <c r="P1377" s="5">
        <v>100</v>
      </c>
      <c r="Q1377" s="14">
        <v>46287</v>
      </c>
      <c r="R1377" s="15">
        <v>100</v>
      </c>
    </row>
    <row r="1378" spans="2:18" x14ac:dyDescent="0.35">
      <c r="B1378" s="9">
        <v>1270</v>
      </c>
      <c r="C1378" s="9" t="str">
        <v>출고재고</v>
      </c>
      <c r="D1378" s="9" t="str">
        <v/>
      </c>
      <c r="E1378" s="9" t="str">
        <v>입고</v>
      </c>
      <c r="F1378" s="9" t="str">
        <v>Son Tung</v>
      </c>
      <c r="G1378" s="9" t="str">
        <v>조영우</v>
      </c>
      <c r="H1378" s="9" t="str">
        <v>RF-01T-0160</v>
      </c>
      <c r="I1378" s="11" t="str">
        <v>RF-01T-0160_C]Bas BOT LWR</v>
      </c>
      <c r="J1378" s="9">
        <v>224</v>
      </c>
      <c r="K1378" s="9" t="str">
        <v/>
      </c>
      <c r="L1378" s="9" t="str">
        <v>3B6</v>
      </c>
      <c r="M1378" s="12">
        <v>46281</v>
      </c>
      <c r="N1378" s="5" t="str">
        <v/>
      </c>
      <c r="O1378" s="5">
        <v>97000</v>
      </c>
      <c r="P1378" s="5">
        <v>39</v>
      </c>
      <c r="Q1378" s="14">
        <v>46287</v>
      </c>
      <c r="R1378" s="15">
        <v>185</v>
      </c>
    </row>
    <row r="1379" spans="2:18" x14ac:dyDescent="0.35">
      <c r="B1379" s="9">
        <v>659</v>
      </c>
      <c r="C1379" s="9" t="str">
        <v>출고재고</v>
      </c>
      <c r="D1379" s="9" t="str">
        <v/>
      </c>
      <c r="E1379" s="9" t="str">
        <v/>
      </c>
      <c r="F1379" s="9" t="str">
        <v/>
      </c>
      <c r="G1379" s="9" t="str">
        <v/>
      </c>
      <c r="H1379" s="9" t="str">
        <v>RF-01T-0196</v>
      </c>
      <c r="I1379" s="11" t="str">
        <v>RF-01T-0196]CVR REAR</v>
      </c>
      <c r="J1379" s="9">
        <v>227</v>
      </c>
      <c r="K1379" s="9" t="str">
        <v/>
      </c>
      <c r="L1379" s="9" t="str">
        <v>3I5</v>
      </c>
      <c r="M1379" s="12">
        <v>46268</v>
      </c>
      <c r="N1379" s="5" t="str">
        <v/>
      </c>
      <c r="O1379" s="5">
        <v>97000</v>
      </c>
      <c r="P1379" s="5">
        <v>50</v>
      </c>
      <c r="Q1379" s="14">
        <v>46287</v>
      </c>
      <c r="R1379" s="15">
        <v>177</v>
      </c>
    </row>
    <row r="1380" spans="2:18" x14ac:dyDescent="0.35">
      <c r="B1380" s="9">
        <v>1153</v>
      </c>
      <c r="C1380" s="9" t="str">
        <v>출고재고</v>
      </c>
      <c r="D1380" s="9" t="str">
        <v/>
      </c>
      <c r="E1380" s="9" t="str">
        <v/>
      </c>
      <c r="F1380" s="9" t="str">
        <v/>
      </c>
      <c r="G1380" s="9" t="str">
        <v/>
      </c>
      <c r="H1380" s="9" t="str">
        <v>RF-01T-0171</v>
      </c>
      <c r="I1380" s="11" t="str">
        <v>RF-01T-0171]ARM CVR REAR R</v>
      </c>
      <c r="J1380" s="9">
        <v>232</v>
      </c>
      <c r="K1380" s="9" t="str">
        <v/>
      </c>
      <c r="L1380" s="9" t="str">
        <v>3B4</v>
      </c>
      <c r="M1380" s="12">
        <v>46281</v>
      </c>
      <c r="N1380" s="5" t="str">
        <v/>
      </c>
      <c r="O1380" s="5">
        <v>97000</v>
      </c>
      <c r="P1380" s="5">
        <v>50</v>
      </c>
      <c r="Q1380" s="14">
        <v>46287</v>
      </c>
      <c r="R1380" s="15">
        <v>182</v>
      </c>
    </row>
    <row r="1381" spans="2:18" x14ac:dyDescent="0.35">
      <c r="B1381" s="9">
        <v>1285</v>
      </c>
      <c r="C1381" s="9" t="str">
        <v>출고재고</v>
      </c>
      <c r="D1381" s="9" t="str">
        <v/>
      </c>
      <c r="E1381" s="9" t="str">
        <v>입고</v>
      </c>
      <c r="F1381" s="9" t="str">
        <v>Son Tung</v>
      </c>
      <c r="G1381" s="9" t="str">
        <v>조영우</v>
      </c>
      <c r="H1381" s="9" t="str">
        <v>RF-01T-0172</v>
      </c>
      <c r="I1381" s="11" t="str">
        <v>RF-01T-0172]ARM CVR REAR L</v>
      </c>
      <c r="J1381" s="9">
        <v>240</v>
      </c>
      <c r="K1381" s="9" t="str">
        <v/>
      </c>
      <c r="L1381" s="9" t="str">
        <v>3B5</v>
      </c>
      <c r="M1381" s="12">
        <v>46279</v>
      </c>
      <c r="N1381" s="5" t="str">
        <v/>
      </c>
      <c r="O1381" s="5">
        <v>97000</v>
      </c>
      <c r="P1381" s="5">
        <v>50</v>
      </c>
      <c r="Q1381" s="14">
        <v>46287</v>
      </c>
      <c r="R1381" s="15">
        <v>190</v>
      </c>
    </row>
    <row r="1382" spans="2:18" x14ac:dyDescent="0.35">
      <c r="B1382" s="9">
        <v>420</v>
      </c>
      <c r="C1382" s="9" t="str">
        <v>출고재고</v>
      </c>
      <c r="D1382" s="9" t="str">
        <v/>
      </c>
      <c r="E1382" s="9" t="str">
        <v/>
      </c>
      <c r="F1382" s="9" t="str">
        <v/>
      </c>
      <c r="G1382" s="9" t="str">
        <v/>
      </c>
      <c r="H1382" s="9" t="str">
        <v>RF-01T-0164</v>
      </c>
      <c r="I1382" s="11" t="str">
        <v>RF-01T-0164]LED TOUCH INDIGATOR</v>
      </c>
      <c r="J1382" s="9">
        <v>242</v>
      </c>
      <c r="K1382" s="9" t="str">
        <v/>
      </c>
      <c r="L1382" s="9" t="str">
        <v>3L3-5</v>
      </c>
      <c r="M1382" s="12">
        <v>46259</v>
      </c>
      <c r="N1382" s="5" t="str">
        <v/>
      </c>
      <c r="O1382" s="5">
        <v>97000</v>
      </c>
      <c r="P1382" s="5">
        <v>50</v>
      </c>
      <c r="Q1382" s="14">
        <v>46287</v>
      </c>
      <c r="R1382" s="15">
        <v>192</v>
      </c>
    </row>
    <row r="1383" spans="2:18" x14ac:dyDescent="0.35">
      <c r="B1383" s="9">
        <v>345</v>
      </c>
      <c r="C1383" s="9" t="str">
        <v>출고재고</v>
      </c>
      <c r="D1383" s="9" t="str">
        <v/>
      </c>
      <c r="E1383" s="9" t="str">
        <v>입고</v>
      </c>
      <c r="F1383" s="9" t="str">
        <v/>
      </c>
      <c r="G1383" s="9" t="str">
        <v/>
      </c>
      <c r="H1383" s="9" t="str">
        <v>RF-01M-0397</v>
      </c>
      <c r="I1383" s="11" t="str">
        <v>RF-01M-0397]COVER BOTTOM</v>
      </c>
      <c r="J1383" s="9">
        <v>300</v>
      </c>
      <c r="K1383" s="9" t="str">
        <v/>
      </c>
      <c r="L1383" s="9" t="str">
        <v>3E5</v>
      </c>
      <c r="M1383" s="12">
        <v>46233</v>
      </c>
      <c r="N1383" s="5" t="str">
        <v/>
      </c>
      <c r="O1383" s="5">
        <v>97000</v>
      </c>
      <c r="P1383" s="5">
        <v>50</v>
      </c>
      <c r="Q1383" s="14">
        <v>46287</v>
      </c>
      <c r="R1383" s="15">
        <v>250</v>
      </c>
    </row>
    <row r="1384" spans="2:18" x14ac:dyDescent="0.35">
      <c r="B1384" s="9">
        <v>419</v>
      </c>
      <c r="C1384" s="9" t="str">
        <v>출고재고</v>
      </c>
      <c r="D1384" s="9" t="str">
        <v/>
      </c>
      <c r="E1384" s="9" t="str">
        <v/>
      </c>
      <c r="F1384" s="9" t="str">
        <v/>
      </c>
      <c r="G1384" s="9" t="str">
        <v/>
      </c>
      <c r="H1384" s="9" t="str">
        <v>RF-01S-0251</v>
      </c>
      <c r="I1384" s="11" t="str">
        <v>RF-01S-0251]CAL Mgnet</v>
      </c>
      <c r="J1384" s="9">
        <v>300</v>
      </c>
      <c r="K1384" s="9" t="str">
        <v/>
      </c>
      <c r="L1384" s="9" t="str">
        <v>3L4-3</v>
      </c>
      <c r="M1384" s="12">
        <v>46259</v>
      </c>
      <c r="N1384" s="5" t="str">
        <v/>
      </c>
      <c r="O1384" s="5">
        <v>97000</v>
      </c>
      <c r="P1384" s="5">
        <v>111</v>
      </c>
      <c r="Q1384" s="14">
        <v>46287</v>
      </c>
      <c r="R1384" s="15">
        <v>189</v>
      </c>
    </row>
    <row r="1385" spans="2:18" x14ac:dyDescent="0.35">
      <c r="B1385" s="9">
        <v>418</v>
      </c>
      <c r="C1385" s="9" t="str">
        <v>출고재고</v>
      </c>
      <c r="D1385" s="9" t="str">
        <v/>
      </c>
      <c r="E1385" s="9" t="str">
        <v/>
      </c>
      <c r="F1385" s="9" t="str">
        <v/>
      </c>
      <c r="G1385" s="9" t="str">
        <v/>
      </c>
      <c r="H1385" s="9" t="str">
        <v>RF-01B-5036</v>
      </c>
      <c r="I1385" s="11" t="str">
        <v>RF-01B-5036] LED CENTER BOARD</v>
      </c>
      <c r="J1385" s="9">
        <v>362</v>
      </c>
      <c r="K1385" s="9" t="str">
        <v/>
      </c>
      <c r="L1385" s="9" t="str">
        <v>A16</v>
      </c>
      <c r="M1385" s="12">
        <v>46259</v>
      </c>
      <c r="N1385" s="5" t="str">
        <v/>
      </c>
      <c r="O1385" s="5">
        <v>97000</v>
      </c>
      <c r="P1385" s="5">
        <v>50</v>
      </c>
      <c r="Q1385" s="14">
        <v>46287</v>
      </c>
      <c r="R1385" s="15">
        <v>312</v>
      </c>
    </row>
    <row r="1386" spans="2:18" x14ac:dyDescent="0.35">
      <c r="B1386" s="9">
        <v>1279</v>
      </c>
      <c r="C1386" s="9" t="str">
        <v>출고재고</v>
      </c>
      <c r="D1386" s="9" t="str">
        <v/>
      </c>
      <c r="E1386" s="9" t="str">
        <v>입고</v>
      </c>
      <c r="F1386" s="9" t="str">
        <v>진광</v>
      </c>
      <c r="G1386" s="9" t="str">
        <v>장동은</v>
      </c>
      <c r="H1386" s="9" t="str">
        <v>RF-01T-0353</v>
      </c>
      <c r="I1386" s="11" t="str">
        <v>RF-01T-0353]WINDOW LED</v>
      </c>
      <c r="J1386" s="9">
        <v>400</v>
      </c>
      <c r="K1386" s="9" t="str">
        <v/>
      </c>
      <c r="L1386" s="9" t="str">
        <v>3E9</v>
      </c>
      <c r="M1386" s="12">
        <v>46269</v>
      </c>
      <c r="N1386" s="5" t="str">
        <v/>
      </c>
      <c r="O1386" s="5">
        <v>97000</v>
      </c>
      <c r="P1386" s="5">
        <v>100</v>
      </c>
      <c r="Q1386" s="14">
        <v>46287</v>
      </c>
      <c r="R1386" s="15">
        <v>300</v>
      </c>
    </row>
    <row r="1387" spans="2:18" x14ac:dyDescent="0.35">
      <c r="B1387" s="9">
        <v>417</v>
      </c>
      <c r="C1387" s="9" t="str">
        <v>출고재고</v>
      </c>
      <c r="D1387" s="9" t="str">
        <v/>
      </c>
      <c r="E1387" s="9" t="str">
        <v/>
      </c>
      <c r="F1387" s="9" t="str">
        <v/>
      </c>
      <c r="G1387" s="9" t="str">
        <v/>
      </c>
      <c r="H1387" s="9" t="str">
        <v>RF-01B-5034</v>
      </c>
      <c r="I1387" s="11" t="str">
        <v>RF-01B-5034] POWER BUTTON BOARD</v>
      </c>
      <c r="J1387" s="9">
        <v>413</v>
      </c>
      <c r="K1387" s="9" t="str">
        <v/>
      </c>
      <c r="L1387" s="9" t="str">
        <v>A4-2</v>
      </c>
      <c r="M1387" s="12">
        <v>46259</v>
      </c>
      <c r="N1387" s="5" t="str">
        <v/>
      </c>
      <c r="O1387" s="5">
        <v>97000</v>
      </c>
      <c r="P1387" s="5">
        <v>50</v>
      </c>
      <c r="Q1387" s="14">
        <v>46287</v>
      </c>
      <c r="R1387" s="15">
        <v>363</v>
      </c>
    </row>
    <row r="1388" spans="2:18" x14ac:dyDescent="0.35">
      <c r="B1388" s="9">
        <v>416</v>
      </c>
      <c r="C1388" s="9" t="str">
        <v>출고재고</v>
      </c>
      <c r="D1388" s="9" t="str">
        <v/>
      </c>
      <c r="E1388" s="9" t="str">
        <v/>
      </c>
      <c r="F1388" s="9" t="str">
        <v/>
      </c>
      <c r="G1388" s="9" t="str">
        <v/>
      </c>
      <c r="H1388" s="9" t="str">
        <v>RF-01G-0168</v>
      </c>
      <c r="I1388" s="11" t="str">
        <v>RF-01G-0168]BOT RUBBER</v>
      </c>
      <c r="J1388" s="9">
        <v>535</v>
      </c>
      <c r="K1388" s="9" t="str">
        <v/>
      </c>
      <c r="L1388" s="9" t="str">
        <v>3S3-1</v>
      </c>
      <c r="M1388" s="12">
        <v>46259</v>
      </c>
      <c r="N1388" s="5" t="str">
        <v/>
      </c>
      <c r="O1388" s="5">
        <v>97000</v>
      </c>
      <c r="P1388" s="5">
        <v>300</v>
      </c>
      <c r="Q1388" s="14">
        <v>46287</v>
      </c>
      <c r="R1388" s="15">
        <v>235</v>
      </c>
    </row>
    <row r="1389" spans="2:18" x14ac:dyDescent="0.35">
      <c r="B1389" s="9">
        <v>1165</v>
      </c>
      <c r="C1389" s="9" t="str">
        <v>출고재고</v>
      </c>
      <c r="D1389" s="9" t="str">
        <v/>
      </c>
      <c r="E1389" s="9" t="str">
        <v/>
      </c>
      <c r="F1389" s="9" t="str">
        <v/>
      </c>
      <c r="G1389" s="9" t="str">
        <v/>
      </c>
      <c r="H1389" s="9" t="str">
        <v>RF-01T-0173</v>
      </c>
      <c r="I1389" s="11" t="str">
        <v>RF-01T-0173]ARM CVR REAR DECO</v>
      </c>
      <c r="J1389" s="9">
        <v>719</v>
      </c>
      <c r="K1389" s="9" t="str">
        <v/>
      </c>
      <c r="L1389" s="9" t="str">
        <v>3B8</v>
      </c>
      <c r="M1389" s="12">
        <v>46280</v>
      </c>
      <c r="N1389" s="5" t="str">
        <v/>
      </c>
      <c r="O1389" s="5">
        <v>97000</v>
      </c>
      <c r="P1389" s="5">
        <v>100</v>
      </c>
      <c r="Q1389" s="14">
        <v>46287</v>
      </c>
      <c r="R1389" s="15">
        <v>619</v>
      </c>
    </row>
    <row r="1390" spans="2:18" x14ac:dyDescent="0.35">
      <c r="B1390" s="9">
        <v>415</v>
      </c>
      <c r="C1390" s="9" t="str">
        <v>출고재고</v>
      </c>
      <c r="D1390" s="9" t="str">
        <v/>
      </c>
      <c r="E1390" s="9" t="str">
        <v/>
      </c>
      <c r="F1390" s="9" t="str">
        <v/>
      </c>
      <c r="G1390" s="9" t="str">
        <v/>
      </c>
      <c r="H1390" s="9" t="str">
        <v>RF-01G-0252</v>
      </c>
      <c r="I1390" s="11" t="str">
        <v>RF-01G-0252]MOLDING FRONT MIRROR</v>
      </c>
      <c r="J1390" s="9">
        <v>971</v>
      </c>
      <c r="K1390" s="9" t="str">
        <v/>
      </c>
      <c r="L1390" s="9" t="str">
        <v>3S3-1</v>
      </c>
      <c r="M1390" s="12">
        <v>46259</v>
      </c>
      <c r="N1390" s="5" t="str">
        <v/>
      </c>
      <c r="O1390" s="5">
        <v>97000</v>
      </c>
      <c r="P1390" s="5">
        <v>50</v>
      </c>
      <c r="Q1390" s="14">
        <v>46287</v>
      </c>
      <c r="R1390" s="15">
        <v>921</v>
      </c>
    </row>
    <row r="1391" spans="2:18" x14ac:dyDescent="0.35">
      <c r="B1391" s="9">
        <v>414</v>
      </c>
      <c r="C1391" s="9" t="str">
        <v>출고재고</v>
      </c>
      <c r="D1391" s="9" t="str">
        <v/>
      </c>
      <c r="E1391" s="9" t="str">
        <v/>
      </c>
      <c r="F1391" s="9" t="str">
        <v/>
      </c>
      <c r="G1391" s="9" t="str">
        <v/>
      </c>
      <c r="H1391" s="9" t="str">
        <v>RF-09P-0271</v>
      </c>
      <c r="I1391" s="11" t="str">
        <v>RF-09P-0271]MIRROR PROTIVE FILM</v>
      </c>
      <c r="J1391" s="9">
        <v>1503</v>
      </c>
      <c r="K1391" s="9" t="str">
        <v/>
      </c>
      <c r="L1391" s="9" t="str">
        <v>3S3-1</v>
      </c>
      <c r="M1391" s="12">
        <v>46259</v>
      </c>
      <c r="N1391" s="5" t="str">
        <v/>
      </c>
      <c r="O1391" s="5">
        <v>97000</v>
      </c>
      <c r="P1391" s="5">
        <v>50</v>
      </c>
      <c r="Q1391" s="14">
        <v>46287</v>
      </c>
      <c r="R1391" s="15">
        <v>1453</v>
      </c>
    </row>
    <row r="1392" spans="2:18" x14ac:dyDescent="0.35">
      <c r="B1392" s="9">
        <v>302</v>
      </c>
      <c r="C1392" s="9" t="str">
        <v>출고재고</v>
      </c>
      <c r="D1392" s="9" t="str">
        <v/>
      </c>
      <c r="E1392" s="9" t="str">
        <v>입고</v>
      </c>
      <c r="F1392" s="9" t="str">
        <v/>
      </c>
      <c r="G1392" s="9" t="str">
        <v/>
      </c>
      <c r="H1392" s="9" t="str">
        <v>RD-00S-5201</v>
      </c>
      <c r="I1392" s="11" t="str">
        <v>RD-00S-5201]USB A to B Cable</v>
      </c>
      <c r="J1392" s="9">
        <v>100</v>
      </c>
      <c r="K1392" s="9" t="str">
        <v/>
      </c>
      <c r="L1392" s="9" t="str">
        <v>3S3-2</v>
      </c>
      <c r="M1392" s="12">
        <v>46252</v>
      </c>
      <c r="N1392" s="5" t="str">
        <v/>
      </c>
      <c r="O1392" s="5">
        <v>97001</v>
      </c>
      <c r="P1392" s="5">
        <v>10</v>
      </c>
      <c r="Q1392" s="14">
        <v>46287</v>
      </c>
      <c r="R1392" s="15">
        <v>90</v>
      </c>
    </row>
    <row r="1393" spans="2:18" x14ac:dyDescent="0.35">
      <c r="B1393" s="9">
        <v>423</v>
      </c>
      <c r="C1393" s="9" t="str">
        <v>출고재고</v>
      </c>
      <c r="D1393" s="9" t="str">
        <v/>
      </c>
      <c r="E1393" s="9" t="str">
        <v/>
      </c>
      <c r="F1393" s="9" t="str">
        <v/>
      </c>
      <c r="G1393" s="9" t="str">
        <v/>
      </c>
      <c r="H1393" s="9" t="str">
        <v>RP-00S-5041</v>
      </c>
      <c r="I1393" s="11" t="str">
        <v/>
      </c>
      <c r="J1393" s="9">
        <v>205</v>
      </c>
      <c r="K1393" s="9" t="str">
        <v/>
      </c>
      <c r="L1393" s="9" t="str">
        <v>3B20</v>
      </c>
      <c r="M1393" s="12">
        <v>46259</v>
      </c>
      <c r="N1393" s="5" t="str">
        <v/>
      </c>
      <c r="O1393" s="5">
        <v>97001</v>
      </c>
      <c r="P1393" s="5">
        <v>10</v>
      </c>
      <c r="Q1393" s="14">
        <v>46287</v>
      </c>
      <c r="R1393" s="15">
        <v>195</v>
      </c>
    </row>
    <row r="1394" spans="2:18" x14ac:dyDescent="0.35">
      <c r="B1394" s="9">
        <v>1537</v>
      </c>
      <c r="C1394" s="9" t="str">
        <v>출고재고</v>
      </c>
      <c r="D1394" s="9" t="str">
        <v/>
      </c>
      <c r="E1394" s="9" t="str">
        <v/>
      </c>
      <c r="F1394" s="9" t="str">
        <v/>
      </c>
      <c r="G1394" s="9" t="str">
        <v/>
      </c>
      <c r="H1394" s="9" t="str">
        <v>RA-06S-5018</v>
      </c>
      <c r="I1394" s="11" t="str">
        <v>RA-06S-5018]MICRO SWITCH</v>
      </c>
      <c r="J1394" s="9">
        <v>460</v>
      </c>
      <c r="K1394" s="9" t="str">
        <v/>
      </c>
      <c r="L1394" s="9" t="str">
        <v>A12-3</v>
      </c>
      <c r="M1394" s="12">
        <v>46282</v>
      </c>
      <c r="N1394" s="5" t="str">
        <v/>
      </c>
      <c r="O1394" s="5">
        <v>97001</v>
      </c>
      <c r="P1394" s="5">
        <v>20</v>
      </c>
      <c r="Q1394" s="14">
        <v>46287</v>
      </c>
      <c r="R1394" s="15">
        <v>440</v>
      </c>
    </row>
    <row r="1395" spans="2:18" x14ac:dyDescent="0.35">
      <c r="B1395" s="9">
        <v>1701</v>
      </c>
      <c r="C1395" s="9" t="str">
        <v>출고재고</v>
      </c>
      <c r="D1395" s="9" t="str">
        <v/>
      </c>
      <c r="E1395" s="9" t="str">
        <v>입고</v>
      </c>
      <c r="F1395" s="9" t="str">
        <v>A&amp;T</v>
      </c>
      <c r="G1395" s="9" t="str">
        <v>조영우</v>
      </c>
      <c r="H1395" s="9" t="str">
        <v>RE-04A-1040</v>
      </c>
      <c r="I1395" s="11" t="str">
        <v>RE-04A-1040]ASM ARM MODULE</v>
      </c>
      <c r="J1395" s="9">
        <v>4</v>
      </c>
      <c r="K1395" s="9" t="str">
        <v/>
      </c>
      <c r="L1395" s="9" t="str">
        <v>K8</v>
      </c>
      <c r="M1395" s="12">
        <v>46281</v>
      </c>
      <c r="N1395" s="5" t="str">
        <v/>
      </c>
      <c r="O1395" s="5">
        <v>97004</v>
      </c>
      <c r="P1395" s="5">
        <v>4</v>
      </c>
      <c r="Q1395" s="14">
        <v>46281</v>
      </c>
      <c r="R1395" s="15">
        <v>0</v>
      </c>
    </row>
    <row r="1396" spans="2:18" x14ac:dyDescent="0.35">
      <c r="B1396" s="9">
        <v>706</v>
      </c>
      <c r="C1396" s="9" t="str">
        <v>출고재고</v>
      </c>
      <c r="D1396" s="9" t="str">
        <v/>
      </c>
      <c r="E1396" s="9" t="str">
        <v>기초</v>
      </c>
      <c r="F1396" s="9" t="str">
        <v/>
      </c>
      <c r="G1396" s="9" t="str">
        <v/>
      </c>
      <c r="H1396" s="9" t="str">
        <v>RE-04A-1040</v>
      </c>
      <c r="I1396" s="11" t="str">
        <v>RE-04A-1040]ASM ARM MODULE</v>
      </c>
      <c r="J1396" s="9">
        <v>12</v>
      </c>
      <c r="K1396" s="9" t="str">
        <v/>
      </c>
      <c r="L1396" s="9" t="str">
        <v>K8</v>
      </c>
      <c r="M1396" s="12">
        <v>46275</v>
      </c>
      <c r="N1396" s="5" t="str">
        <v/>
      </c>
      <c r="O1396" s="5">
        <v>97004</v>
      </c>
      <c r="P1396" s="5">
        <v>11</v>
      </c>
      <c r="Q1396" s="14">
        <v>46275</v>
      </c>
      <c r="R1396" s="15">
        <v>1</v>
      </c>
    </row>
    <row r="1397" spans="2:18" x14ac:dyDescent="0.35">
      <c r="B1397" s="9">
        <v>705</v>
      </c>
      <c r="C1397" s="9" t="str">
        <v>출고재고</v>
      </c>
      <c r="D1397" s="9" t="str">
        <v/>
      </c>
      <c r="E1397" s="9" t="str">
        <v>기초</v>
      </c>
      <c r="F1397" s="9" t="str">
        <v/>
      </c>
      <c r="G1397" s="9" t="str">
        <v/>
      </c>
      <c r="H1397" s="9" t="str">
        <v>RE-04H-5047</v>
      </c>
      <c r="I1397" s="11" t="str">
        <v>RE-04H-5047]LASER V_C [LBM01-180]</v>
      </c>
      <c r="J1397" s="9">
        <v>45</v>
      </c>
      <c r="K1397" s="9" t="str">
        <v/>
      </c>
      <c r="L1397" s="9" t="str">
        <v>F3-2</v>
      </c>
      <c r="M1397" s="12">
        <v>46275</v>
      </c>
      <c r="N1397" s="5" t="str">
        <v/>
      </c>
      <c r="O1397" s="5">
        <v>97004</v>
      </c>
      <c r="P1397" s="5">
        <v>45</v>
      </c>
      <c r="Q1397" s="14">
        <v>46275</v>
      </c>
      <c r="R1397" s="15">
        <v>0</v>
      </c>
    </row>
    <row r="1398" spans="2:18" x14ac:dyDescent="0.35">
      <c r="B1398" s="9">
        <v>704</v>
      </c>
      <c r="C1398" s="9" t="str">
        <v>출고재고</v>
      </c>
      <c r="D1398" s="9" t="str">
        <v/>
      </c>
      <c r="E1398" s="9" t="str">
        <v>기초</v>
      </c>
      <c r="F1398" s="9" t="str">
        <v/>
      </c>
      <c r="G1398" s="9" t="str">
        <v/>
      </c>
      <c r="H1398" s="9" t="str">
        <v>RE-04T-0413</v>
      </c>
      <c r="I1398" s="11" t="str">
        <v>RE-04T-0413]CAS CHINREST Bas</v>
      </c>
      <c r="J1398" s="9">
        <v>104</v>
      </c>
      <c r="K1398" s="9" t="str">
        <v/>
      </c>
      <c r="L1398" s="9" t="str">
        <v>3L14-1</v>
      </c>
      <c r="M1398" s="12">
        <v>46275</v>
      </c>
      <c r="N1398" s="5" t="str">
        <v/>
      </c>
      <c r="O1398" s="5">
        <v>97004</v>
      </c>
      <c r="P1398" s="5">
        <v>30</v>
      </c>
      <c r="Q1398" s="14">
        <v>46275</v>
      </c>
      <c r="R1398" s="15">
        <v>74</v>
      </c>
    </row>
    <row r="1399" spans="2:18" x14ac:dyDescent="0.35">
      <c r="B1399" s="9">
        <v>2276</v>
      </c>
      <c r="C1399" s="9" t="str">
        <v>출고재고</v>
      </c>
      <c r="D1399" s="9" t="str">
        <v/>
      </c>
      <c r="E1399" s="9" t="str">
        <v/>
      </c>
      <c r="F1399" s="9" t="str">
        <v/>
      </c>
      <c r="G1399" s="9" t="str">
        <v/>
      </c>
      <c r="H1399" s="9" t="str">
        <v>RE-03A-1030</v>
      </c>
      <c r="I1399" s="11" t="str">
        <v>RE-03A-1030]ASM COLUMN MODULE</v>
      </c>
      <c r="J1399" s="9">
        <v>17</v>
      </c>
      <c r="K1399" s="9" t="str">
        <v/>
      </c>
      <c r="L1399" s="9" t="str">
        <v>K8</v>
      </c>
      <c r="M1399" s="12">
        <v>46301</v>
      </c>
      <c r="N1399" s="5" t="str">
        <v/>
      </c>
      <c r="O1399" s="5">
        <v>97004</v>
      </c>
      <c r="P1399" s="5">
        <v>12</v>
      </c>
      <c r="Q1399" s="14">
        <v>46301</v>
      </c>
      <c r="R1399" s="15">
        <v>5</v>
      </c>
    </row>
    <row r="1400" spans="2:18" x14ac:dyDescent="0.35">
      <c r="B1400" s="9">
        <v>1985</v>
      </c>
      <c r="C1400" s="9" t="str">
        <v>출고재고</v>
      </c>
      <c r="D1400" s="9" t="str">
        <v/>
      </c>
      <c r="E1400" s="9" t="str">
        <v>입고</v>
      </c>
      <c r="F1400" s="9" t="str">
        <v>A&amp;T</v>
      </c>
      <c r="G1400" s="9" t="str">
        <v>장동은</v>
      </c>
      <c r="H1400" s="9" t="str">
        <v>RE-04A-1040</v>
      </c>
      <c r="I1400" s="11" t="str">
        <v>RE-04A-1040]ASM ARM MODULE</v>
      </c>
      <c r="J1400" s="9">
        <v>15</v>
      </c>
      <c r="K1400" s="9" t="str">
        <v/>
      </c>
      <c r="L1400" s="9" t="str">
        <v>K8</v>
      </c>
      <c r="M1400" s="12">
        <v>46295</v>
      </c>
      <c r="N1400" s="5" t="str">
        <v/>
      </c>
      <c r="O1400" s="5">
        <v>97004</v>
      </c>
      <c r="P1400" s="5">
        <v>15</v>
      </c>
      <c r="Q1400" s="14">
        <v>46281</v>
      </c>
      <c r="R1400" s="15">
        <v>0</v>
      </c>
    </row>
    <row r="1401" spans="2:18" x14ac:dyDescent="0.35">
      <c r="B1401" s="9">
        <v>702</v>
      </c>
      <c r="C1401" s="9" t="str">
        <v>출고재고</v>
      </c>
      <c r="D1401" s="9" t="str">
        <v/>
      </c>
      <c r="E1401" s="9" t="str">
        <v>기초</v>
      </c>
      <c r="F1401" s="9" t="str">
        <v/>
      </c>
      <c r="G1401" s="9" t="str">
        <v/>
      </c>
      <c r="H1401" s="9" t="str">
        <v>RE-07A-1070</v>
      </c>
      <c r="I1401" s="11" t="str">
        <v>RE-07A-1070]ASM DETECTOR MODULE</v>
      </c>
      <c r="J1401" s="9">
        <v>20</v>
      </c>
      <c r="K1401" s="9" t="str">
        <v/>
      </c>
      <c r="L1401" s="9" t="str">
        <v>K8</v>
      </c>
      <c r="M1401" s="12">
        <v>46275</v>
      </c>
      <c r="N1401" s="5" t="str">
        <v/>
      </c>
      <c r="O1401" s="5">
        <v>97005</v>
      </c>
      <c r="P1401" s="5">
        <v>20</v>
      </c>
      <c r="Q1401" s="14">
        <v>46276</v>
      </c>
      <c r="R1401" s="15">
        <v>0</v>
      </c>
    </row>
    <row r="1402" spans="2:18" x14ac:dyDescent="0.35">
      <c r="B1402" s="9">
        <v>700</v>
      </c>
      <c r="C1402" s="9" t="str">
        <v>출고재고</v>
      </c>
      <c r="D1402" s="9" t="str">
        <v/>
      </c>
      <c r="E1402" s="9" t="str">
        <v>기초</v>
      </c>
      <c r="F1402" s="9" t="str">
        <v/>
      </c>
      <c r="G1402" s="9" t="str">
        <v/>
      </c>
      <c r="H1402" s="9" t="str">
        <v>RE-06A-0625</v>
      </c>
      <c r="I1402" s="11" t="str">
        <v>RE-06A-0625]ASM TUBE FAN</v>
      </c>
      <c r="J1402" s="9">
        <v>60</v>
      </c>
      <c r="K1402" s="9" t="str">
        <v/>
      </c>
      <c r="L1402" s="9" t="str">
        <v>K6-1</v>
      </c>
      <c r="M1402" s="12">
        <v>46275</v>
      </c>
      <c r="N1402" s="5" t="str">
        <v/>
      </c>
      <c r="O1402" s="5">
        <v>97005</v>
      </c>
      <c r="P1402" s="5">
        <v>30</v>
      </c>
      <c r="Q1402" s="14">
        <v>46276</v>
      </c>
      <c r="R1402" s="15">
        <v>30</v>
      </c>
    </row>
    <row r="1403" spans="2:18" x14ac:dyDescent="0.35">
      <c r="B1403" s="9">
        <v>698</v>
      </c>
      <c r="C1403" s="9" t="str">
        <v>출고재고</v>
      </c>
      <c r="D1403" s="9" t="str">
        <v/>
      </c>
      <c r="E1403" s="9" t="str">
        <v>기초</v>
      </c>
      <c r="F1403" s="9" t="str">
        <v/>
      </c>
      <c r="G1403" s="9" t="str">
        <v/>
      </c>
      <c r="H1403" s="9" t="str">
        <v>RE-06V-0608</v>
      </c>
      <c r="I1403" s="11" t="str">
        <v>RE-06V-0608]BRK COL LWR</v>
      </c>
      <c r="J1403" s="9">
        <v>80</v>
      </c>
      <c r="K1403" s="9" t="str">
        <v/>
      </c>
      <c r="L1403" s="9" t="str">
        <v>K1-4</v>
      </c>
      <c r="M1403" s="12">
        <v>46275</v>
      </c>
      <c r="N1403" s="5" t="str">
        <v/>
      </c>
      <c r="O1403" s="5">
        <v>97005</v>
      </c>
      <c r="P1403" s="5">
        <v>30</v>
      </c>
      <c r="Q1403" s="14">
        <v>46276</v>
      </c>
      <c r="R1403" s="15">
        <v>50</v>
      </c>
    </row>
    <row r="1404" spans="2:18" x14ac:dyDescent="0.35">
      <c r="B1404" s="9">
        <v>703</v>
      </c>
      <c r="C1404" s="9" t="str">
        <v>출고재고</v>
      </c>
      <c r="D1404" s="9" t="str">
        <v/>
      </c>
      <c r="E1404" s="9" t="str">
        <v>기초</v>
      </c>
      <c r="F1404" s="9" t="str">
        <v/>
      </c>
      <c r="G1404" s="9" t="str">
        <v/>
      </c>
      <c r="H1404" s="9" t="str">
        <v>RE-06A-0601</v>
      </c>
      <c r="I1404" s="11" t="str">
        <v>RE-06A-0601]ASM COLLIMATOR MODULE</v>
      </c>
      <c r="J1404" s="9">
        <v>88</v>
      </c>
      <c r="K1404" s="9" t="str">
        <v/>
      </c>
      <c r="L1404" s="9" t="str">
        <v>K8</v>
      </c>
      <c r="M1404" s="12">
        <v>46275</v>
      </c>
      <c r="N1404" s="5" t="str">
        <v/>
      </c>
      <c r="O1404" s="5">
        <v>97005</v>
      </c>
      <c r="P1404" s="5">
        <v>30</v>
      </c>
      <c r="Q1404" s="14">
        <v>46276</v>
      </c>
      <c r="R1404" s="15">
        <v>58</v>
      </c>
    </row>
    <row r="1405" spans="2:18" x14ac:dyDescent="0.35">
      <c r="B1405" s="9">
        <v>697</v>
      </c>
      <c r="C1405" s="9" t="str">
        <v>출고재고</v>
      </c>
      <c r="D1405" s="9" t="str">
        <v/>
      </c>
      <c r="E1405" s="9" t="str">
        <v>기초</v>
      </c>
      <c r="F1405" s="9" t="str">
        <v/>
      </c>
      <c r="G1405" s="9" t="str">
        <v/>
      </c>
      <c r="H1405" s="9" t="str">
        <v>RE-06H-5048</v>
      </c>
      <c r="I1405" s="11" t="str">
        <v>RE-06H-5048]LASER H [LBM01-300]</v>
      </c>
      <c r="J1405" s="9">
        <v>99</v>
      </c>
      <c r="K1405" s="9" t="str">
        <v/>
      </c>
      <c r="L1405" s="9" t="str">
        <v>F3-2</v>
      </c>
      <c r="M1405" s="12">
        <v>46275</v>
      </c>
      <c r="N1405" s="5" t="str">
        <v/>
      </c>
      <c r="O1405" s="5">
        <v>97005</v>
      </c>
      <c r="P1405" s="5">
        <v>30</v>
      </c>
      <c r="Q1405" s="14">
        <v>46276</v>
      </c>
      <c r="R1405" s="15">
        <v>69</v>
      </c>
    </row>
    <row r="1406" spans="2:18" x14ac:dyDescent="0.35">
      <c r="B1406" s="9">
        <v>701</v>
      </c>
      <c r="C1406" s="9" t="str">
        <v>출고재고</v>
      </c>
      <c r="D1406" s="9" t="str">
        <v/>
      </c>
      <c r="E1406" s="9" t="str">
        <v>기초</v>
      </c>
      <c r="F1406" s="9" t="str">
        <v/>
      </c>
      <c r="G1406" s="9" t="str">
        <v/>
      </c>
      <c r="H1406" s="9" t="str">
        <v>RE-06A-0630</v>
      </c>
      <c r="I1406" s="11" t="str">
        <v>RE-06A-0630]ASM TUBE SHAFT BRASS</v>
      </c>
      <c r="J1406" s="9">
        <v>99</v>
      </c>
      <c r="K1406" s="9" t="str">
        <v/>
      </c>
      <c r="L1406" s="9" t="str">
        <v>K7-2</v>
      </c>
      <c r="M1406" s="12">
        <v>46275</v>
      </c>
      <c r="N1406" s="5" t="str">
        <v/>
      </c>
      <c r="O1406" s="5">
        <v>97005</v>
      </c>
      <c r="P1406" s="5">
        <v>30</v>
      </c>
      <c r="Q1406" s="14">
        <v>46276</v>
      </c>
      <c r="R1406" s="15">
        <v>69</v>
      </c>
    </row>
    <row r="1407" spans="2:18" x14ac:dyDescent="0.35">
      <c r="B1407" s="9">
        <v>699</v>
      </c>
      <c r="C1407" s="9" t="str">
        <v>출고재고</v>
      </c>
      <c r="D1407" s="9" t="str">
        <v/>
      </c>
      <c r="E1407" s="9" t="str">
        <v>기초</v>
      </c>
      <c r="F1407" s="9" t="str">
        <v/>
      </c>
      <c r="G1407" s="9" t="str">
        <v/>
      </c>
      <c r="H1407" s="9" t="str">
        <v>RE-06V-0615</v>
      </c>
      <c r="I1407" s="11" t="str">
        <v>RE-06V-0615]BRK PB COL SC</v>
      </c>
      <c r="J1407" s="9">
        <v>130</v>
      </c>
      <c r="K1407" s="9" t="str">
        <v/>
      </c>
      <c r="L1407" s="9" t="str">
        <v>K2-4</v>
      </c>
      <c r="M1407" s="12">
        <v>46275</v>
      </c>
      <c r="N1407" s="5" t="str">
        <v/>
      </c>
      <c r="O1407" s="5">
        <v>97005</v>
      </c>
      <c r="P1407" s="5">
        <v>30</v>
      </c>
      <c r="Q1407" s="14">
        <v>46276</v>
      </c>
      <c r="R1407" s="15">
        <v>100</v>
      </c>
    </row>
    <row r="1408" spans="2:18" x14ac:dyDescent="0.35">
      <c r="B1408" s="9">
        <v>713</v>
      </c>
      <c r="C1408" s="9" t="str">
        <v>출고재고</v>
      </c>
      <c r="D1408" s="9" t="str">
        <v/>
      </c>
      <c r="E1408" s="9" t="str">
        <v>기초</v>
      </c>
      <c r="F1408" s="9" t="str">
        <v/>
      </c>
      <c r="G1408" s="9" t="str">
        <v/>
      </c>
      <c r="H1408" s="9" t="str">
        <v>RE-06M-0636</v>
      </c>
      <c r="I1408" s="11" t="str">
        <v>RE-06M-0636]DECO HORIZONTAL LASER</v>
      </c>
      <c r="J1408" s="9">
        <v>79</v>
      </c>
      <c r="K1408" s="9" t="str">
        <v/>
      </c>
      <c r="L1408" s="9" t="str">
        <v>K3-4</v>
      </c>
      <c r="M1408" s="12">
        <v>46275</v>
      </c>
      <c r="N1408" s="5" t="str">
        <v/>
      </c>
      <c r="O1408" s="5">
        <v>97006</v>
      </c>
      <c r="P1408" s="5">
        <v>30</v>
      </c>
      <c r="Q1408" s="14">
        <v>46276</v>
      </c>
      <c r="R1408" s="15">
        <v>49</v>
      </c>
    </row>
    <row r="1409" spans="2:18" x14ac:dyDescent="0.35">
      <c r="B1409" s="9">
        <v>711</v>
      </c>
      <c r="C1409" s="9" t="str">
        <v>출고재고</v>
      </c>
      <c r="D1409" s="9" t="str">
        <v/>
      </c>
      <c r="E1409" s="9" t="str">
        <v>기초</v>
      </c>
      <c r="F1409" s="9" t="str">
        <v/>
      </c>
      <c r="G1409" s="9" t="str">
        <v/>
      </c>
      <c r="H1409" s="9" t="str">
        <v>RE-07M-0717</v>
      </c>
      <c r="I1409" s="11" t="str">
        <v>RE-07M-0717]CVR DET FRONT</v>
      </c>
      <c r="J1409" s="9">
        <v>82</v>
      </c>
      <c r="K1409" s="9" t="str">
        <v/>
      </c>
      <c r="L1409" s="9" t="str">
        <v>K2-6</v>
      </c>
      <c r="M1409" s="12">
        <v>46275</v>
      </c>
      <c r="N1409" s="5" t="str">
        <v/>
      </c>
      <c r="O1409" s="5">
        <v>97006</v>
      </c>
      <c r="P1409" s="5">
        <v>30</v>
      </c>
      <c r="Q1409" s="14">
        <v>46276</v>
      </c>
      <c r="R1409" s="15">
        <v>52</v>
      </c>
    </row>
    <row r="1410" spans="2:18" x14ac:dyDescent="0.35">
      <c r="B1410" s="9">
        <v>577</v>
      </c>
      <c r="C1410" s="9" t="str">
        <v>출고재고</v>
      </c>
      <c r="D1410" s="9" t="str">
        <v/>
      </c>
      <c r="E1410" s="9" t="str">
        <v>기초</v>
      </c>
      <c r="F1410" s="9" t="str">
        <v/>
      </c>
      <c r="G1410" s="9" t="str">
        <v/>
      </c>
      <c r="H1410" s="9" t="str">
        <v>RA-06M-1105</v>
      </c>
      <c r="I1410" s="11" t="str">
        <v>RA-06M-1105]DECO WINDOW COL</v>
      </c>
      <c r="J1410" s="9">
        <v>83</v>
      </c>
      <c r="K1410" s="9" t="str">
        <v/>
      </c>
      <c r="L1410" s="9" t="str">
        <v>L2-2</v>
      </c>
      <c r="M1410" s="12">
        <v>46273</v>
      </c>
      <c r="N1410" s="5" t="str">
        <v/>
      </c>
      <c r="O1410" s="5">
        <v>97006</v>
      </c>
      <c r="P1410" s="5">
        <v>30</v>
      </c>
      <c r="Q1410" s="14">
        <v>46276</v>
      </c>
      <c r="R1410" s="15">
        <v>53</v>
      </c>
    </row>
    <row r="1411" spans="2:18" x14ac:dyDescent="0.35">
      <c r="B1411" s="9">
        <v>712</v>
      </c>
      <c r="C1411" s="9" t="str">
        <v>출고재고</v>
      </c>
      <c r="D1411" s="9" t="str">
        <v/>
      </c>
      <c r="E1411" s="9" t="str">
        <v>기초</v>
      </c>
      <c r="F1411" s="9" t="str">
        <v/>
      </c>
      <c r="G1411" s="9" t="str">
        <v/>
      </c>
      <c r="H1411" s="9" t="str">
        <v>RE-04M-0438</v>
      </c>
      <c r="I1411" s="11" t="str">
        <v>RE-04M-0438]DECO CANINE WINDOW</v>
      </c>
      <c r="J1411" s="9">
        <v>143</v>
      </c>
      <c r="K1411" s="9" t="str">
        <v/>
      </c>
      <c r="L1411" s="9" t="str">
        <v>K3-3</v>
      </c>
      <c r="M1411" s="12">
        <v>46275</v>
      </c>
      <c r="N1411" s="5" t="str">
        <v/>
      </c>
      <c r="O1411" s="5">
        <v>97006</v>
      </c>
      <c r="P1411" s="5">
        <v>30</v>
      </c>
      <c r="Q1411" s="14">
        <v>46276</v>
      </c>
      <c r="R1411" s="15">
        <v>113</v>
      </c>
    </row>
    <row r="1412" spans="2:18" x14ac:dyDescent="0.35">
      <c r="B1412" s="9">
        <v>875</v>
      </c>
      <c r="C1412" s="9" t="str">
        <v>출고재고</v>
      </c>
      <c r="D1412" s="9" t="str">
        <v/>
      </c>
      <c r="E1412" s="9" t="str">
        <v/>
      </c>
      <c r="F1412" s="9" t="str">
        <v/>
      </c>
      <c r="G1412" s="9" t="str">
        <v/>
      </c>
      <c r="H1412" s="9" t="str">
        <v>RA-7-3</v>
      </c>
      <c r="I1412" s="11" t="str">
        <v>RA-7-3]LAN PC</v>
      </c>
      <c r="J1412" s="9">
        <v>271</v>
      </c>
      <c r="K1412" s="9" t="str">
        <v/>
      </c>
      <c r="L1412" s="9" t="str">
        <v>G4</v>
      </c>
      <c r="M1412" s="12">
        <v>46275</v>
      </c>
      <c r="N1412" s="5" t="str">
        <v/>
      </c>
      <c r="O1412" s="5">
        <v>97006</v>
      </c>
      <c r="P1412" s="5">
        <v>30</v>
      </c>
      <c r="Q1412" s="14">
        <v>46276</v>
      </c>
      <c r="R1412" s="15">
        <v>241</v>
      </c>
    </row>
    <row r="1413" spans="2:18" x14ac:dyDescent="0.35">
      <c r="B1413" s="9">
        <v>714</v>
      </c>
      <c r="C1413" s="9" t="str">
        <v>출고재고</v>
      </c>
      <c r="D1413" s="9" t="str">
        <v/>
      </c>
      <c r="E1413" s="9" t="str">
        <v>기초</v>
      </c>
      <c r="F1413" s="9" t="str">
        <v/>
      </c>
      <c r="G1413" s="9" t="str">
        <v/>
      </c>
      <c r="H1413" s="9" t="str">
        <v>RE-01T-0104</v>
      </c>
      <c r="I1413" s="11" t="str">
        <v>RE-01T-0104]RUBBER CAP DECO</v>
      </c>
      <c r="J1413" s="9">
        <v>2700</v>
      </c>
      <c r="K1413" s="9" t="str">
        <v/>
      </c>
      <c r="L1413" s="9" t="str">
        <v>W</v>
      </c>
      <c r="M1413" s="12">
        <v>46275</v>
      </c>
      <c r="N1413" s="5" t="str">
        <v/>
      </c>
      <c r="O1413" s="5">
        <v>97006</v>
      </c>
      <c r="P1413" s="5">
        <v>660</v>
      </c>
      <c r="Q1413" s="14">
        <v>46276</v>
      </c>
      <c r="R1413" s="15">
        <v>2040</v>
      </c>
    </row>
    <row r="1414" spans="2:18" x14ac:dyDescent="0.35">
      <c r="B1414" s="9">
        <v>675</v>
      </c>
      <c r="C1414" s="9" t="str">
        <v>출고재고</v>
      </c>
      <c r="D1414" s="9" t="str">
        <v/>
      </c>
      <c r="E1414" s="9" t="str">
        <v>기초</v>
      </c>
      <c r="F1414" s="9" t="str">
        <v/>
      </c>
      <c r="G1414" s="9" t="str">
        <v/>
      </c>
      <c r="H1414" s="9" t="str">
        <v>RE-03T-0309</v>
      </c>
      <c r="I1414" s="11" t="str">
        <v>RE-03T-0309]CAS CLMN DECO</v>
      </c>
      <c r="J1414" s="9">
        <v>6</v>
      </c>
      <c r="K1414" s="9" t="str">
        <v/>
      </c>
      <c r="L1414" s="9" t="str">
        <v>3A-21</v>
      </c>
      <c r="M1414" s="12">
        <v>46275</v>
      </c>
      <c r="N1414" s="5" t="str">
        <v/>
      </c>
      <c r="O1414" s="5">
        <v>97007</v>
      </c>
      <c r="P1414" s="5">
        <v>6</v>
      </c>
      <c r="Q1414" s="14">
        <v>46275</v>
      </c>
      <c r="R1414" s="15">
        <v>0</v>
      </c>
    </row>
    <row r="1415" spans="2:18" x14ac:dyDescent="0.35">
      <c r="B1415" s="9">
        <v>672</v>
      </c>
      <c r="C1415" s="9" t="str">
        <v>출고재고</v>
      </c>
      <c r="D1415" s="9" t="str">
        <v/>
      </c>
      <c r="E1415" s="9" t="str">
        <v>기초</v>
      </c>
      <c r="F1415" s="9" t="str">
        <v/>
      </c>
      <c r="G1415" s="9" t="str">
        <v/>
      </c>
      <c r="H1415" s="9" t="str">
        <v>RE-03T-0307</v>
      </c>
      <c r="I1415" s="11" t="str">
        <v>RE-03T-0307]CAS CLMN REAR L</v>
      </c>
      <c r="J1415" s="9">
        <v>10</v>
      </c>
      <c r="K1415" s="9" t="str">
        <v/>
      </c>
      <c r="L1415" s="9" t="str">
        <v>3A-16</v>
      </c>
      <c r="M1415" s="12">
        <v>46275</v>
      </c>
      <c r="N1415" s="5" t="str">
        <v/>
      </c>
      <c r="O1415" s="5">
        <v>97007</v>
      </c>
      <c r="P1415" s="5">
        <v>10</v>
      </c>
      <c r="Q1415" s="14">
        <v>46275</v>
      </c>
      <c r="R1415" s="15">
        <v>0</v>
      </c>
    </row>
    <row r="1416" spans="2:18" x14ac:dyDescent="0.35">
      <c r="B1416" s="9">
        <v>671</v>
      </c>
      <c r="C1416" s="9" t="str">
        <v>출고재고</v>
      </c>
      <c r="D1416" s="9" t="str">
        <v/>
      </c>
      <c r="E1416" s="9" t="str">
        <v>기초</v>
      </c>
      <c r="F1416" s="9" t="str">
        <v/>
      </c>
      <c r="G1416" s="9" t="str">
        <v/>
      </c>
      <c r="H1416" s="9" t="str">
        <v>RE-03T-0308</v>
      </c>
      <c r="I1416" s="11" t="str">
        <v>RE-03T-0308]CAS CLMN REAR R</v>
      </c>
      <c r="J1416" s="9">
        <v>24</v>
      </c>
      <c r="K1416" s="9" t="str">
        <v/>
      </c>
      <c r="L1416" s="9" t="str">
        <v>3A-16</v>
      </c>
      <c r="M1416" s="12">
        <v>46275</v>
      </c>
      <c r="N1416" s="5" t="str">
        <v/>
      </c>
      <c r="O1416" s="5">
        <v>97007</v>
      </c>
      <c r="P1416" s="5">
        <v>24</v>
      </c>
      <c r="Q1416" s="14">
        <v>46275</v>
      </c>
      <c r="R1416" s="15">
        <v>0</v>
      </c>
    </row>
    <row r="1417" spans="2:18" x14ac:dyDescent="0.35">
      <c r="B1417" s="9">
        <v>676</v>
      </c>
      <c r="C1417" s="9" t="str">
        <v>출고재고</v>
      </c>
      <c r="D1417" s="9" t="str">
        <v/>
      </c>
      <c r="E1417" s="9" t="str">
        <v>기초</v>
      </c>
      <c r="F1417" s="9" t="str">
        <v/>
      </c>
      <c r="G1417" s="9" t="str">
        <v/>
      </c>
      <c r="H1417" s="9" t="str">
        <v>RE-09T-0902</v>
      </c>
      <c r="I1417" s="11" t="str">
        <v>RE-09T-0902]CAS CHINREST LOW</v>
      </c>
      <c r="J1417" s="9">
        <v>38</v>
      </c>
      <c r="K1417" s="9" t="str">
        <v/>
      </c>
      <c r="L1417" s="9" t="str">
        <v>3A-22</v>
      </c>
      <c r="M1417" s="12">
        <v>46275</v>
      </c>
      <c r="N1417" s="5" t="str">
        <v/>
      </c>
      <c r="O1417" s="5">
        <v>97007</v>
      </c>
      <c r="P1417" s="5">
        <v>30</v>
      </c>
      <c r="Q1417" s="14">
        <v>46275</v>
      </c>
      <c r="R1417" s="15">
        <v>8</v>
      </c>
    </row>
    <row r="1418" spans="2:18" x14ac:dyDescent="0.35">
      <c r="B1418" s="9">
        <v>2073</v>
      </c>
      <c r="C1418" s="9" t="str">
        <v>출고재고</v>
      </c>
      <c r="D1418" s="9" t="str">
        <v/>
      </c>
      <c r="E1418" s="9" t="str">
        <v>입고</v>
      </c>
      <c r="F1418" s="9" t="str">
        <v>진광</v>
      </c>
      <c r="G1418" s="9" t="str">
        <v>장동은</v>
      </c>
      <c r="H1418" s="9" t="str">
        <v>RE-03T-0307</v>
      </c>
      <c r="I1418" s="11" t="str">
        <v>RE-03T-0307]CAS CLMN REAR L</v>
      </c>
      <c r="J1418" s="9">
        <v>40</v>
      </c>
      <c r="K1418" s="9" t="str">
        <v/>
      </c>
      <c r="L1418" s="9" t="str">
        <v>3A-16</v>
      </c>
      <c r="M1418" s="12">
        <v>46288</v>
      </c>
      <c r="N1418" s="5" t="str">
        <v/>
      </c>
      <c r="O1418" s="5">
        <v>97007</v>
      </c>
      <c r="P1418" s="5">
        <v>20</v>
      </c>
      <c r="Q1418" s="14">
        <v>46293</v>
      </c>
      <c r="R1418" s="15">
        <v>20</v>
      </c>
    </row>
    <row r="1419" spans="2:18" x14ac:dyDescent="0.35">
      <c r="B1419" s="9">
        <v>686</v>
      </c>
      <c r="C1419" s="9" t="str">
        <v>출고재고</v>
      </c>
      <c r="D1419" s="9" t="str">
        <v/>
      </c>
      <c r="E1419" s="9" t="str">
        <v>기초</v>
      </c>
      <c r="F1419" s="9" t="str">
        <v/>
      </c>
      <c r="G1419" s="9" t="str">
        <v/>
      </c>
      <c r="H1419" s="9" t="str">
        <v>RE-04T-0439</v>
      </c>
      <c r="I1419" s="11" t="str">
        <v>RE-04T-0439]CAS HEADREST KNOB</v>
      </c>
      <c r="J1419" s="9">
        <v>48</v>
      </c>
      <c r="K1419" s="9" t="str">
        <v/>
      </c>
      <c r="L1419" s="9" t="str">
        <v>3L14-2</v>
      </c>
      <c r="M1419" s="12">
        <v>46275</v>
      </c>
      <c r="N1419" s="5" t="str">
        <v/>
      </c>
      <c r="O1419" s="5">
        <v>97007</v>
      </c>
      <c r="P1419" s="5">
        <v>30</v>
      </c>
      <c r="Q1419" s="14">
        <v>46275</v>
      </c>
      <c r="R1419" s="15">
        <v>18</v>
      </c>
    </row>
    <row r="1420" spans="2:18" x14ac:dyDescent="0.35">
      <c r="B1420" s="9">
        <v>2072</v>
      </c>
      <c r="C1420" s="9" t="str">
        <v>출고재고</v>
      </c>
      <c r="D1420" s="9" t="str">
        <v/>
      </c>
      <c r="E1420" s="9" t="str">
        <v>입고</v>
      </c>
      <c r="F1420" s="9" t="str">
        <v>진광</v>
      </c>
      <c r="G1420" s="9" t="str">
        <v>장동은</v>
      </c>
      <c r="H1420" s="9" t="str">
        <v>RE-03T-0308</v>
      </c>
      <c r="I1420" s="11" t="str">
        <v>RE-03T-0308]CAS CLMN REAR R</v>
      </c>
      <c r="J1420" s="9">
        <v>49</v>
      </c>
      <c r="K1420" s="9" t="str">
        <v/>
      </c>
      <c r="L1420" s="9" t="str">
        <v>3A-16</v>
      </c>
      <c r="M1420" s="12">
        <v>46288</v>
      </c>
      <c r="N1420" s="5" t="str">
        <v/>
      </c>
      <c r="O1420" s="5">
        <v>97007</v>
      </c>
      <c r="P1420" s="5">
        <v>6</v>
      </c>
      <c r="Q1420" s="14">
        <v>46293</v>
      </c>
      <c r="R1420" s="15">
        <v>43</v>
      </c>
    </row>
    <row r="1421" spans="2:18" x14ac:dyDescent="0.35">
      <c r="B1421" s="9">
        <v>1162</v>
      </c>
      <c r="C1421" s="9" t="str">
        <v>출고재고</v>
      </c>
      <c r="D1421" s="9" t="str">
        <v/>
      </c>
      <c r="E1421" s="9" t="str">
        <v>입고</v>
      </c>
      <c r="F1421" s="9" t="str">
        <v>진광</v>
      </c>
      <c r="G1421" s="9" t="str">
        <v>장동은</v>
      </c>
      <c r="H1421" s="9" t="str">
        <v>RE-03T-0309</v>
      </c>
      <c r="I1421" s="11" t="str">
        <v>RE-03T-0309]CAS CLMN DECO</v>
      </c>
      <c r="J1421" s="9">
        <v>50</v>
      </c>
      <c r="K1421" s="9" t="str">
        <v/>
      </c>
      <c r="L1421" s="9" t="str">
        <v>3A-21</v>
      </c>
      <c r="M1421" s="12">
        <v>46279</v>
      </c>
      <c r="N1421" s="5" t="str">
        <v/>
      </c>
      <c r="O1421" s="5">
        <v>97007</v>
      </c>
      <c r="P1421" s="5">
        <v>24</v>
      </c>
      <c r="Q1421" s="14">
        <v>46281</v>
      </c>
      <c r="R1421" s="15">
        <v>26</v>
      </c>
    </row>
    <row r="1422" spans="2:18" x14ac:dyDescent="0.35">
      <c r="B1422" s="9">
        <v>670</v>
      </c>
      <c r="C1422" s="9" t="str">
        <v>출고재고</v>
      </c>
      <c r="D1422" s="9" t="str">
        <v/>
      </c>
      <c r="E1422" s="9" t="str">
        <v>기초</v>
      </c>
      <c r="F1422" s="9" t="str">
        <v/>
      </c>
      <c r="G1422" s="9" t="str">
        <v/>
      </c>
      <c r="H1422" s="9" t="str">
        <v>RE-03T-0320</v>
      </c>
      <c r="I1422" s="11" t="str">
        <v/>
      </c>
      <c r="J1422" s="9">
        <v>63</v>
      </c>
      <c r="K1422" s="9" t="str">
        <v/>
      </c>
      <c r="L1422" s="9" t="str">
        <v>3A-14</v>
      </c>
      <c r="M1422" s="12">
        <v>46275</v>
      </c>
      <c r="N1422" s="5" t="str">
        <v/>
      </c>
      <c r="O1422" s="5">
        <v>97007</v>
      </c>
      <c r="P1422" s="5">
        <v>30</v>
      </c>
      <c r="Q1422" s="14">
        <v>46275</v>
      </c>
      <c r="R1422" s="15">
        <v>33</v>
      </c>
    </row>
    <row r="1423" spans="2:18" x14ac:dyDescent="0.35">
      <c r="B1423" s="9">
        <v>692</v>
      </c>
      <c r="C1423" s="9" t="str">
        <v>출고재고</v>
      </c>
      <c r="D1423" s="9" t="str">
        <v/>
      </c>
      <c r="E1423" s="9" t="str">
        <v>기초</v>
      </c>
      <c r="F1423" s="9" t="str">
        <v/>
      </c>
      <c r="G1423" s="9" t="str">
        <v/>
      </c>
      <c r="H1423" s="9" t="str">
        <v>RE-09S-0909</v>
      </c>
      <c r="I1423" s="11" t="str">
        <v>RE-09S-0909]STK FOOT</v>
      </c>
      <c r="J1423" s="9">
        <v>64</v>
      </c>
      <c r="K1423" s="9" t="str">
        <v/>
      </c>
      <c r="L1423" s="9" t="str">
        <v>K7-3</v>
      </c>
      <c r="M1423" s="12">
        <v>46275</v>
      </c>
      <c r="N1423" s="5" t="str">
        <v/>
      </c>
      <c r="O1423" s="5">
        <v>97007</v>
      </c>
      <c r="P1423" s="5">
        <v>30</v>
      </c>
      <c r="Q1423" s="14">
        <v>46275</v>
      </c>
      <c r="R1423" s="15">
        <v>34</v>
      </c>
    </row>
    <row r="1424" spans="2:18" x14ac:dyDescent="0.35">
      <c r="B1424" s="9">
        <v>668</v>
      </c>
      <c r="C1424" s="9" t="str">
        <v>출고재고</v>
      </c>
      <c r="D1424" s="9" t="str">
        <v/>
      </c>
      <c r="E1424" s="9" t="str">
        <v>기초</v>
      </c>
      <c r="F1424" s="9" t="str">
        <v/>
      </c>
      <c r="G1424" s="9" t="str">
        <v/>
      </c>
      <c r="H1424" s="9" t="str">
        <v>RE-03T-0306</v>
      </c>
      <c r="I1424" s="11" t="str">
        <v>RE-03T-0306]CAS CLMN FRONT</v>
      </c>
      <c r="J1424" s="9">
        <v>79</v>
      </c>
      <c r="K1424" s="9" t="str">
        <v/>
      </c>
      <c r="L1424" s="9" t="str">
        <v>3A-11</v>
      </c>
      <c r="M1424" s="12">
        <v>46275</v>
      </c>
      <c r="N1424" s="5" t="str">
        <v/>
      </c>
      <c r="O1424" s="5">
        <v>97007</v>
      </c>
      <c r="P1424" s="5">
        <v>30</v>
      </c>
      <c r="Q1424" s="14">
        <v>46275</v>
      </c>
      <c r="R1424" s="15">
        <v>49</v>
      </c>
    </row>
    <row r="1425" spans="2:18" x14ac:dyDescent="0.35">
      <c r="B1425" s="9">
        <v>682</v>
      </c>
      <c r="C1425" s="9" t="str">
        <v>출고재고</v>
      </c>
      <c r="D1425" s="9" t="str">
        <v/>
      </c>
      <c r="E1425" s="9" t="str">
        <v>기초</v>
      </c>
      <c r="F1425" s="9" t="str">
        <v/>
      </c>
      <c r="G1425" s="9" t="str">
        <v/>
      </c>
      <c r="H1425" s="9" t="str">
        <v>RE-01T-0103</v>
      </c>
      <c r="I1425" s="11" t="str">
        <v>RE-01T-0103]CAS MAIN Bas R</v>
      </c>
      <c r="J1425" s="9">
        <v>81</v>
      </c>
      <c r="K1425" s="9" t="str">
        <v/>
      </c>
      <c r="L1425" s="9" t="str">
        <v>3A-6,3A-7</v>
      </c>
      <c r="M1425" s="12">
        <v>46275</v>
      </c>
      <c r="N1425" s="5" t="str">
        <v/>
      </c>
      <c r="O1425" s="5">
        <v>97007</v>
      </c>
      <c r="P1425" s="5">
        <v>30</v>
      </c>
      <c r="Q1425" s="14">
        <v>46275</v>
      </c>
      <c r="R1425" s="15">
        <v>51</v>
      </c>
    </row>
    <row r="1426" spans="2:18" x14ac:dyDescent="0.35">
      <c r="B1426" s="9">
        <v>681</v>
      </c>
      <c r="C1426" s="9" t="str">
        <v>출고재고</v>
      </c>
      <c r="D1426" s="9" t="str">
        <v/>
      </c>
      <c r="E1426" s="9" t="str">
        <v>기초</v>
      </c>
      <c r="F1426" s="9" t="str">
        <v/>
      </c>
      <c r="G1426" s="9" t="str">
        <v/>
      </c>
      <c r="H1426" s="9" t="str">
        <v>RE-01T-0102</v>
      </c>
      <c r="I1426" s="11" t="str">
        <v>RE-01T-0102]CAS MAIN Bas L</v>
      </c>
      <c r="J1426" s="9">
        <v>83</v>
      </c>
      <c r="K1426" s="9" t="str">
        <v/>
      </c>
      <c r="L1426" s="9" t="str">
        <v>3A-4,3A-5</v>
      </c>
      <c r="M1426" s="12">
        <v>46275</v>
      </c>
      <c r="N1426" s="5" t="str">
        <v/>
      </c>
      <c r="O1426" s="5">
        <v>97007</v>
      </c>
      <c r="P1426" s="5">
        <v>30</v>
      </c>
      <c r="Q1426" s="14">
        <v>46275</v>
      </c>
      <c r="R1426" s="15">
        <v>53</v>
      </c>
    </row>
    <row r="1427" spans="2:18" x14ac:dyDescent="0.35">
      <c r="B1427" s="9">
        <v>673</v>
      </c>
      <c r="C1427" s="9" t="str">
        <v>출고재고</v>
      </c>
      <c r="D1427" s="9" t="str">
        <v/>
      </c>
      <c r="E1427" s="9" t="str">
        <v>기초</v>
      </c>
      <c r="F1427" s="9" t="str">
        <v/>
      </c>
      <c r="G1427" s="9" t="str">
        <v/>
      </c>
      <c r="H1427" s="9" t="str">
        <v>RE-04T-0416</v>
      </c>
      <c r="I1427" s="11" t="str">
        <v>RE-04T-0416]CAS HANDLE FRONT</v>
      </c>
      <c r="J1427" s="9">
        <v>84</v>
      </c>
      <c r="K1427" s="9" t="str">
        <v/>
      </c>
      <c r="L1427" s="9" t="str">
        <v>3A-20</v>
      </c>
      <c r="M1427" s="12">
        <v>46275</v>
      </c>
      <c r="N1427" s="5" t="str">
        <v/>
      </c>
      <c r="O1427" s="5">
        <v>97007</v>
      </c>
      <c r="P1427" s="5">
        <v>30</v>
      </c>
      <c r="Q1427" s="14">
        <v>46275</v>
      </c>
      <c r="R1427" s="15">
        <v>54</v>
      </c>
    </row>
    <row r="1428" spans="2:18" x14ac:dyDescent="0.35">
      <c r="B1428" s="9">
        <v>674</v>
      </c>
      <c r="C1428" s="9" t="str">
        <v>출고재고</v>
      </c>
      <c r="D1428" s="9" t="str">
        <v/>
      </c>
      <c r="E1428" s="9" t="str">
        <v>기초</v>
      </c>
      <c r="F1428" s="9" t="str">
        <v/>
      </c>
      <c r="G1428" s="9" t="str">
        <v/>
      </c>
      <c r="H1428" s="9" t="str">
        <v>RE-04T-0419</v>
      </c>
      <c r="I1428" s="11" t="str">
        <v>RE-04T-0419]CAS HANDLE REAR</v>
      </c>
      <c r="J1428" s="9">
        <v>84</v>
      </c>
      <c r="K1428" s="9" t="str">
        <v/>
      </c>
      <c r="L1428" s="9" t="str">
        <v>3A-20</v>
      </c>
      <c r="M1428" s="12">
        <v>46275</v>
      </c>
      <c r="N1428" s="5" t="str">
        <v/>
      </c>
      <c r="O1428" s="5">
        <v>97007</v>
      </c>
      <c r="P1428" s="5">
        <v>30</v>
      </c>
      <c r="Q1428" s="14">
        <v>46275</v>
      </c>
      <c r="R1428" s="15">
        <v>54</v>
      </c>
    </row>
    <row r="1429" spans="2:18" x14ac:dyDescent="0.35">
      <c r="B1429" s="9">
        <v>669</v>
      </c>
      <c r="C1429" s="9" t="str">
        <v>출고재고</v>
      </c>
      <c r="D1429" s="9" t="str">
        <v/>
      </c>
      <c r="E1429" s="9" t="str">
        <v>기초</v>
      </c>
      <c r="F1429" s="9" t="str">
        <v/>
      </c>
      <c r="G1429" s="9" t="str">
        <v/>
      </c>
      <c r="H1429" s="9" t="str">
        <v>RE-02T-0247</v>
      </c>
      <c r="I1429" s="11" t="str">
        <v>RE-02T-0247]CAS VERT TOP</v>
      </c>
      <c r="J1429" s="9">
        <v>86</v>
      </c>
      <c r="K1429" s="9" t="str">
        <v/>
      </c>
      <c r="L1429" s="9" t="str">
        <v>3A-14</v>
      </c>
      <c r="M1429" s="12">
        <v>46275</v>
      </c>
      <c r="N1429" s="5" t="str">
        <v/>
      </c>
      <c r="O1429" s="5">
        <v>97007</v>
      </c>
      <c r="P1429" s="5">
        <v>30</v>
      </c>
      <c r="Q1429" s="14">
        <v>46275</v>
      </c>
      <c r="R1429" s="15">
        <v>56</v>
      </c>
    </row>
    <row r="1430" spans="2:18" x14ac:dyDescent="0.35">
      <c r="B1430" s="9">
        <v>693</v>
      </c>
      <c r="C1430" s="9" t="str">
        <v>출고재고</v>
      </c>
      <c r="D1430" s="9" t="str">
        <v/>
      </c>
      <c r="E1430" s="9" t="str">
        <v>기초</v>
      </c>
      <c r="F1430" s="9" t="str">
        <v/>
      </c>
      <c r="G1430" s="9" t="str">
        <v/>
      </c>
      <c r="H1430" s="9" t="str">
        <v>RE-09S-0908</v>
      </c>
      <c r="I1430" s="11" t="str">
        <v>RE-09S-0908]FOOT STK JIG</v>
      </c>
      <c r="J1430" s="9">
        <v>86</v>
      </c>
      <c r="K1430" s="9" t="str">
        <v/>
      </c>
      <c r="L1430" s="9" t="str">
        <v>K7-3</v>
      </c>
      <c r="M1430" s="12">
        <v>46275</v>
      </c>
      <c r="N1430" s="5" t="str">
        <v/>
      </c>
      <c r="O1430" s="5">
        <v>97007</v>
      </c>
      <c r="P1430" s="5">
        <v>30</v>
      </c>
      <c r="Q1430" s="14">
        <v>46275</v>
      </c>
      <c r="R1430" s="15">
        <v>56</v>
      </c>
    </row>
    <row r="1431" spans="2:18" x14ac:dyDescent="0.35">
      <c r="B1431" s="9">
        <v>1738</v>
      </c>
      <c r="C1431" s="9" t="str">
        <v>출고재고</v>
      </c>
      <c r="D1431" s="9" t="str">
        <v/>
      </c>
      <c r="E1431" s="9" t="str">
        <v/>
      </c>
      <c r="F1431" s="9" t="str">
        <v/>
      </c>
      <c r="G1431" s="9" t="str">
        <v/>
      </c>
      <c r="H1431" s="9" t="str">
        <v>RE-04T-0452</v>
      </c>
      <c r="I1431" s="11" t="str">
        <v>RE-04T-0452]CAP HANDLE A</v>
      </c>
      <c r="J1431" s="9">
        <v>90</v>
      </c>
      <c r="K1431" s="9" t="str">
        <v/>
      </c>
      <c r="L1431" s="9" t="str">
        <v>3L14-2</v>
      </c>
      <c r="M1431" s="12">
        <v>46288</v>
      </c>
      <c r="N1431" s="5" t="str">
        <v/>
      </c>
      <c r="O1431" s="5">
        <v>97007</v>
      </c>
      <c r="P1431" s="5">
        <v>3</v>
      </c>
      <c r="Q1431" s="14">
        <v>46293</v>
      </c>
      <c r="R1431" s="15">
        <v>87</v>
      </c>
    </row>
    <row r="1432" spans="2:18" x14ac:dyDescent="0.35">
      <c r="B1432" s="9">
        <v>680</v>
      </c>
      <c r="C1432" s="9" t="str">
        <v>출고재고</v>
      </c>
      <c r="D1432" s="9" t="str">
        <v/>
      </c>
      <c r="E1432" s="9" t="str">
        <v>기초</v>
      </c>
      <c r="F1432" s="9" t="str">
        <v/>
      </c>
      <c r="G1432" s="9" t="str">
        <v/>
      </c>
      <c r="H1432" s="9" t="str">
        <v>RE-09T-0906</v>
      </c>
      <c r="I1432" s="11" t="str">
        <v>RE-09T-0906]CAS TEMPLE SUP R</v>
      </c>
      <c r="J1432" s="9">
        <v>95</v>
      </c>
      <c r="K1432" s="9" t="str">
        <v/>
      </c>
      <c r="L1432" s="9" t="str">
        <v>3A-22</v>
      </c>
      <c r="M1432" s="12">
        <v>46275</v>
      </c>
      <c r="N1432" s="5" t="str">
        <v/>
      </c>
      <c r="O1432" s="5">
        <v>97007</v>
      </c>
      <c r="P1432" s="5">
        <v>30</v>
      </c>
      <c r="Q1432" s="14">
        <v>46275</v>
      </c>
      <c r="R1432" s="15">
        <v>65</v>
      </c>
    </row>
    <row r="1433" spans="2:18" x14ac:dyDescent="0.35">
      <c r="B1433" s="9">
        <v>679</v>
      </c>
      <c r="C1433" s="9" t="str">
        <v>출고재고</v>
      </c>
      <c r="D1433" s="9" t="str">
        <v/>
      </c>
      <c r="E1433" s="9" t="str">
        <v>기초</v>
      </c>
      <c r="F1433" s="9" t="str">
        <v/>
      </c>
      <c r="G1433" s="9" t="str">
        <v/>
      </c>
      <c r="H1433" s="9" t="str">
        <v>RE-09T-0905</v>
      </c>
      <c r="I1433" s="11" t="str">
        <v>RE-09T-0905]CAS TEMPLE SUP L</v>
      </c>
      <c r="J1433" s="9">
        <v>96</v>
      </c>
      <c r="K1433" s="9" t="str">
        <v/>
      </c>
      <c r="L1433" s="9" t="str">
        <v>3A-22</v>
      </c>
      <c r="M1433" s="12">
        <v>46275</v>
      </c>
      <c r="N1433" s="5" t="str">
        <v/>
      </c>
      <c r="O1433" s="5">
        <v>97007</v>
      </c>
      <c r="P1433" s="5">
        <v>30</v>
      </c>
      <c r="Q1433" s="14">
        <v>46275</v>
      </c>
      <c r="R1433" s="15">
        <v>66</v>
      </c>
    </row>
    <row r="1434" spans="2:18" x14ac:dyDescent="0.35">
      <c r="B1434" s="9">
        <v>678</v>
      </c>
      <c r="C1434" s="9" t="str">
        <v>출고재고</v>
      </c>
      <c r="D1434" s="9" t="str">
        <v/>
      </c>
      <c r="E1434" s="9" t="str">
        <v>기초</v>
      </c>
      <c r="F1434" s="9" t="str">
        <v/>
      </c>
      <c r="G1434" s="9" t="str">
        <v/>
      </c>
      <c r="H1434" s="9" t="str">
        <v>RE-09T-0904</v>
      </c>
      <c r="I1434" s="11" t="str">
        <v>RE-09T-0904]CAS TMJREST</v>
      </c>
      <c r="J1434" s="9">
        <v>105</v>
      </c>
      <c r="K1434" s="9" t="str">
        <v/>
      </c>
      <c r="L1434" s="9" t="str">
        <v>3A-22</v>
      </c>
      <c r="M1434" s="12">
        <v>46275</v>
      </c>
      <c r="N1434" s="5" t="str">
        <v/>
      </c>
      <c r="O1434" s="5">
        <v>97007</v>
      </c>
      <c r="P1434" s="5">
        <v>30</v>
      </c>
      <c r="Q1434" s="14">
        <v>46275</v>
      </c>
      <c r="R1434" s="15">
        <v>75</v>
      </c>
    </row>
    <row r="1435" spans="2:18" x14ac:dyDescent="0.35">
      <c r="B1435" s="9">
        <v>691</v>
      </c>
      <c r="C1435" s="9" t="str">
        <v>출고재고</v>
      </c>
      <c r="D1435" s="9" t="str">
        <v/>
      </c>
      <c r="E1435" s="9" t="str">
        <v>기초</v>
      </c>
      <c r="F1435" s="9" t="str">
        <v/>
      </c>
      <c r="G1435" s="9" t="str">
        <v/>
      </c>
      <c r="H1435" s="9" t="str">
        <v>RE-09S-0907</v>
      </c>
      <c r="I1435" s="11" t="str">
        <v>RE-09S-0907]MAGNET TEMPLE SUP 15_8</v>
      </c>
      <c r="J1435" s="9">
        <v>109</v>
      </c>
      <c r="K1435" s="9" t="str">
        <v/>
      </c>
      <c r="L1435" s="9" t="str">
        <v>K3-5</v>
      </c>
      <c r="M1435" s="12">
        <v>46275</v>
      </c>
      <c r="N1435" s="5" t="str">
        <v/>
      </c>
      <c r="O1435" s="5">
        <v>97007</v>
      </c>
      <c r="P1435" s="5">
        <v>60</v>
      </c>
      <c r="Q1435" s="14">
        <v>46275</v>
      </c>
      <c r="R1435" s="15">
        <v>49</v>
      </c>
    </row>
    <row r="1436" spans="2:18" x14ac:dyDescent="0.35">
      <c r="B1436" s="9">
        <v>677</v>
      </c>
      <c r="C1436" s="9" t="str">
        <v>출고재고</v>
      </c>
      <c r="D1436" s="9" t="str">
        <v/>
      </c>
      <c r="E1436" s="9" t="str">
        <v>기초</v>
      </c>
      <c r="F1436" s="9" t="str">
        <v/>
      </c>
      <c r="G1436" s="9" t="str">
        <v/>
      </c>
      <c r="H1436" s="9" t="str">
        <v>RE-09T-0901</v>
      </c>
      <c r="I1436" s="11" t="str">
        <v>RE-09T-0901]CAS CHINREST</v>
      </c>
      <c r="J1436" s="9">
        <v>131</v>
      </c>
      <c r="K1436" s="9" t="str">
        <v/>
      </c>
      <c r="L1436" s="9" t="str">
        <v>3A-22</v>
      </c>
      <c r="M1436" s="12">
        <v>46275</v>
      </c>
      <c r="N1436" s="5" t="str">
        <v/>
      </c>
      <c r="O1436" s="5">
        <v>97007</v>
      </c>
      <c r="P1436" s="5">
        <v>30</v>
      </c>
      <c r="Q1436" s="14">
        <v>46275</v>
      </c>
      <c r="R1436" s="15">
        <v>101</v>
      </c>
    </row>
    <row r="1437" spans="2:18" x14ac:dyDescent="0.35">
      <c r="B1437" s="9">
        <v>696</v>
      </c>
      <c r="C1437" s="9" t="str">
        <v>출고재고</v>
      </c>
      <c r="D1437" s="9" t="str">
        <v/>
      </c>
      <c r="E1437" s="9" t="str">
        <v>기초</v>
      </c>
      <c r="F1437" s="9" t="str">
        <v/>
      </c>
      <c r="G1437" s="9" t="str">
        <v/>
      </c>
      <c r="H1437" s="9" t="str">
        <v>RA-09S-0389</v>
      </c>
      <c r="I1437" s="11" t="str">
        <v>RA-09S-0389]CVR BITE BLK VINYL CVR</v>
      </c>
      <c r="J1437" s="9">
        <v>142</v>
      </c>
      <c r="K1437" s="9" t="str">
        <v/>
      </c>
      <c r="L1437" s="9" t="str">
        <v>L1-1</v>
      </c>
      <c r="M1437" s="12">
        <v>46275</v>
      </c>
      <c r="N1437" s="5" t="str">
        <v/>
      </c>
      <c r="O1437" s="5">
        <v>97007</v>
      </c>
      <c r="P1437" s="5">
        <v>30</v>
      </c>
      <c r="Q1437" s="14">
        <v>46275</v>
      </c>
      <c r="R1437" s="15">
        <v>112</v>
      </c>
    </row>
    <row r="1438" spans="2:18" x14ac:dyDescent="0.35">
      <c r="B1438" s="9">
        <v>688</v>
      </c>
      <c r="C1438" s="9" t="str">
        <v>출고재고</v>
      </c>
      <c r="D1438" s="9" t="str">
        <v/>
      </c>
      <c r="E1438" s="9" t="str">
        <v>기초</v>
      </c>
      <c r="F1438" s="9" t="str">
        <v/>
      </c>
      <c r="G1438" s="9" t="str">
        <v/>
      </c>
      <c r="H1438" s="9" t="str">
        <v>RE-04T-0452</v>
      </c>
      <c r="I1438" s="11" t="str">
        <v>RE-04T-0452]CAP HANDLE A</v>
      </c>
      <c r="J1438" s="9">
        <v>147</v>
      </c>
      <c r="K1438" s="9" t="str">
        <v/>
      </c>
      <c r="L1438" s="9" t="str">
        <v>3L14-2</v>
      </c>
      <c r="M1438" s="12">
        <v>46275</v>
      </c>
      <c r="N1438" s="5" t="str">
        <v/>
      </c>
      <c r="O1438" s="5">
        <v>97007</v>
      </c>
      <c r="P1438" s="5">
        <v>147</v>
      </c>
      <c r="Q1438" s="14">
        <v>46275</v>
      </c>
      <c r="R1438" s="15">
        <v>0</v>
      </c>
    </row>
    <row r="1439" spans="2:18" x14ac:dyDescent="0.35">
      <c r="B1439" s="9">
        <v>687</v>
      </c>
      <c r="C1439" s="9" t="str">
        <v>출고재고</v>
      </c>
      <c r="D1439" s="9" t="str">
        <v/>
      </c>
      <c r="E1439" s="9" t="str">
        <v>기초</v>
      </c>
      <c r="F1439" s="9" t="str">
        <v/>
      </c>
      <c r="G1439" s="9" t="str">
        <v/>
      </c>
      <c r="H1439" s="9" t="str">
        <v>RE-04T-0453</v>
      </c>
      <c r="I1439" s="11" t="str">
        <v>RE-04T-0453]CAP HANDLE B</v>
      </c>
      <c r="J1439" s="9">
        <v>175</v>
      </c>
      <c r="K1439" s="9" t="str">
        <v/>
      </c>
      <c r="L1439" s="9" t="str">
        <v>3L14-2</v>
      </c>
      <c r="M1439" s="12">
        <v>46275</v>
      </c>
      <c r="N1439" s="5" t="str">
        <v/>
      </c>
      <c r="O1439" s="5">
        <v>97007</v>
      </c>
      <c r="P1439" s="5">
        <v>90</v>
      </c>
      <c r="Q1439" s="14">
        <v>46275</v>
      </c>
      <c r="R1439" s="15">
        <v>85</v>
      </c>
    </row>
    <row r="1440" spans="2:18" x14ac:dyDescent="0.35">
      <c r="B1440" s="9">
        <v>554</v>
      </c>
      <c r="C1440" s="9" t="str">
        <v>출고재고</v>
      </c>
      <c r="D1440" s="9" t="str">
        <v/>
      </c>
      <c r="E1440" s="9" t="str">
        <v>기초</v>
      </c>
      <c r="F1440" s="9" t="str">
        <v/>
      </c>
      <c r="G1440" s="9" t="str">
        <v/>
      </c>
      <c r="H1440" s="9" t="str">
        <v>RA-09A-0967</v>
      </c>
      <c r="I1440" s="11" t="str">
        <v>RA-09A-0967]ASM EXPOSURE SW</v>
      </c>
      <c r="J1440" s="9">
        <v>190</v>
      </c>
      <c r="K1440" s="9" t="str">
        <v/>
      </c>
      <c r="L1440" s="9" t="str">
        <v>J1-3</v>
      </c>
      <c r="M1440" s="12">
        <v>46273</v>
      </c>
      <c r="N1440" s="5" t="str">
        <v/>
      </c>
      <c r="O1440" s="5">
        <v>97007</v>
      </c>
      <c r="P1440" s="5">
        <v>30</v>
      </c>
      <c r="Q1440" s="14">
        <v>46275</v>
      </c>
      <c r="R1440" s="15">
        <v>160</v>
      </c>
    </row>
    <row r="1441" spans="2:18" x14ac:dyDescent="0.35">
      <c r="B1441" s="9">
        <v>689</v>
      </c>
      <c r="C1441" s="9" t="str">
        <v>출고재고</v>
      </c>
      <c r="D1441" s="9" t="str">
        <v/>
      </c>
      <c r="E1441" s="9" t="str">
        <v>기초</v>
      </c>
      <c r="F1441" s="9" t="str">
        <v/>
      </c>
      <c r="G1441" s="9" t="str">
        <v/>
      </c>
      <c r="H1441" s="9" t="str">
        <v>RE-04V-0417</v>
      </c>
      <c r="I1441" s="11" t="str">
        <v>RE-04V-0417]PLT HANDLE FRONT</v>
      </c>
      <c r="J1441" s="9">
        <v>248</v>
      </c>
      <c r="K1441" s="9" t="str">
        <v/>
      </c>
      <c r="L1441" s="9" t="str">
        <v xml:space="preserve">4F  </v>
      </c>
      <c r="M1441" s="12">
        <v>46275</v>
      </c>
      <c r="N1441" s="5" t="str">
        <v/>
      </c>
      <c r="O1441" s="5">
        <v>97007</v>
      </c>
      <c r="P1441" s="5">
        <v>30</v>
      </c>
      <c r="Q1441" s="14">
        <v>46275</v>
      </c>
      <c r="R1441" s="15">
        <v>218</v>
      </c>
    </row>
    <row r="1442" spans="2:18" x14ac:dyDescent="0.35">
      <c r="B1442" s="9">
        <v>690</v>
      </c>
      <c r="C1442" s="9" t="str">
        <v>출고재고</v>
      </c>
      <c r="D1442" s="9" t="str">
        <v/>
      </c>
      <c r="E1442" s="9" t="str">
        <v>기초</v>
      </c>
      <c r="F1442" s="9" t="str">
        <v/>
      </c>
      <c r="G1442" s="9" t="str">
        <v/>
      </c>
      <c r="H1442" s="9" t="str">
        <v>RE-04V-0418</v>
      </c>
      <c r="I1442" s="11" t="str">
        <v>RE-04V-0418]PLT HANDLE REAR</v>
      </c>
      <c r="J1442" s="9">
        <v>248</v>
      </c>
      <c r="K1442" s="9" t="str">
        <v/>
      </c>
      <c r="L1442" s="9" t="str">
        <v xml:space="preserve">4F  </v>
      </c>
      <c r="M1442" s="12">
        <v>46275</v>
      </c>
      <c r="N1442" s="5" t="str">
        <v/>
      </c>
      <c r="O1442" s="5">
        <v>97007</v>
      </c>
      <c r="P1442" s="5">
        <v>30</v>
      </c>
      <c r="Q1442" s="14">
        <v>46275</v>
      </c>
      <c r="R1442" s="15">
        <v>218</v>
      </c>
    </row>
    <row r="1443" spans="2:18" x14ac:dyDescent="0.35">
      <c r="B1443" s="9">
        <v>683</v>
      </c>
      <c r="C1443" s="9" t="str">
        <v>출고재고</v>
      </c>
      <c r="D1443" s="9" t="str">
        <v/>
      </c>
      <c r="E1443" s="9" t="str">
        <v>기초</v>
      </c>
      <c r="F1443" s="9" t="str">
        <v/>
      </c>
      <c r="G1443" s="9" t="str">
        <v/>
      </c>
      <c r="H1443" s="9" t="str">
        <v>RA-09T-1132</v>
      </c>
      <c r="I1443" s="11" t="str">
        <v>RA-09T-1132]CAS EDENTULOUS GUIDE</v>
      </c>
      <c r="J1443" s="9">
        <v>296</v>
      </c>
      <c r="K1443" s="9" t="str">
        <v/>
      </c>
      <c r="L1443" s="9" t="str">
        <v>3I4</v>
      </c>
      <c r="M1443" s="12">
        <v>46275</v>
      </c>
      <c r="N1443" s="5" t="str">
        <v/>
      </c>
      <c r="O1443" s="5">
        <v>97007</v>
      </c>
      <c r="P1443" s="5">
        <v>30</v>
      </c>
      <c r="Q1443" s="14">
        <v>46275</v>
      </c>
      <c r="R1443" s="15">
        <v>266</v>
      </c>
    </row>
    <row r="1444" spans="2:18" x14ac:dyDescent="0.35">
      <c r="B1444" s="9">
        <v>694</v>
      </c>
      <c r="C1444" s="9" t="str">
        <v>출고재고</v>
      </c>
      <c r="D1444" s="9" t="str">
        <v/>
      </c>
      <c r="E1444" s="9" t="str">
        <v>기초</v>
      </c>
      <c r="F1444" s="9" t="str">
        <v/>
      </c>
      <c r="G1444" s="9" t="str">
        <v/>
      </c>
      <c r="H1444" s="9" t="str">
        <v>RE-09S-0922</v>
      </c>
      <c r="I1444" s="11" t="str">
        <v>RE-09S-0922]STK MAGNET BLUE</v>
      </c>
      <c r="J1444" s="9">
        <v>300</v>
      </c>
      <c r="K1444" s="9" t="str">
        <v/>
      </c>
      <c r="L1444" s="9" t="str">
        <v>K7-3</v>
      </c>
      <c r="M1444" s="12">
        <v>46275</v>
      </c>
      <c r="N1444" s="5" t="str">
        <v/>
      </c>
      <c r="O1444" s="5">
        <v>97007</v>
      </c>
      <c r="P1444" s="5">
        <v>30</v>
      </c>
      <c r="Q1444" s="14">
        <v>46275</v>
      </c>
      <c r="R1444" s="15">
        <v>270</v>
      </c>
    </row>
    <row r="1445" spans="2:18" x14ac:dyDescent="0.35">
      <c r="B1445" s="9">
        <v>695</v>
      </c>
      <c r="C1445" s="9" t="str">
        <v>출고재고</v>
      </c>
      <c r="D1445" s="9" t="str">
        <v/>
      </c>
      <c r="E1445" s="9" t="str">
        <v>기초</v>
      </c>
      <c r="F1445" s="9" t="str">
        <v/>
      </c>
      <c r="G1445" s="9" t="str">
        <v/>
      </c>
      <c r="H1445" s="9" t="str">
        <v>RE-09S-0921</v>
      </c>
      <c r="I1445" s="11" t="str">
        <v>RE-09S-0921]STK MAGNET RED</v>
      </c>
      <c r="J1445" s="9">
        <v>305</v>
      </c>
      <c r="K1445" s="9" t="str">
        <v/>
      </c>
      <c r="L1445" s="9" t="str">
        <v>K7-3</v>
      </c>
      <c r="M1445" s="12">
        <v>46275</v>
      </c>
      <c r="N1445" s="5" t="str">
        <v/>
      </c>
      <c r="O1445" s="5">
        <v>97007</v>
      </c>
      <c r="P1445" s="5">
        <v>30</v>
      </c>
      <c r="Q1445" s="14">
        <v>46275</v>
      </c>
      <c r="R1445" s="15">
        <v>275</v>
      </c>
    </row>
    <row r="1446" spans="2:18" x14ac:dyDescent="0.35">
      <c r="B1446" s="9">
        <v>685</v>
      </c>
      <c r="C1446" s="9" t="str">
        <v>출고재고</v>
      </c>
      <c r="D1446" s="9" t="str">
        <v/>
      </c>
      <c r="E1446" s="9" t="str">
        <v>기초</v>
      </c>
      <c r="F1446" s="9" t="str">
        <v/>
      </c>
      <c r="G1446" s="9" t="str">
        <v/>
      </c>
      <c r="H1446" s="9" t="str">
        <v>RE-04T-0440</v>
      </c>
      <c r="I1446" s="11" t="str">
        <v>RE-04T-0440]CAP HEADREST KNOB</v>
      </c>
      <c r="J1446" s="9">
        <v>336</v>
      </c>
      <c r="K1446" s="9" t="str">
        <v/>
      </c>
      <c r="L1446" s="9" t="str">
        <v>3L14-2</v>
      </c>
      <c r="M1446" s="12">
        <v>46275</v>
      </c>
      <c r="N1446" s="5" t="str">
        <v/>
      </c>
      <c r="O1446" s="5">
        <v>97007</v>
      </c>
      <c r="P1446" s="5">
        <v>30</v>
      </c>
      <c r="Q1446" s="14">
        <v>46275</v>
      </c>
      <c r="R1446" s="15">
        <v>306</v>
      </c>
    </row>
    <row r="1447" spans="2:18" x14ac:dyDescent="0.35">
      <c r="B1447" s="9">
        <v>684</v>
      </c>
      <c r="C1447" s="9" t="str">
        <v>출고재고</v>
      </c>
      <c r="D1447" s="9" t="str">
        <v/>
      </c>
      <c r="E1447" s="9" t="str">
        <v>기초</v>
      </c>
      <c r="F1447" s="9" t="str">
        <v/>
      </c>
      <c r="G1447" s="9" t="str">
        <v/>
      </c>
      <c r="H1447" s="9" t="str">
        <v>RA-09T-1183</v>
      </c>
      <c r="I1447" s="11" t="str">
        <v>RA-09T-1183]BLK BITE</v>
      </c>
      <c r="J1447" s="9">
        <v>579</v>
      </c>
      <c r="K1447" s="9" t="str">
        <v/>
      </c>
      <c r="L1447" s="9" t="str">
        <v>3I4</v>
      </c>
      <c r="M1447" s="12">
        <v>46275</v>
      </c>
      <c r="N1447" s="5" t="str">
        <v/>
      </c>
      <c r="O1447" s="5">
        <v>97007</v>
      </c>
      <c r="P1447" s="5">
        <v>150</v>
      </c>
      <c r="Q1447" s="14">
        <v>46275</v>
      </c>
      <c r="R1447" s="15">
        <v>429</v>
      </c>
    </row>
    <row r="1448" spans="2:18" x14ac:dyDescent="0.35">
      <c r="B1448" s="9">
        <v>561</v>
      </c>
      <c r="C1448" s="9" t="str">
        <v>출고재고</v>
      </c>
      <c r="D1448" s="9" t="str">
        <v/>
      </c>
      <c r="E1448" s="9" t="str">
        <v>기초</v>
      </c>
      <c r="F1448" s="9" t="str">
        <v/>
      </c>
      <c r="G1448" s="9" t="str">
        <v/>
      </c>
      <c r="H1448" s="9" t="str">
        <v>RA-09T-0733</v>
      </c>
      <c r="I1448" s="11" t="str">
        <v>RA-09T-0733]CAS S.W HLDR</v>
      </c>
      <c r="J1448" s="9">
        <v>767</v>
      </c>
      <c r="K1448" s="9" t="str">
        <v/>
      </c>
      <c r="L1448" s="9" t="str">
        <v>R</v>
      </c>
      <c r="M1448" s="12">
        <v>46273</v>
      </c>
      <c r="N1448" s="5" t="str">
        <v/>
      </c>
      <c r="O1448" s="5">
        <v>97007</v>
      </c>
      <c r="P1448" s="5">
        <v>30</v>
      </c>
      <c r="Q1448" s="14">
        <v>46275</v>
      </c>
      <c r="R1448" s="15">
        <v>737</v>
      </c>
    </row>
    <row r="1449" spans="2:18" x14ac:dyDescent="0.35">
      <c r="B1449" s="9">
        <v>1348</v>
      </c>
      <c r="C1449" s="9" t="str">
        <v>출고재고</v>
      </c>
      <c r="D1449" s="9" t="str">
        <v/>
      </c>
      <c r="E1449" s="9" t="str">
        <v/>
      </c>
      <c r="F1449" s="9" t="str">
        <v/>
      </c>
      <c r="G1449" s="9" t="str">
        <v/>
      </c>
      <c r="H1449" s="9" t="str">
        <v>RD-01G-0502</v>
      </c>
      <c r="I1449" s="11" t="str">
        <v>RD-01G-0502]SPONGE)UV SNSR</v>
      </c>
      <c r="J1449" s="9">
        <v>21</v>
      </c>
      <c r="K1449" s="9" t="str">
        <v/>
      </c>
      <c r="L1449" s="9" t="str">
        <v>3S3-1</v>
      </c>
      <c r="M1449" s="12">
        <v>46287</v>
      </c>
      <c r="N1449" s="5" t="str">
        <v/>
      </c>
      <c r="O1449" s="5">
        <v>97307</v>
      </c>
      <c r="P1449" s="5">
        <v>21</v>
      </c>
      <c r="Q1449" s="14">
        <v>46301</v>
      </c>
      <c r="R1449" s="15">
        <v>0</v>
      </c>
    </row>
    <row r="1450" spans="2:18" x14ac:dyDescent="0.35">
      <c r="B1450" s="9">
        <v>1347</v>
      </c>
      <c r="C1450" s="9" t="str">
        <v>출고재고</v>
      </c>
      <c r="D1450" s="9" t="str">
        <v/>
      </c>
      <c r="E1450" s="9" t="str">
        <v>입고</v>
      </c>
      <c r="F1450" s="9" t="str">
        <v>플랜피뎀</v>
      </c>
      <c r="G1450" s="9" t="str">
        <v>유영국</v>
      </c>
      <c r="H1450" s="9" t="str">
        <v>RD-01G-0502</v>
      </c>
      <c r="I1450" s="11" t="str">
        <v>RD-01G-0502]SPONGE)UV SNSR</v>
      </c>
      <c r="J1450" s="9">
        <v>40</v>
      </c>
      <c r="K1450" s="9" t="str">
        <v/>
      </c>
      <c r="L1450" s="9" t="str">
        <v>3S3-1</v>
      </c>
      <c r="M1450" s="12">
        <v>46283</v>
      </c>
      <c r="N1450" s="5" t="str">
        <v/>
      </c>
      <c r="O1450" s="5">
        <v>97307</v>
      </c>
      <c r="P1450" s="5">
        <v>40</v>
      </c>
      <c r="Q1450" s="14">
        <v>46301</v>
      </c>
      <c r="R1450" s="15">
        <v>0</v>
      </c>
    </row>
    <row r="1451" spans="2:18" x14ac:dyDescent="0.35">
      <c r="B1451" s="9">
        <v>708</v>
      </c>
      <c r="C1451" s="9" t="str">
        <v>출고재고</v>
      </c>
      <c r="D1451" s="9" t="str">
        <v/>
      </c>
      <c r="E1451" s="9" t="str">
        <v>기초</v>
      </c>
      <c r="F1451" s="9" t="str">
        <v/>
      </c>
      <c r="G1451" s="9" t="str">
        <v/>
      </c>
      <c r="H1451" s="9" t="str">
        <v>RE-02A-1020</v>
      </c>
      <c r="I1451" s="11" t="str">
        <v>RE-02A-1020]ASM VERTICAL MODULE</v>
      </c>
      <c r="J1451" s="9">
        <v>30</v>
      </c>
      <c r="K1451" s="9" t="str">
        <v/>
      </c>
      <c r="L1451" s="9" t="str">
        <v>K8</v>
      </c>
      <c r="M1451" s="12">
        <v>46275</v>
      </c>
      <c r="N1451" s="5" t="str">
        <v/>
      </c>
      <c r="O1451" s="5">
        <v>97309</v>
      </c>
      <c r="P1451" s="5">
        <v>30</v>
      </c>
      <c r="Q1451" s="14">
        <v>46276</v>
      </c>
      <c r="R1451" s="15">
        <v>0</v>
      </c>
    </row>
    <row r="1452" spans="2:18" x14ac:dyDescent="0.35">
      <c r="B1452" s="9">
        <v>710</v>
      </c>
      <c r="C1452" s="9" t="str">
        <v>출고재고</v>
      </c>
      <c r="D1452" s="9" t="str">
        <v/>
      </c>
      <c r="E1452" s="9" t="str">
        <v>기초</v>
      </c>
      <c r="F1452" s="9" t="str">
        <v/>
      </c>
      <c r="G1452" s="9" t="str">
        <v/>
      </c>
      <c r="H1452" s="9" t="str">
        <v>RE-05B-5101</v>
      </c>
      <c r="I1452" s="11" t="str">
        <v>RE-05B-5101]eSUB Bd</v>
      </c>
      <c r="J1452" s="9">
        <v>49</v>
      </c>
      <c r="K1452" s="9" t="str">
        <v/>
      </c>
      <c r="L1452" s="9" t="str">
        <v>K6-4</v>
      </c>
      <c r="M1452" s="12">
        <v>46275</v>
      </c>
      <c r="N1452" s="5" t="str">
        <v/>
      </c>
      <c r="O1452" s="5">
        <v>97309</v>
      </c>
      <c r="P1452" s="5">
        <v>30</v>
      </c>
      <c r="Q1452" s="14">
        <v>46276</v>
      </c>
      <c r="R1452" s="15">
        <v>19</v>
      </c>
    </row>
    <row r="1453" spans="2:18" x14ac:dyDescent="0.35">
      <c r="B1453" s="9">
        <v>709</v>
      </c>
      <c r="C1453" s="9" t="str">
        <v>출고재고</v>
      </c>
      <c r="D1453" s="9" t="str">
        <v/>
      </c>
      <c r="E1453" s="9" t="str">
        <v>기초</v>
      </c>
      <c r="F1453" s="9" t="str">
        <v/>
      </c>
      <c r="G1453" s="9" t="str">
        <v/>
      </c>
      <c r="H1453" s="9" t="str">
        <v>RE-05A-1050</v>
      </c>
      <c r="I1453" s="11" t="str">
        <v>RE-05A-1050]ASM ROTATOR MODULE</v>
      </c>
      <c r="J1453" s="9">
        <v>57</v>
      </c>
      <c r="K1453" s="9" t="str">
        <v/>
      </c>
      <c r="L1453" s="9" t="str">
        <v>K8</v>
      </c>
      <c r="M1453" s="12">
        <v>46275</v>
      </c>
      <c r="N1453" s="5" t="str">
        <v/>
      </c>
      <c r="O1453" s="5">
        <v>97309</v>
      </c>
      <c r="P1453" s="5">
        <v>30</v>
      </c>
      <c r="Q1453" s="14">
        <v>46276</v>
      </c>
      <c r="R1453" s="15">
        <v>27</v>
      </c>
    </row>
    <row r="1454" spans="2:18" x14ac:dyDescent="0.35">
      <c r="B1454" s="9">
        <v>724</v>
      </c>
      <c r="C1454" s="9" t="str">
        <v>출고재고</v>
      </c>
      <c r="D1454" s="9" t="str">
        <v/>
      </c>
      <c r="E1454" s="9" t="str">
        <v>기초</v>
      </c>
      <c r="F1454" s="9" t="str">
        <v/>
      </c>
      <c r="G1454" s="9" t="str">
        <v/>
      </c>
      <c r="H1454" s="9" t="str">
        <v>RE-05H-5049</v>
      </c>
      <c r="I1454" s="11" t="str">
        <v>RE-05H-5049_1]LASER_H Extend</v>
      </c>
      <c r="J1454" s="9">
        <v>12</v>
      </c>
      <c r="K1454" s="9" t="str">
        <v/>
      </c>
      <c r="L1454" s="9" t="str">
        <v>F2-4</v>
      </c>
      <c r="M1454" s="12">
        <v>46275</v>
      </c>
      <c r="N1454" s="5" t="str">
        <v/>
      </c>
      <c r="O1454" s="5">
        <v>97310</v>
      </c>
      <c r="P1454" s="5">
        <v>12</v>
      </c>
      <c r="Q1454" s="14">
        <v>46276</v>
      </c>
      <c r="R1454" s="15">
        <v>0</v>
      </c>
    </row>
    <row r="1455" spans="2:18" x14ac:dyDescent="0.35">
      <c r="B1455" s="9">
        <v>727</v>
      </c>
      <c r="C1455" s="9" t="str">
        <v>출고재고</v>
      </c>
      <c r="D1455" s="9" t="str">
        <v/>
      </c>
      <c r="E1455" s="9" t="str">
        <v>기초</v>
      </c>
      <c r="F1455" s="9" t="str">
        <v/>
      </c>
      <c r="G1455" s="9" t="str">
        <v/>
      </c>
      <c r="H1455" s="9" t="str">
        <v>RE-02B-5105</v>
      </c>
      <c r="I1455" s="11" t="str">
        <v>RE-02B-5105]eINDICATOR Bd</v>
      </c>
      <c r="J1455" s="9">
        <v>16</v>
      </c>
      <c r="K1455" s="9" t="str">
        <v/>
      </c>
      <c r="L1455" s="9" t="str">
        <v>K6-3</v>
      </c>
      <c r="M1455" s="12">
        <v>46275</v>
      </c>
      <c r="N1455" s="5" t="str">
        <v/>
      </c>
      <c r="O1455" s="5">
        <v>97310</v>
      </c>
      <c r="P1455" s="5">
        <v>16</v>
      </c>
      <c r="Q1455" s="14">
        <v>46276</v>
      </c>
      <c r="R1455" s="15">
        <v>0</v>
      </c>
    </row>
    <row r="1456" spans="2:18" x14ac:dyDescent="0.35">
      <c r="B1456" s="9">
        <v>725</v>
      </c>
      <c r="C1456" s="9" t="str">
        <v>출고재고</v>
      </c>
      <c r="D1456" s="9" t="str">
        <v/>
      </c>
      <c r="E1456" s="9" t="str">
        <v>기초</v>
      </c>
      <c r="F1456" s="9" t="str">
        <v/>
      </c>
      <c r="G1456" s="9" t="str">
        <v/>
      </c>
      <c r="H1456" s="9" t="str">
        <v>RE-05H-5065</v>
      </c>
      <c r="I1456" s="11" t="str">
        <v>RE-05H-5065_1]Earth ROT to TNK</v>
      </c>
      <c r="J1456" s="9">
        <v>17</v>
      </c>
      <c r="K1456" s="9" t="str">
        <v/>
      </c>
      <c r="L1456" s="9" t="str">
        <v>F2-5</v>
      </c>
      <c r="M1456" s="12">
        <v>46275</v>
      </c>
      <c r="N1456" s="5" t="str">
        <v/>
      </c>
      <c r="O1456" s="5">
        <v>97310</v>
      </c>
      <c r="P1456" s="5">
        <v>17</v>
      </c>
      <c r="Q1456" s="14">
        <v>46276</v>
      </c>
      <c r="R1456" s="15">
        <v>0</v>
      </c>
    </row>
    <row r="1457" spans="2:18" x14ac:dyDescent="0.35">
      <c r="B1457" s="9">
        <v>723</v>
      </c>
      <c r="C1457" s="9" t="str">
        <v>출고재고</v>
      </c>
      <c r="D1457" s="9" t="str">
        <v/>
      </c>
      <c r="E1457" s="9" t="str">
        <v>기초</v>
      </c>
      <c r="F1457" s="9" t="str">
        <v/>
      </c>
      <c r="G1457" s="9" t="str">
        <v/>
      </c>
      <c r="H1457" s="9" t="str">
        <v>RE-05H-5030</v>
      </c>
      <c r="I1457" s="11" t="str">
        <v>RE-05H-5030_1]TILT SIGNAL</v>
      </c>
      <c r="J1457" s="9">
        <v>24</v>
      </c>
      <c r="K1457" s="9" t="str">
        <v/>
      </c>
      <c r="L1457" s="9" t="str">
        <v>F2-2</v>
      </c>
      <c r="M1457" s="12">
        <v>46275</v>
      </c>
      <c r="N1457" s="5" t="str">
        <v/>
      </c>
      <c r="O1457" s="5">
        <v>97310</v>
      </c>
      <c r="P1457" s="5">
        <v>24</v>
      </c>
      <c r="Q1457" s="14">
        <v>46276</v>
      </c>
      <c r="R1457" s="15">
        <v>0</v>
      </c>
    </row>
    <row r="1458" spans="2:18" x14ac:dyDescent="0.35">
      <c r="B1458" s="9">
        <v>722</v>
      </c>
      <c r="C1458" s="9" t="str">
        <v>출고재고</v>
      </c>
      <c r="D1458" s="9" t="str">
        <v/>
      </c>
      <c r="E1458" s="9" t="str">
        <v>기초</v>
      </c>
      <c r="F1458" s="9" t="str">
        <v/>
      </c>
      <c r="G1458" s="9" t="str">
        <v/>
      </c>
      <c r="H1458" s="9" t="str">
        <v>RE-05H-5024</v>
      </c>
      <c r="I1458" s="11" t="str">
        <v>RE-05H-5024_1]eSUB MOT COL</v>
      </c>
      <c r="J1458" s="9">
        <v>28</v>
      </c>
      <c r="K1458" s="9" t="str">
        <v/>
      </c>
      <c r="L1458" s="9" t="str">
        <v>F2-2</v>
      </c>
      <c r="M1458" s="12">
        <v>46275</v>
      </c>
      <c r="N1458" s="5" t="str">
        <v/>
      </c>
      <c r="O1458" s="5">
        <v>97310</v>
      </c>
      <c r="P1458" s="5">
        <v>28</v>
      </c>
      <c r="Q1458" s="14">
        <v>46276</v>
      </c>
      <c r="R1458" s="15">
        <v>0</v>
      </c>
    </row>
    <row r="1459" spans="2:18" x14ac:dyDescent="0.35">
      <c r="B1459" s="9">
        <v>2008</v>
      </c>
      <c r="C1459" s="9" t="str">
        <v>출고재고</v>
      </c>
      <c r="D1459" s="9" t="str">
        <v/>
      </c>
      <c r="E1459" s="9" t="str">
        <v>입고</v>
      </c>
      <c r="F1459" s="9" t="str">
        <v>에이투케이</v>
      </c>
      <c r="G1459" s="9" t="str">
        <v>유영국</v>
      </c>
      <c r="H1459" s="9" t="str">
        <v>RE-05H-5065</v>
      </c>
      <c r="I1459" s="11" t="str">
        <v>RE-05H-5065_1]Earth ROT to TNK</v>
      </c>
      <c r="J1459" s="9">
        <v>30</v>
      </c>
      <c r="K1459" s="9" t="str">
        <v/>
      </c>
      <c r="L1459" s="9" t="str">
        <v>F2-5</v>
      </c>
      <c r="M1459" s="12">
        <v>46293</v>
      </c>
      <c r="N1459" s="5" t="str">
        <v/>
      </c>
      <c r="O1459" s="5">
        <v>97310</v>
      </c>
      <c r="P1459" s="5">
        <v>10</v>
      </c>
      <c r="Q1459" s="14">
        <v>46293</v>
      </c>
      <c r="R1459" s="15">
        <v>20</v>
      </c>
    </row>
    <row r="1460" spans="2:18" x14ac:dyDescent="0.35">
      <c r="B1460" s="9">
        <v>721</v>
      </c>
      <c r="C1460" s="9" t="str">
        <v>출고재고</v>
      </c>
      <c r="D1460" s="9" t="str">
        <v/>
      </c>
      <c r="E1460" s="9" t="str">
        <v>기초</v>
      </c>
      <c r="F1460" s="9" t="str">
        <v/>
      </c>
      <c r="G1460" s="9" t="str">
        <v/>
      </c>
      <c r="H1460" s="9" t="str">
        <v>RE-05H-5025</v>
      </c>
      <c r="I1460" s="11" t="str">
        <v>RE-05H-5025_1]eSUB MOT DET</v>
      </c>
      <c r="J1460" s="9">
        <v>45</v>
      </c>
      <c r="K1460" s="9" t="str">
        <v/>
      </c>
      <c r="L1460" s="9" t="str">
        <v>F2-2</v>
      </c>
      <c r="M1460" s="12">
        <v>46275</v>
      </c>
      <c r="N1460" s="5" t="str">
        <v/>
      </c>
      <c r="O1460" s="5">
        <v>97310</v>
      </c>
      <c r="P1460" s="5">
        <v>30</v>
      </c>
      <c r="Q1460" s="14">
        <v>46276</v>
      </c>
      <c r="R1460" s="15">
        <v>15</v>
      </c>
    </row>
    <row r="1461" spans="2:18" x14ac:dyDescent="0.35">
      <c r="B1461" s="9">
        <v>717</v>
      </c>
      <c r="C1461" s="9" t="str">
        <v>출고재고</v>
      </c>
      <c r="D1461" s="9" t="str">
        <v/>
      </c>
      <c r="E1461" s="9" t="str">
        <v>기초</v>
      </c>
      <c r="F1461" s="9" t="str">
        <v/>
      </c>
      <c r="G1461" s="9" t="str">
        <v/>
      </c>
      <c r="H1461" s="9" t="str">
        <v>RE-02T-0243</v>
      </c>
      <c r="I1461" s="11" t="str">
        <v>RE-02T-0243]CAS VERT BOT R</v>
      </c>
      <c r="J1461" s="9">
        <v>58</v>
      </c>
      <c r="K1461" s="9" t="str">
        <v/>
      </c>
      <c r="L1461" s="9" t="str">
        <v>3A-14</v>
      </c>
      <c r="M1461" s="12">
        <v>46275</v>
      </c>
      <c r="N1461" s="5" t="str">
        <v/>
      </c>
      <c r="O1461" s="5">
        <v>97310</v>
      </c>
      <c r="P1461" s="5">
        <v>30</v>
      </c>
      <c r="Q1461" s="14">
        <v>46276</v>
      </c>
      <c r="R1461" s="15">
        <v>28</v>
      </c>
    </row>
    <row r="1462" spans="2:18" x14ac:dyDescent="0.35">
      <c r="B1462" s="9">
        <v>715</v>
      </c>
      <c r="C1462" s="9" t="str">
        <v>출고재고</v>
      </c>
      <c r="D1462" s="9" t="str">
        <v/>
      </c>
      <c r="E1462" s="9" t="str">
        <v>기초</v>
      </c>
      <c r="F1462" s="9" t="str">
        <v/>
      </c>
      <c r="G1462" s="9" t="str">
        <v/>
      </c>
      <c r="H1462" s="9" t="str">
        <v>RE-04T-0434</v>
      </c>
      <c r="I1462" s="11" t="str">
        <v>RE-04T-0434]CAS ARM BOT</v>
      </c>
      <c r="J1462" s="9">
        <v>60</v>
      </c>
      <c r="K1462" s="9" t="str">
        <v/>
      </c>
      <c r="L1462" s="9" t="str">
        <v>3A-12</v>
      </c>
      <c r="M1462" s="12">
        <v>46275</v>
      </c>
      <c r="N1462" s="5" t="str">
        <v/>
      </c>
      <c r="O1462" s="5">
        <v>97310</v>
      </c>
      <c r="P1462" s="5">
        <v>30</v>
      </c>
      <c r="Q1462" s="14">
        <v>46276</v>
      </c>
      <c r="R1462" s="15">
        <v>30</v>
      </c>
    </row>
    <row r="1463" spans="2:18" x14ac:dyDescent="0.35">
      <c r="B1463" s="9">
        <v>716</v>
      </c>
      <c r="C1463" s="9" t="str">
        <v>출고재고</v>
      </c>
      <c r="D1463" s="9" t="str">
        <v/>
      </c>
      <c r="E1463" s="9" t="str">
        <v>기초</v>
      </c>
      <c r="F1463" s="9" t="str">
        <v/>
      </c>
      <c r="G1463" s="9" t="str">
        <v/>
      </c>
      <c r="H1463" s="9" t="str">
        <v>RE-02T-0242</v>
      </c>
      <c r="I1463" s="11" t="str">
        <v>RE-02T-0242]CAS VERT BOT L</v>
      </c>
      <c r="J1463" s="9">
        <v>61</v>
      </c>
      <c r="K1463" s="9" t="str">
        <v/>
      </c>
      <c r="L1463" s="9" t="str">
        <v>3A-14</v>
      </c>
      <c r="M1463" s="12">
        <v>46275</v>
      </c>
      <c r="N1463" s="5" t="str">
        <v/>
      </c>
      <c r="O1463" s="5">
        <v>97310</v>
      </c>
      <c r="P1463" s="5">
        <v>30</v>
      </c>
      <c r="Q1463" s="14">
        <v>46276</v>
      </c>
      <c r="R1463" s="15">
        <v>31</v>
      </c>
    </row>
    <row r="1464" spans="2:18" x14ac:dyDescent="0.35">
      <c r="B1464" s="9">
        <v>718</v>
      </c>
      <c r="C1464" s="9" t="str">
        <v>출고재고</v>
      </c>
      <c r="D1464" s="9" t="str">
        <v/>
      </c>
      <c r="E1464" s="9" t="str">
        <v>기초</v>
      </c>
      <c r="F1464" s="9" t="str">
        <v/>
      </c>
      <c r="G1464" s="9" t="str">
        <v/>
      </c>
      <c r="H1464" s="9" t="str">
        <v>RE-02T-0246</v>
      </c>
      <c r="I1464" s="11" t="str">
        <v>RE-02T-0246]CAS LED</v>
      </c>
      <c r="J1464" s="9">
        <v>74</v>
      </c>
      <c r="K1464" s="9" t="str">
        <v/>
      </c>
      <c r="L1464" s="9" t="str">
        <v>3A-19</v>
      </c>
      <c r="M1464" s="12">
        <v>46275</v>
      </c>
      <c r="N1464" s="5" t="str">
        <v/>
      </c>
      <c r="O1464" s="5">
        <v>97310</v>
      </c>
      <c r="P1464" s="5">
        <v>30</v>
      </c>
      <c r="Q1464" s="14">
        <v>46276</v>
      </c>
      <c r="R1464" s="15">
        <v>44</v>
      </c>
    </row>
    <row r="1465" spans="2:18" x14ac:dyDescent="0.35">
      <c r="B1465" s="9">
        <v>1367</v>
      </c>
      <c r="C1465" s="9" t="str">
        <v>출고재고</v>
      </c>
      <c r="D1465" s="9" t="str">
        <v/>
      </c>
      <c r="E1465" s="9" t="str">
        <v/>
      </c>
      <c r="F1465" s="9" t="str">
        <v/>
      </c>
      <c r="G1465" s="9" t="str">
        <v/>
      </c>
      <c r="H1465" s="9" t="str">
        <v>RE-02B-5105</v>
      </c>
      <c r="I1465" s="11" t="str">
        <v>RE-02B-5105]eINDICATOR Bd</v>
      </c>
      <c r="J1465" s="9">
        <v>80</v>
      </c>
      <c r="K1465" s="9" t="str">
        <v/>
      </c>
      <c r="L1465" s="9" t="str">
        <v>K6-3</v>
      </c>
      <c r="M1465" s="12">
        <v>46287</v>
      </c>
      <c r="N1465" s="5" t="str">
        <v/>
      </c>
      <c r="O1465" s="5">
        <v>97310</v>
      </c>
      <c r="P1465" s="5">
        <v>14</v>
      </c>
      <c r="Q1465" s="14">
        <v>46283</v>
      </c>
      <c r="R1465" s="15">
        <v>66</v>
      </c>
    </row>
    <row r="1466" spans="2:18" x14ac:dyDescent="0.35">
      <c r="B1466" s="9">
        <v>719</v>
      </c>
      <c r="C1466" s="9" t="str">
        <v>출고재고</v>
      </c>
      <c r="D1466" s="9" t="str">
        <v/>
      </c>
      <c r="E1466" s="9" t="str">
        <v>기초</v>
      </c>
      <c r="F1466" s="9" t="str">
        <v/>
      </c>
      <c r="G1466" s="9" t="str">
        <v/>
      </c>
      <c r="H1466" s="9" t="str">
        <v>RE-04T-0436</v>
      </c>
      <c r="I1466" s="11" t="str">
        <v>RE-04T-0436]CAS CHINREST BOT</v>
      </c>
      <c r="J1466" s="9">
        <v>97</v>
      </c>
      <c r="K1466" s="9" t="str">
        <v/>
      </c>
      <c r="L1466" s="9" t="str">
        <v>3A-22</v>
      </c>
      <c r="M1466" s="12">
        <v>46275</v>
      </c>
      <c r="N1466" s="5" t="str">
        <v/>
      </c>
      <c r="O1466" s="5">
        <v>97310</v>
      </c>
      <c r="P1466" s="5">
        <v>30</v>
      </c>
      <c r="Q1466" s="14">
        <v>46276</v>
      </c>
      <c r="R1466" s="15">
        <v>67</v>
      </c>
    </row>
    <row r="1467" spans="2:18" x14ac:dyDescent="0.35">
      <c r="B1467" s="9">
        <v>2517</v>
      </c>
      <c r="C1467" s="9" t="str">
        <v>출고재고</v>
      </c>
      <c r="D1467" s="9" t="str">
        <v/>
      </c>
      <c r="E1467" s="9" t="str">
        <v>입고</v>
      </c>
      <c r="F1467" s="9" t="str">
        <v>에이투케이</v>
      </c>
      <c r="G1467" s="9" t="str">
        <v>유영국</v>
      </c>
      <c r="H1467" s="9" t="str">
        <v>RE-05H-5065</v>
      </c>
      <c r="I1467" s="11" t="str">
        <v>RE-05H-5065_1]Earth ROT to TNK</v>
      </c>
      <c r="J1467" s="9">
        <v>100</v>
      </c>
      <c r="K1467" s="9" t="str">
        <v/>
      </c>
      <c r="L1467" s="9" t="str">
        <v>F2-5</v>
      </c>
      <c r="M1467" s="12">
        <v>46303</v>
      </c>
      <c r="N1467" s="5" t="str">
        <v/>
      </c>
      <c r="O1467" s="5">
        <v>97310</v>
      </c>
      <c r="P1467" s="5">
        <v>3</v>
      </c>
      <c r="Q1467" s="14">
        <v>46307</v>
      </c>
      <c r="R1467" s="15">
        <v>97</v>
      </c>
    </row>
    <row r="1468" spans="2:18" x14ac:dyDescent="0.35">
      <c r="B1468" s="9">
        <v>720</v>
      </c>
      <c r="C1468" s="9" t="str">
        <v>출고재고</v>
      </c>
      <c r="D1468" s="9" t="str">
        <v/>
      </c>
      <c r="E1468" s="9" t="str">
        <v>기초</v>
      </c>
      <c r="F1468" s="9" t="str">
        <v/>
      </c>
      <c r="G1468" s="9" t="str">
        <v/>
      </c>
      <c r="H1468" s="9" t="str">
        <v>RE-05A-0512</v>
      </c>
      <c r="I1468" s="11" t="str">
        <v>RE-05A-0512]ASM ROTATOR WEIGH</v>
      </c>
      <c r="J1468" s="9">
        <v>110</v>
      </c>
      <c r="K1468" s="9" t="str">
        <v/>
      </c>
      <c r="L1468" s="9" t="str">
        <v xml:space="preserve">4F  </v>
      </c>
      <c r="M1468" s="12">
        <v>46275</v>
      </c>
      <c r="N1468" s="5" t="str">
        <v/>
      </c>
      <c r="O1468" s="5">
        <v>97310</v>
      </c>
      <c r="P1468" s="5">
        <v>30</v>
      </c>
      <c r="Q1468" s="14">
        <v>46276</v>
      </c>
      <c r="R1468" s="15">
        <v>80</v>
      </c>
    </row>
    <row r="1469" spans="2:18" x14ac:dyDescent="0.35">
      <c r="B1469" s="9">
        <v>2282</v>
      </c>
      <c r="C1469" s="9" t="str">
        <v>출고재고</v>
      </c>
      <c r="D1469" s="9" t="str">
        <v/>
      </c>
      <c r="E1469" s="9" t="str">
        <v/>
      </c>
      <c r="F1469" s="9" t="str">
        <v/>
      </c>
      <c r="G1469" s="9" t="str">
        <v/>
      </c>
      <c r="H1469" s="9" t="str">
        <v>RE-05H-5049</v>
      </c>
      <c r="I1469" s="11" t="str">
        <v>RE-05H-5049_1]LASER_H Extend</v>
      </c>
      <c r="J1469" s="9">
        <v>144</v>
      </c>
      <c r="K1469" s="9" t="str">
        <v/>
      </c>
      <c r="L1469" s="9" t="str">
        <v>F2-4</v>
      </c>
      <c r="M1469" s="12">
        <v>46303</v>
      </c>
      <c r="N1469" s="5" t="str">
        <v/>
      </c>
      <c r="O1469" s="5">
        <v>97310</v>
      </c>
      <c r="P1469" s="5">
        <v>18</v>
      </c>
      <c r="Q1469" s="14">
        <v>46303</v>
      </c>
      <c r="R1469" s="15">
        <v>126</v>
      </c>
    </row>
    <row r="1470" spans="2:18" x14ac:dyDescent="0.35">
      <c r="B1470" s="9">
        <v>726</v>
      </c>
      <c r="C1470" s="9" t="str">
        <v>출고재고</v>
      </c>
      <c r="D1470" s="9" t="str">
        <v/>
      </c>
      <c r="E1470" s="9" t="str">
        <v>기초</v>
      </c>
      <c r="F1470" s="9" t="str">
        <v/>
      </c>
      <c r="G1470" s="9" t="str">
        <v/>
      </c>
      <c r="H1470" s="9" t="str">
        <v>RE-07M-0711</v>
      </c>
      <c r="I1470" s="11" t="str">
        <v>RE-07M-0711_B]PLT DET SNSR (IR)</v>
      </c>
      <c r="J1470" s="9">
        <v>179</v>
      </c>
      <c r="K1470" s="9" t="str">
        <v/>
      </c>
      <c r="L1470" s="9" t="str">
        <v>K1-6</v>
      </c>
      <c r="M1470" s="12">
        <v>46275</v>
      </c>
      <c r="N1470" s="5" t="str">
        <v/>
      </c>
      <c r="O1470" s="5">
        <v>97310</v>
      </c>
      <c r="P1470" s="5">
        <v>60</v>
      </c>
      <c r="Q1470" s="14">
        <v>46276</v>
      </c>
      <c r="R1470" s="15">
        <v>119</v>
      </c>
    </row>
    <row r="1471" spans="2:18" x14ac:dyDescent="0.35">
      <c r="B1471" s="9">
        <v>728</v>
      </c>
      <c r="C1471" s="9" t="str">
        <v>출고재고</v>
      </c>
      <c r="D1471" s="9" t="str">
        <v/>
      </c>
      <c r="E1471" s="9" t="str">
        <v/>
      </c>
      <c r="F1471" s="9" t="str">
        <v/>
      </c>
      <c r="G1471" s="9" t="str">
        <v/>
      </c>
      <c r="H1471" s="9" t="str">
        <v>RA-02M-0395</v>
      </c>
      <c r="I1471" s="11" t="str">
        <v>RA-02M-0395]PIN VERT POSITION</v>
      </c>
      <c r="J1471" s="9">
        <v>356</v>
      </c>
      <c r="K1471" s="9" t="str">
        <v/>
      </c>
      <c r="L1471" s="9" t="str">
        <v>C3-1</v>
      </c>
      <c r="M1471" s="12">
        <v>46275</v>
      </c>
      <c r="N1471" s="5" t="str">
        <v/>
      </c>
      <c r="O1471" s="5">
        <v>97310</v>
      </c>
      <c r="P1471" s="5">
        <v>30</v>
      </c>
      <c r="Q1471" s="14">
        <v>46276</v>
      </c>
      <c r="R1471" s="15">
        <v>326</v>
      </c>
    </row>
    <row r="1472" spans="2:18" x14ac:dyDescent="0.35">
      <c r="B1472" s="9">
        <v>581</v>
      </c>
      <c r="C1472" s="9" t="str">
        <v>출고재고</v>
      </c>
      <c r="D1472" s="9" t="str">
        <v/>
      </c>
      <c r="E1472" s="9" t="str">
        <v>기초</v>
      </c>
      <c r="F1472" s="9" t="str">
        <v/>
      </c>
      <c r="G1472" s="9" t="str">
        <v/>
      </c>
      <c r="H1472" s="9" t="str">
        <v>RA-04T-0144</v>
      </c>
      <c r="I1472" s="11" t="str">
        <v>RA-04T-0144]CAS CHINREST BOT</v>
      </c>
      <c r="J1472" s="9">
        <v>357</v>
      </c>
      <c r="K1472" s="9" t="str">
        <v/>
      </c>
      <c r="L1472" s="9" t="str">
        <v>S</v>
      </c>
      <c r="M1472" s="12">
        <v>46273</v>
      </c>
      <c r="N1472" s="5" t="str">
        <v/>
      </c>
      <c r="O1472" s="5">
        <v>97314</v>
      </c>
      <c r="P1472" s="5">
        <v>1</v>
      </c>
      <c r="Q1472" s="14">
        <v>46274</v>
      </c>
      <c r="R1472" s="15">
        <v>356</v>
      </c>
    </row>
    <row r="1473" spans="2:18" x14ac:dyDescent="0.35">
      <c r="B1473" s="9">
        <v>549</v>
      </c>
      <c r="C1473" s="9" t="str">
        <v>출고재고</v>
      </c>
      <c r="D1473" s="9" t="str">
        <v/>
      </c>
      <c r="E1473" s="9" t="str">
        <v>기초</v>
      </c>
      <c r="F1473" s="9" t="str">
        <v/>
      </c>
      <c r="G1473" s="9" t="str">
        <v/>
      </c>
      <c r="H1473" s="9" t="str">
        <v>RA-04T-0143</v>
      </c>
      <c r="I1473" s="11" t="str">
        <v>RA-04T-0143]CAS CHINREST UPPER</v>
      </c>
      <c r="J1473" s="9">
        <v>810</v>
      </c>
      <c r="K1473" s="9" t="str">
        <v/>
      </c>
      <c r="L1473" s="9" t="str">
        <v>S</v>
      </c>
      <c r="M1473" s="12">
        <v>46273</v>
      </c>
      <c r="N1473" s="5" t="str">
        <v/>
      </c>
      <c r="O1473" s="5">
        <v>97314</v>
      </c>
      <c r="P1473" s="5">
        <v>1</v>
      </c>
      <c r="Q1473" s="14">
        <v>46274</v>
      </c>
      <c r="R1473" s="15">
        <v>809</v>
      </c>
    </row>
    <row r="1474" spans="2:18" x14ac:dyDescent="0.35">
      <c r="B1474" s="9">
        <v>589</v>
      </c>
      <c r="C1474" s="9" t="str">
        <v>출고재고</v>
      </c>
      <c r="D1474" s="9" t="str">
        <v/>
      </c>
      <c r="E1474" s="9" t="str">
        <v>기초</v>
      </c>
      <c r="F1474" s="9" t="str">
        <v/>
      </c>
      <c r="G1474" s="9" t="str">
        <v/>
      </c>
      <c r="H1474" s="9" t="str">
        <v>RA-05M-2907</v>
      </c>
      <c r="I1474" s="11" t="str">
        <v>RA-05M-2907]FRM ROT WEIGHT</v>
      </c>
      <c r="J1474" s="9">
        <v>1</v>
      </c>
      <c r="K1474" s="9" t="str">
        <v/>
      </c>
      <c r="L1474" s="9" t="str">
        <v>O4,T</v>
      </c>
      <c r="M1474" s="12">
        <v>46273</v>
      </c>
      <c r="N1474" s="5" t="str">
        <v/>
      </c>
      <c r="O1474" s="5">
        <v>97320</v>
      </c>
      <c r="P1474" s="5">
        <v>1</v>
      </c>
      <c r="Q1474" s="14">
        <v>46279</v>
      </c>
      <c r="R1474" s="15">
        <v>0</v>
      </c>
    </row>
    <row r="1475" spans="2:18" x14ac:dyDescent="0.35">
      <c r="B1475" s="9">
        <v>1579</v>
      </c>
      <c r="C1475" s="9" t="str">
        <v>출고재고</v>
      </c>
      <c r="D1475" s="9" t="str">
        <v/>
      </c>
      <c r="E1475" s="9" t="str">
        <v/>
      </c>
      <c r="F1475" s="9" t="str">
        <v/>
      </c>
      <c r="G1475" s="9" t="str">
        <v/>
      </c>
      <c r="H1475" s="9" t="str">
        <v>RA-05V-0501</v>
      </c>
      <c r="I1475" s="11" t="str">
        <v>RA-05V-0501]BRK ROT CAS-A</v>
      </c>
      <c r="J1475" s="9">
        <v>1</v>
      </c>
      <c r="K1475" s="9" t="str">
        <v/>
      </c>
      <c r="L1475" s="9" t="str">
        <v>W</v>
      </c>
      <c r="M1475" s="12">
        <v>46282</v>
      </c>
      <c r="N1475" s="5" t="str">
        <v/>
      </c>
      <c r="O1475" s="5">
        <v>97320</v>
      </c>
      <c r="P1475" s="5">
        <v>1</v>
      </c>
      <c r="Q1475" s="14">
        <v>46279</v>
      </c>
      <c r="R1475" s="15">
        <v>0</v>
      </c>
    </row>
    <row r="1476" spans="2:18" x14ac:dyDescent="0.35">
      <c r="B1476" s="9">
        <v>1689</v>
      </c>
      <c r="C1476" s="9" t="str">
        <v>출고재고</v>
      </c>
      <c r="D1476" s="9" t="str">
        <v/>
      </c>
      <c r="E1476" s="9" t="str">
        <v>기초추가</v>
      </c>
      <c r="F1476" s="9" t="str">
        <v/>
      </c>
      <c r="G1476" s="9" t="str">
        <v/>
      </c>
      <c r="H1476" s="9" t="str">
        <v>RA-05V-2653</v>
      </c>
      <c r="I1476" s="11" t="str">
        <v>RA-05V-2653]PLT SIDE RIGID FRM ROT Bas</v>
      </c>
      <c r="J1476" s="9">
        <v>10</v>
      </c>
      <c r="K1476" s="9" t="str">
        <v/>
      </c>
      <c r="L1476" s="9" t="str">
        <v>J4-2</v>
      </c>
      <c r="M1476" s="12">
        <v>46273</v>
      </c>
      <c r="N1476" s="5" t="str">
        <v/>
      </c>
      <c r="O1476" s="5">
        <v>97320</v>
      </c>
      <c r="P1476" s="5">
        <v>10</v>
      </c>
      <c r="Q1476" s="14">
        <v>46279</v>
      </c>
      <c r="R1476" s="15">
        <v>0</v>
      </c>
    </row>
    <row r="1477" spans="2:18" x14ac:dyDescent="0.35">
      <c r="B1477" s="9">
        <v>1576</v>
      </c>
      <c r="C1477" s="9" t="str">
        <v>출고재고</v>
      </c>
      <c r="D1477" s="9" t="str">
        <v/>
      </c>
      <c r="E1477" s="9" t="str">
        <v/>
      </c>
      <c r="F1477" s="9" t="str">
        <v/>
      </c>
      <c r="G1477" s="9" t="str">
        <v/>
      </c>
      <c r="H1477" s="9" t="str">
        <v>RA-05V-2653</v>
      </c>
      <c r="I1477" s="11" t="str">
        <v>RA-05V-2653]PLT SIDE RIGID FRM ROT Bas</v>
      </c>
      <c r="J1477" s="9">
        <v>30</v>
      </c>
      <c r="K1477" s="9" t="str">
        <v/>
      </c>
      <c r="L1477" s="9" t="str">
        <v>J4-2</v>
      </c>
      <c r="M1477" s="12">
        <v>46282</v>
      </c>
      <c r="N1477" s="5" t="str">
        <v/>
      </c>
      <c r="O1477" s="5">
        <v>97320</v>
      </c>
      <c r="P1477" s="5">
        <v>30</v>
      </c>
      <c r="Q1477" s="14">
        <v>46279</v>
      </c>
      <c r="R1477" s="15">
        <v>0</v>
      </c>
    </row>
    <row r="1478" spans="2:18" x14ac:dyDescent="0.35">
      <c r="B1478" s="9">
        <v>1688</v>
      </c>
      <c r="C1478" s="9" t="str">
        <v>출고재고</v>
      </c>
      <c r="D1478" s="9" t="str">
        <v/>
      </c>
      <c r="E1478" s="9" t="str">
        <v>기초추가</v>
      </c>
      <c r="F1478" s="9" t="str">
        <v/>
      </c>
      <c r="G1478" s="9" t="str">
        <v/>
      </c>
      <c r="H1478" s="9" t="str">
        <v>RA-05V-0501</v>
      </c>
      <c r="I1478" s="11" t="str">
        <v>RA-05V-0501]BRK ROT CAS-A</v>
      </c>
      <c r="J1478" s="9">
        <v>39</v>
      </c>
      <c r="K1478" s="9" t="str">
        <v/>
      </c>
      <c r="L1478" s="9" t="str">
        <v>W</v>
      </c>
      <c r="M1478" s="12">
        <v>46279</v>
      </c>
      <c r="N1478" s="5" t="str">
        <v/>
      </c>
      <c r="O1478" s="5">
        <v>97320</v>
      </c>
      <c r="P1478" s="5">
        <v>39</v>
      </c>
      <c r="Q1478" s="14">
        <v>46279</v>
      </c>
      <c r="R1478" s="15">
        <v>0</v>
      </c>
    </row>
    <row r="1479" spans="2:18" x14ac:dyDescent="0.35">
      <c r="B1479" s="9">
        <v>591</v>
      </c>
      <c r="C1479" s="9" t="str">
        <v>출고재고</v>
      </c>
      <c r="D1479" s="9" t="str">
        <v/>
      </c>
      <c r="E1479" s="9" t="str">
        <v>기초</v>
      </c>
      <c r="F1479" s="9" t="str">
        <v/>
      </c>
      <c r="G1479" s="9" t="str">
        <v/>
      </c>
      <c r="H1479" s="9" t="str">
        <v>RA-05A-2721</v>
      </c>
      <c r="I1479" s="11" t="str">
        <v>ASM ROTATOR</v>
      </c>
      <c r="J1479" s="9">
        <v>68</v>
      </c>
      <c r="K1479" s="9" t="str">
        <v/>
      </c>
      <c r="L1479" s="9" t="str">
        <v>T</v>
      </c>
      <c r="M1479" s="12">
        <v>46273</v>
      </c>
      <c r="N1479" s="5" t="str">
        <v/>
      </c>
      <c r="O1479" s="5">
        <v>97320</v>
      </c>
      <c r="P1479" s="5">
        <v>20</v>
      </c>
      <c r="Q1479" s="14">
        <v>46279</v>
      </c>
      <c r="R1479" s="15">
        <v>48</v>
      </c>
    </row>
    <row r="1480" spans="2:18" x14ac:dyDescent="0.35">
      <c r="B1480" s="9">
        <v>584</v>
      </c>
      <c r="C1480" s="9" t="str">
        <v>출고재고</v>
      </c>
      <c r="D1480" s="9" t="str">
        <v/>
      </c>
      <c r="E1480" s="9" t="str">
        <v>기초</v>
      </c>
      <c r="F1480" s="9" t="str">
        <v/>
      </c>
      <c r="G1480" s="9" t="str">
        <v/>
      </c>
      <c r="H1480" s="9" t="str">
        <v>RA-05A-6112</v>
      </c>
      <c r="I1480" s="11" t="str">
        <v/>
      </c>
      <c r="J1480" s="9">
        <v>76</v>
      </c>
      <c r="K1480" s="9" t="str">
        <v/>
      </c>
      <c r="L1480" s="9" t="str">
        <v>A1-2</v>
      </c>
      <c r="M1480" s="12">
        <v>46273</v>
      </c>
      <c r="N1480" s="5" t="str">
        <v/>
      </c>
      <c r="O1480" s="5">
        <v>97320</v>
      </c>
      <c r="P1480" s="5">
        <v>20</v>
      </c>
      <c r="Q1480" s="14">
        <v>46279</v>
      </c>
      <c r="R1480" s="15">
        <v>56</v>
      </c>
    </row>
    <row r="1481" spans="2:18" x14ac:dyDescent="0.35">
      <c r="B1481" s="9">
        <v>1578</v>
      </c>
      <c r="C1481" s="9" t="str">
        <v>출고재고</v>
      </c>
      <c r="D1481" s="9" t="str">
        <v/>
      </c>
      <c r="E1481" s="9" t="str">
        <v/>
      </c>
      <c r="F1481" s="9" t="str">
        <v/>
      </c>
      <c r="G1481" s="9" t="str">
        <v/>
      </c>
      <c r="H1481" s="9" t="str">
        <v>RA-10-2</v>
      </c>
      <c r="I1481" s="11" t="str">
        <v>RA-10-2]PRIME CABLE ASS’Y</v>
      </c>
      <c r="J1481" s="9">
        <v>76</v>
      </c>
      <c r="K1481" s="9" t="str">
        <v/>
      </c>
      <c r="L1481" s="9" t="str">
        <v>G4</v>
      </c>
      <c r="M1481" s="12">
        <v>46282</v>
      </c>
      <c r="N1481" s="5" t="str">
        <v/>
      </c>
      <c r="O1481" s="5">
        <v>97320</v>
      </c>
      <c r="P1481" s="5">
        <v>20</v>
      </c>
      <c r="Q1481" s="14">
        <v>46279</v>
      </c>
      <c r="R1481" s="15">
        <v>56</v>
      </c>
    </row>
    <row r="1482" spans="2:18" x14ac:dyDescent="0.35">
      <c r="B1482" s="9">
        <v>586</v>
      </c>
      <c r="C1482" s="9" t="str">
        <v>출고재고</v>
      </c>
      <c r="D1482" s="9" t="str">
        <v/>
      </c>
      <c r="E1482" s="9" t="str">
        <v>기초</v>
      </c>
      <c r="F1482" s="9" t="str">
        <v/>
      </c>
      <c r="G1482" s="9" t="str">
        <v/>
      </c>
      <c r="H1482" s="9" t="str">
        <v>RA-05V-2651</v>
      </c>
      <c r="I1482" s="11" t="str">
        <v>RA-05V-2651]BRK HARNESS CLAMP</v>
      </c>
      <c r="J1482" s="9">
        <v>82</v>
      </c>
      <c r="K1482" s="9" t="str">
        <v/>
      </c>
      <c r="L1482" s="9" t="str">
        <v>J4-1</v>
      </c>
      <c r="M1482" s="12">
        <v>46273</v>
      </c>
      <c r="N1482" s="5" t="str">
        <v/>
      </c>
      <c r="O1482" s="5">
        <v>97320</v>
      </c>
      <c r="P1482" s="5">
        <v>20</v>
      </c>
      <c r="Q1482" s="14">
        <v>46279</v>
      </c>
      <c r="R1482" s="15">
        <v>62</v>
      </c>
    </row>
    <row r="1483" spans="2:18" x14ac:dyDescent="0.35">
      <c r="B1483" s="9">
        <v>590</v>
      </c>
      <c r="C1483" s="9" t="str">
        <v>출고재고</v>
      </c>
      <c r="D1483" s="9" t="str">
        <v/>
      </c>
      <c r="E1483" s="9" t="str">
        <v>기초</v>
      </c>
      <c r="F1483" s="9" t="str">
        <v/>
      </c>
      <c r="G1483" s="9" t="str">
        <v/>
      </c>
      <c r="H1483" s="9" t="str">
        <v>RA-02A-2741</v>
      </c>
      <c r="I1483" s="11" t="str">
        <v>RA-02A-2741]ASM VERT TOTAL (3D) (VN)</v>
      </c>
      <c r="J1483" s="9">
        <v>88</v>
      </c>
      <c r="K1483" s="9" t="str">
        <v/>
      </c>
      <c r="L1483" s="9" t="str">
        <v>T</v>
      </c>
      <c r="M1483" s="12">
        <v>46273</v>
      </c>
      <c r="N1483" s="5" t="str">
        <v/>
      </c>
      <c r="O1483" s="5">
        <v>97320</v>
      </c>
      <c r="P1483" s="5">
        <v>20</v>
      </c>
      <c r="Q1483" s="14">
        <v>46279</v>
      </c>
      <c r="R1483" s="15">
        <v>68</v>
      </c>
    </row>
    <row r="1484" spans="2:18" x14ac:dyDescent="0.35">
      <c r="B1484" s="9">
        <v>1574</v>
      </c>
      <c r="C1484" s="9" t="str">
        <v>출고재고</v>
      </c>
      <c r="D1484" s="9" t="str">
        <v/>
      </c>
      <c r="E1484" s="9" t="str">
        <v/>
      </c>
      <c r="F1484" s="9" t="str">
        <v/>
      </c>
      <c r="G1484" s="9" t="str">
        <v/>
      </c>
      <c r="H1484" s="9" t="str">
        <v>RA-05V-0513</v>
      </c>
      <c r="I1484" s="11" t="str">
        <v>RA-05V-0513]BRK LED PCB</v>
      </c>
      <c r="J1484" s="9">
        <v>225</v>
      </c>
      <c r="K1484" s="9" t="str">
        <v/>
      </c>
      <c r="L1484" s="9" t="str">
        <v>J4-2</v>
      </c>
      <c r="M1484" s="12">
        <v>46282</v>
      </c>
      <c r="N1484" s="5" t="str">
        <v/>
      </c>
      <c r="O1484" s="5">
        <v>97320</v>
      </c>
      <c r="P1484" s="5">
        <v>20</v>
      </c>
      <c r="Q1484" s="14">
        <v>46279</v>
      </c>
      <c r="R1484" s="15">
        <v>205</v>
      </c>
    </row>
    <row r="1485" spans="2:18" x14ac:dyDescent="0.35">
      <c r="B1485" s="9">
        <v>1583</v>
      </c>
      <c r="C1485" s="9" t="str">
        <v>출고재고</v>
      </c>
      <c r="D1485" s="9" t="str">
        <v/>
      </c>
      <c r="E1485" s="9" t="str">
        <v/>
      </c>
      <c r="F1485" s="9" t="str">
        <v/>
      </c>
      <c r="G1485" s="9" t="str">
        <v/>
      </c>
      <c r="H1485" s="9" t="str">
        <v>RA-06M-1105</v>
      </c>
      <c r="I1485" s="11" t="str">
        <v>RA-06M-1105]DECO WINDOW COL</v>
      </c>
      <c r="J1485" s="9">
        <v>23</v>
      </c>
      <c r="K1485" s="9" t="str">
        <v/>
      </c>
      <c r="L1485" s="9" t="str">
        <v>L2-2</v>
      </c>
      <c r="M1485" s="12">
        <v>46287</v>
      </c>
      <c r="N1485" s="5" t="str">
        <v/>
      </c>
      <c r="O1485" s="5">
        <v>97321</v>
      </c>
      <c r="P1485" s="5">
        <v>20</v>
      </c>
      <c r="Q1485" s="14">
        <v>46280</v>
      </c>
      <c r="R1485" s="15">
        <v>3</v>
      </c>
    </row>
    <row r="1486" spans="2:18" x14ac:dyDescent="0.35">
      <c r="B1486" s="9">
        <v>1166</v>
      </c>
      <c r="C1486" s="9" t="str">
        <v>출고재고</v>
      </c>
      <c r="D1486" s="9" t="str">
        <v/>
      </c>
      <c r="E1486" s="9" t="str">
        <v/>
      </c>
      <c r="F1486" s="9" t="str">
        <v/>
      </c>
      <c r="G1486" s="9" t="str">
        <v/>
      </c>
      <c r="H1486" s="9" t="str">
        <v>RA-09A-1940</v>
      </c>
      <c r="I1486" s="11" t="str">
        <v>RA-09A-1940]ASM REMOTE(α)</v>
      </c>
      <c r="J1486" s="9">
        <v>97</v>
      </c>
      <c r="K1486" s="9" t="str">
        <v/>
      </c>
      <c r="L1486" s="9" t="str">
        <v>A13-1</v>
      </c>
      <c r="M1486" s="12">
        <v>46280</v>
      </c>
      <c r="N1486" s="5" t="str">
        <v/>
      </c>
      <c r="O1486" s="5">
        <v>97321</v>
      </c>
      <c r="P1486" s="5">
        <v>20</v>
      </c>
      <c r="Q1486" s="14">
        <v>46280</v>
      </c>
      <c r="R1486" s="15">
        <v>77</v>
      </c>
    </row>
    <row r="1487" spans="2:18" x14ac:dyDescent="0.35">
      <c r="B1487" s="9">
        <v>579</v>
      </c>
      <c r="C1487" s="9" t="str">
        <v>출고재고</v>
      </c>
      <c r="D1487" s="9" t="str">
        <v/>
      </c>
      <c r="E1487" s="9" t="str">
        <v>기초</v>
      </c>
      <c r="F1487" s="9" t="str">
        <v/>
      </c>
      <c r="G1487" s="9" t="str">
        <v/>
      </c>
      <c r="H1487" s="9" t="str">
        <v>RA-05V-1684</v>
      </c>
      <c r="I1487" s="11" t="str">
        <v>RA-05V-1684]CVR PRIME MCU</v>
      </c>
      <c r="J1487" s="9">
        <v>123</v>
      </c>
      <c r="K1487" s="9" t="str">
        <v/>
      </c>
      <c r="L1487" s="9" t="str">
        <v>O2</v>
      </c>
      <c r="M1487" s="12">
        <v>46273</v>
      </c>
      <c r="N1487" s="5" t="str">
        <v/>
      </c>
      <c r="O1487" s="5">
        <v>97321</v>
      </c>
      <c r="P1487" s="5">
        <v>20</v>
      </c>
      <c r="Q1487" s="14">
        <v>46280</v>
      </c>
      <c r="R1487" s="15">
        <v>103</v>
      </c>
    </row>
    <row r="1488" spans="2:18" x14ac:dyDescent="0.35">
      <c r="B1488" s="9">
        <v>1402</v>
      </c>
      <c r="C1488" s="9" t="str">
        <v>출고재고</v>
      </c>
      <c r="D1488" s="9" t="str">
        <v/>
      </c>
      <c r="E1488" s="9" t="str">
        <v/>
      </c>
      <c r="F1488" s="9" t="str">
        <v/>
      </c>
      <c r="G1488" s="9" t="str">
        <v/>
      </c>
      <c r="H1488" s="9" t="str">
        <v>RA-03A-0287</v>
      </c>
      <c r="I1488" s="11" t="str">
        <v>RA-03A-0287]ASM LEVER HORIZONTAL LASER</v>
      </c>
      <c r="J1488" s="9">
        <v>128</v>
      </c>
      <c r="K1488" s="9" t="str">
        <v/>
      </c>
      <c r="L1488" s="9" t="str">
        <v>B1-4</v>
      </c>
      <c r="M1488" s="12">
        <v>46283</v>
      </c>
      <c r="N1488" s="5" t="str">
        <v/>
      </c>
      <c r="O1488" s="5">
        <v>97321</v>
      </c>
      <c r="P1488" s="5">
        <v>20</v>
      </c>
      <c r="Q1488" s="14">
        <v>46280</v>
      </c>
      <c r="R1488" s="15">
        <v>108</v>
      </c>
    </row>
    <row r="1489" spans="2:18" x14ac:dyDescent="0.35">
      <c r="B1489" s="9">
        <v>873</v>
      </c>
      <c r="C1489" s="9" t="str">
        <v>출고재고</v>
      </c>
      <c r="D1489" s="9" t="str">
        <v/>
      </c>
      <c r="E1489" s="9" t="str">
        <v/>
      </c>
      <c r="F1489" s="9" t="str">
        <v/>
      </c>
      <c r="G1489" s="9" t="str">
        <v/>
      </c>
      <c r="H1489" s="9" t="str">
        <v>RA-07M-2497</v>
      </c>
      <c r="I1489" s="11" t="str">
        <v>RA-07M-2497]CVR CT DET FRONT (A+ ODD)</v>
      </c>
      <c r="J1489" s="9">
        <v>144</v>
      </c>
      <c r="K1489" s="9" t="str">
        <v/>
      </c>
      <c r="L1489" s="9" t="str">
        <v>L2-3</v>
      </c>
      <c r="M1489" s="12">
        <v>46275</v>
      </c>
      <c r="N1489" s="5" t="str">
        <v/>
      </c>
      <c r="O1489" s="5">
        <v>97321</v>
      </c>
      <c r="P1489" s="5">
        <v>20</v>
      </c>
      <c r="Q1489" s="14">
        <v>46280</v>
      </c>
      <c r="R1489" s="15">
        <v>124</v>
      </c>
    </row>
    <row r="1490" spans="2:18" x14ac:dyDescent="0.35">
      <c r="B1490" s="9">
        <v>1404</v>
      </c>
      <c r="C1490" s="9" t="str">
        <v>출고재고</v>
      </c>
      <c r="D1490" s="9" t="str">
        <v/>
      </c>
      <c r="E1490" s="9" t="str">
        <v/>
      </c>
      <c r="F1490" s="9" t="str">
        <v/>
      </c>
      <c r="G1490" s="9" t="str">
        <v/>
      </c>
      <c r="H1490" s="9" t="str">
        <v>RA-03M-2064</v>
      </c>
      <c r="I1490" s="11" t="str">
        <v>RA-03M-2064]PLT MIRROR (A+)</v>
      </c>
      <c r="J1490" s="9">
        <v>204</v>
      </c>
      <c r="K1490" s="9" t="str">
        <v/>
      </c>
      <c r="L1490" s="9" t="str">
        <v>L2-1</v>
      </c>
      <c r="M1490" s="12">
        <v>46283</v>
      </c>
      <c r="N1490" s="5" t="str">
        <v/>
      </c>
      <c r="O1490" s="5">
        <v>97321</v>
      </c>
      <c r="P1490" s="5">
        <v>20</v>
      </c>
      <c r="Q1490" s="14">
        <v>46280</v>
      </c>
      <c r="R1490" s="15">
        <v>184</v>
      </c>
    </row>
    <row r="1491" spans="2:18" x14ac:dyDescent="0.35">
      <c r="B1491" s="9">
        <v>1585</v>
      </c>
      <c r="C1491" s="9" t="str">
        <v>출고재고</v>
      </c>
      <c r="D1491" s="9" t="str">
        <v/>
      </c>
      <c r="E1491" s="9" t="str">
        <v/>
      </c>
      <c r="F1491" s="9" t="str">
        <v/>
      </c>
      <c r="G1491" s="9" t="str">
        <v/>
      </c>
      <c r="H1491" s="9" t="str">
        <v>RA-7-3</v>
      </c>
      <c r="I1491" s="11" t="str">
        <v>RA-7-3]LAN PC</v>
      </c>
      <c r="J1491" s="9">
        <v>211</v>
      </c>
      <c r="K1491" s="9" t="str">
        <v/>
      </c>
      <c r="L1491" s="9" t="str">
        <v>G4</v>
      </c>
      <c r="M1491" s="12">
        <v>46287</v>
      </c>
      <c r="N1491" s="5" t="str">
        <v/>
      </c>
      <c r="O1491" s="5">
        <v>97321</v>
      </c>
      <c r="P1491" s="5">
        <v>20</v>
      </c>
      <c r="Q1491" s="14">
        <v>46280</v>
      </c>
      <c r="R1491" s="15">
        <v>191</v>
      </c>
    </row>
    <row r="1492" spans="2:18" x14ac:dyDescent="0.35">
      <c r="B1492" s="9">
        <v>1406</v>
      </c>
      <c r="C1492" s="9" t="str">
        <v>출고재고</v>
      </c>
      <c r="D1492" s="9" t="str">
        <v/>
      </c>
      <c r="E1492" s="9" t="str">
        <v/>
      </c>
      <c r="F1492" s="9" t="str">
        <v/>
      </c>
      <c r="G1492" s="9" t="str">
        <v/>
      </c>
      <c r="H1492" s="9" t="str">
        <v>RA-04T-0144</v>
      </c>
      <c r="I1492" s="11" t="str">
        <v>RA-04T-0144]CAS CHINREST BOT</v>
      </c>
      <c r="J1492" s="9">
        <v>306</v>
      </c>
      <c r="K1492" s="9" t="str">
        <v/>
      </c>
      <c r="L1492" s="9" t="str">
        <v>S</v>
      </c>
      <c r="M1492" s="12">
        <v>46283</v>
      </c>
      <c r="N1492" s="5" t="str">
        <v/>
      </c>
      <c r="O1492" s="5">
        <v>97321</v>
      </c>
      <c r="P1492" s="5">
        <v>20</v>
      </c>
      <c r="Q1492" s="14">
        <v>46280</v>
      </c>
      <c r="R1492" s="15">
        <v>286</v>
      </c>
    </row>
    <row r="1493" spans="2:18" x14ac:dyDescent="0.35">
      <c r="B1493" s="9">
        <v>1407</v>
      </c>
      <c r="C1493" s="9" t="str">
        <v>출고재고</v>
      </c>
      <c r="D1493" s="9" t="str">
        <v/>
      </c>
      <c r="E1493" s="9" t="str">
        <v/>
      </c>
      <c r="F1493" s="9" t="str">
        <v/>
      </c>
      <c r="G1493" s="9" t="str">
        <v/>
      </c>
      <c r="H1493" s="9" t="str">
        <v>RA-06M-2299</v>
      </c>
      <c r="I1493" s="11" t="str">
        <v>RA-06M-2299]PLT MIRROR TUBE CAS R (A+)</v>
      </c>
      <c r="J1493" s="9">
        <v>344</v>
      </c>
      <c r="K1493" s="9" t="str">
        <v/>
      </c>
      <c r="L1493" s="9" t="str">
        <v>L2-2</v>
      </c>
      <c r="M1493" s="12">
        <v>46283</v>
      </c>
      <c r="N1493" s="5" t="str">
        <v/>
      </c>
      <c r="O1493" s="5">
        <v>97321</v>
      </c>
      <c r="P1493" s="5">
        <v>20</v>
      </c>
      <c r="Q1493" s="14">
        <v>46280</v>
      </c>
      <c r="R1493" s="15">
        <v>324</v>
      </c>
    </row>
    <row r="1494" spans="2:18" x14ac:dyDescent="0.35">
      <c r="B1494" s="9">
        <v>1408</v>
      </c>
      <c r="C1494" s="9" t="str">
        <v>출고재고</v>
      </c>
      <c r="D1494" s="9" t="str">
        <v/>
      </c>
      <c r="E1494" s="9" t="str">
        <v/>
      </c>
      <c r="F1494" s="9" t="str">
        <v/>
      </c>
      <c r="G1494" s="9" t="str">
        <v/>
      </c>
      <c r="H1494" s="9" t="str">
        <v>RA-06M-2298</v>
      </c>
      <c r="I1494" s="11" t="str">
        <v>RA-06M-2298]PLT MIRROR TUBE CAS L (A+)</v>
      </c>
      <c r="J1494" s="9">
        <v>428</v>
      </c>
      <c r="K1494" s="9" t="str">
        <v/>
      </c>
      <c r="L1494" s="9" t="str">
        <v>L2-2</v>
      </c>
      <c r="M1494" s="12">
        <v>46283</v>
      </c>
      <c r="N1494" s="5" t="str">
        <v/>
      </c>
      <c r="O1494" s="5">
        <v>97321</v>
      </c>
      <c r="P1494" s="5">
        <v>20</v>
      </c>
      <c r="Q1494" s="14">
        <v>46280</v>
      </c>
      <c r="R1494" s="15">
        <v>408</v>
      </c>
    </row>
    <row r="1495" spans="2:18" x14ac:dyDescent="0.35">
      <c r="B1495" s="9">
        <v>1409</v>
      </c>
      <c r="C1495" s="9" t="str">
        <v>출고재고</v>
      </c>
      <c r="D1495" s="9" t="str">
        <v/>
      </c>
      <c r="E1495" s="9" t="str">
        <v/>
      </c>
      <c r="F1495" s="9" t="str">
        <v/>
      </c>
      <c r="G1495" s="9" t="str">
        <v/>
      </c>
      <c r="H1495" s="9" t="str">
        <v>RA-05T-0207</v>
      </c>
      <c r="I1495" s="11" t="str">
        <v>RA-05T-0207]CAS ROT BOT DECO</v>
      </c>
      <c r="J1495" s="9">
        <v>458</v>
      </c>
      <c r="K1495" s="9" t="str">
        <v/>
      </c>
      <c r="L1495" s="9" t="str">
        <v>R</v>
      </c>
      <c r="M1495" s="12">
        <v>46283</v>
      </c>
      <c r="N1495" s="5" t="str">
        <v/>
      </c>
      <c r="O1495" s="5">
        <v>97321</v>
      </c>
      <c r="P1495" s="5">
        <v>20</v>
      </c>
      <c r="Q1495" s="14">
        <v>46280</v>
      </c>
      <c r="R1495" s="15">
        <v>438</v>
      </c>
    </row>
    <row r="1496" spans="2:18" x14ac:dyDescent="0.35">
      <c r="B1496" s="9">
        <v>1410</v>
      </c>
      <c r="C1496" s="9" t="str">
        <v>출고재고</v>
      </c>
      <c r="D1496" s="9" t="str">
        <v/>
      </c>
      <c r="E1496" s="9" t="str">
        <v/>
      </c>
      <c r="F1496" s="9" t="str">
        <v/>
      </c>
      <c r="G1496" s="9" t="str">
        <v/>
      </c>
      <c r="H1496" s="9" t="str">
        <v>RA-06V-0249</v>
      </c>
      <c r="I1496" s="11" t="str">
        <v>RA-06V-0249]HLDR CAS TUBE TNK REAR</v>
      </c>
      <c r="J1496" s="9">
        <v>550</v>
      </c>
      <c r="K1496" s="9" t="str">
        <v/>
      </c>
      <c r="L1496" s="9" t="str">
        <v>W</v>
      </c>
      <c r="M1496" s="12">
        <v>46283</v>
      </c>
      <c r="N1496" s="5" t="str">
        <v/>
      </c>
      <c r="O1496" s="5">
        <v>97321</v>
      </c>
      <c r="P1496" s="5">
        <v>40</v>
      </c>
      <c r="Q1496" s="14">
        <v>46280</v>
      </c>
      <c r="R1496" s="15">
        <v>510</v>
      </c>
    </row>
    <row r="1497" spans="2:18" x14ac:dyDescent="0.35">
      <c r="B1497" s="9">
        <v>606</v>
      </c>
      <c r="C1497" s="9" t="str">
        <v>출고재고</v>
      </c>
      <c r="D1497" s="9" t="str">
        <v/>
      </c>
      <c r="E1497" s="9" t="str">
        <v>기초</v>
      </c>
      <c r="F1497" s="9" t="str">
        <v/>
      </c>
      <c r="G1497" s="9" t="str">
        <v/>
      </c>
      <c r="H1497" s="9" t="str">
        <v>RA-03V-1341</v>
      </c>
      <c r="I1497" s="11" t="str">
        <v>RA-03V-1341]BRK CLMN REAR CAS LWR</v>
      </c>
      <c r="J1497" s="9">
        <v>371</v>
      </c>
      <c r="K1497" s="9" t="str">
        <v/>
      </c>
      <c r="L1497" s="9" t="str">
        <v>B1-2</v>
      </c>
      <c r="M1497" s="12">
        <v>46273</v>
      </c>
      <c r="N1497" s="5" t="str">
        <v/>
      </c>
      <c r="O1497" s="5">
        <v>97326</v>
      </c>
      <c r="P1497" s="5">
        <v>2</v>
      </c>
      <c r="Q1497" s="14">
        <v>46275</v>
      </c>
      <c r="R1497" s="15">
        <v>369</v>
      </c>
    </row>
    <row r="1498" spans="2:18" x14ac:dyDescent="0.35">
      <c r="B1498" s="9">
        <v>738</v>
      </c>
      <c r="C1498" s="9" t="str">
        <v>출고재고</v>
      </c>
      <c r="D1498" s="9" t="str">
        <v/>
      </c>
      <c r="E1498" s="9" t="str">
        <v/>
      </c>
      <c r="F1498" s="9" t="str">
        <v/>
      </c>
      <c r="G1498" s="9" t="str">
        <v/>
      </c>
      <c r="H1498" s="9" t="str">
        <v>RA-9-12</v>
      </c>
      <c r="I1498" s="11" t="str">
        <v>RA-9-12]SCEPH LAN</v>
      </c>
      <c r="J1498" s="9">
        <v>28</v>
      </c>
      <c r="K1498" s="9" t="str">
        <v/>
      </c>
      <c r="L1498" s="9" t="str">
        <v>G3-4</v>
      </c>
      <c r="M1498" s="12">
        <v>46274</v>
      </c>
      <c r="N1498" s="5" t="str">
        <v/>
      </c>
      <c r="O1498" s="5">
        <v>97327</v>
      </c>
      <c r="P1498" s="5">
        <v>2</v>
      </c>
      <c r="Q1498" s="14">
        <v>46275</v>
      </c>
      <c r="R1498" s="15">
        <v>26</v>
      </c>
    </row>
    <row r="1499" spans="2:18" x14ac:dyDescent="0.35">
      <c r="B1499" s="9">
        <v>585</v>
      </c>
      <c r="C1499" s="9" t="str">
        <v>출고재고</v>
      </c>
      <c r="D1499" s="9" t="str">
        <v/>
      </c>
      <c r="E1499" s="9" t="str">
        <v>기초</v>
      </c>
      <c r="F1499" s="9" t="str">
        <v/>
      </c>
      <c r="G1499" s="9" t="str">
        <v/>
      </c>
      <c r="H1499" s="9" t="str">
        <v>RA-10-2</v>
      </c>
      <c r="I1499" s="11" t="str">
        <v>RA-10-2]PRIME CABLE ASS’Y</v>
      </c>
      <c r="J1499" s="9">
        <v>162</v>
      </c>
      <c r="K1499" s="9" t="str">
        <v/>
      </c>
      <c r="L1499" s="9" t="str">
        <v>G4</v>
      </c>
      <c r="M1499" s="12">
        <v>46273</v>
      </c>
      <c r="N1499" s="5" t="str">
        <v/>
      </c>
      <c r="O1499" s="5">
        <v>97328</v>
      </c>
      <c r="P1499" s="5">
        <v>6</v>
      </c>
      <c r="Q1499" s="14">
        <v>46275</v>
      </c>
      <c r="R1499" s="15">
        <v>156</v>
      </c>
    </row>
    <row r="1500" spans="2:18" x14ac:dyDescent="0.35">
      <c r="B1500" s="9">
        <v>523</v>
      </c>
      <c r="C1500" s="9" t="str">
        <v>출고재고</v>
      </c>
      <c r="D1500" s="9" t="str">
        <v/>
      </c>
      <c r="E1500" s="9" t="str">
        <v>기초</v>
      </c>
      <c r="F1500" s="9" t="str">
        <v/>
      </c>
      <c r="G1500" s="9" t="str">
        <v/>
      </c>
      <c r="H1500" s="9" t="str">
        <v>RA-02M-0395</v>
      </c>
      <c r="I1500" s="11" t="str">
        <v>RA-02M-0395]PIN VERT POSITION</v>
      </c>
      <c r="J1500" s="9">
        <v>368</v>
      </c>
      <c r="K1500" s="9" t="str">
        <v/>
      </c>
      <c r="L1500" s="9" t="str">
        <v>C3-1</v>
      </c>
      <c r="M1500" s="12">
        <v>46273</v>
      </c>
      <c r="N1500" s="5" t="str">
        <v/>
      </c>
      <c r="O1500" s="5">
        <v>97328</v>
      </c>
      <c r="P1500" s="5">
        <v>12</v>
      </c>
      <c r="Q1500" s="14">
        <v>46275</v>
      </c>
      <c r="R1500" s="15">
        <v>356</v>
      </c>
    </row>
    <row r="1501" spans="2:18" x14ac:dyDescent="0.35">
      <c r="B1501" s="9">
        <v>2005</v>
      </c>
      <c r="C1501" s="9" t="str">
        <v>출고재고</v>
      </c>
      <c r="D1501" s="9" t="str">
        <v/>
      </c>
      <c r="E1501" s="9" t="str">
        <v/>
      </c>
      <c r="F1501" s="9" t="str">
        <v/>
      </c>
      <c r="G1501" s="9" t="str">
        <v/>
      </c>
      <c r="H1501" s="9" t="str">
        <v>RA-04A-2748</v>
      </c>
      <c r="I1501" s="11" t="str">
        <v>RA-04A-2748]ASM ARM SUB (A+) (VN)</v>
      </c>
      <c r="J1501" s="9">
        <v>65</v>
      </c>
      <c r="K1501" s="9" t="str">
        <v/>
      </c>
      <c r="L1501" s="9" t="str">
        <v>T</v>
      </c>
      <c r="M1501" s="12">
        <v>46294</v>
      </c>
      <c r="N1501" s="5" t="str">
        <v/>
      </c>
      <c r="O1501" s="5">
        <v>97329</v>
      </c>
      <c r="P1501" s="5">
        <v>18</v>
      </c>
      <c r="Q1501" s="14">
        <v>46294</v>
      </c>
      <c r="R1501" s="15">
        <v>47</v>
      </c>
    </row>
    <row r="1502" spans="2:18" x14ac:dyDescent="0.35">
      <c r="B1502" s="9">
        <v>1802</v>
      </c>
      <c r="C1502" s="9" t="str">
        <v>출고재고</v>
      </c>
      <c r="D1502" s="9" t="str">
        <v/>
      </c>
      <c r="E1502" s="9" t="str">
        <v/>
      </c>
      <c r="F1502" s="9" t="str">
        <v/>
      </c>
      <c r="G1502" s="9" t="str">
        <v/>
      </c>
      <c r="H1502" s="9" t="str">
        <v>RA-04A-0899</v>
      </c>
      <c r="I1502" s="11" t="str">
        <v>RA-04A-0899]ASM LCD M101NWT2 R1</v>
      </c>
      <c r="J1502" s="9">
        <v>184</v>
      </c>
      <c r="K1502" s="9" t="str">
        <v/>
      </c>
      <c r="L1502" s="9" t="str">
        <v>A16</v>
      </c>
      <c r="M1502" s="12">
        <v>46294</v>
      </c>
      <c r="N1502" s="5" t="str">
        <v/>
      </c>
      <c r="O1502" s="5">
        <v>97329</v>
      </c>
      <c r="P1502" s="5">
        <v>6</v>
      </c>
      <c r="Q1502" s="14">
        <v>46294</v>
      </c>
      <c r="R1502" s="15">
        <v>178</v>
      </c>
    </row>
    <row r="1503" spans="2:18" x14ac:dyDescent="0.35">
      <c r="B1503" s="9">
        <v>1503</v>
      </c>
      <c r="C1503" s="9" t="str">
        <v>출고재고</v>
      </c>
      <c r="D1503" s="9" t="str">
        <v/>
      </c>
      <c r="E1503" s="9" t="str">
        <v/>
      </c>
      <c r="F1503" s="9" t="str">
        <v/>
      </c>
      <c r="G1503" s="9" t="str">
        <v/>
      </c>
      <c r="H1503" s="9" t="str">
        <v>RA-07A-6048</v>
      </c>
      <c r="I1503" s="11" t="str">
        <v>RA-07A-6048]Bd ASSY'-ADET POWER-3D NEW</v>
      </c>
      <c r="J1503" s="9">
        <v>21</v>
      </c>
      <c r="K1503" s="9" t="str">
        <v/>
      </c>
      <c r="L1503" s="9" t="str">
        <v>A1-3</v>
      </c>
      <c r="M1503" s="12">
        <v>46288</v>
      </c>
      <c r="N1503" s="5" t="str">
        <v/>
      </c>
      <c r="O1503" s="5">
        <v>97330</v>
      </c>
      <c r="P1503" s="5">
        <v>20</v>
      </c>
      <c r="Q1503" s="14">
        <v>46280</v>
      </c>
      <c r="R1503" s="15">
        <v>1</v>
      </c>
    </row>
    <row r="1504" spans="2:18" x14ac:dyDescent="0.35">
      <c r="B1504" s="9">
        <v>1435</v>
      </c>
      <c r="C1504" s="9" t="str">
        <v>출고재고</v>
      </c>
      <c r="D1504" s="9" t="str">
        <v/>
      </c>
      <c r="E1504" s="9" t="str">
        <v/>
      </c>
      <c r="F1504" s="9" t="str">
        <v/>
      </c>
      <c r="G1504" s="9" t="str">
        <v/>
      </c>
      <c r="H1504" s="9" t="str">
        <v>RA-06V-0230</v>
      </c>
      <c r="I1504" s="11" t="str">
        <v>RA-06V-0230]BRK FAN SUP</v>
      </c>
      <c r="J1504" s="9">
        <v>93</v>
      </c>
      <c r="K1504" s="9" t="str">
        <v/>
      </c>
      <c r="L1504" s="9" t="str">
        <v>I3-3</v>
      </c>
      <c r="M1504" s="12">
        <v>46283</v>
      </c>
      <c r="N1504" s="5" t="str">
        <v/>
      </c>
      <c r="O1504" s="5">
        <v>97330</v>
      </c>
      <c r="P1504" s="5">
        <v>20</v>
      </c>
      <c r="Q1504" s="14">
        <v>46280</v>
      </c>
      <c r="R1504" s="15">
        <v>73</v>
      </c>
    </row>
    <row r="1505" spans="2:18" x14ac:dyDescent="0.35">
      <c r="B1505" s="9">
        <v>1523</v>
      </c>
      <c r="C1505" s="9" t="str">
        <v>출고재고</v>
      </c>
      <c r="D1505" s="9" t="str">
        <v/>
      </c>
      <c r="E1505" s="9" t="str">
        <v/>
      </c>
      <c r="F1505" s="9" t="str">
        <v/>
      </c>
      <c r="G1505" s="9" t="str">
        <v/>
      </c>
      <c r="H1505" s="9" t="str">
        <v>RA-5-4</v>
      </c>
      <c r="I1505" s="11" t="str">
        <v>RA-5-4]EARTH ROT TO TUBE</v>
      </c>
      <c r="J1505" s="9">
        <v>96</v>
      </c>
      <c r="K1505" s="9" t="str">
        <v/>
      </c>
      <c r="L1505" s="9" t="str">
        <v>G3-2</v>
      </c>
      <c r="M1505" s="12">
        <v>46282</v>
      </c>
      <c r="N1505" s="5" t="str">
        <v/>
      </c>
      <c r="O1505" s="5">
        <v>97330</v>
      </c>
      <c r="P1505" s="5">
        <v>20</v>
      </c>
      <c r="Q1505" s="14">
        <v>46280</v>
      </c>
      <c r="R1505" s="15">
        <v>76</v>
      </c>
    </row>
    <row r="1506" spans="2:18" x14ac:dyDescent="0.35">
      <c r="B1506" s="9">
        <v>648</v>
      </c>
      <c r="C1506" s="9" t="str">
        <v>출고재고</v>
      </c>
      <c r="D1506" s="9" t="str">
        <v/>
      </c>
      <c r="E1506" s="9" t="str">
        <v>기초</v>
      </c>
      <c r="F1506" s="9" t="str">
        <v/>
      </c>
      <c r="G1506" s="9" t="str">
        <v/>
      </c>
      <c r="H1506" s="9" t="str">
        <v>RA-07V-1679</v>
      </c>
      <c r="I1506" s="11" t="str">
        <v>RA-07V-1679]CVR DET PCB (VA)</v>
      </c>
      <c r="J1506" s="9">
        <v>110</v>
      </c>
      <c r="K1506" s="9" t="str">
        <v/>
      </c>
      <c r="L1506" s="9" t="str">
        <v>N1-2</v>
      </c>
      <c r="M1506" s="12">
        <v>46273</v>
      </c>
      <c r="N1506" s="5" t="str">
        <v/>
      </c>
      <c r="O1506" s="5">
        <v>97330</v>
      </c>
      <c r="P1506" s="5">
        <v>20</v>
      </c>
      <c r="Q1506" s="14">
        <v>46280</v>
      </c>
      <c r="R1506" s="15">
        <v>90</v>
      </c>
    </row>
    <row r="1507" spans="2:18" x14ac:dyDescent="0.35">
      <c r="B1507" s="9">
        <v>1439</v>
      </c>
      <c r="C1507" s="9" t="str">
        <v>출고재고</v>
      </c>
      <c r="D1507" s="9" t="str">
        <v/>
      </c>
      <c r="E1507" s="9" t="str">
        <v/>
      </c>
      <c r="F1507" s="9" t="str">
        <v/>
      </c>
      <c r="G1507" s="9" t="str">
        <v/>
      </c>
      <c r="H1507" s="9" t="str">
        <v>RA-06M-0520</v>
      </c>
      <c r="I1507" s="11" t="str">
        <v>RA-06M-0520]HEATSINK</v>
      </c>
      <c r="J1507" s="9">
        <v>110</v>
      </c>
      <c r="K1507" s="9" t="str">
        <v/>
      </c>
      <c r="L1507" s="9" t="str">
        <v>M1</v>
      </c>
      <c r="M1507" s="12">
        <v>46283</v>
      </c>
      <c r="N1507" s="5" t="str">
        <v/>
      </c>
      <c r="O1507" s="5">
        <v>97330</v>
      </c>
      <c r="P1507" s="5">
        <v>20</v>
      </c>
      <c r="Q1507" s="14">
        <v>46280</v>
      </c>
      <c r="R1507" s="15">
        <v>90</v>
      </c>
    </row>
    <row r="1508" spans="2:18" x14ac:dyDescent="0.35">
      <c r="B1508" s="9">
        <v>639</v>
      </c>
      <c r="C1508" s="9" t="str">
        <v>출고재고</v>
      </c>
      <c r="D1508" s="9" t="str">
        <v/>
      </c>
      <c r="E1508" s="9" t="str">
        <v>기초</v>
      </c>
      <c r="F1508" s="9" t="str">
        <v/>
      </c>
      <c r="G1508" s="9" t="str">
        <v/>
      </c>
      <c r="H1508" s="9" t="str">
        <v>RA-06V-1687</v>
      </c>
      <c r="I1508" s="11" t="str">
        <v>RA-06V-1687]BRK XTRUSION PB COL Bas C(VA</v>
      </c>
      <c r="J1508" s="9">
        <v>115</v>
      </c>
      <c r="K1508" s="9" t="str">
        <v/>
      </c>
      <c r="L1508" s="9" t="str">
        <v>H3-4</v>
      </c>
      <c r="M1508" s="12">
        <v>46273</v>
      </c>
      <c r="N1508" s="5" t="str">
        <v/>
      </c>
      <c r="O1508" s="5">
        <v>97330</v>
      </c>
      <c r="P1508" s="5">
        <v>20</v>
      </c>
      <c r="Q1508" s="14">
        <v>46280</v>
      </c>
      <c r="R1508" s="15">
        <v>95</v>
      </c>
    </row>
    <row r="1509" spans="2:18" x14ac:dyDescent="0.35">
      <c r="B1509" s="9">
        <v>1436</v>
      </c>
      <c r="C1509" s="9" t="str">
        <v>출고재고</v>
      </c>
      <c r="D1509" s="9" t="str">
        <v/>
      </c>
      <c r="E1509" s="9" t="str">
        <v/>
      </c>
      <c r="F1509" s="9" t="str">
        <v/>
      </c>
      <c r="G1509" s="9" t="str">
        <v/>
      </c>
      <c r="H1509" s="9" t="str">
        <v>RA-06A-1063</v>
      </c>
      <c r="I1509" s="11" t="str">
        <v>RA-06A-1063]ASM TUBE TNK SUP</v>
      </c>
      <c r="J1509" s="9">
        <v>122</v>
      </c>
      <c r="K1509" s="9" t="str">
        <v/>
      </c>
      <c r="L1509" s="9" t="str">
        <v>O1</v>
      </c>
      <c r="M1509" s="12">
        <v>46283</v>
      </c>
      <c r="N1509" s="5" t="str">
        <v/>
      </c>
      <c r="O1509" s="5">
        <v>97330</v>
      </c>
      <c r="P1509" s="5">
        <v>20</v>
      </c>
      <c r="Q1509" s="14">
        <v>46280</v>
      </c>
      <c r="R1509" s="15">
        <v>102</v>
      </c>
    </row>
    <row r="1510" spans="2:18" x14ac:dyDescent="0.35">
      <c r="B1510" s="9">
        <v>1437</v>
      </c>
      <c r="C1510" s="9" t="str">
        <v>출고재고</v>
      </c>
      <c r="D1510" s="9" t="str">
        <v/>
      </c>
      <c r="E1510" s="9" t="str">
        <v/>
      </c>
      <c r="F1510" s="9" t="str">
        <v/>
      </c>
      <c r="G1510" s="9" t="str">
        <v/>
      </c>
      <c r="H1510" s="9" t="str">
        <v>RA-03S-5181A</v>
      </c>
      <c r="I1510" s="11" t="str">
        <v>RA-03S-5181A]A2K_LBM01-970</v>
      </c>
      <c r="J1510" s="9">
        <v>129</v>
      </c>
      <c r="K1510" s="9" t="str">
        <v/>
      </c>
      <c r="L1510" s="9" t="str">
        <v>H2-1</v>
      </c>
      <c r="M1510" s="12">
        <v>46283</v>
      </c>
      <c r="N1510" s="5" t="str">
        <v/>
      </c>
      <c r="O1510" s="5">
        <v>97330</v>
      </c>
      <c r="P1510" s="5">
        <v>20</v>
      </c>
      <c r="Q1510" s="14">
        <v>46280</v>
      </c>
      <c r="R1510" s="15">
        <v>109</v>
      </c>
    </row>
    <row r="1511" spans="2:18" x14ac:dyDescent="0.35">
      <c r="B1511" s="9">
        <v>652</v>
      </c>
      <c r="C1511" s="9" t="str">
        <v>출고재고</v>
      </c>
      <c r="D1511" s="9" t="str">
        <v/>
      </c>
      <c r="E1511" s="9" t="str">
        <v>기초</v>
      </c>
      <c r="F1511" s="9" t="str">
        <v/>
      </c>
      <c r="G1511" s="9" t="str">
        <v/>
      </c>
      <c r="H1511" s="9" t="str">
        <v>RA-07A-2718</v>
      </c>
      <c r="I1511" s="11" t="str">
        <v>RA-07A-2718]ASM PLT ADJUST DET (VA)</v>
      </c>
      <c r="J1511" s="9">
        <v>139</v>
      </c>
      <c r="K1511" s="9" t="str">
        <v/>
      </c>
      <c r="L1511" s="9" t="str">
        <v>T</v>
      </c>
      <c r="M1511" s="12">
        <v>46273</v>
      </c>
      <c r="N1511" s="5" t="str">
        <v/>
      </c>
      <c r="O1511" s="5">
        <v>97330</v>
      </c>
      <c r="P1511" s="5">
        <v>20</v>
      </c>
      <c r="Q1511" s="14">
        <v>46280</v>
      </c>
      <c r="R1511" s="15">
        <v>119</v>
      </c>
    </row>
    <row r="1512" spans="2:18" x14ac:dyDescent="0.35">
      <c r="B1512" s="9">
        <v>1438</v>
      </c>
      <c r="C1512" s="9" t="str">
        <v>출고재고</v>
      </c>
      <c r="D1512" s="9" t="str">
        <v/>
      </c>
      <c r="E1512" s="9" t="str">
        <v/>
      </c>
      <c r="F1512" s="9" t="str">
        <v/>
      </c>
      <c r="G1512" s="9" t="str">
        <v/>
      </c>
      <c r="H1512" s="9" t="str">
        <v>RA-06V-1678</v>
      </c>
      <c r="I1512" s="11" t="str">
        <v>RA-06V-1678]BRK CANINE TOOTH LASER BEAM</v>
      </c>
      <c r="J1512" s="9">
        <v>141</v>
      </c>
      <c r="K1512" s="9" t="str">
        <v/>
      </c>
      <c r="L1512" s="9" t="str">
        <v>H3-4</v>
      </c>
      <c r="M1512" s="12">
        <v>46283</v>
      </c>
      <c r="N1512" s="5" t="str">
        <v/>
      </c>
      <c r="O1512" s="5">
        <v>97330</v>
      </c>
      <c r="P1512" s="5">
        <v>20</v>
      </c>
      <c r="Q1512" s="14">
        <v>46280</v>
      </c>
      <c r="R1512" s="15">
        <v>121</v>
      </c>
    </row>
    <row r="1513" spans="2:18" x14ac:dyDescent="0.35">
      <c r="B1513" s="9">
        <v>645</v>
      </c>
      <c r="C1513" s="9" t="str">
        <v>출고재고</v>
      </c>
      <c r="D1513" s="9" t="str">
        <v/>
      </c>
      <c r="E1513" s="9" t="str">
        <v>기초</v>
      </c>
      <c r="F1513" s="9" t="str">
        <v/>
      </c>
      <c r="G1513" s="9" t="str">
        <v/>
      </c>
      <c r="H1513" s="9" t="str">
        <v>RA-06A-1510</v>
      </c>
      <c r="I1513" s="11" t="str">
        <v>RA-06A-1510]ASM MULTI COL MDL</v>
      </c>
      <c r="J1513" s="9">
        <v>144</v>
      </c>
      <c r="K1513" s="9" t="str">
        <v/>
      </c>
      <c r="L1513" s="9" t="str">
        <v>I3-1</v>
      </c>
      <c r="M1513" s="12">
        <v>46273</v>
      </c>
      <c r="N1513" s="5" t="str">
        <v/>
      </c>
      <c r="O1513" s="5">
        <v>97330</v>
      </c>
      <c r="P1513" s="5">
        <v>20</v>
      </c>
      <c r="Q1513" s="14">
        <v>46280</v>
      </c>
      <c r="R1513" s="15">
        <v>124</v>
      </c>
    </row>
    <row r="1514" spans="2:18" x14ac:dyDescent="0.35">
      <c r="B1514" s="9">
        <v>1440</v>
      </c>
      <c r="C1514" s="9" t="str">
        <v>출고재고</v>
      </c>
      <c r="D1514" s="9" t="str">
        <v/>
      </c>
      <c r="E1514" s="9" t="str">
        <v/>
      </c>
      <c r="F1514" s="9" t="str">
        <v/>
      </c>
      <c r="G1514" s="9" t="str">
        <v/>
      </c>
      <c r="H1514" s="9" t="str">
        <v>RA-06A-2747</v>
      </c>
      <c r="I1514" s="11" t="str">
        <v>RA-06A-2747]ASM EXTRUSION COL (VN)</v>
      </c>
      <c r="J1514" s="9">
        <v>153</v>
      </c>
      <c r="K1514" s="9" t="str">
        <v/>
      </c>
      <c r="L1514" s="9" t="str">
        <v>O1</v>
      </c>
      <c r="M1514" s="12">
        <v>46283</v>
      </c>
      <c r="N1514" s="5" t="str">
        <v/>
      </c>
      <c r="O1514" s="5">
        <v>97330</v>
      </c>
      <c r="P1514" s="5">
        <v>20</v>
      </c>
      <c r="Q1514" s="14">
        <v>46280</v>
      </c>
      <c r="R1514" s="15">
        <v>133</v>
      </c>
    </row>
    <row r="1515" spans="2:18" x14ac:dyDescent="0.35">
      <c r="B1515" s="9">
        <v>1442</v>
      </c>
      <c r="C1515" s="9" t="str">
        <v>출고재고</v>
      </c>
      <c r="D1515" s="9" t="str">
        <v/>
      </c>
      <c r="E1515" s="9" t="str">
        <v/>
      </c>
      <c r="F1515" s="9" t="str">
        <v/>
      </c>
      <c r="G1515" s="9" t="str">
        <v/>
      </c>
      <c r="H1515" s="9" t="str">
        <v>RA-06V-0793</v>
      </c>
      <c r="I1515" s="11" t="str">
        <v>RA-06V-0793]BRK TUBE FIX A</v>
      </c>
      <c r="J1515" s="9">
        <v>169</v>
      </c>
      <c r="K1515" s="9" t="str">
        <v/>
      </c>
      <c r="L1515" s="9" t="str">
        <v>H3-3</v>
      </c>
      <c r="M1515" s="12">
        <v>46283</v>
      </c>
      <c r="N1515" s="5" t="str">
        <v/>
      </c>
      <c r="O1515" s="5">
        <v>97330</v>
      </c>
      <c r="P1515" s="5">
        <v>20</v>
      </c>
      <c r="Q1515" s="14">
        <v>46280</v>
      </c>
      <c r="R1515" s="15">
        <v>149</v>
      </c>
    </row>
    <row r="1516" spans="2:18" x14ac:dyDescent="0.35">
      <c r="B1516" s="9">
        <v>1443</v>
      </c>
      <c r="C1516" s="9" t="str">
        <v>출고재고</v>
      </c>
      <c r="D1516" s="9" t="str">
        <v/>
      </c>
      <c r="E1516" s="9" t="str">
        <v/>
      </c>
      <c r="F1516" s="9" t="str">
        <v/>
      </c>
      <c r="G1516" s="9" t="str">
        <v/>
      </c>
      <c r="H1516" s="9" t="str">
        <v>RA-06V-1384</v>
      </c>
      <c r="I1516" s="11" t="str">
        <v>RA-06V-1384]BRK XTRUSION PB COL SC</v>
      </c>
      <c r="J1516" s="9">
        <v>178</v>
      </c>
      <c r="K1516" s="9" t="str">
        <v/>
      </c>
      <c r="L1516" s="9" t="str">
        <v>H4-4</v>
      </c>
      <c r="M1516" s="12">
        <v>46283</v>
      </c>
      <c r="N1516" s="5" t="str">
        <v/>
      </c>
      <c r="O1516" s="5">
        <v>97330</v>
      </c>
      <c r="P1516" s="5">
        <v>20</v>
      </c>
      <c r="Q1516" s="14">
        <v>46280</v>
      </c>
      <c r="R1516" s="15">
        <v>158</v>
      </c>
    </row>
    <row r="1517" spans="2:18" x14ac:dyDescent="0.35">
      <c r="B1517" s="9">
        <v>1561</v>
      </c>
      <c r="C1517" s="9" t="str">
        <v>출고재고</v>
      </c>
      <c r="D1517" s="9" t="str">
        <v/>
      </c>
      <c r="E1517" s="9" t="str">
        <v/>
      </c>
      <c r="F1517" s="9" t="str">
        <v/>
      </c>
      <c r="G1517" s="9" t="str">
        <v/>
      </c>
      <c r="H1517" s="9" t="str">
        <v>RA-3-3A</v>
      </c>
      <c r="I1517" s="11" t="str">
        <v>RA-3-3A]DCM CONTROL-A</v>
      </c>
      <c r="J1517" s="9">
        <v>207</v>
      </c>
      <c r="K1517" s="9" t="str">
        <v/>
      </c>
      <c r="L1517" s="9" t="str">
        <v>G4</v>
      </c>
      <c r="M1517" s="12">
        <v>46282</v>
      </c>
      <c r="N1517" s="5" t="str">
        <v/>
      </c>
      <c r="O1517" s="5">
        <v>97330</v>
      </c>
      <c r="P1517" s="5">
        <v>20</v>
      </c>
      <c r="Q1517" s="14">
        <v>46280</v>
      </c>
      <c r="R1517" s="15">
        <v>187</v>
      </c>
    </row>
    <row r="1518" spans="2:18" x14ac:dyDescent="0.35">
      <c r="B1518" s="9">
        <v>1444</v>
      </c>
      <c r="C1518" s="9" t="str">
        <v>출고재고</v>
      </c>
      <c r="D1518" s="9" t="str">
        <v/>
      </c>
      <c r="E1518" s="9" t="str">
        <v/>
      </c>
      <c r="F1518" s="9" t="str">
        <v/>
      </c>
      <c r="G1518" s="9" t="str">
        <v/>
      </c>
      <c r="H1518" s="9" t="str">
        <v>RA-06V-0795</v>
      </c>
      <c r="I1518" s="11" t="str">
        <v>RA-06V-0795]BRK TUBE FIX C</v>
      </c>
      <c r="J1518" s="9">
        <v>217</v>
      </c>
      <c r="K1518" s="9" t="str">
        <v/>
      </c>
      <c r="L1518" s="9" t="str">
        <v>H3-3</v>
      </c>
      <c r="M1518" s="12">
        <v>46283</v>
      </c>
      <c r="N1518" s="5" t="str">
        <v/>
      </c>
      <c r="O1518" s="5">
        <v>97330</v>
      </c>
      <c r="P1518" s="5">
        <v>20</v>
      </c>
      <c r="Q1518" s="14">
        <v>46280</v>
      </c>
      <c r="R1518" s="15">
        <v>197</v>
      </c>
    </row>
    <row r="1519" spans="2:18" x14ac:dyDescent="0.35">
      <c r="B1519" s="9">
        <v>642</v>
      </c>
      <c r="C1519" s="9" t="str">
        <v>출고재고</v>
      </c>
      <c r="D1519" s="9" t="str">
        <v/>
      </c>
      <c r="E1519" s="9" t="str">
        <v>기초</v>
      </c>
      <c r="F1519" s="9" t="str">
        <v/>
      </c>
      <c r="G1519" s="9" t="str">
        <v/>
      </c>
      <c r="H1519" s="9" t="str">
        <v>RA-06M-1688</v>
      </c>
      <c r="I1519" s="11" t="str">
        <v>RA-06M-1688]FILTER CU 0.2 (VA)</v>
      </c>
      <c r="J1519" s="9">
        <v>227</v>
      </c>
      <c r="K1519" s="9" t="str">
        <v/>
      </c>
      <c r="L1519" s="9" t="str">
        <v>H4-1</v>
      </c>
      <c r="M1519" s="12">
        <v>46273</v>
      </c>
      <c r="N1519" s="5" t="str">
        <v/>
      </c>
      <c r="O1519" s="5">
        <v>97330</v>
      </c>
      <c r="P1519" s="5">
        <v>20</v>
      </c>
      <c r="Q1519" s="14">
        <v>46280</v>
      </c>
      <c r="R1519" s="15">
        <v>207</v>
      </c>
    </row>
    <row r="1520" spans="2:18" x14ac:dyDescent="0.35">
      <c r="B1520" s="9">
        <v>634</v>
      </c>
      <c r="C1520" s="9" t="str">
        <v>출고재고</v>
      </c>
      <c r="D1520" s="9" t="str">
        <v/>
      </c>
      <c r="E1520" s="9" t="str">
        <v>기초</v>
      </c>
      <c r="F1520" s="9" t="str">
        <v/>
      </c>
      <c r="G1520" s="9" t="str">
        <v/>
      </c>
      <c r="H1520" s="9" t="str">
        <v>RA-06A-2744</v>
      </c>
      <c r="I1520" s="11" t="str">
        <v>RA-06A-2744]SHAFT BRASS COL (3D) (VN)</v>
      </c>
      <c r="J1520" s="9">
        <v>252</v>
      </c>
      <c r="K1520" s="9" t="str">
        <v/>
      </c>
      <c r="L1520" s="9" t="str">
        <v>H1</v>
      </c>
      <c r="M1520" s="12">
        <v>46273</v>
      </c>
      <c r="N1520" s="5" t="str">
        <v/>
      </c>
      <c r="O1520" s="5">
        <v>97330</v>
      </c>
      <c r="P1520" s="5">
        <v>20</v>
      </c>
      <c r="Q1520" s="14">
        <v>46280</v>
      </c>
      <c r="R1520" s="15">
        <v>232</v>
      </c>
    </row>
    <row r="1521" spans="2:18" x14ac:dyDescent="0.35">
      <c r="B1521" s="9">
        <v>1445</v>
      </c>
      <c r="C1521" s="9" t="str">
        <v>출고재고</v>
      </c>
      <c r="D1521" s="9" t="str">
        <v/>
      </c>
      <c r="E1521" s="9" t="str">
        <v/>
      </c>
      <c r="F1521" s="9" t="str">
        <v/>
      </c>
      <c r="G1521" s="9" t="str">
        <v/>
      </c>
      <c r="H1521" s="9" t="str">
        <v>RA-06V-0794</v>
      </c>
      <c r="I1521" s="11" t="str">
        <v>RA-06V-0794]BRK TUBE FIX B</v>
      </c>
      <c r="J1521" s="9">
        <v>312</v>
      </c>
      <c r="K1521" s="9" t="str">
        <v/>
      </c>
      <c r="L1521" s="9" t="str">
        <v>H3-3</v>
      </c>
      <c r="M1521" s="12">
        <v>46283</v>
      </c>
      <c r="N1521" s="5" t="str">
        <v/>
      </c>
      <c r="O1521" s="5">
        <v>97330</v>
      </c>
      <c r="P1521" s="5">
        <v>20</v>
      </c>
      <c r="Q1521" s="14">
        <v>46280</v>
      </c>
      <c r="R1521" s="15">
        <v>292</v>
      </c>
    </row>
    <row r="1522" spans="2:18" x14ac:dyDescent="0.35">
      <c r="B1522" s="9">
        <v>1446</v>
      </c>
      <c r="C1522" s="9" t="str">
        <v>출고재고</v>
      </c>
      <c r="D1522" s="9" t="str">
        <v/>
      </c>
      <c r="E1522" s="9" t="str">
        <v/>
      </c>
      <c r="F1522" s="9" t="str">
        <v/>
      </c>
      <c r="G1522" s="9" t="str">
        <v/>
      </c>
      <c r="H1522" s="9" t="str">
        <v>RA-06M-0220</v>
      </c>
      <c r="I1522" s="11" t="str">
        <v>RA-06M-0220]BLOCK CANINE TOOTH LASER B</v>
      </c>
      <c r="J1522" s="9">
        <v>379</v>
      </c>
      <c r="K1522" s="9" t="str">
        <v/>
      </c>
      <c r="L1522" s="9" t="str">
        <v>H4-1</v>
      </c>
      <c r="M1522" s="12">
        <v>46283</v>
      </c>
      <c r="N1522" s="5" t="str">
        <v/>
      </c>
      <c r="O1522" s="5">
        <v>97330</v>
      </c>
      <c r="P1522" s="5">
        <v>20</v>
      </c>
      <c r="Q1522" s="14">
        <v>46280</v>
      </c>
      <c r="R1522" s="15">
        <v>359</v>
      </c>
    </row>
    <row r="1523" spans="2:18" x14ac:dyDescent="0.35">
      <c r="B1523" s="9">
        <v>1538</v>
      </c>
      <c r="C1523" s="9" t="str">
        <v>출고재고</v>
      </c>
      <c r="D1523" s="9" t="str">
        <v/>
      </c>
      <c r="E1523" s="9" t="str">
        <v/>
      </c>
      <c r="F1523" s="9" t="str">
        <v/>
      </c>
      <c r="G1523" s="9" t="str">
        <v/>
      </c>
      <c r="H1523" s="9" t="str">
        <v>RA-1-8B</v>
      </c>
      <c r="I1523" s="11" t="str">
        <v>RA-1-8B]AC POWER PFC CONNECT</v>
      </c>
      <c r="J1523" s="9">
        <v>417</v>
      </c>
      <c r="K1523" s="9" t="str">
        <v/>
      </c>
      <c r="L1523" s="9" t="str">
        <v>G3-1</v>
      </c>
      <c r="M1523" s="12">
        <v>46282</v>
      </c>
      <c r="N1523" s="5" t="str">
        <v/>
      </c>
      <c r="O1523" s="5">
        <v>97330</v>
      </c>
      <c r="P1523" s="5">
        <v>20</v>
      </c>
      <c r="Q1523" s="14">
        <v>46280</v>
      </c>
      <c r="R1523" s="15">
        <v>397</v>
      </c>
    </row>
    <row r="1524" spans="2:18" x14ac:dyDescent="0.35">
      <c r="B1524" s="9">
        <v>1541</v>
      </c>
      <c r="C1524" s="9" t="str">
        <v>출고재고</v>
      </c>
      <c r="D1524" s="9" t="str">
        <v/>
      </c>
      <c r="E1524" s="9" t="str">
        <v/>
      </c>
      <c r="F1524" s="9" t="str">
        <v/>
      </c>
      <c r="G1524" s="9" t="str">
        <v/>
      </c>
      <c r="H1524" s="9" t="str">
        <v>RA-5-5</v>
      </c>
      <c r="I1524" s="11" t="str">
        <v>RA-5-5]EARTH ROT TO PFC</v>
      </c>
      <c r="J1524" s="9">
        <v>551</v>
      </c>
      <c r="K1524" s="9" t="str">
        <v/>
      </c>
      <c r="L1524" s="9" t="str">
        <v>G3-2</v>
      </c>
      <c r="M1524" s="12">
        <v>46282</v>
      </c>
      <c r="N1524" s="5" t="str">
        <v/>
      </c>
      <c r="O1524" s="5">
        <v>97330</v>
      </c>
      <c r="P1524" s="5">
        <v>20</v>
      </c>
      <c r="Q1524" s="14">
        <v>46280</v>
      </c>
      <c r="R1524" s="15">
        <v>531</v>
      </c>
    </row>
    <row r="1525" spans="2:18" x14ac:dyDescent="0.35">
      <c r="B1525" s="9">
        <v>1450</v>
      </c>
      <c r="C1525" s="9" t="str">
        <v>출고재고</v>
      </c>
      <c r="D1525" s="9" t="str">
        <v/>
      </c>
      <c r="E1525" s="9" t="str">
        <v/>
      </c>
      <c r="F1525" s="9" t="str">
        <v/>
      </c>
      <c r="G1525" s="9" t="str">
        <v/>
      </c>
      <c r="H1525" s="9" t="str">
        <v>RA-10-4</v>
      </c>
      <c r="I1525" s="11" t="str">
        <v>RA-10-4]FAN ASS'Y</v>
      </c>
      <c r="J1525" s="9">
        <v>588</v>
      </c>
      <c r="K1525" s="9" t="str">
        <v/>
      </c>
      <c r="L1525" s="9" t="str">
        <v>G4</v>
      </c>
      <c r="M1525" s="12">
        <v>46283</v>
      </c>
      <c r="N1525" s="5" t="str">
        <v/>
      </c>
      <c r="O1525" s="5">
        <v>97330</v>
      </c>
      <c r="P1525" s="5">
        <v>20</v>
      </c>
      <c r="Q1525" s="14">
        <v>46280</v>
      </c>
      <c r="R1525" s="15">
        <v>568</v>
      </c>
    </row>
    <row r="1526" spans="2:18" x14ac:dyDescent="0.35">
      <c r="B1526" s="9">
        <v>640</v>
      </c>
      <c r="C1526" s="9" t="str">
        <v>출고재고</v>
      </c>
      <c r="D1526" s="9" t="str">
        <v/>
      </c>
      <c r="E1526" s="9" t="str">
        <v>기초</v>
      </c>
      <c r="F1526" s="9" t="str">
        <v/>
      </c>
      <c r="G1526" s="9" t="str">
        <v/>
      </c>
      <c r="H1526" s="9" t="str">
        <v>RA-06V-1517</v>
      </c>
      <c r="I1526" s="11" t="str">
        <v>RA-06V-1517]BRACKER COL PHOt SNSR</v>
      </c>
      <c r="J1526" s="9">
        <v>685</v>
      </c>
      <c r="K1526" s="9" t="str">
        <v/>
      </c>
      <c r="L1526" s="9" t="str">
        <v>H3-4</v>
      </c>
      <c r="M1526" s="12">
        <v>46273</v>
      </c>
      <c r="N1526" s="5" t="str">
        <v/>
      </c>
      <c r="O1526" s="5">
        <v>97330</v>
      </c>
      <c r="P1526" s="5">
        <v>20</v>
      </c>
      <c r="Q1526" s="14">
        <v>46280</v>
      </c>
      <c r="R1526" s="15">
        <v>665</v>
      </c>
    </row>
    <row r="1527" spans="2:18" x14ac:dyDescent="0.35">
      <c r="B1527" s="9">
        <v>1452</v>
      </c>
      <c r="C1527" s="9" t="str">
        <v>출고재고</v>
      </c>
      <c r="D1527" s="9" t="str">
        <v/>
      </c>
      <c r="E1527" s="9" t="str">
        <v/>
      </c>
      <c r="F1527" s="9" t="str">
        <v/>
      </c>
      <c r="G1527" s="9" t="str">
        <v/>
      </c>
      <c r="H1527" s="9" t="str">
        <v>RA-6-3</v>
      </c>
      <c r="I1527" s="11" t="str">
        <v>RA-6-3]SUB MOT TUBE</v>
      </c>
      <c r="J1527" s="9">
        <v>915</v>
      </c>
      <c r="K1527" s="9" t="str">
        <v/>
      </c>
      <c r="L1527" s="9" t="str">
        <v>G4</v>
      </c>
      <c r="M1527" s="12">
        <v>46283</v>
      </c>
      <c r="N1527" s="5" t="str">
        <v/>
      </c>
      <c r="O1527" s="5">
        <v>97330</v>
      </c>
      <c r="P1527" s="5">
        <v>20</v>
      </c>
      <c r="Q1527" s="14">
        <v>46280</v>
      </c>
      <c r="R1527" s="15">
        <v>895</v>
      </c>
    </row>
    <row r="1528" spans="2:18" x14ac:dyDescent="0.35">
      <c r="B1528" s="9">
        <v>1453</v>
      </c>
      <c r="C1528" s="9" t="str">
        <v>출고재고</v>
      </c>
      <c r="D1528" s="9" t="str">
        <v/>
      </c>
      <c r="E1528" s="9" t="str">
        <v/>
      </c>
      <c r="F1528" s="9" t="str">
        <v/>
      </c>
      <c r="G1528" s="9" t="str">
        <v/>
      </c>
      <c r="H1528" s="9" t="str">
        <v>RA-06T-0296</v>
      </c>
      <c r="I1528" s="11" t="str">
        <v>RA-06T-0296]CAS TUBE TNK FAN</v>
      </c>
      <c r="J1528" s="9">
        <v>945</v>
      </c>
      <c r="K1528" s="9" t="str">
        <v/>
      </c>
      <c r="L1528" s="9" t="str">
        <v>S</v>
      </c>
      <c r="M1528" s="12">
        <v>46283</v>
      </c>
      <c r="N1528" s="5" t="str">
        <v/>
      </c>
      <c r="O1528" s="5">
        <v>97330</v>
      </c>
      <c r="P1528" s="5">
        <v>20</v>
      </c>
      <c r="Q1528" s="14">
        <v>46280</v>
      </c>
      <c r="R1528" s="15">
        <v>925</v>
      </c>
    </row>
    <row r="1529" spans="2:18" x14ac:dyDescent="0.35">
      <c r="B1529" s="9">
        <v>1545</v>
      </c>
      <c r="C1529" s="9" t="str">
        <v>출고재고</v>
      </c>
      <c r="D1529" s="9" t="str">
        <v/>
      </c>
      <c r="E1529" s="9" t="str">
        <v/>
      </c>
      <c r="F1529" s="9" t="str">
        <v/>
      </c>
      <c r="G1529" s="9" t="str">
        <v/>
      </c>
      <c r="H1529" s="9" t="str">
        <v>RA-8-4</v>
      </c>
      <c r="I1529" s="11" t="str">
        <v>RA-8-4]AC POWER CEPH</v>
      </c>
      <c r="J1529" s="9">
        <v>8</v>
      </c>
      <c r="K1529" s="9" t="str">
        <v/>
      </c>
      <c r="L1529" s="9" t="str">
        <v>G4</v>
      </c>
      <c r="M1529" s="12">
        <v>46282</v>
      </c>
      <c r="N1529" s="5" t="str">
        <v/>
      </c>
      <c r="O1529" s="5">
        <v>97331</v>
      </c>
      <c r="P1529" s="5">
        <v>20</v>
      </c>
      <c r="Q1529" s="14">
        <v>46280</v>
      </c>
      <c r="R1529" s="15">
        <v>-12</v>
      </c>
    </row>
    <row r="1530" spans="2:18" x14ac:dyDescent="0.35">
      <c r="B1530" s="9">
        <v>1546</v>
      </c>
      <c r="C1530" s="9" t="str">
        <v>출고재고</v>
      </c>
      <c r="D1530" s="9" t="str">
        <v/>
      </c>
      <c r="E1530" s="9" t="str">
        <v/>
      </c>
      <c r="F1530" s="9" t="str">
        <v/>
      </c>
      <c r="G1530" s="9" t="str">
        <v/>
      </c>
      <c r="H1530" s="9" t="str">
        <v>RA-05V-2654</v>
      </c>
      <c r="I1530" s="11" t="str">
        <v>RA-05V-2654]BRK CAS ROT BOT</v>
      </c>
      <c r="J1530" s="9">
        <v>19</v>
      </c>
      <c r="K1530" s="9" t="str">
        <v/>
      </c>
      <c r="L1530" s="9" t="str">
        <v>J4-2</v>
      </c>
      <c r="M1530" s="12">
        <v>46282</v>
      </c>
      <c r="N1530" s="5" t="str">
        <v/>
      </c>
      <c r="O1530" s="5">
        <v>97331</v>
      </c>
      <c r="P1530" s="5">
        <v>19</v>
      </c>
      <c r="Q1530" s="14">
        <v>46280</v>
      </c>
      <c r="R1530" s="15">
        <v>0</v>
      </c>
    </row>
    <row r="1531" spans="2:18" x14ac:dyDescent="0.35">
      <c r="B1531" s="9">
        <v>1547</v>
      </c>
      <c r="C1531" s="9" t="str">
        <v>출고재고</v>
      </c>
      <c r="D1531" s="9" t="str">
        <v/>
      </c>
      <c r="E1531" s="9" t="str">
        <v/>
      </c>
      <c r="F1531" s="9" t="str">
        <v/>
      </c>
      <c r="G1531" s="9" t="str">
        <v/>
      </c>
      <c r="H1531" s="9" t="str">
        <v>RA-04V-1109</v>
      </c>
      <c r="I1531" s="11" t="str">
        <v>RA-04V-1109]BRK ARM RIGID L</v>
      </c>
      <c r="J1531" s="9">
        <v>30</v>
      </c>
      <c r="K1531" s="9" t="str">
        <v/>
      </c>
      <c r="L1531" s="9" t="str">
        <v>B1-6</v>
      </c>
      <c r="M1531" s="12">
        <v>46282</v>
      </c>
      <c r="N1531" s="5" t="str">
        <v/>
      </c>
      <c r="O1531" s="5">
        <v>97331</v>
      </c>
      <c r="P1531" s="5">
        <v>20</v>
      </c>
      <c r="Q1531" s="14">
        <v>46280</v>
      </c>
      <c r="R1531" s="15">
        <v>10</v>
      </c>
    </row>
    <row r="1532" spans="2:18" x14ac:dyDescent="0.35">
      <c r="B1532" s="9">
        <v>1548</v>
      </c>
      <c r="C1532" s="9" t="str">
        <v>출고재고</v>
      </c>
      <c r="D1532" s="9" t="str">
        <v/>
      </c>
      <c r="E1532" s="9" t="str">
        <v/>
      </c>
      <c r="F1532" s="9" t="str">
        <v/>
      </c>
      <c r="G1532" s="9" t="str">
        <v/>
      </c>
      <c r="H1532" s="9" t="str">
        <v>RA-04V-1108</v>
      </c>
      <c r="I1532" s="11" t="str">
        <v>RA-04V-1108]BRK ARM RIGID R</v>
      </c>
      <c r="J1532" s="9">
        <v>30</v>
      </c>
      <c r="K1532" s="9" t="str">
        <v/>
      </c>
      <c r="L1532" s="9" t="str">
        <v>B1-6</v>
      </c>
      <c r="M1532" s="12">
        <v>46282</v>
      </c>
      <c r="N1532" s="5" t="str">
        <v/>
      </c>
      <c r="O1532" s="5">
        <v>97331</v>
      </c>
      <c r="P1532" s="5">
        <v>20</v>
      </c>
      <c r="Q1532" s="14">
        <v>46280</v>
      </c>
      <c r="R1532" s="15">
        <v>10</v>
      </c>
    </row>
    <row r="1533" spans="2:18" x14ac:dyDescent="0.35">
      <c r="B1533" s="9">
        <v>1168</v>
      </c>
      <c r="C1533" s="9" t="str">
        <v>출고재고</v>
      </c>
      <c r="D1533" s="9" t="str">
        <v/>
      </c>
      <c r="E1533" s="9" t="str">
        <v/>
      </c>
      <c r="F1533" s="9" t="str">
        <v/>
      </c>
      <c r="G1533" s="9" t="str">
        <v/>
      </c>
      <c r="H1533" s="9" t="str">
        <v>RA-7-13</v>
      </c>
      <c r="I1533" s="11" t="str">
        <v>RA-7-13]ADET POWER to SUB(NEW)</v>
      </c>
      <c r="J1533" s="9">
        <v>31</v>
      </c>
      <c r="K1533" s="9" t="str">
        <v/>
      </c>
      <c r="L1533" s="9" t="str">
        <v>G1-2</v>
      </c>
      <c r="M1533" s="12">
        <v>46280</v>
      </c>
      <c r="N1533" s="5" t="str">
        <v/>
      </c>
      <c r="O1533" s="5">
        <v>97331</v>
      </c>
      <c r="P1533" s="5">
        <v>20</v>
      </c>
      <c r="Q1533" s="14">
        <v>46280</v>
      </c>
      <c r="R1533" s="15">
        <v>11</v>
      </c>
    </row>
    <row r="1534" spans="2:18" x14ac:dyDescent="0.35">
      <c r="B1534" s="9">
        <v>1630</v>
      </c>
      <c r="C1534" s="9" t="str">
        <v>출고재고</v>
      </c>
      <c r="D1534" s="9" t="str">
        <v/>
      </c>
      <c r="E1534" s="9" t="str">
        <v>입고</v>
      </c>
      <c r="F1534" s="9" t="str">
        <v>MTS</v>
      </c>
      <c r="G1534" s="9" t="str">
        <v>유영국</v>
      </c>
      <c r="H1534" s="9" t="str">
        <v>RA-05V-2654</v>
      </c>
      <c r="I1534" s="11" t="str">
        <v>RA-05V-2654]BRK CAS ROT BOT</v>
      </c>
      <c r="J1534" s="9">
        <v>50</v>
      </c>
      <c r="K1534" s="9" t="str">
        <v/>
      </c>
      <c r="L1534" s="9" t="str">
        <v>J4-2</v>
      </c>
      <c r="M1534" s="12">
        <v>46280</v>
      </c>
      <c r="N1534" s="5" t="str">
        <v/>
      </c>
      <c r="O1534" s="5">
        <v>97331</v>
      </c>
      <c r="P1534" s="5">
        <v>1</v>
      </c>
      <c r="Q1534" s="14">
        <v>46280</v>
      </c>
      <c r="R1534" s="15">
        <v>49</v>
      </c>
    </row>
    <row r="1535" spans="2:18" x14ac:dyDescent="0.35">
      <c r="B1535" s="9">
        <v>1549</v>
      </c>
      <c r="C1535" s="9" t="str">
        <v>출고재고</v>
      </c>
      <c r="D1535" s="9" t="str">
        <v/>
      </c>
      <c r="E1535" s="9" t="str">
        <v/>
      </c>
      <c r="F1535" s="9" t="str">
        <v/>
      </c>
      <c r="G1535" s="9" t="str">
        <v/>
      </c>
      <c r="H1535" s="9" t="str">
        <v>RA-3-6</v>
      </c>
      <c r="I1535" s="11" t="str">
        <v>RA-3-6]INDICATOR CONTROL</v>
      </c>
      <c r="J1535" s="9">
        <v>56</v>
      </c>
      <c r="K1535" s="9" t="str">
        <v/>
      </c>
      <c r="L1535" s="9" t="str">
        <v>G1-1</v>
      </c>
      <c r="M1535" s="12">
        <v>46282</v>
      </c>
      <c r="N1535" s="5" t="str">
        <v/>
      </c>
      <c r="O1535" s="5">
        <v>97331</v>
      </c>
      <c r="P1535" s="5">
        <v>20</v>
      </c>
      <c r="Q1535" s="14">
        <v>46280</v>
      </c>
      <c r="R1535" s="15">
        <v>36</v>
      </c>
    </row>
    <row r="1536" spans="2:18" x14ac:dyDescent="0.35">
      <c r="B1536" s="9">
        <v>1550</v>
      </c>
      <c r="C1536" s="9" t="str">
        <v>출고재고</v>
      </c>
      <c r="D1536" s="9" t="str">
        <v/>
      </c>
      <c r="E1536" s="9" t="str">
        <v/>
      </c>
      <c r="F1536" s="9" t="str">
        <v/>
      </c>
      <c r="G1536" s="9" t="str">
        <v/>
      </c>
      <c r="H1536" s="9" t="str">
        <v>RA-1-5</v>
      </c>
      <c r="I1536" s="11" t="str">
        <v>RA-1-5]AC POWER SMPS-1</v>
      </c>
      <c r="J1536" s="9">
        <v>70</v>
      </c>
      <c r="K1536" s="9" t="str">
        <v/>
      </c>
      <c r="L1536" s="9" t="str">
        <v>G3-1</v>
      </c>
      <c r="M1536" s="12">
        <v>46282</v>
      </c>
      <c r="N1536" s="5" t="str">
        <v/>
      </c>
      <c r="O1536" s="5">
        <v>97331</v>
      </c>
      <c r="P1536" s="5">
        <v>20</v>
      </c>
      <c r="Q1536" s="14">
        <v>46280</v>
      </c>
      <c r="R1536" s="15">
        <v>50</v>
      </c>
    </row>
    <row r="1537" spans="2:18" x14ac:dyDescent="0.35">
      <c r="B1537" s="9">
        <v>1552</v>
      </c>
      <c r="C1537" s="9" t="str">
        <v>출고재고</v>
      </c>
      <c r="D1537" s="9" t="str">
        <v/>
      </c>
      <c r="E1537" s="9" t="str">
        <v/>
      </c>
      <c r="F1537" s="9" t="str">
        <v/>
      </c>
      <c r="G1537" s="9" t="str">
        <v/>
      </c>
      <c r="H1537" s="9" t="str">
        <v>RA-06A-5004</v>
      </c>
      <c r="I1537" s="11" t="str">
        <v>RA-06A-5004]Bd ASSY'-Indicator Bd</v>
      </c>
      <c r="J1537" s="9">
        <v>78</v>
      </c>
      <c r="K1537" s="9" t="str">
        <v/>
      </c>
      <c r="L1537" s="9" t="str">
        <v>A1-5</v>
      </c>
      <c r="M1537" s="12">
        <v>46282</v>
      </c>
      <c r="N1537" s="5" t="str">
        <v/>
      </c>
      <c r="O1537" s="5">
        <v>97331</v>
      </c>
      <c r="P1537" s="5">
        <v>40</v>
      </c>
      <c r="Q1537" s="14">
        <v>46280</v>
      </c>
      <c r="R1537" s="15">
        <v>38</v>
      </c>
    </row>
    <row r="1538" spans="2:18" x14ac:dyDescent="0.35">
      <c r="B1538" s="9">
        <v>1418</v>
      </c>
      <c r="C1538" s="9" t="str">
        <v>출고재고</v>
      </c>
      <c r="D1538" s="9" t="str">
        <v/>
      </c>
      <c r="E1538" s="9" t="str">
        <v/>
      </c>
      <c r="F1538" s="9" t="str">
        <v/>
      </c>
      <c r="G1538" s="9" t="str">
        <v/>
      </c>
      <c r="H1538" s="9" t="str">
        <v>RA-06V-1311</v>
      </c>
      <c r="I1538" s="11" t="str">
        <v>RA-06V-1311]BRK TUBE CAS FIX B</v>
      </c>
      <c r="J1538" s="9">
        <v>90</v>
      </c>
      <c r="K1538" s="9" t="str">
        <v/>
      </c>
      <c r="L1538" s="9" t="str">
        <v>I3-2</v>
      </c>
      <c r="M1538" s="12">
        <v>46283</v>
      </c>
      <c r="N1538" s="5" t="str">
        <v/>
      </c>
      <c r="O1538" s="5">
        <v>97331</v>
      </c>
      <c r="P1538" s="5">
        <v>20</v>
      </c>
      <c r="Q1538" s="14">
        <v>46280</v>
      </c>
      <c r="R1538" s="15">
        <v>70</v>
      </c>
    </row>
    <row r="1539" spans="2:18" x14ac:dyDescent="0.35">
      <c r="B1539" s="9">
        <v>1419</v>
      </c>
      <c r="C1539" s="9" t="str">
        <v>출고재고</v>
      </c>
      <c r="D1539" s="9" t="str">
        <v/>
      </c>
      <c r="E1539" s="9" t="str">
        <v/>
      </c>
      <c r="F1539" s="9" t="str">
        <v/>
      </c>
      <c r="G1539" s="9" t="str">
        <v/>
      </c>
      <c r="H1539" s="9" t="str">
        <v>RA-5-1</v>
      </c>
      <c r="I1539" s="11" t="str">
        <v>RA-5-1]EARTH NF</v>
      </c>
      <c r="J1539" s="9">
        <v>100</v>
      </c>
      <c r="K1539" s="9" t="str">
        <v/>
      </c>
      <c r="L1539" s="9" t="str">
        <v>G3-2</v>
      </c>
      <c r="M1539" s="12">
        <v>46283</v>
      </c>
      <c r="N1539" s="5" t="str">
        <v/>
      </c>
      <c r="O1539" s="5">
        <v>97331</v>
      </c>
      <c r="P1539" s="5">
        <v>20</v>
      </c>
      <c r="Q1539" s="14">
        <v>46280</v>
      </c>
      <c r="R1539" s="15">
        <v>80</v>
      </c>
    </row>
    <row r="1540" spans="2:18" x14ac:dyDescent="0.35">
      <c r="B1540" s="9">
        <v>1553</v>
      </c>
      <c r="C1540" s="9" t="str">
        <v>출고재고</v>
      </c>
      <c r="D1540" s="9" t="str">
        <v/>
      </c>
      <c r="E1540" s="9" t="str">
        <v/>
      </c>
      <c r="F1540" s="9" t="str">
        <v/>
      </c>
      <c r="G1540" s="9" t="str">
        <v/>
      </c>
      <c r="H1540" s="9" t="str">
        <v>RA-7-5</v>
      </c>
      <c r="I1540" s="11" t="str">
        <v>RA-7-5]LAN THU</v>
      </c>
      <c r="J1540" s="9">
        <v>126</v>
      </c>
      <c r="K1540" s="9" t="str">
        <v/>
      </c>
      <c r="L1540" s="9" t="str">
        <v>G2-2</v>
      </c>
      <c r="M1540" s="12">
        <v>46282</v>
      </c>
      <c r="N1540" s="5" t="str">
        <v/>
      </c>
      <c r="O1540" s="5">
        <v>97331</v>
      </c>
      <c r="P1540" s="5">
        <v>20</v>
      </c>
      <c r="Q1540" s="14">
        <v>46280</v>
      </c>
      <c r="R1540" s="15">
        <v>106</v>
      </c>
    </row>
    <row r="1541" spans="2:18" x14ac:dyDescent="0.35">
      <c r="B1541" s="9">
        <v>1554</v>
      </c>
      <c r="C1541" s="9" t="str">
        <v>출고재고</v>
      </c>
      <c r="D1541" s="9" t="str">
        <v/>
      </c>
      <c r="E1541" s="9" t="str">
        <v/>
      </c>
      <c r="F1541" s="9" t="str">
        <v/>
      </c>
      <c r="G1541" s="9" t="str">
        <v/>
      </c>
      <c r="H1541" s="9" t="str">
        <v>RA-3-5</v>
      </c>
      <c r="I1541" s="11" t="str">
        <v>RA-3-5]INDICATOR</v>
      </c>
      <c r="J1541" s="9">
        <v>135</v>
      </c>
      <c r="K1541" s="9" t="str">
        <v/>
      </c>
      <c r="L1541" s="9" t="str">
        <v>G1-1</v>
      </c>
      <c r="M1541" s="12">
        <v>46282</v>
      </c>
      <c r="N1541" s="5" t="str">
        <v/>
      </c>
      <c r="O1541" s="5">
        <v>97331</v>
      </c>
      <c r="P1541" s="5">
        <v>20</v>
      </c>
      <c r="Q1541" s="14">
        <v>46280</v>
      </c>
      <c r="R1541" s="15">
        <v>115</v>
      </c>
    </row>
    <row r="1542" spans="2:18" x14ac:dyDescent="0.35">
      <c r="B1542" s="9">
        <v>1555</v>
      </c>
      <c r="C1542" s="9" t="str">
        <v>출고재고</v>
      </c>
      <c r="D1542" s="9" t="str">
        <v/>
      </c>
      <c r="E1542" s="9" t="str">
        <v/>
      </c>
      <c r="F1542" s="9" t="str">
        <v/>
      </c>
      <c r="G1542" s="9" t="str">
        <v/>
      </c>
      <c r="H1542" s="9" t="str">
        <v>RA-1-11</v>
      </c>
      <c r="I1542" s="11" t="str">
        <v>RA-1-11]DC POWER HUB</v>
      </c>
      <c r="J1542" s="9">
        <v>135</v>
      </c>
      <c r="K1542" s="9" t="str">
        <v/>
      </c>
      <c r="L1542" s="9" t="str">
        <v>G3-1</v>
      </c>
      <c r="M1542" s="12">
        <v>46282</v>
      </c>
      <c r="N1542" s="5" t="str">
        <v/>
      </c>
      <c r="O1542" s="5">
        <v>97331</v>
      </c>
      <c r="P1542" s="5">
        <v>20</v>
      </c>
      <c r="Q1542" s="14">
        <v>46280</v>
      </c>
      <c r="R1542" s="15">
        <v>115</v>
      </c>
    </row>
    <row r="1543" spans="2:18" x14ac:dyDescent="0.35">
      <c r="B1543" s="9">
        <v>1557</v>
      </c>
      <c r="C1543" s="9" t="str">
        <v>출고재고</v>
      </c>
      <c r="D1543" s="9" t="str">
        <v/>
      </c>
      <c r="E1543" s="9" t="str">
        <v/>
      </c>
      <c r="F1543" s="9" t="str">
        <v/>
      </c>
      <c r="G1543" s="9" t="str">
        <v/>
      </c>
      <c r="H1543" s="9" t="str">
        <v>RA-9-8</v>
      </c>
      <c r="I1543" s="11" t="str">
        <v>RA-9-8]SERIAL POWER LS 1</v>
      </c>
      <c r="J1543" s="9">
        <v>144</v>
      </c>
      <c r="K1543" s="9" t="str">
        <v/>
      </c>
      <c r="L1543" s="9" t="str">
        <v>G1-3</v>
      </c>
      <c r="M1543" s="12">
        <v>46282</v>
      </c>
      <c r="N1543" s="5" t="str">
        <v/>
      </c>
      <c r="O1543" s="5">
        <v>97331</v>
      </c>
      <c r="P1543" s="5">
        <v>20</v>
      </c>
      <c r="Q1543" s="14">
        <v>46280</v>
      </c>
      <c r="R1543" s="15">
        <v>124</v>
      </c>
    </row>
    <row r="1544" spans="2:18" x14ac:dyDescent="0.35">
      <c r="B1544" s="9">
        <v>1422</v>
      </c>
      <c r="C1544" s="9" t="str">
        <v>출고재고</v>
      </c>
      <c r="D1544" s="9" t="str">
        <v/>
      </c>
      <c r="E1544" s="9" t="str">
        <v/>
      </c>
      <c r="F1544" s="9" t="str">
        <v/>
      </c>
      <c r="G1544" s="9" t="str">
        <v/>
      </c>
      <c r="H1544" s="9" t="str">
        <v>RA-06V-0651</v>
      </c>
      <c r="I1544" s="11" t="str">
        <v>RA-06V-0651]BRK TUBE CAS FIX A</v>
      </c>
      <c r="J1544" s="9">
        <v>150</v>
      </c>
      <c r="K1544" s="9" t="str">
        <v/>
      </c>
      <c r="L1544" s="9" t="str">
        <v>I2-3</v>
      </c>
      <c r="M1544" s="12">
        <v>46283</v>
      </c>
      <c r="N1544" s="5" t="str">
        <v/>
      </c>
      <c r="O1544" s="5">
        <v>97331</v>
      </c>
      <c r="P1544" s="5">
        <v>20</v>
      </c>
      <c r="Q1544" s="14">
        <v>46280</v>
      </c>
      <c r="R1544" s="15">
        <v>130</v>
      </c>
    </row>
    <row r="1545" spans="2:18" x14ac:dyDescent="0.35">
      <c r="B1545" s="9">
        <v>1558</v>
      </c>
      <c r="C1545" s="9" t="str">
        <v>출고재고</v>
      </c>
      <c r="D1545" s="9" t="str">
        <v/>
      </c>
      <c r="E1545" s="9" t="str">
        <v/>
      </c>
      <c r="F1545" s="9" t="str">
        <v/>
      </c>
      <c r="G1545" s="9" t="str">
        <v/>
      </c>
      <c r="H1545" s="9" t="str">
        <v>RA-05T-0210</v>
      </c>
      <c r="I1545" s="11" t="str">
        <v>RA-05T-0210]CAS ROT TOP SUB</v>
      </c>
      <c r="J1545" s="9">
        <v>163</v>
      </c>
      <c r="K1545" s="9" t="str">
        <v/>
      </c>
      <c r="L1545" s="9" t="str">
        <v>S</v>
      </c>
      <c r="M1545" s="12">
        <v>46282</v>
      </c>
      <c r="N1545" s="5" t="str">
        <v/>
      </c>
      <c r="O1545" s="5">
        <v>97331</v>
      </c>
      <c r="P1545" s="5">
        <v>20</v>
      </c>
      <c r="Q1545" s="14">
        <v>46280</v>
      </c>
      <c r="R1545" s="15">
        <v>143</v>
      </c>
    </row>
    <row r="1546" spans="2:18" x14ac:dyDescent="0.35">
      <c r="B1546" s="9">
        <v>1559</v>
      </c>
      <c r="C1546" s="9" t="str">
        <v>출고재고</v>
      </c>
      <c r="D1546" s="9" t="str">
        <v/>
      </c>
      <c r="E1546" s="9" t="str">
        <v/>
      </c>
      <c r="F1546" s="9" t="str">
        <v/>
      </c>
      <c r="G1546" s="9" t="str">
        <v/>
      </c>
      <c r="H1546" s="9" t="str">
        <v>RA-02T-0045</v>
      </c>
      <c r="I1546" s="11" t="str">
        <v>RA-02T-0045]CAS VERT SUB BOT</v>
      </c>
      <c r="J1546" s="9">
        <v>170</v>
      </c>
      <c r="K1546" s="9" t="str">
        <v/>
      </c>
      <c r="L1546" s="9" t="str">
        <v>S</v>
      </c>
      <c r="M1546" s="12">
        <v>46282</v>
      </c>
      <c r="N1546" s="5" t="str">
        <v/>
      </c>
      <c r="O1546" s="5">
        <v>97331</v>
      </c>
      <c r="P1546" s="5">
        <v>20</v>
      </c>
      <c r="Q1546" s="14">
        <v>46295</v>
      </c>
      <c r="R1546" s="15">
        <v>150</v>
      </c>
    </row>
    <row r="1547" spans="2:18" x14ac:dyDescent="0.35">
      <c r="B1547" s="9">
        <v>1560</v>
      </c>
      <c r="C1547" s="9" t="str">
        <v>출고재고</v>
      </c>
      <c r="D1547" s="9" t="str">
        <v/>
      </c>
      <c r="E1547" s="9" t="str">
        <v/>
      </c>
      <c r="F1547" s="9" t="str">
        <v/>
      </c>
      <c r="G1547" s="9" t="str">
        <v/>
      </c>
      <c r="H1547" s="9" t="str">
        <v>RA-02M-0395</v>
      </c>
      <c r="I1547" s="11" t="str">
        <v>RA-02M-0395]PIN VERT POSITION</v>
      </c>
      <c r="J1547" s="9">
        <v>186</v>
      </c>
      <c r="K1547" s="9" t="str">
        <v/>
      </c>
      <c r="L1547" s="9" t="str">
        <v>C3-1</v>
      </c>
      <c r="M1547" s="12">
        <v>46282</v>
      </c>
      <c r="N1547" s="5" t="str">
        <v/>
      </c>
      <c r="O1547" s="5">
        <v>97331</v>
      </c>
      <c r="P1547" s="5">
        <v>40</v>
      </c>
      <c r="Q1547" s="14">
        <v>46280</v>
      </c>
      <c r="R1547" s="15">
        <v>146</v>
      </c>
    </row>
    <row r="1548" spans="2:18" x14ac:dyDescent="0.35">
      <c r="B1548" s="9">
        <v>1427</v>
      </c>
      <c r="C1548" s="9" t="str">
        <v>출고재고</v>
      </c>
      <c r="D1548" s="9" t="str">
        <v/>
      </c>
      <c r="E1548" s="9" t="str">
        <v/>
      </c>
      <c r="F1548" s="9" t="str">
        <v/>
      </c>
      <c r="G1548" s="9" t="str">
        <v/>
      </c>
      <c r="H1548" s="9" t="str">
        <v>RA-1-9A</v>
      </c>
      <c r="I1548" s="11" t="str">
        <v>RA-1-9A]DC POWER MOT-A</v>
      </c>
      <c r="J1548" s="9">
        <v>187</v>
      </c>
      <c r="K1548" s="9" t="str">
        <v/>
      </c>
      <c r="L1548" s="9" t="str">
        <v>G4</v>
      </c>
      <c r="M1548" s="12">
        <v>46283</v>
      </c>
      <c r="N1548" s="5" t="str">
        <v/>
      </c>
      <c r="O1548" s="5">
        <v>97331</v>
      </c>
      <c r="P1548" s="5">
        <v>20</v>
      </c>
      <c r="Q1548" s="14">
        <v>46280</v>
      </c>
      <c r="R1548" s="15">
        <v>167</v>
      </c>
    </row>
    <row r="1549" spans="2:18" x14ac:dyDescent="0.35">
      <c r="B1549" s="9">
        <v>1562</v>
      </c>
      <c r="C1549" s="9" t="str">
        <v>출고재고</v>
      </c>
      <c r="D1549" s="9" t="str">
        <v/>
      </c>
      <c r="E1549" s="9" t="str">
        <v/>
      </c>
      <c r="F1549" s="9" t="str">
        <v/>
      </c>
      <c r="G1549" s="9" t="str">
        <v/>
      </c>
      <c r="H1549" s="9" t="str">
        <v>RA-1-12</v>
      </c>
      <c r="I1549" s="11" t="str">
        <v>RA-1-12]DC POWER SMPS CONN</v>
      </c>
      <c r="J1549" s="9">
        <v>210</v>
      </c>
      <c r="K1549" s="9" t="str">
        <v/>
      </c>
      <c r="L1549" s="9" t="str">
        <v>G2-1</v>
      </c>
      <c r="M1549" s="12">
        <v>46282</v>
      </c>
      <c r="N1549" s="5" t="str">
        <v/>
      </c>
      <c r="O1549" s="5">
        <v>97331</v>
      </c>
      <c r="P1549" s="5">
        <v>20</v>
      </c>
      <c r="Q1549" s="14">
        <v>46280</v>
      </c>
      <c r="R1549" s="15">
        <v>190</v>
      </c>
    </row>
    <row r="1550" spans="2:18" x14ac:dyDescent="0.35">
      <c r="B1550" s="9">
        <v>1563</v>
      </c>
      <c r="C1550" s="9" t="str">
        <v>출고재고</v>
      </c>
      <c r="D1550" s="9" t="str">
        <v/>
      </c>
      <c r="E1550" s="9" t="str">
        <v/>
      </c>
      <c r="F1550" s="9" t="str">
        <v/>
      </c>
      <c r="G1550" s="9" t="str">
        <v/>
      </c>
      <c r="H1550" s="9" t="str">
        <v>RA-2-9</v>
      </c>
      <c r="I1550" s="11" t="str">
        <v>RA-2-9]ACT 2nd LIMIT</v>
      </c>
      <c r="J1550" s="9">
        <v>212</v>
      </c>
      <c r="K1550" s="9" t="str">
        <v/>
      </c>
      <c r="L1550" s="9" t="str">
        <v>G2-1</v>
      </c>
      <c r="M1550" s="12">
        <v>46282</v>
      </c>
      <c r="N1550" s="5" t="str">
        <v/>
      </c>
      <c r="O1550" s="5">
        <v>97331</v>
      </c>
      <c r="P1550" s="5">
        <v>20</v>
      </c>
      <c r="Q1550" s="14">
        <v>46280</v>
      </c>
      <c r="R1550" s="15">
        <v>192</v>
      </c>
    </row>
    <row r="1551" spans="2:18" x14ac:dyDescent="0.35">
      <c r="B1551" s="9">
        <v>1564</v>
      </c>
      <c r="C1551" s="9" t="str">
        <v>출고재고</v>
      </c>
      <c r="D1551" s="9" t="str">
        <v/>
      </c>
      <c r="E1551" s="9" t="str">
        <v/>
      </c>
      <c r="F1551" s="9" t="str">
        <v/>
      </c>
      <c r="G1551" s="9" t="str">
        <v/>
      </c>
      <c r="H1551" s="9" t="str">
        <v>RA-5-8</v>
      </c>
      <c r="I1551" s="11" t="str">
        <v>RA-5-8]EARTH CTRL SMPS</v>
      </c>
      <c r="J1551" s="9">
        <v>226</v>
      </c>
      <c r="K1551" s="9" t="str">
        <v/>
      </c>
      <c r="L1551" s="9" t="str">
        <v>G3-2</v>
      </c>
      <c r="M1551" s="12">
        <v>46282</v>
      </c>
      <c r="N1551" s="5" t="str">
        <v/>
      </c>
      <c r="O1551" s="5">
        <v>97331</v>
      </c>
      <c r="P1551" s="5">
        <v>20</v>
      </c>
      <c r="Q1551" s="14">
        <v>46280</v>
      </c>
      <c r="R1551" s="15">
        <v>206</v>
      </c>
    </row>
    <row r="1552" spans="2:18" x14ac:dyDescent="0.35">
      <c r="B1552" s="9">
        <v>1565</v>
      </c>
      <c r="C1552" s="9" t="str">
        <v>출고재고</v>
      </c>
      <c r="D1552" s="9" t="str">
        <v/>
      </c>
      <c r="E1552" s="9" t="str">
        <v/>
      </c>
      <c r="F1552" s="9" t="str">
        <v/>
      </c>
      <c r="G1552" s="9" t="str">
        <v/>
      </c>
      <c r="H1552" s="9" t="str">
        <v>RA-2-4</v>
      </c>
      <c r="I1552" s="11" t="str">
        <v>RA-2-4]SERIAL POWER THU</v>
      </c>
      <c r="J1552" s="9">
        <v>238</v>
      </c>
      <c r="K1552" s="9" t="str">
        <v/>
      </c>
      <c r="L1552" s="9" t="str">
        <v>G2-1</v>
      </c>
      <c r="M1552" s="12">
        <v>46282</v>
      </c>
      <c r="N1552" s="5" t="str">
        <v/>
      </c>
      <c r="O1552" s="5">
        <v>97331</v>
      </c>
      <c r="P1552" s="5">
        <v>20</v>
      </c>
      <c r="Q1552" s="14">
        <v>46280</v>
      </c>
      <c r="R1552" s="15">
        <v>218</v>
      </c>
    </row>
    <row r="1553" spans="2:18" x14ac:dyDescent="0.35">
      <c r="B1553" s="9">
        <v>2503</v>
      </c>
      <c r="C1553" s="9" t="str">
        <v>출고재고</v>
      </c>
      <c r="D1553" s="9" t="str">
        <v/>
      </c>
      <c r="E1553" s="9" t="str">
        <v/>
      </c>
      <c r="F1553" s="9" t="str">
        <v/>
      </c>
      <c r="G1553" s="9" t="str">
        <v/>
      </c>
      <c r="H1553" s="9" t="str">
        <v>RA-10-1</v>
      </c>
      <c r="I1553" s="11" t="str">
        <v>RA-10-1]AC CABLE ASS’Y</v>
      </c>
      <c r="J1553" s="9">
        <v>270</v>
      </c>
      <c r="K1553" s="9" t="str">
        <v/>
      </c>
      <c r="L1553" s="9" t="str">
        <v>G4</v>
      </c>
      <c r="M1553" s="12">
        <v>46297</v>
      </c>
      <c r="N1553" s="5" t="str">
        <v/>
      </c>
      <c r="O1553" s="5">
        <v>97331</v>
      </c>
      <c r="P1553" s="5">
        <v>20</v>
      </c>
      <c r="Q1553" s="14">
        <v>46297</v>
      </c>
      <c r="R1553" s="15">
        <v>250</v>
      </c>
    </row>
    <row r="1554" spans="2:18" x14ac:dyDescent="0.35">
      <c r="B1554" s="9">
        <v>1508</v>
      </c>
      <c r="C1554" s="9" t="str">
        <v>출고재고</v>
      </c>
      <c r="D1554" s="9" t="str">
        <v/>
      </c>
      <c r="E1554" s="9" t="str">
        <v/>
      </c>
      <c r="F1554" s="9" t="str">
        <v/>
      </c>
      <c r="G1554" s="9" t="str">
        <v/>
      </c>
      <c r="H1554" s="9" t="str">
        <v>RA-11-34</v>
      </c>
      <c r="I1554" s="11" t="str">
        <v>RA-11-34_2]SUB MOT DET(V)</v>
      </c>
      <c r="J1554" s="9">
        <v>322</v>
      </c>
      <c r="K1554" s="9" t="str">
        <v/>
      </c>
      <c r="L1554" s="9" t="str">
        <v>G3-6</v>
      </c>
      <c r="M1554" s="12">
        <v>46293</v>
      </c>
      <c r="N1554" s="5" t="str">
        <v/>
      </c>
      <c r="O1554" s="5">
        <v>97331</v>
      </c>
      <c r="P1554" s="5">
        <v>20</v>
      </c>
      <c r="Q1554" s="14">
        <v>46280</v>
      </c>
      <c r="R1554" s="15">
        <v>302</v>
      </c>
    </row>
    <row r="1555" spans="2:18" x14ac:dyDescent="0.35">
      <c r="B1555" s="9">
        <v>1566</v>
      </c>
      <c r="C1555" s="9" t="str">
        <v>출고재고</v>
      </c>
      <c r="D1555" s="9" t="str">
        <v/>
      </c>
      <c r="E1555" s="9" t="str">
        <v/>
      </c>
      <c r="F1555" s="9" t="str">
        <v/>
      </c>
      <c r="G1555" s="9" t="str">
        <v/>
      </c>
      <c r="H1555" s="9" t="str">
        <v>RA-05V-0199</v>
      </c>
      <c r="I1555" s="11" t="str">
        <v>RA-05V-0199]BRK PXD-200CT DRV PCB R</v>
      </c>
      <c r="J1555" s="9">
        <v>324</v>
      </c>
      <c r="K1555" s="9" t="str">
        <v/>
      </c>
      <c r="L1555" s="9" t="str">
        <v>H2-2</v>
      </c>
      <c r="M1555" s="12">
        <v>46282</v>
      </c>
      <c r="N1555" s="5" t="str">
        <v/>
      </c>
      <c r="O1555" s="5">
        <v>97331</v>
      </c>
      <c r="P1555" s="5">
        <v>20</v>
      </c>
      <c r="Q1555" s="14">
        <v>46280</v>
      </c>
      <c r="R1555" s="15">
        <v>304</v>
      </c>
    </row>
    <row r="1556" spans="2:18" x14ac:dyDescent="0.35">
      <c r="B1556" s="9">
        <v>1567</v>
      </c>
      <c r="C1556" s="9" t="str">
        <v>출고재고</v>
      </c>
      <c r="D1556" s="9" t="str">
        <v/>
      </c>
      <c r="E1556" s="9" t="str">
        <v/>
      </c>
      <c r="F1556" s="9" t="str">
        <v/>
      </c>
      <c r="G1556" s="9" t="str">
        <v/>
      </c>
      <c r="H1556" s="9" t="str">
        <v>RA-05V-0297</v>
      </c>
      <c r="I1556" s="11" t="str">
        <v>RA-05V-0297]BRK PXD-200CT DRV PCB L</v>
      </c>
      <c r="J1556" s="9">
        <v>329</v>
      </c>
      <c r="K1556" s="9" t="str">
        <v/>
      </c>
      <c r="L1556" s="9" t="str">
        <v>H2-2</v>
      </c>
      <c r="M1556" s="12">
        <v>46282</v>
      </c>
      <c r="N1556" s="5" t="str">
        <v/>
      </c>
      <c r="O1556" s="5">
        <v>97331</v>
      </c>
      <c r="P1556" s="5">
        <v>20</v>
      </c>
      <c r="Q1556" s="14">
        <v>46280</v>
      </c>
      <c r="R1556" s="15">
        <v>309</v>
      </c>
    </row>
    <row r="1557" spans="2:18" x14ac:dyDescent="0.35">
      <c r="B1557" s="9">
        <v>1568</v>
      </c>
      <c r="C1557" s="9" t="str">
        <v>출고재고</v>
      </c>
      <c r="D1557" s="9" t="str">
        <v/>
      </c>
      <c r="E1557" s="9" t="str">
        <v/>
      </c>
      <c r="F1557" s="9" t="str">
        <v/>
      </c>
      <c r="G1557" s="9" t="str">
        <v/>
      </c>
      <c r="H1557" s="9" t="str">
        <v>RA-5-10</v>
      </c>
      <c r="I1557" s="11" t="str">
        <v>RA-5-10]EARTH MOT SMPS(RPS)</v>
      </c>
      <c r="J1557" s="9">
        <v>335</v>
      </c>
      <c r="K1557" s="9" t="str">
        <v/>
      </c>
      <c r="L1557" s="9" t="str">
        <v>G3-2</v>
      </c>
      <c r="M1557" s="12">
        <v>46282</v>
      </c>
      <c r="N1557" s="5" t="str">
        <v/>
      </c>
      <c r="O1557" s="5">
        <v>97331</v>
      </c>
      <c r="P1557" s="5">
        <v>20</v>
      </c>
      <c r="Q1557" s="14">
        <v>46280</v>
      </c>
      <c r="R1557" s="15">
        <v>315</v>
      </c>
    </row>
    <row r="1558" spans="2:18" x14ac:dyDescent="0.35">
      <c r="B1558" s="9">
        <v>1169</v>
      </c>
      <c r="C1558" s="9" t="str">
        <v>출고재고</v>
      </c>
      <c r="D1558" s="9" t="str">
        <v/>
      </c>
      <c r="E1558" s="9" t="str">
        <v/>
      </c>
      <c r="F1558" s="9" t="str">
        <v/>
      </c>
      <c r="G1558" s="9" t="str">
        <v/>
      </c>
      <c r="H1558" s="9" t="str">
        <v>RA-11-33</v>
      </c>
      <c r="I1558" s="11" t="str">
        <v>RA-11-33]DET SIGNAL(V)</v>
      </c>
      <c r="J1558" s="9">
        <v>407</v>
      </c>
      <c r="K1558" s="9" t="str">
        <v/>
      </c>
      <c r="L1558" s="9" t="str">
        <v>G3-6</v>
      </c>
      <c r="M1558" s="12">
        <v>46280</v>
      </c>
      <c r="N1558" s="5" t="str">
        <v/>
      </c>
      <c r="O1558" s="5">
        <v>97331</v>
      </c>
      <c r="P1558" s="5">
        <v>20</v>
      </c>
      <c r="Q1558" s="14">
        <v>46280</v>
      </c>
      <c r="R1558" s="15">
        <v>387</v>
      </c>
    </row>
    <row r="1559" spans="2:18" x14ac:dyDescent="0.35">
      <c r="B1559" s="9">
        <v>546</v>
      </c>
      <c r="C1559" s="9" t="str">
        <v>출고재고</v>
      </c>
      <c r="D1559" s="9" t="str">
        <v/>
      </c>
      <c r="E1559" s="9" t="str">
        <v>기초</v>
      </c>
      <c r="F1559" s="9" t="str">
        <v/>
      </c>
      <c r="G1559" s="9" t="str">
        <v/>
      </c>
      <c r="H1559" s="9" t="str">
        <v>RA-07A-2716</v>
      </c>
      <c r="I1559" s="11" t="str">
        <v>RA-07A-2716]ASM BLOCK DETECTOR SENSOR R</v>
      </c>
      <c r="J1559" s="9">
        <v>695</v>
      </c>
      <c r="K1559" s="9" t="str">
        <v/>
      </c>
      <c r="L1559" s="9" t="str">
        <v>J3-3</v>
      </c>
      <c r="M1559" s="12">
        <v>46273</v>
      </c>
      <c r="N1559" s="5" t="str">
        <v/>
      </c>
      <c r="O1559" s="5">
        <v>97331</v>
      </c>
      <c r="P1559" s="5">
        <v>20</v>
      </c>
      <c r="Q1559" s="14">
        <v>46280</v>
      </c>
      <c r="R1559" s="15">
        <v>675</v>
      </c>
    </row>
    <row r="1560" spans="2:18" x14ac:dyDescent="0.35">
      <c r="B1560" s="9">
        <v>547</v>
      </c>
      <c r="C1560" s="9" t="str">
        <v>출고재고</v>
      </c>
      <c r="D1560" s="9" t="str">
        <v/>
      </c>
      <c r="E1560" s="9" t="str">
        <v>기초</v>
      </c>
      <c r="F1560" s="9" t="str">
        <v/>
      </c>
      <c r="G1560" s="9" t="str">
        <v/>
      </c>
      <c r="H1560" s="9" t="str">
        <v>RA-07A-2715</v>
      </c>
      <c r="I1560" s="11" t="str">
        <v>RA-07A-2715]ASM BLOCK DETECTOR SENSOR L</v>
      </c>
      <c r="J1560" s="9">
        <v>698</v>
      </c>
      <c r="K1560" s="9" t="str">
        <v/>
      </c>
      <c r="L1560" s="9" t="str">
        <v>J3-3</v>
      </c>
      <c r="M1560" s="12">
        <v>46273</v>
      </c>
      <c r="N1560" s="5" t="str">
        <v/>
      </c>
      <c r="O1560" s="5">
        <v>97331</v>
      </c>
      <c r="P1560" s="5">
        <v>20</v>
      </c>
      <c r="Q1560" s="14">
        <v>46280</v>
      </c>
      <c r="R1560" s="15">
        <v>678</v>
      </c>
    </row>
    <row r="1561" spans="2:18" x14ac:dyDescent="0.35">
      <c r="B1561" s="9">
        <v>1434</v>
      </c>
      <c r="C1561" s="9" t="str">
        <v>출고재고</v>
      </c>
      <c r="D1561" s="9" t="str">
        <v/>
      </c>
      <c r="E1561" s="9" t="str">
        <v/>
      </c>
      <c r="F1561" s="9" t="str">
        <v/>
      </c>
      <c r="G1561" s="9" t="str">
        <v/>
      </c>
      <c r="H1561" s="9" t="str">
        <v>RA-04T-0143</v>
      </c>
      <c r="I1561" s="11" t="str">
        <v>RA-04T-0143]CAS CHINREST UPPER</v>
      </c>
      <c r="J1561" s="9">
        <v>798</v>
      </c>
      <c r="K1561" s="9" t="str">
        <v/>
      </c>
      <c r="L1561" s="9" t="str">
        <v>S</v>
      </c>
      <c r="M1561" s="12">
        <v>46283</v>
      </c>
      <c r="N1561" s="5" t="str">
        <v/>
      </c>
      <c r="O1561" s="5">
        <v>97331</v>
      </c>
      <c r="P1561" s="5">
        <v>20</v>
      </c>
      <c r="Q1561" s="14">
        <v>46280</v>
      </c>
      <c r="R1561" s="15">
        <v>778</v>
      </c>
    </row>
    <row r="1562" spans="2:18" x14ac:dyDescent="0.35">
      <c r="B1562" s="9">
        <v>1588</v>
      </c>
      <c r="C1562" s="9" t="str">
        <v>출고재고</v>
      </c>
      <c r="D1562" s="9" t="str">
        <v/>
      </c>
      <c r="E1562" s="9" t="str">
        <v>입고</v>
      </c>
      <c r="F1562" s="9" t="str">
        <v>진광</v>
      </c>
      <c r="G1562" s="9" t="str">
        <v>장동은</v>
      </c>
      <c r="H1562" s="9" t="str">
        <v>RA-01T-1790</v>
      </c>
      <c r="I1562" s="11" t="str">
        <v>RA-01T-1790]CAS MAIN Bas FRONT</v>
      </c>
      <c r="J1562" s="9">
        <v>1</v>
      </c>
      <c r="K1562" s="9" t="str">
        <v/>
      </c>
      <c r="L1562" s="9" t="str">
        <v>V</v>
      </c>
      <c r="M1562" s="12">
        <v>46279</v>
      </c>
      <c r="N1562" s="5" t="str">
        <v/>
      </c>
      <c r="O1562" s="5">
        <v>97332</v>
      </c>
      <c r="P1562" s="5">
        <v>1</v>
      </c>
      <c r="Q1562" s="14">
        <v>46282</v>
      </c>
      <c r="R1562" s="15">
        <v>0</v>
      </c>
    </row>
    <row r="1563" spans="2:18" x14ac:dyDescent="0.35">
      <c r="B1563" s="9">
        <v>1484</v>
      </c>
      <c r="C1563" s="9" t="str">
        <v>출고재고</v>
      </c>
      <c r="D1563" s="9" t="str">
        <v/>
      </c>
      <c r="E1563" s="9" t="str">
        <v/>
      </c>
      <c r="F1563" s="9" t="str">
        <v/>
      </c>
      <c r="G1563" s="9" t="str">
        <v/>
      </c>
      <c r="H1563" s="9" t="str">
        <v>RA-09A-0345</v>
      </c>
      <c r="I1563" s="11" t="str">
        <v>RA-09A-0345]ASM REMOTE CONTROL</v>
      </c>
      <c r="J1563" s="9">
        <v>3</v>
      </c>
      <c r="K1563" s="9" t="str">
        <v/>
      </c>
      <c r="L1563" s="9" t="str">
        <v>L1-1</v>
      </c>
      <c r="M1563" s="12">
        <v>46282</v>
      </c>
      <c r="N1563" s="5" t="str">
        <v/>
      </c>
      <c r="O1563" s="5">
        <v>97332</v>
      </c>
      <c r="P1563" s="5">
        <v>3</v>
      </c>
      <c r="Q1563" s="14">
        <v>46282</v>
      </c>
      <c r="R1563" s="15">
        <v>0</v>
      </c>
    </row>
    <row r="1564" spans="2:18" x14ac:dyDescent="0.35">
      <c r="B1564" s="9">
        <v>1589</v>
      </c>
      <c r="C1564" s="9" t="str">
        <v>출고재고</v>
      </c>
      <c r="D1564" s="9" t="str">
        <v/>
      </c>
      <c r="E1564" s="9" t="str">
        <v>입고</v>
      </c>
      <c r="F1564" s="9" t="str">
        <v>진광</v>
      </c>
      <c r="G1564" s="9" t="str">
        <v>장동은</v>
      </c>
      <c r="H1564" s="9" t="str">
        <v>RA-01T-1790</v>
      </c>
      <c r="I1564" s="11" t="str">
        <v>RA-01T-1790]CAS MAIN Bas FRONT</v>
      </c>
      <c r="J1564" s="9">
        <v>9</v>
      </c>
      <c r="K1564" s="9" t="str">
        <v/>
      </c>
      <c r="L1564" s="9" t="str">
        <v>V</v>
      </c>
      <c r="M1564" s="12">
        <v>46279</v>
      </c>
      <c r="N1564" s="5" t="str">
        <v/>
      </c>
      <c r="O1564" s="5">
        <v>97332</v>
      </c>
      <c r="P1564" s="5">
        <v>9</v>
      </c>
      <c r="Q1564" s="14">
        <v>46282</v>
      </c>
      <c r="R1564" s="15">
        <v>0</v>
      </c>
    </row>
    <row r="1565" spans="2:18" x14ac:dyDescent="0.35">
      <c r="B1565" s="9">
        <v>1485</v>
      </c>
      <c r="C1565" s="9" t="str">
        <v>출고재고</v>
      </c>
      <c r="D1565" s="9" t="str">
        <v/>
      </c>
      <c r="E1565" s="9" t="str">
        <v/>
      </c>
      <c r="F1565" s="9" t="str">
        <v/>
      </c>
      <c r="G1565" s="9" t="str">
        <v/>
      </c>
      <c r="H1565" s="9" t="str">
        <v>RA-01T-1790</v>
      </c>
      <c r="I1565" s="11" t="str">
        <v>RA-01T-1790]CAS MAIN Bas FRONT</v>
      </c>
      <c r="J1565" s="9">
        <v>10</v>
      </c>
      <c r="K1565" s="9" t="str">
        <v/>
      </c>
      <c r="L1565" s="9" t="str">
        <v>V</v>
      </c>
      <c r="M1565" s="12">
        <v>46282</v>
      </c>
      <c r="N1565" s="5" t="str">
        <v/>
      </c>
      <c r="O1565" s="5">
        <v>97332</v>
      </c>
      <c r="P1565" s="5">
        <v>10</v>
      </c>
      <c r="Q1565" s="14">
        <v>46282</v>
      </c>
      <c r="R1565" s="15">
        <v>0</v>
      </c>
    </row>
    <row r="1566" spans="2:18" x14ac:dyDescent="0.35">
      <c r="B1566" s="9">
        <v>1487</v>
      </c>
      <c r="C1566" s="9" t="str">
        <v>출고재고</v>
      </c>
      <c r="D1566" s="9" t="str">
        <v/>
      </c>
      <c r="E1566" s="9" t="str">
        <v/>
      </c>
      <c r="F1566" s="9" t="str">
        <v/>
      </c>
      <c r="G1566" s="9" t="str">
        <v/>
      </c>
      <c r="H1566" s="9" t="str">
        <v>RA-03V-0054</v>
      </c>
      <c r="I1566" s="11" t="str">
        <v>RA-03V-0054]HLDR CAS CLMN BODY LWR 1</v>
      </c>
      <c r="J1566" s="9">
        <v>25</v>
      </c>
      <c r="K1566" s="9" t="str">
        <v/>
      </c>
      <c r="L1566" s="9" t="str">
        <v>L1-2</v>
      </c>
      <c r="M1566" s="12">
        <v>46282</v>
      </c>
      <c r="N1566" s="5" t="str">
        <v/>
      </c>
      <c r="O1566" s="5">
        <v>97332</v>
      </c>
      <c r="P1566" s="5">
        <v>20</v>
      </c>
      <c r="Q1566" s="14">
        <v>46282</v>
      </c>
      <c r="R1566" s="15">
        <v>5</v>
      </c>
    </row>
    <row r="1567" spans="2:18" x14ac:dyDescent="0.35">
      <c r="B1567" s="9">
        <v>1488</v>
      </c>
      <c r="C1567" s="9" t="str">
        <v>출고재고</v>
      </c>
      <c r="D1567" s="9" t="str">
        <v/>
      </c>
      <c r="E1567" s="9" t="str">
        <v/>
      </c>
      <c r="F1567" s="9" t="str">
        <v/>
      </c>
      <c r="G1567" s="9" t="str">
        <v/>
      </c>
      <c r="H1567" s="9" t="str">
        <v>RA-02T-2182</v>
      </c>
      <c r="I1567" s="11" t="str">
        <v>RA-02T-2182]CAS VERT UPPER (A+)</v>
      </c>
      <c r="J1567" s="9">
        <v>28</v>
      </c>
      <c r="K1567" s="9" t="str">
        <v/>
      </c>
      <c r="L1567" s="9" t="str">
        <v>V</v>
      </c>
      <c r="M1567" s="12">
        <v>46282</v>
      </c>
      <c r="N1567" s="5" t="str">
        <v/>
      </c>
      <c r="O1567" s="5">
        <v>97332</v>
      </c>
      <c r="P1567" s="5">
        <v>20</v>
      </c>
      <c r="Q1567" s="14">
        <v>46282</v>
      </c>
      <c r="R1567" s="15">
        <v>8</v>
      </c>
    </row>
    <row r="1568" spans="2:18" x14ac:dyDescent="0.35">
      <c r="B1568" s="9">
        <v>1397</v>
      </c>
      <c r="C1568" s="9" t="str">
        <v>출고재고</v>
      </c>
      <c r="D1568" s="9" t="str">
        <v/>
      </c>
      <c r="E1568" s="9" t="str">
        <v/>
      </c>
      <c r="F1568" s="9" t="str">
        <v/>
      </c>
      <c r="G1568" s="9" t="str">
        <v/>
      </c>
      <c r="H1568" s="9" t="str">
        <v>RA-04A-2296</v>
      </c>
      <c r="I1568" s="11" t="str">
        <v>RA-04A-2296]ASM HANDLE (A+)</v>
      </c>
      <c r="J1568" s="9">
        <v>51</v>
      </c>
      <c r="K1568" s="9" t="str">
        <v/>
      </c>
      <c r="L1568" s="9" t="str">
        <v>M1</v>
      </c>
      <c r="M1568" s="12">
        <v>46283</v>
      </c>
      <c r="N1568" s="5" t="str">
        <v/>
      </c>
      <c r="O1568" s="5">
        <v>97332</v>
      </c>
      <c r="P1568" s="5">
        <v>20</v>
      </c>
      <c r="Q1568" s="14">
        <v>46282</v>
      </c>
      <c r="R1568" s="15">
        <v>31</v>
      </c>
    </row>
    <row r="1569" spans="2:18" x14ac:dyDescent="0.35">
      <c r="B1569" s="9">
        <v>1482</v>
      </c>
      <c r="C1569" s="9" t="str">
        <v>출고재고</v>
      </c>
      <c r="D1569" s="9" t="str">
        <v/>
      </c>
      <c r="E1569" s="9" t="str">
        <v/>
      </c>
      <c r="F1569" s="9" t="str">
        <v/>
      </c>
      <c r="G1569" s="9" t="str">
        <v/>
      </c>
      <c r="H1569" s="9" t="str">
        <v>RA-03V-0055</v>
      </c>
      <c r="I1569" s="11" t="str">
        <v>RA-03V-0055]HLDR CAS CLMN BODY LWR 2</v>
      </c>
      <c r="J1569" s="9">
        <v>78</v>
      </c>
      <c r="K1569" s="9" t="str">
        <v/>
      </c>
      <c r="L1569" s="9" t="str">
        <v>L1-2</v>
      </c>
      <c r="M1569" s="12">
        <v>46282</v>
      </c>
      <c r="N1569" s="5" t="str">
        <v/>
      </c>
      <c r="O1569" s="5">
        <v>97332</v>
      </c>
      <c r="P1569" s="5">
        <v>20</v>
      </c>
      <c r="Q1569" s="14">
        <v>46282</v>
      </c>
      <c r="R1569" s="15">
        <v>58</v>
      </c>
    </row>
    <row r="1570" spans="2:18" x14ac:dyDescent="0.35">
      <c r="B1570" s="9">
        <v>1498</v>
      </c>
      <c r="C1570" s="9" t="str">
        <v>출고재고</v>
      </c>
      <c r="D1570" s="9" t="str">
        <v/>
      </c>
      <c r="E1570" s="9" t="str">
        <v/>
      </c>
      <c r="F1570" s="9" t="str">
        <v/>
      </c>
      <c r="G1570" s="9" t="str">
        <v/>
      </c>
      <c r="H1570" s="9" t="str">
        <v>RA-03A-0314</v>
      </c>
      <c r="I1570" s="11" t="str">
        <v>RA-03A-0314]ASM CAS CLMN LWR (R)</v>
      </c>
      <c r="J1570" s="9">
        <v>87</v>
      </c>
      <c r="K1570" s="9" t="str">
        <v/>
      </c>
      <c r="L1570" s="9" t="str">
        <v>V</v>
      </c>
      <c r="M1570" s="12">
        <v>46282</v>
      </c>
      <c r="N1570" s="5" t="str">
        <v/>
      </c>
      <c r="O1570" s="5">
        <v>97332</v>
      </c>
      <c r="P1570" s="5">
        <v>20</v>
      </c>
      <c r="Q1570" s="14">
        <v>46282</v>
      </c>
      <c r="R1570" s="15">
        <v>67</v>
      </c>
    </row>
    <row r="1571" spans="2:18" x14ac:dyDescent="0.35">
      <c r="B1571" s="9">
        <v>1489</v>
      </c>
      <c r="C1571" s="9" t="str">
        <v>출고재고</v>
      </c>
      <c r="D1571" s="9" t="str">
        <v/>
      </c>
      <c r="E1571" s="9" t="str">
        <v/>
      </c>
      <c r="F1571" s="9" t="str">
        <v/>
      </c>
      <c r="G1571" s="9" t="str">
        <v/>
      </c>
      <c r="H1571" s="9" t="str">
        <v>RA-09A-0967</v>
      </c>
      <c r="I1571" s="11" t="str">
        <v>RA-09A-0967]ASM EXPOSURE SW</v>
      </c>
      <c r="J1571" s="9">
        <v>90</v>
      </c>
      <c r="K1571" s="9" t="str">
        <v/>
      </c>
      <c r="L1571" s="9" t="str">
        <v>J1-3</v>
      </c>
      <c r="M1571" s="12">
        <v>46282</v>
      </c>
      <c r="N1571" s="5" t="str">
        <v/>
      </c>
      <c r="O1571" s="5">
        <v>97332</v>
      </c>
      <c r="P1571" s="5">
        <v>20</v>
      </c>
      <c r="Q1571" s="14">
        <v>46282</v>
      </c>
      <c r="R1571" s="15">
        <v>70</v>
      </c>
    </row>
    <row r="1572" spans="2:18" x14ac:dyDescent="0.35">
      <c r="B1572" s="9">
        <v>1491</v>
      </c>
      <c r="C1572" s="9" t="str">
        <v>출고재고</v>
      </c>
      <c r="D1572" s="9" t="str">
        <v/>
      </c>
      <c r="E1572" s="9" t="str">
        <v/>
      </c>
      <c r="F1572" s="9" t="str">
        <v/>
      </c>
      <c r="G1572" s="9" t="str">
        <v/>
      </c>
      <c r="H1572" s="9" t="str">
        <v>RA-09A-2729</v>
      </c>
      <c r="I1572" s="11" t="str">
        <v>RA-09A-2729]ASM COMPONENT SUB-1</v>
      </c>
      <c r="J1572" s="9">
        <v>95</v>
      </c>
      <c r="K1572" s="9" t="str">
        <v/>
      </c>
      <c r="L1572" s="9" t="str">
        <v>T</v>
      </c>
      <c r="M1572" s="12">
        <v>46282</v>
      </c>
      <c r="N1572" s="5" t="str">
        <v/>
      </c>
      <c r="O1572" s="5">
        <v>97332</v>
      </c>
      <c r="P1572" s="5">
        <v>20</v>
      </c>
      <c r="Q1572" s="14">
        <v>46282</v>
      </c>
      <c r="R1572" s="15">
        <v>75</v>
      </c>
    </row>
    <row r="1573" spans="2:18" x14ac:dyDescent="0.35">
      <c r="B1573" s="9">
        <v>1394</v>
      </c>
      <c r="C1573" s="9" t="str">
        <v>출고재고</v>
      </c>
      <c r="D1573" s="9" t="str">
        <v/>
      </c>
      <c r="E1573" s="9" t="str">
        <v/>
      </c>
      <c r="F1573" s="9" t="str">
        <v/>
      </c>
      <c r="G1573" s="9" t="str">
        <v/>
      </c>
      <c r="H1573" s="9" t="str">
        <v>RA-09M-1133</v>
      </c>
      <c r="I1573" s="11" t="str">
        <v>RA-09M-1133]PIN GUIDE BITE</v>
      </c>
      <c r="J1573" s="9">
        <v>100</v>
      </c>
      <c r="K1573" s="9" t="str">
        <v/>
      </c>
      <c r="L1573" s="9" t="str">
        <v>L1-1</v>
      </c>
      <c r="M1573" s="12">
        <v>46283</v>
      </c>
      <c r="N1573" s="5" t="str">
        <v/>
      </c>
      <c r="O1573" s="5">
        <v>97332</v>
      </c>
      <c r="P1573" s="5">
        <v>40</v>
      </c>
      <c r="Q1573" s="14">
        <v>46282</v>
      </c>
      <c r="R1573" s="15">
        <v>60</v>
      </c>
    </row>
    <row r="1574" spans="2:18" x14ac:dyDescent="0.35">
      <c r="B1574" s="9">
        <v>1587</v>
      </c>
      <c r="C1574" s="9" t="str">
        <v>출고재고</v>
      </c>
      <c r="D1574" s="9" t="str">
        <v/>
      </c>
      <c r="E1574" s="9" t="str">
        <v>입고</v>
      </c>
      <c r="F1574" s="9" t="str">
        <v>제이에스티</v>
      </c>
      <c r="G1574" s="9" t="str">
        <v>곽동준</v>
      </c>
      <c r="H1574" s="9" t="str">
        <v>RA-09A-0345</v>
      </c>
      <c r="I1574" s="11" t="str">
        <v>RA-09A-0345]ASM REMOTE CONTROL</v>
      </c>
      <c r="J1574" s="9">
        <v>150</v>
      </c>
      <c r="K1574" s="9" t="str">
        <v/>
      </c>
      <c r="L1574" s="9" t="str">
        <v>L1-1</v>
      </c>
      <c r="M1574" s="12">
        <v>46279</v>
      </c>
      <c r="N1574" s="5" t="str">
        <v/>
      </c>
      <c r="O1574" s="5">
        <v>97332</v>
      </c>
      <c r="P1574" s="5">
        <v>17</v>
      </c>
      <c r="Q1574" s="14">
        <v>46282</v>
      </c>
      <c r="R1574" s="15">
        <v>133</v>
      </c>
    </row>
    <row r="1575" spans="2:18" x14ac:dyDescent="0.35">
      <c r="B1575" s="9">
        <v>1481</v>
      </c>
      <c r="C1575" s="9" t="str">
        <v>출고재고</v>
      </c>
      <c r="D1575" s="9" t="str">
        <v/>
      </c>
      <c r="E1575" s="9" t="str">
        <v/>
      </c>
      <c r="F1575" s="9" t="str">
        <v/>
      </c>
      <c r="G1575" s="9" t="str">
        <v/>
      </c>
      <c r="H1575" s="9" t="str">
        <v>RA-09A-2730</v>
      </c>
      <c r="I1575" s="11" t="str">
        <v>RA-09A-2730]ASM COMPONENT SUB-2</v>
      </c>
      <c r="J1575" s="9">
        <v>173</v>
      </c>
      <c r="K1575" s="9" t="str">
        <v/>
      </c>
      <c r="L1575" s="9" t="str">
        <v>T</v>
      </c>
      <c r="M1575" s="12">
        <v>46282</v>
      </c>
      <c r="N1575" s="5" t="str">
        <v/>
      </c>
      <c r="O1575" s="5">
        <v>97332</v>
      </c>
      <c r="P1575" s="5">
        <v>20</v>
      </c>
      <c r="Q1575" s="14">
        <v>46282</v>
      </c>
      <c r="R1575" s="15">
        <v>153</v>
      </c>
    </row>
    <row r="1576" spans="2:18" x14ac:dyDescent="0.35">
      <c r="B1576" s="9">
        <v>1497</v>
      </c>
      <c r="C1576" s="9" t="str">
        <v>출고재고</v>
      </c>
      <c r="D1576" s="9" t="str">
        <v/>
      </c>
      <c r="E1576" s="9" t="str">
        <v/>
      </c>
      <c r="F1576" s="9" t="str">
        <v/>
      </c>
      <c r="G1576" s="9" t="str">
        <v/>
      </c>
      <c r="H1576" s="9" t="str">
        <v>RA-03A-0315</v>
      </c>
      <c r="I1576" s="11" t="str">
        <v>RA-03A-0315]ASM CAS CLMN LWR (L)</v>
      </c>
      <c r="J1576" s="9">
        <v>199</v>
      </c>
      <c r="K1576" s="9" t="str">
        <v/>
      </c>
      <c r="L1576" s="9" t="str">
        <v>V</v>
      </c>
      <c r="M1576" s="12">
        <v>46282</v>
      </c>
      <c r="N1576" s="5" t="str">
        <v/>
      </c>
      <c r="O1576" s="5">
        <v>97332</v>
      </c>
      <c r="P1576" s="5">
        <v>20</v>
      </c>
      <c r="Q1576" s="14">
        <v>46282</v>
      </c>
      <c r="R1576" s="15">
        <v>179</v>
      </c>
    </row>
    <row r="1577" spans="2:18" x14ac:dyDescent="0.35">
      <c r="B1577" s="9">
        <v>1493</v>
      </c>
      <c r="C1577" s="9" t="str">
        <v>출고재고</v>
      </c>
      <c r="D1577" s="9" t="str">
        <v/>
      </c>
      <c r="E1577" s="9" t="str">
        <v/>
      </c>
      <c r="F1577" s="9" t="str">
        <v/>
      </c>
      <c r="G1577" s="9" t="str">
        <v/>
      </c>
      <c r="H1577" s="9" t="str">
        <v>RA-5-7</v>
      </c>
      <c r="I1577" s="11" t="str">
        <v>RA-5-7]EARTH SHAFT TO WALL</v>
      </c>
      <c r="J1577" s="9">
        <v>200</v>
      </c>
      <c r="K1577" s="9" t="str">
        <v/>
      </c>
      <c r="L1577" s="9" t="str">
        <v>G4</v>
      </c>
      <c r="M1577" s="12">
        <v>46282</v>
      </c>
      <c r="N1577" s="5" t="str">
        <v/>
      </c>
      <c r="O1577" s="5">
        <v>97332</v>
      </c>
      <c r="P1577" s="5">
        <v>20</v>
      </c>
      <c r="Q1577" s="14">
        <v>46282</v>
      </c>
      <c r="R1577" s="15">
        <v>180</v>
      </c>
    </row>
    <row r="1578" spans="2:18" x14ac:dyDescent="0.35">
      <c r="B1578" s="9">
        <v>1495</v>
      </c>
      <c r="C1578" s="9" t="str">
        <v>출고재고</v>
      </c>
      <c r="D1578" s="9" t="str">
        <v/>
      </c>
      <c r="E1578" s="9" t="str">
        <v/>
      </c>
      <c r="F1578" s="9" t="str">
        <v/>
      </c>
      <c r="G1578" s="9" t="str">
        <v/>
      </c>
      <c r="H1578" s="9" t="str">
        <v>RA-5-6</v>
      </c>
      <c r="I1578" s="11" t="str">
        <v>RA-5-6]EARTH SHAFT TO PC</v>
      </c>
      <c r="J1578" s="9">
        <v>209</v>
      </c>
      <c r="K1578" s="9" t="str">
        <v/>
      </c>
      <c r="L1578" s="9" t="str">
        <v>G4</v>
      </c>
      <c r="M1578" s="12">
        <v>46282</v>
      </c>
      <c r="N1578" s="5" t="str">
        <v/>
      </c>
      <c r="O1578" s="5">
        <v>97332</v>
      </c>
      <c r="P1578" s="5">
        <v>20</v>
      </c>
      <c r="Q1578" s="14">
        <v>46282</v>
      </c>
      <c r="R1578" s="15">
        <v>189</v>
      </c>
    </row>
    <row r="1579" spans="2:18" x14ac:dyDescent="0.35">
      <c r="B1579" s="9">
        <v>1395</v>
      </c>
      <c r="C1579" s="9" t="str">
        <v>출고재고</v>
      </c>
      <c r="D1579" s="9" t="str">
        <v/>
      </c>
      <c r="E1579" s="9" t="str">
        <v/>
      </c>
      <c r="F1579" s="9" t="str">
        <v/>
      </c>
      <c r="G1579" s="9" t="str">
        <v/>
      </c>
      <c r="H1579" s="9" t="str">
        <v>RA-09M-1134</v>
      </c>
      <c r="I1579" s="11" t="str">
        <v>RA-09M-1134]BLK GUIDE BITE</v>
      </c>
      <c r="J1579" s="9">
        <v>229</v>
      </c>
      <c r="K1579" s="9" t="str">
        <v/>
      </c>
      <c r="L1579" s="9" t="str">
        <v>L1-1</v>
      </c>
      <c r="M1579" s="12">
        <v>46283</v>
      </c>
      <c r="N1579" s="5" t="str">
        <v/>
      </c>
      <c r="O1579" s="5">
        <v>97332</v>
      </c>
      <c r="P1579" s="5">
        <v>20</v>
      </c>
      <c r="Q1579" s="14">
        <v>46282</v>
      </c>
      <c r="R1579" s="15">
        <v>209</v>
      </c>
    </row>
    <row r="1580" spans="2:18" x14ac:dyDescent="0.35">
      <c r="B1580" s="9">
        <v>1500</v>
      </c>
      <c r="C1580" s="9" t="str">
        <v>출고재고</v>
      </c>
      <c r="D1580" s="9" t="str">
        <v/>
      </c>
      <c r="E1580" s="9" t="str">
        <v/>
      </c>
      <c r="F1580" s="9" t="str">
        <v/>
      </c>
      <c r="G1580" s="9" t="str">
        <v/>
      </c>
      <c r="H1580" s="9" t="str">
        <v>RA-01T-1791</v>
      </c>
      <c r="I1580" s="11" t="str">
        <v>RA-01T-1791]CAS MAIN Bas REAR</v>
      </c>
      <c r="J1580" s="9">
        <v>398</v>
      </c>
      <c r="K1580" s="9" t="str">
        <v/>
      </c>
      <c r="L1580" s="9" t="str">
        <v>V</v>
      </c>
      <c r="M1580" s="12">
        <v>46282</v>
      </c>
      <c r="N1580" s="5" t="str">
        <v/>
      </c>
      <c r="O1580" s="5">
        <v>97332</v>
      </c>
      <c r="P1580" s="5">
        <v>20</v>
      </c>
      <c r="Q1580" s="14">
        <v>46282</v>
      </c>
      <c r="R1580" s="15">
        <v>378</v>
      </c>
    </row>
    <row r="1581" spans="2:18" x14ac:dyDescent="0.35">
      <c r="B1581" s="9">
        <v>1393</v>
      </c>
      <c r="C1581" s="9" t="str">
        <v>출고재고</v>
      </c>
      <c r="D1581" s="9" t="str">
        <v/>
      </c>
      <c r="E1581" s="9" t="str">
        <v/>
      </c>
      <c r="F1581" s="9" t="str">
        <v/>
      </c>
      <c r="G1581" s="9" t="str">
        <v/>
      </c>
      <c r="H1581" s="9" t="str">
        <v>RA-09T-1184</v>
      </c>
      <c r="I1581" s="11" t="str">
        <v>RA-09T-1184]CAS CHINREST</v>
      </c>
      <c r="J1581" s="9">
        <v>449</v>
      </c>
      <c r="K1581" s="9" t="str">
        <v/>
      </c>
      <c r="L1581" s="9" t="str">
        <v>S</v>
      </c>
      <c r="M1581" s="12">
        <v>46283</v>
      </c>
      <c r="N1581" s="5" t="str">
        <v/>
      </c>
      <c r="O1581" s="5">
        <v>97332</v>
      </c>
      <c r="P1581" s="5">
        <v>20</v>
      </c>
      <c r="Q1581" s="14">
        <v>46282</v>
      </c>
      <c r="R1581" s="15">
        <v>429</v>
      </c>
    </row>
    <row r="1582" spans="2:18" x14ac:dyDescent="0.35">
      <c r="B1582" s="9">
        <v>1501</v>
      </c>
      <c r="C1582" s="9" t="str">
        <v>출고재고</v>
      </c>
      <c r="D1582" s="9" t="str">
        <v/>
      </c>
      <c r="E1582" s="9" t="str">
        <v/>
      </c>
      <c r="F1582" s="9" t="str">
        <v/>
      </c>
      <c r="G1582" s="9" t="str">
        <v/>
      </c>
      <c r="H1582" s="9" t="str">
        <v>RA-03T-0072</v>
      </c>
      <c r="I1582" s="11" t="str">
        <v>RA-03T-0072]CAS CLMN BODY REAR</v>
      </c>
      <c r="J1582" s="9">
        <v>546</v>
      </c>
      <c r="K1582" s="9" t="str">
        <v/>
      </c>
      <c r="L1582" s="9" t="str">
        <v>V</v>
      </c>
      <c r="M1582" s="12">
        <v>46282</v>
      </c>
      <c r="N1582" s="5" t="str">
        <v/>
      </c>
      <c r="O1582" s="5">
        <v>97332</v>
      </c>
      <c r="P1582" s="5">
        <v>20</v>
      </c>
      <c r="Q1582" s="14">
        <v>46282</v>
      </c>
      <c r="R1582" s="15">
        <v>526</v>
      </c>
    </row>
    <row r="1583" spans="2:18" x14ac:dyDescent="0.35">
      <c r="B1583" s="9">
        <v>1502</v>
      </c>
      <c r="C1583" s="9" t="str">
        <v>출고재고</v>
      </c>
      <c r="D1583" s="9" t="str">
        <v/>
      </c>
      <c r="E1583" s="9" t="str">
        <v/>
      </c>
      <c r="F1583" s="9" t="str">
        <v/>
      </c>
      <c r="G1583" s="9" t="str">
        <v/>
      </c>
      <c r="H1583" s="9" t="str">
        <v>RA-09T-0733</v>
      </c>
      <c r="I1583" s="11" t="str">
        <v>RA-09T-0733]CAS S.W HLDR</v>
      </c>
      <c r="J1583" s="9">
        <v>667</v>
      </c>
      <c r="K1583" s="9" t="str">
        <v/>
      </c>
      <c r="L1583" s="9" t="str">
        <v>R</v>
      </c>
      <c r="M1583" s="12">
        <v>46282</v>
      </c>
      <c r="N1583" s="5" t="str">
        <v/>
      </c>
      <c r="O1583" s="5">
        <v>97332</v>
      </c>
      <c r="P1583" s="5">
        <v>20</v>
      </c>
      <c r="Q1583" s="14">
        <v>46282</v>
      </c>
      <c r="R1583" s="15">
        <v>647</v>
      </c>
    </row>
    <row r="1584" spans="2:18" x14ac:dyDescent="0.35">
      <c r="B1584" s="9">
        <v>273</v>
      </c>
      <c r="C1584" s="9" t="str">
        <v>출고재고</v>
      </c>
      <c r="D1584" s="9" t="str">
        <v/>
      </c>
      <c r="E1584" s="9" t="str">
        <v/>
      </c>
      <c r="F1584" s="9" t="str">
        <v/>
      </c>
      <c r="G1584" s="9" t="str">
        <v/>
      </c>
      <c r="H1584" s="9" t="str">
        <v>RA-8-17</v>
      </c>
      <c r="I1584" s="11" t="str">
        <v>RA-8-17]AC POWER OC(V)</v>
      </c>
      <c r="J1584" s="9">
        <v>48</v>
      </c>
      <c r="K1584" s="9" t="str">
        <v/>
      </c>
      <c r="L1584" s="9" t="str">
        <v>G2-3</v>
      </c>
      <c r="M1584" s="12">
        <v>46232</v>
      </c>
      <c r="N1584" s="5" t="str">
        <v/>
      </c>
      <c r="O1584" s="5">
        <v>97333</v>
      </c>
      <c r="P1584" s="5">
        <v>3</v>
      </c>
      <c r="Q1584" s="14">
        <v>46279</v>
      </c>
      <c r="R1584" s="15">
        <v>45</v>
      </c>
    </row>
    <row r="1585" spans="2:18" x14ac:dyDescent="0.35">
      <c r="B1585" s="9">
        <v>269</v>
      </c>
      <c r="C1585" s="9" t="str">
        <v>출고재고</v>
      </c>
      <c r="D1585" s="9" t="str">
        <v/>
      </c>
      <c r="E1585" s="9" t="str">
        <v/>
      </c>
      <c r="F1585" s="9" t="str">
        <v/>
      </c>
      <c r="G1585" s="9" t="str">
        <v/>
      </c>
      <c r="H1585" s="9" t="str">
        <v>RA-5-2</v>
      </c>
      <c r="I1585" s="11" t="str">
        <v>RA-5-2_2]EARTH CEPH</v>
      </c>
      <c r="J1585" s="9">
        <v>124</v>
      </c>
      <c r="K1585" s="9" t="str">
        <v/>
      </c>
      <c r="L1585" s="9" t="str">
        <v>G4</v>
      </c>
      <c r="M1585" s="12">
        <v>46232</v>
      </c>
      <c r="N1585" s="5" t="str">
        <v/>
      </c>
      <c r="O1585" s="5">
        <v>97333</v>
      </c>
      <c r="P1585" s="5">
        <v>3</v>
      </c>
      <c r="Q1585" s="14">
        <v>46279</v>
      </c>
      <c r="R1585" s="15">
        <v>121</v>
      </c>
    </row>
    <row r="1586" spans="2:18" x14ac:dyDescent="0.35">
      <c r="B1586" s="9">
        <v>294</v>
      </c>
      <c r="C1586" s="9" t="str">
        <v>출고재고</v>
      </c>
      <c r="D1586" s="9" t="str">
        <v/>
      </c>
      <c r="E1586" s="9" t="str">
        <v/>
      </c>
      <c r="F1586" s="9" t="str">
        <v/>
      </c>
      <c r="G1586" s="9" t="str">
        <v/>
      </c>
      <c r="H1586" s="9" t="str">
        <v>RA-08T-1466</v>
      </c>
      <c r="I1586" s="11" t="str">
        <v>RA-08T-1466]CAS CEPH EAR-ROD</v>
      </c>
      <c r="J1586" s="9">
        <v>333</v>
      </c>
      <c r="K1586" s="9" t="str">
        <v/>
      </c>
      <c r="L1586" s="9" t="str">
        <v>S</v>
      </c>
      <c r="M1586" s="12">
        <v>46232</v>
      </c>
      <c r="N1586" s="5" t="str">
        <v/>
      </c>
      <c r="O1586" s="5">
        <v>97333</v>
      </c>
      <c r="P1586" s="5">
        <v>6</v>
      </c>
      <c r="Q1586" s="14">
        <v>46279</v>
      </c>
      <c r="R1586" s="15">
        <v>327</v>
      </c>
    </row>
    <row r="1587" spans="2:18" x14ac:dyDescent="0.35">
      <c r="B1587" s="9">
        <v>288</v>
      </c>
      <c r="C1587" s="9" t="str">
        <v>출고재고</v>
      </c>
      <c r="D1587" s="9" t="str">
        <v/>
      </c>
      <c r="E1587" s="9" t="str">
        <v/>
      </c>
      <c r="F1587" s="9" t="str">
        <v/>
      </c>
      <c r="G1587" s="9" t="str">
        <v/>
      </c>
      <c r="H1587" s="9" t="str">
        <v>RA-08M-0708</v>
      </c>
      <c r="I1587" s="11" t="str">
        <v>RA-08M-0708]RING EARLOD</v>
      </c>
      <c r="J1587" s="9">
        <v>596</v>
      </c>
      <c r="K1587" s="9" t="str">
        <v/>
      </c>
      <c r="L1587" s="9" t="str">
        <v>E1-1</v>
      </c>
      <c r="M1587" s="12">
        <v>46232</v>
      </c>
      <c r="N1587" s="5" t="str">
        <v/>
      </c>
      <c r="O1587" s="5">
        <v>97333</v>
      </c>
      <c r="P1587" s="5">
        <v>3</v>
      </c>
      <c r="Q1587" s="14">
        <v>46279</v>
      </c>
      <c r="R1587" s="15">
        <v>593</v>
      </c>
    </row>
    <row r="1588" spans="2:18" x14ac:dyDescent="0.35">
      <c r="B1588" s="9">
        <v>287</v>
      </c>
      <c r="C1588" s="9" t="str">
        <v>출고재고</v>
      </c>
      <c r="D1588" s="9" t="str">
        <v/>
      </c>
      <c r="E1588" s="9" t="str">
        <v/>
      </c>
      <c r="F1588" s="9" t="str">
        <v/>
      </c>
      <c r="G1588" s="9" t="str">
        <v/>
      </c>
      <c r="H1588" s="9" t="str">
        <v>RA-08M-0707</v>
      </c>
      <c r="I1588" s="11" t="str">
        <v>RA-08M-0707]CAP EARLOD</v>
      </c>
      <c r="J1588" s="9">
        <v>712</v>
      </c>
      <c r="K1588" s="9" t="str">
        <v/>
      </c>
      <c r="L1588" s="9" t="str">
        <v>E1-1</v>
      </c>
      <c r="M1588" s="12">
        <v>46232</v>
      </c>
      <c r="N1588" s="5" t="str">
        <v/>
      </c>
      <c r="O1588" s="5">
        <v>97333</v>
      </c>
      <c r="P1588" s="5">
        <v>3</v>
      </c>
      <c r="Q1588" s="14">
        <v>46279</v>
      </c>
      <c r="R1588" s="15">
        <v>709</v>
      </c>
    </row>
    <row r="1589" spans="2:18" x14ac:dyDescent="0.35">
      <c r="B1589" s="9">
        <v>829</v>
      </c>
      <c r="C1589" s="9" t="str">
        <v>출고재고</v>
      </c>
      <c r="D1589" s="9" t="str">
        <v/>
      </c>
      <c r="E1589" s="9" t="str">
        <v/>
      </c>
      <c r="F1589" s="9" t="str">
        <v/>
      </c>
      <c r="G1589" s="9" t="str">
        <v/>
      </c>
      <c r="H1589" s="9" t="str">
        <v>RA-04A-6035</v>
      </c>
      <c r="I1589" s="11" t="str">
        <v>RA-04A-6035_4]Bd ASSY'-THU Bd</v>
      </c>
      <c r="J1589" s="9">
        <v>40</v>
      </c>
      <c r="K1589" s="9" t="str">
        <v/>
      </c>
      <c r="L1589" s="9" t="str">
        <v>A1-1</v>
      </c>
      <c r="M1589" s="12">
        <v>46274</v>
      </c>
      <c r="N1589" s="5" t="str">
        <v/>
      </c>
      <c r="O1589" s="5">
        <v>97340</v>
      </c>
      <c r="P1589" s="5">
        <v>15</v>
      </c>
      <c r="Q1589" s="14">
        <v>46276</v>
      </c>
      <c r="R1589" s="15">
        <v>25</v>
      </c>
    </row>
    <row r="1590" spans="2:18" x14ac:dyDescent="0.35">
      <c r="B1590" s="9">
        <v>970</v>
      </c>
      <c r="C1590" s="9" t="str">
        <v>출고재고</v>
      </c>
      <c r="D1590" s="9" t="str">
        <v/>
      </c>
      <c r="E1590" s="9" t="str">
        <v>기초</v>
      </c>
      <c r="F1590" s="9" t="str">
        <v/>
      </c>
      <c r="G1590" s="9" t="str">
        <v/>
      </c>
      <c r="H1590" s="9" t="str">
        <v>RA-03A-2713</v>
      </c>
      <c r="I1590" s="11" t="str">
        <v>ASM COLUMN BODY</v>
      </c>
      <c r="J1590" s="9">
        <v>62</v>
      </c>
      <c r="K1590" s="9" t="str">
        <v/>
      </c>
      <c r="L1590" s="9" t="str">
        <v>Q</v>
      </c>
      <c r="M1590" s="12">
        <v>46276</v>
      </c>
      <c r="N1590" s="5" t="str">
        <v/>
      </c>
      <c r="O1590" s="5">
        <v>97340</v>
      </c>
      <c r="P1590" s="5">
        <v>36</v>
      </c>
      <c r="Q1590" s="14">
        <v>46276</v>
      </c>
      <c r="R1590" s="15">
        <v>26</v>
      </c>
    </row>
    <row r="1591" spans="2:18" x14ac:dyDescent="0.35">
      <c r="B1591" s="9">
        <v>650</v>
      </c>
      <c r="C1591" s="9" t="str">
        <v>출고재고</v>
      </c>
      <c r="D1591" s="9" t="str">
        <v/>
      </c>
      <c r="E1591" s="9" t="str">
        <v>기초</v>
      </c>
      <c r="F1591" s="9" t="str">
        <v/>
      </c>
      <c r="G1591" s="9" t="str">
        <v/>
      </c>
      <c r="H1591" s="9" t="str">
        <v>RA-06A-2747</v>
      </c>
      <c r="I1591" s="11" t="str">
        <v>RA-06A-2747]ASM EXTRUSION COL (VN)</v>
      </c>
      <c r="J1591" s="9">
        <v>164</v>
      </c>
      <c r="K1591" s="9" t="str">
        <v/>
      </c>
      <c r="L1591" s="9" t="str">
        <v>O1</v>
      </c>
      <c r="M1591" s="12">
        <v>46273</v>
      </c>
      <c r="N1591" s="5" t="str">
        <v/>
      </c>
      <c r="O1591" s="5">
        <v>97921</v>
      </c>
      <c r="P1591" s="5">
        <v>1</v>
      </c>
      <c r="Q1591" s="14">
        <v>46276</v>
      </c>
      <c r="R1591" s="15">
        <v>163</v>
      </c>
    </row>
    <row r="1592" spans="2:18" x14ac:dyDescent="0.35">
      <c r="B1592" s="9">
        <v>729</v>
      </c>
      <c r="C1592" s="9" t="str">
        <v>출고재고</v>
      </c>
      <c r="D1592" s="9" t="str">
        <v/>
      </c>
      <c r="E1592" s="9" t="str">
        <v/>
      </c>
      <c r="F1592" s="9" t="str">
        <v/>
      </c>
      <c r="G1592" s="9" t="str">
        <v/>
      </c>
      <c r="H1592" s="9" t="str">
        <v>RA-10-2</v>
      </c>
      <c r="I1592" s="11" t="str">
        <v>RA-10-2]PRIME CABLE ASS’Y</v>
      </c>
      <c r="J1592" s="9">
        <v>156</v>
      </c>
      <c r="K1592" s="9" t="str">
        <v/>
      </c>
      <c r="L1592" s="9" t="str">
        <v>G4</v>
      </c>
      <c r="M1592" s="12">
        <v>46275</v>
      </c>
      <c r="N1592" s="5" t="str">
        <v/>
      </c>
      <c r="O1592" s="5">
        <v>97931</v>
      </c>
      <c r="P1592" s="5">
        <v>30</v>
      </c>
      <c r="Q1592" s="14">
        <v>46276</v>
      </c>
      <c r="R1592" s="15">
        <v>126</v>
      </c>
    </row>
    <row r="1593" spans="2:18" x14ac:dyDescent="0.35">
      <c r="B1593" s="9">
        <v>1036</v>
      </c>
      <c r="C1593" s="9" t="str">
        <v>출고재고</v>
      </c>
      <c r="D1593" s="9" t="str">
        <v/>
      </c>
      <c r="E1593" s="9" t="str">
        <v>기초</v>
      </c>
      <c r="F1593" s="9" t="str">
        <v/>
      </c>
      <c r="G1593" s="9" t="str">
        <v/>
      </c>
      <c r="H1593" s="9" t="str">
        <v>RA-09T-2534</v>
      </c>
      <c r="I1593" s="11" t="str">
        <v>RA-09T-2534]CAS CT HEADREST (A+)</v>
      </c>
      <c r="J1593" s="9">
        <v>218</v>
      </c>
      <c r="K1593" s="9" t="str">
        <v/>
      </c>
      <c r="L1593" s="9" t="str">
        <v>S</v>
      </c>
      <c r="M1593" s="12">
        <v>46276</v>
      </c>
      <c r="N1593" s="5" t="str">
        <v/>
      </c>
      <c r="O1593" s="5">
        <v>97932</v>
      </c>
      <c r="P1593" s="5">
        <v>2</v>
      </c>
      <c r="Q1593" s="14">
        <v>46276</v>
      </c>
      <c r="R1593" s="15">
        <v>216</v>
      </c>
    </row>
    <row r="1594" spans="2:18" x14ac:dyDescent="0.35">
      <c r="B1594" s="9">
        <v>2511</v>
      </c>
      <c r="C1594" s="9" t="str">
        <v>출고재고</v>
      </c>
      <c r="D1594" s="9" t="str">
        <v/>
      </c>
      <c r="E1594" s="9" t="str">
        <v/>
      </c>
      <c r="F1594" s="9" t="str">
        <v/>
      </c>
      <c r="G1594" s="9" t="str">
        <v/>
      </c>
      <c r="H1594" s="9" t="str">
        <v>RA-04A-6035</v>
      </c>
      <c r="I1594" s="11" t="str">
        <v>RA-04A-6035_4]Bd ASSY'-THU Bd</v>
      </c>
      <c r="J1594" s="9">
        <v>2</v>
      </c>
      <c r="K1594" s="9" t="str">
        <v/>
      </c>
      <c r="L1594" s="9" t="str">
        <v>A1-1</v>
      </c>
      <c r="M1594" s="12">
        <v>46296</v>
      </c>
      <c r="N1594" s="5" t="str">
        <v/>
      </c>
      <c r="O1594" s="5">
        <v>97937</v>
      </c>
      <c r="P1594" s="5">
        <v>2</v>
      </c>
      <c r="Q1594" s="14">
        <v>46296</v>
      </c>
      <c r="R1594" s="15">
        <v>0</v>
      </c>
    </row>
    <row r="1595" spans="2:18" x14ac:dyDescent="0.35">
      <c r="B1595" s="9">
        <v>2509</v>
      </c>
      <c r="C1595" s="9" t="str">
        <v>출고재고</v>
      </c>
      <c r="D1595" s="9" t="str">
        <v/>
      </c>
      <c r="E1595" s="9" t="str">
        <v>입고</v>
      </c>
      <c r="F1595" s="9" t="str">
        <v>하이버스</v>
      </c>
      <c r="G1595" s="9" t="str">
        <v>장동은</v>
      </c>
      <c r="H1595" s="9" t="str">
        <v>RA-04A-6035</v>
      </c>
      <c r="I1595" s="11" t="str">
        <v>RA-04A-6035_4]Bd ASSY'-THU Bd</v>
      </c>
      <c r="J1595" s="9">
        <v>100</v>
      </c>
      <c r="K1595" s="9" t="str">
        <v/>
      </c>
      <c r="L1595" s="9" t="str">
        <v>A1-1</v>
      </c>
      <c r="M1595" s="12">
        <v>46295</v>
      </c>
      <c r="N1595" s="5" t="str">
        <v/>
      </c>
      <c r="O1595" s="5">
        <v>97937</v>
      </c>
      <c r="P1595" s="5">
        <v>13</v>
      </c>
      <c r="Q1595" s="14">
        <v>46296</v>
      </c>
      <c r="R1595" s="15">
        <v>87</v>
      </c>
    </row>
    <row r="1596" spans="2:18" x14ac:dyDescent="0.35">
      <c r="B1596" s="9">
        <v>1998</v>
      </c>
      <c r="C1596" s="9" t="str">
        <v>출고재고</v>
      </c>
      <c r="D1596" s="9" t="str">
        <v/>
      </c>
      <c r="E1596" s="9" t="str">
        <v/>
      </c>
      <c r="F1596" s="9" t="str">
        <v/>
      </c>
      <c r="G1596" s="9" t="str">
        <v/>
      </c>
      <c r="H1596" s="9" t="str">
        <v>RA-04A-0899</v>
      </c>
      <c r="I1596" s="11" t="str">
        <v>RA-04A-0899]ASM LCD M101NWT2 R1</v>
      </c>
      <c r="J1596" s="9">
        <v>178</v>
      </c>
      <c r="K1596" s="9" t="str">
        <v/>
      </c>
      <c r="L1596" s="9" t="str">
        <v>A16</v>
      </c>
      <c r="M1596" s="12">
        <v>46294</v>
      </c>
      <c r="N1596" s="5" t="str">
        <v/>
      </c>
      <c r="O1596" s="5">
        <v>97937</v>
      </c>
      <c r="P1596" s="5">
        <v>20</v>
      </c>
      <c r="Q1596" s="14">
        <v>46294</v>
      </c>
      <c r="R1596" s="15">
        <v>158</v>
      </c>
    </row>
    <row r="1597" spans="2:18" x14ac:dyDescent="0.35">
      <c r="B1597" s="9">
        <v>1388</v>
      </c>
      <c r="C1597" s="9" t="str">
        <v>출고재고</v>
      </c>
      <c r="D1597" s="9" t="str">
        <v/>
      </c>
      <c r="E1597" s="9" t="str">
        <v/>
      </c>
      <c r="F1597" s="9" t="str">
        <v/>
      </c>
      <c r="G1597" s="9" t="str">
        <v/>
      </c>
      <c r="H1597" s="9" t="str">
        <v>RA-09A-0345</v>
      </c>
      <c r="I1597" s="11" t="str">
        <v>RA-09A-0345]ASM REMOTE CONTROL</v>
      </c>
      <c r="J1597" s="9">
        <v>23</v>
      </c>
      <c r="K1597" s="9" t="str">
        <v/>
      </c>
      <c r="L1597" s="9" t="str">
        <v>L1-1</v>
      </c>
      <c r="M1597" s="12">
        <v>46283</v>
      </c>
      <c r="N1597" s="5" t="str">
        <v/>
      </c>
      <c r="O1597" s="5">
        <v>97938</v>
      </c>
      <c r="P1597" s="5">
        <v>20</v>
      </c>
      <c r="Q1597" s="14">
        <v>46282</v>
      </c>
      <c r="R1597" s="15">
        <v>3</v>
      </c>
    </row>
    <row r="1598" spans="2:18" x14ac:dyDescent="0.35">
      <c r="B1598" s="9">
        <v>1161</v>
      </c>
      <c r="C1598" s="9" t="str">
        <v>출고재고</v>
      </c>
      <c r="D1598" s="9" t="str">
        <v/>
      </c>
      <c r="E1598" s="9" t="str">
        <v/>
      </c>
      <c r="F1598" s="9" t="str">
        <v/>
      </c>
      <c r="G1598" s="9" t="str">
        <v/>
      </c>
      <c r="H1598" s="9" t="str">
        <v>RA-01T-1790</v>
      </c>
      <c r="I1598" s="11" t="str">
        <v>RA-01T-1790]CAS MAIN Bas FRONT</v>
      </c>
      <c r="J1598" s="9">
        <v>30</v>
      </c>
      <c r="K1598" s="9" t="str">
        <v/>
      </c>
      <c r="L1598" s="9" t="str">
        <v>V</v>
      </c>
      <c r="M1598" s="12">
        <v>46281</v>
      </c>
      <c r="N1598" s="5" t="str">
        <v/>
      </c>
      <c r="O1598" s="5">
        <v>97938</v>
      </c>
      <c r="P1598" s="5">
        <v>20</v>
      </c>
      <c r="Q1598" s="14">
        <v>46282</v>
      </c>
      <c r="R1598" s="15">
        <v>10</v>
      </c>
    </row>
    <row r="1599" spans="2:18" x14ac:dyDescent="0.35">
      <c r="B1599" s="9">
        <v>935</v>
      </c>
      <c r="C1599" s="9" t="str">
        <v>출고재고</v>
      </c>
      <c r="D1599" s="9" t="str">
        <v/>
      </c>
      <c r="E1599" s="9" t="str">
        <v>기초</v>
      </c>
      <c r="F1599" s="9" t="str">
        <v/>
      </c>
      <c r="G1599" s="9" t="str">
        <v/>
      </c>
      <c r="H1599" s="9" t="str">
        <v>RA-09T-3991</v>
      </c>
      <c r="I1599" s="11" t="str">
        <v>RA-09T-3991]CAS CHINREST (MG)</v>
      </c>
      <c r="J1599" s="9">
        <v>40</v>
      </c>
      <c r="K1599" s="9" t="str">
        <v/>
      </c>
      <c r="L1599" s="9" t="str">
        <v>N6</v>
      </c>
      <c r="M1599" s="12">
        <v>46276</v>
      </c>
      <c r="N1599" s="5" t="str">
        <v/>
      </c>
      <c r="O1599" s="5">
        <v>97938</v>
      </c>
      <c r="P1599" s="5">
        <v>20</v>
      </c>
      <c r="Q1599" s="14">
        <v>46282</v>
      </c>
      <c r="R1599" s="15">
        <v>20</v>
      </c>
    </row>
    <row r="1600" spans="2:18" x14ac:dyDescent="0.35">
      <c r="B1600" s="9">
        <v>1382</v>
      </c>
      <c r="C1600" s="9" t="str">
        <v>출고재고</v>
      </c>
      <c r="D1600" s="9" t="str">
        <v/>
      </c>
      <c r="E1600" s="9" t="str">
        <v/>
      </c>
      <c r="F1600" s="9" t="str">
        <v/>
      </c>
      <c r="G1600" s="9" t="str">
        <v/>
      </c>
      <c r="H1600" s="9" t="str">
        <v>RA-03V-0054</v>
      </c>
      <c r="I1600" s="11" t="str">
        <v>RA-03V-0054]HLDR CAS CLMN BODY LWR 1</v>
      </c>
      <c r="J1600" s="9">
        <v>45</v>
      </c>
      <c r="K1600" s="9" t="str">
        <v/>
      </c>
      <c r="L1600" s="9" t="str">
        <v>L1-2</v>
      </c>
      <c r="M1600" s="12">
        <v>46283</v>
      </c>
      <c r="N1600" s="5" t="str">
        <v/>
      </c>
      <c r="O1600" s="5">
        <v>97938</v>
      </c>
      <c r="P1600" s="5">
        <v>20</v>
      </c>
      <c r="Q1600" s="14">
        <v>46282</v>
      </c>
      <c r="R1600" s="15">
        <v>25</v>
      </c>
    </row>
    <row r="1601" spans="2:18" x14ac:dyDescent="0.35">
      <c r="B1601" s="9">
        <v>856</v>
      </c>
      <c r="C1601" s="9" t="str">
        <v>출고재고</v>
      </c>
      <c r="D1601" s="9" t="str">
        <v/>
      </c>
      <c r="E1601" s="9" t="str">
        <v/>
      </c>
      <c r="F1601" s="9" t="str">
        <v/>
      </c>
      <c r="G1601" s="9" t="str">
        <v/>
      </c>
      <c r="H1601" s="9" t="str">
        <v>RA-02T-2182</v>
      </c>
      <c r="I1601" s="11" t="str">
        <v>RA-02T-2182]CAS VERT UPPER (A+)</v>
      </c>
      <c r="J1601" s="9">
        <v>48</v>
      </c>
      <c r="K1601" s="9" t="str">
        <v/>
      </c>
      <c r="L1601" s="9" t="str">
        <v>V</v>
      </c>
      <c r="M1601" s="12">
        <v>46275</v>
      </c>
      <c r="N1601" s="5" t="str">
        <v/>
      </c>
      <c r="O1601" s="5">
        <v>97938</v>
      </c>
      <c r="P1601" s="5">
        <v>20</v>
      </c>
      <c r="Q1601" s="14">
        <v>46282</v>
      </c>
      <c r="R1601" s="15">
        <v>28</v>
      </c>
    </row>
    <row r="1602" spans="2:18" x14ac:dyDescent="0.35">
      <c r="B1602" s="9">
        <v>1383</v>
      </c>
      <c r="C1602" s="9" t="str">
        <v>출고재고</v>
      </c>
      <c r="D1602" s="9" t="str">
        <v/>
      </c>
      <c r="E1602" s="9" t="str">
        <v/>
      </c>
      <c r="F1602" s="9" t="str">
        <v/>
      </c>
      <c r="G1602" s="9" t="str">
        <v/>
      </c>
      <c r="H1602" s="9" t="str">
        <v>RA-03V-0055</v>
      </c>
      <c r="I1602" s="11" t="str">
        <v>RA-03V-0055]HLDR CAS CLMN BODY LWR 2</v>
      </c>
      <c r="J1602" s="9">
        <v>98</v>
      </c>
      <c r="K1602" s="9" t="str">
        <v/>
      </c>
      <c r="L1602" s="9" t="str">
        <v>L1-2</v>
      </c>
      <c r="M1602" s="12">
        <v>46283</v>
      </c>
      <c r="N1602" s="5" t="str">
        <v/>
      </c>
      <c r="O1602" s="5">
        <v>97938</v>
      </c>
      <c r="P1602" s="5">
        <v>20</v>
      </c>
      <c r="Q1602" s="14">
        <v>46282</v>
      </c>
      <c r="R1602" s="15">
        <v>78</v>
      </c>
    </row>
    <row r="1603" spans="2:18" x14ac:dyDescent="0.35">
      <c r="B1603" s="9">
        <v>1384</v>
      </c>
      <c r="C1603" s="9" t="str">
        <v>출고재고</v>
      </c>
      <c r="D1603" s="9" t="str">
        <v/>
      </c>
      <c r="E1603" s="9" t="str">
        <v/>
      </c>
      <c r="F1603" s="9" t="str">
        <v/>
      </c>
      <c r="G1603" s="9" t="str">
        <v/>
      </c>
      <c r="H1603" s="9" t="str">
        <v>RA-03A-0314</v>
      </c>
      <c r="I1603" s="11" t="str">
        <v>RA-03A-0314]ASM CAS CLMN LWR (R)</v>
      </c>
      <c r="J1603" s="9">
        <v>107</v>
      </c>
      <c r="K1603" s="9" t="str">
        <v/>
      </c>
      <c r="L1603" s="9" t="str">
        <v>V</v>
      </c>
      <c r="M1603" s="12">
        <v>46283</v>
      </c>
      <c r="N1603" s="5" t="str">
        <v/>
      </c>
      <c r="O1603" s="5">
        <v>97938</v>
      </c>
      <c r="P1603" s="5">
        <v>20</v>
      </c>
      <c r="Q1603" s="14">
        <v>46282</v>
      </c>
      <c r="R1603" s="15">
        <v>87</v>
      </c>
    </row>
    <row r="1604" spans="2:18" x14ac:dyDescent="0.35">
      <c r="B1604" s="9">
        <v>1390</v>
      </c>
      <c r="C1604" s="9" t="str">
        <v>출고재고</v>
      </c>
      <c r="D1604" s="9" t="str">
        <v/>
      </c>
      <c r="E1604" s="9" t="str">
        <v/>
      </c>
      <c r="F1604" s="9" t="str">
        <v/>
      </c>
      <c r="G1604" s="9" t="str">
        <v/>
      </c>
      <c r="H1604" s="9" t="str">
        <v>RA-09A-0967</v>
      </c>
      <c r="I1604" s="11" t="str">
        <v>RA-09A-0967]ASM EXPOSURE SW</v>
      </c>
      <c r="J1604" s="9">
        <v>110</v>
      </c>
      <c r="K1604" s="9" t="str">
        <v/>
      </c>
      <c r="L1604" s="9" t="str">
        <v>J1-3</v>
      </c>
      <c r="M1604" s="12">
        <v>46283</v>
      </c>
      <c r="N1604" s="5" t="str">
        <v/>
      </c>
      <c r="O1604" s="5">
        <v>97938</v>
      </c>
      <c r="P1604" s="5">
        <v>20</v>
      </c>
      <c r="Q1604" s="14">
        <v>46282</v>
      </c>
      <c r="R1604" s="15">
        <v>90</v>
      </c>
    </row>
    <row r="1605" spans="2:18" x14ac:dyDescent="0.35">
      <c r="B1605" s="9">
        <v>1160</v>
      </c>
      <c r="C1605" s="9" t="str">
        <v>출고재고</v>
      </c>
      <c r="D1605" s="9" t="str">
        <v/>
      </c>
      <c r="E1605" s="9" t="str">
        <v/>
      </c>
      <c r="F1605" s="9" t="str">
        <v/>
      </c>
      <c r="G1605" s="9" t="str">
        <v/>
      </c>
      <c r="H1605" s="9" t="str">
        <v>RA-09T-2534</v>
      </c>
      <c r="I1605" s="11" t="str">
        <v>RA-09T-2534]CAS CT HEADREST (A+)</v>
      </c>
      <c r="J1605" s="9">
        <v>111</v>
      </c>
      <c r="K1605" s="9" t="str">
        <v/>
      </c>
      <c r="L1605" s="9" t="str">
        <v>S</v>
      </c>
      <c r="M1605" s="12">
        <v>46281</v>
      </c>
      <c r="N1605" s="5" t="str">
        <v/>
      </c>
      <c r="O1605" s="5">
        <v>97938</v>
      </c>
      <c r="P1605" s="5">
        <v>40</v>
      </c>
      <c r="Q1605" s="14">
        <v>46282</v>
      </c>
      <c r="R1605" s="15">
        <v>71</v>
      </c>
    </row>
    <row r="1606" spans="2:18" x14ac:dyDescent="0.35">
      <c r="B1606" s="9">
        <v>1392</v>
      </c>
      <c r="C1606" s="9" t="str">
        <v>출고재고</v>
      </c>
      <c r="D1606" s="9" t="str">
        <v/>
      </c>
      <c r="E1606" s="9" t="str">
        <v/>
      </c>
      <c r="F1606" s="9" t="str">
        <v/>
      </c>
      <c r="G1606" s="9" t="str">
        <v/>
      </c>
      <c r="H1606" s="9" t="str">
        <v>RA-09A-2729</v>
      </c>
      <c r="I1606" s="11" t="str">
        <v>RA-09A-2729]ASM COMPONENT SUB-1</v>
      </c>
      <c r="J1606" s="9">
        <v>115</v>
      </c>
      <c r="K1606" s="9" t="str">
        <v/>
      </c>
      <c r="L1606" s="9" t="str">
        <v>T</v>
      </c>
      <c r="M1606" s="12">
        <v>46283</v>
      </c>
      <c r="N1606" s="5" t="str">
        <v/>
      </c>
      <c r="O1606" s="5">
        <v>97938</v>
      </c>
      <c r="P1606" s="5">
        <v>20</v>
      </c>
      <c r="Q1606" s="14">
        <v>46282</v>
      </c>
      <c r="R1606" s="15">
        <v>95</v>
      </c>
    </row>
    <row r="1607" spans="2:18" x14ac:dyDescent="0.35">
      <c r="B1607" s="9">
        <v>1106</v>
      </c>
      <c r="C1607" s="9" t="str">
        <v>출고재고</v>
      </c>
      <c r="D1607" s="9" t="str">
        <v/>
      </c>
      <c r="E1607" s="9" t="str">
        <v>기초</v>
      </c>
      <c r="F1607" s="9" t="str">
        <v/>
      </c>
      <c r="G1607" s="9" t="str">
        <v/>
      </c>
      <c r="H1607" s="9" t="str">
        <v>RA-09A-2754</v>
      </c>
      <c r="I1607" s="11" t="str">
        <v>RA-09A-2754]ASM CT HEADREST (A+) (VN)</v>
      </c>
      <c r="J1607" s="9">
        <v>134</v>
      </c>
      <c r="K1607" s="9" t="str">
        <v/>
      </c>
      <c r="L1607" s="9" t="str">
        <v>O3</v>
      </c>
      <c r="M1607" s="12">
        <v>46276</v>
      </c>
      <c r="N1607" s="5" t="str">
        <v/>
      </c>
      <c r="O1607" s="5">
        <v>97938</v>
      </c>
      <c r="P1607" s="5">
        <v>20</v>
      </c>
      <c r="Q1607" s="14">
        <v>46282</v>
      </c>
      <c r="R1607" s="15">
        <v>114</v>
      </c>
    </row>
    <row r="1608" spans="2:18" x14ac:dyDescent="0.35">
      <c r="B1608" s="9">
        <v>1391</v>
      </c>
      <c r="C1608" s="9" t="str">
        <v>출고재고</v>
      </c>
      <c r="D1608" s="9" t="str">
        <v/>
      </c>
      <c r="E1608" s="9" t="str">
        <v/>
      </c>
      <c r="F1608" s="9" t="str">
        <v/>
      </c>
      <c r="G1608" s="9" t="str">
        <v/>
      </c>
      <c r="H1608" s="9" t="str">
        <v>RA-09A-2730</v>
      </c>
      <c r="I1608" s="11" t="str">
        <v>RA-09A-2730]ASM COMPONENT SUB-2</v>
      </c>
      <c r="J1608" s="9">
        <v>193</v>
      </c>
      <c r="K1608" s="9" t="str">
        <v/>
      </c>
      <c r="L1608" s="9" t="str">
        <v>T</v>
      </c>
      <c r="M1608" s="12">
        <v>46283</v>
      </c>
      <c r="N1608" s="5" t="str">
        <v/>
      </c>
      <c r="O1608" s="5">
        <v>97938</v>
      </c>
      <c r="P1608" s="5">
        <v>20</v>
      </c>
      <c r="Q1608" s="14">
        <v>46282</v>
      </c>
      <c r="R1608" s="15">
        <v>173</v>
      </c>
    </row>
    <row r="1609" spans="2:18" x14ac:dyDescent="0.35">
      <c r="B1609" s="9">
        <v>1385</v>
      </c>
      <c r="C1609" s="9" t="str">
        <v>출고재고</v>
      </c>
      <c r="D1609" s="9" t="str">
        <v/>
      </c>
      <c r="E1609" s="9" t="str">
        <v/>
      </c>
      <c r="F1609" s="9" t="str">
        <v/>
      </c>
      <c r="G1609" s="9" t="str">
        <v/>
      </c>
      <c r="H1609" s="9" t="str">
        <v>RA-03A-0315</v>
      </c>
      <c r="I1609" s="11" t="str">
        <v>RA-03A-0315]ASM CAS CLMN LWR (L)</v>
      </c>
      <c r="J1609" s="9">
        <v>219</v>
      </c>
      <c r="K1609" s="9" t="str">
        <v/>
      </c>
      <c r="L1609" s="9" t="str">
        <v>V</v>
      </c>
      <c r="M1609" s="12">
        <v>46283</v>
      </c>
      <c r="N1609" s="5" t="str">
        <v/>
      </c>
      <c r="O1609" s="5">
        <v>97938</v>
      </c>
      <c r="P1609" s="5">
        <v>20</v>
      </c>
      <c r="Q1609" s="14">
        <v>46282</v>
      </c>
      <c r="R1609" s="15">
        <v>199</v>
      </c>
    </row>
    <row r="1610" spans="2:18" x14ac:dyDescent="0.35">
      <c r="B1610" s="9">
        <v>1399</v>
      </c>
      <c r="C1610" s="9" t="str">
        <v>출고재고</v>
      </c>
      <c r="D1610" s="9" t="str">
        <v/>
      </c>
      <c r="E1610" s="9" t="str">
        <v/>
      </c>
      <c r="F1610" s="9" t="str">
        <v/>
      </c>
      <c r="G1610" s="9" t="str">
        <v/>
      </c>
      <c r="H1610" s="9" t="str">
        <v>RA-5-7</v>
      </c>
      <c r="I1610" s="11" t="str">
        <v>RA-5-7]EARTH SHAFT TO WALL</v>
      </c>
      <c r="J1610" s="9">
        <v>220</v>
      </c>
      <c r="K1610" s="9" t="str">
        <v/>
      </c>
      <c r="L1610" s="9" t="str">
        <v>G4</v>
      </c>
      <c r="M1610" s="12">
        <v>46283</v>
      </c>
      <c r="N1610" s="5" t="str">
        <v/>
      </c>
      <c r="O1610" s="5">
        <v>97938</v>
      </c>
      <c r="P1610" s="5">
        <v>20</v>
      </c>
      <c r="Q1610" s="14">
        <v>46282</v>
      </c>
      <c r="R1610" s="15">
        <v>200</v>
      </c>
    </row>
    <row r="1611" spans="2:18" x14ac:dyDescent="0.35">
      <c r="B1611" s="9">
        <v>1038</v>
      </c>
      <c r="C1611" s="9" t="str">
        <v>출고재고</v>
      </c>
      <c r="D1611" s="9" t="str">
        <v/>
      </c>
      <c r="E1611" s="9" t="str">
        <v>기초</v>
      </c>
      <c r="F1611" s="9" t="str">
        <v/>
      </c>
      <c r="G1611" s="9" t="str">
        <v/>
      </c>
      <c r="H1611" s="9" t="str">
        <v>RA-09M-3440</v>
      </c>
      <c r="I1611" s="11" t="str">
        <v>RA-09M-3440]BLK GUIDE BITE (ST)_REV.C</v>
      </c>
      <c r="J1611" s="9">
        <v>225</v>
      </c>
      <c r="K1611" s="9" t="str">
        <v/>
      </c>
      <c r="L1611" s="9" t="str">
        <v>N6</v>
      </c>
      <c r="M1611" s="12">
        <v>46276</v>
      </c>
      <c r="N1611" s="5" t="str">
        <v/>
      </c>
      <c r="O1611" s="5">
        <v>97938</v>
      </c>
      <c r="P1611" s="5">
        <v>20</v>
      </c>
      <c r="Q1611" s="14">
        <v>46282</v>
      </c>
      <c r="R1611" s="15">
        <v>205</v>
      </c>
    </row>
    <row r="1612" spans="2:18" x14ac:dyDescent="0.35">
      <c r="B1612" s="9">
        <v>1398</v>
      </c>
      <c r="C1612" s="9" t="str">
        <v>출고재고</v>
      </c>
      <c r="D1612" s="9" t="str">
        <v/>
      </c>
      <c r="E1612" s="9" t="str">
        <v/>
      </c>
      <c r="F1612" s="9" t="str">
        <v/>
      </c>
      <c r="G1612" s="9" t="str">
        <v/>
      </c>
      <c r="H1612" s="9" t="str">
        <v>RA-5-6</v>
      </c>
      <c r="I1612" s="11" t="str">
        <v>RA-5-6]EARTH SHAFT TO PC</v>
      </c>
      <c r="J1612" s="9">
        <v>229</v>
      </c>
      <c r="K1612" s="9" t="str">
        <v/>
      </c>
      <c r="L1612" s="9" t="str">
        <v>G4</v>
      </c>
      <c r="M1612" s="12">
        <v>46283</v>
      </c>
      <c r="N1612" s="5" t="str">
        <v/>
      </c>
      <c r="O1612" s="5">
        <v>97938</v>
      </c>
      <c r="P1612" s="5">
        <v>20</v>
      </c>
      <c r="Q1612" s="14">
        <v>46282</v>
      </c>
      <c r="R1612" s="15">
        <v>209</v>
      </c>
    </row>
    <row r="1613" spans="2:18" x14ac:dyDescent="0.35">
      <c r="B1613" s="9">
        <v>1396</v>
      </c>
      <c r="C1613" s="9" t="str">
        <v>출고재고</v>
      </c>
      <c r="D1613" s="9" t="str">
        <v/>
      </c>
      <c r="E1613" s="9" t="str">
        <v/>
      </c>
      <c r="F1613" s="9" t="str">
        <v/>
      </c>
      <c r="G1613" s="9" t="str">
        <v/>
      </c>
      <c r="H1613" s="9" t="str">
        <v>RA-09T-0344</v>
      </c>
      <c r="I1613" s="11" t="str">
        <v>RA-09T-0344]KNOB CEPH ADJUST</v>
      </c>
      <c r="J1613" s="9">
        <v>232</v>
      </c>
      <c r="K1613" s="9" t="str">
        <v/>
      </c>
      <c r="L1613" s="9" t="str">
        <v>R</v>
      </c>
      <c r="M1613" s="12">
        <v>46283</v>
      </c>
      <c r="N1613" s="5" t="str">
        <v/>
      </c>
      <c r="O1613" s="5">
        <v>97938</v>
      </c>
      <c r="P1613" s="5">
        <v>40</v>
      </c>
      <c r="Q1613" s="14">
        <v>46282</v>
      </c>
      <c r="R1613" s="15">
        <v>192</v>
      </c>
    </row>
    <row r="1614" spans="2:18" x14ac:dyDescent="0.35">
      <c r="B1614" s="9">
        <v>1381</v>
      </c>
      <c r="C1614" s="9" t="str">
        <v>출고재고</v>
      </c>
      <c r="D1614" s="9" t="str">
        <v/>
      </c>
      <c r="E1614" s="9" t="str">
        <v/>
      </c>
      <c r="F1614" s="9" t="str">
        <v/>
      </c>
      <c r="G1614" s="9" t="str">
        <v/>
      </c>
      <c r="H1614" s="9" t="str">
        <v>RA-04T-1707</v>
      </c>
      <c r="I1614" s="11" t="str">
        <v>RA-04T-1707]CAS MONITOR DECO</v>
      </c>
      <c r="J1614" s="9">
        <v>320</v>
      </c>
      <c r="K1614" s="9" t="str">
        <v/>
      </c>
      <c r="L1614" s="9" t="str">
        <v>R</v>
      </c>
      <c r="M1614" s="12">
        <v>46283</v>
      </c>
      <c r="N1614" s="5" t="str">
        <v/>
      </c>
      <c r="O1614" s="5">
        <v>97938</v>
      </c>
      <c r="P1614" s="5">
        <v>20</v>
      </c>
      <c r="Q1614" s="14">
        <v>46282</v>
      </c>
      <c r="R1614" s="15">
        <v>300</v>
      </c>
    </row>
    <row r="1615" spans="2:18" x14ac:dyDescent="0.35">
      <c r="B1615" s="9">
        <v>1056</v>
      </c>
      <c r="C1615" s="9" t="str">
        <v>출고재고</v>
      </c>
      <c r="D1615" s="9" t="str">
        <v/>
      </c>
      <c r="E1615" s="9" t="str">
        <v>기초</v>
      </c>
      <c r="F1615" s="9" t="str">
        <v/>
      </c>
      <c r="G1615" s="9" t="str">
        <v/>
      </c>
      <c r="H1615" s="9" t="str">
        <v>RA-09M-3441</v>
      </c>
      <c r="I1615" s="11" t="str">
        <v>RA-09M-3441]PIN GUIDE BITE (ST)</v>
      </c>
      <c r="J1615" s="9">
        <v>358</v>
      </c>
      <c r="K1615" s="9" t="str">
        <v/>
      </c>
      <c r="L1615" s="9" t="str">
        <v>N6</v>
      </c>
      <c r="M1615" s="12">
        <v>46276</v>
      </c>
      <c r="N1615" s="5" t="str">
        <v/>
      </c>
      <c r="O1615" s="5">
        <v>97938</v>
      </c>
      <c r="P1615" s="5">
        <v>40</v>
      </c>
      <c r="Q1615" s="14">
        <v>46282</v>
      </c>
      <c r="R1615" s="15">
        <v>318</v>
      </c>
    </row>
    <row r="1616" spans="2:18" x14ac:dyDescent="0.35">
      <c r="B1616" s="9">
        <v>1387</v>
      </c>
      <c r="C1616" s="9" t="str">
        <v>출고재고</v>
      </c>
      <c r="D1616" s="9" t="str">
        <v/>
      </c>
      <c r="E1616" s="9" t="str">
        <v/>
      </c>
      <c r="F1616" s="9" t="str">
        <v/>
      </c>
      <c r="G1616" s="9" t="str">
        <v/>
      </c>
      <c r="H1616" s="9" t="str">
        <v>RA-01T-1791</v>
      </c>
      <c r="I1616" s="11" t="str">
        <v>RA-01T-1791]CAS MAIN Bas REAR</v>
      </c>
      <c r="J1616" s="9">
        <v>418</v>
      </c>
      <c r="K1616" s="9" t="str">
        <v/>
      </c>
      <c r="L1616" s="9" t="str">
        <v>V</v>
      </c>
      <c r="M1616" s="12">
        <v>46283</v>
      </c>
      <c r="N1616" s="5" t="str">
        <v/>
      </c>
      <c r="O1616" s="5">
        <v>97938</v>
      </c>
      <c r="P1616" s="5">
        <v>20</v>
      </c>
      <c r="Q1616" s="14">
        <v>46282</v>
      </c>
      <c r="R1616" s="15">
        <v>398</v>
      </c>
    </row>
    <row r="1617" spans="2:18" x14ac:dyDescent="0.35">
      <c r="B1617" s="9">
        <v>1386</v>
      </c>
      <c r="C1617" s="9" t="str">
        <v>출고재고</v>
      </c>
      <c r="D1617" s="9" t="str">
        <v/>
      </c>
      <c r="E1617" s="9" t="str">
        <v/>
      </c>
      <c r="F1617" s="9" t="str">
        <v/>
      </c>
      <c r="G1617" s="9" t="str">
        <v/>
      </c>
      <c r="H1617" s="9" t="str">
        <v>RA-03T-0072</v>
      </c>
      <c r="I1617" s="11" t="str">
        <v>RA-03T-0072]CAS CLMN BODY REAR</v>
      </c>
      <c r="J1617" s="9">
        <v>566</v>
      </c>
      <c r="K1617" s="9" t="str">
        <v/>
      </c>
      <c r="L1617" s="9" t="str">
        <v>V</v>
      </c>
      <c r="M1617" s="12">
        <v>46283</v>
      </c>
      <c r="N1617" s="5" t="str">
        <v/>
      </c>
      <c r="O1617" s="5">
        <v>97938</v>
      </c>
      <c r="P1617" s="5">
        <v>20</v>
      </c>
      <c r="Q1617" s="14">
        <v>46282</v>
      </c>
      <c r="R1617" s="15">
        <v>546</v>
      </c>
    </row>
    <row r="1618" spans="2:18" x14ac:dyDescent="0.35">
      <c r="B1618" s="9">
        <v>1389</v>
      </c>
      <c r="C1618" s="9" t="str">
        <v>출고재고</v>
      </c>
      <c r="D1618" s="9" t="str">
        <v/>
      </c>
      <c r="E1618" s="9" t="str">
        <v/>
      </c>
      <c r="F1618" s="9" t="str">
        <v/>
      </c>
      <c r="G1618" s="9" t="str">
        <v/>
      </c>
      <c r="H1618" s="9" t="str">
        <v>RA-09T-0733</v>
      </c>
      <c r="I1618" s="11" t="str">
        <v>RA-09T-0733]CAS S.W HLDR</v>
      </c>
      <c r="J1618" s="9">
        <v>687</v>
      </c>
      <c r="K1618" s="9" t="str">
        <v/>
      </c>
      <c r="L1618" s="9" t="str">
        <v>R</v>
      </c>
      <c r="M1618" s="12">
        <v>46283</v>
      </c>
      <c r="N1618" s="5" t="str">
        <v/>
      </c>
      <c r="O1618" s="5">
        <v>97938</v>
      </c>
      <c r="P1618" s="5">
        <v>20</v>
      </c>
      <c r="Q1618" s="14">
        <v>46282</v>
      </c>
      <c r="R1618" s="15">
        <v>667</v>
      </c>
    </row>
    <row r="1619" spans="2:18" x14ac:dyDescent="0.35">
      <c r="B1619" s="9">
        <v>526</v>
      </c>
      <c r="C1619" s="9" t="str">
        <v>출고재고</v>
      </c>
      <c r="D1619" s="9" t="str">
        <v/>
      </c>
      <c r="E1619" s="9" t="str">
        <v>기초</v>
      </c>
      <c r="F1619" s="9" t="str">
        <v/>
      </c>
      <c r="G1619" s="9" t="str">
        <v/>
      </c>
      <c r="H1619" s="9" t="str">
        <v>RA-7-13</v>
      </c>
      <c r="I1619" s="11" t="str">
        <v>RA-7-13]ADET POWER to SUB(NEW)</v>
      </c>
      <c r="J1619" s="9">
        <v>53</v>
      </c>
      <c r="K1619" s="9" t="str">
        <v/>
      </c>
      <c r="L1619" s="9" t="str">
        <v>G1-2</v>
      </c>
      <c r="M1619" s="12">
        <v>46273</v>
      </c>
      <c r="N1619" s="5" t="str">
        <v/>
      </c>
      <c r="O1619" s="5">
        <v>98227</v>
      </c>
      <c r="P1619" s="5">
        <v>22</v>
      </c>
      <c r="Q1619" s="14">
        <v>46280</v>
      </c>
      <c r="R1619" s="15">
        <v>31</v>
      </c>
    </row>
    <row r="1620" spans="2:18" x14ac:dyDescent="0.35">
      <c r="B1620" s="9">
        <v>627</v>
      </c>
      <c r="C1620" s="9" t="str">
        <v>출고재고</v>
      </c>
      <c r="D1620" s="9" t="str">
        <v/>
      </c>
      <c r="E1620" s="9" t="str">
        <v>기초</v>
      </c>
      <c r="F1620" s="9" t="str">
        <v/>
      </c>
      <c r="G1620" s="9" t="str">
        <v/>
      </c>
      <c r="H1620" s="9" t="str">
        <v>RA-07A-6048</v>
      </c>
      <c r="I1620" s="11" t="str">
        <v>RA-07A-6048]Bd ASSY'-ADET POWER-3D NEW</v>
      </c>
      <c r="J1620" s="9">
        <v>57</v>
      </c>
      <c r="K1620" s="9" t="str">
        <v/>
      </c>
      <c r="L1620" s="9" t="str">
        <v>A1-3</v>
      </c>
      <c r="M1620" s="12">
        <v>46273</v>
      </c>
      <c r="N1620" s="5" t="str">
        <v/>
      </c>
      <c r="O1620" s="5">
        <v>98227</v>
      </c>
      <c r="P1620" s="5">
        <v>23</v>
      </c>
      <c r="Q1620" s="14">
        <v>46280</v>
      </c>
      <c r="R1620" s="15">
        <v>34</v>
      </c>
    </row>
    <row r="1621" spans="2:18" x14ac:dyDescent="0.35">
      <c r="B1621" s="9">
        <v>570</v>
      </c>
      <c r="C1621" s="9" t="str">
        <v>출고재고</v>
      </c>
      <c r="D1621" s="9" t="str">
        <v/>
      </c>
      <c r="E1621" s="9" t="str">
        <v>기초</v>
      </c>
      <c r="F1621" s="9" t="str">
        <v/>
      </c>
      <c r="G1621" s="9" t="str">
        <v/>
      </c>
      <c r="H1621" s="9" t="str">
        <v>RA-09A-1940</v>
      </c>
      <c r="I1621" s="11" t="str">
        <v>RA-09A-1940]ASM REMOTE(α)</v>
      </c>
      <c r="J1621" s="9">
        <v>121</v>
      </c>
      <c r="K1621" s="9" t="str">
        <v/>
      </c>
      <c r="L1621" s="9" t="str">
        <v>A13-1</v>
      </c>
      <c r="M1621" s="12">
        <v>46273</v>
      </c>
      <c r="N1621" s="5" t="str">
        <v/>
      </c>
      <c r="O1621" s="5">
        <v>98227</v>
      </c>
      <c r="P1621" s="5">
        <v>24</v>
      </c>
      <c r="Q1621" s="14">
        <v>46280</v>
      </c>
      <c r="R1621" s="15">
        <v>97</v>
      </c>
    </row>
    <row r="1622" spans="2:18" x14ac:dyDescent="0.35">
      <c r="B1622" s="9">
        <v>538</v>
      </c>
      <c r="C1622" s="9" t="str">
        <v>출고재고</v>
      </c>
      <c r="D1622" s="9" t="str">
        <v/>
      </c>
      <c r="E1622" s="9" t="str">
        <v>기초</v>
      </c>
      <c r="F1622" s="9" t="str">
        <v/>
      </c>
      <c r="G1622" s="9" t="str">
        <v/>
      </c>
      <c r="H1622" s="9" t="str">
        <v>RA-11-33</v>
      </c>
      <c r="I1622" s="11" t="str">
        <v>RA-11-33]DET SIGNAL(V)</v>
      </c>
      <c r="J1622" s="9">
        <v>429</v>
      </c>
      <c r="K1622" s="9" t="str">
        <v/>
      </c>
      <c r="L1622" s="9" t="str">
        <v>G3-6</v>
      </c>
      <c r="M1622" s="12">
        <v>46273</v>
      </c>
      <c r="N1622" s="5" t="str">
        <v/>
      </c>
      <c r="O1622" s="5">
        <v>98227</v>
      </c>
      <c r="P1622" s="5">
        <v>22</v>
      </c>
      <c r="Q1622" s="14">
        <v>46280</v>
      </c>
      <c r="R1622" s="15">
        <v>407</v>
      </c>
    </row>
    <row r="1623" spans="2:18" x14ac:dyDescent="0.35">
      <c r="B1623" s="9">
        <v>1507</v>
      </c>
      <c r="C1623" s="9" t="str">
        <v>출고재고</v>
      </c>
      <c r="D1623" s="9" t="str">
        <v/>
      </c>
      <c r="E1623" s="9" t="str">
        <v/>
      </c>
      <c r="F1623" s="9" t="str">
        <v/>
      </c>
      <c r="G1623" s="9" t="str">
        <v/>
      </c>
      <c r="H1623" s="9" t="str">
        <v>RA-05V-2653</v>
      </c>
      <c r="I1623" s="11" t="str">
        <v>RA-05V-2653]PLT SIDE RIGID FRM ROT Bas</v>
      </c>
      <c r="J1623" s="9">
        <v>20</v>
      </c>
      <c r="K1623" s="9" t="str">
        <v/>
      </c>
      <c r="L1623" s="9" t="str">
        <v>J4-2</v>
      </c>
      <c r="M1623" s="12">
        <v>46293</v>
      </c>
      <c r="N1623" s="5" t="str">
        <v/>
      </c>
      <c r="O1623" s="5">
        <v>98249</v>
      </c>
      <c r="P1623" s="5">
        <v>20</v>
      </c>
      <c r="Q1623" s="14">
        <v>46282</v>
      </c>
      <c r="R1623" s="15">
        <v>0</v>
      </c>
    </row>
    <row r="1624" spans="2:18" x14ac:dyDescent="0.35">
      <c r="B1624" s="9">
        <v>1509</v>
      </c>
      <c r="C1624" s="9" t="str">
        <v>출고재고</v>
      </c>
      <c r="D1624" s="9" t="str">
        <v/>
      </c>
      <c r="E1624" s="9" t="str">
        <v/>
      </c>
      <c r="F1624" s="9" t="str">
        <v/>
      </c>
      <c r="G1624" s="9" t="str">
        <v/>
      </c>
      <c r="H1624" s="9" t="str">
        <v>RA-05V-0501</v>
      </c>
      <c r="I1624" s="11" t="str">
        <v>RA-05V-0501]BRK ROT CAS-A</v>
      </c>
      <c r="J1624" s="9">
        <v>41</v>
      </c>
      <c r="K1624" s="9" t="str">
        <v/>
      </c>
      <c r="L1624" s="9" t="str">
        <v>W</v>
      </c>
      <c r="M1624" s="12">
        <v>46293</v>
      </c>
      <c r="N1624" s="5" t="str">
        <v/>
      </c>
      <c r="O1624" s="5">
        <v>98249</v>
      </c>
      <c r="P1624" s="5">
        <v>40</v>
      </c>
      <c r="Q1624" s="14">
        <v>46282</v>
      </c>
      <c r="R1624" s="15">
        <v>1</v>
      </c>
    </row>
    <row r="1625" spans="2:18" x14ac:dyDescent="0.35">
      <c r="B1625" s="9">
        <v>1571</v>
      </c>
      <c r="C1625" s="9" t="str">
        <v>출고재고</v>
      </c>
      <c r="D1625" s="9" t="str">
        <v/>
      </c>
      <c r="E1625" s="9" t="str">
        <v>입고</v>
      </c>
      <c r="F1625" s="9" t="str">
        <v>A&amp;T</v>
      </c>
      <c r="G1625" s="9" t="str">
        <v>조영우</v>
      </c>
      <c r="H1625" s="9" t="str">
        <v>RA-02A-2740</v>
      </c>
      <c r="I1625" s="11" t="str">
        <v>RA-02A-2740]ASM VERT TOTAL (A+) (VN)</v>
      </c>
      <c r="J1625" s="9">
        <v>45</v>
      </c>
      <c r="K1625" s="9" t="str">
        <v/>
      </c>
      <c r="L1625" s="9" t="str">
        <v>P</v>
      </c>
      <c r="M1625" s="12">
        <v>46281</v>
      </c>
      <c r="N1625" s="5" t="str">
        <v/>
      </c>
      <c r="O1625" s="5">
        <v>98249</v>
      </c>
      <c r="P1625" s="5">
        <v>15</v>
      </c>
      <c r="Q1625" s="14">
        <v>46282</v>
      </c>
      <c r="R1625" s="15">
        <v>30</v>
      </c>
    </row>
    <row r="1626" spans="2:18" x14ac:dyDescent="0.35">
      <c r="B1626" s="9">
        <v>1570</v>
      </c>
      <c r="C1626" s="9" t="str">
        <v>출고재고</v>
      </c>
      <c r="D1626" s="9" t="str">
        <v/>
      </c>
      <c r="E1626" s="9" t="str">
        <v>입고</v>
      </c>
      <c r="F1626" s="9" t="str">
        <v>MTS</v>
      </c>
      <c r="G1626" s="9" t="str">
        <v>유영국</v>
      </c>
      <c r="H1626" s="9" t="str">
        <v>RA-05V-2653</v>
      </c>
      <c r="I1626" s="11" t="str">
        <v>RA-05V-2653]PLT SIDE RIGID FRM ROT Bas</v>
      </c>
      <c r="J1626" s="9">
        <v>50</v>
      </c>
      <c r="K1626" s="9" t="str">
        <v/>
      </c>
      <c r="L1626" s="9" t="str">
        <v>J4-2</v>
      </c>
      <c r="M1626" s="12">
        <v>46276</v>
      </c>
      <c r="N1626" s="5" t="str">
        <v/>
      </c>
      <c r="O1626" s="5">
        <v>98249</v>
      </c>
      <c r="P1626" s="5">
        <v>20</v>
      </c>
      <c r="Q1626" s="14">
        <v>46282</v>
      </c>
      <c r="R1626" s="15">
        <v>30</v>
      </c>
    </row>
    <row r="1627" spans="2:18" x14ac:dyDescent="0.35">
      <c r="B1627" s="9">
        <v>1504</v>
      </c>
      <c r="C1627" s="9" t="str">
        <v>출고재고</v>
      </c>
      <c r="D1627" s="9" t="str">
        <v/>
      </c>
      <c r="E1627" s="9" t="str">
        <v/>
      </c>
      <c r="F1627" s="9" t="str">
        <v/>
      </c>
      <c r="G1627" s="9" t="str">
        <v/>
      </c>
      <c r="H1627" s="9" t="str">
        <v>RA-10-2</v>
      </c>
      <c r="I1627" s="11" t="str">
        <v>RA-10-2]PRIME CABLE ASS’Y</v>
      </c>
      <c r="J1627" s="9">
        <v>96</v>
      </c>
      <c r="K1627" s="9" t="str">
        <v/>
      </c>
      <c r="L1627" s="9" t="str">
        <v>G4</v>
      </c>
      <c r="M1627" s="12">
        <v>46293</v>
      </c>
      <c r="N1627" s="5" t="str">
        <v/>
      </c>
      <c r="O1627" s="5">
        <v>98249</v>
      </c>
      <c r="P1627" s="5">
        <v>20</v>
      </c>
      <c r="Q1627" s="14">
        <v>46282</v>
      </c>
      <c r="R1627" s="15">
        <v>76</v>
      </c>
    </row>
    <row r="1628" spans="2:18" x14ac:dyDescent="0.35">
      <c r="B1628" s="9">
        <v>1034</v>
      </c>
      <c r="C1628" s="9" t="str">
        <v>출고재고</v>
      </c>
      <c r="D1628" s="9" t="str">
        <v/>
      </c>
      <c r="E1628" s="9" t="str">
        <v>기초</v>
      </c>
      <c r="F1628" s="9" t="str">
        <v/>
      </c>
      <c r="G1628" s="9" t="str">
        <v/>
      </c>
      <c r="H1628" s="9" t="str">
        <v>RA-02V-3286</v>
      </c>
      <c r="I1628" s="11" t="str">
        <v>RA-02V-3286]BRK FIX Y-AXIS (ST)</v>
      </c>
      <c r="J1628" s="9">
        <v>207</v>
      </c>
      <c r="K1628" s="9" t="str">
        <v/>
      </c>
      <c r="L1628" s="9" t="str">
        <v>N2-3</v>
      </c>
      <c r="M1628" s="12">
        <v>46276</v>
      </c>
      <c r="N1628" s="5" t="str">
        <v/>
      </c>
      <c r="O1628" s="5">
        <v>98249</v>
      </c>
      <c r="P1628" s="5">
        <v>20</v>
      </c>
      <c r="Q1628" s="14">
        <v>46282</v>
      </c>
      <c r="R1628" s="15">
        <v>187</v>
      </c>
    </row>
    <row r="1629" spans="2:18" x14ac:dyDescent="0.35">
      <c r="B1629" s="9">
        <v>485</v>
      </c>
      <c r="C1629" s="9" t="str">
        <v>출고재고</v>
      </c>
      <c r="D1629" s="9" t="str">
        <v/>
      </c>
      <c r="E1629" s="9" t="str">
        <v/>
      </c>
      <c r="F1629" s="9" t="str">
        <v/>
      </c>
      <c r="G1629" s="9" t="str">
        <v/>
      </c>
      <c r="H1629" s="9" t="str">
        <v>RA-05A-6004</v>
      </c>
      <c r="I1629" s="11" t="str">
        <v>RA-05A-6004]Bd ASSY'-Aux MCU</v>
      </c>
      <c r="J1629" s="9">
        <v>226</v>
      </c>
      <c r="K1629" s="9" t="str">
        <v/>
      </c>
      <c r="L1629" s="9" t="str">
        <v>A2-2</v>
      </c>
      <c r="M1629" s="12">
        <v>46265</v>
      </c>
      <c r="N1629" s="5" t="str">
        <v/>
      </c>
      <c r="O1629" s="5">
        <v>98249</v>
      </c>
      <c r="P1629" s="5">
        <v>20</v>
      </c>
      <c r="Q1629" s="14">
        <v>46282</v>
      </c>
      <c r="R1629" s="15">
        <v>206</v>
      </c>
    </row>
    <row r="1630" spans="2:18" x14ac:dyDescent="0.35">
      <c r="B1630" s="9">
        <v>1505</v>
      </c>
      <c r="C1630" s="9" t="str">
        <v>출고재고</v>
      </c>
      <c r="D1630" s="9" t="str">
        <v/>
      </c>
      <c r="E1630" s="9" t="str">
        <v/>
      </c>
      <c r="F1630" s="9" t="str">
        <v/>
      </c>
      <c r="G1630" s="9" t="str">
        <v/>
      </c>
      <c r="H1630" s="9" t="str">
        <v>RA-05V-0513</v>
      </c>
      <c r="I1630" s="11" t="str">
        <v>RA-05V-0513]BRK LED PCB</v>
      </c>
      <c r="J1630" s="9">
        <v>245</v>
      </c>
      <c r="K1630" s="9" t="str">
        <v/>
      </c>
      <c r="L1630" s="9" t="str">
        <v>J4-2</v>
      </c>
      <c r="M1630" s="12">
        <v>46293</v>
      </c>
      <c r="N1630" s="5" t="str">
        <v/>
      </c>
      <c r="O1630" s="5">
        <v>98249</v>
      </c>
      <c r="P1630" s="5">
        <v>20</v>
      </c>
      <c r="Q1630" s="14">
        <v>46282</v>
      </c>
      <c r="R1630" s="15">
        <v>225</v>
      </c>
    </row>
    <row r="1631" spans="2:18" x14ac:dyDescent="0.35">
      <c r="B1631" s="9">
        <v>892</v>
      </c>
      <c r="C1631" s="9" t="str">
        <v>출고재고</v>
      </c>
      <c r="D1631" s="9" t="str">
        <v/>
      </c>
      <c r="E1631" s="9" t="str">
        <v>기초</v>
      </c>
      <c r="F1631" s="9" t="str">
        <v/>
      </c>
      <c r="G1631" s="9" t="str">
        <v/>
      </c>
      <c r="H1631" s="9" t="str">
        <v>RA-15-11</v>
      </c>
      <c r="I1631" s="11" t="str">
        <v>RA-15-11]Fcol MOT Cable B</v>
      </c>
      <c r="J1631" s="9">
        <v>8</v>
      </c>
      <c r="K1631" s="9" t="str">
        <v/>
      </c>
      <c r="L1631" s="9" t="str">
        <v>G3-7</v>
      </c>
      <c r="M1631" s="12">
        <v>46276</v>
      </c>
      <c r="N1631" s="5" t="str">
        <v/>
      </c>
      <c r="O1631" s="5">
        <v>98250</v>
      </c>
      <c r="P1631" s="5">
        <v>2</v>
      </c>
      <c r="Q1631" s="14">
        <v>46282</v>
      </c>
      <c r="R1631" s="15">
        <v>6</v>
      </c>
    </row>
    <row r="1632" spans="2:18" x14ac:dyDescent="0.35">
      <c r="B1632" s="9">
        <v>893</v>
      </c>
      <c r="C1632" s="9" t="str">
        <v>출고재고</v>
      </c>
      <c r="D1632" s="9" t="str">
        <v/>
      </c>
      <c r="E1632" s="9" t="str">
        <v>기초</v>
      </c>
      <c r="F1632" s="9" t="str">
        <v/>
      </c>
      <c r="G1632" s="9" t="str">
        <v/>
      </c>
      <c r="H1632" s="9" t="str">
        <v>RA-15-8</v>
      </c>
      <c r="I1632" s="11" t="str">
        <v>RA-15-8]LED Power Cable</v>
      </c>
      <c r="J1632" s="9">
        <v>9</v>
      </c>
      <c r="K1632" s="9" t="str">
        <v/>
      </c>
      <c r="L1632" s="9" t="str">
        <v>G1-6</v>
      </c>
      <c r="M1632" s="12">
        <v>46276</v>
      </c>
      <c r="N1632" s="5" t="str">
        <v/>
      </c>
      <c r="O1632" s="5">
        <v>98250</v>
      </c>
      <c r="P1632" s="5">
        <v>9</v>
      </c>
      <c r="Q1632" s="14">
        <v>46282</v>
      </c>
      <c r="R1632" s="15">
        <v>0</v>
      </c>
    </row>
    <row r="1633" spans="2:18" x14ac:dyDescent="0.35">
      <c r="B1633" s="9">
        <v>931</v>
      </c>
      <c r="C1633" s="9" t="str">
        <v>출고재고</v>
      </c>
      <c r="D1633" s="9" t="str">
        <v/>
      </c>
      <c r="E1633" s="9" t="str">
        <v>기초</v>
      </c>
      <c r="F1633" s="9" t="str">
        <v/>
      </c>
      <c r="G1633" s="9" t="str">
        <v/>
      </c>
      <c r="H1633" s="9" t="str">
        <v>RA-06M-3317</v>
      </c>
      <c r="I1633" s="11" t="str">
        <v>RA-06M-3317]BLK COL FIX UPPER (ST)</v>
      </c>
      <c r="J1633" s="9">
        <v>39</v>
      </c>
      <c r="K1633" s="9" t="str">
        <v/>
      </c>
      <c r="L1633" s="9" t="str">
        <v>H2-3</v>
      </c>
      <c r="M1633" s="12">
        <v>46276</v>
      </c>
      <c r="N1633" s="5" t="str">
        <v/>
      </c>
      <c r="O1633" s="5">
        <v>98250</v>
      </c>
      <c r="P1633" s="5">
        <v>20</v>
      </c>
      <c r="Q1633" s="14">
        <v>46282</v>
      </c>
      <c r="R1633" s="15">
        <v>19</v>
      </c>
    </row>
    <row r="1634" spans="2:18" x14ac:dyDescent="0.35">
      <c r="B1634" s="9">
        <v>939</v>
      </c>
      <c r="C1634" s="9" t="str">
        <v>출고재고</v>
      </c>
      <c r="D1634" s="9" t="str">
        <v/>
      </c>
      <c r="E1634" s="9" t="str">
        <v>기초</v>
      </c>
      <c r="F1634" s="9" t="str">
        <v/>
      </c>
      <c r="G1634" s="9" t="str">
        <v/>
      </c>
      <c r="H1634" s="9" t="str">
        <v>RA-06M-0243</v>
      </c>
      <c r="I1634" s="11" t="str">
        <v>RA-06M-0243]BLK TUBE TILT LIMIT</v>
      </c>
      <c r="J1634" s="9">
        <v>44</v>
      </c>
      <c r="K1634" s="9" t="str">
        <v/>
      </c>
      <c r="L1634" s="9" t="str">
        <v>I3-3</v>
      </c>
      <c r="M1634" s="12">
        <v>46276</v>
      </c>
      <c r="N1634" s="5" t="str">
        <v/>
      </c>
      <c r="O1634" s="5">
        <v>98250</v>
      </c>
      <c r="P1634" s="5">
        <v>40</v>
      </c>
      <c r="Q1634" s="14">
        <v>46282</v>
      </c>
      <c r="R1634" s="15">
        <v>4</v>
      </c>
    </row>
    <row r="1635" spans="2:18" x14ac:dyDescent="0.35">
      <c r="B1635" s="9">
        <v>977</v>
      </c>
      <c r="C1635" s="9" t="str">
        <v>출고재고</v>
      </c>
      <c r="D1635" s="9" t="str">
        <v/>
      </c>
      <c r="E1635" s="9" t="str">
        <v>기초</v>
      </c>
      <c r="F1635" s="9" t="str">
        <v/>
      </c>
      <c r="G1635" s="9" t="str">
        <v/>
      </c>
      <c r="H1635" s="9" t="str">
        <v>RA-06V-3389</v>
      </c>
      <c r="I1635" s="11" t="str">
        <v>RA-06V-3389]BRK COL Bd (ST)</v>
      </c>
      <c r="J1635" s="9">
        <v>68</v>
      </c>
      <c r="K1635" s="9" t="str">
        <v/>
      </c>
      <c r="L1635" s="9" t="str">
        <v>I3-2</v>
      </c>
      <c r="M1635" s="12">
        <v>46276</v>
      </c>
      <c r="N1635" s="5" t="str">
        <v/>
      </c>
      <c r="O1635" s="5">
        <v>98250</v>
      </c>
      <c r="P1635" s="5">
        <v>20</v>
      </c>
      <c r="Q1635" s="14">
        <v>46282</v>
      </c>
      <c r="R1635" s="15">
        <v>48</v>
      </c>
    </row>
    <row r="1636" spans="2:18" x14ac:dyDescent="0.35">
      <c r="B1636" s="9">
        <v>982</v>
      </c>
      <c r="C1636" s="9" t="str">
        <v>출고재고</v>
      </c>
      <c r="D1636" s="9" t="str">
        <v/>
      </c>
      <c r="E1636" s="9" t="str">
        <v>기초</v>
      </c>
      <c r="F1636" s="9" t="str">
        <v/>
      </c>
      <c r="G1636" s="9" t="str">
        <v/>
      </c>
      <c r="H1636" s="9" t="str">
        <v>RA-07M-3424</v>
      </c>
      <c r="I1636" s="11" t="str">
        <v>RA-07M-3424]BLK STOPPER MICROMTR HEAD(ST</v>
      </c>
      <c r="J1636" s="9">
        <v>77</v>
      </c>
      <c r="K1636" s="9" t="str">
        <v/>
      </c>
      <c r="L1636" s="9" t="str">
        <v>J3-2</v>
      </c>
      <c r="M1636" s="12">
        <v>46276</v>
      </c>
      <c r="N1636" s="5" t="str">
        <v/>
      </c>
      <c r="O1636" s="5">
        <v>98250</v>
      </c>
      <c r="P1636" s="5">
        <v>20</v>
      </c>
      <c r="Q1636" s="14">
        <v>46282</v>
      </c>
      <c r="R1636" s="15">
        <v>57</v>
      </c>
    </row>
    <row r="1637" spans="2:18" x14ac:dyDescent="0.35">
      <c r="B1637" s="9">
        <v>986</v>
      </c>
      <c r="C1637" s="9" t="str">
        <v>출고재고</v>
      </c>
      <c r="D1637" s="9" t="str">
        <v/>
      </c>
      <c r="E1637" s="9" t="str">
        <v>기초</v>
      </c>
      <c r="F1637" s="9" t="str">
        <v/>
      </c>
      <c r="G1637" s="9" t="str">
        <v/>
      </c>
      <c r="H1637" s="9" t="str">
        <v>RA-06A-3314</v>
      </c>
      <c r="I1637" s="11" t="str">
        <v>RA-06A-3314]ASM TUBE TNK SUP (ST)</v>
      </c>
      <c r="J1637" s="9">
        <v>84</v>
      </c>
      <c r="K1637" s="9" t="str">
        <v/>
      </c>
      <c r="L1637" s="9" t="str">
        <v>O1</v>
      </c>
      <c r="M1637" s="12">
        <v>46276</v>
      </c>
      <c r="N1637" s="5" t="str">
        <v/>
      </c>
      <c r="O1637" s="5">
        <v>98250</v>
      </c>
      <c r="P1637" s="5">
        <v>20</v>
      </c>
      <c r="Q1637" s="14">
        <v>46282</v>
      </c>
      <c r="R1637" s="15">
        <v>64</v>
      </c>
    </row>
    <row r="1638" spans="2:18" x14ac:dyDescent="0.35">
      <c r="B1638" s="9">
        <v>1001</v>
      </c>
      <c r="C1638" s="9" t="str">
        <v>출고재고</v>
      </c>
      <c r="D1638" s="9" t="str">
        <v/>
      </c>
      <c r="E1638" s="9" t="str">
        <v>기초</v>
      </c>
      <c r="F1638" s="9" t="str">
        <v/>
      </c>
      <c r="G1638" s="9" t="str">
        <v/>
      </c>
      <c r="H1638" s="9" t="str">
        <v>RA-11-23</v>
      </c>
      <c r="I1638" s="11" t="str">
        <v>RA-11-23]Fcol MOT Cable D</v>
      </c>
      <c r="J1638" s="9">
        <v>115</v>
      </c>
      <c r="K1638" s="9" t="str">
        <v/>
      </c>
      <c r="L1638" s="9" t="str">
        <v>G1-5</v>
      </c>
      <c r="M1638" s="12">
        <v>46276</v>
      </c>
      <c r="N1638" s="5" t="str">
        <v/>
      </c>
      <c r="O1638" s="5">
        <v>98250</v>
      </c>
      <c r="P1638" s="5">
        <v>20</v>
      </c>
      <c r="Q1638" s="14">
        <v>46282</v>
      </c>
      <c r="R1638" s="15">
        <v>95</v>
      </c>
    </row>
    <row r="1639" spans="2:18" x14ac:dyDescent="0.35">
      <c r="B1639" s="9">
        <v>1441</v>
      </c>
      <c r="C1639" s="9" t="str">
        <v>출고재고</v>
      </c>
      <c r="D1639" s="9" t="str">
        <v/>
      </c>
      <c r="E1639" s="9" t="str">
        <v/>
      </c>
      <c r="F1639" s="9" t="str">
        <v/>
      </c>
      <c r="G1639" s="9" t="str">
        <v/>
      </c>
      <c r="H1639" s="9" t="str">
        <v>RA-5-4</v>
      </c>
      <c r="I1639" s="11" t="str">
        <v>RA-5-4]EARTH ROT TO TUBE</v>
      </c>
      <c r="J1639" s="9">
        <v>116</v>
      </c>
      <c r="K1639" s="9" t="str">
        <v/>
      </c>
      <c r="L1639" s="9" t="str">
        <v>G3-2</v>
      </c>
      <c r="M1639" s="12">
        <v>46283</v>
      </c>
      <c r="N1639" s="5" t="str">
        <v/>
      </c>
      <c r="O1639" s="5">
        <v>98250</v>
      </c>
      <c r="P1639" s="5">
        <v>20</v>
      </c>
      <c r="Q1639" s="14">
        <v>46282</v>
      </c>
      <c r="R1639" s="15">
        <v>96</v>
      </c>
    </row>
    <row r="1640" spans="2:18" x14ac:dyDescent="0.35">
      <c r="B1640" s="9">
        <v>1002</v>
      </c>
      <c r="C1640" s="9" t="str">
        <v>출고재고</v>
      </c>
      <c r="D1640" s="9" t="str">
        <v/>
      </c>
      <c r="E1640" s="9" t="str">
        <v>기초</v>
      </c>
      <c r="F1640" s="9" t="str">
        <v/>
      </c>
      <c r="G1640" s="9" t="str">
        <v/>
      </c>
      <c r="H1640" s="9" t="str">
        <v>RA-11-2</v>
      </c>
      <c r="I1640" s="11" t="str">
        <v>RA-11-2]AUX MCU to FCOL</v>
      </c>
      <c r="J1640" s="9">
        <v>120</v>
      </c>
      <c r="K1640" s="9" t="str">
        <v/>
      </c>
      <c r="L1640" s="9" t="str">
        <v>G2-4</v>
      </c>
      <c r="M1640" s="12">
        <v>46276</v>
      </c>
      <c r="N1640" s="5" t="str">
        <v/>
      </c>
      <c r="O1640" s="5">
        <v>98250</v>
      </c>
      <c r="P1640" s="5">
        <v>20</v>
      </c>
      <c r="Q1640" s="14">
        <v>46282</v>
      </c>
      <c r="R1640" s="15">
        <v>100</v>
      </c>
    </row>
    <row r="1641" spans="2:18" x14ac:dyDescent="0.35">
      <c r="B1641" s="9">
        <v>1003</v>
      </c>
      <c r="C1641" s="9" t="str">
        <v>출고재고</v>
      </c>
      <c r="D1641" s="9" t="str">
        <v/>
      </c>
      <c r="E1641" s="9" t="str">
        <v>기초</v>
      </c>
      <c r="F1641" s="9" t="str">
        <v/>
      </c>
      <c r="G1641" s="9" t="str">
        <v/>
      </c>
      <c r="H1641" s="9" t="str">
        <v>RA-15-10</v>
      </c>
      <c r="I1641" s="11" t="str">
        <v>RA-15-10]SUB MOT DET(VL)</v>
      </c>
      <c r="J1641" s="9">
        <v>122</v>
      </c>
      <c r="K1641" s="9" t="str">
        <v/>
      </c>
      <c r="L1641" s="9" t="str">
        <v>G3-7</v>
      </c>
      <c r="M1641" s="12">
        <v>46276</v>
      </c>
      <c r="N1641" s="5" t="str">
        <v/>
      </c>
      <c r="O1641" s="5">
        <v>98250</v>
      </c>
      <c r="P1641" s="5">
        <v>20</v>
      </c>
      <c r="Q1641" s="14">
        <v>46282</v>
      </c>
      <c r="R1641" s="15">
        <v>102</v>
      </c>
    </row>
    <row r="1642" spans="2:18" x14ac:dyDescent="0.35">
      <c r="B1642" s="9">
        <v>1004</v>
      </c>
      <c r="C1642" s="9" t="str">
        <v>출고재고</v>
      </c>
      <c r="D1642" s="9" t="str">
        <v/>
      </c>
      <c r="E1642" s="9" t="str">
        <v>기초</v>
      </c>
      <c r="F1642" s="9" t="str">
        <v/>
      </c>
      <c r="G1642" s="9" t="str">
        <v/>
      </c>
      <c r="H1642" s="9" t="str">
        <v>RA-06M-3312</v>
      </c>
      <c r="I1642" s="11" t="str">
        <v>RA-06M-3312]BLK TUBE TNK ANGLE (ST)</v>
      </c>
      <c r="J1642" s="9">
        <v>124</v>
      </c>
      <c r="K1642" s="9" t="str">
        <v/>
      </c>
      <c r="L1642" s="9" t="str">
        <v>H2-3</v>
      </c>
      <c r="M1642" s="12">
        <v>46276</v>
      </c>
      <c r="N1642" s="5" t="str">
        <v/>
      </c>
      <c r="O1642" s="5">
        <v>98250</v>
      </c>
      <c r="P1642" s="5">
        <v>20</v>
      </c>
      <c r="Q1642" s="14">
        <v>46282</v>
      </c>
      <c r="R1642" s="15">
        <v>104</v>
      </c>
    </row>
    <row r="1643" spans="2:18" x14ac:dyDescent="0.35">
      <c r="B1643" s="9">
        <v>1010</v>
      </c>
      <c r="C1643" s="9" t="str">
        <v>출고재고</v>
      </c>
      <c r="D1643" s="9" t="str">
        <v/>
      </c>
      <c r="E1643" s="9" t="str">
        <v>기초</v>
      </c>
      <c r="F1643" s="9" t="str">
        <v/>
      </c>
      <c r="G1643" s="9" t="str">
        <v/>
      </c>
      <c r="H1643" s="9" t="str">
        <v>RA-11-20</v>
      </c>
      <c r="I1643" s="11" t="str">
        <v>RA-11-20]Fcol MOT Cable A</v>
      </c>
      <c r="J1643" s="9">
        <v>127</v>
      </c>
      <c r="K1643" s="9" t="str">
        <v/>
      </c>
      <c r="L1643" s="9" t="str">
        <v>G2-5</v>
      </c>
      <c r="M1643" s="12">
        <v>46276</v>
      </c>
      <c r="N1643" s="5" t="str">
        <v/>
      </c>
      <c r="O1643" s="5">
        <v>98250</v>
      </c>
      <c r="P1643" s="5">
        <v>20</v>
      </c>
      <c r="Q1643" s="14">
        <v>46282</v>
      </c>
      <c r="R1643" s="15">
        <v>107</v>
      </c>
    </row>
    <row r="1644" spans="2:18" x14ac:dyDescent="0.35">
      <c r="B1644" s="9">
        <v>1012</v>
      </c>
      <c r="C1644" s="9" t="str">
        <v>출고재고</v>
      </c>
      <c r="D1644" s="9" t="str">
        <v/>
      </c>
      <c r="E1644" s="9" t="str">
        <v>기초</v>
      </c>
      <c r="F1644" s="9" t="str">
        <v/>
      </c>
      <c r="G1644" s="9" t="str">
        <v/>
      </c>
      <c r="H1644" s="9" t="str">
        <v>RA-06M-3319</v>
      </c>
      <c r="I1644" s="11" t="str">
        <v>RA-06M-3319]BLK COL FIX LWR B (ST)</v>
      </c>
      <c r="J1644" s="9">
        <v>130</v>
      </c>
      <c r="K1644" s="9" t="str">
        <v/>
      </c>
      <c r="L1644" s="9" t="str">
        <v>H4-2</v>
      </c>
      <c r="M1644" s="12">
        <v>46276</v>
      </c>
      <c r="N1644" s="5" t="str">
        <v/>
      </c>
      <c r="O1644" s="5">
        <v>98250</v>
      </c>
      <c r="P1644" s="5">
        <v>20</v>
      </c>
      <c r="Q1644" s="14">
        <v>46282</v>
      </c>
      <c r="R1644" s="15">
        <v>110</v>
      </c>
    </row>
    <row r="1645" spans="2:18" x14ac:dyDescent="0.35">
      <c r="B1645" s="9">
        <v>1022</v>
      </c>
      <c r="C1645" s="9" t="str">
        <v>출고재고</v>
      </c>
      <c r="D1645" s="9" t="str">
        <v/>
      </c>
      <c r="E1645" s="9" t="str">
        <v>기초</v>
      </c>
      <c r="F1645" s="9" t="str">
        <v/>
      </c>
      <c r="G1645" s="9" t="str">
        <v/>
      </c>
      <c r="H1645" s="9" t="str">
        <v>RA-06M-3316</v>
      </c>
      <c r="I1645" s="11" t="str">
        <v>RA-06M-3316]BLK TUBE SHAFT (ST)</v>
      </c>
      <c r="J1645" s="9">
        <v>156</v>
      </c>
      <c r="K1645" s="9" t="str">
        <v/>
      </c>
      <c r="L1645" s="9" t="str">
        <v>H2-3</v>
      </c>
      <c r="M1645" s="12">
        <v>46276</v>
      </c>
      <c r="N1645" s="5" t="str">
        <v/>
      </c>
      <c r="O1645" s="5">
        <v>98250</v>
      </c>
      <c r="P1645" s="5">
        <v>20</v>
      </c>
      <c r="Q1645" s="14">
        <v>46282</v>
      </c>
      <c r="R1645" s="15">
        <v>136</v>
      </c>
    </row>
    <row r="1646" spans="2:18" x14ac:dyDescent="0.35">
      <c r="B1646" s="9">
        <v>1027</v>
      </c>
      <c r="C1646" s="9" t="str">
        <v>출고재고</v>
      </c>
      <c r="D1646" s="9" t="str">
        <v/>
      </c>
      <c r="E1646" s="9" t="str">
        <v>기초</v>
      </c>
      <c r="F1646" s="9" t="str">
        <v/>
      </c>
      <c r="G1646" s="9" t="str">
        <v/>
      </c>
      <c r="H1646" s="9" t="str">
        <v>RA-11-11</v>
      </c>
      <c r="I1646" s="11" t="str">
        <v>RA-11-11]DC POWER MOT-C</v>
      </c>
      <c r="J1646" s="9">
        <v>175</v>
      </c>
      <c r="K1646" s="9" t="str">
        <v/>
      </c>
      <c r="L1646" s="9" t="str">
        <v>G3-5</v>
      </c>
      <c r="M1646" s="12">
        <v>46276</v>
      </c>
      <c r="N1646" s="5" t="str">
        <v/>
      </c>
      <c r="O1646" s="5">
        <v>98250</v>
      </c>
      <c r="P1646" s="5">
        <v>20</v>
      </c>
      <c r="Q1646" s="14">
        <v>46282</v>
      </c>
      <c r="R1646" s="15">
        <v>155</v>
      </c>
    </row>
    <row r="1647" spans="2:18" x14ac:dyDescent="0.35">
      <c r="B1647" s="9">
        <v>1029</v>
      </c>
      <c r="C1647" s="9" t="str">
        <v>출고재고</v>
      </c>
      <c r="D1647" s="9" t="str">
        <v/>
      </c>
      <c r="E1647" s="9" t="str">
        <v>기초</v>
      </c>
      <c r="F1647" s="9" t="str">
        <v/>
      </c>
      <c r="G1647" s="9" t="str">
        <v/>
      </c>
      <c r="H1647" s="9" t="str">
        <v>RA-06A-2746</v>
      </c>
      <c r="I1647" s="11" t="str">
        <v>RA-06A-2746]SHAFT BRASS COL (ST)</v>
      </c>
      <c r="J1647" s="9">
        <v>176</v>
      </c>
      <c r="K1647" s="9" t="str">
        <v/>
      </c>
      <c r="L1647" s="9" t="str">
        <v>H1</v>
      </c>
      <c r="M1647" s="12">
        <v>46276</v>
      </c>
      <c r="N1647" s="5" t="str">
        <v/>
      </c>
      <c r="O1647" s="5">
        <v>98250</v>
      </c>
      <c r="P1647" s="5">
        <v>20</v>
      </c>
      <c r="Q1647" s="14">
        <v>46282</v>
      </c>
      <c r="R1647" s="15">
        <v>156</v>
      </c>
    </row>
    <row r="1648" spans="2:18" x14ac:dyDescent="0.35">
      <c r="B1648" s="9">
        <v>1030</v>
      </c>
      <c r="C1648" s="9" t="str">
        <v>출고재고</v>
      </c>
      <c r="D1648" s="9" t="str">
        <v/>
      </c>
      <c r="E1648" s="9" t="str">
        <v>기초</v>
      </c>
      <c r="F1648" s="9" t="str">
        <v/>
      </c>
      <c r="G1648" s="9" t="str">
        <v/>
      </c>
      <c r="H1648" s="9" t="str">
        <v>RA-07S-1668</v>
      </c>
      <c r="I1648" s="11" t="str">
        <v>RA-07S-1668]MICROMTR HEAD (VA)</v>
      </c>
      <c r="J1648" s="9">
        <v>180</v>
      </c>
      <c r="K1648" s="9" t="str">
        <v/>
      </c>
      <c r="L1648" s="9" t="str">
        <v>J3-1</v>
      </c>
      <c r="M1648" s="12">
        <v>46276</v>
      </c>
      <c r="N1648" s="5" t="str">
        <v/>
      </c>
      <c r="O1648" s="5">
        <v>98250</v>
      </c>
      <c r="P1648" s="5">
        <v>20</v>
      </c>
      <c r="Q1648" s="14">
        <v>46282</v>
      </c>
      <c r="R1648" s="15">
        <v>160</v>
      </c>
    </row>
    <row r="1649" spans="2:18" x14ac:dyDescent="0.35">
      <c r="B1649" s="9">
        <v>1033</v>
      </c>
      <c r="C1649" s="9" t="str">
        <v>출고재고</v>
      </c>
      <c r="D1649" s="9" t="str">
        <v/>
      </c>
      <c r="E1649" s="9" t="str">
        <v>기초</v>
      </c>
      <c r="F1649" s="9" t="str">
        <v/>
      </c>
      <c r="G1649" s="9" t="str">
        <v/>
      </c>
      <c r="H1649" s="9" t="str">
        <v>RA-07V-3962</v>
      </c>
      <c r="I1649" s="11" t="str">
        <v>RA-07V-3962]CVR DET PCB (MG)</v>
      </c>
      <c r="J1649" s="9">
        <v>199</v>
      </c>
      <c r="K1649" s="9" t="str">
        <v/>
      </c>
      <c r="L1649" s="9" t="str">
        <v>N2-4</v>
      </c>
      <c r="M1649" s="12">
        <v>46276</v>
      </c>
      <c r="N1649" s="5" t="str">
        <v/>
      </c>
      <c r="O1649" s="5">
        <v>98250</v>
      </c>
      <c r="P1649" s="5">
        <v>20</v>
      </c>
      <c r="Q1649" s="14">
        <v>46282</v>
      </c>
      <c r="R1649" s="15">
        <v>179</v>
      </c>
    </row>
    <row r="1650" spans="2:18" x14ac:dyDescent="0.35">
      <c r="B1650" s="9">
        <v>1037</v>
      </c>
      <c r="C1650" s="9" t="str">
        <v>출고재고</v>
      </c>
      <c r="D1650" s="9" t="str">
        <v/>
      </c>
      <c r="E1650" s="9" t="str">
        <v>기초</v>
      </c>
      <c r="F1650" s="9" t="str">
        <v/>
      </c>
      <c r="G1650" s="9" t="str">
        <v/>
      </c>
      <c r="H1650" s="9" t="str">
        <v>RA-03S-6009A</v>
      </c>
      <c r="I1650" s="11" t="str">
        <v>RA-03S-6009A]A2K_LBM01-370</v>
      </c>
      <c r="J1650" s="9">
        <v>221</v>
      </c>
      <c r="K1650" s="9" t="str">
        <v/>
      </c>
      <c r="L1650" s="9" t="str">
        <v>L1-2</v>
      </c>
      <c r="M1650" s="12">
        <v>46276</v>
      </c>
      <c r="N1650" s="5" t="str">
        <v/>
      </c>
      <c r="O1650" s="5">
        <v>98250</v>
      </c>
      <c r="P1650" s="5">
        <v>20</v>
      </c>
      <c r="Q1650" s="14">
        <v>46282</v>
      </c>
      <c r="R1650" s="15">
        <v>201</v>
      </c>
    </row>
    <row r="1651" spans="2:18" x14ac:dyDescent="0.35">
      <c r="B1651" s="9">
        <v>1050</v>
      </c>
      <c r="C1651" s="9" t="str">
        <v>출고재고</v>
      </c>
      <c r="D1651" s="9" t="str">
        <v/>
      </c>
      <c r="E1651" s="9" t="str">
        <v>기초</v>
      </c>
      <c r="F1651" s="9" t="str">
        <v/>
      </c>
      <c r="G1651" s="9" t="str">
        <v/>
      </c>
      <c r="H1651" s="9" t="str">
        <v>RA-07M-3434</v>
      </c>
      <c r="I1651" s="11" t="str">
        <v>RA-07M-3434]BLK MICROMTR HEAD (ST)</v>
      </c>
      <c r="J1651" s="9">
        <v>301</v>
      </c>
      <c r="K1651" s="9" t="str">
        <v/>
      </c>
      <c r="L1651" s="9" t="str">
        <v>J3-2</v>
      </c>
      <c r="M1651" s="12">
        <v>46276</v>
      </c>
      <c r="N1651" s="5" t="str">
        <v/>
      </c>
      <c r="O1651" s="5">
        <v>98250</v>
      </c>
      <c r="P1651" s="5">
        <v>20</v>
      </c>
      <c r="Q1651" s="14">
        <v>46282</v>
      </c>
      <c r="R1651" s="15">
        <v>281</v>
      </c>
    </row>
    <row r="1652" spans="2:18" x14ac:dyDescent="0.35">
      <c r="B1652" s="9">
        <v>1051</v>
      </c>
      <c r="C1652" s="9" t="str">
        <v>출고재고</v>
      </c>
      <c r="D1652" s="9" t="str">
        <v/>
      </c>
      <c r="E1652" s="9" t="str">
        <v>기초</v>
      </c>
      <c r="F1652" s="9" t="str">
        <v/>
      </c>
      <c r="G1652" s="9" t="str">
        <v/>
      </c>
      <c r="H1652" s="9" t="str">
        <v>RA-15-12</v>
      </c>
      <c r="I1652" s="11" t="str">
        <v>RA-15-12]Fcol MOT Cable C</v>
      </c>
      <c r="J1652" s="9">
        <v>301</v>
      </c>
      <c r="K1652" s="9" t="str">
        <v/>
      </c>
      <c r="L1652" s="9" t="str">
        <v>G3-7</v>
      </c>
      <c r="M1652" s="12">
        <v>46276</v>
      </c>
      <c r="N1652" s="5" t="str">
        <v/>
      </c>
      <c r="O1652" s="5">
        <v>98250</v>
      </c>
      <c r="P1652" s="5">
        <v>20</v>
      </c>
      <c r="Q1652" s="14">
        <v>46282</v>
      </c>
      <c r="R1652" s="15">
        <v>281</v>
      </c>
    </row>
    <row r="1653" spans="2:18" x14ac:dyDescent="0.35">
      <c r="B1653" s="9">
        <v>1055</v>
      </c>
      <c r="C1653" s="9" t="str">
        <v>출고재고</v>
      </c>
      <c r="D1653" s="9" t="str">
        <v/>
      </c>
      <c r="E1653" s="9" t="str">
        <v>기초</v>
      </c>
      <c r="F1653" s="9" t="str">
        <v/>
      </c>
      <c r="G1653" s="9" t="str">
        <v/>
      </c>
      <c r="H1653" s="9" t="str">
        <v>RA-06A-6006</v>
      </c>
      <c r="I1653" s="11" t="str">
        <v>RA-06A-6006]Bd ASSY'-Fcol MCU</v>
      </c>
      <c r="J1653" s="9">
        <v>358</v>
      </c>
      <c r="K1653" s="9" t="str">
        <v/>
      </c>
      <c r="L1653" s="9" t="str">
        <v>A2-1</v>
      </c>
      <c r="M1653" s="12">
        <v>46276</v>
      </c>
      <c r="N1653" s="5" t="str">
        <v/>
      </c>
      <c r="O1653" s="5">
        <v>98250</v>
      </c>
      <c r="P1653" s="5">
        <v>20</v>
      </c>
      <c r="Q1653" s="14">
        <v>46282</v>
      </c>
      <c r="R1653" s="15">
        <v>338</v>
      </c>
    </row>
    <row r="1654" spans="2:18" x14ac:dyDescent="0.35">
      <c r="B1654" s="9">
        <v>800</v>
      </c>
      <c r="C1654" s="9" t="str">
        <v>출고재고</v>
      </c>
      <c r="D1654" s="9" t="str">
        <v/>
      </c>
      <c r="E1654" s="9" t="str">
        <v/>
      </c>
      <c r="F1654" s="9" t="str">
        <v/>
      </c>
      <c r="G1654" s="9" t="str">
        <v/>
      </c>
      <c r="H1654" s="9" t="str">
        <v>RA-04S-0977</v>
      </c>
      <c r="I1654" s="11" t="str">
        <v>RA-04S-0977]SPRING CEPH AND ARM</v>
      </c>
      <c r="J1654" s="9">
        <v>359</v>
      </c>
      <c r="K1654" s="9" t="str">
        <v/>
      </c>
      <c r="L1654" s="9" t="str">
        <v>B2-2</v>
      </c>
      <c r="M1654" s="12">
        <v>46274</v>
      </c>
      <c r="N1654" s="5" t="str">
        <v/>
      </c>
      <c r="O1654" s="5">
        <v>98250</v>
      </c>
      <c r="P1654" s="5">
        <v>20</v>
      </c>
      <c r="Q1654" s="14">
        <v>46282</v>
      </c>
      <c r="R1654" s="15">
        <v>339</v>
      </c>
    </row>
    <row r="1655" spans="2:18" x14ac:dyDescent="0.35">
      <c r="B1655" s="9">
        <v>1061</v>
      </c>
      <c r="C1655" s="9" t="str">
        <v>출고재고</v>
      </c>
      <c r="D1655" s="9" t="str">
        <v/>
      </c>
      <c r="E1655" s="9" t="str">
        <v>기초</v>
      </c>
      <c r="F1655" s="9" t="str">
        <v/>
      </c>
      <c r="G1655" s="9" t="str">
        <v/>
      </c>
      <c r="H1655" s="9" t="str">
        <v>RA-06M-0432</v>
      </c>
      <c r="I1655" s="11" t="str">
        <v>RA-06M-0432]FLANGE TUBE TILT SHAFT B</v>
      </c>
      <c r="J1655" s="9">
        <v>389</v>
      </c>
      <c r="K1655" s="9" t="str">
        <v/>
      </c>
      <c r="L1655" s="9" t="str">
        <v>H4-1</v>
      </c>
      <c r="M1655" s="12">
        <v>46276</v>
      </c>
      <c r="N1655" s="5" t="str">
        <v/>
      </c>
      <c r="O1655" s="5">
        <v>98250</v>
      </c>
      <c r="P1655" s="5">
        <v>20</v>
      </c>
      <c r="Q1655" s="14">
        <v>46282</v>
      </c>
      <c r="R1655" s="15">
        <v>369</v>
      </c>
    </row>
    <row r="1656" spans="2:18" x14ac:dyDescent="0.35">
      <c r="B1656" s="9">
        <v>1449</v>
      </c>
      <c r="C1656" s="9" t="str">
        <v>출고재고</v>
      </c>
      <c r="D1656" s="9" t="str">
        <v/>
      </c>
      <c r="E1656" s="9" t="str">
        <v/>
      </c>
      <c r="F1656" s="9" t="str">
        <v/>
      </c>
      <c r="G1656" s="9" t="str">
        <v/>
      </c>
      <c r="H1656" s="9" t="str">
        <v>RA-1-8B</v>
      </c>
      <c r="I1656" s="11" t="str">
        <v>RA-1-8B]AC POWER PFC CONNECT</v>
      </c>
      <c r="J1656" s="9">
        <v>437</v>
      </c>
      <c r="K1656" s="9" t="str">
        <v/>
      </c>
      <c r="L1656" s="9" t="str">
        <v>G3-1</v>
      </c>
      <c r="M1656" s="12">
        <v>46283</v>
      </c>
      <c r="N1656" s="5" t="str">
        <v/>
      </c>
      <c r="O1656" s="5">
        <v>98250</v>
      </c>
      <c r="P1656" s="5">
        <v>20</v>
      </c>
      <c r="Q1656" s="14">
        <v>46282</v>
      </c>
      <c r="R1656" s="15">
        <v>417</v>
      </c>
    </row>
    <row r="1657" spans="2:18" x14ac:dyDescent="0.35">
      <c r="B1657" s="9">
        <v>1072</v>
      </c>
      <c r="C1657" s="9" t="str">
        <v>출고재고</v>
      </c>
      <c r="D1657" s="9" t="str">
        <v/>
      </c>
      <c r="E1657" s="9" t="str">
        <v>기초</v>
      </c>
      <c r="F1657" s="9" t="str">
        <v/>
      </c>
      <c r="G1657" s="9" t="str">
        <v/>
      </c>
      <c r="H1657" s="9" t="str">
        <v>RA-06V-0242</v>
      </c>
      <c r="I1657" s="11" t="str">
        <v>RA-06V-0242]BRK TUBE TILT MICRO SW</v>
      </c>
      <c r="J1657" s="9">
        <v>462</v>
      </c>
      <c r="K1657" s="9" t="str">
        <v/>
      </c>
      <c r="L1657" s="9" t="str">
        <v>H3-3</v>
      </c>
      <c r="M1657" s="12">
        <v>46276</v>
      </c>
      <c r="N1657" s="5" t="str">
        <v/>
      </c>
      <c r="O1657" s="5">
        <v>98250</v>
      </c>
      <c r="P1657" s="5">
        <v>20</v>
      </c>
      <c r="Q1657" s="14">
        <v>46282</v>
      </c>
      <c r="R1657" s="15">
        <v>442</v>
      </c>
    </row>
    <row r="1658" spans="2:18" x14ac:dyDescent="0.35">
      <c r="B1658" s="9">
        <v>1073</v>
      </c>
      <c r="C1658" s="9" t="str">
        <v>출고재고</v>
      </c>
      <c r="D1658" s="9" t="str">
        <v/>
      </c>
      <c r="E1658" s="9" t="str">
        <v>기초</v>
      </c>
      <c r="F1658" s="9" t="str">
        <v/>
      </c>
      <c r="G1658" s="9" t="str">
        <v/>
      </c>
      <c r="H1658" s="9" t="str">
        <v>RA-06S-5091</v>
      </c>
      <c r="I1658" s="11" t="str">
        <v>RA-06S-5091] DC motor(HDSG56-3448C-615)</v>
      </c>
      <c r="J1658" s="9">
        <v>469</v>
      </c>
      <c r="K1658" s="9" t="str">
        <v/>
      </c>
      <c r="L1658" s="9" t="str">
        <v>Q</v>
      </c>
      <c r="M1658" s="12">
        <v>46276</v>
      </c>
      <c r="N1658" s="5" t="str">
        <v/>
      </c>
      <c r="O1658" s="5">
        <v>98250</v>
      </c>
      <c r="P1658" s="5">
        <v>20</v>
      </c>
      <c r="Q1658" s="14">
        <v>46282</v>
      </c>
      <c r="R1658" s="15">
        <v>449</v>
      </c>
    </row>
    <row r="1659" spans="2:18" x14ac:dyDescent="0.35">
      <c r="B1659" s="9">
        <v>1081</v>
      </c>
      <c r="C1659" s="9" t="str">
        <v>출고재고</v>
      </c>
      <c r="D1659" s="9" t="str">
        <v/>
      </c>
      <c r="E1659" s="9" t="str">
        <v>기초</v>
      </c>
      <c r="F1659" s="9" t="str">
        <v/>
      </c>
      <c r="G1659" s="9" t="str">
        <v/>
      </c>
      <c r="H1659" s="9" t="str">
        <v>RA-06V-3253</v>
      </c>
      <c r="I1659" s="11" t="str">
        <v>RA-06V-3253]HLDR DC GEARED MOT (M+)</v>
      </c>
      <c r="J1659" s="9">
        <v>499</v>
      </c>
      <c r="K1659" s="9" t="str">
        <v/>
      </c>
      <c r="L1659" s="9" t="str">
        <v>I2-1</v>
      </c>
      <c r="M1659" s="12">
        <v>46276</v>
      </c>
      <c r="N1659" s="5" t="str">
        <v/>
      </c>
      <c r="O1659" s="5">
        <v>98250</v>
      </c>
      <c r="P1659" s="5">
        <v>20</v>
      </c>
      <c r="Q1659" s="14">
        <v>46282</v>
      </c>
      <c r="R1659" s="15">
        <v>479</v>
      </c>
    </row>
    <row r="1660" spans="2:18" x14ac:dyDescent="0.35">
      <c r="B1660" s="9">
        <v>1082</v>
      </c>
      <c r="C1660" s="9" t="str">
        <v>출고재고</v>
      </c>
      <c r="D1660" s="9" t="str">
        <v/>
      </c>
      <c r="E1660" s="9" t="str">
        <v>기초</v>
      </c>
      <c r="F1660" s="9" t="str">
        <v/>
      </c>
      <c r="G1660" s="9" t="str">
        <v/>
      </c>
      <c r="H1660" s="9" t="str">
        <v>RA-06S-5018</v>
      </c>
      <c r="I1660" s="11" t="str">
        <v>RA-06S-5018]MICRO SWITCH</v>
      </c>
      <c r="J1660" s="9">
        <v>500</v>
      </c>
      <c r="K1660" s="9" t="str">
        <v/>
      </c>
      <c r="L1660" s="9" t="str">
        <v>A12-3</v>
      </c>
      <c r="M1660" s="12">
        <v>46276</v>
      </c>
      <c r="N1660" s="5" t="str">
        <v/>
      </c>
      <c r="O1660" s="5">
        <v>98250</v>
      </c>
      <c r="P1660" s="5">
        <v>40</v>
      </c>
      <c r="Q1660" s="14">
        <v>46282</v>
      </c>
      <c r="R1660" s="15">
        <v>460</v>
      </c>
    </row>
    <row r="1661" spans="2:18" x14ac:dyDescent="0.35">
      <c r="B1661" s="9">
        <v>798</v>
      </c>
      <c r="C1661" s="9" t="str">
        <v>출고재고</v>
      </c>
      <c r="D1661" s="9" t="str">
        <v/>
      </c>
      <c r="E1661" s="9" t="str">
        <v/>
      </c>
      <c r="F1661" s="9" t="str">
        <v/>
      </c>
      <c r="G1661" s="9" t="str">
        <v/>
      </c>
      <c r="H1661" s="9" t="str">
        <v>RA-3-3B</v>
      </c>
      <c r="I1661" s="11" t="str">
        <v>RA-3-3B]DCM CONTROL-B</v>
      </c>
      <c r="J1661" s="9">
        <v>542</v>
      </c>
      <c r="K1661" s="9" t="str">
        <v/>
      </c>
      <c r="L1661" s="9" t="str">
        <v>G2-1</v>
      </c>
      <c r="M1661" s="12">
        <v>46274</v>
      </c>
      <c r="N1661" s="5" t="str">
        <v/>
      </c>
      <c r="O1661" s="5">
        <v>98250</v>
      </c>
      <c r="P1661" s="5">
        <v>20</v>
      </c>
      <c r="Q1661" s="14">
        <v>46282</v>
      </c>
      <c r="R1661" s="15">
        <v>522</v>
      </c>
    </row>
    <row r="1662" spans="2:18" x14ac:dyDescent="0.35">
      <c r="B1662" s="9">
        <v>1087</v>
      </c>
      <c r="C1662" s="9" t="str">
        <v>출고재고</v>
      </c>
      <c r="D1662" s="9" t="str">
        <v/>
      </c>
      <c r="E1662" s="9" t="str">
        <v>기초</v>
      </c>
      <c r="F1662" s="9" t="str">
        <v/>
      </c>
      <c r="G1662" s="9" t="str">
        <v/>
      </c>
      <c r="H1662" s="9" t="str">
        <v>RA-06M-0244</v>
      </c>
      <c r="I1662" s="11" t="str">
        <v>RA-06M-0244]PIN TUBE TILT LIMIT</v>
      </c>
      <c r="J1662" s="9">
        <v>542</v>
      </c>
      <c r="K1662" s="9" t="str">
        <v/>
      </c>
      <c r="L1662" s="9" t="str">
        <v>I3-3</v>
      </c>
      <c r="M1662" s="12">
        <v>46276</v>
      </c>
      <c r="N1662" s="5" t="str">
        <v/>
      </c>
      <c r="O1662" s="5">
        <v>98250</v>
      </c>
      <c r="P1662" s="5">
        <v>40</v>
      </c>
      <c r="Q1662" s="14">
        <v>46282</v>
      </c>
      <c r="R1662" s="15">
        <v>502</v>
      </c>
    </row>
    <row r="1663" spans="2:18" x14ac:dyDescent="0.35">
      <c r="B1663" s="9">
        <v>1451</v>
      </c>
      <c r="C1663" s="9" t="str">
        <v>출고재고</v>
      </c>
      <c r="D1663" s="9" t="str">
        <v/>
      </c>
      <c r="E1663" s="9" t="str">
        <v/>
      </c>
      <c r="F1663" s="9" t="str">
        <v/>
      </c>
      <c r="G1663" s="9" t="str">
        <v/>
      </c>
      <c r="H1663" s="9" t="str">
        <v>RA-5-5</v>
      </c>
      <c r="I1663" s="11" t="str">
        <v>RA-5-5]EARTH ROT TO PFC</v>
      </c>
      <c r="J1663" s="9">
        <v>571</v>
      </c>
      <c r="K1663" s="9" t="str">
        <v/>
      </c>
      <c r="L1663" s="9" t="str">
        <v>G3-2</v>
      </c>
      <c r="M1663" s="12">
        <v>46283</v>
      </c>
      <c r="N1663" s="5" t="str">
        <v/>
      </c>
      <c r="O1663" s="5">
        <v>98250</v>
      </c>
      <c r="P1663" s="5">
        <v>20</v>
      </c>
      <c r="Q1663" s="14">
        <v>46282</v>
      </c>
      <c r="R1663" s="15">
        <v>551</v>
      </c>
    </row>
    <row r="1664" spans="2:18" x14ac:dyDescent="0.35">
      <c r="B1664" s="9">
        <v>1090</v>
      </c>
      <c r="C1664" s="9" t="str">
        <v>출고재고</v>
      </c>
      <c r="D1664" s="9" t="str">
        <v/>
      </c>
      <c r="E1664" s="9" t="str">
        <v>기초</v>
      </c>
      <c r="F1664" s="9" t="str">
        <v/>
      </c>
      <c r="G1664" s="9" t="str">
        <v/>
      </c>
      <c r="H1664" s="9" t="str">
        <v>RA-06V-0241</v>
      </c>
      <c r="I1664" s="11" t="str">
        <v>RA-06V-0241]GUIDE TUBE TILT MICRO SW</v>
      </c>
      <c r="J1664" s="9">
        <v>631</v>
      </c>
      <c r="K1664" s="9" t="str">
        <v/>
      </c>
      <c r="L1664" s="9" t="str">
        <v>H4-3</v>
      </c>
      <c r="M1664" s="12">
        <v>46276</v>
      </c>
      <c r="N1664" s="5" t="str">
        <v/>
      </c>
      <c r="O1664" s="5">
        <v>98250</v>
      </c>
      <c r="P1664" s="5">
        <v>20</v>
      </c>
      <c r="Q1664" s="14">
        <v>46282</v>
      </c>
      <c r="R1664" s="15">
        <v>611</v>
      </c>
    </row>
    <row r="1665" spans="2:18" x14ac:dyDescent="0.35">
      <c r="B1665" s="9">
        <v>1094</v>
      </c>
      <c r="C1665" s="9" t="str">
        <v>출고재고</v>
      </c>
      <c r="D1665" s="9" t="str">
        <v/>
      </c>
      <c r="E1665" s="9" t="str">
        <v>기초</v>
      </c>
      <c r="F1665" s="9" t="str">
        <v/>
      </c>
      <c r="G1665" s="9" t="str">
        <v/>
      </c>
      <c r="H1665" s="9" t="str">
        <v>RA-06V-0866</v>
      </c>
      <c r="I1665" s="11" t="str">
        <v>RA-06V-0866]BRK TUBE TILT MICRO SW</v>
      </c>
      <c r="J1665" s="9">
        <v>756</v>
      </c>
      <c r="K1665" s="9" t="str">
        <v/>
      </c>
      <c r="L1665" s="9" t="str">
        <v>H3-3</v>
      </c>
      <c r="M1665" s="12">
        <v>46276</v>
      </c>
      <c r="N1665" s="5" t="str">
        <v/>
      </c>
      <c r="O1665" s="5">
        <v>98250</v>
      </c>
      <c r="P1665" s="5">
        <v>20</v>
      </c>
      <c r="Q1665" s="14">
        <v>46282</v>
      </c>
      <c r="R1665" s="15">
        <v>736</v>
      </c>
    </row>
    <row r="1666" spans="2:18" x14ac:dyDescent="0.35">
      <c r="B1666" s="9">
        <v>1096</v>
      </c>
      <c r="C1666" s="9" t="str">
        <v>출고재고</v>
      </c>
      <c r="D1666" s="9" t="str">
        <v/>
      </c>
      <c r="E1666" s="9" t="str">
        <v>기초</v>
      </c>
      <c r="F1666" s="9" t="str">
        <v/>
      </c>
      <c r="G1666" s="9" t="str">
        <v/>
      </c>
      <c r="H1666" s="9" t="str">
        <v>RA-06A-5005</v>
      </c>
      <c r="I1666" s="11" t="str">
        <v>RA-06A-5005]Bd ASSY'-DC MOT Bd</v>
      </c>
      <c r="J1666" s="9">
        <v>794</v>
      </c>
      <c r="K1666" s="9" t="str">
        <v/>
      </c>
      <c r="L1666" s="9" t="str">
        <v>A3-2, A3-3</v>
      </c>
      <c r="M1666" s="12">
        <v>46276</v>
      </c>
      <c r="N1666" s="5" t="str">
        <v/>
      </c>
      <c r="O1666" s="5">
        <v>98250</v>
      </c>
      <c r="P1666" s="5">
        <v>20</v>
      </c>
      <c r="Q1666" s="14">
        <v>46282</v>
      </c>
      <c r="R1666" s="15">
        <v>774</v>
      </c>
    </row>
    <row r="1667" spans="2:18" x14ac:dyDescent="0.35">
      <c r="B1667" s="9">
        <v>1413</v>
      </c>
      <c r="C1667" s="9" t="str">
        <v>출고재고</v>
      </c>
      <c r="D1667" s="9" t="str">
        <v/>
      </c>
      <c r="E1667" s="9" t="str">
        <v/>
      </c>
      <c r="F1667" s="9" t="str">
        <v/>
      </c>
      <c r="G1667" s="9" t="str">
        <v/>
      </c>
      <c r="H1667" s="9" t="str">
        <v>RA-8-4</v>
      </c>
      <c r="I1667" s="11" t="str">
        <v>RA-8-4]AC POWER CEPH</v>
      </c>
      <c r="J1667" s="9">
        <v>28</v>
      </c>
      <c r="K1667" s="9" t="str">
        <v/>
      </c>
      <c r="L1667" s="9" t="str">
        <v>G4</v>
      </c>
      <c r="M1667" s="12">
        <v>46283</v>
      </c>
      <c r="N1667" s="5" t="str">
        <v/>
      </c>
      <c r="O1667" s="5">
        <v>98251</v>
      </c>
      <c r="P1667" s="5">
        <v>20</v>
      </c>
      <c r="Q1667" s="14">
        <v>46282</v>
      </c>
      <c r="R1667" s="15">
        <v>8</v>
      </c>
    </row>
    <row r="1668" spans="2:18" x14ac:dyDescent="0.35">
      <c r="B1668" s="9">
        <v>803</v>
      </c>
      <c r="C1668" s="9" t="str">
        <v>출고재고</v>
      </c>
      <c r="D1668" s="9" t="str">
        <v/>
      </c>
      <c r="E1668" s="9" t="str">
        <v/>
      </c>
      <c r="F1668" s="9" t="str">
        <v/>
      </c>
      <c r="G1668" s="9" t="str">
        <v/>
      </c>
      <c r="H1668" s="9" t="str">
        <v>RA-05V-2654</v>
      </c>
      <c r="I1668" s="11" t="str">
        <v>RA-05V-2654]BRK CAS ROT BOT</v>
      </c>
      <c r="J1668" s="9">
        <v>39</v>
      </c>
      <c r="K1668" s="9" t="str">
        <v/>
      </c>
      <c r="L1668" s="9" t="str">
        <v>J4-2</v>
      </c>
      <c r="M1668" s="12">
        <v>46275</v>
      </c>
      <c r="N1668" s="5" t="str">
        <v/>
      </c>
      <c r="O1668" s="5">
        <v>98251</v>
      </c>
      <c r="P1668" s="5">
        <v>20</v>
      </c>
      <c r="Q1668" s="14">
        <v>46282</v>
      </c>
      <c r="R1668" s="15">
        <v>19</v>
      </c>
    </row>
    <row r="1669" spans="2:18" x14ac:dyDescent="0.35">
      <c r="B1669" s="9">
        <v>1414</v>
      </c>
      <c r="C1669" s="9" t="str">
        <v>출고재고</v>
      </c>
      <c r="D1669" s="9" t="str">
        <v/>
      </c>
      <c r="E1669" s="9" t="str">
        <v/>
      </c>
      <c r="F1669" s="9" t="str">
        <v/>
      </c>
      <c r="G1669" s="9" t="str">
        <v/>
      </c>
      <c r="H1669" s="9" t="str">
        <v>RA-04V-1108</v>
      </c>
      <c r="I1669" s="11" t="str">
        <v>RA-04V-1108]BRK ARM RIGID R</v>
      </c>
      <c r="J1669" s="9">
        <v>50</v>
      </c>
      <c r="K1669" s="9" t="str">
        <v/>
      </c>
      <c r="L1669" s="9" t="str">
        <v>B1-6</v>
      </c>
      <c r="M1669" s="12">
        <v>46283</v>
      </c>
      <c r="N1669" s="5" t="str">
        <v/>
      </c>
      <c r="O1669" s="5">
        <v>98251</v>
      </c>
      <c r="P1669" s="5">
        <v>20</v>
      </c>
      <c r="Q1669" s="14">
        <v>46282</v>
      </c>
      <c r="R1669" s="15">
        <v>30</v>
      </c>
    </row>
    <row r="1670" spans="2:18" x14ac:dyDescent="0.35">
      <c r="B1670" s="9">
        <v>1415</v>
      </c>
      <c r="C1670" s="9" t="str">
        <v>출고재고</v>
      </c>
      <c r="D1670" s="9" t="str">
        <v/>
      </c>
      <c r="E1670" s="9" t="str">
        <v/>
      </c>
      <c r="F1670" s="9" t="str">
        <v/>
      </c>
      <c r="G1670" s="9" t="str">
        <v/>
      </c>
      <c r="H1670" s="9" t="str">
        <v>RA-04V-1109</v>
      </c>
      <c r="I1670" s="11" t="str">
        <v>RA-04V-1109]BRK ARM RIGID L</v>
      </c>
      <c r="J1670" s="9">
        <v>50</v>
      </c>
      <c r="K1670" s="9" t="str">
        <v/>
      </c>
      <c r="L1670" s="9" t="str">
        <v>B1-6</v>
      </c>
      <c r="M1670" s="12">
        <v>46283</v>
      </c>
      <c r="N1670" s="5" t="str">
        <v/>
      </c>
      <c r="O1670" s="5">
        <v>98251</v>
      </c>
      <c r="P1670" s="5">
        <v>20</v>
      </c>
      <c r="Q1670" s="14">
        <v>46282</v>
      </c>
      <c r="R1670" s="15">
        <v>30</v>
      </c>
    </row>
    <row r="1671" spans="2:18" x14ac:dyDescent="0.35">
      <c r="B1671" s="9">
        <v>1416</v>
      </c>
      <c r="C1671" s="9" t="str">
        <v>출고재고</v>
      </c>
      <c r="D1671" s="9" t="str">
        <v/>
      </c>
      <c r="E1671" s="9" t="str">
        <v/>
      </c>
      <c r="F1671" s="9" t="str">
        <v/>
      </c>
      <c r="G1671" s="9" t="str">
        <v/>
      </c>
      <c r="H1671" s="9" t="str">
        <v>RA-3-6</v>
      </c>
      <c r="I1671" s="11" t="str">
        <v>RA-3-6]INDICATOR CONTROL</v>
      </c>
      <c r="J1671" s="9">
        <v>76</v>
      </c>
      <c r="K1671" s="9" t="str">
        <v/>
      </c>
      <c r="L1671" s="9" t="str">
        <v>G1-1</v>
      </c>
      <c r="M1671" s="12">
        <v>46283</v>
      </c>
      <c r="N1671" s="5" t="str">
        <v/>
      </c>
      <c r="O1671" s="5">
        <v>98251</v>
      </c>
      <c r="P1671" s="5">
        <v>20</v>
      </c>
      <c r="Q1671" s="14">
        <v>46282</v>
      </c>
      <c r="R1671" s="15">
        <v>56</v>
      </c>
    </row>
    <row r="1672" spans="2:18" x14ac:dyDescent="0.35">
      <c r="B1672" s="9">
        <v>1417</v>
      </c>
      <c r="C1672" s="9" t="str">
        <v>출고재고</v>
      </c>
      <c r="D1672" s="9" t="str">
        <v/>
      </c>
      <c r="E1672" s="9" t="str">
        <v/>
      </c>
      <c r="F1672" s="9" t="str">
        <v/>
      </c>
      <c r="G1672" s="9" t="str">
        <v/>
      </c>
      <c r="H1672" s="9" t="str">
        <v>RA-1-5</v>
      </c>
      <c r="I1672" s="11" t="str">
        <v>RA-1-5]AC POWER SMPS-1</v>
      </c>
      <c r="J1672" s="9">
        <v>90</v>
      </c>
      <c r="K1672" s="9" t="str">
        <v/>
      </c>
      <c r="L1672" s="9" t="str">
        <v>G3-1</v>
      </c>
      <c r="M1672" s="12">
        <v>46283</v>
      </c>
      <c r="N1672" s="5" t="str">
        <v/>
      </c>
      <c r="O1672" s="5">
        <v>98251</v>
      </c>
      <c r="P1672" s="5">
        <v>20</v>
      </c>
      <c r="Q1672" s="14">
        <v>46282</v>
      </c>
      <c r="R1672" s="15">
        <v>70</v>
      </c>
    </row>
    <row r="1673" spans="2:18" x14ac:dyDescent="0.35">
      <c r="B1673" s="9">
        <v>997</v>
      </c>
      <c r="C1673" s="9" t="str">
        <v>출고재고</v>
      </c>
      <c r="D1673" s="9" t="str">
        <v/>
      </c>
      <c r="E1673" s="9" t="str">
        <v>기초</v>
      </c>
      <c r="F1673" s="9" t="str">
        <v/>
      </c>
      <c r="G1673" s="9" t="str">
        <v/>
      </c>
      <c r="H1673" s="9" t="str">
        <v>RA-11-9</v>
      </c>
      <c r="I1673" s="11" t="str">
        <v>RA-11-9]DC POWER MOT-A</v>
      </c>
      <c r="J1673" s="9">
        <v>104</v>
      </c>
      <c r="K1673" s="9" t="str">
        <v/>
      </c>
      <c r="L1673" s="9" t="str">
        <v>G4</v>
      </c>
      <c r="M1673" s="12">
        <v>46276</v>
      </c>
      <c r="N1673" s="5" t="str">
        <v/>
      </c>
      <c r="O1673" s="5">
        <v>98251</v>
      </c>
      <c r="P1673" s="5">
        <v>20</v>
      </c>
      <c r="Q1673" s="14">
        <v>46282</v>
      </c>
      <c r="R1673" s="15">
        <v>84</v>
      </c>
    </row>
    <row r="1674" spans="2:18" x14ac:dyDescent="0.35">
      <c r="B1674" s="9">
        <v>1420</v>
      </c>
      <c r="C1674" s="9" t="str">
        <v>출고재고</v>
      </c>
      <c r="D1674" s="9" t="str">
        <v/>
      </c>
      <c r="E1674" s="9" t="str">
        <v/>
      </c>
      <c r="F1674" s="9" t="str">
        <v/>
      </c>
      <c r="G1674" s="9" t="str">
        <v/>
      </c>
      <c r="H1674" s="9" t="str">
        <v>RA-06A-5004</v>
      </c>
      <c r="I1674" s="11" t="str">
        <v>RA-06A-5004]Bd ASSY'-Indicator Bd</v>
      </c>
      <c r="J1674" s="9">
        <v>118</v>
      </c>
      <c r="K1674" s="9" t="str">
        <v/>
      </c>
      <c r="L1674" s="9" t="str">
        <v>A1-5</v>
      </c>
      <c r="M1674" s="12">
        <v>46283</v>
      </c>
      <c r="N1674" s="5" t="str">
        <v/>
      </c>
      <c r="O1674" s="5">
        <v>98251</v>
      </c>
      <c r="P1674" s="5">
        <v>40</v>
      </c>
      <c r="Q1674" s="14">
        <v>46282</v>
      </c>
      <c r="R1674" s="15">
        <v>78</v>
      </c>
    </row>
    <row r="1675" spans="2:18" x14ac:dyDescent="0.35">
      <c r="B1675" s="9">
        <v>1421</v>
      </c>
      <c r="C1675" s="9" t="str">
        <v>출고재고</v>
      </c>
      <c r="D1675" s="9" t="str">
        <v/>
      </c>
      <c r="E1675" s="9" t="str">
        <v/>
      </c>
      <c r="F1675" s="9" t="str">
        <v/>
      </c>
      <c r="G1675" s="9" t="str">
        <v/>
      </c>
      <c r="H1675" s="9" t="str">
        <v>RA-7-5</v>
      </c>
      <c r="I1675" s="11" t="str">
        <v>RA-7-5]LAN THU</v>
      </c>
      <c r="J1675" s="9">
        <v>146</v>
      </c>
      <c r="K1675" s="9" t="str">
        <v/>
      </c>
      <c r="L1675" s="9" t="str">
        <v>G2-2</v>
      </c>
      <c r="M1675" s="12">
        <v>46283</v>
      </c>
      <c r="N1675" s="5" t="str">
        <v/>
      </c>
      <c r="O1675" s="5">
        <v>98251</v>
      </c>
      <c r="P1675" s="5">
        <v>20</v>
      </c>
      <c r="Q1675" s="14">
        <v>46282</v>
      </c>
      <c r="R1675" s="15">
        <v>126</v>
      </c>
    </row>
    <row r="1676" spans="2:18" x14ac:dyDescent="0.35">
      <c r="B1676" s="9">
        <v>1423</v>
      </c>
      <c r="C1676" s="9" t="str">
        <v>출고재고</v>
      </c>
      <c r="D1676" s="9" t="str">
        <v/>
      </c>
      <c r="E1676" s="9" t="str">
        <v/>
      </c>
      <c r="F1676" s="9" t="str">
        <v/>
      </c>
      <c r="G1676" s="9" t="str">
        <v/>
      </c>
      <c r="H1676" s="9" t="str">
        <v>RA-1-11</v>
      </c>
      <c r="I1676" s="11" t="str">
        <v>RA-1-11]DC POWER HUB</v>
      </c>
      <c r="J1676" s="9">
        <v>155</v>
      </c>
      <c r="K1676" s="9" t="str">
        <v/>
      </c>
      <c r="L1676" s="9" t="str">
        <v>G3-1</v>
      </c>
      <c r="M1676" s="12">
        <v>46283</v>
      </c>
      <c r="N1676" s="5" t="str">
        <v/>
      </c>
      <c r="O1676" s="5">
        <v>98251</v>
      </c>
      <c r="P1676" s="5">
        <v>20</v>
      </c>
      <c r="Q1676" s="14">
        <v>46282</v>
      </c>
      <c r="R1676" s="15">
        <v>135</v>
      </c>
    </row>
    <row r="1677" spans="2:18" x14ac:dyDescent="0.35">
      <c r="B1677" s="9">
        <v>1424</v>
      </c>
      <c r="C1677" s="9" t="str">
        <v>출고재고</v>
      </c>
      <c r="D1677" s="9" t="str">
        <v/>
      </c>
      <c r="E1677" s="9" t="str">
        <v/>
      </c>
      <c r="F1677" s="9" t="str">
        <v/>
      </c>
      <c r="G1677" s="9" t="str">
        <v/>
      </c>
      <c r="H1677" s="9" t="str">
        <v>RA-3-5</v>
      </c>
      <c r="I1677" s="11" t="str">
        <v>RA-3-5]INDICATOR</v>
      </c>
      <c r="J1677" s="9">
        <v>155</v>
      </c>
      <c r="K1677" s="9" t="str">
        <v/>
      </c>
      <c r="L1677" s="9" t="str">
        <v>G1-1</v>
      </c>
      <c r="M1677" s="12">
        <v>46283</v>
      </c>
      <c r="N1677" s="5" t="str">
        <v/>
      </c>
      <c r="O1677" s="5">
        <v>98251</v>
      </c>
      <c r="P1677" s="5">
        <v>20</v>
      </c>
      <c r="Q1677" s="14">
        <v>46282</v>
      </c>
      <c r="R1677" s="15">
        <v>135</v>
      </c>
    </row>
    <row r="1678" spans="2:18" x14ac:dyDescent="0.35">
      <c r="B1678" s="9">
        <v>1023</v>
      </c>
      <c r="C1678" s="9" t="str">
        <v>출고재고</v>
      </c>
      <c r="D1678" s="9" t="str">
        <v/>
      </c>
      <c r="E1678" s="9" t="str">
        <v>기초</v>
      </c>
      <c r="F1678" s="9" t="str">
        <v/>
      </c>
      <c r="G1678" s="9" t="str">
        <v/>
      </c>
      <c r="H1678" s="9" t="str">
        <v>RA-07T-1766</v>
      </c>
      <c r="I1678" s="11" t="str">
        <v>RA-07T-1766]BLK DET SNSR</v>
      </c>
      <c r="J1678" s="9">
        <v>164</v>
      </c>
      <c r="K1678" s="9" t="str">
        <v/>
      </c>
      <c r="L1678" s="9" t="str">
        <v>N3-1</v>
      </c>
      <c r="M1678" s="12">
        <v>46276</v>
      </c>
      <c r="N1678" s="5" t="str">
        <v/>
      </c>
      <c r="O1678" s="5">
        <v>98251</v>
      </c>
      <c r="P1678" s="5">
        <v>40</v>
      </c>
      <c r="Q1678" s="14">
        <v>46282</v>
      </c>
      <c r="R1678" s="15">
        <v>124</v>
      </c>
    </row>
    <row r="1679" spans="2:18" x14ac:dyDescent="0.35">
      <c r="B1679" s="9">
        <v>1425</v>
      </c>
      <c r="C1679" s="9" t="str">
        <v>출고재고</v>
      </c>
      <c r="D1679" s="9" t="str">
        <v/>
      </c>
      <c r="E1679" s="9" t="str">
        <v/>
      </c>
      <c r="F1679" s="9" t="str">
        <v/>
      </c>
      <c r="G1679" s="9" t="str">
        <v/>
      </c>
      <c r="H1679" s="9" t="str">
        <v>RA-9-8</v>
      </c>
      <c r="I1679" s="11" t="str">
        <v>RA-9-8]SERIAL POWER LS 1</v>
      </c>
      <c r="J1679" s="9">
        <v>164</v>
      </c>
      <c r="K1679" s="9" t="str">
        <v/>
      </c>
      <c r="L1679" s="9" t="str">
        <v>G1-3</v>
      </c>
      <c r="M1679" s="12">
        <v>46283</v>
      </c>
      <c r="N1679" s="5" t="str">
        <v/>
      </c>
      <c r="O1679" s="5">
        <v>98251</v>
      </c>
      <c r="P1679" s="5">
        <v>20</v>
      </c>
      <c r="Q1679" s="14">
        <v>46282</v>
      </c>
      <c r="R1679" s="15">
        <v>144</v>
      </c>
    </row>
    <row r="1680" spans="2:18" x14ac:dyDescent="0.35">
      <c r="B1680" s="9">
        <v>1426</v>
      </c>
      <c r="C1680" s="9" t="str">
        <v>출고재고</v>
      </c>
      <c r="D1680" s="9" t="str">
        <v/>
      </c>
      <c r="E1680" s="9" t="str">
        <v/>
      </c>
      <c r="F1680" s="9" t="str">
        <v/>
      </c>
      <c r="G1680" s="9" t="str">
        <v/>
      </c>
      <c r="H1680" s="9" t="str">
        <v>RA-05T-0210</v>
      </c>
      <c r="I1680" s="11" t="str">
        <v>RA-05T-0210]CAS ROT TOP SUB</v>
      </c>
      <c r="J1680" s="9">
        <v>183</v>
      </c>
      <c r="K1680" s="9" t="str">
        <v/>
      </c>
      <c r="L1680" s="9" t="str">
        <v>S</v>
      </c>
      <c r="M1680" s="12">
        <v>46283</v>
      </c>
      <c r="N1680" s="5" t="str">
        <v/>
      </c>
      <c r="O1680" s="5">
        <v>98251</v>
      </c>
      <c r="P1680" s="5">
        <v>20</v>
      </c>
      <c r="Q1680" s="14">
        <v>46282</v>
      </c>
      <c r="R1680" s="15">
        <v>163</v>
      </c>
    </row>
    <row r="1681" spans="2:18" x14ac:dyDescent="0.35">
      <c r="B1681" s="9">
        <v>1412</v>
      </c>
      <c r="C1681" s="9" t="str">
        <v>출고재고</v>
      </c>
      <c r="D1681" s="9" t="str">
        <v/>
      </c>
      <c r="E1681" s="9" t="str">
        <v/>
      </c>
      <c r="F1681" s="9" t="str">
        <v/>
      </c>
      <c r="G1681" s="9" t="str">
        <v/>
      </c>
      <c r="H1681" s="9" t="str">
        <v>RA-02T-0045</v>
      </c>
      <c r="I1681" s="11" t="str">
        <v>RA-02T-0045]CAS VERT SUB BOT</v>
      </c>
      <c r="J1681" s="9">
        <v>190</v>
      </c>
      <c r="K1681" s="9" t="str">
        <v/>
      </c>
      <c r="L1681" s="9" t="str">
        <v>S</v>
      </c>
      <c r="M1681" s="12">
        <v>46283</v>
      </c>
      <c r="N1681" s="5" t="str">
        <v/>
      </c>
      <c r="O1681" s="5">
        <v>98251</v>
      </c>
      <c r="P1681" s="5">
        <v>20</v>
      </c>
      <c r="Q1681" s="14">
        <v>46282</v>
      </c>
      <c r="R1681" s="15">
        <v>170</v>
      </c>
    </row>
    <row r="1682" spans="2:18" x14ac:dyDescent="0.35">
      <c r="B1682" s="9">
        <v>1369</v>
      </c>
      <c r="C1682" s="9" t="str">
        <v>출고재고</v>
      </c>
      <c r="D1682" s="9" t="str">
        <v/>
      </c>
      <c r="E1682" s="9" t="str">
        <v/>
      </c>
      <c r="F1682" s="9" t="str">
        <v/>
      </c>
      <c r="G1682" s="9" t="str">
        <v/>
      </c>
      <c r="H1682" s="9" t="str">
        <v>RA-02M-0395</v>
      </c>
      <c r="I1682" s="11" t="str">
        <v>RA-02M-0395]PIN VERT POSITION</v>
      </c>
      <c r="J1682" s="9">
        <v>226</v>
      </c>
      <c r="K1682" s="9" t="str">
        <v/>
      </c>
      <c r="L1682" s="9" t="str">
        <v>C3-1</v>
      </c>
      <c r="M1682" s="12">
        <v>46287</v>
      </c>
      <c r="N1682" s="5" t="str">
        <v/>
      </c>
      <c r="O1682" s="5">
        <v>98251</v>
      </c>
      <c r="P1682" s="5">
        <v>40</v>
      </c>
      <c r="Q1682" s="14">
        <v>46282</v>
      </c>
      <c r="R1682" s="15">
        <v>186</v>
      </c>
    </row>
    <row r="1683" spans="2:18" x14ac:dyDescent="0.35">
      <c r="B1683" s="9">
        <v>1428</v>
      </c>
      <c r="C1683" s="9" t="str">
        <v>출고재고</v>
      </c>
      <c r="D1683" s="9" t="str">
        <v/>
      </c>
      <c r="E1683" s="9" t="str">
        <v/>
      </c>
      <c r="F1683" s="9" t="str">
        <v/>
      </c>
      <c r="G1683" s="9" t="str">
        <v/>
      </c>
      <c r="H1683" s="9" t="str">
        <v>RA-3-3A</v>
      </c>
      <c r="I1683" s="11" t="str">
        <v>RA-3-3A]DCM CONTROL-A</v>
      </c>
      <c r="J1683" s="9">
        <v>227</v>
      </c>
      <c r="K1683" s="9" t="str">
        <v/>
      </c>
      <c r="L1683" s="9" t="str">
        <v>G4</v>
      </c>
      <c r="M1683" s="12">
        <v>46283</v>
      </c>
      <c r="N1683" s="5" t="str">
        <v/>
      </c>
      <c r="O1683" s="5">
        <v>98251</v>
      </c>
      <c r="P1683" s="5">
        <v>20</v>
      </c>
      <c r="Q1683" s="14">
        <v>46282</v>
      </c>
      <c r="R1683" s="15">
        <v>207</v>
      </c>
    </row>
    <row r="1684" spans="2:18" x14ac:dyDescent="0.35">
      <c r="B1684" s="9">
        <v>1429</v>
      </c>
      <c r="C1684" s="9" t="str">
        <v>출고재고</v>
      </c>
      <c r="D1684" s="9" t="str">
        <v/>
      </c>
      <c r="E1684" s="9" t="str">
        <v/>
      </c>
      <c r="F1684" s="9" t="str">
        <v/>
      </c>
      <c r="G1684" s="9" t="str">
        <v/>
      </c>
      <c r="H1684" s="9" t="str">
        <v>RA-1-12</v>
      </c>
      <c r="I1684" s="11" t="str">
        <v>RA-1-12]DC POWER SMPS CONN</v>
      </c>
      <c r="J1684" s="9">
        <v>230</v>
      </c>
      <c r="K1684" s="9" t="str">
        <v/>
      </c>
      <c r="L1684" s="9" t="str">
        <v>G2-1</v>
      </c>
      <c r="M1684" s="12">
        <v>46283</v>
      </c>
      <c r="N1684" s="5" t="str">
        <v/>
      </c>
      <c r="O1684" s="5">
        <v>98251</v>
      </c>
      <c r="P1684" s="5">
        <v>20</v>
      </c>
      <c r="Q1684" s="14">
        <v>46282</v>
      </c>
      <c r="R1684" s="15">
        <v>210</v>
      </c>
    </row>
    <row r="1685" spans="2:18" x14ac:dyDescent="0.35">
      <c r="B1685" s="9">
        <v>1430</v>
      </c>
      <c r="C1685" s="9" t="str">
        <v>출고재고</v>
      </c>
      <c r="D1685" s="9" t="str">
        <v/>
      </c>
      <c r="E1685" s="9" t="str">
        <v/>
      </c>
      <c r="F1685" s="9" t="str">
        <v/>
      </c>
      <c r="G1685" s="9" t="str">
        <v/>
      </c>
      <c r="H1685" s="9" t="str">
        <v>RA-2-9</v>
      </c>
      <c r="I1685" s="11" t="str">
        <v>RA-2-9]ACT 2nd LIMIT</v>
      </c>
      <c r="J1685" s="9">
        <v>232</v>
      </c>
      <c r="K1685" s="9" t="str">
        <v/>
      </c>
      <c r="L1685" s="9" t="str">
        <v>G2-1</v>
      </c>
      <c r="M1685" s="12">
        <v>46283</v>
      </c>
      <c r="N1685" s="5" t="str">
        <v/>
      </c>
      <c r="O1685" s="5">
        <v>98251</v>
      </c>
      <c r="P1685" s="5">
        <v>20</v>
      </c>
      <c r="Q1685" s="14">
        <v>46282</v>
      </c>
      <c r="R1685" s="15">
        <v>212</v>
      </c>
    </row>
    <row r="1686" spans="2:18" x14ac:dyDescent="0.35">
      <c r="B1686" s="9">
        <v>1431</v>
      </c>
      <c r="C1686" s="9" t="str">
        <v>출고재고</v>
      </c>
      <c r="D1686" s="9" t="str">
        <v/>
      </c>
      <c r="E1686" s="9" t="str">
        <v/>
      </c>
      <c r="F1686" s="9" t="str">
        <v/>
      </c>
      <c r="G1686" s="9" t="str">
        <v/>
      </c>
      <c r="H1686" s="9" t="str">
        <v>RA-5-8</v>
      </c>
      <c r="I1686" s="11" t="str">
        <v>RA-5-8]EARTH CTRL SMPS</v>
      </c>
      <c r="J1686" s="9">
        <v>246</v>
      </c>
      <c r="K1686" s="9" t="str">
        <v/>
      </c>
      <c r="L1686" s="9" t="str">
        <v>G3-2</v>
      </c>
      <c r="M1686" s="12">
        <v>46283</v>
      </c>
      <c r="N1686" s="5" t="str">
        <v/>
      </c>
      <c r="O1686" s="5">
        <v>98251</v>
      </c>
      <c r="P1686" s="5">
        <v>20</v>
      </c>
      <c r="Q1686" s="14">
        <v>46282</v>
      </c>
      <c r="R1686" s="15">
        <v>226</v>
      </c>
    </row>
    <row r="1687" spans="2:18" x14ac:dyDescent="0.35">
      <c r="B1687" s="9">
        <v>2504</v>
      </c>
      <c r="C1687" s="9" t="str">
        <v>출고재고</v>
      </c>
      <c r="D1687" s="9" t="str">
        <v/>
      </c>
      <c r="E1687" s="9" t="str">
        <v/>
      </c>
      <c r="F1687" s="9" t="str">
        <v/>
      </c>
      <c r="G1687" s="9" t="str">
        <v/>
      </c>
      <c r="H1687" s="9" t="str">
        <v>RA-10-1</v>
      </c>
      <c r="I1687" s="11" t="str">
        <v>RA-10-1]AC CABLE ASS’Y</v>
      </c>
      <c r="J1687" s="9">
        <v>250</v>
      </c>
      <c r="K1687" s="9" t="str">
        <v/>
      </c>
      <c r="L1687" s="9" t="str">
        <v>G4</v>
      </c>
      <c r="M1687" s="12">
        <v>46297</v>
      </c>
      <c r="N1687" s="5" t="str">
        <v/>
      </c>
      <c r="O1687" s="5">
        <v>98251</v>
      </c>
      <c r="P1687" s="5">
        <v>20</v>
      </c>
      <c r="Q1687" s="14">
        <v>46297</v>
      </c>
      <c r="R1687" s="15">
        <v>230</v>
      </c>
    </row>
    <row r="1688" spans="2:18" x14ac:dyDescent="0.35">
      <c r="B1688" s="9">
        <v>1432</v>
      </c>
      <c r="C1688" s="9" t="str">
        <v>출고재고</v>
      </c>
      <c r="D1688" s="9" t="str">
        <v/>
      </c>
      <c r="E1688" s="9" t="str">
        <v/>
      </c>
      <c r="F1688" s="9" t="str">
        <v/>
      </c>
      <c r="G1688" s="9" t="str">
        <v/>
      </c>
      <c r="H1688" s="9" t="str">
        <v>RA-2-4</v>
      </c>
      <c r="I1688" s="11" t="str">
        <v>RA-2-4]SERIAL POWER THU</v>
      </c>
      <c r="J1688" s="9">
        <v>258</v>
      </c>
      <c r="K1688" s="9" t="str">
        <v/>
      </c>
      <c r="L1688" s="9" t="str">
        <v>G2-1</v>
      </c>
      <c r="M1688" s="12">
        <v>46283</v>
      </c>
      <c r="N1688" s="5" t="str">
        <v/>
      </c>
      <c r="O1688" s="5">
        <v>98251</v>
      </c>
      <c r="P1688" s="5">
        <v>20</v>
      </c>
      <c r="Q1688" s="14">
        <v>46282</v>
      </c>
      <c r="R1688" s="15">
        <v>238</v>
      </c>
    </row>
    <row r="1689" spans="2:18" x14ac:dyDescent="0.35">
      <c r="B1689" s="9">
        <v>1447</v>
      </c>
      <c r="C1689" s="9" t="str">
        <v>출고재고</v>
      </c>
      <c r="D1689" s="9" t="str">
        <v/>
      </c>
      <c r="E1689" s="9" t="str">
        <v/>
      </c>
      <c r="F1689" s="9" t="str">
        <v/>
      </c>
      <c r="G1689" s="9" t="str">
        <v/>
      </c>
      <c r="H1689" s="9" t="str">
        <v>RA-05V-0199</v>
      </c>
      <c r="I1689" s="11" t="str">
        <v>RA-05V-0199]BRK PXD-200CT DRV PCB R</v>
      </c>
      <c r="J1689" s="9">
        <v>344</v>
      </c>
      <c r="K1689" s="9" t="str">
        <v/>
      </c>
      <c r="L1689" s="9" t="str">
        <v>H2-2</v>
      </c>
      <c r="M1689" s="12">
        <v>46283</v>
      </c>
      <c r="N1689" s="5" t="str">
        <v/>
      </c>
      <c r="O1689" s="5">
        <v>98251</v>
      </c>
      <c r="P1689" s="5">
        <v>20</v>
      </c>
      <c r="Q1689" s="14">
        <v>46282</v>
      </c>
      <c r="R1689" s="15">
        <v>324</v>
      </c>
    </row>
    <row r="1690" spans="2:18" x14ac:dyDescent="0.35">
      <c r="B1690" s="9">
        <v>1448</v>
      </c>
      <c r="C1690" s="9" t="str">
        <v>출고재고</v>
      </c>
      <c r="D1690" s="9" t="str">
        <v/>
      </c>
      <c r="E1690" s="9" t="str">
        <v/>
      </c>
      <c r="F1690" s="9" t="str">
        <v/>
      </c>
      <c r="G1690" s="9" t="str">
        <v/>
      </c>
      <c r="H1690" s="9" t="str">
        <v>RA-05V-0297</v>
      </c>
      <c r="I1690" s="11" t="str">
        <v>RA-05V-0297]BRK PXD-200CT DRV PCB L</v>
      </c>
      <c r="J1690" s="9">
        <v>349</v>
      </c>
      <c r="K1690" s="9" t="str">
        <v/>
      </c>
      <c r="L1690" s="9" t="str">
        <v>H2-2</v>
      </c>
      <c r="M1690" s="12">
        <v>46283</v>
      </c>
      <c r="N1690" s="5" t="str">
        <v/>
      </c>
      <c r="O1690" s="5">
        <v>98251</v>
      </c>
      <c r="P1690" s="5">
        <v>20</v>
      </c>
      <c r="Q1690" s="14">
        <v>46282</v>
      </c>
      <c r="R1690" s="15">
        <v>329</v>
      </c>
    </row>
    <row r="1691" spans="2:18" x14ac:dyDescent="0.35">
      <c r="B1691" s="9">
        <v>1433</v>
      </c>
      <c r="C1691" s="9" t="str">
        <v>출고재고</v>
      </c>
      <c r="D1691" s="9" t="str">
        <v/>
      </c>
      <c r="E1691" s="9" t="str">
        <v/>
      </c>
      <c r="F1691" s="9" t="str">
        <v/>
      </c>
      <c r="G1691" s="9" t="str">
        <v/>
      </c>
      <c r="H1691" s="9" t="str">
        <v>RA-5-10</v>
      </c>
      <c r="I1691" s="11" t="str">
        <v>RA-5-10]EARTH MOT SMPS(RPS)</v>
      </c>
      <c r="J1691" s="9">
        <v>355</v>
      </c>
      <c r="K1691" s="9" t="str">
        <v/>
      </c>
      <c r="L1691" s="9" t="str">
        <v>G3-2</v>
      </c>
      <c r="M1691" s="12">
        <v>46283</v>
      </c>
      <c r="N1691" s="5" t="str">
        <v/>
      </c>
      <c r="O1691" s="5">
        <v>98251</v>
      </c>
      <c r="P1691" s="5">
        <v>20</v>
      </c>
      <c r="Q1691" s="14">
        <v>46282</v>
      </c>
      <c r="R1691" s="15">
        <v>335</v>
      </c>
    </row>
    <row r="1692" spans="2:18" x14ac:dyDescent="0.35">
      <c r="B1692" s="9">
        <v>1105</v>
      </c>
      <c r="C1692" s="9" t="str">
        <v>출고재고</v>
      </c>
      <c r="D1692" s="9" t="str">
        <v/>
      </c>
      <c r="E1692" s="9" t="str">
        <v>기초</v>
      </c>
      <c r="F1692" s="9" t="str">
        <v/>
      </c>
      <c r="G1692" s="9" t="str">
        <v/>
      </c>
      <c r="H1692" s="9" t="str">
        <v>RA-04T-2524</v>
      </c>
      <c r="I1692" s="11" t="str">
        <v>RA-04T-2524]CAS CHINREST UPPER (A+)</v>
      </c>
      <c r="J1692" s="9">
        <v>534</v>
      </c>
      <c r="K1692" s="9" t="str">
        <v/>
      </c>
      <c r="L1692" s="9" t="str">
        <v>S</v>
      </c>
      <c r="M1692" s="12">
        <v>46276</v>
      </c>
      <c r="N1692" s="5" t="str">
        <v/>
      </c>
      <c r="O1692" s="5">
        <v>98251</v>
      </c>
      <c r="P1692" s="5">
        <v>20</v>
      </c>
      <c r="Q1692" s="14">
        <v>46282</v>
      </c>
      <c r="R1692" s="15">
        <v>514</v>
      </c>
    </row>
    <row r="1693" spans="2:18" x14ac:dyDescent="0.35">
      <c r="B1693" s="9">
        <v>1622</v>
      </c>
      <c r="C1693" s="9" t="str">
        <v>출고재고</v>
      </c>
      <c r="D1693" s="9" t="str">
        <v/>
      </c>
      <c r="E1693" s="9" t="str">
        <v>입고</v>
      </c>
      <c r="F1693" s="9" t="str">
        <v>MTS</v>
      </c>
      <c r="G1693" s="9" t="str">
        <v>유영국</v>
      </c>
      <c r="H1693" s="9" t="str">
        <v>RA-05V-2559</v>
      </c>
      <c r="I1693" s="11" t="str">
        <v>RA-05V-2559]CVR SUB MCU</v>
      </c>
      <c r="J1693" s="9">
        <v>50</v>
      </c>
      <c r="K1693" s="9" t="str">
        <v/>
      </c>
      <c r="L1693" s="9" t="str">
        <v>K5-3</v>
      </c>
      <c r="M1693" s="12">
        <v>46276</v>
      </c>
      <c r="N1693" s="5" t="str">
        <v/>
      </c>
      <c r="O1693" s="5">
        <v>98252</v>
      </c>
      <c r="P1693" s="5">
        <v>20</v>
      </c>
      <c r="Q1693" s="14">
        <v>46282</v>
      </c>
      <c r="R1693" s="15">
        <v>30</v>
      </c>
    </row>
    <row r="1694" spans="2:18" x14ac:dyDescent="0.35">
      <c r="B1694" s="9">
        <v>1174</v>
      </c>
      <c r="C1694" s="9" t="str">
        <v>출고재고</v>
      </c>
      <c r="D1694" s="9" t="str">
        <v/>
      </c>
      <c r="E1694" s="9" t="str">
        <v/>
      </c>
      <c r="F1694" s="9" t="str">
        <v/>
      </c>
      <c r="G1694" s="9" t="str">
        <v/>
      </c>
      <c r="H1694" s="9" t="str">
        <v>RA-09V-3433</v>
      </c>
      <c r="I1694" s="11" t="str">
        <v>RA-09V-3433]PLT LIGHT PHNT (ST)</v>
      </c>
      <c r="J1694" s="9">
        <v>54</v>
      </c>
      <c r="K1694" s="9" t="str">
        <v/>
      </c>
      <c r="L1694" s="9" t="str">
        <v>L2-4</v>
      </c>
      <c r="M1694" s="12">
        <v>46280</v>
      </c>
      <c r="N1694" s="5" t="str">
        <v/>
      </c>
      <c r="O1694" s="5">
        <v>98252</v>
      </c>
      <c r="P1694" s="5">
        <v>20</v>
      </c>
      <c r="Q1694" s="14">
        <v>46282</v>
      </c>
      <c r="R1694" s="15">
        <v>34</v>
      </c>
    </row>
    <row r="1695" spans="2:18" x14ac:dyDescent="0.35">
      <c r="B1695" s="9">
        <v>1610</v>
      </c>
      <c r="C1695" s="9" t="str">
        <v>출고재고</v>
      </c>
      <c r="D1695" s="9" t="str">
        <v/>
      </c>
      <c r="E1695" s="9" t="str">
        <v/>
      </c>
      <c r="F1695" s="9" t="str">
        <v/>
      </c>
      <c r="G1695" s="9" t="str">
        <v/>
      </c>
      <c r="H1695" s="9" t="str">
        <v>RA-03A-0287</v>
      </c>
      <c r="I1695" s="11" t="str">
        <v>RA-03A-0287]ASM LEVER HORIZONTAL LASER</v>
      </c>
      <c r="J1695" s="9">
        <v>108</v>
      </c>
      <c r="K1695" s="9" t="str">
        <v/>
      </c>
      <c r="L1695" s="9" t="str">
        <v>B1-4</v>
      </c>
      <c r="M1695" s="12">
        <v>46280</v>
      </c>
      <c r="N1695" s="5" t="str">
        <v/>
      </c>
      <c r="O1695" s="5">
        <v>98252</v>
      </c>
      <c r="P1695" s="5">
        <v>20</v>
      </c>
      <c r="Q1695" s="14">
        <v>46282</v>
      </c>
      <c r="R1695" s="15">
        <v>88</v>
      </c>
    </row>
    <row r="1696" spans="2:18" x14ac:dyDescent="0.35">
      <c r="B1696" s="9">
        <v>1617</v>
      </c>
      <c r="C1696" s="9" t="str">
        <v>출고재고</v>
      </c>
      <c r="D1696" s="9" t="str">
        <v/>
      </c>
      <c r="E1696" s="9" t="str">
        <v/>
      </c>
      <c r="F1696" s="9" t="str">
        <v/>
      </c>
      <c r="G1696" s="9" t="str">
        <v/>
      </c>
      <c r="H1696" s="9" t="str">
        <v>RA-7-3</v>
      </c>
      <c r="I1696" s="11" t="str">
        <v>RA-7-3]LAN PC</v>
      </c>
      <c r="J1696" s="9">
        <v>191</v>
      </c>
      <c r="K1696" s="9" t="str">
        <v/>
      </c>
      <c r="L1696" s="9" t="str">
        <v>G4</v>
      </c>
      <c r="M1696" s="12">
        <v>46280</v>
      </c>
      <c r="N1696" s="5" t="str">
        <v/>
      </c>
      <c r="O1696" s="5">
        <v>98252</v>
      </c>
      <c r="P1696" s="5">
        <v>20</v>
      </c>
      <c r="Q1696" s="14">
        <v>46282</v>
      </c>
      <c r="R1696" s="15">
        <v>171</v>
      </c>
    </row>
    <row r="1697" spans="2:18" x14ac:dyDescent="0.35">
      <c r="B1697" s="9">
        <v>1175</v>
      </c>
      <c r="C1697" s="9" t="str">
        <v>출고재고</v>
      </c>
      <c r="D1697" s="9" t="str">
        <v/>
      </c>
      <c r="E1697" s="9" t="str">
        <v/>
      </c>
      <c r="F1697" s="9" t="str">
        <v/>
      </c>
      <c r="G1697" s="9" t="str">
        <v/>
      </c>
      <c r="H1697" s="9" t="str">
        <v>RA-05V-0186</v>
      </c>
      <c r="I1697" s="11" t="str">
        <v>RA-05V-0186]BRK CAS ROT TOP</v>
      </c>
      <c r="J1697" s="9">
        <v>261</v>
      </c>
      <c r="K1697" s="9" t="str">
        <v/>
      </c>
      <c r="L1697" s="9" t="str">
        <v>W</v>
      </c>
      <c r="M1697" s="12">
        <v>46280</v>
      </c>
      <c r="N1697" s="5" t="str">
        <v/>
      </c>
      <c r="O1697" s="5">
        <v>98252</v>
      </c>
      <c r="P1697" s="5">
        <v>60</v>
      </c>
      <c r="Q1697" s="14">
        <v>46282</v>
      </c>
      <c r="R1697" s="15">
        <v>201</v>
      </c>
    </row>
    <row r="1698" spans="2:18" x14ac:dyDescent="0.35">
      <c r="B1698" s="9">
        <v>1609</v>
      </c>
      <c r="C1698" s="9" t="str">
        <v>출고재고</v>
      </c>
      <c r="D1698" s="9" t="str">
        <v/>
      </c>
      <c r="E1698" s="9" t="str">
        <v/>
      </c>
      <c r="F1698" s="9" t="str">
        <v/>
      </c>
      <c r="G1698" s="9" t="str">
        <v/>
      </c>
      <c r="H1698" s="9" t="str">
        <v>RA-04T-0144</v>
      </c>
      <c r="I1698" s="11" t="str">
        <v>RA-04T-0144]CAS CHINREST BOT</v>
      </c>
      <c r="J1698" s="9">
        <v>286</v>
      </c>
      <c r="K1698" s="9" t="str">
        <v/>
      </c>
      <c r="L1698" s="9" t="str">
        <v>S</v>
      </c>
      <c r="M1698" s="12">
        <v>46280</v>
      </c>
      <c r="N1698" s="5" t="str">
        <v/>
      </c>
      <c r="O1698" s="5">
        <v>98252</v>
      </c>
      <c r="P1698" s="5">
        <v>20</v>
      </c>
      <c r="Q1698" s="14">
        <v>46282</v>
      </c>
      <c r="R1698" s="15">
        <v>266</v>
      </c>
    </row>
    <row r="1699" spans="2:18" x14ac:dyDescent="0.35">
      <c r="B1699" s="9">
        <v>1612</v>
      </c>
      <c r="C1699" s="9" t="str">
        <v>출고재고</v>
      </c>
      <c r="D1699" s="9" t="str">
        <v/>
      </c>
      <c r="E1699" s="9" t="str">
        <v/>
      </c>
      <c r="F1699" s="9" t="str">
        <v/>
      </c>
      <c r="G1699" s="9" t="str">
        <v/>
      </c>
      <c r="H1699" s="9" t="str">
        <v>RA-05T-0207</v>
      </c>
      <c r="I1699" s="11" t="str">
        <v>RA-05T-0207]CAS ROT BOT DECO</v>
      </c>
      <c r="J1699" s="9">
        <v>438</v>
      </c>
      <c r="K1699" s="9" t="str">
        <v/>
      </c>
      <c r="L1699" s="9" t="str">
        <v>R</v>
      </c>
      <c r="M1699" s="12">
        <v>46280</v>
      </c>
      <c r="N1699" s="5" t="str">
        <v/>
      </c>
      <c r="O1699" s="5">
        <v>98252</v>
      </c>
      <c r="P1699" s="5">
        <v>20</v>
      </c>
      <c r="Q1699" s="14">
        <v>46282</v>
      </c>
      <c r="R1699" s="15">
        <v>418</v>
      </c>
    </row>
    <row r="1700" spans="2:18" x14ac:dyDescent="0.35">
      <c r="B1700" s="9">
        <v>2502</v>
      </c>
      <c r="C1700" s="9" t="str">
        <v>출고재고</v>
      </c>
      <c r="D1700" s="9" t="str">
        <v/>
      </c>
      <c r="E1700" s="9" t="str">
        <v/>
      </c>
      <c r="F1700" s="9" t="str">
        <v/>
      </c>
      <c r="G1700" s="9" t="str">
        <v/>
      </c>
      <c r="H1700" s="9" t="str">
        <v>RA-02A-2740</v>
      </c>
      <c r="I1700" s="11" t="str">
        <v>RA-02A-2740]ASM VERT TOTAL (A+) (VN)</v>
      </c>
      <c r="J1700" s="9">
        <v>15</v>
      </c>
      <c r="K1700" s="9" t="str">
        <v/>
      </c>
      <c r="L1700" s="9" t="str">
        <v>P</v>
      </c>
      <c r="M1700" s="12">
        <v>46302</v>
      </c>
      <c r="N1700" s="5" t="str">
        <v/>
      </c>
      <c r="O1700" s="5">
        <v>98646</v>
      </c>
      <c r="P1700" s="5">
        <v>15</v>
      </c>
      <c r="Q1700" s="14">
        <v>46294</v>
      </c>
      <c r="R1700" s="15">
        <v>0</v>
      </c>
    </row>
    <row r="1701" spans="2:18" x14ac:dyDescent="0.35">
      <c r="B1701" s="9">
        <v>588</v>
      </c>
      <c r="C1701" s="9" t="str">
        <v>출고재고</v>
      </c>
      <c r="D1701" s="9" t="str">
        <v/>
      </c>
      <c r="E1701" s="9" t="str">
        <v>기초</v>
      </c>
      <c r="F1701" s="9" t="str">
        <v/>
      </c>
      <c r="G1701" s="9" t="str">
        <v/>
      </c>
      <c r="H1701" s="9" t="str">
        <v>RA-05V-2653</v>
      </c>
      <c r="I1701" s="11" t="str">
        <v>RA-05V-2653]PLT SIDE RIGID FRM ROT Bas</v>
      </c>
      <c r="J1701" s="9">
        <v>30</v>
      </c>
      <c r="K1701" s="9" t="str">
        <v/>
      </c>
      <c r="L1701" s="9" t="str">
        <v>J4-2</v>
      </c>
      <c r="M1701" s="12">
        <v>46273</v>
      </c>
      <c r="N1701" s="5" t="str">
        <v/>
      </c>
      <c r="O1701" s="5">
        <v>98646</v>
      </c>
      <c r="P1701" s="5">
        <v>10</v>
      </c>
      <c r="Q1701" s="14">
        <v>46293</v>
      </c>
      <c r="R1701" s="15">
        <v>20</v>
      </c>
    </row>
    <row r="1702" spans="2:18" x14ac:dyDescent="0.35">
      <c r="B1702" s="9">
        <v>1966</v>
      </c>
      <c r="C1702" s="9" t="str">
        <v>출고재고</v>
      </c>
      <c r="D1702" s="9" t="str">
        <v/>
      </c>
      <c r="E1702" s="9" t="str">
        <v>입고</v>
      </c>
      <c r="F1702" s="9" t="str">
        <v>A&amp;T</v>
      </c>
      <c r="G1702" s="9" t="str">
        <v>장동은</v>
      </c>
      <c r="H1702" s="9" t="str">
        <v>RA-02A-2740</v>
      </c>
      <c r="I1702" s="11" t="str">
        <v>RA-02A-2740]ASM VERT TOTAL (A+) (VN)</v>
      </c>
      <c r="J1702" s="9">
        <v>40</v>
      </c>
      <c r="K1702" s="9" t="str">
        <v/>
      </c>
      <c r="L1702" s="9" t="str">
        <v>P</v>
      </c>
      <c r="M1702" s="12">
        <v>46301</v>
      </c>
      <c r="N1702" s="5" t="str">
        <v/>
      </c>
      <c r="O1702" s="5">
        <v>98646</v>
      </c>
      <c r="P1702" s="5">
        <v>15</v>
      </c>
      <c r="Q1702" s="14">
        <v>46302</v>
      </c>
      <c r="R1702" s="15">
        <v>25</v>
      </c>
    </row>
    <row r="1703" spans="2:18" x14ac:dyDescent="0.35">
      <c r="B1703" s="9">
        <v>783</v>
      </c>
      <c r="C1703" s="9" t="str">
        <v>출고재고</v>
      </c>
      <c r="D1703" s="9" t="str">
        <v/>
      </c>
      <c r="E1703" s="9" t="str">
        <v/>
      </c>
      <c r="F1703" s="9" t="str">
        <v/>
      </c>
      <c r="G1703" s="9" t="str">
        <v/>
      </c>
      <c r="H1703" s="9" t="str">
        <v>RA-05A-6004</v>
      </c>
      <c r="I1703" s="11" t="str">
        <v>RA-05A-6004]Bd ASSY'-Aux MCU</v>
      </c>
      <c r="J1703" s="9">
        <v>46</v>
      </c>
      <c r="K1703" s="9" t="str">
        <v/>
      </c>
      <c r="L1703" s="9" t="str">
        <v>A2-2</v>
      </c>
      <c r="M1703" s="12">
        <v>46274</v>
      </c>
      <c r="N1703" s="5" t="str">
        <v/>
      </c>
      <c r="O1703" s="5">
        <v>98646</v>
      </c>
      <c r="P1703" s="5">
        <v>30</v>
      </c>
      <c r="Q1703" s="14">
        <v>46293</v>
      </c>
      <c r="R1703" s="15">
        <v>16</v>
      </c>
    </row>
    <row r="1704" spans="2:18" x14ac:dyDescent="0.35">
      <c r="B1704" s="9">
        <v>2062</v>
      </c>
      <c r="C1704" s="9" t="str">
        <v>출고재고</v>
      </c>
      <c r="D1704" s="9" t="str">
        <v/>
      </c>
      <c r="E1704" s="9" t="str">
        <v>입고</v>
      </c>
      <c r="F1704" s="9" t="str">
        <v>MTS</v>
      </c>
      <c r="G1704" s="9" t="str">
        <v>유영국</v>
      </c>
      <c r="H1704" s="9" t="str">
        <v>RA-05V-2653</v>
      </c>
      <c r="I1704" s="11" t="str">
        <v>RA-05V-2653]PLT SIDE RIGID FRM ROT Bas</v>
      </c>
      <c r="J1704" s="9">
        <v>50</v>
      </c>
      <c r="K1704" s="9" t="str">
        <v/>
      </c>
      <c r="L1704" s="9" t="str">
        <v>J4-2</v>
      </c>
      <c r="M1704" s="12">
        <v>46301</v>
      </c>
      <c r="N1704" s="5" t="str">
        <v/>
      </c>
      <c r="O1704" s="5">
        <v>98646</v>
      </c>
      <c r="P1704" s="5">
        <v>50</v>
      </c>
      <c r="Q1704" s="14">
        <v>46301</v>
      </c>
      <c r="R1704" s="15">
        <v>0</v>
      </c>
    </row>
    <row r="1705" spans="2:18" x14ac:dyDescent="0.35">
      <c r="B1705" s="9">
        <v>1403</v>
      </c>
      <c r="C1705" s="9" t="str">
        <v>출고재고</v>
      </c>
      <c r="D1705" s="9" t="str">
        <v/>
      </c>
      <c r="E1705" s="9" t="str">
        <v/>
      </c>
      <c r="F1705" s="9" t="str">
        <v/>
      </c>
      <c r="G1705" s="9" t="str">
        <v/>
      </c>
      <c r="H1705" s="9" t="str">
        <v>RA-05V-0501</v>
      </c>
      <c r="I1705" s="11" t="str">
        <v>RA-05V-0501]BRK ROT CAS-A</v>
      </c>
      <c r="J1705" s="9">
        <v>101</v>
      </c>
      <c r="K1705" s="9" t="str">
        <v/>
      </c>
      <c r="L1705" s="9" t="str">
        <v>W</v>
      </c>
      <c r="M1705" s="12">
        <v>46283</v>
      </c>
      <c r="N1705" s="5" t="str">
        <v/>
      </c>
      <c r="O1705" s="5">
        <v>98646</v>
      </c>
      <c r="P1705" s="5">
        <v>60</v>
      </c>
      <c r="Q1705" s="14">
        <v>46293</v>
      </c>
      <c r="R1705" s="15">
        <v>41</v>
      </c>
    </row>
    <row r="1706" spans="2:18" x14ac:dyDescent="0.35">
      <c r="B1706" s="9">
        <v>1145</v>
      </c>
      <c r="C1706" s="9" t="str">
        <v>출고재고</v>
      </c>
      <c r="D1706" s="9" t="str">
        <v/>
      </c>
      <c r="E1706" s="9" t="str">
        <v/>
      </c>
      <c r="F1706" s="9" t="str">
        <v/>
      </c>
      <c r="G1706" s="9" t="str">
        <v/>
      </c>
      <c r="H1706" s="9" t="str">
        <v>RA-10-2</v>
      </c>
      <c r="I1706" s="11" t="str">
        <v>RA-10-2]PRIME CABLE ASS’Y</v>
      </c>
      <c r="J1706" s="9">
        <v>126</v>
      </c>
      <c r="K1706" s="9" t="str">
        <v/>
      </c>
      <c r="L1706" s="9" t="str">
        <v>G4</v>
      </c>
      <c r="M1706" s="12">
        <v>46276</v>
      </c>
      <c r="N1706" s="5" t="str">
        <v/>
      </c>
      <c r="O1706" s="5">
        <v>98646</v>
      </c>
      <c r="P1706" s="5">
        <v>30</v>
      </c>
      <c r="Q1706" s="14">
        <v>46293</v>
      </c>
      <c r="R1706" s="15">
        <v>96</v>
      </c>
    </row>
    <row r="1707" spans="2:18" x14ac:dyDescent="0.35">
      <c r="B1707" s="9">
        <v>784</v>
      </c>
      <c r="C1707" s="9" t="str">
        <v>출고재고</v>
      </c>
      <c r="D1707" s="9" t="str">
        <v/>
      </c>
      <c r="E1707" s="9" t="str">
        <v/>
      </c>
      <c r="F1707" s="9" t="str">
        <v/>
      </c>
      <c r="G1707" s="9" t="str">
        <v/>
      </c>
      <c r="H1707" s="9" t="str">
        <v>RA-05V-0513</v>
      </c>
      <c r="I1707" s="11" t="str">
        <v>RA-05V-0513]BRK LED PCB</v>
      </c>
      <c r="J1707" s="9">
        <v>275</v>
      </c>
      <c r="K1707" s="9" t="str">
        <v/>
      </c>
      <c r="L1707" s="9" t="str">
        <v>J4-2</v>
      </c>
      <c r="M1707" s="12">
        <v>46273</v>
      </c>
      <c r="N1707" s="5" t="str">
        <v/>
      </c>
      <c r="O1707" s="5">
        <v>98646</v>
      </c>
      <c r="P1707" s="5">
        <v>30</v>
      </c>
      <c r="Q1707" s="14">
        <v>46293</v>
      </c>
      <c r="R1707" s="15">
        <v>245</v>
      </c>
    </row>
    <row r="1708" spans="2:18" x14ac:dyDescent="0.35">
      <c r="B1708" s="9">
        <v>785</v>
      </c>
      <c r="C1708" s="9" t="str">
        <v>출고재고</v>
      </c>
      <c r="D1708" s="9" t="str">
        <v/>
      </c>
      <c r="E1708" s="9" t="str">
        <v/>
      </c>
      <c r="F1708" s="9" t="str">
        <v/>
      </c>
      <c r="G1708" s="9" t="str">
        <v/>
      </c>
      <c r="H1708" s="9" t="str">
        <v>RA-11-34</v>
      </c>
      <c r="I1708" s="11" t="str">
        <v>RA-11-34_2]SUB MOT DET(V)</v>
      </c>
      <c r="J1708" s="9">
        <v>352</v>
      </c>
      <c r="K1708" s="9" t="str">
        <v/>
      </c>
      <c r="L1708" s="9" t="str">
        <v>G3-6</v>
      </c>
      <c r="M1708" s="12">
        <v>46273</v>
      </c>
      <c r="N1708" s="5" t="str">
        <v/>
      </c>
      <c r="O1708" s="5">
        <v>98646</v>
      </c>
      <c r="P1708" s="5">
        <v>30</v>
      </c>
      <c r="Q1708" s="14">
        <v>46293</v>
      </c>
      <c r="R1708" s="15">
        <v>322</v>
      </c>
    </row>
    <row r="1709" spans="2:18" x14ac:dyDescent="0.35">
      <c r="B1709" s="9">
        <v>1512</v>
      </c>
      <c r="C1709" s="9" t="str">
        <v>출고재고</v>
      </c>
      <c r="D1709" s="9" t="str">
        <v/>
      </c>
      <c r="E1709" s="9" t="str">
        <v/>
      </c>
      <c r="F1709" s="9" t="str">
        <v/>
      </c>
      <c r="G1709" s="9" t="str">
        <v/>
      </c>
      <c r="H1709" s="9" t="str">
        <v>RA-06M-0243</v>
      </c>
      <c r="I1709" s="11" t="str">
        <v>RA-06M-0243]BLK TUBE TILT LIMIT</v>
      </c>
      <c r="J1709" s="9">
        <v>4</v>
      </c>
      <c r="K1709" s="9" t="str">
        <v/>
      </c>
      <c r="L1709" s="9" t="str">
        <v>I3-3</v>
      </c>
      <c r="M1709" s="12">
        <v>46282</v>
      </c>
      <c r="N1709" s="5" t="str">
        <v/>
      </c>
      <c r="O1709" s="5">
        <v>98647</v>
      </c>
      <c r="P1709" s="5">
        <v>4</v>
      </c>
      <c r="Q1709" s="14">
        <v>46294</v>
      </c>
      <c r="R1709" s="15">
        <v>0</v>
      </c>
    </row>
    <row r="1710" spans="2:18" x14ac:dyDescent="0.35">
      <c r="B1710" s="9">
        <v>1127</v>
      </c>
      <c r="C1710" s="9" t="str">
        <v>출고재고</v>
      </c>
      <c r="D1710" s="9" t="str">
        <v/>
      </c>
      <c r="E1710" s="9" t="str">
        <v>기초</v>
      </c>
      <c r="F1710" s="9" t="str">
        <v/>
      </c>
      <c r="G1710" s="9" t="str">
        <v/>
      </c>
      <c r="H1710" s="9" t="str">
        <v>RA-07V-1661</v>
      </c>
      <c r="I1710" s="11" t="str">
        <v>RA-07V-1661]BRK PHOtSNSR (VA)</v>
      </c>
      <c r="J1710" s="9">
        <v>16</v>
      </c>
      <c r="K1710" s="9" t="str">
        <v/>
      </c>
      <c r="L1710" s="9" t="str">
        <v>J2-3</v>
      </c>
      <c r="M1710" s="12">
        <v>46276</v>
      </c>
      <c r="N1710" s="5" t="str">
        <v/>
      </c>
      <c r="O1710" s="5">
        <v>98647</v>
      </c>
      <c r="P1710" s="5">
        <v>16</v>
      </c>
      <c r="Q1710" s="14">
        <v>46294</v>
      </c>
      <c r="R1710" s="15">
        <v>0</v>
      </c>
    </row>
    <row r="1711" spans="2:18" x14ac:dyDescent="0.35">
      <c r="B1711" s="9">
        <v>1141</v>
      </c>
      <c r="C1711" s="9" t="str">
        <v>출고재고</v>
      </c>
      <c r="D1711" s="9" t="str">
        <v/>
      </c>
      <c r="E1711" s="9" t="str">
        <v>기초</v>
      </c>
      <c r="F1711" s="9" t="str">
        <v/>
      </c>
      <c r="G1711" s="9" t="str">
        <v/>
      </c>
      <c r="H1711" s="9" t="str">
        <v>RA-06A-2761</v>
      </c>
      <c r="I1711" s="11" t="str">
        <v>RA-06A-2761]ASM COL MOVING (A+) (VN)</v>
      </c>
      <c r="J1711" s="9">
        <v>35</v>
      </c>
      <c r="K1711" s="9" t="str">
        <v/>
      </c>
      <c r="L1711" s="9" t="str">
        <v>U</v>
      </c>
      <c r="M1711" s="12">
        <v>46276</v>
      </c>
      <c r="N1711" s="5" t="str">
        <v/>
      </c>
      <c r="O1711" s="5">
        <v>98647</v>
      </c>
      <c r="P1711" s="5">
        <v>30</v>
      </c>
      <c r="Q1711" s="14">
        <v>46294</v>
      </c>
      <c r="R1711" s="15">
        <v>5</v>
      </c>
    </row>
    <row r="1712" spans="2:18" x14ac:dyDescent="0.35">
      <c r="B1712" s="9">
        <v>1130</v>
      </c>
      <c r="C1712" s="9" t="str">
        <v>출고재고</v>
      </c>
      <c r="D1712" s="9" t="str">
        <v/>
      </c>
      <c r="E1712" s="9" t="str">
        <v>기초</v>
      </c>
      <c r="F1712" s="9" t="str">
        <v/>
      </c>
      <c r="G1712" s="9" t="str">
        <v/>
      </c>
      <c r="H1712" s="9" t="str">
        <v>RA-07V-2788</v>
      </c>
      <c r="I1712" s="11" t="str">
        <v>RA-07V-2788]BRK CAS DET LWR (IR)</v>
      </c>
      <c r="J1712" s="9">
        <v>43</v>
      </c>
      <c r="K1712" s="9" t="str">
        <v/>
      </c>
      <c r="L1712" s="9" t="str">
        <v>J2-3</v>
      </c>
      <c r="M1712" s="12">
        <v>46276</v>
      </c>
      <c r="N1712" s="5" t="str">
        <v/>
      </c>
      <c r="O1712" s="5">
        <v>98647</v>
      </c>
      <c r="P1712" s="5">
        <v>30</v>
      </c>
      <c r="Q1712" s="14">
        <v>46294</v>
      </c>
      <c r="R1712" s="15">
        <v>13</v>
      </c>
    </row>
    <row r="1713" spans="2:18" x14ac:dyDescent="0.35">
      <c r="B1713" s="9">
        <v>1108</v>
      </c>
      <c r="C1713" s="9" t="str">
        <v>출고재고</v>
      </c>
      <c r="D1713" s="9" t="str">
        <v/>
      </c>
      <c r="E1713" s="9" t="str">
        <v>기초</v>
      </c>
      <c r="F1713" s="9" t="str">
        <v/>
      </c>
      <c r="G1713" s="9" t="str">
        <v/>
      </c>
      <c r="H1713" s="9" t="str">
        <v>RA-11-22</v>
      </c>
      <c r="I1713" s="11" t="str">
        <v>RA-11-22]Fcol MOT Cable C</v>
      </c>
      <c r="J1713" s="9">
        <v>50</v>
      </c>
      <c r="K1713" s="9" t="str">
        <v/>
      </c>
      <c r="L1713" s="9" t="str">
        <v>G1-5</v>
      </c>
      <c r="M1713" s="12">
        <v>46276</v>
      </c>
      <c r="N1713" s="5" t="str">
        <v/>
      </c>
      <c r="O1713" s="5">
        <v>98647</v>
      </c>
      <c r="P1713" s="5">
        <v>30</v>
      </c>
      <c r="Q1713" s="14">
        <v>46294</v>
      </c>
      <c r="R1713" s="15">
        <v>20</v>
      </c>
    </row>
    <row r="1714" spans="2:18" x14ac:dyDescent="0.35">
      <c r="B1714" s="9">
        <v>1110</v>
      </c>
      <c r="C1714" s="9" t="str">
        <v>출고재고</v>
      </c>
      <c r="D1714" s="9" t="str">
        <v/>
      </c>
      <c r="E1714" s="9" t="str">
        <v>기초</v>
      </c>
      <c r="F1714" s="9" t="str">
        <v/>
      </c>
      <c r="G1714" s="9" t="str">
        <v/>
      </c>
      <c r="H1714" s="9" t="str">
        <v>RA-11-21</v>
      </c>
      <c r="I1714" s="11" t="str">
        <v>RA-11-21]Fcol MOT Cable B</v>
      </c>
      <c r="J1714" s="9">
        <v>52</v>
      </c>
      <c r="K1714" s="9" t="str">
        <v/>
      </c>
      <c r="L1714" s="9" t="str">
        <v>G2-5</v>
      </c>
      <c r="M1714" s="12">
        <v>46276</v>
      </c>
      <c r="N1714" s="5" t="str">
        <v/>
      </c>
      <c r="O1714" s="5">
        <v>98647</v>
      </c>
      <c r="P1714" s="5">
        <v>30</v>
      </c>
      <c r="Q1714" s="14">
        <v>46294</v>
      </c>
      <c r="R1714" s="15">
        <v>22</v>
      </c>
    </row>
    <row r="1715" spans="2:18" x14ac:dyDescent="0.35">
      <c r="B1715" s="9">
        <v>1139</v>
      </c>
      <c r="C1715" s="9" t="str">
        <v>출고재고</v>
      </c>
      <c r="D1715" s="9" t="str">
        <v/>
      </c>
      <c r="E1715" s="9" t="str">
        <v>기초</v>
      </c>
      <c r="F1715" s="9" t="str">
        <v/>
      </c>
      <c r="G1715" s="9" t="str">
        <v/>
      </c>
      <c r="H1715" s="9" t="str">
        <v>RA-07V-2789</v>
      </c>
      <c r="I1715" s="11" t="str">
        <v>RA-07V-2789]PLT WEIGHT DET (IR)</v>
      </c>
      <c r="J1715" s="9">
        <v>63</v>
      </c>
      <c r="K1715" s="9" t="str">
        <v/>
      </c>
      <c r="L1715" s="9" t="str">
        <v>O4</v>
      </c>
      <c r="M1715" s="12">
        <v>46276</v>
      </c>
      <c r="N1715" s="5" t="str">
        <v/>
      </c>
      <c r="O1715" s="5">
        <v>98647</v>
      </c>
      <c r="P1715" s="5">
        <v>30</v>
      </c>
      <c r="Q1715" s="14">
        <v>46294</v>
      </c>
      <c r="R1715" s="15">
        <v>33</v>
      </c>
    </row>
    <row r="1716" spans="2:18" x14ac:dyDescent="0.35">
      <c r="B1716" s="9">
        <v>1111</v>
      </c>
      <c r="C1716" s="9" t="str">
        <v>출고재고</v>
      </c>
      <c r="D1716" s="9" t="str">
        <v/>
      </c>
      <c r="E1716" s="9" t="str">
        <v>기초</v>
      </c>
      <c r="F1716" s="9" t="str">
        <v/>
      </c>
      <c r="G1716" s="9" t="str">
        <v/>
      </c>
      <c r="H1716" s="9" t="str">
        <v>RA-11-19</v>
      </c>
      <c r="I1716" s="11" t="str">
        <v>RA-11-19]LED Power Cable</v>
      </c>
      <c r="J1716" s="9">
        <v>75</v>
      </c>
      <c r="K1716" s="9" t="str">
        <v/>
      </c>
      <c r="L1716" s="9" t="str">
        <v>G2-5</v>
      </c>
      <c r="M1716" s="12">
        <v>46276</v>
      </c>
      <c r="N1716" s="5" t="str">
        <v/>
      </c>
      <c r="O1716" s="5">
        <v>98647</v>
      </c>
      <c r="P1716" s="5">
        <v>30</v>
      </c>
      <c r="Q1716" s="14">
        <v>46294</v>
      </c>
      <c r="R1716" s="15">
        <v>45</v>
      </c>
    </row>
    <row r="1717" spans="2:18" x14ac:dyDescent="0.35">
      <c r="B1717" s="9">
        <v>1684</v>
      </c>
      <c r="C1717" s="9" t="str">
        <v>출고재고</v>
      </c>
      <c r="D1717" s="9" t="str">
        <v/>
      </c>
      <c r="E1717" s="9" t="str">
        <v/>
      </c>
      <c r="F1717" s="9" t="str">
        <v/>
      </c>
      <c r="G1717" s="9" t="str">
        <v/>
      </c>
      <c r="H1717" s="9" t="str">
        <v>RA-5-4</v>
      </c>
      <c r="I1717" s="11" t="str">
        <v>RA-5-4]EARTH ROT TO TUBE</v>
      </c>
      <c r="J1717" s="9">
        <v>76</v>
      </c>
      <c r="K1717" s="9" t="str">
        <v/>
      </c>
      <c r="L1717" s="9" t="str">
        <v>G3-2</v>
      </c>
      <c r="M1717" s="12">
        <v>46280</v>
      </c>
      <c r="N1717" s="5" t="str">
        <v/>
      </c>
      <c r="O1717" s="5">
        <v>98647</v>
      </c>
      <c r="P1717" s="5">
        <v>30</v>
      </c>
      <c r="Q1717" s="14">
        <v>46294</v>
      </c>
      <c r="R1717" s="15">
        <v>46</v>
      </c>
    </row>
    <row r="1718" spans="2:18" x14ac:dyDescent="0.35">
      <c r="B1718" s="9">
        <v>1136</v>
      </c>
      <c r="C1718" s="9" t="str">
        <v>출고재고</v>
      </c>
      <c r="D1718" s="9" t="str">
        <v/>
      </c>
      <c r="E1718" s="9" t="str">
        <v>기초</v>
      </c>
      <c r="F1718" s="9" t="str">
        <v/>
      </c>
      <c r="G1718" s="9" t="str">
        <v/>
      </c>
      <c r="H1718" s="9" t="str">
        <v>RA-07V-2781</v>
      </c>
      <c r="I1718" s="11" t="str">
        <v>RA-07V-2781]PLT Bas DET (IR)</v>
      </c>
      <c r="J1718" s="9">
        <v>85</v>
      </c>
      <c r="K1718" s="9" t="str">
        <v/>
      </c>
      <c r="L1718" s="9" t="str">
        <v>O3</v>
      </c>
      <c r="M1718" s="12">
        <v>46276</v>
      </c>
      <c r="N1718" s="5" t="str">
        <v/>
      </c>
      <c r="O1718" s="5">
        <v>98647</v>
      </c>
      <c r="P1718" s="5">
        <v>30</v>
      </c>
      <c r="Q1718" s="14">
        <v>46294</v>
      </c>
      <c r="R1718" s="15">
        <v>55</v>
      </c>
    </row>
    <row r="1719" spans="2:18" x14ac:dyDescent="0.35">
      <c r="B1719" s="9">
        <v>1667</v>
      </c>
      <c r="C1719" s="9" t="str">
        <v>출고재고</v>
      </c>
      <c r="D1719" s="9" t="str">
        <v/>
      </c>
      <c r="E1719" s="9" t="str">
        <v/>
      </c>
      <c r="F1719" s="9" t="str">
        <v/>
      </c>
      <c r="G1719" s="9" t="str">
        <v/>
      </c>
      <c r="H1719" s="9" t="str">
        <v>RA-06M-0520</v>
      </c>
      <c r="I1719" s="11" t="str">
        <v>RA-06M-0520]HEATSINK</v>
      </c>
      <c r="J1719" s="9">
        <v>90</v>
      </c>
      <c r="K1719" s="9" t="str">
        <v/>
      </c>
      <c r="L1719" s="9" t="str">
        <v>M1</v>
      </c>
      <c r="M1719" s="12">
        <v>46280</v>
      </c>
      <c r="N1719" s="5" t="str">
        <v/>
      </c>
      <c r="O1719" s="5">
        <v>98647</v>
      </c>
      <c r="P1719" s="5">
        <v>30</v>
      </c>
      <c r="Q1719" s="14">
        <v>46294</v>
      </c>
      <c r="R1719" s="15">
        <v>60</v>
      </c>
    </row>
    <row r="1720" spans="2:18" x14ac:dyDescent="0.35">
      <c r="B1720" s="9">
        <v>1516</v>
      </c>
      <c r="C1720" s="9" t="str">
        <v>출고재고</v>
      </c>
      <c r="D1720" s="9" t="str">
        <v/>
      </c>
      <c r="E1720" s="9" t="str">
        <v/>
      </c>
      <c r="F1720" s="9" t="str">
        <v/>
      </c>
      <c r="G1720" s="9" t="str">
        <v/>
      </c>
      <c r="H1720" s="9" t="str">
        <v>RA-11-23</v>
      </c>
      <c r="I1720" s="11" t="str">
        <v>RA-11-23]Fcol MOT Cable D</v>
      </c>
      <c r="J1720" s="9">
        <v>95</v>
      </c>
      <c r="K1720" s="9" t="str">
        <v/>
      </c>
      <c r="L1720" s="9" t="str">
        <v>G1-5</v>
      </c>
      <c r="M1720" s="12">
        <v>46282</v>
      </c>
      <c r="N1720" s="5" t="str">
        <v/>
      </c>
      <c r="O1720" s="5">
        <v>98647</v>
      </c>
      <c r="P1720" s="5">
        <v>30</v>
      </c>
      <c r="Q1720" s="14">
        <v>46294</v>
      </c>
      <c r="R1720" s="15">
        <v>65</v>
      </c>
    </row>
    <row r="1721" spans="2:18" x14ac:dyDescent="0.35">
      <c r="B1721" s="9">
        <v>1134</v>
      </c>
      <c r="C1721" s="9" t="str">
        <v>출고재고</v>
      </c>
      <c r="D1721" s="9" t="str">
        <v/>
      </c>
      <c r="E1721" s="9" t="str">
        <v>기초</v>
      </c>
      <c r="F1721" s="9" t="str">
        <v/>
      </c>
      <c r="G1721" s="9" t="str">
        <v/>
      </c>
      <c r="H1721" s="9" t="str">
        <v>RA-06A-2139</v>
      </c>
      <c r="I1721" s="11" t="str">
        <v>RA-06A-2139]ASM BRK FAN SUP (A+)</v>
      </c>
      <c r="J1721" s="9">
        <v>97</v>
      </c>
      <c r="K1721" s="9" t="str">
        <v/>
      </c>
      <c r="L1721" s="9" t="str">
        <v>N5</v>
      </c>
      <c r="M1721" s="12">
        <v>46276</v>
      </c>
      <c r="N1721" s="5" t="str">
        <v/>
      </c>
      <c r="O1721" s="5">
        <v>98647</v>
      </c>
      <c r="P1721" s="5">
        <v>30</v>
      </c>
      <c r="Q1721" s="14">
        <v>46294</v>
      </c>
      <c r="R1721" s="15">
        <v>67</v>
      </c>
    </row>
    <row r="1722" spans="2:18" x14ac:dyDescent="0.35">
      <c r="B1722" s="9">
        <v>1133</v>
      </c>
      <c r="C1722" s="9" t="str">
        <v>출고재고</v>
      </c>
      <c r="D1722" s="9" t="str">
        <v/>
      </c>
      <c r="E1722" s="9" t="str">
        <v>기초</v>
      </c>
      <c r="F1722" s="9" t="str">
        <v/>
      </c>
      <c r="G1722" s="9" t="str">
        <v/>
      </c>
      <c r="H1722" s="9" t="str">
        <v>RA-07S-1653</v>
      </c>
      <c r="I1722" s="11" t="str">
        <v>RA-07S-1653]LM SET(MGN9C-2-240) (VA)</v>
      </c>
      <c r="J1722" s="9">
        <v>100</v>
      </c>
      <c r="K1722" s="9" t="str">
        <v/>
      </c>
      <c r="L1722" s="9" t="str">
        <v>J3-1</v>
      </c>
      <c r="M1722" s="12">
        <v>46276</v>
      </c>
      <c r="N1722" s="5" t="str">
        <v/>
      </c>
      <c r="O1722" s="5">
        <v>98647</v>
      </c>
      <c r="P1722" s="5">
        <v>30</v>
      </c>
      <c r="Q1722" s="14">
        <v>46294</v>
      </c>
      <c r="R1722" s="15">
        <v>70</v>
      </c>
    </row>
    <row r="1723" spans="2:18" x14ac:dyDescent="0.35">
      <c r="B1723" s="9">
        <v>1517</v>
      </c>
      <c r="C1723" s="9" t="str">
        <v>출고재고</v>
      </c>
      <c r="D1723" s="9" t="str">
        <v/>
      </c>
      <c r="E1723" s="9" t="str">
        <v/>
      </c>
      <c r="F1723" s="9" t="str">
        <v/>
      </c>
      <c r="G1723" s="9" t="str">
        <v/>
      </c>
      <c r="H1723" s="9" t="str">
        <v>RA-11-2</v>
      </c>
      <c r="I1723" s="11" t="str">
        <v>RA-11-2]AUX MCU to FCOL</v>
      </c>
      <c r="J1723" s="9">
        <v>100</v>
      </c>
      <c r="K1723" s="9" t="str">
        <v/>
      </c>
      <c r="L1723" s="9" t="str">
        <v>G2-4</v>
      </c>
      <c r="M1723" s="12">
        <v>46282</v>
      </c>
      <c r="N1723" s="5" t="str">
        <v/>
      </c>
      <c r="O1723" s="5">
        <v>98647</v>
      </c>
      <c r="P1723" s="5">
        <v>30</v>
      </c>
      <c r="Q1723" s="14">
        <v>46294</v>
      </c>
      <c r="R1723" s="15">
        <v>70</v>
      </c>
    </row>
    <row r="1724" spans="2:18" x14ac:dyDescent="0.35">
      <c r="B1724" s="9">
        <v>1739</v>
      </c>
      <c r="C1724" s="9" t="str">
        <v>출고재고</v>
      </c>
      <c r="D1724" s="9" t="str">
        <v/>
      </c>
      <c r="E1724" s="9" t="str">
        <v>입고</v>
      </c>
      <c r="F1724" s="9" t="str">
        <v>우주정공</v>
      </c>
      <c r="G1724" s="9" t="str">
        <v>조영우</v>
      </c>
      <c r="H1724" s="9" t="str">
        <v>RA-07V-1661</v>
      </c>
      <c r="I1724" s="11" t="str">
        <v>RA-07V-1661]BRK PHOtSNSR (VA)</v>
      </c>
      <c r="J1724" s="9">
        <v>100</v>
      </c>
      <c r="K1724" s="9" t="str">
        <v/>
      </c>
      <c r="L1724" s="9" t="str">
        <v>J2-3</v>
      </c>
      <c r="M1724" s="12">
        <v>46293</v>
      </c>
      <c r="N1724" s="5" t="str">
        <v/>
      </c>
      <c r="O1724" s="5">
        <v>98647</v>
      </c>
      <c r="P1724" s="5">
        <v>14</v>
      </c>
      <c r="Q1724" s="14">
        <v>46294</v>
      </c>
      <c r="R1724" s="15">
        <v>86</v>
      </c>
    </row>
    <row r="1725" spans="2:18" x14ac:dyDescent="0.35">
      <c r="B1725" s="9">
        <v>1520</v>
      </c>
      <c r="C1725" s="9" t="str">
        <v>출고재고</v>
      </c>
      <c r="D1725" s="9" t="str">
        <v/>
      </c>
      <c r="E1725" s="9" t="str">
        <v/>
      </c>
      <c r="F1725" s="9" t="str">
        <v/>
      </c>
      <c r="G1725" s="9" t="str">
        <v/>
      </c>
      <c r="H1725" s="9" t="str">
        <v>RA-11-20</v>
      </c>
      <c r="I1725" s="11" t="str">
        <v>RA-11-20]Fcol MOT Cable A</v>
      </c>
      <c r="J1725" s="9">
        <v>107</v>
      </c>
      <c r="K1725" s="9" t="str">
        <v/>
      </c>
      <c r="L1725" s="9" t="str">
        <v>G2-5</v>
      </c>
      <c r="M1725" s="12">
        <v>46282</v>
      </c>
      <c r="N1725" s="5" t="str">
        <v/>
      </c>
      <c r="O1725" s="5">
        <v>98647</v>
      </c>
      <c r="P1725" s="5">
        <v>30</v>
      </c>
      <c r="Q1725" s="14">
        <v>46294</v>
      </c>
      <c r="R1725" s="15">
        <v>77</v>
      </c>
    </row>
    <row r="1726" spans="2:18" x14ac:dyDescent="0.35">
      <c r="B1726" s="9">
        <v>1904</v>
      </c>
      <c r="C1726" s="9" t="str">
        <v>출고재고</v>
      </c>
      <c r="D1726" s="9" t="str">
        <v/>
      </c>
      <c r="E1726" s="9" t="str">
        <v/>
      </c>
      <c r="F1726" s="9" t="str">
        <v/>
      </c>
      <c r="G1726" s="9" t="str">
        <v/>
      </c>
      <c r="H1726" s="9" t="str">
        <v>RA-06M-0243</v>
      </c>
      <c r="I1726" s="11" t="str">
        <v>RA-06M-0243]BLK TUBE TILT LIMIT</v>
      </c>
      <c r="J1726" s="9">
        <v>130</v>
      </c>
      <c r="K1726" s="9" t="str">
        <v/>
      </c>
      <c r="L1726" s="9" t="str">
        <v>I3-3</v>
      </c>
      <c r="M1726" s="12">
        <v>46295</v>
      </c>
      <c r="N1726" s="5" t="str">
        <v/>
      </c>
      <c r="O1726" s="5">
        <v>98647</v>
      </c>
      <c r="P1726" s="5">
        <v>4</v>
      </c>
      <c r="Q1726" s="14">
        <v>46295</v>
      </c>
      <c r="R1726" s="15">
        <v>126</v>
      </c>
    </row>
    <row r="1727" spans="2:18" x14ac:dyDescent="0.35">
      <c r="B1727" s="9">
        <v>1135</v>
      </c>
      <c r="C1727" s="9" t="str">
        <v>출고재고</v>
      </c>
      <c r="D1727" s="9" t="str">
        <v/>
      </c>
      <c r="E1727" s="9" t="str">
        <v>기초</v>
      </c>
      <c r="F1727" s="9" t="str">
        <v/>
      </c>
      <c r="G1727" s="9" t="str">
        <v/>
      </c>
      <c r="H1727" s="9" t="str">
        <v>RA-06A-2143</v>
      </c>
      <c r="I1727" s="11" t="str">
        <v>RA-06A-2143]ASM TUBE TNK SUP (A+)</v>
      </c>
      <c r="J1727" s="9">
        <v>142</v>
      </c>
      <c r="K1727" s="9" t="str">
        <v/>
      </c>
      <c r="L1727" s="9" t="str">
        <v>O1</v>
      </c>
      <c r="M1727" s="12">
        <v>46276</v>
      </c>
      <c r="N1727" s="5" t="str">
        <v/>
      </c>
      <c r="O1727" s="5">
        <v>98647</v>
      </c>
      <c r="P1727" s="5">
        <v>30</v>
      </c>
      <c r="Q1727" s="14">
        <v>46294</v>
      </c>
      <c r="R1727" s="15">
        <v>112</v>
      </c>
    </row>
    <row r="1728" spans="2:18" x14ac:dyDescent="0.35">
      <c r="B1728" s="9">
        <v>1119</v>
      </c>
      <c r="C1728" s="9" t="str">
        <v>출고재고</v>
      </c>
      <c r="D1728" s="9" t="str">
        <v/>
      </c>
      <c r="E1728" s="9" t="str">
        <v>기초</v>
      </c>
      <c r="F1728" s="9" t="str">
        <v/>
      </c>
      <c r="G1728" s="9" t="str">
        <v/>
      </c>
      <c r="H1728" s="9" t="str">
        <v>RA-06V-2142</v>
      </c>
      <c r="I1728" s="11" t="str">
        <v>RA-06V-2142]BRK TUBE CAS (A+)</v>
      </c>
      <c r="J1728" s="9">
        <v>148</v>
      </c>
      <c r="K1728" s="9" t="str">
        <v/>
      </c>
      <c r="L1728" s="9" t="str">
        <v>I3-3</v>
      </c>
      <c r="M1728" s="12">
        <v>46276</v>
      </c>
      <c r="N1728" s="5" t="str">
        <v/>
      </c>
      <c r="O1728" s="5">
        <v>98647</v>
      </c>
      <c r="P1728" s="5">
        <v>30</v>
      </c>
      <c r="Q1728" s="14">
        <v>46294</v>
      </c>
      <c r="R1728" s="15">
        <v>118</v>
      </c>
    </row>
    <row r="1729" spans="2:18" x14ac:dyDescent="0.35">
      <c r="B1729" s="9">
        <v>1131</v>
      </c>
      <c r="C1729" s="9" t="str">
        <v>출고재고</v>
      </c>
      <c r="D1729" s="9" t="str">
        <v/>
      </c>
      <c r="E1729" s="9" t="str">
        <v>기초</v>
      </c>
      <c r="F1729" s="9" t="str">
        <v/>
      </c>
      <c r="G1729" s="9" t="str">
        <v/>
      </c>
      <c r="H1729" s="9" t="str">
        <v>RA-07V-2791</v>
      </c>
      <c r="I1729" s="11" t="str">
        <v>RA-07V-2791]CVR DET PCB (IR)</v>
      </c>
      <c r="J1729" s="9">
        <v>150</v>
      </c>
      <c r="K1729" s="9" t="str">
        <v/>
      </c>
      <c r="L1729" s="9" t="str">
        <v>J2-4</v>
      </c>
      <c r="M1729" s="12">
        <v>46279</v>
      </c>
      <c r="N1729" s="5" t="str">
        <v/>
      </c>
      <c r="O1729" s="5">
        <v>98647</v>
      </c>
      <c r="P1729" s="5">
        <v>30</v>
      </c>
      <c r="Q1729" s="14">
        <v>46294</v>
      </c>
      <c r="R1729" s="15">
        <v>120</v>
      </c>
    </row>
    <row r="1730" spans="2:18" x14ac:dyDescent="0.35">
      <c r="B1730" s="9">
        <v>1132</v>
      </c>
      <c r="C1730" s="9" t="str">
        <v>출고재고</v>
      </c>
      <c r="D1730" s="9" t="str">
        <v/>
      </c>
      <c r="E1730" s="9" t="str">
        <v>기초</v>
      </c>
      <c r="F1730" s="9" t="str">
        <v/>
      </c>
      <c r="G1730" s="9" t="str">
        <v/>
      </c>
      <c r="H1730" s="9" t="str">
        <v>RA-07V-2790</v>
      </c>
      <c r="I1730" s="11" t="str">
        <v>RA-07V-2790]PLT SPACER DET (IR)</v>
      </c>
      <c r="J1730" s="9">
        <v>150</v>
      </c>
      <c r="K1730" s="9" t="str">
        <v/>
      </c>
      <c r="L1730" s="9" t="str">
        <v>J2-4</v>
      </c>
      <c r="M1730" s="12">
        <v>46279</v>
      </c>
      <c r="N1730" s="5" t="str">
        <v/>
      </c>
      <c r="O1730" s="5">
        <v>98647</v>
      </c>
      <c r="P1730" s="5">
        <v>30</v>
      </c>
      <c r="Q1730" s="14">
        <v>46294</v>
      </c>
      <c r="R1730" s="15">
        <v>120</v>
      </c>
    </row>
    <row r="1731" spans="2:18" x14ac:dyDescent="0.35">
      <c r="B1731" s="9">
        <v>1524</v>
      </c>
      <c r="C1731" s="9" t="str">
        <v>출고재고</v>
      </c>
      <c r="D1731" s="9" t="str">
        <v/>
      </c>
      <c r="E1731" s="9" t="str">
        <v/>
      </c>
      <c r="F1731" s="9" t="str">
        <v/>
      </c>
      <c r="G1731" s="9" t="str">
        <v/>
      </c>
      <c r="H1731" s="9" t="str">
        <v>RA-11-11</v>
      </c>
      <c r="I1731" s="11" t="str">
        <v>RA-11-11]DC POWER MOT-C</v>
      </c>
      <c r="J1731" s="9">
        <v>155</v>
      </c>
      <c r="K1731" s="9" t="str">
        <v/>
      </c>
      <c r="L1731" s="9" t="str">
        <v>G3-5</v>
      </c>
      <c r="M1731" s="12">
        <v>46282</v>
      </c>
      <c r="N1731" s="5" t="str">
        <v/>
      </c>
      <c r="O1731" s="5">
        <v>98647</v>
      </c>
      <c r="P1731" s="5">
        <v>30</v>
      </c>
      <c r="Q1731" s="14">
        <v>46294</v>
      </c>
      <c r="R1731" s="15">
        <v>125</v>
      </c>
    </row>
    <row r="1732" spans="2:18" x14ac:dyDescent="0.35">
      <c r="B1732" s="9">
        <v>1526</v>
      </c>
      <c r="C1732" s="9" t="str">
        <v>출고재고</v>
      </c>
      <c r="D1732" s="9" t="str">
        <v/>
      </c>
      <c r="E1732" s="9" t="str">
        <v/>
      </c>
      <c r="F1732" s="9" t="str">
        <v/>
      </c>
      <c r="G1732" s="9" t="str">
        <v/>
      </c>
      <c r="H1732" s="9" t="str">
        <v>RA-07S-1668</v>
      </c>
      <c r="I1732" s="11" t="str">
        <v>RA-07S-1668]MICROMTR HEAD (VA)</v>
      </c>
      <c r="J1732" s="9">
        <v>160</v>
      </c>
      <c r="K1732" s="9" t="str">
        <v/>
      </c>
      <c r="L1732" s="9" t="str">
        <v>J3-1</v>
      </c>
      <c r="M1732" s="12">
        <v>46282</v>
      </c>
      <c r="N1732" s="5" t="str">
        <v/>
      </c>
      <c r="O1732" s="5">
        <v>98647</v>
      </c>
      <c r="P1732" s="5">
        <v>30</v>
      </c>
      <c r="Q1732" s="14">
        <v>46294</v>
      </c>
      <c r="R1732" s="15">
        <v>130</v>
      </c>
    </row>
    <row r="1733" spans="2:18" x14ac:dyDescent="0.35">
      <c r="B1733" s="9">
        <v>1123</v>
      </c>
      <c r="C1733" s="9" t="str">
        <v>출고재고</v>
      </c>
      <c r="D1733" s="9" t="str">
        <v/>
      </c>
      <c r="E1733" s="9" t="str">
        <v>기초</v>
      </c>
      <c r="F1733" s="9" t="str">
        <v/>
      </c>
      <c r="G1733" s="9" t="str">
        <v/>
      </c>
      <c r="H1733" s="9" t="str">
        <v>RA-07M-1666</v>
      </c>
      <c r="I1733" s="11" t="str">
        <v>RA-07M-1666]BLK STOPPER MICROMTR HEAD(VA</v>
      </c>
      <c r="J1733" s="9">
        <v>164</v>
      </c>
      <c r="K1733" s="9" t="str">
        <v/>
      </c>
      <c r="L1733" s="9" t="str">
        <v>J2-1</v>
      </c>
      <c r="M1733" s="12">
        <v>46276</v>
      </c>
      <c r="N1733" s="5" t="str">
        <v/>
      </c>
      <c r="O1733" s="5">
        <v>98647</v>
      </c>
      <c r="P1733" s="5">
        <v>30</v>
      </c>
      <c r="Q1733" s="14">
        <v>46294</v>
      </c>
      <c r="R1733" s="15">
        <v>134</v>
      </c>
    </row>
    <row r="1734" spans="2:18" x14ac:dyDescent="0.35">
      <c r="B1734" s="9">
        <v>1126</v>
      </c>
      <c r="C1734" s="9" t="str">
        <v>출고재고</v>
      </c>
      <c r="D1734" s="9" t="str">
        <v/>
      </c>
      <c r="E1734" s="9" t="str">
        <v>기초</v>
      </c>
      <c r="F1734" s="9" t="str">
        <v/>
      </c>
      <c r="G1734" s="9" t="str">
        <v/>
      </c>
      <c r="H1734" s="9" t="str">
        <v>RA-07V-2782</v>
      </c>
      <c r="I1734" s="11" t="str">
        <v>RA-07V-2782]CVR DET MOT LINKER (IR)</v>
      </c>
      <c r="J1734" s="9">
        <v>165</v>
      </c>
      <c r="K1734" s="9" t="str">
        <v/>
      </c>
      <c r="L1734" s="9" t="str">
        <v>J2-3</v>
      </c>
      <c r="M1734" s="12">
        <v>46276</v>
      </c>
      <c r="N1734" s="5" t="str">
        <v/>
      </c>
      <c r="O1734" s="5">
        <v>98647</v>
      </c>
      <c r="P1734" s="5">
        <v>30</v>
      </c>
      <c r="Q1734" s="14">
        <v>46294</v>
      </c>
      <c r="R1734" s="15">
        <v>135</v>
      </c>
    </row>
    <row r="1735" spans="2:18" x14ac:dyDescent="0.35">
      <c r="B1735" s="9">
        <v>1117</v>
      </c>
      <c r="C1735" s="9" t="str">
        <v>출고재고</v>
      </c>
      <c r="D1735" s="9" t="str">
        <v/>
      </c>
      <c r="E1735" s="9" t="str">
        <v>기초</v>
      </c>
      <c r="F1735" s="9" t="str">
        <v/>
      </c>
      <c r="G1735" s="9" t="str">
        <v/>
      </c>
      <c r="H1735" s="9" t="str">
        <v>RA-06M-2085</v>
      </c>
      <c r="I1735" s="11" t="str">
        <v>RA-06M-2085]BLK FIX COL LWR(A+)</v>
      </c>
      <c r="J1735" s="9">
        <v>169</v>
      </c>
      <c r="K1735" s="9" t="str">
        <v/>
      </c>
      <c r="L1735" s="9" t="str">
        <v>I2-1</v>
      </c>
      <c r="M1735" s="12">
        <v>46276</v>
      </c>
      <c r="N1735" s="5" t="str">
        <v/>
      </c>
      <c r="O1735" s="5">
        <v>98647</v>
      </c>
      <c r="P1735" s="5">
        <v>30</v>
      </c>
      <c r="Q1735" s="14">
        <v>46294</v>
      </c>
      <c r="R1735" s="15">
        <v>139</v>
      </c>
    </row>
    <row r="1736" spans="2:18" x14ac:dyDescent="0.35">
      <c r="B1736" s="9">
        <v>1107</v>
      </c>
      <c r="C1736" s="9" t="str">
        <v>출고재고</v>
      </c>
      <c r="D1736" s="9" t="str">
        <v/>
      </c>
      <c r="E1736" s="9" t="str">
        <v>기초</v>
      </c>
      <c r="F1736" s="9" t="str">
        <v/>
      </c>
      <c r="G1736" s="9" t="str">
        <v/>
      </c>
      <c r="H1736" s="9" t="str">
        <v>RS-02S-5135</v>
      </c>
      <c r="I1736" s="11" t="str">
        <v>RS-02S-5135]PHOtSNSR-EE-SX671A</v>
      </c>
      <c r="J1736" s="9">
        <v>200</v>
      </c>
      <c r="K1736" s="9" t="str">
        <v/>
      </c>
      <c r="L1736" s="9" t="str">
        <v>A12-3</v>
      </c>
      <c r="M1736" s="12">
        <v>46276</v>
      </c>
      <c r="N1736" s="5" t="str">
        <v/>
      </c>
      <c r="O1736" s="5">
        <v>98647</v>
      </c>
      <c r="P1736" s="5">
        <v>30</v>
      </c>
      <c r="Q1736" s="14">
        <v>46294</v>
      </c>
      <c r="R1736" s="15">
        <v>170</v>
      </c>
    </row>
    <row r="1737" spans="2:18" x14ac:dyDescent="0.35">
      <c r="B1737" s="9">
        <v>1120</v>
      </c>
      <c r="C1737" s="9" t="str">
        <v>출고재고</v>
      </c>
      <c r="D1737" s="9" t="str">
        <v/>
      </c>
      <c r="E1737" s="9" t="str">
        <v>기초</v>
      </c>
      <c r="F1737" s="9" t="str">
        <v/>
      </c>
      <c r="G1737" s="9" t="str">
        <v/>
      </c>
      <c r="H1737" s="9" t="str">
        <v>RA-07M-1655</v>
      </c>
      <c r="I1737" s="11" t="str">
        <v>RA-07M-1655]COL B-Ring GUIDE (VA)</v>
      </c>
      <c r="J1737" s="9">
        <v>200</v>
      </c>
      <c r="K1737" s="9" t="str">
        <v/>
      </c>
      <c r="L1737" s="9" t="str">
        <v>J2-1</v>
      </c>
      <c r="M1737" s="12">
        <v>46276</v>
      </c>
      <c r="N1737" s="5" t="str">
        <v/>
      </c>
      <c r="O1737" s="5">
        <v>98647</v>
      </c>
      <c r="P1737" s="5">
        <v>60</v>
      </c>
      <c r="Q1737" s="14">
        <v>46294</v>
      </c>
      <c r="R1737" s="15">
        <v>140</v>
      </c>
    </row>
    <row r="1738" spans="2:18" x14ac:dyDescent="0.35">
      <c r="B1738" s="9">
        <v>1124</v>
      </c>
      <c r="C1738" s="9" t="str">
        <v>출고재고</v>
      </c>
      <c r="D1738" s="9" t="str">
        <v/>
      </c>
      <c r="E1738" s="9" t="str">
        <v>기초</v>
      </c>
      <c r="F1738" s="9" t="str">
        <v/>
      </c>
      <c r="G1738" s="9" t="str">
        <v/>
      </c>
      <c r="H1738" s="9" t="str">
        <v>RA-07A-1777</v>
      </c>
      <c r="I1738" s="11" t="str">
        <v>RA-07A-1777]ASM SCREW MOVING DET (VA)</v>
      </c>
      <c r="J1738" s="9">
        <v>200</v>
      </c>
      <c r="K1738" s="9" t="str">
        <v/>
      </c>
      <c r="L1738" s="9" t="str">
        <v>J2-2</v>
      </c>
      <c r="M1738" s="12">
        <v>46276</v>
      </c>
      <c r="N1738" s="5" t="str">
        <v/>
      </c>
      <c r="O1738" s="5">
        <v>98647</v>
      </c>
      <c r="P1738" s="5">
        <v>30</v>
      </c>
      <c r="Q1738" s="14">
        <v>46294</v>
      </c>
      <c r="R1738" s="15">
        <v>170</v>
      </c>
    </row>
    <row r="1739" spans="2:18" x14ac:dyDescent="0.35">
      <c r="B1739" s="9">
        <v>1128</v>
      </c>
      <c r="C1739" s="9" t="str">
        <v>출고재고</v>
      </c>
      <c r="D1739" s="9" t="str">
        <v/>
      </c>
      <c r="E1739" s="9" t="str">
        <v>기초</v>
      </c>
      <c r="F1739" s="9" t="str">
        <v/>
      </c>
      <c r="G1739" s="9" t="str">
        <v/>
      </c>
      <c r="H1739" s="9" t="str">
        <v>RA-07V-2787</v>
      </c>
      <c r="I1739" s="11" t="str">
        <v>RA-07V-2787]BRK DET PCB (IR)</v>
      </c>
      <c r="J1739" s="9">
        <v>200</v>
      </c>
      <c r="K1739" s="9" t="str">
        <v/>
      </c>
      <c r="L1739" s="9" t="str">
        <v>J2-3</v>
      </c>
      <c r="M1739" s="12">
        <v>46276</v>
      </c>
      <c r="N1739" s="5" t="str">
        <v/>
      </c>
      <c r="O1739" s="5">
        <v>98647</v>
      </c>
      <c r="P1739" s="5">
        <v>30</v>
      </c>
      <c r="Q1739" s="14">
        <v>46294</v>
      </c>
      <c r="R1739" s="15">
        <v>170</v>
      </c>
    </row>
    <row r="1740" spans="2:18" x14ac:dyDescent="0.35">
      <c r="B1740" s="9">
        <v>1528</v>
      </c>
      <c r="C1740" s="9" t="str">
        <v>출고재고</v>
      </c>
      <c r="D1740" s="9" t="str">
        <v/>
      </c>
      <c r="E1740" s="9" t="str">
        <v/>
      </c>
      <c r="F1740" s="9" t="str">
        <v/>
      </c>
      <c r="G1740" s="9" t="str">
        <v/>
      </c>
      <c r="H1740" s="9" t="str">
        <v>RA-03S-6009A</v>
      </c>
      <c r="I1740" s="11" t="str">
        <v>RA-03S-6009A]A2K_LBM01-370</v>
      </c>
      <c r="J1740" s="9">
        <v>201</v>
      </c>
      <c r="K1740" s="9" t="str">
        <v/>
      </c>
      <c r="L1740" s="9" t="str">
        <v>L1-2</v>
      </c>
      <c r="M1740" s="12">
        <v>46282</v>
      </c>
      <c r="N1740" s="5" t="str">
        <v/>
      </c>
      <c r="O1740" s="5">
        <v>98647</v>
      </c>
      <c r="P1740" s="5">
        <v>30</v>
      </c>
      <c r="Q1740" s="14">
        <v>46294</v>
      </c>
      <c r="R1740" s="15">
        <v>171</v>
      </c>
    </row>
    <row r="1741" spans="2:18" x14ac:dyDescent="0.35">
      <c r="B1741" s="9">
        <v>1125</v>
      </c>
      <c r="C1741" s="9" t="str">
        <v>출고재고</v>
      </c>
      <c r="D1741" s="9" t="str">
        <v/>
      </c>
      <c r="E1741" s="9" t="str">
        <v>기초</v>
      </c>
      <c r="F1741" s="9" t="str">
        <v/>
      </c>
      <c r="G1741" s="9" t="str">
        <v/>
      </c>
      <c r="H1741" s="9" t="str">
        <v>RA-07S-1654</v>
      </c>
      <c r="I1741" s="11" t="str">
        <v>RA-07S-1654]LM RAIL SET (MGN9C-125L (VA)</v>
      </c>
      <c r="J1741" s="9">
        <v>211</v>
      </c>
      <c r="K1741" s="9" t="str">
        <v/>
      </c>
      <c r="L1741" s="9" t="str">
        <v>J2-2</v>
      </c>
      <c r="M1741" s="12">
        <v>46276</v>
      </c>
      <c r="N1741" s="5" t="str">
        <v/>
      </c>
      <c r="O1741" s="5">
        <v>98647</v>
      </c>
      <c r="P1741" s="5">
        <v>30</v>
      </c>
      <c r="Q1741" s="14">
        <v>46294</v>
      </c>
      <c r="R1741" s="15">
        <v>181</v>
      </c>
    </row>
    <row r="1742" spans="2:18" x14ac:dyDescent="0.35">
      <c r="B1742" s="9">
        <v>1116</v>
      </c>
      <c r="C1742" s="9" t="str">
        <v>출고재고</v>
      </c>
      <c r="D1742" s="9" t="str">
        <v/>
      </c>
      <c r="E1742" s="9" t="str">
        <v>기초</v>
      </c>
      <c r="F1742" s="9" t="str">
        <v/>
      </c>
      <c r="G1742" s="9" t="str">
        <v/>
      </c>
      <c r="H1742" s="9" t="str">
        <v>RA-06M-2084</v>
      </c>
      <c r="I1742" s="11" t="str">
        <v>RA-06M-2084]BLK FIX COL UPPER(A+)</v>
      </c>
      <c r="J1742" s="9">
        <v>214</v>
      </c>
      <c r="K1742" s="9" t="str">
        <v/>
      </c>
      <c r="L1742" s="9" t="str">
        <v>I2-1</v>
      </c>
      <c r="M1742" s="12">
        <v>46276</v>
      </c>
      <c r="N1742" s="5" t="str">
        <v/>
      </c>
      <c r="O1742" s="5">
        <v>98647</v>
      </c>
      <c r="P1742" s="5">
        <v>30</v>
      </c>
      <c r="Q1742" s="14">
        <v>46294</v>
      </c>
      <c r="R1742" s="15">
        <v>184</v>
      </c>
    </row>
    <row r="1743" spans="2:18" x14ac:dyDescent="0.35">
      <c r="B1743" s="9">
        <v>1118</v>
      </c>
      <c r="C1743" s="9" t="str">
        <v>출고재고</v>
      </c>
      <c r="D1743" s="9" t="str">
        <v/>
      </c>
      <c r="E1743" s="9" t="str">
        <v>기초</v>
      </c>
      <c r="F1743" s="9" t="str">
        <v/>
      </c>
      <c r="G1743" s="9" t="str">
        <v/>
      </c>
      <c r="H1743" s="9" t="str">
        <v>RA-06V-2138</v>
      </c>
      <c r="I1743" s="11" t="str">
        <v>RA-06V-2138]BRK COL Bd (A+)</v>
      </c>
      <c r="J1743" s="9">
        <v>214</v>
      </c>
      <c r="K1743" s="9" t="str">
        <v/>
      </c>
      <c r="L1743" s="9" t="str">
        <v>I2-3</v>
      </c>
      <c r="M1743" s="12">
        <v>46276</v>
      </c>
      <c r="N1743" s="5" t="str">
        <v/>
      </c>
      <c r="O1743" s="5">
        <v>98647</v>
      </c>
      <c r="P1743" s="5">
        <v>30</v>
      </c>
      <c r="Q1743" s="14">
        <v>46294</v>
      </c>
      <c r="R1743" s="15">
        <v>184</v>
      </c>
    </row>
    <row r="1744" spans="2:18" x14ac:dyDescent="0.35">
      <c r="B1744" s="9">
        <v>1113</v>
      </c>
      <c r="C1744" s="9" t="str">
        <v>출고재고</v>
      </c>
      <c r="D1744" s="9" t="str">
        <v/>
      </c>
      <c r="E1744" s="9" t="str">
        <v>기초</v>
      </c>
      <c r="F1744" s="9" t="str">
        <v/>
      </c>
      <c r="G1744" s="9" t="str">
        <v/>
      </c>
      <c r="H1744" s="9" t="str">
        <v>RA-06V-2140</v>
      </c>
      <c r="I1744" s="11" t="str">
        <v>RA-06V-2140]BRK TUBE CAS FRONT (A+)</v>
      </c>
      <c r="J1744" s="9">
        <v>227</v>
      </c>
      <c r="K1744" s="9" t="str">
        <v/>
      </c>
      <c r="L1744" s="9" t="str">
        <v>H3-4</v>
      </c>
      <c r="M1744" s="12">
        <v>46276</v>
      </c>
      <c r="N1744" s="5" t="str">
        <v/>
      </c>
      <c r="O1744" s="5">
        <v>98647</v>
      </c>
      <c r="P1744" s="5">
        <v>30</v>
      </c>
      <c r="Q1744" s="14">
        <v>46294</v>
      </c>
      <c r="R1744" s="15">
        <v>197</v>
      </c>
    </row>
    <row r="1745" spans="2:18" x14ac:dyDescent="0.35">
      <c r="B1745" s="9">
        <v>1137</v>
      </c>
      <c r="C1745" s="9" t="str">
        <v>출고재고</v>
      </c>
      <c r="D1745" s="9" t="str">
        <v/>
      </c>
      <c r="E1745" s="9" t="str">
        <v>기초</v>
      </c>
      <c r="F1745" s="9" t="str">
        <v/>
      </c>
      <c r="G1745" s="9" t="str">
        <v/>
      </c>
      <c r="H1745" s="9" t="str">
        <v>RA-07V-2784</v>
      </c>
      <c r="I1745" s="11" t="str">
        <v>RA-07V-2784]PLT FIX DET (IR)</v>
      </c>
      <c r="J1745" s="9">
        <v>243</v>
      </c>
      <c r="K1745" s="9" t="str">
        <v/>
      </c>
      <c r="L1745" s="9" t="str">
        <v>O4</v>
      </c>
      <c r="M1745" s="12">
        <v>46276</v>
      </c>
      <c r="N1745" s="5" t="str">
        <v/>
      </c>
      <c r="O1745" s="5">
        <v>98647</v>
      </c>
      <c r="P1745" s="5">
        <v>30</v>
      </c>
      <c r="Q1745" s="14">
        <v>46294</v>
      </c>
      <c r="R1745" s="15">
        <v>213</v>
      </c>
    </row>
    <row r="1746" spans="2:18" x14ac:dyDescent="0.35">
      <c r="B1746" s="9">
        <v>1115</v>
      </c>
      <c r="C1746" s="9" t="str">
        <v>출고재고</v>
      </c>
      <c r="D1746" s="9" t="str">
        <v/>
      </c>
      <c r="E1746" s="9" t="str">
        <v>기초</v>
      </c>
      <c r="F1746" s="9" t="str">
        <v/>
      </c>
      <c r="G1746" s="9" t="str">
        <v/>
      </c>
      <c r="H1746" s="9" t="str">
        <v>RA-06S-0214</v>
      </c>
      <c r="I1746" s="11" t="str">
        <v>RA-06S-0214]COUPLING DISK</v>
      </c>
      <c r="J1746" s="9">
        <v>251</v>
      </c>
      <c r="K1746" s="9" t="str">
        <v/>
      </c>
      <c r="L1746" s="9" t="str">
        <v>H3-7</v>
      </c>
      <c r="M1746" s="12">
        <v>46276</v>
      </c>
      <c r="N1746" s="5" t="str">
        <v/>
      </c>
      <c r="O1746" s="5">
        <v>98647</v>
      </c>
      <c r="P1746" s="5">
        <v>30</v>
      </c>
      <c r="Q1746" s="14">
        <v>46294</v>
      </c>
      <c r="R1746" s="15">
        <v>221</v>
      </c>
    </row>
    <row r="1747" spans="2:18" x14ac:dyDescent="0.35">
      <c r="B1747" s="9">
        <v>1114</v>
      </c>
      <c r="C1747" s="9" t="str">
        <v>출고재고</v>
      </c>
      <c r="D1747" s="9" t="str">
        <v/>
      </c>
      <c r="E1747" s="9" t="str">
        <v>기초</v>
      </c>
      <c r="F1747" s="9" t="str">
        <v/>
      </c>
      <c r="G1747" s="9" t="str">
        <v/>
      </c>
      <c r="H1747" s="9" t="str">
        <v>RA-06V-2141</v>
      </c>
      <c r="I1747" s="11" t="str">
        <v>RA-06V-2141]BRK TUBE CAS REAR (A+)</v>
      </c>
      <c r="J1747" s="9">
        <v>270</v>
      </c>
      <c r="K1747" s="9" t="str">
        <v/>
      </c>
      <c r="L1747" s="9" t="str">
        <v>H3-4</v>
      </c>
      <c r="M1747" s="12">
        <v>46276</v>
      </c>
      <c r="N1747" s="5" t="str">
        <v/>
      </c>
      <c r="O1747" s="5">
        <v>98647</v>
      </c>
      <c r="P1747" s="5">
        <v>30</v>
      </c>
      <c r="Q1747" s="14">
        <v>46294</v>
      </c>
      <c r="R1747" s="15">
        <v>240</v>
      </c>
    </row>
    <row r="1748" spans="2:18" x14ac:dyDescent="0.35">
      <c r="B1748" s="9">
        <v>1138</v>
      </c>
      <c r="C1748" s="9" t="str">
        <v>출고재고</v>
      </c>
      <c r="D1748" s="9" t="str">
        <v/>
      </c>
      <c r="E1748" s="9" t="str">
        <v>기초</v>
      </c>
      <c r="F1748" s="9" t="str">
        <v/>
      </c>
      <c r="G1748" s="9" t="str">
        <v/>
      </c>
      <c r="H1748" s="9" t="str">
        <v>RA-07V-2785</v>
      </c>
      <c r="I1748" s="11" t="str">
        <v>RA-07V-2785]PLT ADJUST DET (IR)</v>
      </c>
      <c r="J1748" s="9">
        <v>273</v>
      </c>
      <c r="K1748" s="9" t="str">
        <v/>
      </c>
      <c r="L1748" s="9" t="str">
        <v>O4</v>
      </c>
      <c r="M1748" s="12">
        <v>46276</v>
      </c>
      <c r="N1748" s="5" t="str">
        <v/>
      </c>
      <c r="O1748" s="5">
        <v>98647</v>
      </c>
      <c r="P1748" s="5">
        <v>30</v>
      </c>
      <c r="Q1748" s="14">
        <v>46294</v>
      </c>
      <c r="R1748" s="15">
        <v>243</v>
      </c>
    </row>
    <row r="1749" spans="2:18" x14ac:dyDescent="0.35">
      <c r="B1749" s="9">
        <v>1112</v>
      </c>
      <c r="C1749" s="9" t="str">
        <v>출고재고</v>
      </c>
      <c r="D1749" s="9" t="str">
        <v/>
      </c>
      <c r="E1749" s="9" t="str">
        <v>기초</v>
      </c>
      <c r="F1749" s="9" t="str">
        <v/>
      </c>
      <c r="G1749" s="9" t="str">
        <v/>
      </c>
      <c r="H1749" s="9" t="str">
        <v>RA-06A-2745</v>
      </c>
      <c r="I1749" s="11" t="str">
        <v>RA-06A-2745]SHAFT BRASS COL (A+) (VN)</v>
      </c>
      <c r="J1749" s="9">
        <v>274</v>
      </c>
      <c r="K1749" s="9" t="str">
        <v/>
      </c>
      <c r="L1749" s="9" t="str">
        <v>H1</v>
      </c>
      <c r="M1749" s="12">
        <v>46276</v>
      </c>
      <c r="N1749" s="5" t="str">
        <v/>
      </c>
      <c r="O1749" s="5">
        <v>98647</v>
      </c>
      <c r="P1749" s="5">
        <v>30</v>
      </c>
      <c r="Q1749" s="14">
        <v>46294</v>
      </c>
      <c r="R1749" s="15">
        <v>244</v>
      </c>
    </row>
    <row r="1750" spans="2:18" x14ac:dyDescent="0.35">
      <c r="B1750" s="9">
        <v>1529</v>
      </c>
      <c r="C1750" s="9" t="str">
        <v>출고재고</v>
      </c>
      <c r="D1750" s="9" t="str">
        <v/>
      </c>
      <c r="E1750" s="9" t="str">
        <v/>
      </c>
      <c r="F1750" s="9" t="str">
        <v/>
      </c>
      <c r="G1750" s="9" t="str">
        <v/>
      </c>
      <c r="H1750" s="9" t="str">
        <v>RA-07M-3434</v>
      </c>
      <c r="I1750" s="11" t="str">
        <v>RA-07M-3434]BLK MICROMTR HEAD (ST)</v>
      </c>
      <c r="J1750" s="9">
        <v>281</v>
      </c>
      <c r="K1750" s="9" t="str">
        <v/>
      </c>
      <c r="L1750" s="9" t="str">
        <v>J3-2</v>
      </c>
      <c r="M1750" s="12">
        <v>46282</v>
      </c>
      <c r="N1750" s="5" t="str">
        <v/>
      </c>
      <c r="O1750" s="5">
        <v>98647</v>
      </c>
      <c r="P1750" s="5">
        <v>30</v>
      </c>
      <c r="Q1750" s="14">
        <v>46294</v>
      </c>
      <c r="R1750" s="15">
        <v>251</v>
      </c>
    </row>
    <row r="1751" spans="2:18" x14ac:dyDescent="0.35">
      <c r="B1751" s="9">
        <v>1122</v>
      </c>
      <c r="C1751" s="9" t="str">
        <v>출고재고</v>
      </c>
      <c r="D1751" s="9" t="str">
        <v/>
      </c>
      <c r="E1751" s="9" t="str">
        <v>기초</v>
      </c>
      <c r="F1751" s="9" t="str">
        <v/>
      </c>
      <c r="G1751" s="9" t="str">
        <v/>
      </c>
      <c r="H1751" s="9" t="str">
        <v>RA-07M-2783</v>
      </c>
      <c r="I1751" s="11" t="str">
        <v>RA-07M-2783]BLK MOT HOUSING (IR)</v>
      </c>
      <c r="J1751" s="9">
        <v>297</v>
      </c>
      <c r="K1751" s="9" t="str">
        <v/>
      </c>
      <c r="L1751" s="9" t="str">
        <v>J2-1</v>
      </c>
      <c r="M1751" s="12">
        <v>46276</v>
      </c>
      <c r="N1751" s="5" t="str">
        <v/>
      </c>
      <c r="O1751" s="5">
        <v>98647</v>
      </c>
      <c r="P1751" s="5">
        <v>30</v>
      </c>
      <c r="Q1751" s="14">
        <v>46294</v>
      </c>
      <c r="R1751" s="15">
        <v>267</v>
      </c>
    </row>
    <row r="1752" spans="2:18" x14ac:dyDescent="0.35">
      <c r="B1752" s="9">
        <v>1129</v>
      </c>
      <c r="C1752" s="9" t="str">
        <v>출고재고</v>
      </c>
      <c r="D1752" s="9" t="str">
        <v/>
      </c>
      <c r="E1752" s="9" t="str">
        <v>기초</v>
      </c>
      <c r="F1752" s="9" t="str">
        <v/>
      </c>
      <c r="G1752" s="9" t="str">
        <v/>
      </c>
      <c r="H1752" s="9" t="str">
        <v>RA-07V-1669</v>
      </c>
      <c r="I1752" s="11" t="str">
        <v>RA-07V-1669]PLT PHOTSNSR (VA)</v>
      </c>
      <c r="J1752" s="9">
        <v>313</v>
      </c>
      <c r="K1752" s="9" t="str">
        <v/>
      </c>
      <c r="L1752" s="9" t="str">
        <v>J2-3</v>
      </c>
      <c r="M1752" s="12">
        <v>46276</v>
      </c>
      <c r="N1752" s="5" t="str">
        <v/>
      </c>
      <c r="O1752" s="5">
        <v>98647</v>
      </c>
      <c r="P1752" s="5">
        <v>30</v>
      </c>
      <c r="Q1752" s="14">
        <v>46294</v>
      </c>
      <c r="R1752" s="15">
        <v>283</v>
      </c>
    </row>
    <row r="1753" spans="2:18" x14ac:dyDescent="0.35">
      <c r="B1753" s="9">
        <v>1531</v>
      </c>
      <c r="C1753" s="9" t="str">
        <v>출고재고</v>
      </c>
      <c r="D1753" s="9" t="str">
        <v/>
      </c>
      <c r="E1753" s="9" t="str">
        <v/>
      </c>
      <c r="F1753" s="9" t="str">
        <v/>
      </c>
      <c r="G1753" s="9" t="str">
        <v/>
      </c>
      <c r="H1753" s="9" t="str">
        <v>RA-06A-6006</v>
      </c>
      <c r="I1753" s="11" t="str">
        <v>RA-06A-6006]Bd ASSY'-Fcol MCU</v>
      </c>
      <c r="J1753" s="9">
        <v>338</v>
      </c>
      <c r="K1753" s="9" t="str">
        <v/>
      </c>
      <c r="L1753" s="9" t="str">
        <v>A2-1</v>
      </c>
      <c r="M1753" s="12">
        <v>46282</v>
      </c>
      <c r="N1753" s="5" t="str">
        <v/>
      </c>
      <c r="O1753" s="5">
        <v>98647</v>
      </c>
      <c r="P1753" s="5">
        <v>30</v>
      </c>
      <c r="Q1753" s="14">
        <v>46294</v>
      </c>
      <c r="R1753" s="15">
        <v>308</v>
      </c>
    </row>
    <row r="1754" spans="2:18" x14ac:dyDescent="0.35">
      <c r="B1754" s="9">
        <v>1533</v>
      </c>
      <c r="C1754" s="9" t="str">
        <v>출고재고</v>
      </c>
      <c r="D1754" s="9" t="str">
        <v/>
      </c>
      <c r="E1754" s="9" t="str">
        <v/>
      </c>
      <c r="F1754" s="9" t="str">
        <v/>
      </c>
      <c r="G1754" s="9" t="str">
        <v/>
      </c>
      <c r="H1754" s="9" t="str">
        <v>RA-04S-0977</v>
      </c>
      <c r="I1754" s="11" t="str">
        <v>RA-04S-0977]SPRING CEPH AND ARM</v>
      </c>
      <c r="J1754" s="9">
        <v>339</v>
      </c>
      <c r="K1754" s="9" t="str">
        <v/>
      </c>
      <c r="L1754" s="9" t="str">
        <v>B2-2</v>
      </c>
      <c r="M1754" s="12">
        <v>46282</v>
      </c>
      <c r="N1754" s="5" t="str">
        <v/>
      </c>
      <c r="O1754" s="5">
        <v>98647</v>
      </c>
      <c r="P1754" s="5">
        <v>30</v>
      </c>
      <c r="Q1754" s="14">
        <v>46294</v>
      </c>
      <c r="R1754" s="15">
        <v>309</v>
      </c>
    </row>
    <row r="1755" spans="2:18" x14ac:dyDescent="0.35">
      <c r="B1755" s="9">
        <v>1532</v>
      </c>
      <c r="C1755" s="9" t="str">
        <v>출고재고</v>
      </c>
      <c r="D1755" s="9" t="str">
        <v/>
      </c>
      <c r="E1755" s="9" t="str">
        <v/>
      </c>
      <c r="F1755" s="9" t="str">
        <v/>
      </c>
      <c r="G1755" s="9" t="str">
        <v/>
      </c>
      <c r="H1755" s="9" t="str">
        <v>RA-06M-0432</v>
      </c>
      <c r="I1755" s="11" t="str">
        <v>RA-06M-0432]FLANGE TUBE TILT SHAFT B</v>
      </c>
      <c r="J1755" s="9">
        <v>369</v>
      </c>
      <c r="K1755" s="9" t="str">
        <v/>
      </c>
      <c r="L1755" s="9" t="str">
        <v>H4-1</v>
      </c>
      <c r="M1755" s="12">
        <v>46282</v>
      </c>
      <c r="N1755" s="5" t="str">
        <v/>
      </c>
      <c r="O1755" s="5">
        <v>98647</v>
      </c>
      <c r="P1755" s="5">
        <v>30</v>
      </c>
      <c r="Q1755" s="14">
        <v>46294</v>
      </c>
      <c r="R1755" s="15">
        <v>339</v>
      </c>
    </row>
    <row r="1756" spans="2:18" x14ac:dyDescent="0.35">
      <c r="B1756" s="9">
        <v>1682</v>
      </c>
      <c r="C1756" s="9" t="str">
        <v>출고재고</v>
      </c>
      <c r="D1756" s="9" t="str">
        <v/>
      </c>
      <c r="E1756" s="9" t="str">
        <v/>
      </c>
      <c r="F1756" s="9" t="str">
        <v/>
      </c>
      <c r="G1756" s="9" t="str">
        <v/>
      </c>
      <c r="H1756" s="9" t="str">
        <v>RA-1-8B</v>
      </c>
      <c r="I1756" s="11" t="str">
        <v>RA-1-8B]AC POWER PFC CONNECT</v>
      </c>
      <c r="J1756" s="9">
        <v>397</v>
      </c>
      <c r="K1756" s="9" t="str">
        <v/>
      </c>
      <c r="L1756" s="9" t="str">
        <v>G3-1</v>
      </c>
      <c r="M1756" s="12">
        <v>46280</v>
      </c>
      <c r="N1756" s="5" t="str">
        <v/>
      </c>
      <c r="O1756" s="5">
        <v>98647</v>
      </c>
      <c r="P1756" s="5">
        <v>30</v>
      </c>
      <c r="Q1756" s="14">
        <v>46294</v>
      </c>
      <c r="R1756" s="15">
        <v>367</v>
      </c>
    </row>
    <row r="1757" spans="2:18" x14ac:dyDescent="0.35">
      <c r="B1757" s="9">
        <v>1707</v>
      </c>
      <c r="C1757" s="9" t="str">
        <v>출고재고</v>
      </c>
      <c r="D1757" s="9" t="str">
        <v/>
      </c>
      <c r="E1757" s="9" t="str">
        <v/>
      </c>
      <c r="F1757" s="9" t="str">
        <v/>
      </c>
      <c r="G1757" s="9" t="str">
        <v/>
      </c>
      <c r="H1757" s="9" t="str">
        <v>RA-06S-5018</v>
      </c>
      <c r="I1757" s="11" t="str">
        <v>RA-06S-5018]MICRO SWITCH</v>
      </c>
      <c r="J1757" s="9">
        <v>440</v>
      </c>
      <c r="K1757" s="9" t="str">
        <v/>
      </c>
      <c r="L1757" s="9" t="str">
        <v>A12-3</v>
      </c>
      <c r="M1757" s="12">
        <v>46287</v>
      </c>
      <c r="N1757" s="5" t="str">
        <v/>
      </c>
      <c r="O1757" s="5">
        <v>98647</v>
      </c>
      <c r="P1757" s="5">
        <v>60</v>
      </c>
      <c r="Q1757" s="14">
        <v>46294</v>
      </c>
      <c r="R1757" s="15">
        <v>380</v>
      </c>
    </row>
    <row r="1758" spans="2:18" x14ac:dyDescent="0.35">
      <c r="B1758" s="9">
        <v>1534</v>
      </c>
      <c r="C1758" s="9" t="str">
        <v>출고재고</v>
      </c>
      <c r="D1758" s="9" t="str">
        <v/>
      </c>
      <c r="E1758" s="9" t="str">
        <v/>
      </c>
      <c r="F1758" s="9" t="str">
        <v/>
      </c>
      <c r="G1758" s="9" t="str">
        <v/>
      </c>
      <c r="H1758" s="9" t="str">
        <v>RA-06V-0242</v>
      </c>
      <c r="I1758" s="11" t="str">
        <v>RA-06V-0242]BRK TUBE TILT MICRO SW</v>
      </c>
      <c r="J1758" s="9">
        <v>442</v>
      </c>
      <c r="K1758" s="9" t="str">
        <v/>
      </c>
      <c r="L1758" s="9" t="str">
        <v>H3-3</v>
      </c>
      <c r="M1758" s="12">
        <v>46282</v>
      </c>
      <c r="N1758" s="5" t="str">
        <v/>
      </c>
      <c r="O1758" s="5">
        <v>98647</v>
      </c>
      <c r="P1758" s="5">
        <v>30</v>
      </c>
      <c r="Q1758" s="14">
        <v>46294</v>
      </c>
      <c r="R1758" s="15">
        <v>412</v>
      </c>
    </row>
    <row r="1759" spans="2:18" x14ac:dyDescent="0.35">
      <c r="B1759" s="9">
        <v>1535</v>
      </c>
      <c r="C1759" s="9" t="str">
        <v>출고재고</v>
      </c>
      <c r="D1759" s="9" t="str">
        <v/>
      </c>
      <c r="E1759" s="9" t="str">
        <v/>
      </c>
      <c r="F1759" s="9" t="str">
        <v/>
      </c>
      <c r="G1759" s="9" t="str">
        <v/>
      </c>
      <c r="H1759" s="9" t="str">
        <v>RA-06S-5091</v>
      </c>
      <c r="I1759" s="11" t="str">
        <v>RA-06S-5091] DC motor(HDSG56-3448C-615)</v>
      </c>
      <c r="J1759" s="9">
        <v>449</v>
      </c>
      <c r="K1759" s="9" t="str">
        <v/>
      </c>
      <c r="L1759" s="9" t="str">
        <v>Q</v>
      </c>
      <c r="M1759" s="12">
        <v>46282</v>
      </c>
      <c r="N1759" s="5" t="str">
        <v/>
      </c>
      <c r="O1759" s="5">
        <v>98647</v>
      </c>
      <c r="P1759" s="5">
        <v>30</v>
      </c>
      <c r="Q1759" s="14">
        <v>46294</v>
      </c>
      <c r="R1759" s="15">
        <v>419</v>
      </c>
    </row>
    <row r="1760" spans="2:18" x14ac:dyDescent="0.35">
      <c r="B1760" s="9">
        <v>1140</v>
      </c>
      <c r="C1760" s="9" t="str">
        <v>출고재고</v>
      </c>
      <c r="D1760" s="9" t="str">
        <v/>
      </c>
      <c r="E1760" s="9" t="str">
        <v>기초</v>
      </c>
      <c r="F1760" s="9" t="str">
        <v/>
      </c>
      <c r="G1760" s="9" t="str">
        <v/>
      </c>
      <c r="H1760" s="9" t="str">
        <v>RA-07S-5019</v>
      </c>
      <c r="I1760" s="11" t="str">
        <v>RA-07S-5019]STEP MOT-KH42KM2-901</v>
      </c>
      <c r="J1760" s="9">
        <v>469</v>
      </c>
      <c r="K1760" s="9" t="str">
        <v/>
      </c>
      <c r="L1760" s="9" t="str">
        <v>Q</v>
      </c>
      <c r="M1760" s="12">
        <v>46276</v>
      </c>
      <c r="N1760" s="5" t="str">
        <v/>
      </c>
      <c r="O1760" s="5">
        <v>98647</v>
      </c>
      <c r="P1760" s="5">
        <v>30</v>
      </c>
      <c r="Q1760" s="14">
        <v>46294</v>
      </c>
      <c r="R1760" s="15">
        <v>439</v>
      </c>
    </row>
    <row r="1761" spans="2:18" x14ac:dyDescent="0.35">
      <c r="B1761" s="9">
        <v>1931</v>
      </c>
      <c r="C1761" s="9" t="str">
        <v>출고재고</v>
      </c>
      <c r="D1761" s="9" t="str">
        <v/>
      </c>
      <c r="E1761" s="9" t="str">
        <v/>
      </c>
      <c r="F1761" s="9" t="str">
        <v/>
      </c>
      <c r="G1761" s="9" t="str">
        <v/>
      </c>
      <c r="H1761" s="9" t="str">
        <v>RA-06M-0244</v>
      </c>
      <c r="I1761" s="11" t="str">
        <v>RA-06M-0244]PIN TUBE TILT LIMIT</v>
      </c>
      <c r="J1761" s="9">
        <v>478</v>
      </c>
      <c r="K1761" s="9" t="str">
        <v/>
      </c>
      <c r="L1761" s="9" t="str">
        <v>I3-3</v>
      </c>
      <c r="M1761" s="12">
        <v>46295</v>
      </c>
      <c r="N1761" s="5" t="str">
        <v/>
      </c>
      <c r="O1761" s="5">
        <v>98647</v>
      </c>
      <c r="P1761" s="5">
        <v>4</v>
      </c>
      <c r="Q1761" s="14">
        <v>46295</v>
      </c>
      <c r="R1761" s="15">
        <v>474</v>
      </c>
    </row>
    <row r="1762" spans="2:18" x14ac:dyDescent="0.35">
      <c r="B1762" s="9">
        <v>1536</v>
      </c>
      <c r="C1762" s="9" t="str">
        <v>출고재고</v>
      </c>
      <c r="D1762" s="9" t="str">
        <v/>
      </c>
      <c r="E1762" s="9" t="str">
        <v/>
      </c>
      <c r="F1762" s="9" t="str">
        <v/>
      </c>
      <c r="G1762" s="9" t="str">
        <v/>
      </c>
      <c r="H1762" s="9" t="str">
        <v>RA-06V-3253</v>
      </c>
      <c r="I1762" s="11" t="str">
        <v>RA-06V-3253]HLDR DC GEARED MOT (M+)</v>
      </c>
      <c r="J1762" s="9">
        <v>479</v>
      </c>
      <c r="K1762" s="9" t="str">
        <v/>
      </c>
      <c r="L1762" s="9" t="str">
        <v>I2-1</v>
      </c>
      <c r="M1762" s="12">
        <v>46282</v>
      </c>
      <c r="N1762" s="5" t="str">
        <v/>
      </c>
      <c r="O1762" s="5">
        <v>98647</v>
      </c>
      <c r="P1762" s="5">
        <v>30</v>
      </c>
      <c r="Q1762" s="14">
        <v>46294</v>
      </c>
      <c r="R1762" s="15">
        <v>449</v>
      </c>
    </row>
    <row r="1763" spans="2:18" x14ac:dyDescent="0.35">
      <c r="B1763" s="9">
        <v>1539</v>
      </c>
      <c r="C1763" s="9" t="str">
        <v>출고재고</v>
      </c>
      <c r="D1763" s="9" t="str">
        <v/>
      </c>
      <c r="E1763" s="9" t="str">
        <v/>
      </c>
      <c r="F1763" s="9" t="str">
        <v/>
      </c>
      <c r="G1763" s="9" t="str">
        <v/>
      </c>
      <c r="H1763" s="9" t="str">
        <v>RA-06M-0244</v>
      </c>
      <c r="I1763" s="11" t="str">
        <v>RA-06M-0244]PIN TUBE TILT LIMIT</v>
      </c>
      <c r="J1763" s="9">
        <v>502</v>
      </c>
      <c r="K1763" s="9" t="str">
        <v/>
      </c>
      <c r="L1763" s="9" t="str">
        <v>I3-3</v>
      </c>
      <c r="M1763" s="12">
        <v>46282</v>
      </c>
      <c r="N1763" s="5" t="str">
        <v/>
      </c>
      <c r="O1763" s="5">
        <v>98647</v>
      </c>
      <c r="P1763" s="5">
        <v>4</v>
      </c>
      <c r="Q1763" s="14">
        <v>46294</v>
      </c>
      <c r="R1763" s="15">
        <v>498</v>
      </c>
    </row>
    <row r="1764" spans="2:18" x14ac:dyDescent="0.35">
      <c r="B1764" s="9">
        <v>1540</v>
      </c>
      <c r="C1764" s="9" t="str">
        <v>출고재고</v>
      </c>
      <c r="D1764" s="9" t="str">
        <v/>
      </c>
      <c r="E1764" s="9" t="str">
        <v/>
      </c>
      <c r="F1764" s="9" t="str">
        <v/>
      </c>
      <c r="G1764" s="9" t="str">
        <v/>
      </c>
      <c r="H1764" s="9" t="str">
        <v>RA-3-3B</v>
      </c>
      <c r="I1764" s="11" t="str">
        <v>RA-3-3B]DCM CONTROL-B</v>
      </c>
      <c r="J1764" s="9">
        <v>522</v>
      </c>
      <c r="K1764" s="9" t="str">
        <v/>
      </c>
      <c r="L1764" s="9" t="str">
        <v>G2-1</v>
      </c>
      <c r="M1764" s="12">
        <v>46282</v>
      </c>
      <c r="N1764" s="5" t="str">
        <v/>
      </c>
      <c r="O1764" s="5">
        <v>98647</v>
      </c>
      <c r="P1764" s="5">
        <v>30</v>
      </c>
      <c r="Q1764" s="14">
        <v>46294</v>
      </c>
      <c r="R1764" s="15">
        <v>492</v>
      </c>
    </row>
    <row r="1765" spans="2:18" x14ac:dyDescent="0.35">
      <c r="B1765" s="9">
        <v>1685</v>
      </c>
      <c r="C1765" s="9" t="str">
        <v>출고재고</v>
      </c>
      <c r="D1765" s="9" t="str">
        <v/>
      </c>
      <c r="E1765" s="9" t="str">
        <v/>
      </c>
      <c r="F1765" s="9" t="str">
        <v/>
      </c>
      <c r="G1765" s="9" t="str">
        <v/>
      </c>
      <c r="H1765" s="9" t="str">
        <v>RA-5-5</v>
      </c>
      <c r="I1765" s="11" t="str">
        <v>RA-5-5]EARTH ROT TO PFC</v>
      </c>
      <c r="J1765" s="9">
        <v>531</v>
      </c>
      <c r="K1765" s="9" t="str">
        <v/>
      </c>
      <c r="L1765" s="9" t="str">
        <v>G3-2</v>
      </c>
      <c r="M1765" s="12">
        <v>46280</v>
      </c>
      <c r="N1765" s="5" t="str">
        <v/>
      </c>
      <c r="O1765" s="5">
        <v>98647</v>
      </c>
      <c r="P1765" s="5">
        <v>30</v>
      </c>
      <c r="Q1765" s="14">
        <v>46294</v>
      </c>
      <c r="R1765" s="15">
        <v>501</v>
      </c>
    </row>
    <row r="1766" spans="2:18" x14ac:dyDescent="0.35">
      <c r="B1766" s="9">
        <v>1121</v>
      </c>
      <c r="C1766" s="9" t="str">
        <v>출고재고</v>
      </c>
      <c r="D1766" s="9" t="str">
        <v/>
      </c>
      <c r="E1766" s="9" t="str">
        <v>기초</v>
      </c>
      <c r="F1766" s="9" t="str">
        <v/>
      </c>
      <c r="G1766" s="9" t="str">
        <v/>
      </c>
      <c r="H1766" s="9" t="str">
        <v>RA-07M-1658</v>
      </c>
      <c r="I1766" s="11" t="str">
        <v>RA-07M-1658]BLK DET MOT LINKER (VA)</v>
      </c>
      <c r="J1766" s="9">
        <v>580</v>
      </c>
      <c r="K1766" s="9" t="str">
        <v/>
      </c>
      <c r="L1766" s="9" t="str">
        <v>J2-1</v>
      </c>
      <c r="M1766" s="12">
        <v>46276</v>
      </c>
      <c r="N1766" s="5" t="str">
        <v/>
      </c>
      <c r="O1766" s="5">
        <v>98647</v>
      </c>
      <c r="P1766" s="5">
        <v>30</v>
      </c>
      <c r="Q1766" s="14">
        <v>46294</v>
      </c>
      <c r="R1766" s="15">
        <v>550</v>
      </c>
    </row>
    <row r="1767" spans="2:18" x14ac:dyDescent="0.35">
      <c r="B1767" s="9">
        <v>1542</v>
      </c>
      <c r="C1767" s="9" t="str">
        <v>출고재고</v>
      </c>
      <c r="D1767" s="9" t="str">
        <v/>
      </c>
      <c r="E1767" s="9" t="str">
        <v/>
      </c>
      <c r="F1767" s="9" t="str">
        <v/>
      </c>
      <c r="G1767" s="9" t="str">
        <v/>
      </c>
      <c r="H1767" s="9" t="str">
        <v>RA-06V-0241</v>
      </c>
      <c r="I1767" s="11" t="str">
        <v>RA-06V-0241]GUIDE TUBE TILT MICRO SW</v>
      </c>
      <c r="J1767" s="9">
        <v>611</v>
      </c>
      <c r="K1767" s="9" t="str">
        <v/>
      </c>
      <c r="L1767" s="9" t="str">
        <v>H4-3</v>
      </c>
      <c r="M1767" s="12">
        <v>46282</v>
      </c>
      <c r="N1767" s="5" t="str">
        <v/>
      </c>
      <c r="O1767" s="5">
        <v>98647</v>
      </c>
      <c r="P1767" s="5">
        <v>30</v>
      </c>
      <c r="Q1767" s="14">
        <v>46294</v>
      </c>
      <c r="R1767" s="15">
        <v>581</v>
      </c>
    </row>
    <row r="1768" spans="2:18" x14ac:dyDescent="0.35">
      <c r="B1768" s="9">
        <v>1543</v>
      </c>
      <c r="C1768" s="9" t="str">
        <v>출고재고</v>
      </c>
      <c r="D1768" s="9" t="str">
        <v/>
      </c>
      <c r="E1768" s="9" t="str">
        <v/>
      </c>
      <c r="F1768" s="9" t="str">
        <v/>
      </c>
      <c r="G1768" s="9" t="str">
        <v/>
      </c>
      <c r="H1768" s="9" t="str">
        <v>RA-06V-0866</v>
      </c>
      <c r="I1768" s="11" t="str">
        <v>RA-06V-0866]BRK TUBE TILT MICRO SW</v>
      </c>
      <c r="J1768" s="9">
        <v>736</v>
      </c>
      <c r="K1768" s="9" t="str">
        <v/>
      </c>
      <c r="L1768" s="9" t="str">
        <v>H3-3</v>
      </c>
      <c r="M1768" s="12">
        <v>46282</v>
      </c>
      <c r="N1768" s="5" t="str">
        <v/>
      </c>
      <c r="O1768" s="5">
        <v>98647</v>
      </c>
      <c r="P1768" s="5">
        <v>30</v>
      </c>
      <c r="Q1768" s="14">
        <v>46294</v>
      </c>
      <c r="R1768" s="15">
        <v>706</v>
      </c>
    </row>
    <row r="1769" spans="2:18" x14ac:dyDescent="0.35">
      <c r="B1769" s="9">
        <v>1544</v>
      </c>
      <c r="C1769" s="9" t="str">
        <v>출고재고</v>
      </c>
      <c r="D1769" s="9" t="str">
        <v/>
      </c>
      <c r="E1769" s="9" t="str">
        <v/>
      </c>
      <c r="F1769" s="9" t="str">
        <v/>
      </c>
      <c r="G1769" s="9" t="str">
        <v/>
      </c>
      <c r="H1769" s="9" t="str">
        <v>RA-06A-5005</v>
      </c>
      <c r="I1769" s="11" t="str">
        <v>RA-06A-5005]Bd ASSY'-DC MOT Bd</v>
      </c>
      <c r="J1769" s="9">
        <v>774</v>
      </c>
      <c r="K1769" s="9" t="str">
        <v/>
      </c>
      <c r="L1769" s="9" t="str">
        <v>A3-2, A3-3</v>
      </c>
      <c r="M1769" s="12">
        <v>46282</v>
      </c>
      <c r="N1769" s="5" t="str">
        <v/>
      </c>
      <c r="O1769" s="5">
        <v>98647</v>
      </c>
      <c r="P1769" s="5">
        <v>30</v>
      </c>
      <c r="Q1769" s="14">
        <v>46294</v>
      </c>
      <c r="R1769" s="15">
        <v>744</v>
      </c>
    </row>
    <row r="1770" spans="2:18" x14ac:dyDescent="0.35">
      <c r="B1770" s="9">
        <v>1083</v>
      </c>
      <c r="C1770" s="9" t="str">
        <v>출고재고</v>
      </c>
      <c r="D1770" s="9" t="str">
        <v/>
      </c>
      <c r="E1770" s="9" t="str">
        <v>기초</v>
      </c>
      <c r="F1770" s="9" t="str">
        <v/>
      </c>
      <c r="G1770" s="9" t="str">
        <v/>
      </c>
      <c r="H1770" s="9" t="str">
        <v>RA-8-9</v>
      </c>
      <c r="I1770" s="11" t="str">
        <v>RA-8-9]AC POWER CABLE(IEC)</v>
      </c>
      <c r="J1770" s="9">
        <v>500</v>
      </c>
      <c r="K1770" s="9" t="str">
        <v/>
      </c>
      <c r="L1770" s="9" t="str">
        <v>G4</v>
      </c>
      <c r="M1770" s="12">
        <v>46276</v>
      </c>
      <c r="N1770" s="5" t="str">
        <v/>
      </c>
      <c r="O1770" s="5">
        <v>98650</v>
      </c>
      <c r="P1770" s="5">
        <v>30</v>
      </c>
      <c r="Q1770" s="14">
        <v>46280</v>
      </c>
      <c r="R1770" s="15">
        <v>470</v>
      </c>
    </row>
    <row r="1771" spans="2:18" x14ac:dyDescent="0.35">
      <c r="B1771" s="9">
        <v>1103</v>
      </c>
      <c r="C1771" s="9" t="str">
        <v>출고재고</v>
      </c>
      <c r="D1771" s="9" t="str">
        <v/>
      </c>
      <c r="E1771" s="9" t="str">
        <v>기초</v>
      </c>
      <c r="F1771" s="9" t="str">
        <v/>
      </c>
      <c r="G1771" s="9" t="str">
        <v/>
      </c>
      <c r="H1771" s="9" t="str">
        <v>RA-05V-0186</v>
      </c>
      <c r="I1771" s="11" t="str">
        <v>RA-05V-0186]BRK CAS ROT TOP</v>
      </c>
      <c r="J1771" s="9">
        <v>461</v>
      </c>
      <c r="K1771" s="9" t="str">
        <v/>
      </c>
      <c r="L1771" s="9" t="str">
        <v>W</v>
      </c>
      <c r="M1771" s="12">
        <v>46276</v>
      </c>
      <c r="N1771" s="5" t="str">
        <v/>
      </c>
      <c r="O1771" s="5">
        <v>98652</v>
      </c>
      <c r="P1771" s="5">
        <v>200</v>
      </c>
      <c r="Q1771" s="14">
        <v>46280</v>
      </c>
      <c r="R1771" s="15">
        <v>261</v>
      </c>
    </row>
    <row r="1772" spans="2:18" x14ac:dyDescent="0.35">
      <c r="B1772" s="9">
        <v>1173</v>
      </c>
      <c r="C1772" s="9" t="str">
        <v>출고재고</v>
      </c>
      <c r="D1772" s="9" t="str">
        <v/>
      </c>
      <c r="E1772" s="9" t="str">
        <v/>
      </c>
      <c r="F1772" s="9" t="str">
        <v/>
      </c>
      <c r="G1772" s="9" t="str">
        <v/>
      </c>
      <c r="H1772" s="9" t="str">
        <v>RA-05M-2907</v>
      </c>
      <c r="I1772" s="11" t="str">
        <v>RA-05M-2907]FRM ROT WEIGHT</v>
      </c>
      <c r="J1772" s="9">
        <v>23</v>
      </c>
      <c r="K1772" s="9" t="str">
        <v/>
      </c>
      <c r="L1772" s="9" t="str">
        <v>O4,T</v>
      </c>
      <c r="M1772" s="12">
        <v>46280</v>
      </c>
      <c r="N1772" s="5" t="str">
        <v/>
      </c>
      <c r="O1772" s="5">
        <v>98654</v>
      </c>
      <c r="P1772" s="5">
        <v>23</v>
      </c>
      <c r="Q1772" s="14">
        <v>46280</v>
      </c>
      <c r="R1772" s="15">
        <v>0</v>
      </c>
    </row>
    <row r="1773" spans="2:18" x14ac:dyDescent="0.35">
      <c r="B1773" s="9">
        <v>1172</v>
      </c>
      <c r="C1773" s="9" t="str">
        <v>출고재고</v>
      </c>
      <c r="D1773" s="9" t="str">
        <v/>
      </c>
      <c r="E1773" s="9" t="str">
        <v/>
      </c>
      <c r="F1773" s="9" t="str">
        <v/>
      </c>
      <c r="G1773" s="9" t="str">
        <v/>
      </c>
      <c r="H1773" s="9" t="str">
        <v>RA-05M-3359</v>
      </c>
      <c r="I1773" s="11" t="str">
        <v>RA-05M-3359]FRM ROT WEIGHT (ST)</v>
      </c>
      <c r="J1773" s="9">
        <v>69</v>
      </c>
      <c r="K1773" s="9" t="str">
        <v/>
      </c>
      <c r="L1773" s="9" t="str">
        <v>P</v>
      </c>
      <c r="M1773" s="12">
        <v>46280</v>
      </c>
      <c r="N1773" s="5" t="str">
        <v/>
      </c>
      <c r="O1773" s="5">
        <v>98654</v>
      </c>
      <c r="P1773" s="5">
        <v>69</v>
      </c>
      <c r="Q1773" s="14">
        <v>46280</v>
      </c>
      <c r="R1773" s="15">
        <v>0</v>
      </c>
    </row>
    <row r="1774" spans="2:18" x14ac:dyDescent="0.35">
      <c r="B1774" s="9">
        <v>1506</v>
      </c>
      <c r="C1774" s="9" t="str">
        <v>출고재고</v>
      </c>
      <c r="D1774" s="9" t="str">
        <v/>
      </c>
      <c r="E1774" s="9" t="str">
        <v/>
      </c>
      <c r="F1774" s="9" t="str">
        <v/>
      </c>
      <c r="G1774" s="9" t="str">
        <v/>
      </c>
      <c r="H1774" s="9" t="str">
        <v>RA-05A-6004</v>
      </c>
      <c r="I1774" s="11" t="str">
        <v>RA-05A-6004]Bd ASSY'-Aux MCU</v>
      </c>
      <c r="J1774" s="9">
        <v>16</v>
      </c>
      <c r="K1774" s="9" t="str">
        <v/>
      </c>
      <c r="L1774" s="9" t="str">
        <v>A2-2</v>
      </c>
      <c r="M1774" s="12">
        <v>46293</v>
      </c>
      <c r="N1774" s="5" t="str">
        <v/>
      </c>
      <c r="O1774" s="5">
        <v>98657</v>
      </c>
      <c r="P1774" s="5">
        <v>10</v>
      </c>
      <c r="Q1774" s="14">
        <v>46295</v>
      </c>
      <c r="R1774" s="15">
        <v>6</v>
      </c>
    </row>
    <row r="1775" spans="2:18" x14ac:dyDescent="0.35">
      <c r="B1775" s="9">
        <v>1895</v>
      </c>
      <c r="C1775" s="9" t="str">
        <v>출고재고</v>
      </c>
      <c r="D1775" s="9" t="str">
        <v/>
      </c>
      <c r="E1775" s="9" t="str">
        <v>입고</v>
      </c>
      <c r="F1775" s="9" t="str">
        <v>Bach Tung</v>
      </c>
      <c r="G1775" s="9" t="str">
        <v>유영국</v>
      </c>
      <c r="H1775" s="9" t="str">
        <v>RA-05M-3359</v>
      </c>
      <c r="I1775" s="11" t="str">
        <v>RA-05M-3359]FRM ROT WEIGHT (ST)</v>
      </c>
      <c r="J1775" s="9">
        <v>20</v>
      </c>
      <c r="K1775" s="9" t="str">
        <v/>
      </c>
      <c r="L1775" s="9" t="str">
        <v>P</v>
      </c>
      <c r="M1775" s="12">
        <v>46293</v>
      </c>
      <c r="N1775" s="5" t="str">
        <v/>
      </c>
      <c r="O1775" s="5">
        <v>98657</v>
      </c>
      <c r="P1775" s="5">
        <v>20</v>
      </c>
      <c r="Q1775" s="14">
        <v>46295</v>
      </c>
      <c r="R1775" s="15">
        <v>0</v>
      </c>
    </row>
    <row r="1776" spans="2:18" x14ac:dyDescent="0.35">
      <c r="B1776" s="9">
        <v>2501</v>
      </c>
      <c r="C1776" s="9" t="str">
        <v>출고재고</v>
      </c>
      <c r="D1776" s="9" t="str">
        <v/>
      </c>
      <c r="E1776" s="9" t="str">
        <v/>
      </c>
      <c r="F1776" s="9" t="str">
        <v/>
      </c>
      <c r="G1776" s="9" t="str">
        <v/>
      </c>
      <c r="H1776" s="9" t="str">
        <v>RA-02A-2740</v>
      </c>
      <c r="I1776" s="11" t="str">
        <v>RA-02A-2740]ASM VERT TOTAL (A+) (VN)</v>
      </c>
      <c r="J1776" s="9">
        <v>25</v>
      </c>
      <c r="K1776" s="9" t="str">
        <v/>
      </c>
      <c r="L1776" s="9" t="str">
        <v>P</v>
      </c>
      <c r="M1776" s="12">
        <v>46302</v>
      </c>
      <c r="N1776" s="5" t="str">
        <v/>
      </c>
      <c r="O1776" s="5">
        <v>98657</v>
      </c>
      <c r="P1776" s="5">
        <v>10</v>
      </c>
      <c r="Q1776" s="14">
        <v>46302</v>
      </c>
      <c r="R1776" s="15">
        <v>15</v>
      </c>
    </row>
    <row r="1777" spans="2:18" x14ac:dyDescent="0.35">
      <c r="B1777" s="9">
        <v>1580</v>
      </c>
      <c r="C1777" s="9" t="str">
        <v>출고재고</v>
      </c>
      <c r="D1777" s="9" t="str">
        <v/>
      </c>
      <c r="E1777" s="9" t="str">
        <v/>
      </c>
      <c r="F1777" s="9" t="str">
        <v/>
      </c>
      <c r="G1777" s="9" t="str">
        <v/>
      </c>
      <c r="H1777" s="9" t="str">
        <v>RA-02V-3286</v>
      </c>
      <c r="I1777" s="11" t="str">
        <v>RA-02V-3286]BRK FIX Y-AXIS (ST)</v>
      </c>
      <c r="J1777" s="9">
        <v>187</v>
      </c>
      <c r="K1777" s="9" t="str">
        <v/>
      </c>
      <c r="L1777" s="9" t="str">
        <v>N2-3</v>
      </c>
      <c r="M1777" s="12">
        <v>46282</v>
      </c>
      <c r="N1777" s="5" t="str">
        <v/>
      </c>
      <c r="O1777" s="5">
        <v>98657</v>
      </c>
      <c r="P1777" s="5">
        <v>10</v>
      </c>
      <c r="Q1777" s="14">
        <v>46295</v>
      </c>
      <c r="R1777" s="15">
        <v>177</v>
      </c>
    </row>
    <row r="1778" spans="2:18" x14ac:dyDescent="0.35">
      <c r="B1778" s="9">
        <v>1693</v>
      </c>
      <c r="C1778" s="9" t="str">
        <v>출고재고</v>
      </c>
      <c r="D1778" s="9" t="str">
        <v/>
      </c>
      <c r="E1778" s="9" t="str">
        <v/>
      </c>
      <c r="F1778" s="9" t="str">
        <v/>
      </c>
      <c r="G1778" s="9" t="str">
        <v/>
      </c>
      <c r="H1778" s="9" t="str">
        <v>RA-05V-0513</v>
      </c>
      <c r="I1778" s="11" t="str">
        <v>RA-05V-0513]BRK LED PCB</v>
      </c>
      <c r="J1778" s="9">
        <v>205</v>
      </c>
      <c r="K1778" s="9" t="str">
        <v/>
      </c>
      <c r="L1778" s="9" t="str">
        <v>J4-2</v>
      </c>
      <c r="M1778" s="12">
        <v>46279</v>
      </c>
      <c r="N1778" s="5" t="str">
        <v/>
      </c>
      <c r="O1778" s="5">
        <v>98657</v>
      </c>
      <c r="P1778" s="5">
        <v>10</v>
      </c>
      <c r="Q1778" s="14">
        <v>46295</v>
      </c>
      <c r="R1778" s="15">
        <v>195</v>
      </c>
    </row>
    <row r="1779" spans="2:18" x14ac:dyDescent="0.35">
      <c r="B1779" s="9">
        <v>2361</v>
      </c>
      <c r="C1779" s="9" t="str">
        <v>출고재고</v>
      </c>
      <c r="D1779" s="9" t="str">
        <v/>
      </c>
      <c r="E1779" s="9" t="str">
        <v/>
      </c>
      <c r="F1779" s="9" t="str">
        <v/>
      </c>
      <c r="G1779" s="9" t="str">
        <v/>
      </c>
      <c r="H1779" s="9" t="str">
        <v>RA-05V-2559</v>
      </c>
      <c r="I1779" s="11" t="str">
        <v>RA-05V-2559]CVR SUB MCU</v>
      </c>
      <c r="J1779" s="9">
        <v>60</v>
      </c>
      <c r="K1779" s="9" t="str">
        <v/>
      </c>
      <c r="L1779" s="9" t="str">
        <v>K5-3</v>
      </c>
      <c r="M1779" s="12">
        <v>46302</v>
      </c>
      <c r="N1779" s="5" t="str">
        <v/>
      </c>
      <c r="O1779" s="5">
        <v>98659</v>
      </c>
      <c r="P1779" s="5">
        <v>10</v>
      </c>
      <c r="Q1779" s="14">
        <v>46296</v>
      </c>
      <c r="R1779" s="15">
        <v>50</v>
      </c>
    </row>
    <row r="1780" spans="2:18" x14ac:dyDescent="0.35">
      <c r="B1780" s="9">
        <v>1624</v>
      </c>
      <c r="C1780" s="9" t="str">
        <v>출고재고</v>
      </c>
      <c r="D1780" s="9" t="str">
        <v/>
      </c>
      <c r="E1780" s="9" t="str">
        <v/>
      </c>
      <c r="F1780" s="9" t="str">
        <v/>
      </c>
      <c r="G1780" s="9" t="str">
        <v/>
      </c>
      <c r="H1780" s="9" t="str">
        <v>RA-09V-3433</v>
      </c>
      <c r="I1780" s="11" t="str">
        <v>RA-09V-3433]PLT LIGHT PHNT (ST)</v>
      </c>
      <c r="J1780" s="9">
        <v>34</v>
      </c>
      <c r="K1780" s="9" t="str">
        <v/>
      </c>
      <c r="L1780" s="9" t="str">
        <v>L2-4</v>
      </c>
      <c r="M1780" s="12">
        <v>46282</v>
      </c>
      <c r="N1780" s="5" t="str">
        <v/>
      </c>
      <c r="O1780" s="5">
        <v>98659</v>
      </c>
      <c r="P1780" s="5">
        <v>10</v>
      </c>
      <c r="Q1780" s="14">
        <v>46296</v>
      </c>
      <c r="R1780" s="15">
        <v>24</v>
      </c>
    </row>
    <row r="1781" spans="2:18" x14ac:dyDescent="0.35">
      <c r="B1781" s="9">
        <v>2358</v>
      </c>
      <c r="C1781" s="9" t="str">
        <v>출고재고</v>
      </c>
      <c r="D1781" s="9" t="str">
        <v/>
      </c>
      <c r="E1781" s="9" t="str">
        <v/>
      </c>
      <c r="F1781" s="9" t="str">
        <v/>
      </c>
      <c r="G1781" s="9" t="str">
        <v/>
      </c>
      <c r="H1781" s="9" t="str">
        <v>RA-03A-0287</v>
      </c>
      <c r="I1781" s="11" t="str">
        <v>RA-03A-0287]ASM LEVER HORIZONTAL LASER</v>
      </c>
      <c r="J1781" s="9">
        <v>38</v>
      </c>
      <c r="K1781" s="9" t="str">
        <v/>
      </c>
      <c r="L1781" s="9" t="str">
        <v>B1-4</v>
      </c>
      <c r="M1781" s="12">
        <v>46302</v>
      </c>
      <c r="N1781" s="5" t="str">
        <v/>
      </c>
      <c r="O1781" s="5">
        <v>98659</v>
      </c>
      <c r="P1781" s="5">
        <v>10</v>
      </c>
      <c r="Q1781" s="14">
        <v>46296</v>
      </c>
      <c r="R1781" s="15">
        <v>28</v>
      </c>
    </row>
    <row r="1782" spans="2:18" x14ac:dyDescent="0.35">
      <c r="B1782" s="9">
        <v>2608</v>
      </c>
      <c r="C1782" s="9" t="str">
        <v>출고재고</v>
      </c>
      <c r="D1782" s="9" t="str">
        <v/>
      </c>
      <c r="E1782" s="9" t="str">
        <v/>
      </c>
      <c r="F1782" s="9" t="str">
        <v/>
      </c>
      <c r="G1782" s="9" t="str">
        <v/>
      </c>
      <c r="H1782" s="9" t="str">
        <v>RA-7-3</v>
      </c>
      <c r="I1782" s="11" t="str">
        <v>RA-7-3]LAN PC</v>
      </c>
      <c r="J1782" s="9">
        <v>81</v>
      </c>
      <c r="K1782" s="9" t="str">
        <v/>
      </c>
      <c r="L1782" s="9" t="str">
        <v>G4</v>
      </c>
      <c r="M1782" s="12">
        <v>46307</v>
      </c>
      <c r="N1782" s="5" t="str">
        <v/>
      </c>
      <c r="O1782" s="5">
        <v>98659</v>
      </c>
      <c r="P1782" s="5">
        <v>10</v>
      </c>
      <c r="Q1782" s="14">
        <v>46296</v>
      </c>
      <c r="R1782" s="15">
        <v>71</v>
      </c>
    </row>
    <row r="1783" spans="2:18" x14ac:dyDescent="0.35">
      <c r="B1783" s="9">
        <v>2357</v>
      </c>
      <c r="C1783" s="9" t="str">
        <v>출고재고</v>
      </c>
      <c r="D1783" s="9" t="str">
        <v/>
      </c>
      <c r="E1783" s="9" t="str">
        <v/>
      </c>
      <c r="F1783" s="9" t="str">
        <v/>
      </c>
      <c r="G1783" s="9" t="str">
        <v/>
      </c>
      <c r="H1783" s="9" t="str">
        <v>RA-04T-0144</v>
      </c>
      <c r="I1783" s="11" t="str">
        <v>RA-04T-0144]CAS CHINREST BOT</v>
      </c>
      <c r="J1783" s="9">
        <v>216</v>
      </c>
      <c r="K1783" s="9" t="str">
        <v/>
      </c>
      <c r="L1783" s="9" t="str">
        <v>S</v>
      </c>
      <c r="M1783" s="12">
        <v>46302</v>
      </c>
      <c r="N1783" s="5" t="str">
        <v/>
      </c>
      <c r="O1783" s="5">
        <v>98659</v>
      </c>
      <c r="P1783" s="5">
        <v>10</v>
      </c>
      <c r="Q1783" s="14">
        <v>46296</v>
      </c>
      <c r="R1783" s="15">
        <v>206</v>
      </c>
    </row>
    <row r="1784" spans="2:18" x14ac:dyDescent="0.35">
      <c r="B1784" s="9">
        <v>2362</v>
      </c>
      <c r="C1784" s="9" t="str">
        <v>출고재고</v>
      </c>
      <c r="D1784" s="9" t="str">
        <v/>
      </c>
      <c r="E1784" s="9" t="str">
        <v/>
      </c>
      <c r="F1784" s="9" t="str">
        <v/>
      </c>
      <c r="G1784" s="9" t="str">
        <v/>
      </c>
      <c r="H1784" s="9" t="str">
        <v>RA-05T-0207</v>
      </c>
      <c r="I1784" s="11" t="str">
        <v>RA-05T-0207]CAS ROT BOT DECO</v>
      </c>
      <c r="J1784" s="9">
        <v>368</v>
      </c>
      <c r="K1784" s="9" t="str">
        <v/>
      </c>
      <c r="L1784" s="9" t="str">
        <v>R</v>
      </c>
      <c r="M1784" s="12">
        <v>46302</v>
      </c>
      <c r="N1784" s="5" t="str">
        <v/>
      </c>
      <c r="O1784" s="5">
        <v>98659</v>
      </c>
      <c r="P1784" s="5">
        <v>10</v>
      </c>
      <c r="Q1784" s="14">
        <v>46296</v>
      </c>
      <c r="R1784" s="15">
        <v>358</v>
      </c>
    </row>
    <row r="1785" spans="2:18" x14ac:dyDescent="0.35">
      <c r="B1785" s="9">
        <v>2356</v>
      </c>
      <c r="C1785" s="9" t="str">
        <v>출고재고</v>
      </c>
      <c r="D1785" s="9" t="str">
        <v/>
      </c>
      <c r="E1785" s="9" t="str">
        <v/>
      </c>
      <c r="F1785" s="9" t="str">
        <v/>
      </c>
      <c r="G1785" s="9" t="str">
        <v/>
      </c>
      <c r="H1785" s="9" t="str">
        <v>RA-05V-0186</v>
      </c>
      <c r="I1785" s="11" t="str">
        <v>RA-05V-0186]BRK CAS ROT TOP</v>
      </c>
      <c r="J1785" s="9">
        <v>24</v>
      </c>
      <c r="K1785" s="9" t="str">
        <v/>
      </c>
      <c r="L1785" s="9" t="str">
        <v>W</v>
      </c>
      <c r="M1785" s="12">
        <v>46302</v>
      </c>
      <c r="N1785" s="5" t="str">
        <v/>
      </c>
      <c r="O1785" s="5">
        <v>98659</v>
      </c>
      <c r="P1785" s="5">
        <v>24</v>
      </c>
      <c r="Q1785" s="14">
        <v>46296</v>
      </c>
      <c r="R1785" s="15">
        <v>0</v>
      </c>
    </row>
    <row r="1786" spans="2:18" x14ac:dyDescent="0.35">
      <c r="B1786" s="9">
        <v>2643</v>
      </c>
      <c r="C1786" s="9" t="str">
        <v>출고재고</v>
      </c>
      <c r="D1786" s="9" t="str">
        <v/>
      </c>
      <c r="E1786" s="9" t="str">
        <v>기초추가</v>
      </c>
      <c r="F1786" s="9" t="str">
        <v/>
      </c>
      <c r="G1786" s="9" t="str">
        <v/>
      </c>
      <c r="H1786" s="9" t="str">
        <v>RA-05V-0186</v>
      </c>
      <c r="I1786" s="11" t="str">
        <v>RA-05V-0186]BRK CAS ROT TOP</v>
      </c>
      <c r="J1786" s="9">
        <v>6</v>
      </c>
      <c r="K1786" s="9" t="str">
        <v/>
      </c>
      <c r="L1786" s="9" t="str">
        <v>W</v>
      </c>
      <c r="M1786" s="12">
        <v>46296</v>
      </c>
      <c r="N1786" s="5" t="str">
        <v/>
      </c>
      <c r="O1786" s="5">
        <v>98659</v>
      </c>
      <c r="P1786" s="5">
        <v>6</v>
      </c>
      <c r="Q1786" s="14">
        <v>46296</v>
      </c>
      <c r="R1786" s="15">
        <v>0</v>
      </c>
    </row>
    <row r="1787" spans="2:18" x14ac:dyDescent="0.35">
      <c r="B1787" s="9">
        <v>1461</v>
      </c>
      <c r="C1787" s="9" t="str">
        <v>출고재고</v>
      </c>
      <c r="D1787" s="9" t="str">
        <v/>
      </c>
      <c r="E1787" s="9" t="str">
        <v/>
      </c>
      <c r="F1787" s="9" t="str">
        <v/>
      </c>
      <c r="G1787" s="9" t="str">
        <v/>
      </c>
      <c r="H1787" s="9" t="str">
        <v>RA-03V-1909</v>
      </c>
      <c r="I1787" s="11" t="str">
        <v>RA-03V-1909]BRK PUSH HUB</v>
      </c>
      <c r="J1787" s="9">
        <v>59</v>
      </c>
      <c r="K1787" s="9" t="str">
        <v/>
      </c>
      <c r="L1787" s="9" t="str">
        <v>B1-3</v>
      </c>
      <c r="M1787" s="12">
        <v>46283</v>
      </c>
      <c r="N1787" s="5" t="str">
        <v/>
      </c>
      <c r="O1787" s="5">
        <v>98662</v>
      </c>
      <c r="P1787" s="5">
        <v>14</v>
      </c>
      <c r="Q1787" s="14">
        <v>46279</v>
      </c>
      <c r="R1787" s="15">
        <v>45</v>
      </c>
    </row>
    <row r="1788" spans="2:18" x14ac:dyDescent="0.35">
      <c r="B1788" s="9">
        <v>1466</v>
      </c>
      <c r="C1788" s="9" t="str">
        <v>출고재고</v>
      </c>
      <c r="D1788" s="9" t="str">
        <v/>
      </c>
      <c r="E1788" s="9" t="str">
        <v/>
      </c>
      <c r="F1788" s="9" t="str">
        <v/>
      </c>
      <c r="G1788" s="9" t="str">
        <v/>
      </c>
      <c r="H1788" s="9" t="str">
        <v>RA-03S-5176</v>
      </c>
      <c r="I1788" s="11" t="str">
        <v>RA-03S-5176]NOISE FILTER RSHN2016</v>
      </c>
      <c r="J1788" s="9">
        <v>129</v>
      </c>
      <c r="K1788" s="9" t="str">
        <v/>
      </c>
      <c r="L1788" s="9" t="str">
        <v>A12-4</v>
      </c>
      <c r="M1788" s="12">
        <v>46283</v>
      </c>
      <c r="N1788" s="5" t="str">
        <v/>
      </c>
      <c r="O1788" s="5">
        <v>98662</v>
      </c>
      <c r="P1788" s="5">
        <v>14</v>
      </c>
      <c r="Q1788" s="14">
        <v>46279</v>
      </c>
      <c r="R1788" s="15">
        <v>115</v>
      </c>
    </row>
    <row r="1789" spans="2:18" x14ac:dyDescent="0.35">
      <c r="B1789" s="9">
        <v>1474</v>
      </c>
      <c r="C1789" s="9" t="str">
        <v>출고재고</v>
      </c>
      <c r="D1789" s="9" t="str">
        <v/>
      </c>
      <c r="E1789" s="9" t="str">
        <v/>
      </c>
      <c r="F1789" s="9" t="str">
        <v/>
      </c>
      <c r="G1789" s="9" t="str">
        <v/>
      </c>
      <c r="H1789" s="9" t="str">
        <v>RA-03A-6016A</v>
      </c>
      <c r="I1789" s="11" t="str">
        <v>RA-03A-6016A]BD ASSY'-AC FUSE BLK</v>
      </c>
      <c r="J1789" s="9">
        <v>270</v>
      </c>
      <c r="K1789" s="9" t="str">
        <v/>
      </c>
      <c r="L1789" s="9" t="str">
        <v>A3-1</v>
      </c>
      <c r="M1789" s="12">
        <v>46283</v>
      </c>
      <c r="N1789" s="5" t="str">
        <v/>
      </c>
      <c r="O1789" s="5">
        <v>98662</v>
      </c>
      <c r="P1789" s="5">
        <v>14</v>
      </c>
      <c r="Q1789" s="14">
        <v>46279</v>
      </c>
      <c r="R1789" s="15">
        <v>256</v>
      </c>
    </row>
    <row r="1790" spans="2:18" x14ac:dyDescent="0.35">
      <c r="B1790" s="9">
        <v>964</v>
      </c>
      <c r="C1790" s="9" t="str">
        <v>출고재고</v>
      </c>
      <c r="D1790" s="9" t="str">
        <v/>
      </c>
      <c r="E1790" s="9" t="str">
        <v>기초</v>
      </c>
      <c r="F1790" s="9" t="str">
        <v/>
      </c>
      <c r="G1790" s="9" t="str">
        <v/>
      </c>
      <c r="H1790" s="9" t="str">
        <v>RA-09V-3433</v>
      </c>
      <c r="I1790" s="11" t="str">
        <v>RA-09V-3433]PLT LIGHT PHNT (ST)</v>
      </c>
      <c r="J1790" s="9">
        <v>56</v>
      </c>
      <c r="K1790" s="9" t="str">
        <v/>
      </c>
      <c r="L1790" s="9" t="str">
        <v>L2-4</v>
      </c>
      <c r="M1790" s="12">
        <v>46276</v>
      </c>
      <c r="N1790" s="5" t="str">
        <v/>
      </c>
      <c r="O1790" s="5">
        <v>98668</v>
      </c>
      <c r="P1790" s="5">
        <v>2</v>
      </c>
      <c r="Q1790" s="14">
        <v>46280</v>
      </c>
      <c r="R1790" s="15">
        <v>54</v>
      </c>
    </row>
    <row r="1791" spans="2:18" x14ac:dyDescent="0.35">
      <c r="B1791" s="9">
        <v>824</v>
      </c>
      <c r="C1791" s="9" t="str">
        <v>출고재고</v>
      </c>
      <c r="D1791" s="9" t="str">
        <v/>
      </c>
      <c r="E1791" s="9" t="str">
        <v/>
      </c>
      <c r="F1791" s="9" t="str">
        <v/>
      </c>
      <c r="G1791" s="9" t="str">
        <v/>
      </c>
      <c r="H1791" s="9" t="str">
        <v>RA-04A-0899</v>
      </c>
      <c r="I1791" s="11" t="str">
        <v>RA-04A-0899]ASM LCD M101NWT2 R1</v>
      </c>
      <c r="J1791" s="9">
        <v>3</v>
      </c>
      <c r="K1791" s="9" t="str">
        <v/>
      </c>
      <c r="L1791" s="9" t="str">
        <v>A16</v>
      </c>
      <c r="M1791" s="12">
        <v>46274</v>
      </c>
      <c r="N1791" s="5" t="str">
        <v/>
      </c>
      <c r="O1791" s="5">
        <v>98669</v>
      </c>
      <c r="P1791" s="5">
        <v>3</v>
      </c>
      <c r="Q1791" s="14">
        <v>46294</v>
      </c>
      <c r="R1791" s="15">
        <v>0</v>
      </c>
    </row>
    <row r="1792" spans="2:18" x14ac:dyDescent="0.35">
      <c r="B1792" s="9">
        <v>1797</v>
      </c>
      <c r="C1792" s="9" t="str">
        <v>출고재고</v>
      </c>
      <c r="D1792" s="9" t="str">
        <v/>
      </c>
      <c r="E1792" s="9" t="str">
        <v>입고</v>
      </c>
      <c r="F1792" s="9" t="str">
        <v>큐브케어</v>
      </c>
      <c r="G1792" s="9" t="str">
        <v>유영국</v>
      </c>
      <c r="H1792" s="9" t="str">
        <v>RA-04A-0899</v>
      </c>
      <c r="I1792" s="11" t="str">
        <v>RA-04A-0899]ASM LCD M101NWT2 R1</v>
      </c>
      <c r="J1792" s="9">
        <v>5</v>
      </c>
      <c r="K1792" s="9" t="str">
        <v/>
      </c>
      <c r="L1792" s="9" t="str">
        <v>A16</v>
      </c>
      <c r="M1792" s="12">
        <v>46275</v>
      </c>
      <c r="N1792" s="5" t="str">
        <v/>
      </c>
      <c r="O1792" s="5">
        <v>98669</v>
      </c>
      <c r="P1792" s="5">
        <v>5</v>
      </c>
      <c r="Q1792" s="14">
        <v>46294</v>
      </c>
      <c r="R1792" s="15">
        <v>0</v>
      </c>
    </row>
    <row r="1793" spans="2:18" x14ac:dyDescent="0.35">
      <c r="B1793" s="9">
        <v>1457</v>
      </c>
      <c r="C1793" s="9" t="str">
        <v>출고재고</v>
      </c>
      <c r="D1793" s="9" t="str">
        <v/>
      </c>
      <c r="E1793" s="9" t="str">
        <v/>
      </c>
      <c r="F1793" s="9" t="str">
        <v/>
      </c>
      <c r="G1793" s="9" t="str">
        <v/>
      </c>
      <c r="H1793" s="9" t="str">
        <v>RA-03S-6045</v>
      </c>
      <c r="I1793" s="11" t="str">
        <v>RA-03S-6045]SMPS-RPS-200-24V</v>
      </c>
      <c r="J1793" s="9">
        <v>9</v>
      </c>
      <c r="K1793" s="9" t="str">
        <v/>
      </c>
      <c r="L1793" s="9" t="str">
        <v>A12-4</v>
      </c>
      <c r="M1793" s="12">
        <v>46283</v>
      </c>
      <c r="N1793" s="5" t="str">
        <v/>
      </c>
      <c r="O1793" s="5">
        <v>98669</v>
      </c>
      <c r="P1793" s="5">
        <v>9</v>
      </c>
      <c r="Q1793" s="14">
        <v>46294</v>
      </c>
      <c r="R1793" s="15">
        <v>0</v>
      </c>
    </row>
    <row r="1794" spans="2:18" x14ac:dyDescent="0.35">
      <c r="B1794" s="9">
        <v>1458</v>
      </c>
      <c r="C1794" s="9" t="str">
        <v>출고재고</v>
      </c>
      <c r="D1794" s="9" t="str">
        <v/>
      </c>
      <c r="E1794" s="9" t="str">
        <v/>
      </c>
      <c r="F1794" s="9" t="str">
        <v/>
      </c>
      <c r="G1794" s="9" t="str">
        <v/>
      </c>
      <c r="H1794" s="9" t="str">
        <v>RA-03A-6012</v>
      </c>
      <c r="I1794" s="11" t="str">
        <v>RA-03A-6012]Bd ASSY'-ACT Bd(A/A+)</v>
      </c>
      <c r="J1794" s="9">
        <v>10</v>
      </c>
      <c r="K1794" s="9" t="str">
        <v/>
      </c>
      <c r="L1794" s="9" t="str">
        <v>A7-3</v>
      </c>
      <c r="M1794" s="12">
        <v>46283</v>
      </c>
      <c r="N1794" s="5" t="str">
        <v/>
      </c>
      <c r="O1794" s="5">
        <v>98669</v>
      </c>
      <c r="P1794" s="5">
        <v>10</v>
      </c>
      <c r="Q1794" s="14">
        <v>46294</v>
      </c>
      <c r="R1794" s="15">
        <v>0</v>
      </c>
    </row>
    <row r="1795" spans="2:18" x14ac:dyDescent="0.35">
      <c r="B1795" s="9">
        <v>828</v>
      </c>
      <c r="C1795" s="9" t="str">
        <v>출고재고</v>
      </c>
      <c r="D1795" s="9" t="str">
        <v/>
      </c>
      <c r="E1795" s="9" t="str">
        <v/>
      </c>
      <c r="F1795" s="9" t="str">
        <v/>
      </c>
      <c r="G1795" s="9" t="str">
        <v/>
      </c>
      <c r="H1795" s="9" t="str">
        <v>RA-03V-2066</v>
      </c>
      <c r="I1795" s="11" t="str">
        <v>RA-03V-2066]BRK CLMN REAR CAS UPPER (A+)</v>
      </c>
      <c r="J1795" s="9">
        <v>22</v>
      </c>
      <c r="K1795" s="9" t="str">
        <v/>
      </c>
      <c r="L1795" s="9" t="str">
        <v>B1-3</v>
      </c>
      <c r="M1795" s="12">
        <v>46274</v>
      </c>
      <c r="N1795" s="5" t="str">
        <v/>
      </c>
      <c r="O1795" s="5">
        <v>98669</v>
      </c>
      <c r="P1795" s="5">
        <v>12</v>
      </c>
      <c r="Q1795" s="14">
        <v>46294</v>
      </c>
      <c r="R1795" s="15">
        <v>10</v>
      </c>
    </row>
    <row r="1796" spans="2:18" x14ac:dyDescent="0.35">
      <c r="B1796" s="9">
        <v>1459</v>
      </c>
      <c r="C1796" s="9" t="str">
        <v>출고재고</v>
      </c>
      <c r="D1796" s="9" t="str">
        <v/>
      </c>
      <c r="E1796" s="9" t="str">
        <v/>
      </c>
      <c r="F1796" s="9" t="str">
        <v/>
      </c>
      <c r="G1796" s="9" t="str">
        <v/>
      </c>
      <c r="H1796" s="9" t="str">
        <v>RA-04A-1926</v>
      </c>
      <c r="I1796" s="11" t="str">
        <v>RA-04A-1926]ASM CHINREST SUB</v>
      </c>
      <c r="J1796" s="9">
        <v>45</v>
      </c>
      <c r="K1796" s="9" t="str">
        <v/>
      </c>
      <c r="L1796" s="9" t="str">
        <v>O2</v>
      </c>
      <c r="M1796" s="12">
        <v>46283</v>
      </c>
      <c r="N1796" s="5" t="str">
        <v/>
      </c>
      <c r="O1796" s="5">
        <v>98669</v>
      </c>
      <c r="P1796" s="5">
        <v>30</v>
      </c>
      <c r="Q1796" s="14">
        <v>46294</v>
      </c>
      <c r="R1796" s="15">
        <v>15</v>
      </c>
    </row>
    <row r="1797" spans="2:18" x14ac:dyDescent="0.35">
      <c r="B1797" s="9">
        <v>1696</v>
      </c>
      <c r="C1797" s="9" t="str">
        <v>출고재고</v>
      </c>
      <c r="D1797" s="9" t="str">
        <v/>
      </c>
      <c r="E1797" s="9" t="str">
        <v/>
      </c>
      <c r="F1797" s="9" t="str">
        <v/>
      </c>
      <c r="G1797" s="9" t="str">
        <v/>
      </c>
      <c r="H1797" s="9" t="str">
        <v>RA-03V-1909</v>
      </c>
      <c r="I1797" s="11" t="str">
        <v>RA-03V-1909]BRK PUSH HUB</v>
      </c>
      <c r="J1797" s="9">
        <v>45</v>
      </c>
      <c r="K1797" s="9" t="str">
        <v/>
      </c>
      <c r="L1797" s="9" t="str">
        <v>B1-3</v>
      </c>
      <c r="M1797" s="12">
        <v>46279</v>
      </c>
      <c r="N1797" s="5" t="str">
        <v/>
      </c>
      <c r="O1797" s="5">
        <v>98669</v>
      </c>
      <c r="P1797" s="5">
        <v>5</v>
      </c>
      <c r="Q1797" s="14">
        <v>46294</v>
      </c>
      <c r="R1797" s="15">
        <v>40</v>
      </c>
    </row>
    <row r="1798" spans="2:18" x14ac:dyDescent="0.35">
      <c r="B1798" s="9">
        <v>1460</v>
      </c>
      <c r="C1798" s="9" t="str">
        <v>출고재고</v>
      </c>
      <c r="D1798" s="9" t="str">
        <v/>
      </c>
      <c r="E1798" s="9" t="str">
        <v/>
      </c>
      <c r="F1798" s="9" t="str">
        <v/>
      </c>
      <c r="G1798" s="9" t="str">
        <v/>
      </c>
      <c r="H1798" s="9" t="str">
        <v>RA-04V-1708</v>
      </c>
      <c r="I1798" s="11" t="str">
        <v>RA-04V-1708]CVR THU Bd</v>
      </c>
      <c r="J1798" s="9">
        <v>48</v>
      </c>
      <c r="K1798" s="9" t="str">
        <v/>
      </c>
      <c r="L1798" s="9" t="str">
        <v>B3-3</v>
      </c>
      <c r="M1798" s="12">
        <v>46283</v>
      </c>
      <c r="N1798" s="5" t="str">
        <v/>
      </c>
      <c r="O1798" s="5">
        <v>98669</v>
      </c>
      <c r="P1798" s="5">
        <v>30</v>
      </c>
      <c r="Q1798" s="14">
        <v>46294</v>
      </c>
      <c r="R1798" s="15">
        <v>18</v>
      </c>
    </row>
    <row r="1799" spans="2:18" x14ac:dyDescent="0.35">
      <c r="B1799" s="9">
        <v>2514</v>
      </c>
      <c r="C1799" s="9" t="str">
        <v>출고재고</v>
      </c>
      <c r="D1799" s="9" t="str">
        <v/>
      </c>
      <c r="E1799" s="9" t="str">
        <v/>
      </c>
      <c r="F1799" s="9" t="str">
        <v/>
      </c>
      <c r="G1799" s="9" t="str">
        <v/>
      </c>
      <c r="H1799" s="9" t="str">
        <v>RA-04A-6035</v>
      </c>
      <c r="I1799" s="11" t="str">
        <v>RA-04A-6035_4]Bd ASSY'-THU Bd</v>
      </c>
      <c r="J1799" s="9">
        <v>65</v>
      </c>
      <c r="K1799" s="9" t="str">
        <v/>
      </c>
      <c r="L1799" s="9" t="str">
        <v>A1-1</v>
      </c>
      <c r="M1799" s="12">
        <v>46296</v>
      </c>
      <c r="N1799" s="5" t="str">
        <v/>
      </c>
      <c r="O1799" s="5">
        <v>98669</v>
      </c>
      <c r="P1799" s="5">
        <v>30</v>
      </c>
      <c r="Q1799" s="14">
        <v>46296</v>
      </c>
      <c r="R1799" s="15">
        <v>35</v>
      </c>
    </row>
    <row r="1800" spans="2:18" x14ac:dyDescent="0.35">
      <c r="B1800" s="9">
        <v>1456</v>
      </c>
      <c r="C1800" s="9" t="str">
        <v>출고재고</v>
      </c>
      <c r="D1800" s="9" t="str">
        <v/>
      </c>
      <c r="E1800" s="9" t="str">
        <v/>
      </c>
      <c r="F1800" s="9" t="str">
        <v/>
      </c>
      <c r="G1800" s="9" t="str">
        <v/>
      </c>
      <c r="H1800" s="9" t="str">
        <v>RA-03V-1639</v>
      </c>
      <c r="I1800" s="11" t="str">
        <v>RA-03V-1639]PLT ELECT COMPONENT (VA)</v>
      </c>
      <c r="J1800" s="9">
        <v>78</v>
      </c>
      <c r="K1800" s="9" t="str">
        <v/>
      </c>
      <c r="L1800" s="9" t="str">
        <v>M2</v>
      </c>
      <c r="M1800" s="12">
        <v>46283</v>
      </c>
      <c r="N1800" s="5" t="str">
        <v/>
      </c>
      <c r="O1800" s="5">
        <v>98669</v>
      </c>
      <c r="P1800" s="5">
        <v>30</v>
      </c>
      <c r="Q1800" s="14">
        <v>46294</v>
      </c>
      <c r="R1800" s="15">
        <v>48</v>
      </c>
    </row>
    <row r="1801" spans="2:18" x14ac:dyDescent="0.35">
      <c r="B1801" s="9">
        <v>1656</v>
      </c>
      <c r="C1801" s="9" t="str">
        <v>출고재고</v>
      </c>
      <c r="D1801" s="9" t="str">
        <v/>
      </c>
      <c r="E1801" s="9" t="str">
        <v/>
      </c>
      <c r="F1801" s="9" t="str">
        <v/>
      </c>
      <c r="G1801" s="9" t="str">
        <v/>
      </c>
      <c r="H1801" s="9" t="str">
        <v>RA-5-1</v>
      </c>
      <c r="I1801" s="11" t="str">
        <v>RA-5-1]EARTH NF</v>
      </c>
      <c r="J1801" s="9">
        <v>80</v>
      </c>
      <c r="K1801" s="9" t="str">
        <v/>
      </c>
      <c r="L1801" s="9" t="str">
        <v>G3-2</v>
      </c>
      <c r="M1801" s="12">
        <v>46280</v>
      </c>
      <c r="N1801" s="5" t="str">
        <v/>
      </c>
      <c r="O1801" s="5">
        <v>98669</v>
      </c>
      <c r="P1801" s="5">
        <v>30</v>
      </c>
      <c r="Q1801" s="14">
        <v>46294</v>
      </c>
      <c r="R1801" s="15">
        <v>50</v>
      </c>
    </row>
    <row r="1802" spans="2:18" x14ac:dyDescent="0.35">
      <c r="B1802" s="9">
        <v>1799</v>
      </c>
      <c r="C1802" s="9" t="str">
        <v>출고재고</v>
      </c>
      <c r="D1802" s="9" t="str">
        <v/>
      </c>
      <c r="E1802" s="9" t="str">
        <v>입고</v>
      </c>
      <c r="F1802" s="9" t="str">
        <v>제이에스티</v>
      </c>
      <c r="G1802" s="9" t="str">
        <v>유영국</v>
      </c>
      <c r="H1802" s="9" t="str">
        <v>RA-03S-6045</v>
      </c>
      <c r="I1802" s="11" t="str">
        <v>RA-03S-6045]SMPS-RPS-200-24V</v>
      </c>
      <c r="J1802" s="9">
        <v>100</v>
      </c>
      <c r="K1802" s="9" t="str">
        <v/>
      </c>
      <c r="L1802" s="9" t="str">
        <v>A12-4</v>
      </c>
      <c r="M1802" s="12">
        <v>46274</v>
      </c>
      <c r="N1802" s="5" t="str">
        <v/>
      </c>
      <c r="O1802" s="5">
        <v>98669</v>
      </c>
      <c r="P1802" s="5">
        <v>21</v>
      </c>
      <c r="Q1802" s="14">
        <v>46294</v>
      </c>
      <c r="R1802" s="15">
        <v>79</v>
      </c>
    </row>
    <row r="1803" spans="2:18" x14ac:dyDescent="0.35">
      <c r="B1803" s="9">
        <v>1462</v>
      </c>
      <c r="C1803" s="9" t="str">
        <v>출고재고</v>
      </c>
      <c r="D1803" s="9" t="str">
        <v/>
      </c>
      <c r="E1803" s="9" t="str">
        <v/>
      </c>
      <c r="F1803" s="9" t="str">
        <v/>
      </c>
      <c r="G1803" s="9" t="str">
        <v/>
      </c>
      <c r="H1803" s="9" t="str">
        <v>RA-04V-0117</v>
      </c>
      <c r="I1803" s="11" t="str">
        <v>RA-04V-0117] ARM MONITOR</v>
      </c>
      <c r="J1803" s="9">
        <v>102</v>
      </c>
      <c r="K1803" s="9" t="str">
        <v/>
      </c>
      <c r="L1803" s="9" t="str">
        <v>H1</v>
      </c>
      <c r="M1803" s="12">
        <v>46283</v>
      </c>
      <c r="N1803" s="5" t="str">
        <v/>
      </c>
      <c r="O1803" s="5">
        <v>98669</v>
      </c>
      <c r="P1803" s="5">
        <v>30</v>
      </c>
      <c r="Q1803" s="14">
        <v>46294</v>
      </c>
      <c r="R1803" s="15">
        <v>72</v>
      </c>
    </row>
    <row r="1804" spans="2:18" x14ac:dyDescent="0.35">
      <c r="B1804" s="9">
        <v>1697</v>
      </c>
      <c r="C1804" s="9" t="str">
        <v>출고재고</v>
      </c>
      <c r="D1804" s="9" t="str">
        <v/>
      </c>
      <c r="E1804" s="9" t="str">
        <v/>
      </c>
      <c r="F1804" s="9" t="str">
        <v/>
      </c>
      <c r="G1804" s="9" t="str">
        <v/>
      </c>
      <c r="H1804" s="9" t="str">
        <v>RA-03S-5176</v>
      </c>
      <c r="I1804" s="11" t="str">
        <v>RA-03S-5176]NOISE FILTER RSHN2016</v>
      </c>
      <c r="J1804" s="9">
        <v>115</v>
      </c>
      <c r="K1804" s="9" t="str">
        <v/>
      </c>
      <c r="L1804" s="9" t="str">
        <v>A12-4</v>
      </c>
      <c r="M1804" s="12">
        <v>46279</v>
      </c>
      <c r="N1804" s="5" t="str">
        <v/>
      </c>
      <c r="O1804" s="5">
        <v>98669</v>
      </c>
      <c r="P1804" s="5">
        <v>30</v>
      </c>
      <c r="Q1804" s="14">
        <v>46294</v>
      </c>
      <c r="R1804" s="15">
        <v>85</v>
      </c>
    </row>
    <row r="1805" spans="2:18" x14ac:dyDescent="0.35">
      <c r="B1805" s="9">
        <v>1463</v>
      </c>
      <c r="C1805" s="9" t="str">
        <v>출고재고</v>
      </c>
      <c r="D1805" s="9" t="str">
        <v/>
      </c>
      <c r="E1805" s="9" t="str">
        <v/>
      </c>
      <c r="F1805" s="9" t="str">
        <v/>
      </c>
      <c r="G1805" s="9" t="str">
        <v/>
      </c>
      <c r="H1805" s="9" t="str">
        <v>RA-03S-5013</v>
      </c>
      <c r="I1805" s="11" t="str">
        <v>RA-03S-5013]Mgnet CONTECTOR-LP1K0910BD</v>
      </c>
      <c r="J1805" s="9">
        <v>117</v>
      </c>
      <c r="K1805" s="9" t="str">
        <v/>
      </c>
      <c r="L1805" s="9" t="str">
        <v>A13-4</v>
      </c>
      <c r="M1805" s="12">
        <v>46283</v>
      </c>
      <c r="N1805" s="5" t="str">
        <v/>
      </c>
      <c r="O1805" s="5">
        <v>98669</v>
      </c>
      <c r="P1805" s="5">
        <v>30</v>
      </c>
      <c r="Q1805" s="14">
        <v>46294</v>
      </c>
      <c r="R1805" s="15">
        <v>87</v>
      </c>
    </row>
    <row r="1806" spans="2:18" x14ac:dyDescent="0.35">
      <c r="B1806" s="9">
        <v>1464</v>
      </c>
      <c r="C1806" s="9" t="str">
        <v>출고재고</v>
      </c>
      <c r="D1806" s="9" t="str">
        <v/>
      </c>
      <c r="E1806" s="9" t="str">
        <v/>
      </c>
      <c r="F1806" s="9" t="str">
        <v/>
      </c>
      <c r="G1806" s="9" t="str">
        <v/>
      </c>
      <c r="H1806" s="9" t="str">
        <v>RA-04S-5174</v>
      </c>
      <c r="I1806" s="11" t="str">
        <v>RA-04S-5174]THU Cable Ass'y</v>
      </c>
      <c r="J1806" s="9">
        <v>119</v>
      </c>
      <c r="K1806" s="9" t="str">
        <v/>
      </c>
      <c r="L1806" s="9" t="str">
        <v>B2-2</v>
      </c>
      <c r="M1806" s="12">
        <v>46283</v>
      </c>
      <c r="N1806" s="5" t="str">
        <v/>
      </c>
      <c r="O1806" s="5">
        <v>98669</v>
      </c>
      <c r="P1806" s="5">
        <v>30</v>
      </c>
      <c r="Q1806" s="14">
        <v>46294</v>
      </c>
      <c r="R1806" s="15">
        <v>89</v>
      </c>
    </row>
    <row r="1807" spans="2:18" x14ac:dyDescent="0.35">
      <c r="B1807" s="9">
        <v>1465</v>
      </c>
      <c r="C1807" s="9" t="str">
        <v>출고재고</v>
      </c>
      <c r="D1807" s="9" t="str">
        <v/>
      </c>
      <c r="E1807" s="9" t="str">
        <v/>
      </c>
      <c r="F1807" s="9" t="str">
        <v/>
      </c>
      <c r="G1807" s="9" t="str">
        <v/>
      </c>
      <c r="H1807" s="9" t="str">
        <v>RA-04V-1709</v>
      </c>
      <c r="I1807" s="11" t="str">
        <v>RA-04V-1709]BRK THU Bd</v>
      </c>
      <c r="J1807" s="9">
        <v>125</v>
      </c>
      <c r="K1807" s="9" t="str">
        <v/>
      </c>
      <c r="L1807" s="9" t="str">
        <v>B3-1</v>
      </c>
      <c r="M1807" s="12">
        <v>46283</v>
      </c>
      <c r="N1807" s="5" t="str">
        <v/>
      </c>
      <c r="O1807" s="5">
        <v>98669</v>
      </c>
      <c r="P1807" s="5">
        <v>30</v>
      </c>
      <c r="Q1807" s="14">
        <v>46294</v>
      </c>
      <c r="R1807" s="15">
        <v>95</v>
      </c>
    </row>
    <row r="1808" spans="2:18" x14ac:dyDescent="0.35">
      <c r="B1808" s="9">
        <v>1455</v>
      </c>
      <c r="C1808" s="9" t="str">
        <v>출고재고</v>
      </c>
      <c r="D1808" s="9" t="str">
        <v/>
      </c>
      <c r="E1808" s="9" t="str">
        <v/>
      </c>
      <c r="F1808" s="9" t="str">
        <v/>
      </c>
      <c r="G1808" s="9" t="str">
        <v/>
      </c>
      <c r="H1808" s="9" t="str">
        <v>RA-04A-2748</v>
      </c>
      <c r="I1808" s="11" t="str">
        <v>RA-04A-2748]ASM ARM SUB (A+) (VN)</v>
      </c>
      <c r="J1808" s="9">
        <v>140</v>
      </c>
      <c r="K1808" s="9" t="str">
        <v/>
      </c>
      <c r="L1808" s="9" t="str">
        <v>T</v>
      </c>
      <c r="M1808" s="12">
        <v>46283</v>
      </c>
      <c r="N1808" s="5" t="str">
        <v/>
      </c>
      <c r="O1808" s="5">
        <v>98669</v>
      </c>
      <c r="P1808" s="5">
        <v>30</v>
      </c>
      <c r="Q1808" s="14">
        <v>46294</v>
      </c>
      <c r="R1808" s="15">
        <v>110</v>
      </c>
    </row>
    <row r="1809" spans="2:18" x14ac:dyDescent="0.35">
      <c r="B1809" s="9">
        <v>1467</v>
      </c>
      <c r="C1809" s="9" t="str">
        <v>출고재고</v>
      </c>
      <c r="D1809" s="9" t="str">
        <v/>
      </c>
      <c r="E1809" s="9" t="str">
        <v/>
      </c>
      <c r="F1809" s="9" t="str">
        <v/>
      </c>
      <c r="G1809" s="9" t="str">
        <v/>
      </c>
      <c r="H1809" s="9" t="str">
        <v>RA-03S-6025</v>
      </c>
      <c r="I1809" s="11" t="str">
        <v>RA-03S-6025]LBM-RAY01</v>
      </c>
      <c r="J1809" s="9">
        <v>146</v>
      </c>
      <c r="K1809" s="9" t="str">
        <v/>
      </c>
      <c r="L1809" s="9" t="str">
        <v>B1-1</v>
      </c>
      <c r="M1809" s="12">
        <v>46283</v>
      </c>
      <c r="N1809" s="5" t="str">
        <v/>
      </c>
      <c r="O1809" s="5">
        <v>98669</v>
      </c>
      <c r="P1809" s="5">
        <v>30</v>
      </c>
      <c r="Q1809" s="14">
        <v>46294</v>
      </c>
      <c r="R1809" s="15">
        <v>116</v>
      </c>
    </row>
    <row r="1810" spans="2:18" x14ac:dyDescent="0.35">
      <c r="B1810" s="9">
        <v>1468</v>
      </c>
      <c r="C1810" s="9" t="str">
        <v>출고재고</v>
      </c>
      <c r="D1810" s="9" t="str">
        <v/>
      </c>
      <c r="E1810" s="9" t="str">
        <v/>
      </c>
      <c r="F1810" s="9" t="str">
        <v/>
      </c>
      <c r="G1810" s="9" t="str">
        <v/>
      </c>
      <c r="H1810" s="9" t="str">
        <v>RA-03S-5180A</v>
      </c>
      <c r="I1810" s="11" t="str">
        <v>RA-03S-5180A]A2K_LBM01-570</v>
      </c>
      <c r="J1810" s="9">
        <v>146</v>
      </c>
      <c r="K1810" s="9" t="str">
        <v/>
      </c>
      <c r="L1810" s="9" t="str">
        <v>B1-1</v>
      </c>
      <c r="M1810" s="12">
        <v>46283</v>
      </c>
      <c r="N1810" s="5" t="str">
        <v/>
      </c>
      <c r="O1810" s="5">
        <v>98669</v>
      </c>
      <c r="P1810" s="5">
        <v>30</v>
      </c>
      <c r="Q1810" s="14">
        <v>46294</v>
      </c>
      <c r="R1810" s="15">
        <v>116</v>
      </c>
    </row>
    <row r="1811" spans="2:18" x14ac:dyDescent="0.35">
      <c r="B1811" s="9">
        <v>1469</v>
      </c>
      <c r="C1811" s="9" t="str">
        <v>출고재고</v>
      </c>
      <c r="D1811" s="9" t="str">
        <v/>
      </c>
      <c r="E1811" s="9" t="str">
        <v/>
      </c>
      <c r="F1811" s="9" t="str">
        <v/>
      </c>
      <c r="G1811" s="9" t="str">
        <v/>
      </c>
      <c r="H1811" s="9" t="str">
        <v>RA-04M-1339</v>
      </c>
      <c r="I1811" s="11" t="str">
        <v>RA-04M-1339]BLK HEADREST FIX BAR-R</v>
      </c>
      <c r="J1811" s="9">
        <v>150</v>
      </c>
      <c r="K1811" s="9" t="str">
        <v/>
      </c>
      <c r="L1811" s="9" t="str">
        <v>B1-5</v>
      </c>
      <c r="M1811" s="12">
        <v>46283</v>
      </c>
      <c r="N1811" s="5" t="str">
        <v/>
      </c>
      <c r="O1811" s="5">
        <v>98669</v>
      </c>
      <c r="P1811" s="5">
        <v>30</v>
      </c>
      <c r="Q1811" s="14">
        <v>46294</v>
      </c>
      <c r="R1811" s="15">
        <v>120</v>
      </c>
    </row>
    <row r="1812" spans="2:18" x14ac:dyDescent="0.35">
      <c r="B1812" s="9">
        <v>838</v>
      </c>
      <c r="C1812" s="9" t="str">
        <v>출고재고</v>
      </c>
      <c r="D1812" s="9" t="str">
        <v/>
      </c>
      <c r="E1812" s="9" t="str">
        <v/>
      </c>
      <c r="F1812" s="9" t="str">
        <v/>
      </c>
      <c r="G1812" s="9" t="str">
        <v/>
      </c>
      <c r="H1812" s="9" t="str">
        <v>RA-03V-1908</v>
      </c>
      <c r="I1812" s="11" t="str">
        <v>RA-03V-1908]BRK FIX HUB</v>
      </c>
      <c r="J1812" s="9">
        <v>154</v>
      </c>
      <c r="K1812" s="9" t="str">
        <v/>
      </c>
      <c r="L1812" s="9" t="str">
        <v>B1-2</v>
      </c>
      <c r="M1812" s="12">
        <v>46274</v>
      </c>
      <c r="N1812" s="5" t="str">
        <v/>
      </c>
      <c r="O1812" s="5">
        <v>98669</v>
      </c>
      <c r="P1812" s="5">
        <v>30</v>
      </c>
      <c r="Q1812" s="14">
        <v>46294</v>
      </c>
      <c r="R1812" s="15">
        <v>124</v>
      </c>
    </row>
    <row r="1813" spans="2:18" x14ac:dyDescent="0.35">
      <c r="B1813" s="9">
        <v>840</v>
      </c>
      <c r="C1813" s="9" t="str">
        <v>출고재고</v>
      </c>
      <c r="D1813" s="9" t="str">
        <v/>
      </c>
      <c r="E1813" s="9" t="str">
        <v/>
      </c>
      <c r="F1813" s="9" t="str">
        <v/>
      </c>
      <c r="G1813" s="9" t="str">
        <v/>
      </c>
      <c r="H1813" s="9" t="str">
        <v>RA-03V-1991</v>
      </c>
      <c r="I1813" s="11" t="str">
        <v>RA-03V-1991]BRK CENTER LASERBEAM (A+)</v>
      </c>
      <c r="J1813" s="9">
        <v>175</v>
      </c>
      <c r="K1813" s="9" t="str">
        <v/>
      </c>
      <c r="L1813" s="9" t="str">
        <v>B1-3</v>
      </c>
      <c r="M1813" s="12">
        <v>46274</v>
      </c>
      <c r="N1813" s="5" t="str">
        <v/>
      </c>
      <c r="O1813" s="5">
        <v>98669</v>
      </c>
      <c r="P1813" s="5">
        <v>30</v>
      </c>
      <c r="Q1813" s="14">
        <v>46294</v>
      </c>
      <c r="R1813" s="15">
        <v>145</v>
      </c>
    </row>
    <row r="1814" spans="2:18" x14ac:dyDescent="0.35">
      <c r="B1814" s="9">
        <v>1470</v>
      </c>
      <c r="C1814" s="9" t="str">
        <v>출고재고</v>
      </c>
      <c r="D1814" s="9" t="str">
        <v/>
      </c>
      <c r="E1814" s="9" t="str">
        <v/>
      </c>
      <c r="F1814" s="9" t="str">
        <v/>
      </c>
      <c r="G1814" s="9" t="str">
        <v/>
      </c>
      <c r="H1814" s="9" t="str">
        <v>RA-03M-2193</v>
      </c>
      <c r="I1814" s="11" t="str">
        <v>RA-03M-2193]CVR PROT (A+)</v>
      </c>
      <c r="J1814" s="9">
        <v>176</v>
      </c>
      <c r="K1814" s="9" t="str">
        <v/>
      </c>
      <c r="L1814" s="9" t="str">
        <v>B1-1</v>
      </c>
      <c r="M1814" s="12">
        <v>46283</v>
      </c>
      <c r="N1814" s="5" t="str">
        <v/>
      </c>
      <c r="O1814" s="5">
        <v>98669</v>
      </c>
      <c r="P1814" s="5">
        <v>30</v>
      </c>
      <c r="Q1814" s="14">
        <v>46294</v>
      </c>
      <c r="R1814" s="15">
        <v>146</v>
      </c>
    </row>
    <row r="1815" spans="2:18" x14ac:dyDescent="0.35">
      <c r="B1815" s="9">
        <v>1471</v>
      </c>
      <c r="C1815" s="9" t="str">
        <v>출고재고</v>
      </c>
      <c r="D1815" s="9" t="str">
        <v/>
      </c>
      <c r="E1815" s="9" t="str">
        <v/>
      </c>
      <c r="F1815" s="9" t="str">
        <v/>
      </c>
      <c r="G1815" s="9" t="str">
        <v/>
      </c>
      <c r="H1815" s="9" t="str">
        <v>RA-04M-1338</v>
      </c>
      <c r="I1815" s="11" t="str">
        <v>RA-04M-1338]BLK HEADREST FIX BAR-L</v>
      </c>
      <c r="J1815" s="9">
        <v>200</v>
      </c>
      <c r="K1815" s="9" t="str">
        <v/>
      </c>
      <c r="L1815" s="9" t="str">
        <v>B1-5</v>
      </c>
      <c r="M1815" s="12">
        <v>46283</v>
      </c>
      <c r="N1815" s="5" t="str">
        <v/>
      </c>
      <c r="O1815" s="5">
        <v>98669</v>
      </c>
      <c r="P1815" s="5">
        <v>30</v>
      </c>
      <c r="Q1815" s="14">
        <v>46294</v>
      </c>
      <c r="R1815" s="15">
        <v>170</v>
      </c>
    </row>
    <row r="1816" spans="2:18" x14ac:dyDescent="0.35">
      <c r="B1816" s="9">
        <v>1800</v>
      </c>
      <c r="C1816" s="9" t="str">
        <v>출고재고</v>
      </c>
      <c r="D1816" s="9" t="str">
        <v/>
      </c>
      <c r="E1816" s="9" t="str">
        <v>입고</v>
      </c>
      <c r="F1816" s="9" t="str">
        <v>한울테크</v>
      </c>
      <c r="G1816" s="9" t="str">
        <v/>
      </c>
      <c r="H1816" s="9" t="str">
        <v>RA-03A-6012</v>
      </c>
      <c r="I1816" s="11" t="str">
        <v>RA-03A-6012]Bd ASSY'-ACT Bd(A/A+)</v>
      </c>
      <c r="J1816" s="9">
        <v>200</v>
      </c>
      <c r="K1816" s="9" t="str">
        <v/>
      </c>
      <c r="L1816" s="9" t="str">
        <v>A7-3</v>
      </c>
      <c r="M1816" s="12">
        <v>46280</v>
      </c>
      <c r="N1816" s="5" t="str">
        <v/>
      </c>
      <c r="O1816" s="5">
        <v>98669</v>
      </c>
      <c r="P1816" s="5">
        <v>20</v>
      </c>
      <c r="Q1816" s="14">
        <v>46294</v>
      </c>
      <c r="R1816" s="15">
        <v>180</v>
      </c>
    </row>
    <row r="1817" spans="2:18" x14ac:dyDescent="0.35">
      <c r="B1817" s="9">
        <v>1798</v>
      </c>
      <c r="C1817" s="9" t="str">
        <v>출고재고</v>
      </c>
      <c r="D1817" s="9" t="str">
        <v/>
      </c>
      <c r="E1817" s="9" t="str">
        <v>입고</v>
      </c>
      <c r="F1817" s="9" t="str">
        <v>DONGSHANG</v>
      </c>
      <c r="G1817" s="9" t="str">
        <v/>
      </c>
      <c r="H1817" s="9" t="str">
        <v>RA-04A-0899</v>
      </c>
      <c r="I1817" s="11" t="str">
        <v>RA-04A-0899]ASM LCD M101NWT2 R1</v>
      </c>
      <c r="J1817" s="9">
        <v>206</v>
      </c>
      <c r="K1817" s="9" t="str">
        <v/>
      </c>
      <c r="L1817" s="9" t="str">
        <v>A16</v>
      </c>
      <c r="M1817" s="12">
        <v>46287</v>
      </c>
      <c r="N1817" s="5" t="str">
        <v/>
      </c>
      <c r="O1817" s="5">
        <v>98669</v>
      </c>
      <c r="P1817" s="5">
        <v>22</v>
      </c>
      <c r="Q1817" s="14">
        <v>46294</v>
      </c>
      <c r="R1817" s="15">
        <v>184</v>
      </c>
    </row>
    <row r="1818" spans="2:18" x14ac:dyDescent="0.35">
      <c r="B1818" s="9">
        <v>1472</v>
      </c>
      <c r="C1818" s="9" t="str">
        <v>출고재고</v>
      </c>
      <c r="D1818" s="9" t="str">
        <v/>
      </c>
      <c r="E1818" s="9" t="str">
        <v/>
      </c>
      <c r="F1818" s="9" t="str">
        <v/>
      </c>
      <c r="G1818" s="9" t="str">
        <v/>
      </c>
      <c r="H1818" s="9" t="str">
        <v>RA-03T-1992</v>
      </c>
      <c r="I1818" s="11" t="str">
        <v>RA-03T-1992]HLDR LASER BEAM V</v>
      </c>
      <c r="J1818" s="9">
        <v>255</v>
      </c>
      <c r="K1818" s="9" t="str">
        <v/>
      </c>
      <c r="L1818" s="9" t="str">
        <v>B1-1</v>
      </c>
      <c r="M1818" s="12">
        <v>46283</v>
      </c>
      <c r="N1818" s="5" t="str">
        <v/>
      </c>
      <c r="O1818" s="5">
        <v>98669</v>
      </c>
      <c r="P1818" s="5">
        <v>30</v>
      </c>
      <c r="Q1818" s="14">
        <v>46294</v>
      </c>
      <c r="R1818" s="15">
        <v>225</v>
      </c>
    </row>
    <row r="1819" spans="2:18" x14ac:dyDescent="0.35">
      <c r="B1819" s="9">
        <v>1698</v>
      </c>
      <c r="C1819" s="9" t="str">
        <v>출고재고</v>
      </c>
      <c r="D1819" s="9" t="str">
        <v/>
      </c>
      <c r="E1819" s="9" t="str">
        <v/>
      </c>
      <c r="F1819" s="9" t="str">
        <v/>
      </c>
      <c r="G1819" s="9" t="str">
        <v/>
      </c>
      <c r="H1819" s="9" t="str">
        <v>RA-03A-6016A</v>
      </c>
      <c r="I1819" s="11" t="str">
        <v>RA-03A-6016A]BD ASSY'-AC FUSE BLK</v>
      </c>
      <c r="J1819" s="9">
        <v>256</v>
      </c>
      <c r="K1819" s="9" t="str">
        <v/>
      </c>
      <c r="L1819" s="9" t="str">
        <v>A3-1</v>
      </c>
      <c r="M1819" s="12">
        <v>46279</v>
      </c>
      <c r="N1819" s="5" t="str">
        <v/>
      </c>
      <c r="O1819" s="5">
        <v>98669</v>
      </c>
      <c r="P1819" s="5">
        <v>30</v>
      </c>
      <c r="Q1819" s="14">
        <v>46294</v>
      </c>
      <c r="R1819" s="15">
        <v>226</v>
      </c>
    </row>
    <row r="1820" spans="2:18" x14ac:dyDescent="0.35">
      <c r="B1820" s="9">
        <v>1473</v>
      </c>
      <c r="C1820" s="9" t="str">
        <v>출고재고</v>
      </c>
      <c r="D1820" s="9" t="str">
        <v/>
      </c>
      <c r="E1820" s="9" t="str">
        <v/>
      </c>
      <c r="F1820" s="9" t="str">
        <v/>
      </c>
      <c r="G1820" s="9" t="str">
        <v/>
      </c>
      <c r="H1820" s="9" t="str">
        <v>RA-04S-0121</v>
      </c>
      <c r="I1820" s="11" t="str">
        <v>RA-04S-0121]HINGE SET</v>
      </c>
      <c r="J1820" s="9">
        <v>259</v>
      </c>
      <c r="K1820" s="9" t="str">
        <v/>
      </c>
      <c r="L1820" s="9" t="str">
        <v>B1-4</v>
      </c>
      <c r="M1820" s="12">
        <v>46283</v>
      </c>
      <c r="N1820" s="5" t="str">
        <v/>
      </c>
      <c r="O1820" s="5">
        <v>98669</v>
      </c>
      <c r="P1820" s="5">
        <v>60</v>
      </c>
      <c r="Q1820" s="14">
        <v>46294</v>
      </c>
      <c r="R1820" s="15">
        <v>199</v>
      </c>
    </row>
    <row r="1821" spans="2:18" x14ac:dyDescent="0.35">
      <c r="B1821" s="9">
        <v>1801</v>
      </c>
      <c r="C1821" s="9" t="str">
        <v>출고재고</v>
      </c>
      <c r="D1821" s="9" t="str">
        <v/>
      </c>
      <c r="E1821" s="9" t="str">
        <v>기초추가</v>
      </c>
      <c r="F1821" s="9" t="str">
        <v/>
      </c>
      <c r="G1821" s="9" t="str">
        <v/>
      </c>
      <c r="H1821" s="9" t="str">
        <v>RA-04V-0118</v>
      </c>
      <c r="I1821" s="11" t="str">
        <v>RA-04V-0118]BRK MONITOR HINGE</v>
      </c>
      <c r="J1821" s="9">
        <v>270</v>
      </c>
      <c r="K1821" s="9" t="str">
        <v/>
      </c>
      <c r="L1821" s="9" t="str">
        <v>B2-3</v>
      </c>
      <c r="M1821" s="12">
        <v>46273</v>
      </c>
      <c r="N1821" s="5" t="str">
        <v/>
      </c>
      <c r="O1821" s="5">
        <v>98669</v>
      </c>
      <c r="P1821" s="5">
        <v>60</v>
      </c>
      <c r="Q1821" s="14">
        <v>46294</v>
      </c>
      <c r="R1821" s="15">
        <v>210</v>
      </c>
    </row>
    <row r="1822" spans="2:18" x14ac:dyDescent="0.35">
      <c r="B1822" s="9">
        <v>1475</v>
      </c>
      <c r="C1822" s="9" t="str">
        <v>출고재고</v>
      </c>
      <c r="D1822" s="9" t="str">
        <v/>
      </c>
      <c r="E1822" s="9" t="str">
        <v/>
      </c>
      <c r="F1822" s="9" t="str">
        <v/>
      </c>
      <c r="G1822" s="9" t="str">
        <v/>
      </c>
      <c r="H1822" s="9" t="str">
        <v>RA-03A-0050</v>
      </c>
      <c r="I1822" s="11" t="str">
        <v>RA-03A-0050_I]ASM HORIZONTAL LASER BEAM</v>
      </c>
      <c r="J1822" s="9">
        <v>284</v>
      </c>
      <c r="K1822" s="9" t="str">
        <v/>
      </c>
      <c r="L1822" s="9" t="str">
        <v>O2</v>
      </c>
      <c r="M1822" s="12">
        <v>46283</v>
      </c>
      <c r="N1822" s="5" t="str">
        <v/>
      </c>
      <c r="O1822" s="5">
        <v>98669</v>
      </c>
      <c r="P1822" s="5">
        <v>30</v>
      </c>
      <c r="Q1822" s="14">
        <v>46294</v>
      </c>
      <c r="R1822" s="15">
        <v>254</v>
      </c>
    </row>
    <row r="1823" spans="2:18" x14ac:dyDescent="0.35">
      <c r="B1823" s="9">
        <v>1476</v>
      </c>
      <c r="C1823" s="9" t="str">
        <v>출고재고</v>
      </c>
      <c r="D1823" s="9" t="str">
        <v/>
      </c>
      <c r="E1823" s="9" t="str">
        <v/>
      </c>
      <c r="F1823" s="9" t="str">
        <v/>
      </c>
      <c r="G1823" s="9" t="str">
        <v/>
      </c>
      <c r="H1823" s="9" t="str">
        <v>RA-1-1</v>
      </c>
      <c r="I1823" s="11" t="str">
        <v>RA-1-1_2]AC POWER FUSE TO NF2</v>
      </c>
      <c r="J1823" s="9">
        <v>299</v>
      </c>
      <c r="K1823" s="9" t="str">
        <v/>
      </c>
      <c r="L1823" s="9" t="str">
        <v>G3-1</v>
      </c>
      <c r="M1823" s="12">
        <v>46283</v>
      </c>
      <c r="N1823" s="5" t="str">
        <v/>
      </c>
      <c r="O1823" s="5">
        <v>98669</v>
      </c>
      <c r="P1823" s="5">
        <v>30</v>
      </c>
      <c r="Q1823" s="14">
        <v>46294</v>
      </c>
      <c r="R1823" s="15">
        <v>269</v>
      </c>
    </row>
    <row r="1824" spans="2:18" x14ac:dyDescent="0.35">
      <c r="B1824" s="9">
        <v>1477</v>
      </c>
      <c r="C1824" s="9" t="str">
        <v>출고재고</v>
      </c>
      <c r="D1824" s="9" t="str">
        <v/>
      </c>
      <c r="E1824" s="9" t="str">
        <v/>
      </c>
      <c r="F1824" s="9" t="str">
        <v/>
      </c>
      <c r="G1824" s="9" t="str">
        <v/>
      </c>
      <c r="H1824" s="9" t="str">
        <v>RA-04M-2399</v>
      </c>
      <c r="I1824" s="11" t="str">
        <v>RA-04M-2399]GUIDE BITE BLK A (A+)</v>
      </c>
      <c r="J1824" s="9">
        <v>317</v>
      </c>
      <c r="K1824" s="9" t="str">
        <v/>
      </c>
      <c r="L1824" s="9" t="str">
        <v>B1-6</v>
      </c>
      <c r="M1824" s="12">
        <v>46283</v>
      </c>
      <c r="N1824" s="5" t="str">
        <v/>
      </c>
      <c r="O1824" s="5">
        <v>98669</v>
      </c>
      <c r="P1824" s="5">
        <v>30</v>
      </c>
      <c r="Q1824" s="14">
        <v>46294</v>
      </c>
      <c r="R1824" s="15">
        <v>287</v>
      </c>
    </row>
    <row r="1825" spans="2:18" x14ac:dyDescent="0.35">
      <c r="B1825" s="9">
        <v>1060</v>
      </c>
      <c r="C1825" s="9" t="str">
        <v>출고재고</v>
      </c>
      <c r="D1825" s="9" t="str">
        <v/>
      </c>
      <c r="E1825" s="9" t="str">
        <v>기초</v>
      </c>
      <c r="F1825" s="9" t="str">
        <v/>
      </c>
      <c r="G1825" s="9" t="str">
        <v/>
      </c>
      <c r="H1825" s="9" t="str">
        <v>RA-09A-2753</v>
      </c>
      <c r="I1825" s="11" t="str">
        <v>RA-09A-2753]ASM CT HEADREST FIX BAS(A+)</v>
      </c>
      <c r="J1825" s="9">
        <v>369</v>
      </c>
      <c r="K1825" s="9" t="str">
        <v/>
      </c>
      <c r="L1825" s="9" t="str">
        <v>B1-6</v>
      </c>
      <c r="M1825" s="12">
        <v>46276</v>
      </c>
      <c r="N1825" s="5" t="str">
        <v/>
      </c>
      <c r="O1825" s="5">
        <v>98669</v>
      </c>
      <c r="P1825" s="5">
        <v>30</v>
      </c>
      <c r="Q1825" s="14">
        <v>46294</v>
      </c>
      <c r="R1825" s="15">
        <v>339</v>
      </c>
    </row>
    <row r="1826" spans="2:18" x14ac:dyDescent="0.35">
      <c r="B1826" s="9">
        <v>1478</v>
      </c>
      <c r="C1826" s="9" t="str">
        <v>출고재고</v>
      </c>
      <c r="D1826" s="9" t="str">
        <v/>
      </c>
      <c r="E1826" s="9" t="str">
        <v/>
      </c>
      <c r="F1826" s="9" t="str">
        <v/>
      </c>
      <c r="G1826" s="9" t="str">
        <v/>
      </c>
      <c r="H1826" s="9" t="str">
        <v>RA-03A-6046</v>
      </c>
      <c r="I1826" s="11" t="str">
        <v>RA-03A-6046]SMPS CONN B/D</v>
      </c>
      <c r="J1826" s="9">
        <v>374</v>
      </c>
      <c r="K1826" s="9" t="str">
        <v/>
      </c>
      <c r="L1826" s="9" t="str">
        <v>A1-3</v>
      </c>
      <c r="M1826" s="12">
        <v>46283</v>
      </c>
      <c r="N1826" s="5" t="str">
        <v/>
      </c>
      <c r="O1826" s="5">
        <v>98669</v>
      </c>
      <c r="P1826" s="5">
        <v>30</v>
      </c>
      <c r="Q1826" s="14">
        <v>46294</v>
      </c>
      <c r="R1826" s="15">
        <v>344</v>
      </c>
    </row>
    <row r="1827" spans="2:18" x14ac:dyDescent="0.35">
      <c r="B1827" s="9">
        <v>1479</v>
      </c>
      <c r="C1827" s="9" t="str">
        <v>출고재고</v>
      </c>
      <c r="D1827" s="9" t="str">
        <v/>
      </c>
      <c r="E1827" s="9" t="str">
        <v/>
      </c>
      <c r="F1827" s="9" t="str">
        <v/>
      </c>
      <c r="G1827" s="9" t="str">
        <v/>
      </c>
      <c r="H1827" s="9" t="str">
        <v>RA-1-2</v>
      </c>
      <c r="I1827" s="11" t="str">
        <v>RA-1-2_2]AC POWER FUSE TO NF1</v>
      </c>
      <c r="J1827" s="9">
        <v>560</v>
      </c>
      <c r="K1827" s="9" t="str">
        <v/>
      </c>
      <c r="L1827" s="9" t="str">
        <v>G3-1</v>
      </c>
      <c r="M1827" s="12">
        <v>46283</v>
      </c>
      <c r="N1827" s="5" t="str">
        <v/>
      </c>
      <c r="O1827" s="5">
        <v>98669</v>
      </c>
      <c r="P1827" s="5">
        <v>30</v>
      </c>
      <c r="Q1827" s="14">
        <v>46294</v>
      </c>
      <c r="R1827" s="15">
        <v>530</v>
      </c>
    </row>
    <row r="1828" spans="2:18" x14ac:dyDescent="0.35">
      <c r="B1828" s="9">
        <v>853</v>
      </c>
      <c r="C1828" s="9" t="str">
        <v>출고재고</v>
      </c>
      <c r="D1828" s="9" t="str">
        <v/>
      </c>
      <c r="E1828" s="9" t="str">
        <v/>
      </c>
      <c r="F1828" s="9" t="str">
        <v/>
      </c>
      <c r="G1828" s="9" t="str">
        <v/>
      </c>
      <c r="H1828" s="9" t="str">
        <v>RA-03V-2285</v>
      </c>
      <c r="I1828" s="11" t="str">
        <v>RA-03V-2285]BRK CABLE GUIDE CLMN (A+)</v>
      </c>
      <c r="J1828" s="9">
        <v>646</v>
      </c>
      <c r="K1828" s="9" t="str">
        <v/>
      </c>
      <c r="L1828" s="9" t="str">
        <v>B2-1</v>
      </c>
      <c r="M1828" s="12">
        <v>46274</v>
      </c>
      <c r="N1828" s="5" t="str">
        <v/>
      </c>
      <c r="O1828" s="5">
        <v>98669</v>
      </c>
      <c r="P1828" s="5">
        <v>60</v>
      </c>
      <c r="Q1828" s="14">
        <v>46294</v>
      </c>
      <c r="R1828" s="15">
        <v>586</v>
      </c>
    </row>
    <row r="1829" spans="2:18" x14ac:dyDescent="0.35">
      <c r="B1829" s="9">
        <v>1092</v>
      </c>
      <c r="C1829" s="9" t="str">
        <v>출고재고</v>
      </c>
      <c r="D1829" s="9" t="str">
        <v/>
      </c>
      <c r="E1829" s="9" t="str">
        <v>기초</v>
      </c>
      <c r="F1829" s="9" t="str">
        <v/>
      </c>
      <c r="G1829" s="9" t="str">
        <v/>
      </c>
      <c r="H1829" s="9" t="str">
        <v>RA-03M-2068</v>
      </c>
      <c r="I1829" s="11" t="str">
        <v>RA-03M-2068]BRK CLMN REAR CAS LWR (A+)</v>
      </c>
      <c r="J1829" s="9">
        <v>706</v>
      </c>
      <c r="K1829" s="9" t="str">
        <v/>
      </c>
      <c r="L1829" s="9" t="str">
        <v>B4-3</v>
      </c>
      <c r="M1829" s="12">
        <v>46276</v>
      </c>
      <c r="N1829" s="5" t="str">
        <v/>
      </c>
      <c r="O1829" s="5">
        <v>98669</v>
      </c>
      <c r="P1829" s="5">
        <v>30</v>
      </c>
      <c r="Q1829" s="14">
        <v>46294</v>
      </c>
      <c r="R1829" s="15">
        <v>676</v>
      </c>
    </row>
    <row r="1830" spans="2:18" x14ac:dyDescent="0.35">
      <c r="B1830" s="9">
        <v>1480</v>
      </c>
      <c r="C1830" s="9" t="str">
        <v>출고재고</v>
      </c>
      <c r="D1830" s="9" t="str">
        <v/>
      </c>
      <c r="E1830" s="9" t="str">
        <v/>
      </c>
      <c r="F1830" s="9" t="str">
        <v/>
      </c>
      <c r="G1830" s="9" t="str">
        <v/>
      </c>
      <c r="H1830" s="9" t="str">
        <v>RA-03M-0063</v>
      </c>
      <c r="I1830" s="11" t="str">
        <v>RA-03M-0063]GUIDE PIN 2</v>
      </c>
      <c r="J1830" s="9">
        <v>762</v>
      </c>
      <c r="K1830" s="9" t="str">
        <v/>
      </c>
      <c r="L1830" s="9" t="str">
        <v>B1-2</v>
      </c>
      <c r="M1830" s="12">
        <v>46283</v>
      </c>
      <c r="N1830" s="5" t="str">
        <v/>
      </c>
      <c r="O1830" s="5">
        <v>98669</v>
      </c>
      <c r="P1830" s="5">
        <v>60</v>
      </c>
      <c r="Q1830" s="14">
        <v>46294</v>
      </c>
      <c r="R1830" s="15">
        <v>702</v>
      </c>
    </row>
    <row r="1831" spans="2:18" x14ac:dyDescent="0.35">
      <c r="B1831" s="9">
        <v>1857</v>
      </c>
      <c r="C1831" s="9" t="str">
        <v>출고재고</v>
      </c>
      <c r="D1831" s="9" t="str">
        <v/>
      </c>
      <c r="E1831" s="9" t="str">
        <v/>
      </c>
      <c r="F1831" s="9" t="str">
        <v/>
      </c>
      <c r="G1831" s="9" t="str">
        <v/>
      </c>
      <c r="H1831" s="9" t="str">
        <v>RA-06A-5004</v>
      </c>
      <c r="I1831" s="11" t="str">
        <v>RA-06A-5004]Bd ASSY'-Indicator Bd</v>
      </c>
      <c r="J1831" s="9">
        <v>18</v>
      </c>
      <c r="K1831" s="9" t="str">
        <v/>
      </c>
      <c r="L1831" s="9" t="str">
        <v>A1-5</v>
      </c>
      <c r="M1831" s="12">
        <v>46295</v>
      </c>
      <c r="N1831" s="5" t="str">
        <v/>
      </c>
      <c r="O1831" s="5">
        <v>98670</v>
      </c>
      <c r="P1831" s="5">
        <v>18</v>
      </c>
      <c r="Q1831" s="14">
        <v>46294</v>
      </c>
      <c r="R1831" s="15">
        <v>0</v>
      </c>
    </row>
    <row r="1832" spans="2:18" x14ac:dyDescent="0.35">
      <c r="B1832" s="9">
        <v>1856</v>
      </c>
      <c r="C1832" s="9" t="str">
        <v>출고재고</v>
      </c>
      <c r="D1832" s="9" t="str">
        <v/>
      </c>
      <c r="E1832" s="9" t="str">
        <v/>
      </c>
      <c r="F1832" s="9" t="str">
        <v/>
      </c>
      <c r="G1832" s="9" t="str">
        <v/>
      </c>
      <c r="H1832" s="9" t="str">
        <v>RA-3-6</v>
      </c>
      <c r="I1832" s="11" t="str">
        <v>RA-3-6]INDICATOR CONTROL</v>
      </c>
      <c r="J1832" s="9">
        <v>30</v>
      </c>
      <c r="K1832" s="9" t="str">
        <v/>
      </c>
      <c r="L1832" s="9" t="str">
        <v>G1-1</v>
      </c>
      <c r="M1832" s="12">
        <v>46295</v>
      </c>
      <c r="N1832" s="5" t="str">
        <v/>
      </c>
      <c r="O1832" s="5">
        <v>98670</v>
      </c>
      <c r="P1832" s="5">
        <v>30</v>
      </c>
      <c r="Q1832" s="14">
        <v>46294</v>
      </c>
      <c r="R1832" s="15">
        <v>0</v>
      </c>
    </row>
    <row r="1833" spans="2:18" x14ac:dyDescent="0.35">
      <c r="B1833" s="9">
        <v>2102</v>
      </c>
      <c r="C1833" s="9" t="str">
        <v>출고재고</v>
      </c>
      <c r="D1833" s="9" t="str">
        <v/>
      </c>
      <c r="E1833" s="9" t="str">
        <v/>
      </c>
      <c r="F1833" s="9" t="str">
        <v/>
      </c>
      <c r="G1833" s="9" t="str">
        <v/>
      </c>
      <c r="H1833" s="9" t="str">
        <v>RA-1-11</v>
      </c>
      <c r="I1833" s="11" t="str">
        <v>RA-1-11]DC POWER HUB</v>
      </c>
      <c r="J1833" s="9">
        <v>33</v>
      </c>
      <c r="K1833" s="9" t="str">
        <v/>
      </c>
      <c r="L1833" s="9" t="str">
        <v>G3-1</v>
      </c>
      <c r="M1833" s="12">
        <v>46283</v>
      </c>
      <c r="N1833" s="5" t="str">
        <v/>
      </c>
      <c r="O1833" s="5">
        <v>98670</v>
      </c>
      <c r="P1833" s="5">
        <v>30</v>
      </c>
      <c r="Q1833" s="14">
        <v>46294</v>
      </c>
      <c r="R1833" s="15">
        <v>3</v>
      </c>
    </row>
    <row r="1834" spans="2:18" x14ac:dyDescent="0.35">
      <c r="B1834" s="9">
        <v>1858</v>
      </c>
      <c r="C1834" s="9" t="str">
        <v>출고재고</v>
      </c>
      <c r="D1834" s="9" t="str">
        <v/>
      </c>
      <c r="E1834" s="9" t="str">
        <v/>
      </c>
      <c r="F1834" s="9" t="str">
        <v/>
      </c>
      <c r="G1834" s="9" t="str">
        <v/>
      </c>
      <c r="H1834" s="9" t="str">
        <v>RA-05V-2654</v>
      </c>
      <c r="I1834" s="11" t="str">
        <v>RA-05V-2654]BRK CAS ROT BOT</v>
      </c>
      <c r="J1834" s="9">
        <v>39</v>
      </c>
      <c r="K1834" s="9" t="str">
        <v/>
      </c>
      <c r="L1834" s="9" t="str">
        <v>J4-2</v>
      </c>
      <c r="M1834" s="12">
        <v>46295</v>
      </c>
      <c r="N1834" s="5" t="str">
        <v/>
      </c>
      <c r="O1834" s="5">
        <v>98670</v>
      </c>
      <c r="P1834" s="5">
        <v>30</v>
      </c>
      <c r="Q1834" s="14">
        <v>46294</v>
      </c>
      <c r="R1834" s="15">
        <v>9</v>
      </c>
    </row>
    <row r="1835" spans="2:18" x14ac:dyDescent="0.35">
      <c r="B1835" s="9">
        <v>1859</v>
      </c>
      <c r="C1835" s="9" t="str">
        <v>출고재고</v>
      </c>
      <c r="D1835" s="9" t="str">
        <v/>
      </c>
      <c r="E1835" s="9" t="str">
        <v/>
      </c>
      <c r="F1835" s="9" t="str">
        <v/>
      </c>
      <c r="G1835" s="9" t="str">
        <v/>
      </c>
      <c r="H1835" s="9" t="str">
        <v>RA-1-5</v>
      </c>
      <c r="I1835" s="11" t="str">
        <v>RA-1-5]AC POWER SMPS-1</v>
      </c>
      <c r="J1835" s="9">
        <v>40</v>
      </c>
      <c r="K1835" s="9" t="str">
        <v/>
      </c>
      <c r="L1835" s="9" t="str">
        <v>G3-1</v>
      </c>
      <c r="M1835" s="12">
        <v>46295</v>
      </c>
      <c r="N1835" s="5" t="str">
        <v/>
      </c>
      <c r="O1835" s="5">
        <v>98670</v>
      </c>
      <c r="P1835" s="5">
        <v>30</v>
      </c>
      <c r="Q1835" s="14">
        <v>46294</v>
      </c>
      <c r="R1835" s="15">
        <v>10</v>
      </c>
    </row>
    <row r="1836" spans="2:18" x14ac:dyDescent="0.35">
      <c r="B1836" s="9">
        <v>2136</v>
      </c>
      <c r="C1836" s="9" t="str">
        <v>출고재고</v>
      </c>
      <c r="D1836" s="9" t="str">
        <v/>
      </c>
      <c r="E1836" s="9" t="str">
        <v/>
      </c>
      <c r="F1836" s="9" t="str">
        <v/>
      </c>
      <c r="G1836" s="9" t="str">
        <v/>
      </c>
      <c r="H1836" s="9" t="str">
        <v>RA-02M-0395</v>
      </c>
      <c r="I1836" s="11" t="str">
        <v>RA-02M-0395]PIN VERT POSITION</v>
      </c>
      <c r="J1836" s="9">
        <v>66</v>
      </c>
      <c r="K1836" s="9" t="str">
        <v/>
      </c>
      <c r="L1836" s="9" t="str">
        <v>C3-1</v>
      </c>
      <c r="M1836" s="12">
        <v>46293</v>
      </c>
      <c r="N1836" s="5" t="str">
        <v/>
      </c>
      <c r="O1836" s="5">
        <v>98670</v>
      </c>
      <c r="P1836" s="5">
        <v>60</v>
      </c>
      <c r="Q1836" s="14">
        <v>46294</v>
      </c>
      <c r="R1836" s="15">
        <v>6</v>
      </c>
    </row>
    <row r="1837" spans="2:18" x14ac:dyDescent="0.35">
      <c r="B1837" s="9">
        <v>2104</v>
      </c>
      <c r="C1837" s="9" t="str">
        <v>출고재고</v>
      </c>
      <c r="D1837" s="9" t="str">
        <v/>
      </c>
      <c r="E1837" s="9" t="str">
        <v/>
      </c>
      <c r="F1837" s="9" t="str">
        <v/>
      </c>
      <c r="G1837" s="9" t="str">
        <v/>
      </c>
      <c r="H1837" s="9" t="str">
        <v>RA-11-9</v>
      </c>
      <c r="I1837" s="11" t="str">
        <v>RA-11-9]DC POWER MOT-A</v>
      </c>
      <c r="J1837" s="9">
        <v>72</v>
      </c>
      <c r="K1837" s="9" t="str">
        <v/>
      </c>
      <c r="L1837" s="9" t="str">
        <v>G4</v>
      </c>
      <c r="M1837" s="12">
        <v>46283</v>
      </c>
      <c r="N1837" s="5" t="str">
        <v/>
      </c>
      <c r="O1837" s="5">
        <v>98670</v>
      </c>
      <c r="P1837" s="5">
        <v>30</v>
      </c>
      <c r="Q1837" s="14">
        <v>46294</v>
      </c>
      <c r="R1837" s="15">
        <v>42</v>
      </c>
    </row>
    <row r="1838" spans="2:18" x14ac:dyDescent="0.35">
      <c r="B1838" s="9">
        <v>1861</v>
      </c>
      <c r="C1838" s="9" t="str">
        <v>출고재고</v>
      </c>
      <c r="D1838" s="9" t="str">
        <v/>
      </c>
      <c r="E1838" s="9" t="str">
        <v/>
      </c>
      <c r="F1838" s="9" t="str">
        <v/>
      </c>
      <c r="G1838" s="9" t="str">
        <v/>
      </c>
      <c r="H1838" s="9" t="str">
        <v>RA-7-5</v>
      </c>
      <c r="I1838" s="11" t="str">
        <v>RA-7-5]LAN THU</v>
      </c>
      <c r="J1838" s="9">
        <v>96</v>
      </c>
      <c r="K1838" s="9" t="str">
        <v/>
      </c>
      <c r="L1838" s="9" t="str">
        <v>G2-2</v>
      </c>
      <c r="M1838" s="12">
        <v>46295</v>
      </c>
      <c r="N1838" s="5" t="str">
        <v/>
      </c>
      <c r="O1838" s="5">
        <v>98670</v>
      </c>
      <c r="P1838" s="5">
        <v>30</v>
      </c>
      <c r="Q1838" s="14">
        <v>46294</v>
      </c>
      <c r="R1838" s="15">
        <v>66</v>
      </c>
    </row>
    <row r="1839" spans="2:18" x14ac:dyDescent="0.35">
      <c r="B1839" s="9">
        <v>2175</v>
      </c>
      <c r="C1839" s="9" t="str">
        <v>출고재고</v>
      </c>
      <c r="D1839" s="9" t="str">
        <v/>
      </c>
      <c r="E1839" s="9" t="str">
        <v>기초추가</v>
      </c>
      <c r="F1839" s="9" t="str">
        <v/>
      </c>
      <c r="G1839" s="9" t="str">
        <v/>
      </c>
      <c r="H1839" s="9" t="str">
        <v>RA-04V-1109</v>
      </c>
      <c r="I1839" s="11" t="str">
        <v>RA-04V-1109]BRK ARM RIGID L</v>
      </c>
      <c r="J1839" s="9">
        <v>100</v>
      </c>
      <c r="K1839" s="9" t="str">
        <v/>
      </c>
      <c r="L1839" s="9" t="str">
        <v>B1-6</v>
      </c>
      <c r="M1839" s="12">
        <v>46294</v>
      </c>
      <c r="N1839" s="5" t="str">
        <v/>
      </c>
      <c r="O1839" s="5">
        <v>98670</v>
      </c>
      <c r="P1839" s="5">
        <v>30</v>
      </c>
      <c r="Q1839" s="14">
        <v>46294</v>
      </c>
      <c r="R1839" s="15">
        <v>70</v>
      </c>
    </row>
    <row r="1840" spans="2:18" x14ac:dyDescent="0.35">
      <c r="B1840" s="9">
        <v>2176</v>
      </c>
      <c r="C1840" s="9" t="str">
        <v>출고재고</v>
      </c>
      <c r="D1840" s="9" t="str">
        <v/>
      </c>
      <c r="E1840" s="9" t="str">
        <v>기초추가</v>
      </c>
      <c r="F1840" s="9" t="str">
        <v/>
      </c>
      <c r="G1840" s="9" t="str">
        <v/>
      </c>
      <c r="H1840" s="9" t="str">
        <v>RA-04V-1108</v>
      </c>
      <c r="I1840" s="11" t="str">
        <v>RA-04V-1108]BRK ARM RIGID R</v>
      </c>
      <c r="J1840" s="9">
        <v>100</v>
      </c>
      <c r="K1840" s="9" t="str">
        <v/>
      </c>
      <c r="L1840" s="9" t="str">
        <v>B1-6</v>
      </c>
      <c r="M1840" s="12">
        <v>46294</v>
      </c>
      <c r="N1840" s="5" t="str">
        <v/>
      </c>
      <c r="O1840" s="5">
        <v>98670</v>
      </c>
      <c r="P1840" s="5">
        <v>30</v>
      </c>
      <c r="Q1840" s="14">
        <v>46294</v>
      </c>
      <c r="R1840" s="15">
        <v>70</v>
      </c>
    </row>
    <row r="1841" spans="2:18" x14ac:dyDescent="0.35">
      <c r="B1841" s="9">
        <v>1862</v>
      </c>
      <c r="C1841" s="9" t="str">
        <v>출고재고</v>
      </c>
      <c r="D1841" s="9" t="str">
        <v/>
      </c>
      <c r="E1841" s="9" t="str">
        <v/>
      </c>
      <c r="F1841" s="9" t="str">
        <v/>
      </c>
      <c r="G1841" s="9" t="str">
        <v/>
      </c>
      <c r="H1841" s="9" t="str">
        <v>RA-3-5</v>
      </c>
      <c r="I1841" s="11" t="str">
        <v>RA-3-5]INDICATOR</v>
      </c>
      <c r="J1841" s="9">
        <v>105</v>
      </c>
      <c r="K1841" s="9" t="str">
        <v/>
      </c>
      <c r="L1841" s="9" t="str">
        <v>G1-1</v>
      </c>
      <c r="M1841" s="12">
        <v>46295</v>
      </c>
      <c r="N1841" s="5" t="str">
        <v/>
      </c>
      <c r="O1841" s="5">
        <v>98670</v>
      </c>
      <c r="P1841" s="5">
        <v>30</v>
      </c>
      <c r="Q1841" s="14">
        <v>46294</v>
      </c>
      <c r="R1841" s="15">
        <v>75</v>
      </c>
    </row>
    <row r="1842" spans="2:18" x14ac:dyDescent="0.35">
      <c r="B1842" s="9">
        <v>2103</v>
      </c>
      <c r="C1842" s="9" t="str">
        <v>출고재고</v>
      </c>
      <c r="D1842" s="9" t="str">
        <v/>
      </c>
      <c r="E1842" s="9" t="str">
        <v/>
      </c>
      <c r="F1842" s="9" t="str">
        <v/>
      </c>
      <c r="G1842" s="9" t="str">
        <v/>
      </c>
      <c r="H1842" s="9" t="str">
        <v>RA-07M-2786</v>
      </c>
      <c r="I1842" s="11" t="str">
        <v>RA-07M-2786]PLT DET SNSR (IR)</v>
      </c>
      <c r="J1842" s="9">
        <v>110</v>
      </c>
      <c r="K1842" s="9" t="str">
        <v/>
      </c>
      <c r="L1842" s="9" t="str">
        <v>J2-2</v>
      </c>
      <c r="M1842" s="12">
        <v>46283</v>
      </c>
      <c r="N1842" s="5" t="str">
        <v/>
      </c>
      <c r="O1842" s="5">
        <v>98670</v>
      </c>
      <c r="P1842" s="5">
        <v>60</v>
      </c>
      <c r="Q1842" s="14">
        <v>46294</v>
      </c>
      <c r="R1842" s="15">
        <v>50</v>
      </c>
    </row>
    <row r="1843" spans="2:18" x14ac:dyDescent="0.35">
      <c r="B1843" s="9">
        <v>1864</v>
      </c>
      <c r="C1843" s="9" t="str">
        <v>출고재고</v>
      </c>
      <c r="D1843" s="9" t="str">
        <v/>
      </c>
      <c r="E1843" s="9" t="str">
        <v/>
      </c>
      <c r="F1843" s="9" t="str">
        <v/>
      </c>
      <c r="G1843" s="9" t="str">
        <v/>
      </c>
      <c r="H1843" s="9" t="str">
        <v>RA-9-8</v>
      </c>
      <c r="I1843" s="11" t="str">
        <v>RA-9-8]SERIAL POWER LS 1</v>
      </c>
      <c r="J1843" s="9">
        <v>114</v>
      </c>
      <c r="K1843" s="9" t="str">
        <v/>
      </c>
      <c r="L1843" s="9" t="str">
        <v>G1-3</v>
      </c>
      <c r="M1843" s="12">
        <v>46295</v>
      </c>
      <c r="N1843" s="5" t="str">
        <v/>
      </c>
      <c r="O1843" s="5">
        <v>98670</v>
      </c>
      <c r="P1843" s="5">
        <v>30</v>
      </c>
      <c r="Q1843" s="14">
        <v>46294</v>
      </c>
      <c r="R1843" s="15">
        <v>84</v>
      </c>
    </row>
    <row r="1844" spans="2:18" x14ac:dyDescent="0.35">
      <c r="B1844" s="9">
        <v>1866</v>
      </c>
      <c r="C1844" s="9" t="str">
        <v>출고재고</v>
      </c>
      <c r="D1844" s="9" t="str">
        <v/>
      </c>
      <c r="E1844" s="9" t="str">
        <v/>
      </c>
      <c r="F1844" s="9" t="str">
        <v/>
      </c>
      <c r="G1844" s="9" t="str">
        <v/>
      </c>
      <c r="H1844" s="9" t="str">
        <v>RA-05T-0210</v>
      </c>
      <c r="I1844" s="11" t="str">
        <v>RA-05T-0210]CAS ROT TOP SUB</v>
      </c>
      <c r="J1844" s="9">
        <v>133</v>
      </c>
      <c r="K1844" s="9" t="str">
        <v/>
      </c>
      <c r="L1844" s="9" t="str">
        <v>S</v>
      </c>
      <c r="M1844" s="12">
        <v>46295</v>
      </c>
      <c r="N1844" s="5" t="str">
        <v/>
      </c>
      <c r="O1844" s="5">
        <v>98670</v>
      </c>
      <c r="P1844" s="5">
        <v>30</v>
      </c>
      <c r="Q1844" s="14">
        <v>46294</v>
      </c>
      <c r="R1844" s="15">
        <v>103</v>
      </c>
    </row>
    <row r="1845" spans="2:18" x14ac:dyDescent="0.35">
      <c r="B1845" s="9">
        <v>2177</v>
      </c>
      <c r="C1845" s="9" t="str">
        <v>출고재고</v>
      </c>
      <c r="D1845" s="9" t="str">
        <v/>
      </c>
      <c r="E1845" s="9" t="str">
        <v>입고</v>
      </c>
      <c r="F1845" s="9" t="str">
        <v>DIEN QUANG</v>
      </c>
      <c r="G1845" s="9" t="str">
        <v>장동은</v>
      </c>
      <c r="H1845" s="9" t="str">
        <v>RA-06A-5004</v>
      </c>
      <c r="I1845" s="11" t="str">
        <v>RA-06A-5004]Bd ASSY'-Indicator Bd</v>
      </c>
      <c r="J1845" s="9">
        <v>138</v>
      </c>
      <c r="K1845" s="9" t="str">
        <v/>
      </c>
      <c r="L1845" s="9" t="str">
        <v>A1-5</v>
      </c>
      <c r="M1845" s="12">
        <v>46275</v>
      </c>
      <c r="N1845" s="5" t="str">
        <v/>
      </c>
      <c r="O1845" s="5">
        <v>98670</v>
      </c>
      <c r="P1845" s="5">
        <v>42</v>
      </c>
      <c r="Q1845" s="14">
        <v>46294</v>
      </c>
      <c r="R1845" s="15">
        <v>96</v>
      </c>
    </row>
    <row r="1846" spans="2:18" x14ac:dyDescent="0.35">
      <c r="B1846" s="9">
        <v>1982</v>
      </c>
      <c r="C1846" s="9" t="str">
        <v>출고재고</v>
      </c>
      <c r="D1846" s="9" t="str">
        <v/>
      </c>
      <c r="E1846" s="9" t="str">
        <v/>
      </c>
      <c r="F1846" s="9" t="str">
        <v/>
      </c>
      <c r="G1846" s="9" t="str">
        <v/>
      </c>
      <c r="H1846" s="9" t="str">
        <v>RA-02T-0045</v>
      </c>
      <c r="I1846" s="11" t="str">
        <v>RA-02T-0045]CAS VERT SUB BOT</v>
      </c>
      <c r="J1846" s="9">
        <v>150</v>
      </c>
      <c r="K1846" s="9" t="str">
        <v/>
      </c>
      <c r="L1846" s="9" t="str">
        <v>S</v>
      </c>
      <c r="M1846" s="12">
        <v>46295</v>
      </c>
      <c r="N1846" s="5" t="str">
        <v/>
      </c>
      <c r="O1846" s="5">
        <v>98670</v>
      </c>
      <c r="P1846" s="5">
        <v>6</v>
      </c>
      <c r="Q1846" s="14">
        <v>46295</v>
      </c>
      <c r="R1846" s="15">
        <v>144</v>
      </c>
    </row>
    <row r="1847" spans="2:18" x14ac:dyDescent="0.35">
      <c r="B1847" s="9">
        <v>1868</v>
      </c>
      <c r="C1847" s="9" t="str">
        <v>출고재고</v>
      </c>
      <c r="D1847" s="9" t="str">
        <v/>
      </c>
      <c r="E1847" s="9" t="str">
        <v/>
      </c>
      <c r="F1847" s="9" t="str">
        <v/>
      </c>
      <c r="G1847" s="9" t="str">
        <v/>
      </c>
      <c r="H1847" s="9" t="str">
        <v>RA-3-3A</v>
      </c>
      <c r="I1847" s="11" t="str">
        <v>RA-3-3A]DCM CONTROL-A</v>
      </c>
      <c r="J1847" s="9">
        <v>177</v>
      </c>
      <c r="K1847" s="9" t="str">
        <v/>
      </c>
      <c r="L1847" s="9" t="str">
        <v>G4</v>
      </c>
      <c r="M1847" s="12">
        <v>46295</v>
      </c>
      <c r="N1847" s="5" t="str">
        <v/>
      </c>
      <c r="O1847" s="5">
        <v>98670</v>
      </c>
      <c r="P1847" s="5">
        <v>30</v>
      </c>
      <c r="Q1847" s="14">
        <v>46294</v>
      </c>
      <c r="R1847" s="15">
        <v>147</v>
      </c>
    </row>
    <row r="1848" spans="2:18" x14ac:dyDescent="0.35">
      <c r="B1848" s="9">
        <v>1869</v>
      </c>
      <c r="C1848" s="9" t="str">
        <v>출고재고</v>
      </c>
      <c r="D1848" s="9" t="str">
        <v/>
      </c>
      <c r="E1848" s="9" t="str">
        <v/>
      </c>
      <c r="F1848" s="9" t="str">
        <v/>
      </c>
      <c r="G1848" s="9" t="str">
        <v/>
      </c>
      <c r="H1848" s="9" t="str">
        <v>RA-1-12</v>
      </c>
      <c r="I1848" s="11" t="str">
        <v>RA-1-12]DC POWER SMPS CONN</v>
      </c>
      <c r="J1848" s="9">
        <v>180</v>
      </c>
      <c r="K1848" s="9" t="str">
        <v/>
      </c>
      <c r="L1848" s="9" t="str">
        <v>G2-1</v>
      </c>
      <c r="M1848" s="12">
        <v>46295</v>
      </c>
      <c r="N1848" s="5" t="str">
        <v/>
      </c>
      <c r="O1848" s="5">
        <v>98670</v>
      </c>
      <c r="P1848" s="5">
        <v>30</v>
      </c>
      <c r="Q1848" s="14">
        <v>46294</v>
      </c>
      <c r="R1848" s="15">
        <v>150</v>
      </c>
    </row>
    <row r="1849" spans="2:18" x14ac:dyDescent="0.35">
      <c r="B1849" s="9">
        <v>1870</v>
      </c>
      <c r="C1849" s="9" t="str">
        <v>출고재고</v>
      </c>
      <c r="D1849" s="9" t="str">
        <v/>
      </c>
      <c r="E1849" s="9" t="str">
        <v/>
      </c>
      <c r="F1849" s="9" t="str">
        <v/>
      </c>
      <c r="G1849" s="9" t="str">
        <v/>
      </c>
      <c r="H1849" s="9" t="str">
        <v>RA-2-9</v>
      </c>
      <c r="I1849" s="11" t="str">
        <v>RA-2-9]ACT 2nd LIMIT</v>
      </c>
      <c r="J1849" s="9">
        <v>182</v>
      </c>
      <c r="K1849" s="9" t="str">
        <v/>
      </c>
      <c r="L1849" s="9" t="str">
        <v>G2-1</v>
      </c>
      <c r="M1849" s="12">
        <v>46295</v>
      </c>
      <c r="N1849" s="5" t="str">
        <v/>
      </c>
      <c r="O1849" s="5">
        <v>98670</v>
      </c>
      <c r="P1849" s="5">
        <v>30</v>
      </c>
      <c r="Q1849" s="14">
        <v>46294</v>
      </c>
      <c r="R1849" s="15">
        <v>152</v>
      </c>
    </row>
    <row r="1850" spans="2:18" x14ac:dyDescent="0.35">
      <c r="B1850" s="9">
        <v>1871</v>
      </c>
      <c r="C1850" s="9" t="str">
        <v>출고재고</v>
      </c>
      <c r="D1850" s="9" t="str">
        <v/>
      </c>
      <c r="E1850" s="9" t="str">
        <v/>
      </c>
      <c r="F1850" s="9" t="str">
        <v/>
      </c>
      <c r="G1850" s="9" t="str">
        <v/>
      </c>
      <c r="H1850" s="9" t="str">
        <v>RA-8-4</v>
      </c>
      <c r="I1850" s="11" t="str">
        <v>RA-8-4]AC POWER CEPH</v>
      </c>
      <c r="J1850" s="9">
        <v>185</v>
      </c>
      <c r="K1850" s="9" t="str">
        <v/>
      </c>
      <c r="L1850" s="9" t="str">
        <v>G4</v>
      </c>
      <c r="M1850" s="12">
        <v>46295</v>
      </c>
      <c r="N1850" s="5" t="str">
        <v/>
      </c>
      <c r="O1850" s="5">
        <v>98670</v>
      </c>
      <c r="P1850" s="5">
        <v>30</v>
      </c>
      <c r="Q1850" s="14">
        <v>46294</v>
      </c>
      <c r="R1850" s="15">
        <v>155</v>
      </c>
    </row>
    <row r="1851" spans="2:18" x14ac:dyDescent="0.35">
      <c r="B1851" s="9">
        <v>1872</v>
      </c>
      <c r="C1851" s="9" t="str">
        <v>출고재고</v>
      </c>
      <c r="D1851" s="9" t="str">
        <v/>
      </c>
      <c r="E1851" s="9" t="str">
        <v/>
      </c>
      <c r="F1851" s="9" t="str">
        <v/>
      </c>
      <c r="G1851" s="9" t="str">
        <v/>
      </c>
      <c r="H1851" s="9" t="str">
        <v>RA-5-8</v>
      </c>
      <c r="I1851" s="11" t="str">
        <v>RA-5-8]EARTH CTRL SMPS</v>
      </c>
      <c r="J1851" s="9">
        <v>196</v>
      </c>
      <c r="K1851" s="9" t="str">
        <v/>
      </c>
      <c r="L1851" s="9" t="str">
        <v>G3-2</v>
      </c>
      <c r="M1851" s="12">
        <v>46295</v>
      </c>
      <c r="N1851" s="5" t="str">
        <v/>
      </c>
      <c r="O1851" s="5">
        <v>98670</v>
      </c>
      <c r="P1851" s="5">
        <v>30</v>
      </c>
      <c r="Q1851" s="14">
        <v>46294</v>
      </c>
      <c r="R1851" s="15">
        <v>166</v>
      </c>
    </row>
    <row r="1852" spans="2:18" x14ac:dyDescent="0.35">
      <c r="B1852" s="9">
        <v>2174</v>
      </c>
      <c r="C1852" s="9" t="str">
        <v>출고재고</v>
      </c>
      <c r="D1852" s="9" t="str">
        <v/>
      </c>
      <c r="E1852" s="9" t="str">
        <v/>
      </c>
      <c r="F1852" s="9" t="str">
        <v/>
      </c>
      <c r="G1852" s="9" t="str">
        <v/>
      </c>
      <c r="H1852" s="9" t="str">
        <v>RA-2-4</v>
      </c>
      <c r="I1852" s="11" t="str">
        <v>RA-2-4]SERIAL POWER THU</v>
      </c>
      <c r="J1852" s="9">
        <v>204</v>
      </c>
      <c r="K1852" s="9" t="str">
        <v/>
      </c>
      <c r="L1852" s="9" t="str">
        <v>G2-1</v>
      </c>
      <c r="M1852" s="12">
        <v>46275</v>
      </c>
      <c r="N1852" s="5" t="str">
        <v/>
      </c>
      <c r="O1852" s="5">
        <v>98670</v>
      </c>
      <c r="P1852" s="5">
        <v>30</v>
      </c>
      <c r="Q1852" s="14">
        <v>46294</v>
      </c>
      <c r="R1852" s="15">
        <v>174</v>
      </c>
    </row>
    <row r="1853" spans="2:18" x14ac:dyDescent="0.35">
      <c r="B1853" s="9">
        <v>2506</v>
      </c>
      <c r="C1853" s="9" t="str">
        <v>출고재고</v>
      </c>
      <c r="D1853" s="9" t="str">
        <v/>
      </c>
      <c r="E1853" s="9" t="str">
        <v/>
      </c>
      <c r="F1853" s="9" t="str">
        <v/>
      </c>
      <c r="G1853" s="9" t="str">
        <v/>
      </c>
      <c r="H1853" s="9" t="str">
        <v>RA-10-1</v>
      </c>
      <c r="I1853" s="11" t="str">
        <v>RA-10-1]AC CABLE ASS’Y</v>
      </c>
      <c r="J1853" s="9">
        <v>220</v>
      </c>
      <c r="K1853" s="9" t="str">
        <v/>
      </c>
      <c r="L1853" s="9" t="str">
        <v>G4</v>
      </c>
      <c r="M1853" s="12">
        <v>46297</v>
      </c>
      <c r="N1853" s="5" t="str">
        <v/>
      </c>
      <c r="O1853" s="5">
        <v>98670</v>
      </c>
      <c r="P1853" s="5">
        <v>30</v>
      </c>
      <c r="Q1853" s="14">
        <v>46297</v>
      </c>
      <c r="R1853" s="15">
        <v>190</v>
      </c>
    </row>
    <row r="1854" spans="2:18" x14ac:dyDescent="0.35">
      <c r="B1854" s="9">
        <v>1874</v>
      </c>
      <c r="C1854" s="9" t="str">
        <v>출고재고</v>
      </c>
      <c r="D1854" s="9" t="str">
        <v/>
      </c>
      <c r="E1854" s="9" t="str">
        <v/>
      </c>
      <c r="F1854" s="9" t="str">
        <v/>
      </c>
      <c r="G1854" s="9" t="str">
        <v/>
      </c>
      <c r="H1854" s="9" t="str">
        <v>RA-05V-0199</v>
      </c>
      <c r="I1854" s="11" t="str">
        <v>RA-05V-0199]BRK PXD-200CT DRV PCB R</v>
      </c>
      <c r="J1854" s="9">
        <v>279</v>
      </c>
      <c r="K1854" s="9" t="str">
        <v/>
      </c>
      <c r="L1854" s="9" t="str">
        <v>H2-2</v>
      </c>
      <c r="M1854" s="12">
        <v>46295</v>
      </c>
      <c r="N1854" s="5" t="str">
        <v/>
      </c>
      <c r="O1854" s="5">
        <v>98670</v>
      </c>
      <c r="P1854" s="5">
        <v>30</v>
      </c>
      <c r="Q1854" s="14">
        <v>46294</v>
      </c>
      <c r="R1854" s="15">
        <v>249</v>
      </c>
    </row>
    <row r="1855" spans="2:18" x14ac:dyDescent="0.35">
      <c r="B1855" s="9">
        <v>1875</v>
      </c>
      <c r="C1855" s="9" t="str">
        <v>출고재고</v>
      </c>
      <c r="D1855" s="9" t="str">
        <v/>
      </c>
      <c r="E1855" s="9" t="str">
        <v/>
      </c>
      <c r="F1855" s="9" t="str">
        <v/>
      </c>
      <c r="G1855" s="9" t="str">
        <v/>
      </c>
      <c r="H1855" s="9" t="str">
        <v>RA-05V-0297</v>
      </c>
      <c r="I1855" s="11" t="str">
        <v>RA-05V-0297]BRK PXD-200CT DRV PCB L</v>
      </c>
      <c r="J1855" s="9">
        <v>284</v>
      </c>
      <c r="K1855" s="9" t="str">
        <v/>
      </c>
      <c r="L1855" s="9" t="str">
        <v>H2-2</v>
      </c>
      <c r="M1855" s="12">
        <v>46295</v>
      </c>
      <c r="N1855" s="5" t="str">
        <v/>
      </c>
      <c r="O1855" s="5">
        <v>98670</v>
      </c>
      <c r="P1855" s="5">
        <v>30</v>
      </c>
      <c r="Q1855" s="14">
        <v>46294</v>
      </c>
      <c r="R1855" s="15">
        <v>254</v>
      </c>
    </row>
    <row r="1856" spans="2:18" x14ac:dyDescent="0.35">
      <c r="B1856" s="9">
        <v>1876</v>
      </c>
      <c r="C1856" s="9" t="str">
        <v>출고재고</v>
      </c>
      <c r="D1856" s="9" t="str">
        <v/>
      </c>
      <c r="E1856" s="9" t="str">
        <v/>
      </c>
      <c r="F1856" s="9" t="str">
        <v/>
      </c>
      <c r="G1856" s="9" t="str">
        <v/>
      </c>
      <c r="H1856" s="9" t="str">
        <v>RA-5-10</v>
      </c>
      <c r="I1856" s="11" t="str">
        <v>RA-5-10]EARTH MOT SMPS(RPS)</v>
      </c>
      <c r="J1856" s="9">
        <v>305</v>
      </c>
      <c r="K1856" s="9" t="str">
        <v/>
      </c>
      <c r="L1856" s="9" t="str">
        <v>G3-2</v>
      </c>
      <c r="M1856" s="12">
        <v>46295</v>
      </c>
      <c r="N1856" s="5" t="str">
        <v/>
      </c>
      <c r="O1856" s="5">
        <v>98670</v>
      </c>
      <c r="P1856" s="5">
        <v>30</v>
      </c>
      <c r="Q1856" s="14">
        <v>46294</v>
      </c>
      <c r="R1856" s="15">
        <v>275</v>
      </c>
    </row>
    <row r="1857" spans="2:18" x14ac:dyDescent="0.35">
      <c r="B1857" s="9">
        <v>1877</v>
      </c>
      <c r="C1857" s="9" t="str">
        <v>출고재고</v>
      </c>
      <c r="D1857" s="9" t="str">
        <v/>
      </c>
      <c r="E1857" s="9" t="str">
        <v/>
      </c>
      <c r="F1857" s="9" t="str">
        <v/>
      </c>
      <c r="G1857" s="9" t="str">
        <v/>
      </c>
      <c r="H1857" s="9" t="str">
        <v>RA-04T-2524</v>
      </c>
      <c r="I1857" s="11" t="str">
        <v>RA-04T-2524]CAS CHINREST UPPER (A+)</v>
      </c>
      <c r="J1857" s="9">
        <v>504</v>
      </c>
      <c r="K1857" s="9" t="str">
        <v/>
      </c>
      <c r="L1857" s="9" t="str">
        <v>S</v>
      </c>
      <c r="M1857" s="12">
        <v>46295</v>
      </c>
      <c r="N1857" s="5" t="str">
        <v/>
      </c>
      <c r="O1857" s="5">
        <v>98670</v>
      </c>
      <c r="P1857" s="5">
        <v>30</v>
      </c>
      <c r="Q1857" s="14">
        <v>46294</v>
      </c>
      <c r="R1857" s="15">
        <v>474</v>
      </c>
    </row>
    <row r="1858" spans="2:18" x14ac:dyDescent="0.35">
      <c r="B1858" s="9">
        <v>1401</v>
      </c>
      <c r="C1858" s="9" t="str">
        <v>출고재고</v>
      </c>
      <c r="D1858" s="9" t="str">
        <v/>
      </c>
      <c r="E1858" s="9" t="str">
        <v/>
      </c>
      <c r="F1858" s="9" t="str">
        <v/>
      </c>
      <c r="G1858" s="9" t="str">
        <v/>
      </c>
      <c r="H1858" s="9" t="str">
        <v>RA-03T-0076</v>
      </c>
      <c r="I1858" s="11" t="str">
        <v>RA-03T-0076]CAS MIRROR DECO</v>
      </c>
      <c r="J1858" s="9">
        <v>1</v>
      </c>
      <c r="K1858" s="9" t="str">
        <v/>
      </c>
      <c r="L1858" s="9" t="str">
        <v>S</v>
      </c>
      <c r="M1858" s="12">
        <v>46283</v>
      </c>
      <c r="N1858" s="5" t="str">
        <v/>
      </c>
      <c r="O1858" s="5">
        <v>98671</v>
      </c>
      <c r="P1858" s="5">
        <v>1</v>
      </c>
      <c r="Q1858" s="14">
        <v>46295</v>
      </c>
      <c r="R1858" s="15">
        <v>0</v>
      </c>
    </row>
    <row r="1859" spans="2:18" x14ac:dyDescent="0.35">
      <c r="B1859" s="9">
        <v>1623</v>
      </c>
      <c r="C1859" s="9" t="str">
        <v>출고재고</v>
      </c>
      <c r="D1859" s="9" t="str">
        <v/>
      </c>
      <c r="E1859" s="9" t="str">
        <v/>
      </c>
      <c r="F1859" s="9" t="str">
        <v/>
      </c>
      <c r="G1859" s="9" t="str">
        <v/>
      </c>
      <c r="H1859" s="9" t="str">
        <v>RA-05V-2559</v>
      </c>
      <c r="I1859" s="11" t="str">
        <v>RA-05V-2559]CVR SUB MCU</v>
      </c>
      <c r="J1859" s="9">
        <v>30</v>
      </c>
      <c r="K1859" s="9" t="str">
        <v/>
      </c>
      <c r="L1859" s="9" t="str">
        <v>K5-3</v>
      </c>
      <c r="M1859" s="12">
        <v>46282</v>
      </c>
      <c r="N1859" s="5" t="str">
        <v/>
      </c>
      <c r="O1859" s="5">
        <v>98671</v>
      </c>
      <c r="P1859" s="5">
        <v>30</v>
      </c>
      <c r="Q1859" s="14">
        <v>46295</v>
      </c>
      <c r="R1859" s="15">
        <v>0</v>
      </c>
    </row>
    <row r="1860" spans="2:18" x14ac:dyDescent="0.35">
      <c r="B1860" s="9">
        <v>1878</v>
      </c>
      <c r="C1860" s="9" t="str">
        <v>출고재고</v>
      </c>
      <c r="D1860" s="9" t="str">
        <v/>
      </c>
      <c r="E1860" s="9" t="str">
        <v>입고</v>
      </c>
      <c r="F1860" s="9" t="str">
        <v>진광</v>
      </c>
      <c r="G1860" s="9" t="str">
        <v>장동은</v>
      </c>
      <c r="H1860" s="9" t="str">
        <v>RA-03T-0076</v>
      </c>
      <c r="I1860" s="11" t="str">
        <v>RA-03T-0076]CAS MIRROR DECO</v>
      </c>
      <c r="J1860" s="9">
        <v>45</v>
      </c>
      <c r="K1860" s="9" t="str">
        <v/>
      </c>
      <c r="L1860" s="9" t="str">
        <v>S</v>
      </c>
      <c r="M1860" s="12">
        <v>46293</v>
      </c>
      <c r="N1860" s="5" t="str">
        <v/>
      </c>
      <c r="O1860" s="5">
        <v>98671</v>
      </c>
      <c r="P1860" s="5">
        <v>29</v>
      </c>
      <c r="Q1860" s="14">
        <v>46295</v>
      </c>
      <c r="R1860" s="15">
        <v>16</v>
      </c>
    </row>
    <row r="1861" spans="2:18" x14ac:dyDescent="0.35">
      <c r="B1861" s="9">
        <v>1625</v>
      </c>
      <c r="C1861" s="9" t="str">
        <v>출고재고</v>
      </c>
      <c r="D1861" s="9" t="str">
        <v/>
      </c>
      <c r="E1861" s="9" t="str">
        <v/>
      </c>
      <c r="F1861" s="9" t="str">
        <v/>
      </c>
      <c r="G1861" s="9" t="str">
        <v/>
      </c>
      <c r="H1861" s="9" t="str">
        <v>RA-03A-0287</v>
      </c>
      <c r="I1861" s="11" t="str">
        <v>RA-03A-0287]ASM LEVER HORIZONTAL LASER</v>
      </c>
      <c r="J1861" s="9">
        <v>88</v>
      </c>
      <c r="K1861" s="9" t="str">
        <v/>
      </c>
      <c r="L1861" s="9" t="str">
        <v>B1-4</v>
      </c>
      <c r="M1861" s="12">
        <v>46282</v>
      </c>
      <c r="N1861" s="5" t="str">
        <v/>
      </c>
      <c r="O1861" s="5">
        <v>98671</v>
      </c>
      <c r="P1861" s="5">
        <v>30</v>
      </c>
      <c r="Q1861" s="14">
        <v>46295</v>
      </c>
      <c r="R1861" s="15">
        <v>58</v>
      </c>
    </row>
    <row r="1862" spans="2:18" x14ac:dyDescent="0.35">
      <c r="B1862" s="9">
        <v>1100</v>
      </c>
      <c r="C1862" s="9" t="str">
        <v>출고재고</v>
      </c>
      <c r="D1862" s="9" t="str">
        <v/>
      </c>
      <c r="E1862" s="9" t="str">
        <v>기초</v>
      </c>
      <c r="F1862" s="9" t="str">
        <v/>
      </c>
      <c r="G1862" s="9" t="str">
        <v/>
      </c>
      <c r="H1862" s="9" t="str">
        <v>RA-09V-2419</v>
      </c>
      <c r="I1862" s="11" t="str">
        <v>RA-09V-2419]PLT PHNT (VA+)</v>
      </c>
      <c r="J1862" s="9">
        <v>91</v>
      </c>
      <c r="K1862" s="9" t="str">
        <v/>
      </c>
      <c r="L1862" s="9" t="str">
        <v>H2-1</v>
      </c>
      <c r="M1862" s="12">
        <v>46276</v>
      </c>
      <c r="N1862" s="5" t="str">
        <v/>
      </c>
      <c r="O1862" s="5">
        <v>98671</v>
      </c>
      <c r="P1862" s="5">
        <v>30</v>
      </c>
      <c r="Q1862" s="14">
        <v>46295</v>
      </c>
      <c r="R1862" s="15">
        <v>61</v>
      </c>
    </row>
    <row r="1863" spans="2:18" x14ac:dyDescent="0.35">
      <c r="B1863" s="9">
        <v>1611</v>
      </c>
      <c r="C1863" s="9" t="str">
        <v>출고재고</v>
      </c>
      <c r="D1863" s="9" t="str">
        <v/>
      </c>
      <c r="E1863" s="9" t="str">
        <v/>
      </c>
      <c r="F1863" s="9" t="str">
        <v/>
      </c>
      <c r="G1863" s="9" t="str">
        <v/>
      </c>
      <c r="H1863" s="9" t="str">
        <v>RA-07M-2497</v>
      </c>
      <c r="I1863" s="11" t="str">
        <v>RA-07M-2497]CVR CT DET FRONT (A+ ODD)</v>
      </c>
      <c r="J1863" s="9">
        <v>124</v>
      </c>
      <c r="K1863" s="9" t="str">
        <v/>
      </c>
      <c r="L1863" s="9" t="str">
        <v>L2-3</v>
      </c>
      <c r="M1863" s="12">
        <v>46280</v>
      </c>
      <c r="N1863" s="5" t="str">
        <v/>
      </c>
      <c r="O1863" s="5">
        <v>98671</v>
      </c>
      <c r="P1863" s="5">
        <v>30</v>
      </c>
      <c r="Q1863" s="14">
        <v>46295</v>
      </c>
      <c r="R1863" s="15">
        <v>94</v>
      </c>
    </row>
    <row r="1864" spans="2:18" x14ac:dyDescent="0.35">
      <c r="B1864" s="9">
        <v>1626</v>
      </c>
      <c r="C1864" s="9" t="str">
        <v>출고재고</v>
      </c>
      <c r="D1864" s="9" t="str">
        <v/>
      </c>
      <c r="E1864" s="9" t="str">
        <v/>
      </c>
      <c r="F1864" s="9" t="str">
        <v/>
      </c>
      <c r="G1864" s="9" t="str">
        <v/>
      </c>
      <c r="H1864" s="9" t="str">
        <v>RA-7-3</v>
      </c>
      <c r="I1864" s="11" t="str">
        <v>RA-7-3]LAN PC</v>
      </c>
      <c r="J1864" s="9">
        <v>171</v>
      </c>
      <c r="K1864" s="9" t="str">
        <v/>
      </c>
      <c r="L1864" s="9" t="str">
        <v>G4</v>
      </c>
      <c r="M1864" s="12">
        <v>46282</v>
      </c>
      <c r="N1864" s="5" t="str">
        <v/>
      </c>
      <c r="O1864" s="5">
        <v>98671</v>
      </c>
      <c r="P1864" s="5">
        <v>30</v>
      </c>
      <c r="Q1864" s="14">
        <v>46295</v>
      </c>
      <c r="R1864" s="15">
        <v>141</v>
      </c>
    </row>
    <row r="1865" spans="2:18" x14ac:dyDescent="0.35">
      <c r="B1865" s="9">
        <v>1102</v>
      </c>
      <c r="C1865" s="9" t="str">
        <v>출고재고</v>
      </c>
      <c r="D1865" s="9" t="str">
        <v/>
      </c>
      <c r="E1865" s="9" t="str">
        <v>기초</v>
      </c>
      <c r="F1865" s="9" t="str">
        <v/>
      </c>
      <c r="G1865" s="9" t="str">
        <v/>
      </c>
      <c r="H1865" s="9" t="str">
        <v>RA-06T-2144</v>
      </c>
      <c r="I1865" s="11" t="str">
        <v>RA-06T-2144]DECO WINDOW COL</v>
      </c>
      <c r="J1865" s="9">
        <v>178</v>
      </c>
      <c r="K1865" s="9" t="str">
        <v/>
      </c>
      <c r="L1865" s="9" t="str">
        <v>L2-2</v>
      </c>
      <c r="M1865" s="12">
        <v>46276</v>
      </c>
      <c r="N1865" s="5" t="str">
        <v/>
      </c>
      <c r="O1865" s="5">
        <v>98671</v>
      </c>
      <c r="P1865" s="5">
        <v>30</v>
      </c>
      <c r="Q1865" s="14">
        <v>46295</v>
      </c>
      <c r="R1865" s="15">
        <v>148</v>
      </c>
    </row>
    <row r="1866" spans="2:18" x14ac:dyDescent="0.35">
      <c r="B1866" s="9">
        <v>1619</v>
      </c>
      <c r="C1866" s="9" t="str">
        <v>출고재고</v>
      </c>
      <c r="D1866" s="9" t="str">
        <v/>
      </c>
      <c r="E1866" s="9" t="str">
        <v/>
      </c>
      <c r="F1866" s="9" t="str">
        <v/>
      </c>
      <c r="G1866" s="9" t="str">
        <v/>
      </c>
      <c r="H1866" s="9" t="str">
        <v>RA-03M-2064</v>
      </c>
      <c r="I1866" s="11" t="str">
        <v>RA-03M-2064]PLT MIRROR (A+)</v>
      </c>
      <c r="J1866" s="9">
        <v>184</v>
      </c>
      <c r="K1866" s="9" t="str">
        <v/>
      </c>
      <c r="L1866" s="9" t="str">
        <v>L2-1</v>
      </c>
      <c r="M1866" s="12">
        <v>46280</v>
      </c>
      <c r="N1866" s="5" t="str">
        <v/>
      </c>
      <c r="O1866" s="5">
        <v>98671</v>
      </c>
      <c r="P1866" s="5">
        <v>30</v>
      </c>
      <c r="Q1866" s="14">
        <v>46295</v>
      </c>
      <c r="R1866" s="15">
        <v>154</v>
      </c>
    </row>
    <row r="1867" spans="2:18" x14ac:dyDescent="0.35">
      <c r="B1867" s="9">
        <v>1627</v>
      </c>
      <c r="C1867" s="9" t="str">
        <v>출고재고</v>
      </c>
      <c r="D1867" s="9" t="str">
        <v/>
      </c>
      <c r="E1867" s="9" t="str">
        <v/>
      </c>
      <c r="F1867" s="9" t="str">
        <v/>
      </c>
      <c r="G1867" s="9" t="str">
        <v/>
      </c>
      <c r="H1867" s="9" t="str">
        <v>RA-05V-0186</v>
      </c>
      <c r="I1867" s="11" t="str">
        <v>RA-05V-0186]BRK CAS ROT TOP</v>
      </c>
      <c r="J1867" s="9">
        <v>201</v>
      </c>
      <c r="K1867" s="9" t="str">
        <v/>
      </c>
      <c r="L1867" s="9" t="str">
        <v>W</v>
      </c>
      <c r="M1867" s="12">
        <v>46282</v>
      </c>
      <c r="N1867" s="5" t="str">
        <v/>
      </c>
      <c r="O1867" s="5">
        <v>98671</v>
      </c>
      <c r="P1867" s="5">
        <v>60</v>
      </c>
      <c r="Q1867" s="14">
        <v>46295</v>
      </c>
      <c r="R1867" s="15">
        <v>141</v>
      </c>
    </row>
    <row r="1868" spans="2:18" x14ac:dyDescent="0.35">
      <c r="B1868" s="9">
        <v>1628</v>
      </c>
      <c r="C1868" s="9" t="str">
        <v>출고재고</v>
      </c>
      <c r="D1868" s="9" t="str">
        <v/>
      </c>
      <c r="E1868" s="9" t="str">
        <v/>
      </c>
      <c r="F1868" s="9" t="str">
        <v/>
      </c>
      <c r="G1868" s="9" t="str">
        <v/>
      </c>
      <c r="H1868" s="9" t="str">
        <v>RA-04T-0144</v>
      </c>
      <c r="I1868" s="11" t="str">
        <v>RA-04T-0144]CAS CHINREST BOT</v>
      </c>
      <c r="J1868" s="9">
        <v>266</v>
      </c>
      <c r="K1868" s="9" t="str">
        <v/>
      </c>
      <c r="L1868" s="9" t="str">
        <v>S</v>
      </c>
      <c r="M1868" s="12">
        <v>46282</v>
      </c>
      <c r="N1868" s="5" t="str">
        <v/>
      </c>
      <c r="O1868" s="5">
        <v>98671</v>
      </c>
      <c r="P1868" s="5">
        <v>30</v>
      </c>
      <c r="Q1868" s="14">
        <v>46295</v>
      </c>
      <c r="R1868" s="15">
        <v>236</v>
      </c>
    </row>
    <row r="1869" spans="2:18" x14ac:dyDescent="0.35">
      <c r="B1869" s="9">
        <v>1614</v>
      </c>
      <c r="C1869" s="9" t="str">
        <v>출고재고</v>
      </c>
      <c r="D1869" s="9" t="str">
        <v/>
      </c>
      <c r="E1869" s="9" t="str">
        <v/>
      </c>
      <c r="F1869" s="9" t="str">
        <v/>
      </c>
      <c r="G1869" s="9" t="str">
        <v/>
      </c>
      <c r="H1869" s="9" t="str">
        <v>RA-06M-2299</v>
      </c>
      <c r="I1869" s="11" t="str">
        <v>RA-06M-2299]PLT MIRROR TUBE CAS R (A+)</v>
      </c>
      <c r="J1869" s="9">
        <v>324</v>
      </c>
      <c r="K1869" s="9" t="str">
        <v/>
      </c>
      <c r="L1869" s="9" t="str">
        <v>L2-2</v>
      </c>
      <c r="M1869" s="12">
        <v>46280</v>
      </c>
      <c r="N1869" s="5" t="str">
        <v/>
      </c>
      <c r="O1869" s="5">
        <v>98671</v>
      </c>
      <c r="P1869" s="5">
        <v>30</v>
      </c>
      <c r="Q1869" s="14">
        <v>46295</v>
      </c>
      <c r="R1869" s="15">
        <v>294</v>
      </c>
    </row>
    <row r="1870" spans="2:18" x14ac:dyDescent="0.35">
      <c r="B1870" s="9">
        <v>1613</v>
      </c>
      <c r="C1870" s="9" t="str">
        <v>출고재고</v>
      </c>
      <c r="D1870" s="9" t="str">
        <v/>
      </c>
      <c r="E1870" s="9" t="str">
        <v/>
      </c>
      <c r="F1870" s="9" t="str">
        <v/>
      </c>
      <c r="G1870" s="9" t="str">
        <v/>
      </c>
      <c r="H1870" s="9" t="str">
        <v>RA-06M-2298</v>
      </c>
      <c r="I1870" s="11" t="str">
        <v>RA-06M-2298]PLT MIRROR TUBE CAS L (A+)</v>
      </c>
      <c r="J1870" s="9">
        <v>408</v>
      </c>
      <c r="K1870" s="9" t="str">
        <v/>
      </c>
      <c r="L1870" s="9" t="str">
        <v>L2-2</v>
      </c>
      <c r="M1870" s="12">
        <v>46280</v>
      </c>
      <c r="N1870" s="5" t="str">
        <v/>
      </c>
      <c r="O1870" s="5">
        <v>98671</v>
      </c>
      <c r="P1870" s="5">
        <v>30</v>
      </c>
      <c r="Q1870" s="14">
        <v>46295</v>
      </c>
      <c r="R1870" s="15">
        <v>378</v>
      </c>
    </row>
    <row r="1871" spans="2:18" x14ac:dyDescent="0.35">
      <c r="B1871" s="9">
        <v>1629</v>
      </c>
      <c r="C1871" s="9" t="str">
        <v>출고재고</v>
      </c>
      <c r="D1871" s="9" t="str">
        <v/>
      </c>
      <c r="E1871" s="9" t="str">
        <v/>
      </c>
      <c r="F1871" s="9" t="str">
        <v/>
      </c>
      <c r="G1871" s="9" t="str">
        <v/>
      </c>
      <c r="H1871" s="9" t="str">
        <v>RA-05T-0207</v>
      </c>
      <c r="I1871" s="11" t="str">
        <v>RA-05T-0207]CAS ROT BOT DECO</v>
      </c>
      <c r="J1871" s="9">
        <v>418</v>
      </c>
      <c r="K1871" s="9" t="str">
        <v/>
      </c>
      <c r="L1871" s="9" t="str">
        <v>R</v>
      </c>
      <c r="M1871" s="12">
        <v>46282</v>
      </c>
      <c r="N1871" s="5" t="str">
        <v/>
      </c>
      <c r="O1871" s="5">
        <v>98671</v>
      </c>
      <c r="P1871" s="5">
        <v>30</v>
      </c>
      <c r="Q1871" s="14">
        <v>46295</v>
      </c>
      <c r="R1871" s="15">
        <v>388</v>
      </c>
    </row>
    <row r="1872" spans="2:18" x14ac:dyDescent="0.35">
      <c r="B1872" s="9">
        <v>1616</v>
      </c>
      <c r="C1872" s="9" t="str">
        <v>출고재고</v>
      </c>
      <c r="D1872" s="9" t="str">
        <v/>
      </c>
      <c r="E1872" s="9" t="str">
        <v/>
      </c>
      <c r="F1872" s="9" t="str">
        <v/>
      </c>
      <c r="G1872" s="9" t="str">
        <v/>
      </c>
      <c r="H1872" s="9" t="str">
        <v>RA-06V-0249</v>
      </c>
      <c r="I1872" s="11" t="str">
        <v>RA-06V-0249]HLDR CAS TUBE TNK REAR</v>
      </c>
      <c r="J1872" s="9">
        <v>510</v>
      </c>
      <c r="K1872" s="9" t="str">
        <v/>
      </c>
      <c r="L1872" s="9" t="str">
        <v>W</v>
      </c>
      <c r="M1872" s="12">
        <v>46280</v>
      </c>
      <c r="N1872" s="5" t="str">
        <v/>
      </c>
      <c r="O1872" s="5">
        <v>98671</v>
      </c>
      <c r="P1872" s="5">
        <v>60</v>
      </c>
      <c r="Q1872" s="14">
        <v>46295</v>
      </c>
      <c r="R1872" s="15">
        <v>450</v>
      </c>
    </row>
    <row r="1873" spans="2:18" x14ac:dyDescent="0.35">
      <c r="B1873" s="9">
        <v>1101</v>
      </c>
      <c r="C1873" s="9" t="str">
        <v>출고재고</v>
      </c>
      <c r="D1873" s="9" t="str">
        <v/>
      </c>
      <c r="E1873" s="9" t="str">
        <v>기초</v>
      </c>
      <c r="F1873" s="9" t="str">
        <v/>
      </c>
      <c r="G1873" s="9" t="str">
        <v/>
      </c>
      <c r="H1873" s="9" t="str">
        <v>RA-09M-2269</v>
      </c>
      <c r="I1873" s="11" t="str">
        <v>RA-09M-2269]SCREW FIX PHNT (A+)</v>
      </c>
      <c r="J1873" s="9">
        <v>600</v>
      </c>
      <c r="K1873" s="9" t="str">
        <v/>
      </c>
      <c r="L1873" s="9" t="str">
        <v>W</v>
      </c>
      <c r="M1873" s="12">
        <v>46276</v>
      </c>
      <c r="N1873" s="5" t="str">
        <v/>
      </c>
      <c r="O1873" s="5">
        <v>98671</v>
      </c>
      <c r="P1873" s="5">
        <v>120</v>
      </c>
      <c r="Q1873" s="14">
        <v>46295</v>
      </c>
      <c r="R1873" s="15">
        <v>480</v>
      </c>
    </row>
    <row r="1874" spans="2:18" x14ac:dyDescent="0.35">
      <c r="B1874" s="9">
        <v>518</v>
      </c>
      <c r="C1874" s="9" t="str">
        <v>출고재고</v>
      </c>
      <c r="D1874" s="9" t="str">
        <v/>
      </c>
      <c r="E1874" s="9" t="str">
        <v/>
      </c>
      <c r="F1874" s="9" t="str">
        <v/>
      </c>
      <c r="G1874" s="9" t="str">
        <v/>
      </c>
      <c r="H1874" s="9" t="str">
        <v>RF-01T-0173</v>
      </c>
      <c r="I1874" s="11" t="str">
        <v>RF-01T-0173]ARM CVR REAR DECO</v>
      </c>
      <c r="J1874" s="9">
        <v>720</v>
      </c>
      <c r="K1874" s="9" t="str">
        <v/>
      </c>
      <c r="L1874" s="9" t="str">
        <v>3B8</v>
      </c>
      <c r="M1874" s="12">
        <v>46268</v>
      </c>
      <c r="N1874" s="5" t="str">
        <v/>
      </c>
      <c r="O1874" s="5">
        <v>98675</v>
      </c>
      <c r="P1874" s="5">
        <v>1</v>
      </c>
      <c r="Q1874" s="14">
        <v>46280</v>
      </c>
      <c r="R1874" s="15">
        <v>719</v>
      </c>
    </row>
    <row r="1875" spans="2:18" x14ac:dyDescent="0.35">
      <c r="B1875" s="9">
        <v>2210</v>
      </c>
      <c r="C1875" s="9" t="str">
        <v>출고재고</v>
      </c>
      <c r="D1875" s="9" t="str">
        <v/>
      </c>
      <c r="E1875" s="9" t="str">
        <v/>
      </c>
      <c r="F1875" s="9" t="str">
        <v/>
      </c>
      <c r="G1875" s="9" t="str">
        <v/>
      </c>
      <c r="H1875" s="9" t="str">
        <v>RA-04V-1708</v>
      </c>
      <c r="I1875" s="11" t="str">
        <v>RA-04V-1708]CVR THU Bd</v>
      </c>
      <c r="J1875" s="9">
        <v>6</v>
      </c>
      <c r="K1875" s="9" t="str">
        <v/>
      </c>
      <c r="L1875" s="9" t="str">
        <v>B3-3</v>
      </c>
      <c r="M1875" s="12">
        <v>46294</v>
      </c>
      <c r="N1875" s="5" t="str">
        <v/>
      </c>
      <c r="O1875" s="5">
        <v>98677</v>
      </c>
      <c r="P1875" s="5">
        <v>6</v>
      </c>
      <c r="Q1875" s="14">
        <v>46295</v>
      </c>
      <c r="R1875" s="15">
        <v>0</v>
      </c>
    </row>
    <row r="1876" spans="2:18" x14ac:dyDescent="0.35">
      <c r="B1876" s="9">
        <v>2515</v>
      </c>
      <c r="C1876" s="9" t="str">
        <v>출고재고</v>
      </c>
      <c r="D1876" s="9" t="str">
        <v/>
      </c>
      <c r="E1876" s="9" t="str">
        <v/>
      </c>
      <c r="F1876" s="9" t="str">
        <v/>
      </c>
      <c r="G1876" s="9" t="str">
        <v/>
      </c>
      <c r="H1876" s="9" t="str">
        <v>RA-04A-6035</v>
      </c>
      <c r="I1876" s="11" t="str">
        <v>RA-04A-6035_4]Bd ASSY'-THU Bd</v>
      </c>
      <c r="J1876" s="9">
        <v>35</v>
      </c>
      <c r="K1876" s="9" t="str">
        <v/>
      </c>
      <c r="L1876" s="9" t="str">
        <v>A1-1</v>
      </c>
      <c r="M1876" s="12">
        <v>46296</v>
      </c>
      <c r="N1876" s="5" t="str">
        <v/>
      </c>
      <c r="O1876" s="5">
        <v>98677</v>
      </c>
      <c r="P1876" s="5">
        <v>10</v>
      </c>
      <c r="Q1876" s="14">
        <v>46296</v>
      </c>
      <c r="R1876" s="15">
        <v>25</v>
      </c>
    </row>
    <row r="1877" spans="2:18" x14ac:dyDescent="0.35">
      <c r="B1877" s="9">
        <v>2006</v>
      </c>
      <c r="C1877" s="9" t="str">
        <v>출고재고</v>
      </c>
      <c r="D1877" s="9" t="str">
        <v/>
      </c>
      <c r="E1877" s="9" t="str">
        <v/>
      </c>
      <c r="F1877" s="9" t="str">
        <v/>
      </c>
      <c r="G1877" s="9" t="str">
        <v/>
      </c>
      <c r="H1877" s="9" t="str">
        <v>RA-04A-2748</v>
      </c>
      <c r="I1877" s="11" t="str">
        <v>RA-04A-2748]ASM ARM SUB (A+) (VN)</v>
      </c>
      <c r="J1877" s="9">
        <v>47</v>
      </c>
      <c r="K1877" s="9" t="str">
        <v/>
      </c>
      <c r="L1877" s="9" t="str">
        <v>T</v>
      </c>
      <c r="M1877" s="12">
        <v>46294</v>
      </c>
      <c r="N1877" s="5" t="str">
        <v/>
      </c>
      <c r="O1877" s="5">
        <v>98677</v>
      </c>
      <c r="P1877" s="5">
        <v>10</v>
      </c>
      <c r="Q1877" s="14">
        <v>46295</v>
      </c>
      <c r="R1877" s="15">
        <v>37</v>
      </c>
    </row>
    <row r="1878" spans="2:18" x14ac:dyDescent="0.35">
      <c r="B1878" s="9">
        <v>1803</v>
      </c>
      <c r="C1878" s="9" t="str">
        <v>출고재고</v>
      </c>
      <c r="D1878" s="9" t="str">
        <v/>
      </c>
      <c r="E1878" s="9" t="str">
        <v/>
      </c>
      <c r="F1878" s="9" t="str">
        <v/>
      </c>
      <c r="G1878" s="9" t="str">
        <v/>
      </c>
      <c r="H1878" s="9" t="str">
        <v>RA-03V-1639</v>
      </c>
      <c r="I1878" s="11" t="str">
        <v>RA-03V-1639]PLT ELECT COMPONENT (VA)</v>
      </c>
      <c r="J1878" s="9">
        <v>48</v>
      </c>
      <c r="K1878" s="9" t="str">
        <v/>
      </c>
      <c r="L1878" s="9" t="str">
        <v>M2</v>
      </c>
      <c r="M1878" s="12">
        <v>46294</v>
      </c>
      <c r="N1878" s="5" t="str">
        <v/>
      </c>
      <c r="O1878" s="5">
        <v>98677</v>
      </c>
      <c r="P1878" s="5">
        <v>10</v>
      </c>
      <c r="Q1878" s="14">
        <v>46295</v>
      </c>
      <c r="R1878" s="15">
        <v>38</v>
      </c>
    </row>
    <row r="1879" spans="2:18" x14ac:dyDescent="0.35">
      <c r="B1879" s="9">
        <v>1812</v>
      </c>
      <c r="C1879" s="9" t="str">
        <v>출고재고</v>
      </c>
      <c r="D1879" s="9" t="str">
        <v/>
      </c>
      <c r="E1879" s="9" t="str">
        <v/>
      </c>
      <c r="F1879" s="9" t="str">
        <v/>
      </c>
      <c r="G1879" s="9" t="str">
        <v/>
      </c>
      <c r="H1879" s="9" t="str">
        <v>RA-5-1</v>
      </c>
      <c r="I1879" s="11" t="str">
        <v>RA-5-1]EARTH NF</v>
      </c>
      <c r="J1879" s="9">
        <v>50</v>
      </c>
      <c r="K1879" s="9" t="str">
        <v/>
      </c>
      <c r="L1879" s="9" t="str">
        <v>G3-2</v>
      </c>
      <c r="M1879" s="12">
        <v>46294</v>
      </c>
      <c r="N1879" s="5" t="str">
        <v/>
      </c>
      <c r="O1879" s="5">
        <v>98677</v>
      </c>
      <c r="P1879" s="5">
        <v>10</v>
      </c>
      <c r="Q1879" s="14">
        <v>46295</v>
      </c>
      <c r="R1879" s="15">
        <v>40</v>
      </c>
    </row>
    <row r="1880" spans="2:18" x14ac:dyDescent="0.35">
      <c r="B1880" s="9">
        <v>1813</v>
      </c>
      <c r="C1880" s="9" t="str">
        <v>출고재고</v>
      </c>
      <c r="D1880" s="9" t="str">
        <v/>
      </c>
      <c r="E1880" s="9" t="str">
        <v/>
      </c>
      <c r="F1880" s="9" t="str">
        <v/>
      </c>
      <c r="G1880" s="9" t="str">
        <v/>
      </c>
      <c r="H1880" s="9" t="str">
        <v>RA-04V-0117</v>
      </c>
      <c r="I1880" s="11" t="str">
        <v>RA-04V-0117] ARM MONITOR</v>
      </c>
      <c r="J1880" s="9">
        <v>72</v>
      </c>
      <c r="K1880" s="9" t="str">
        <v/>
      </c>
      <c r="L1880" s="9" t="str">
        <v>H1</v>
      </c>
      <c r="M1880" s="12">
        <v>46294</v>
      </c>
      <c r="N1880" s="5" t="str">
        <v/>
      </c>
      <c r="O1880" s="5">
        <v>98677</v>
      </c>
      <c r="P1880" s="5">
        <v>10</v>
      </c>
      <c r="Q1880" s="14">
        <v>46295</v>
      </c>
      <c r="R1880" s="15">
        <v>62</v>
      </c>
    </row>
    <row r="1881" spans="2:18" x14ac:dyDescent="0.35">
      <c r="B1881" s="9">
        <v>2172</v>
      </c>
      <c r="C1881" s="9" t="str">
        <v>출고재고</v>
      </c>
      <c r="D1881" s="9" t="str">
        <v/>
      </c>
      <c r="E1881" s="9" t="str">
        <v/>
      </c>
      <c r="F1881" s="9" t="str">
        <v/>
      </c>
      <c r="G1881" s="9" t="str">
        <v/>
      </c>
      <c r="H1881" s="9" t="str">
        <v>RA-03S-6045</v>
      </c>
      <c r="I1881" s="11" t="str">
        <v>RA-03S-6045]SMPS-RPS-200-24V</v>
      </c>
      <c r="J1881" s="9">
        <v>75</v>
      </c>
      <c r="K1881" s="9" t="str">
        <v/>
      </c>
      <c r="L1881" s="9" t="str">
        <v>A12-4</v>
      </c>
      <c r="M1881" s="12">
        <v>46275</v>
      </c>
      <c r="N1881" s="5" t="str">
        <v/>
      </c>
      <c r="O1881" s="5">
        <v>98677</v>
      </c>
      <c r="P1881" s="5">
        <v>10</v>
      </c>
      <c r="Q1881" s="14">
        <v>46295</v>
      </c>
      <c r="R1881" s="15">
        <v>65</v>
      </c>
    </row>
    <row r="1882" spans="2:18" x14ac:dyDescent="0.35">
      <c r="B1882" s="9">
        <v>2212</v>
      </c>
      <c r="C1882" s="9" t="str">
        <v>출고재고</v>
      </c>
      <c r="D1882" s="9" t="str">
        <v/>
      </c>
      <c r="E1882" s="9" t="str">
        <v/>
      </c>
      <c r="F1882" s="9" t="str">
        <v/>
      </c>
      <c r="G1882" s="9" t="str">
        <v/>
      </c>
      <c r="H1882" s="9" t="str">
        <v>RA-04S-5174</v>
      </c>
      <c r="I1882" s="11" t="str">
        <v>RA-04S-5174]THU Cable Ass'y</v>
      </c>
      <c r="J1882" s="9">
        <v>77</v>
      </c>
      <c r="K1882" s="9" t="str">
        <v/>
      </c>
      <c r="L1882" s="9" t="str">
        <v>B2-2</v>
      </c>
      <c r="M1882" s="12">
        <v>46294</v>
      </c>
      <c r="N1882" s="5" t="str">
        <v/>
      </c>
      <c r="O1882" s="5">
        <v>98677</v>
      </c>
      <c r="P1882" s="5">
        <v>10</v>
      </c>
      <c r="Q1882" s="14">
        <v>46295</v>
      </c>
      <c r="R1882" s="15">
        <v>67</v>
      </c>
    </row>
    <row r="1883" spans="2:18" x14ac:dyDescent="0.35">
      <c r="B1883" s="9">
        <v>2213</v>
      </c>
      <c r="C1883" s="9" t="str">
        <v>출고재고</v>
      </c>
      <c r="D1883" s="9" t="str">
        <v/>
      </c>
      <c r="E1883" s="9" t="str">
        <v/>
      </c>
      <c r="F1883" s="9" t="str">
        <v/>
      </c>
      <c r="G1883" s="9" t="str">
        <v/>
      </c>
      <c r="H1883" s="9" t="str">
        <v>RA-04V-1709</v>
      </c>
      <c r="I1883" s="11" t="str">
        <v>RA-04V-1709]BRK THU Bd</v>
      </c>
      <c r="J1883" s="9">
        <v>83</v>
      </c>
      <c r="K1883" s="9" t="str">
        <v/>
      </c>
      <c r="L1883" s="9" t="str">
        <v>B3-1</v>
      </c>
      <c r="M1883" s="12">
        <v>46294</v>
      </c>
      <c r="N1883" s="5" t="str">
        <v/>
      </c>
      <c r="O1883" s="5">
        <v>98677</v>
      </c>
      <c r="P1883" s="5">
        <v>10</v>
      </c>
      <c r="Q1883" s="14">
        <v>46295</v>
      </c>
      <c r="R1883" s="15">
        <v>73</v>
      </c>
    </row>
    <row r="1884" spans="2:18" x14ac:dyDescent="0.35">
      <c r="B1884" s="9">
        <v>1818</v>
      </c>
      <c r="C1884" s="9" t="str">
        <v>출고재고</v>
      </c>
      <c r="D1884" s="9" t="str">
        <v/>
      </c>
      <c r="E1884" s="9" t="str">
        <v/>
      </c>
      <c r="F1884" s="9" t="str">
        <v/>
      </c>
      <c r="G1884" s="9" t="str">
        <v/>
      </c>
      <c r="H1884" s="9" t="str">
        <v>RA-03S-5176</v>
      </c>
      <c r="I1884" s="11" t="str">
        <v>RA-03S-5176]NOISE FILTER RSHN2016</v>
      </c>
      <c r="J1884" s="9">
        <v>85</v>
      </c>
      <c r="K1884" s="9" t="str">
        <v/>
      </c>
      <c r="L1884" s="9" t="str">
        <v>A12-4</v>
      </c>
      <c r="M1884" s="12">
        <v>46294</v>
      </c>
      <c r="N1884" s="5" t="str">
        <v/>
      </c>
      <c r="O1884" s="5">
        <v>98677</v>
      </c>
      <c r="P1884" s="5">
        <v>10</v>
      </c>
      <c r="Q1884" s="14">
        <v>46295</v>
      </c>
      <c r="R1884" s="15">
        <v>75</v>
      </c>
    </row>
    <row r="1885" spans="2:18" x14ac:dyDescent="0.35">
      <c r="B1885" s="9">
        <v>1814</v>
      </c>
      <c r="C1885" s="9" t="str">
        <v>출고재고</v>
      </c>
      <c r="D1885" s="9" t="str">
        <v/>
      </c>
      <c r="E1885" s="9" t="str">
        <v/>
      </c>
      <c r="F1885" s="9" t="str">
        <v/>
      </c>
      <c r="G1885" s="9" t="str">
        <v/>
      </c>
      <c r="H1885" s="9" t="str">
        <v>RA-03S-5013</v>
      </c>
      <c r="I1885" s="11" t="str">
        <v>RA-03S-5013]Mgnet CONTECTOR-LP1K0910BD</v>
      </c>
      <c r="J1885" s="9">
        <v>87</v>
      </c>
      <c r="K1885" s="9" t="str">
        <v/>
      </c>
      <c r="L1885" s="9" t="str">
        <v>A13-4</v>
      </c>
      <c r="M1885" s="12">
        <v>46294</v>
      </c>
      <c r="N1885" s="5" t="str">
        <v/>
      </c>
      <c r="O1885" s="5">
        <v>98677</v>
      </c>
      <c r="P1885" s="5">
        <v>10</v>
      </c>
      <c r="Q1885" s="14">
        <v>46295</v>
      </c>
      <c r="R1885" s="15">
        <v>77</v>
      </c>
    </row>
    <row r="1886" spans="2:18" x14ac:dyDescent="0.35">
      <c r="B1886" s="9">
        <v>2209</v>
      </c>
      <c r="C1886" s="9" t="str">
        <v>출고재고</v>
      </c>
      <c r="D1886" s="9" t="str">
        <v/>
      </c>
      <c r="E1886" s="9" t="str">
        <v/>
      </c>
      <c r="F1886" s="9" t="str">
        <v/>
      </c>
      <c r="G1886" s="9" t="str">
        <v/>
      </c>
      <c r="H1886" s="9" t="str">
        <v>RA-04A-1926</v>
      </c>
      <c r="I1886" s="11" t="str">
        <v>RA-04A-1926]ASM CHINREST SUB</v>
      </c>
      <c r="J1886" s="9">
        <v>96</v>
      </c>
      <c r="K1886" s="9" t="str">
        <v/>
      </c>
      <c r="L1886" s="9" t="str">
        <v>O2</v>
      </c>
      <c r="M1886" s="12">
        <v>46294</v>
      </c>
      <c r="N1886" s="5" t="str">
        <v/>
      </c>
      <c r="O1886" s="5">
        <v>98677</v>
      </c>
      <c r="P1886" s="5">
        <v>10</v>
      </c>
      <c r="Q1886" s="14">
        <v>46295</v>
      </c>
      <c r="R1886" s="15">
        <v>86</v>
      </c>
    </row>
    <row r="1887" spans="2:18" x14ac:dyDescent="0.35">
      <c r="B1887" s="9">
        <v>2214</v>
      </c>
      <c r="C1887" s="9" t="str">
        <v>출고재고</v>
      </c>
      <c r="D1887" s="9" t="str">
        <v/>
      </c>
      <c r="E1887" s="9" t="str">
        <v/>
      </c>
      <c r="F1887" s="9" t="str">
        <v/>
      </c>
      <c r="G1887" s="9" t="str">
        <v/>
      </c>
      <c r="H1887" s="9" t="str">
        <v>RA-04M-1339</v>
      </c>
      <c r="I1887" s="11" t="str">
        <v>RA-04M-1339]BLK HEADREST FIX BAR-R</v>
      </c>
      <c r="J1887" s="9">
        <v>101</v>
      </c>
      <c r="K1887" s="9" t="str">
        <v/>
      </c>
      <c r="L1887" s="9" t="str">
        <v>B1-5</v>
      </c>
      <c r="M1887" s="12">
        <v>46294</v>
      </c>
      <c r="N1887" s="5" t="str">
        <v/>
      </c>
      <c r="O1887" s="5">
        <v>98677</v>
      </c>
      <c r="P1887" s="5">
        <v>10</v>
      </c>
      <c r="Q1887" s="14">
        <v>46295</v>
      </c>
      <c r="R1887" s="15">
        <v>91</v>
      </c>
    </row>
    <row r="1888" spans="2:18" x14ac:dyDescent="0.35">
      <c r="B1888" s="9">
        <v>1816</v>
      </c>
      <c r="C1888" s="9" t="str">
        <v>출고재고</v>
      </c>
      <c r="D1888" s="9" t="str">
        <v/>
      </c>
      <c r="E1888" s="9" t="str">
        <v/>
      </c>
      <c r="F1888" s="9" t="str">
        <v/>
      </c>
      <c r="G1888" s="9" t="str">
        <v/>
      </c>
      <c r="H1888" s="9" t="str">
        <v>RA-03S-6025</v>
      </c>
      <c r="I1888" s="11" t="str">
        <v>RA-03S-6025]LBM-RAY01</v>
      </c>
      <c r="J1888" s="9">
        <v>116</v>
      </c>
      <c r="K1888" s="9" t="str">
        <v/>
      </c>
      <c r="L1888" s="9" t="str">
        <v>B1-1</v>
      </c>
      <c r="M1888" s="12">
        <v>46294</v>
      </c>
      <c r="N1888" s="5" t="str">
        <v/>
      </c>
      <c r="O1888" s="5">
        <v>98677</v>
      </c>
      <c r="P1888" s="5">
        <v>10</v>
      </c>
      <c r="Q1888" s="14">
        <v>46295</v>
      </c>
      <c r="R1888" s="15">
        <v>106</v>
      </c>
    </row>
    <row r="1889" spans="2:18" x14ac:dyDescent="0.35">
      <c r="B1889" s="9">
        <v>1820</v>
      </c>
      <c r="C1889" s="9" t="str">
        <v>출고재고</v>
      </c>
      <c r="D1889" s="9" t="str">
        <v/>
      </c>
      <c r="E1889" s="9" t="str">
        <v/>
      </c>
      <c r="F1889" s="9" t="str">
        <v/>
      </c>
      <c r="G1889" s="9" t="str">
        <v/>
      </c>
      <c r="H1889" s="9" t="str">
        <v>RA-03S-5180A</v>
      </c>
      <c r="I1889" s="11" t="str">
        <v>RA-03S-5180A]A2K_LBM01-570</v>
      </c>
      <c r="J1889" s="9">
        <v>116</v>
      </c>
      <c r="K1889" s="9" t="str">
        <v/>
      </c>
      <c r="L1889" s="9" t="str">
        <v>B1-1</v>
      </c>
      <c r="M1889" s="12">
        <v>46294</v>
      </c>
      <c r="N1889" s="5" t="str">
        <v/>
      </c>
      <c r="O1889" s="5">
        <v>98677</v>
      </c>
      <c r="P1889" s="5">
        <v>10</v>
      </c>
      <c r="Q1889" s="14">
        <v>46295</v>
      </c>
      <c r="R1889" s="15">
        <v>106</v>
      </c>
    </row>
    <row r="1890" spans="2:18" x14ac:dyDescent="0.35">
      <c r="B1890" s="9">
        <v>1819</v>
      </c>
      <c r="C1890" s="9" t="str">
        <v>출고재고</v>
      </c>
      <c r="D1890" s="9" t="str">
        <v/>
      </c>
      <c r="E1890" s="9" t="str">
        <v/>
      </c>
      <c r="F1890" s="9" t="str">
        <v/>
      </c>
      <c r="G1890" s="9" t="str">
        <v/>
      </c>
      <c r="H1890" s="9" t="str">
        <v>RA-03V-1908</v>
      </c>
      <c r="I1890" s="11" t="str">
        <v>RA-03V-1908]BRK FIX HUB</v>
      </c>
      <c r="J1890" s="9">
        <v>124</v>
      </c>
      <c r="K1890" s="9" t="str">
        <v/>
      </c>
      <c r="L1890" s="9" t="str">
        <v>B1-2</v>
      </c>
      <c r="M1890" s="12">
        <v>46294</v>
      </c>
      <c r="N1890" s="5" t="str">
        <v/>
      </c>
      <c r="O1890" s="5">
        <v>98677</v>
      </c>
      <c r="P1890" s="5">
        <v>10</v>
      </c>
      <c r="Q1890" s="14">
        <v>46295</v>
      </c>
      <c r="R1890" s="15">
        <v>114</v>
      </c>
    </row>
    <row r="1891" spans="2:18" x14ac:dyDescent="0.35">
      <c r="B1891" s="9">
        <v>2207</v>
      </c>
      <c r="C1891" s="9" t="str">
        <v>출고재고</v>
      </c>
      <c r="D1891" s="9" t="str">
        <v/>
      </c>
      <c r="E1891" s="9" t="str">
        <v/>
      </c>
      <c r="F1891" s="9" t="str">
        <v/>
      </c>
      <c r="G1891" s="9" t="str">
        <v/>
      </c>
      <c r="H1891" s="9" t="str">
        <v>RA-04A-0899</v>
      </c>
      <c r="I1891" s="11" t="str">
        <v>RA-04A-0899]ASM LCD M101NWT2 R1</v>
      </c>
      <c r="J1891" s="9">
        <v>136</v>
      </c>
      <c r="K1891" s="9" t="str">
        <v/>
      </c>
      <c r="L1891" s="9" t="str">
        <v>A16</v>
      </c>
      <c r="M1891" s="12">
        <v>46294</v>
      </c>
      <c r="N1891" s="5" t="str">
        <v/>
      </c>
      <c r="O1891" s="5">
        <v>98677</v>
      </c>
      <c r="P1891" s="5">
        <v>10</v>
      </c>
      <c r="Q1891" s="14">
        <v>46295</v>
      </c>
      <c r="R1891" s="15">
        <v>126</v>
      </c>
    </row>
    <row r="1892" spans="2:18" x14ac:dyDescent="0.35">
      <c r="B1892" s="9">
        <v>1822</v>
      </c>
      <c r="C1892" s="9" t="str">
        <v>출고재고</v>
      </c>
      <c r="D1892" s="9" t="str">
        <v/>
      </c>
      <c r="E1892" s="9" t="str">
        <v/>
      </c>
      <c r="F1892" s="9" t="str">
        <v/>
      </c>
      <c r="G1892" s="9" t="str">
        <v/>
      </c>
      <c r="H1892" s="9" t="str">
        <v>RA-03V-1991</v>
      </c>
      <c r="I1892" s="11" t="str">
        <v>RA-03V-1991]BRK CENTER LASERBEAM (A+)</v>
      </c>
      <c r="J1892" s="9">
        <v>145</v>
      </c>
      <c r="K1892" s="9" t="str">
        <v/>
      </c>
      <c r="L1892" s="9" t="str">
        <v>B1-3</v>
      </c>
      <c r="M1892" s="12">
        <v>46294</v>
      </c>
      <c r="N1892" s="5" t="str">
        <v/>
      </c>
      <c r="O1892" s="5">
        <v>98677</v>
      </c>
      <c r="P1892" s="5">
        <v>10</v>
      </c>
      <c r="Q1892" s="14">
        <v>46295</v>
      </c>
      <c r="R1892" s="15">
        <v>135</v>
      </c>
    </row>
    <row r="1893" spans="2:18" x14ac:dyDescent="0.35">
      <c r="B1893" s="9">
        <v>1823</v>
      </c>
      <c r="C1893" s="9" t="str">
        <v>출고재고</v>
      </c>
      <c r="D1893" s="9" t="str">
        <v/>
      </c>
      <c r="E1893" s="9" t="str">
        <v/>
      </c>
      <c r="F1893" s="9" t="str">
        <v/>
      </c>
      <c r="G1893" s="9" t="str">
        <v/>
      </c>
      <c r="H1893" s="9" t="str">
        <v>RA-03M-2193</v>
      </c>
      <c r="I1893" s="11" t="str">
        <v>RA-03M-2193]CVR PROT (A+)</v>
      </c>
      <c r="J1893" s="9">
        <v>146</v>
      </c>
      <c r="K1893" s="9" t="str">
        <v/>
      </c>
      <c r="L1893" s="9" t="str">
        <v>B1-1</v>
      </c>
      <c r="M1893" s="12">
        <v>46294</v>
      </c>
      <c r="N1893" s="5" t="str">
        <v/>
      </c>
      <c r="O1893" s="5">
        <v>98677</v>
      </c>
      <c r="P1893" s="5">
        <v>10</v>
      </c>
      <c r="Q1893" s="14">
        <v>46295</v>
      </c>
      <c r="R1893" s="15">
        <v>136</v>
      </c>
    </row>
    <row r="1894" spans="2:18" x14ac:dyDescent="0.35">
      <c r="B1894" s="9">
        <v>2215</v>
      </c>
      <c r="C1894" s="9" t="str">
        <v>출고재고</v>
      </c>
      <c r="D1894" s="9" t="str">
        <v/>
      </c>
      <c r="E1894" s="9" t="str">
        <v/>
      </c>
      <c r="F1894" s="9" t="str">
        <v/>
      </c>
      <c r="G1894" s="9" t="str">
        <v/>
      </c>
      <c r="H1894" s="9" t="str">
        <v>RA-04M-1338</v>
      </c>
      <c r="I1894" s="11" t="str">
        <v>RA-04M-1338]BLK HEADREST FIX BAR-L</v>
      </c>
      <c r="J1894" s="9">
        <v>151</v>
      </c>
      <c r="K1894" s="9" t="str">
        <v/>
      </c>
      <c r="L1894" s="9" t="str">
        <v>B1-5</v>
      </c>
      <c r="M1894" s="12">
        <v>46294</v>
      </c>
      <c r="N1894" s="5" t="str">
        <v/>
      </c>
      <c r="O1894" s="5">
        <v>98677</v>
      </c>
      <c r="P1894" s="5">
        <v>10</v>
      </c>
      <c r="Q1894" s="14">
        <v>46295</v>
      </c>
      <c r="R1894" s="15">
        <v>141</v>
      </c>
    </row>
    <row r="1895" spans="2:18" x14ac:dyDescent="0.35">
      <c r="B1895" s="9">
        <v>2219</v>
      </c>
      <c r="C1895" s="9" t="str">
        <v>출고재고</v>
      </c>
      <c r="D1895" s="9" t="str">
        <v/>
      </c>
      <c r="E1895" s="9" t="str">
        <v>입고</v>
      </c>
      <c r="F1895" s="9" t="str">
        <v>우주정공</v>
      </c>
      <c r="G1895" s="9" t="str">
        <v>조영우</v>
      </c>
      <c r="H1895" s="9" t="str">
        <v>RA-04V-1708</v>
      </c>
      <c r="I1895" s="11" t="str">
        <v>RA-04V-1708]CVR THU Bd</v>
      </c>
      <c r="J1895" s="9">
        <v>154</v>
      </c>
      <c r="K1895" s="9" t="str">
        <v/>
      </c>
      <c r="L1895" s="9" t="str">
        <v>B3-3</v>
      </c>
      <c r="M1895" s="12">
        <v>46293</v>
      </c>
      <c r="N1895" s="5" t="str">
        <v/>
      </c>
      <c r="O1895" s="5">
        <v>98677</v>
      </c>
      <c r="P1895" s="5">
        <v>4</v>
      </c>
      <c r="Q1895" s="14">
        <v>46295</v>
      </c>
      <c r="R1895" s="15">
        <v>150</v>
      </c>
    </row>
    <row r="1896" spans="2:18" x14ac:dyDescent="0.35">
      <c r="B1896" s="9">
        <v>2216</v>
      </c>
      <c r="C1896" s="9" t="str">
        <v>출고재고</v>
      </c>
      <c r="D1896" s="9" t="str">
        <v/>
      </c>
      <c r="E1896" s="9" t="str">
        <v/>
      </c>
      <c r="F1896" s="9" t="str">
        <v/>
      </c>
      <c r="G1896" s="9" t="str">
        <v/>
      </c>
      <c r="H1896" s="9" t="str">
        <v>RA-04S-0121</v>
      </c>
      <c r="I1896" s="11" t="str">
        <v>RA-04S-0121]HINGE SET</v>
      </c>
      <c r="J1896" s="9">
        <v>175</v>
      </c>
      <c r="K1896" s="9" t="str">
        <v/>
      </c>
      <c r="L1896" s="9" t="str">
        <v>B1-4</v>
      </c>
      <c r="M1896" s="12">
        <v>46294</v>
      </c>
      <c r="N1896" s="5" t="str">
        <v/>
      </c>
      <c r="O1896" s="5">
        <v>98677</v>
      </c>
      <c r="P1896" s="5">
        <v>20</v>
      </c>
      <c r="Q1896" s="14">
        <v>46295</v>
      </c>
      <c r="R1896" s="15">
        <v>155</v>
      </c>
    </row>
    <row r="1897" spans="2:18" x14ac:dyDescent="0.35">
      <c r="B1897" s="9">
        <v>1806</v>
      </c>
      <c r="C1897" s="9" t="str">
        <v>출고재고</v>
      </c>
      <c r="D1897" s="9" t="str">
        <v/>
      </c>
      <c r="E1897" s="9" t="str">
        <v/>
      </c>
      <c r="F1897" s="9" t="str">
        <v/>
      </c>
      <c r="G1897" s="9" t="str">
        <v/>
      </c>
      <c r="H1897" s="9" t="str">
        <v>RA-03A-6012</v>
      </c>
      <c r="I1897" s="11" t="str">
        <v>RA-03A-6012]Bd ASSY'-ACT Bd(A/A+)</v>
      </c>
      <c r="J1897" s="9">
        <v>180</v>
      </c>
      <c r="K1897" s="9" t="str">
        <v/>
      </c>
      <c r="L1897" s="9" t="str">
        <v>A7-3</v>
      </c>
      <c r="M1897" s="12">
        <v>46294</v>
      </c>
      <c r="N1897" s="5" t="str">
        <v/>
      </c>
      <c r="O1897" s="5">
        <v>98677</v>
      </c>
      <c r="P1897" s="5">
        <v>10</v>
      </c>
      <c r="Q1897" s="14">
        <v>46295</v>
      </c>
      <c r="R1897" s="15">
        <v>170</v>
      </c>
    </row>
    <row r="1898" spans="2:18" x14ac:dyDescent="0.35">
      <c r="B1898" s="9">
        <v>2211</v>
      </c>
      <c r="C1898" s="9" t="str">
        <v>출고재고</v>
      </c>
      <c r="D1898" s="9" t="str">
        <v/>
      </c>
      <c r="E1898" s="9" t="str">
        <v/>
      </c>
      <c r="F1898" s="9" t="str">
        <v/>
      </c>
      <c r="G1898" s="9" t="str">
        <v/>
      </c>
      <c r="H1898" s="9" t="str">
        <v>RA-04V-0118</v>
      </c>
      <c r="I1898" s="11" t="str">
        <v>RA-04V-0118]BRK MONITOR HINGE</v>
      </c>
      <c r="J1898" s="9">
        <v>186</v>
      </c>
      <c r="K1898" s="9" t="str">
        <v/>
      </c>
      <c r="L1898" s="9" t="str">
        <v>B2-3</v>
      </c>
      <c r="M1898" s="12">
        <v>46294</v>
      </c>
      <c r="N1898" s="5" t="str">
        <v/>
      </c>
      <c r="O1898" s="5">
        <v>98677</v>
      </c>
      <c r="P1898" s="5">
        <v>20</v>
      </c>
      <c r="Q1898" s="14">
        <v>46295</v>
      </c>
      <c r="R1898" s="15">
        <v>166</v>
      </c>
    </row>
    <row r="1899" spans="2:18" x14ac:dyDescent="0.35">
      <c r="B1899" s="9">
        <v>1826</v>
      </c>
      <c r="C1899" s="9" t="str">
        <v>출고재고</v>
      </c>
      <c r="D1899" s="9" t="str">
        <v/>
      </c>
      <c r="E1899" s="9" t="str">
        <v/>
      </c>
      <c r="F1899" s="9" t="str">
        <v/>
      </c>
      <c r="G1899" s="9" t="str">
        <v/>
      </c>
      <c r="H1899" s="9" t="str">
        <v>RA-03T-1992</v>
      </c>
      <c r="I1899" s="11" t="str">
        <v>RA-03T-1992]HLDR LASER BEAM V</v>
      </c>
      <c r="J1899" s="9">
        <v>225</v>
      </c>
      <c r="K1899" s="9" t="str">
        <v/>
      </c>
      <c r="L1899" s="9" t="str">
        <v>B1-1</v>
      </c>
      <c r="M1899" s="12">
        <v>46294</v>
      </c>
      <c r="N1899" s="5" t="str">
        <v/>
      </c>
      <c r="O1899" s="5">
        <v>98677</v>
      </c>
      <c r="P1899" s="5">
        <v>10</v>
      </c>
      <c r="Q1899" s="14">
        <v>46295</v>
      </c>
      <c r="R1899" s="15">
        <v>215</v>
      </c>
    </row>
    <row r="1900" spans="2:18" x14ac:dyDescent="0.35">
      <c r="B1900" s="9">
        <v>1827</v>
      </c>
      <c r="C1900" s="9" t="str">
        <v>출고재고</v>
      </c>
      <c r="D1900" s="9" t="str">
        <v/>
      </c>
      <c r="E1900" s="9" t="str">
        <v/>
      </c>
      <c r="F1900" s="9" t="str">
        <v/>
      </c>
      <c r="G1900" s="9" t="str">
        <v/>
      </c>
      <c r="H1900" s="9" t="str">
        <v>RA-03A-6016A</v>
      </c>
      <c r="I1900" s="11" t="str">
        <v>RA-03A-6016A]BD ASSY'-AC FUSE BLK</v>
      </c>
      <c r="J1900" s="9">
        <v>226</v>
      </c>
      <c r="K1900" s="9" t="str">
        <v/>
      </c>
      <c r="L1900" s="9" t="str">
        <v>A3-1</v>
      </c>
      <c r="M1900" s="12">
        <v>46294</v>
      </c>
      <c r="N1900" s="5" t="str">
        <v/>
      </c>
      <c r="O1900" s="5">
        <v>98677</v>
      </c>
      <c r="P1900" s="5">
        <v>10</v>
      </c>
      <c r="Q1900" s="14">
        <v>46295</v>
      </c>
      <c r="R1900" s="15">
        <v>216</v>
      </c>
    </row>
    <row r="1901" spans="2:18" x14ac:dyDescent="0.35">
      <c r="B1901" s="9">
        <v>1828</v>
      </c>
      <c r="C1901" s="9" t="str">
        <v>출고재고</v>
      </c>
      <c r="D1901" s="9" t="str">
        <v/>
      </c>
      <c r="E1901" s="9" t="str">
        <v/>
      </c>
      <c r="F1901" s="9" t="str">
        <v/>
      </c>
      <c r="G1901" s="9" t="str">
        <v/>
      </c>
      <c r="H1901" s="9" t="str">
        <v>RA-03A-0050</v>
      </c>
      <c r="I1901" s="11" t="str">
        <v>RA-03A-0050_I]ASM HORIZONTAL LASER BEAM</v>
      </c>
      <c r="J1901" s="9">
        <v>254</v>
      </c>
      <c r="K1901" s="9" t="str">
        <v/>
      </c>
      <c r="L1901" s="9" t="str">
        <v>O2</v>
      </c>
      <c r="M1901" s="12">
        <v>46294</v>
      </c>
      <c r="N1901" s="5" t="str">
        <v/>
      </c>
      <c r="O1901" s="5">
        <v>98677</v>
      </c>
      <c r="P1901" s="5">
        <v>10</v>
      </c>
      <c r="Q1901" s="14">
        <v>46295</v>
      </c>
      <c r="R1901" s="15">
        <v>244</v>
      </c>
    </row>
    <row r="1902" spans="2:18" x14ac:dyDescent="0.35">
      <c r="B1902" s="9">
        <v>2218</v>
      </c>
      <c r="C1902" s="9" t="str">
        <v>출고재고</v>
      </c>
      <c r="D1902" s="9" t="str">
        <v/>
      </c>
      <c r="E1902" s="9" t="str">
        <v/>
      </c>
      <c r="F1902" s="9" t="str">
        <v/>
      </c>
      <c r="G1902" s="9" t="str">
        <v/>
      </c>
      <c r="H1902" s="9" t="str">
        <v>RA-04M-2399</v>
      </c>
      <c r="I1902" s="11" t="str">
        <v>RA-04M-2399]GUIDE BITE BLK A (A+)</v>
      </c>
      <c r="J1902" s="9">
        <v>268</v>
      </c>
      <c r="K1902" s="9" t="str">
        <v/>
      </c>
      <c r="L1902" s="9" t="str">
        <v>B1-6</v>
      </c>
      <c r="M1902" s="12">
        <v>46294</v>
      </c>
      <c r="N1902" s="5" t="str">
        <v/>
      </c>
      <c r="O1902" s="5">
        <v>98677</v>
      </c>
      <c r="P1902" s="5">
        <v>10</v>
      </c>
      <c r="Q1902" s="14">
        <v>46295</v>
      </c>
      <c r="R1902" s="15">
        <v>258</v>
      </c>
    </row>
    <row r="1903" spans="2:18" x14ac:dyDescent="0.35">
      <c r="B1903" s="9">
        <v>1829</v>
      </c>
      <c r="C1903" s="9" t="str">
        <v>출고재고</v>
      </c>
      <c r="D1903" s="9" t="str">
        <v/>
      </c>
      <c r="E1903" s="9" t="str">
        <v/>
      </c>
      <c r="F1903" s="9" t="str">
        <v/>
      </c>
      <c r="G1903" s="9" t="str">
        <v/>
      </c>
      <c r="H1903" s="9" t="str">
        <v>RA-1-1</v>
      </c>
      <c r="I1903" s="11" t="str">
        <v>RA-1-1_2]AC POWER FUSE TO NF2</v>
      </c>
      <c r="J1903" s="9">
        <v>269</v>
      </c>
      <c r="K1903" s="9" t="str">
        <v/>
      </c>
      <c r="L1903" s="9" t="str">
        <v>G3-1</v>
      </c>
      <c r="M1903" s="12">
        <v>46294</v>
      </c>
      <c r="N1903" s="5" t="str">
        <v/>
      </c>
      <c r="O1903" s="5">
        <v>98677</v>
      </c>
      <c r="P1903" s="5">
        <v>10</v>
      </c>
      <c r="Q1903" s="14">
        <v>46295</v>
      </c>
      <c r="R1903" s="15">
        <v>259</v>
      </c>
    </row>
    <row r="1904" spans="2:18" x14ac:dyDescent="0.35">
      <c r="B1904" s="9">
        <v>1831</v>
      </c>
      <c r="C1904" s="9" t="str">
        <v>출고재고</v>
      </c>
      <c r="D1904" s="9" t="str">
        <v/>
      </c>
      <c r="E1904" s="9" t="str">
        <v/>
      </c>
      <c r="F1904" s="9" t="str">
        <v/>
      </c>
      <c r="G1904" s="9" t="str">
        <v/>
      </c>
      <c r="H1904" s="9" t="str">
        <v>RA-09A-2753</v>
      </c>
      <c r="I1904" s="11" t="str">
        <v>RA-09A-2753]ASM CT HEADREST FIX BAS(A+)</v>
      </c>
      <c r="J1904" s="9">
        <v>339</v>
      </c>
      <c r="K1904" s="9" t="str">
        <v/>
      </c>
      <c r="L1904" s="9" t="str">
        <v>B1-6</v>
      </c>
      <c r="M1904" s="12">
        <v>46294</v>
      </c>
      <c r="N1904" s="5" t="str">
        <v/>
      </c>
      <c r="O1904" s="5">
        <v>98677</v>
      </c>
      <c r="P1904" s="5">
        <v>10</v>
      </c>
      <c r="Q1904" s="14">
        <v>46295</v>
      </c>
      <c r="R1904" s="15">
        <v>329</v>
      </c>
    </row>
    <row r="1905" spans="2:18" x14ac:dyDescent="0.35">
      <c r="B1905" s="9">
        <v>1832</v>
      </c>
      <c r="C1905" s="9" t="str">
        <v>출고재고</v>
      </c>
      <c r="D1905" s="9" t="str">
        <v/>
      </c>
      <c r="E1905" s="9" t="str">
        <v/>
      </c>
      <c r="F1905" s="9" t="str">
        <v/>
      </c>
      <c r="G1905" s="9" t="str">
        <v/>
      </c>
      <c r="H1905" s="9" t="str">
        <v>RA-03A-6046</v>
      </c>
      <c r="I1905" s="11" t="str">
        <v>RA-03A-6046]SMPS CONN B/D</v>
      </c>
      <c r="J1905" s="9">
        <v>344</v>
      </c>
      <c r="K1905" s="9" t="str">
        <v/>
      </c>
      <c r="L1905" s="9" t="str">
        <v>A1-3</v>
      </c>
      <c r="M1905" s="12">
        <v>46294</v>
      </c>
      <c r="N1905" s="5" t="str">
        <v/>
      </c>
      <c r="O1905" s="5">
        <v>98677</v>
      </c>
      <c r="P1905" s="5">
        <v>10</v>
      </c>
      <c r="Q1905" s="14">
        <v>46295</v>
      </c>
      <c r="R1905" s="15">
        <v>334</v>
      </c>
    </row>
    <row r="1906" spans="2:18" x14ac:dyDescent="0.35">
      <c r="B1906" s="9">
        <v>1833</v>
      </c>
      <c r="C1906" s="9" t="str">
        <v>출고재고</v>
      </c>
      <c r="D1906" s="9" t="str">
        <v/>
      </c>
      <c r="E1906" s="9" t="str">
        <v/>
      </c>
      <c r="F1906" s="9" t="str">
        <v/>
      </c>
      <c r="G1906" s="9" t="str">
        <v/>
      </c>
      <c r="H1906" s="9" t="str">
        <v>RA-1-2</v>
      </c>
      <c r="I1906" s="11" t="str">
        <v>RA-1-2_2]AC POWER FUSE TO NF1</v>
      </c>
      <c r="J1906" s="9">
        <v>530</v>
      </c>
      <c r="K1906" s="9" t="str">
        <v/>
      </c>
      <c r="L1906" s="9" t="str">
        <v>G3-1</v>
      </c>
      <c r="M1906" s="12">
        <v>46294</v>
      </c>
      <c r="N1906" s="5" t="str">
        <v/>
      </c>
      <c r="O1906" s="5">
        <v>98677</v>
      </c>
      <c r="P1906" s="5">
        <v>10</v>
      </c>
      <c r="Q1906" s="14">
        <v>46295</v>
      </c>
      <c r="R1906" s="15">
        <v>520</v>
      </c>
    </row>
    <row r="1907" spans="2:18" x14ac:dyDescent="0.35">
      <c r="B1907" s="9">
        <v>1835</v>
      </c>
      <c r="C1907" s="9" t="str">
        <v>출고재고</v>
      </c>
      <c r="D1907" s="9" t="str">
        <v/>
      </c>
      <c r="E1907" s="9" t="str">
        <v/>
      </c>
      <c r="F1907" s="9" t="str">
        <v/>
      </c>
      <c r="G1907" s="9" t="str">
        <v/>
      </c>
      <c r="H1907" s="9" t="str">
        <v>RA-03V-2285</v>
      </c>
      <c r="I1907" s="11" t="str">
        <v>RA-03V-2285]BRK CABLE GUIDE CLMN (A+)</v>
      </c>
      <c r="J1907" s="9">
        <v>586</v>
      </c>
      <c r="K1907" s="9" t="str">
        <v/>
      </c>
      <c r="L1907" s="9" t="str">
        <v>B2-1</v>
      </c>
      <c r="M1907" s="12">
        <v>46294</v>
      </c>
      <c r="N1907" s="5" t="str">
        <v/>
      </c>
      <c r="O1907" s="5">
        <v>98677</v>
      </c>
      <c r="P1907" s="5">
        <v>20</v>
      </c>
      <c r="Q1907" s="14">
        <v>46295</v>
      </c>
      <c r="R1907" s="15">
        <v>566</v>
      </c>
    </row>
    <row r="1908" spans="2:18" x14ac:dyDescent="0.35">
      <c r="B1908" s="9">
        <v>1834</v>
      </c>
      <c r="C1908" s="9" t="str">
        <v>출고재고</v>
      </c>
      <c r="D1908" s="9" t="str">
        <v/>
      </c>
      <c r="E1908" s="9" t="str">
        <v/>
      </c>
      <c r="F1908" s="9" t="str">
        <v/>
      </c>
      <c r="G1908" s="9" t="str">
        <v/>
      </c>
      <c r="H1908" s="9" t="str">
        <v>RA-03M-2068</v>
      </c>
      <c r="I1908" s="11" t="str">
        <v>RA-03M-2068]BRK CLMN REAR CAS LWR (A+)</v>
      </c>
      <c r="J1908" s="9">
        <v>676</v>
      </c>
      <c r="K1908" s="9" t="str">
        <v/>
      </c>
      <c r="L1908" s="9" t="str">
        <v>B4-3</v>
      </c>
      <c r="M1908" s="12">
        <v>46294</v>
      </c>
      <c r="N1908" s="5" t="str">
        <v/>
      </c>
      <c r="O1908" s="5">
        <v>98677</v>
      </c>
      <c r="P1908" s="5">
        <v>10</v>
      </c>
      <c r="Q1908" s="14">
        <v>46295</v>
      </c>
      <c r="R1908" s="15">
        <v>666</v>
      </c>
    </row>
    <row r="1909" spans="2:18" x14ac:dyDescent="0.35">
      <c r="B1909" s="9">
        <v>1836</v>
      </c>
      <c r="C1909" s="9" t="str">
        <v>출고재고</v>
      </c>
      <c r="D1909" s="9" t="str">
        <v/>
      </c>
      <c r="E1909" s="9" t="str">
        <v/>
      </c>
      <c r="F1909" s="9" t="str">
        <v/>
      </c>
      <c r="G1909" s="9" t="str">
        <v/>
      </c>
      <c r="H1909" s="9" t="str">
        <v>RA-03M-0063</v>
      </c>
      <c r="I1909" s="11" t="str">
        <v>RA-03M-0063]GUIDE PIN 2</v>
      </c>
      <c r="J1909" s="9">
        <v>702</v>
      </c>
      <c r="K1909" s="9" t="str">
        <v/>
      </c>
      <c r="L1909" s="9" t="str">
        <v>B1-2</v>
      </c>
      <c r="M1909" s="12">
        <v>46294</v>
      </c>
      <c r="N1909" s="5" t="str">
        <v/>
      </c>
      <c r="O1909" s="5">
        <v>98677</v>
      </c>
      <c r="P1909" s="5">
        <v>20</v>
      </c>
      <c r="Q1909" s="14">
        <v>46295</v>
      </c>
      <c r="R1909" s="15">
        <v>682</v>
      </c>
    </row>
    <row r="1910" spans="2:18" x14ac:dyDescent="0.35">
      <c r="B1910" s="9">
        <v>1653</v>
      </c>
      <c r="C1910" s="9" t="str">
        <v>출고재고</v>
      </c>
      <c r="D1910" s="9" t="str">
        <v/>
      </c>
      <c r="E1910" s="9" t="str">
        <v/>
      </c>
      <c r="F1910" s="9" t="str">
        <v/>
      </c>
      <c r="G1910" s="9" t="str">
        <v/>
      </c>
      <c r="H1910" s="9" t="str">
        <v>RA-04V-1109</v>
      </c>
      <c r="I1910" s="11" t="str">
        <v>RA-04V-1109]BRK ARM RIGID L</v>
      </c>
      <c r="J1910" s="9">
        <v>10</v>
      </c>
      <c r="K1910" s="9" t="str">
        <v/>
      </c>
      <c r="L1910" s="9" t="str">
        <v>B1-6</v>
      </c>
      <c r="M1910" s="12">
        <v>46280</v>
      </c>
      <c r="N1910" s="5" t="str">
        <v/>
      </c>
      <c r="O1910" s="5">
        <v>98678</v>
      </c>
      <c r="P1910" s="5">
        <v>10</v>
      </c>
      <c r="Q1910" s="14">
        <v>46295</v>
      </c>
      <c r="R1910" s="15">
        <v>0</v>
      </c>
    </row>
    <row r="1911" spans="2:18" x14ac:dyDescent="0.35">
      <c r="B1911" s="9">
        <v>1654</v>
      </c>
      <c r="C1911" s="9" t="str">
        <v>출고재고</v>
      </c>
      <c r="D1911" s="9" t="str">
        <v/>
      </c>
      <c r="E1911" s="9" t="str">
        <v/>
      </c>
      <c r="F1911" s="9" t="str">
        <v/>
      </c>
      <c r="G1911" s="9" t="str">
        <v/>
      </c>
      <c r="H1911" s="9" t="str">
        <v>RA-04V-1108</v>
      </c>
      <c r="I1911" s="11" t="str">
        <v>RA-04V-1108]BRK ARM RIGID R</v>
      </c>
      <c r="J1911" s="9">
        <v>10</v>
      </c>
      <c r="K1911" s="9" t="str">
        <v/>
      </c>
      <c r="L1911" s="9" t="str">
        <v>B1-6</v>
      </c>
      <c r="M1911" s="12">
        <v>46280</v>
      </c>
      <c r="N1911" s="5" t="str">
        <v/>
      </c>
      <c r="O1911" s="5">
        <v>98678</v>
      </c>
      <c r="P1911" s="5">
        <v>10</v>
      </c>
      <c r="Q1911" s="14">
        <v>46295</v>
      </c>
      <c r="R1911" s="15">
        <v>0</v>
      </c>
    </row>
    <row r="1912" spans="2:18" x14ac:dyDescent="0.35">
      <c r="B1912" s="9">
        <v>1636</v>
      </c>
      <c r="C1912" s="9" t="str">
        <v>출고재고</v>
      </c>
      <c r="D1912" s="9" t="str">
        <v/>
      </c>
      <c r="E1912" s="9" t="str">
        <v/>
      </c>
      <c r="F1912" s="9" t="str">
        <v/>
      </c>
      <c r="G1912" s="9" t="str">
        <v/>
      </c>
      <c r="H1912" s="9" t="str">
        <v>RA-3-6</v>
      </c>
      <c r="I1912" s="11" t="str">
        <v>RA-3-6]INDICATOR CONTROL</v>
      </c>
      <c r="J1912" s="9">
        <v>36</v>
      </c>
      <c r="K1912" s="9" t="str">
        <v/>
      </c>
      <c r="L1912" s="9" t="str">
        <v>G1-1</v>
      </c>
      <c r="M1912" s="12">
        <v>46280</v>
      </c>
      <c r="N1912" s="5" t="str">
        <v/>
      </c>
      <c r="O1912" s="5">
        <v>98678</v>
      </c>
      <c r="P1912" s="5">
        <v>6</v>
      </c>
      <c r="Q1912" s="14">
        <v>46295</v>
      </c>
      <c r="R1912" s="15">
        <v>30</v>
      </c>
    </row>
    <row r="1913" spans="2:18" x14ac:dyDescent="0.35">
      <c r="B1913" s="9">
        <v>1660</v>
      </c>
      <c r="C1913" s="9" t="str">
        <v>출고재고</v>
      </c>
      <c r="D1913" s="9" t="str">
        <v/>
      </c>
      <c r="E1913" s="9" t="str">
        <v/>
      </c>
      <c r="F1913" s="9" t="str">
        <v/>
      </c>
      <c r="G1913" s="9" t="str">
        <v/>
      </c>
      <c r="H1913" s="9" t="str">
        <v>RA-06A-5004</v>
      </c>
      <c r="I1913" s="11" t="str">
        <v>RA-06A-5004]Bd ASSY'-Indicator Bd</v>
      </c>
      <c r="J1913" s="9">
        <v>38</v>
      </c>
      <c r="K1913" s="9" t="str">
        <v/>
      </c>
      <c r="L1913" s="9" t="str">
        <v>A1-5</v>
      </c>
      <c r="M1913" s="12">
        <v>46280</v>
      </c>
      <c r="N1913" s="5" t="str">
        <v/>
      </c>
      <c r="O1913" s="5">
        <v>98678</v>
      </c>
      <c r="P1913" s="5">
        <v>20</v>
      </c>
      <c r="Q1913" s="14">
        <v>46295</v>
      </c>
      <c r="R1913" s="15">
        <v>18</v>
      </c>
    </row>
    <row r="1914" spans="2:18" x14ac:dyDescent="0.35">
      <c r="B1914" s="9">
        <v>1639</v>
      </c>
      <c r="C1914" s="9" t="str">
        <v>출고재고</v>
      </c>
      <c r="D1914" s="9" t="str">
        <v/>
      </c>
      <c r="E1914" s="9" t="str">
        <v/>
      </c>
      <c r="F1914" s="9" t="str">
        <v/>
      </c>
      <c r="G1914" s="9" t="str">
        <v/>
      </c>
      <c r="H1914" s="9" t="str">
        <v>RA-05V-2654</v>
      </c>
      <c r="I1914" s="11" t="str">
        <v>RA-05V-2654]BRK CAS ROT BOT</v>
      </c>
      <c r="J1914" s="9">
        <v>49</v>
      </c>
      <c r="K1914" s="9" t="str">
        <v/>
      </c>
      <c r="L1914" s="9" t="str">
        <v>J4-2</v>
      </c>
      <c r="M1914" s="12">
        <v>46280</v>
      </c>
      <c r="N1914" s="5" t="str">
        <v/>
      </c>
      <c r="O1914" s="5">
        <v>98678</v>
      </c>
      <c r="P1914" s="5">
        <v>10</v>
      </c>
      <c r="Q1914" s="14">
        <v>46295</v>
      </c>
      <c r="R1914" s="15">
        <v>39</v>
      </c>
    </row>
    <row r="1915" spans="2:18" x14ac:dyDescent="0.35">
      <c r="B1915" s="9">
        <v>1652</v>
      </c>
      <c r="C1915" s="9" t="str">
        <v>출고재고</v>
      </c>
      <c r="D1915" s="9" t="str">
        <v/>
      </c>
      <c r="E1915" s="9" t="str">
        <v/>
      </c>
      <c r="F1915" s="9" t="str">
        <v/>
      </c>
      <c r="G1915" s="9" t="str">
        <v/>
      </c>
      <c r="H1915" s="9" t="str">
        <v>RA-1-5</v>
      </c>
      <c r="I1915" s="11" t="str">
        <v>RA-1-5]AC POWER SMPS-1</v>
      </c>
      <c r="J1915" s="9">
        <v>50</v>
      </c>
      <c r="K1915" s="9" t="str">
        <v/>
      </c>
      <c r="L1915" s="9" t="str">
        <v>G3-1</v>
      </c>
      <c r="M1915" s="12">
        <v>46280</v>
      </c>
      <c r="N1915" s="5" t="str">
        <v/>
      </c>
      <c r="O1915" s="5">
        <v>98678</v>
      </c>
      <c r="P1915" s="5">
        <v>10</v>
      </c>
      <c r="Q1915" s="14">
        <v>46295</v>
      </c>
      <c r="R1915" s="15">
        <v>40</v>
      </c>
    </row>
    <row r="1916" spans="2:18" x14ac:dyDescent="0.35">
      <c r="B1916" s="9">
        <v>1551</v>
      </c>
      <c r="C1916" s="9" t="str">
        <v>출고재고</v>
      </c>
      <c r="D1916" s="9" t="str">
        <v/>
      </c>
      <c r="E1916" s="9" t="str">
        <v/>
      </c>
      <c r="F1916" s="9" t="str">
        <v/>
      </c>
      <c r="G1916" s="9" t="str">
        <v/>
      </c>
      <c r="H1916" s="9" t="str">
        <v>RA-11-9</v>
      </c>
      <c r="I1916" s="11" t="str">
        <v>RA-11-9]DC POWER MOT-A</v>
      </c>
      <c r="J1916" s="9">
        <v>84</v>
      </c>
      <c r="K1916" s="9" t="str">
        <v/>
      </c>
      <c r="L1916" s="9" t="str">
        <v>G4</v>
      </c>
      <c r="M1916" s="12">
        <v>46282</v>
      </c>
      <c r="N1916" s="5" t="str">
        <v/>
      </c>
      <c r="O1916" s="5">
        <v>98678</v>
      </c>
      <c r="P1916" s="5">
        <v>10</v>
      </c>
      <c r="Q1916" s="14">
        <v>46295</v>
      </c>
      <c r="R1916" s="15">
        <v>74</v>
      </c>
    </row>
    <row r="1917" spans="2:18" x14ac:dyDescent="0.35">
      <c r="B1917" s="9">
        <v>1651</v>
      </c>
      <c r="C1917" s="9" t="str">
        <v>출고재고</v>
      </c>
      <c r="D1917" s="9" t="str">
        <v/>
      </c>
      <c r="E1917" s="9" t="str">
        <v/>
      </c>
      <c r="F1917" s="9" t="str">
        <v/>
      </c>
      <c r="G1917" s="9" t="str">
        <v/>
      </c>
      <c r="H1917" s="9" t="str">
        <v>RA-7-5</v>
      </c>
      <c r="I1917" s="11" t="str">
        <v>RA-7-5]LAN THU</v>
      </c>
      <c r="J1917" s="9">
        <v>106</v>
      </c>
      <c r="K1917" s="9" t="str">
        <v/>
      </c>
      <c r="L1917" s="9" t="str">
        <v>G2-2</v>
      </c>
      <c r="M1917" s="12">
        <v>46280</v>
      </c>
      <c r="N1917" s="5" t="str">
        <v/>
      </c>
      <c r="O1917" s="5">
        <v>98678</v>
      </c>
      <c r="P1917" s="5">
        <v>10</v>
      </c>
      <c r="Q1917" s="14">
        <v>46295</v>
      </c>
      <c r="R1917" s="15">
        <v>96</v>
      </c>
    </row>
    <row r="1918" spans="2:18" x14ac:dyDescent="0.35">
      <c r="B1918" s="9">
        <v>1637</v>
      </c>
      <c r="C1918" s="9" t="str">
        <v>출고재고</v>
      </c>
      <c r="D1918" s="9" t="str">
        <v/>
      </c>
      <c r="E1918" s="9" t="str">
        <v/>
      </c>
      <c r="F1918" s="9" t="str">
        <v/>
      </c>
      <c r="G1918" s="9" t="str">
        <v/>
      </c>
      <c r="H1918" s="9" t="str">
        <v>RA-3-5</v>
      </c>
      <c r="I1918" s="11" t="str">
        <v>RA-3-5]INDICATOR</v>
      </c>
      <c r="J1918" s="9">
        <v>115</v>
      </c>
      <c r="K1918" s="9" t="str">
        <v/>
      </c>
      <c r="L1918" s="9" t="str">
        <v>G1-1</v>
      </c>
      <c r="M1918" s="12">
        <v>46280</v>
      </c>
      <c r="N1918" s="5" t="str">
        <v/>
      </c>
      <c r="O1918" s="5">
        <v>98678</v>
      </c>
      <c r="P1918" s="5">
        <v>10</v>
      </c>
      <c r="Q1918" s="14">
        <v>46295</v>
      </c>
      <c r="R1918" s="15">
        <v>105</v>
      </c>
    </row>
    <row r="1919" spans="2:18" x14ac:dyDescent="0.35">
      <c r="B1919" s="9">
        <v>1649</v>
      </c>
      <c r="C1919" s="9" t="str">
        <v>출고재고</v>
      </c>
      <c r="D1919" s="9" t="str">
        <v/>
      </c>
      <c r="E1919" s="9" t="str">
        <v/>
      </c>
      <c r="F1919" s="9" t="str">
        <v/>
      </c>
      <c r="G1919" s="9" t="str">
        <v/>
      </c>
      <c r="H1919" s="9" t="str">
        <v>RA-1-11</v>
      </c>
      <c r="I1919" s="11" t="str">
        <v>RA-1-11]DC POWER HUB</v>
      </c>
      <c r="J1919" s="9">
        <v>115</v>
      </c>
      <c r="K1919" s="9" t="str">
        <v/>
      </c>
      <c r="L1919" s="9" t="str">
        <v>G3-1</v>
      </c>
      <c r="M1919" s="12">
        <v>46280</v>
      </c>
      <c r="N1919" s="5" t="str">
        <v/>
      </c>
      <c r="O1919" s="5">
        <v>98678</v>
      </c>
      <c r="P1919" s="5">
        <v>10</v>
      </c>
      <c r="Q1919" s="14">
        <v>46295</v>
      </c>
      <c r="R1919" s="15">
        <v>105</v>
      </c>
    </row>
    <row r="1920" spans="2:18" x14ac:dyDescent="0.35">
      <c r="B1920" s="9">
        <v>1556</v>
      </c>
      <c r="C1920" s="9" t="str">
        <v>출고재고</v>
      </c>
      <c r="D1920" s="9" t="str">
        <v/>
      </c>
      <c r="E1920" s="9" t="str">
        <v/>
      </c>
      <c r="F1920" s="9" t="str">
        <v/>
      </c>
      <c r="G1920" s="9" t="str">
        <v/>
      </c>
      <c r="H1920" s="9" t="str">
        <v>RA-07T-1766</v>
      </c>
      <c r="I1920" s="11" t="str">
        <v>RA-07T-1766]BLK DET SNSR</v>
      </c>
      <c r="J1920" s="9">
        <v>124</v>
      </c>
      <c r="K1920" s="9" t="str">
        <v/>
      </c>
      <c r="L1920" s="9" t="str">
        <v>N3-1</v>
      </c>
      <c r="M1920" s="12">
        <v>46282</v>
      </c>
      <c r="N1920" s="5" t="str">
        <v/>
      </c>
      <c r="O1920" s="5">
        <v>98678</v>
      </c>
      <c r="P1920" s="5">
        <v>20</v>
      </c>
      <c r="Q1920" s="14">
        <v>46295</v>
      </c>
      <c r="R1920" s="15">
        <v>104</v>
      </c>
    </row>
    <row r="1921" spans="2:18" x14ac:dyDescent="0.35">
      <c r="B1921" s="9">
        <v>1655</v>
      </c>
      <c r="C1921" s="9" t="str">
        <v>출고재고</v>
      </c>
      <c r="D1921" s="9" t="str">
        <v/>
      </c>
      <c r="E1921" s="9" t="str">
        <v/>
      </c>
      <c r="F1921" s="9" t="str">
        <v/>
      </c>
      <c r="G1921" s="9" t="str">
        <v/>
      </c>
      <c r="H1921" s="9" t="str">
        <v>RA-9-8</v>
      </c>
      <c r="I1921" s="11" t="str">
        <v>RA-9-8]SERIAL POWER LS 1</v>
      </c>
      <c r="J1921" s="9">
        <v>124</v>
      </c>
      <c r="K1921" s="9" t="str">
        <v/>
      </c>
      <c r="L1921" s="9" t="str">
        <v>G1-3</v>
      </c>
      <c r="M1921" s="12">
        <v>46280</v>
      </c>
      <c r="N1921" s="5" t="str">
        <v/>
      </c>
      <c r="O1921" s="5">
        <v>98678</v>
      </c>
      <c r="P1921" s="5">
        <v>10</v>
      </c>
      <c r="Q1921" s="14">
        <v>46295</v>
      </c>
      <c r="R1921" s="15">
        <v>114</v>
      </c>
    </row>
    <row r="1922" spans="2:18" x14ac:dyDescent="0.35">
      <c r="B1922" s="9">
        <v>1638</v>
      </c>
      <c r="C1922" s="9" t="str">
        <v>출고재고</v>
      </c>
      <c r="D1922" s="9" t="str">
        <v/>
      </c>
      <c r="E1922" s="9" t="str">
        <v/>
      </c>
      <c r="F1922" s="9" t="str">
        <v/>
      </c>
      <c r="G1922" s="9" t="str">
        <v/>
      </c>
      <c r="H1922" s="9" t="str">
        <v>RA-05T-0210</v>
      </c>
      <c r="I1922" s="11" t="str">
        <v>RA-05T-0210]CAS ROT TOP SUB</v>
      </c>
      <c r="J1922" s="9">
        <v>143</v>
      </c>
      <c r="K1922" s="9" t="str">
        <v/>
      </c>
      <c r="L1922" s="9" t="str">
        <v>S</v>
      </c>
      <c r="M1922" s="12">
        <v>46280</v>
      </c>
      <c r="N1922" s="5" t="str">
        <v/>
      </c>
      <c r="O1922" s="5">
        <v>98678</v>
      </c>
      <c r="P1922" s="5">
        <v>10</v>
      </c>
      <c r="Q1922" s="14">
        <v>46295</v>
      </c>
      <c r="R1922" s="15">
        <v>133</v>
      </c>
    </row>
    <row r="1923" spans="2:18" x14ac:dyDescent="0.35">
      <c r="B1923" s="9">
        <v>1659</v>
      </c>
      <c r="C1923" s="9" t="str">
        <v>출고재고</v>
      </c>
      <c r="D1923" s="9" t="str">
        <v/>
      </c>
      <c r="E1923" s="9" t="str">
        <v/>
      </c>
      <c r="F1923" s="9" t="str">
        <v/>
      </c>
      <c r="G1923" s="9" t="str">
        <v/>
      </c>
      <c r="H1923" s="9" t="str">
        <v>RA-02M-0395</v>
      </c>
      <c r="I1923" s="11" t="str">
        <v>RA-02M-0395]PIN VERT POSITION</v>
      </c>
      <c r="J1923" s="9">
        <v>146</v>
      </c>
      <c r="K1923" s="9" t="str">
        <v/>
      </c>
      <c r="L1923" s="9" t="str">
        <v>C3-1</v>
      </c>
      <c r="M1923" s="12">
        <v>46280</v>
      </c>
      <c r="N1923" s="5" t="str">
        <v/>
      </c>
      <c r="O1923" s="5">
        <v>98678</v>
      </c>
      <c r="P1923" s="5">
        <v>20</v>
      </c>
      <c r="Q1923" s="14">
        <v>46295</v>
      </c>
      <c r="R1923" s="15">
        <v>126</v>
      </c>
    </row>
    <row r="1924" spans="2:18" x14ac:dyDescent="0.35">
      <c r="B1924" s="9">
        <v>1683</v>
      </c>
      <c r="C1924" s="9" t="str">
        <v>출고재고</v>
      </c>
      <c r="D1924" s="9" t="str">
        <v/>
      </c>
      <c r="E1924" s="9" t="str">
        <v/>
      </c>
      <c r="F1924" s="9" t="str">
        <v/>
      </c>
      <c r="G1924" s="9" t="str">
        <v/>
      </c>
      <c r="H1924" s="9" t="str">
        <v>RA-3-3A</v>
      </c>
      <c r="I1924" s="11" t="str">
        <v>RA-3-3A]DCM CONTROL-A</v>
      </c>
      <c r="J1924" s="9">
        <v>187</v>
      </c>
      <c r="K1924" s="9" t="str">
        <v/>
      </c>
      <c r="L1924" s="9" t="str">
        <v>G4</v>
      </c>
      <c r="M1924" s="12">
        <v>46280</v>
      </c>
      <c r="N1924" s="5" t="str">
        <v/>
      </c>
      <c r="O1924" s="5">
        <v>98678</v>
      </c>
      <c r="P1924" s="5">
        <v>10</v>
      </c>
      <c r="Q1924" s="14">
        <v>46295</v>
      </c>
      <c r="R1924" s="15">
        <v>177</v>
      </c>
    </row>
    <row r="1925" spans="2:18" x14ac:dyDescent="0.35">
      <c r="B1925" s="9">
        <v>1650</v>
      </c>
      <c r="C1925" s="9" t="str">
        <v>출고재고</v>
      </c>
      <c r="D1925" s="9" t="str">
        <v/>
      </c>
      <c r="E1925" s="9" t="str">
        <v/>
      </c>
      <c r="F1925" s="9" t="str">
        <v/>
      </c>
      <c r="G1925" s="9" t="str">
        <v/>
      </c>
      <c r="H1925" s="9" t="str">
        <v>RA-1-12</v>
      </c>
      <c r="I1925" s="11" t="str">
        <v>RA-1-12]DC POWER SMPS CONN</v>
      </c>
      <c r="J1925" s="9">
        <v>190</v>
      </c>
      <c r="K1925" s="9" t="str">
        <v/>
      </c>
      <c r="L1925" s="9" t="str">
        <v>G2-1</v>
      </c>
      <c r="M1925" s="12">
        <v>46280</v>
      </c>
      <c r="N1925" s="5" t="str">
        <v/>
      </c>
      <c r="O1925" s="5">
        <v>98678</v>
      </c>
      <c r="P1925" s="5">
        <v>10</v>
      </c>
      <c r="Q1925" s="14">
        <v>46295</v>
      </c>
      <c r="R1925" s="15">
        <v>180</v>
      </c>
    </row>
    <row r="1926" spans="2:18" x14ac:dyDescent="0.35">
      <c r="B1926" s="9">
        <v>2507</v>
      </c>
      <c r="C1926" s="9" t="str">
        <v>출고재고</v>
      </c>
      <c r="D1926" s="9" t="str">
        <v/>
      </c>
      <c r="E1926" s="9" t="str">
        <v/>
      </c>
      <c r="F1926" s="9" t="str">
        <v/>
      </c>
      <c r="G1926" s="9" t="str">
        <v/>
      </c>
      <c r="H1926" s="9" t="str">
        <v>RA-10-1</v>
      </c>
      <c r="I1926" s="11" t="str">
        <v>RA-10-1]AC CABLE ASS’Y</v>
      </c>
      <c r="J1926" s="9">
        <v>190</v>
      </c>
      <c r="K1926" s="9" t="str">
        <v/>
      </c>
      <c r="L1926" s="9" t="str">
        <v>G4</v>
      </c>
      <c r="M1926" s="12">
        <v>46297</v>
      </c>
      <c r="N1926" s="5" t="str">
        <v/>
      </c>
      <c r="O1926" s="5">
        <v>98678</v>
      </c>
      <c r="P1926" s="5">
        <v>10</v>
      </c>
      <c r="Q1926" s="14">
        <v>46297</v>
      </c>
      <c r="R1926" s="15">
        <v>180</v>
      </c>
    </row>
    <row r="1927" spans="2:18" x14ac:dyDescent="0.35">
      <c r="B1927" s="9">
        <v>1647</v>
      </c>
      <c r="C1927" s="9" t="str">
        <v>출고재고</v>
      </c>
      <c r="D1927" s="9" t="str">
        <v/>
      </c>
      <c r="E1927" s="9" t="str">
        <v/>
      </c>
      <c r="F1927" s="9" t="str">
        <v/>
      </c>
      <c r="G1927" s="9" t="str">
        <v/>
      </c>
      <c r="H1927" s="9" t="str">
        <v>RA-2-9</v>
      </c>
      <c r="I1927" s="11" t="str">
        <v>RA-2-9]ACT 2nd LIMIT</v>
      </c>
      <c r="J1927" s="9">
        <v>192</v>
      </c>
      <c r="K1927" s="9" t="str">
        <v/>
      </c>
      <c r="L1927" s="9" t="str">
        <v>G2-1</v>
      </c>
      <c r="M1927" s="12">
        <v>46280</v>
      </c>
      <c r="N1927" s="5" t="str">
        <v/>
      </c>
      <c r="O1927" s="5">
        <v>98678</v>
      </c>
      <c r="P1927" s="5">
        <v>10</v>
      </c>
      <c r="Q1927" s="14">
        <v>46295</v>
      </c>
      <c r="R1927" s="15">
        <v>182</v>
      </c>
    </row>
    <row r="1928" spans="2:18" x14ac:dyDescent="0.35">
      <c r="B1928" s="9">
        <v>1646</v>
      </c>
      <c r="C1928" s="9" t="str">
        <v>출고재고</v>
      </c>
      <c r="D1928" s="9" t="str">
        <v/>
      </c>
      <c r="E1928" s="9" t="str">
        <v/>
      </c>
      <c r="F1928" s="9" t="str">
        <v/>
      </c>
      <c r="G1928" s="9" t="str">
        <v/>
      </c>
      <c r="H1928" s="9" t="str">
        <v>RA-8-4</v>
      </c>
      <c r="I1928" s="11" t="str">
        <v>RA-8-4]AC POWER CEPH</v>
      </c>
      <c r="J1928" s="9">
        <v>195</v>
      </c>
      <c r="K1928" s="9" t="str">
        <v/>
      </c>
      <c r="L1928" s="9" t="str">
        <v>G4</v>
      </c>
      <c r="M1928" s="12">
        <v>46280</v>
      </c>
      <c r="N1928" s="5" t="str">
        <v/>
      </c>
      <c r="O1928" s="5">
        <v>98678</v>
      </c>
      <c r="P1928" s="5">
        <v>10</v>
      </c>
      <c r="Q1928" s="14">
        <v>46295</v>
      </c>
      <c r="R1928" s="15">
        <v>185</v>
      </c>
    </row>
    <row r="1929" spans="2:18" x14ac:dyDescent="0.35">
      <c r="B1929" s="9">
        <v>1657</v>
      </c>
      <c r="C1929" s="9" t="str">
        <v>출고재고</v>
      </c>
      <c r="D1929" s="9" t="str">
        <v/>
      </c>
      <c r="E1929" s="9" t="str">
        <v/>
      </c>
      <c r="F1929" s="9" t="str">
        <v/>
      </c>
      <c r="G1929" s="9" t="str">
        <v/>
      </c>
      <c r="H1929" s="9" t="str">
        <v>RA-5-8</v>
      </c>
      <c r="I1929" s="11" t="str">
        <v>RA-5-8]EARTH CTRL SMPS</v>
      </c>
      <c r="J1929" s="9">
        <v>206</v>
      </c>
      <c r="K1929" s="9" t="str">
        <v/>
      </c>
      <c r="L1929" s="9" t="str">
        <v>G3-2</v>
      </c>
      <c r="M1929" s="12">
        <v>46280</v>
      </c>
      <c r="N1929" s="5" t="str">
        <v/>
      </c>
      <c r="O1929" s="5">
        <v>98678</v>
      </c>
      <c r="P1929" s="5">
        <v>10</v>
      </c>
      <c r="Q1929" s="14">
        <v>46295</v>
      </c>
      <c r="R1929" s="15">
        <v>196</v>
      </c>
    </row>
    <row r="1930" spans="2:18" x14ac:dyDescent="0.35">
      <c r="B1930" s="9">
        <v>1658</v>
      </c>
      <c r="C1930" s="9" t="str">
        <v>출고재고</v>
      </c>
      <c r="D1930" s="9" t="str">
        <v/>
      </c>
      <c r="E1930" s="9" t="str">
        <v/>
      </c>
      <c r="F1930" s="9" t="str">
        <v/>
      </c>
      <c r="G1930" s="9" t="str">
        <v/>
      </c>
      <c r="H1930" s="9" t="str">
        <v>RA-2-4</v>
      </c>
      <c r="I1930" s="11" t="str">
        <v>RA-2-4]SERIAL POWER THU</v>
      </c>
      <c r="J1930" s="9">
        <v>218</v>
      </c>
      <c r="K1930" s="9" t="str">
        <v/>
      </c>
      <c r="L1930" s="9" t="str">
        <v>G2-1</v>
      </c>
      <c r="M1930" s="12">
        <v>46280</v>
      </c>
      <c r="N1930" s="5" t="str">
        <v/>
      </c>
      <c r="O1930" s="5">
        <v>98678</v>
      </c>
      <c r="P1930" s="5">
        <v>10</v>
      </c>
      <c r="Q1930" s="14">
        <v>46295</v>
      </c>
      <c r="R1930" s="15">
        <v>208</v>
      </c>
    </row>
    <row r="1931" spans="2:18" x14ac:dyDescent="0.35">
      <c r="B1931" s="9">
        <v>1848</v>
      </c>
      <c r="C1931" s="9" t="str">
        <v>출고재고</v>
      </c>
      <c r="D1931" s="9" t="str">
        <v/>
      </c>
      <c r="E1931" s="9" t="str">
        <v/>
      </c>
      <c r="F1931" s="9" t="str">
        <v/>
      </c>
      <c r="G1931" s="9" t="str">
        <v/>
      </c>
      <c r="H1931" s="9" t="str">
        <v>RA-05V-0199</v>
      </c>
      <c r="I1931" s="11" t="str">
        <v>RA-05V-0199]BRK PXD-200CT DRV PCB R</v>
      </c>
      <c r="J1931" s="9">
        <v>289</v>
      </c>
      <c r="K1931" s="9" t="str">
        <v/>
      </c>
      <c r="L1931" s="9" t="str">
        <v>H2-2</v>
      </c>
      <c r="M1931" s="12">
        <v>46295</v>
      </c>
      <c r="N1931" s="5" t="str">
        <v/>
      </c>
      <c r="O1931" s="5">
        <v>98678</v>
      </c>
      <c r="P1931" s="5">
        <v>10</v>
      </c>
      <c r="Q1931" s="14">
        <v>46295</v>
      </c>
      <c r="R1931" s="15">
        <v>279</v>
      </c>
    </row>
    <row r="1932" spans="2:18" x14ac:dyDescent="0.35">
      <c r="B1932" s="9">
        <v>1849</v>
      </c>
      <c r="C1932" s="9" t="str">
        <v>출고재고</v>
      </c>
      <c r="D1932" s="9" t="str">
        <v/>
      </c>
      <c r="E1932" s="9" t="str">
        <v/>
      </c>
      <c r="F1932" s="9" t="str">
        <v/>
      </c>
      <c r="G1932" s="9" t="str">
        <v/>
      </c>
      <c r="H1932" s="9" t="str">
        <v>RA-05V-0297</v>
      </c>
      <c r="I1932" s="11" t="str">
        <v>RA-05V-0297]BRK PXD-200CT DRV PCB L</v>
      </c>
      <c r="J1932" s="9">
        <v>294</v>
      </c>
      <c r="K1932" s="9" t="str">
        <v/>
      </c>
      <c r="L1932" s="9" t="str">
        <v>H2-2</v>
      </c>
      <c r="M1932" s="12">
        <v>46295</v>
      </c>
      <c r="N1932" s="5" t="str">
        <v/>
      </c>
      <c r="O1932" s="5">
        <v>98678</v>
      </c>
      <c r="P1932" s="5">
        <v>10</v>
      </c>
      <c r="Q1932" s="14">
        <v>46295</v>
      </c>
      <c r="R1932" s="15">
        <v>284</v>
      </c>
    </row>
    <row r="1933" spans="2:18" x14ac:dyDescent="0.35">
      <c r="B1933" s="9">
        <v>1648</v>
      </c>
      <c r="C1933" s="9" t="str">
        <v>출고재고</v>
      </c>
      <c r="D1933" s="9" t="str">
        <v/>
      </c>
      <c r="E1933" s="9" t="str">
        <v/>
      </c>
      <c r="F1933" s="9" t="str">
        <v/>
      </c>
      <c r="G1933" s="9" t="str">
        <v/>
      </c>
      <c r="H1933" s="9" t="str">
        <v>RA-5-10</v>
      </c>
      <c r="I1933" s="11" t="str">
        <v>RA-5-10]EARTH MOT SMPS(RPS)</v>
      </c>
      <c r="J1933" s="9">
        <v>315</v>
      </c>
      <c r="K1933" s="9" t="str">
        <v/>
      </c>
      <c r="L1933" s="9" t="str">
        <v>G3-2</v>
      </c>
      <c r="M1933" s="12">
        <v>46280</v>
      </c>
      <c r="N1933" s="5" t="str">
        <v/>
      </c>
      <c r="O1933" s="5">
        <v>98678</v>
      </c>
      <c r="P1933" s="5">
        <v>10</v>
      </c>
      <c r="Q1933" s="14">
        <v>46295</v>
      </c>
      <c r="R1933" s="15">
        <v>305</v>
      </c>
    </row>
    <row r="1934" spans="2:18" x14ac:dyDescent="0.35">
      <c r="B1934" s="9">
        <v>1569</v>
      </c>
      <c r="C1934" s="9" t="str">
        <v>출고재고</v>
      </c>
      <c r="D1934" s="9" t="str">
        <v/>
      </c>
      <c r="E1934" s="9" t="str">
        <v/>
      </c>
      <c r="F1934" s="9" t="str">
        <v/>
      </c>
      <c r="G1934" s="9" t="str">
        <v/>
      </c>
      <c r="H1934" s="9" t="str">
        <v>RA-04T-2524</v>
      </c>
      <c r="I1934" s="11" t="str">
        <v>RA-04T-2524]CAS CHINREST UPPER (A+)</v>
      </c>
      <c r="J1934" s="9">
        <v>514</v>
      </c>
      <c r="K1934" s="9" t="str">
        <v/>
      </c>
      <c r="L1934" s="9" t="str">
        <v>S</v>
      </c>
      <c r="M1934" s="12">
        <v>46282</v>
      </c>
      <c r="N1934" s="5" t="str">
        <v/>
      </c>
      <c r="O1934" s="5">
        <v>98678</v>
      </c>
      <c r="P1934" s="5">
        <v>10</v>
      </c>
      <c r="Q1934" s="14">
        <v>46295</v>
      </c>
      <c r="R1934" s="15">
        <v>504</v>
      </c>
    </row>
    <row r="1935" spans="2:18" x14ac:dyDescent="0.35">
      <c r="B1935" s="9">
        <v>1900</v>
      </c>
      <c r="C1935" s="9" t="str">
        <v>출고재고</v>
      </c>
      <c r="D1935" s="9" t="str">
        <v/>
      </c>
      <c r="E1935" s="9" t="str">
        <v>입고</v>
      </c>
      <c r="F1935" s="9" t="str">
        <v>Bach Tung</v>
      </c>
      <c r="G1935" s="9" t="str">
        <v>유영국</v>
      </c>
      <c r="H1935" s="9" t="str">
        <v>RA-06A-2760</v>
      </c>
      <c r="I1935" s="11" t="str">
        <v>RA-06A-2760]ASM COL MOVING (ST) (VN)</v>
      </c>
      <c r="J1935" s="9">
        <v>5</v>
      </c>
      <c r="K1935" s="9" t="str">
        <v/>
      </c>
      <c r="L1935" s="9" t="str">
        <v>U</v>
      </c>
      <c r="M1935" s="12">
        <v>46288</v>
      </c>
      <c r="N1935" s="5" t="str">
        <v/>
      </c>
      <c r="O1935" s="5">
        <v>98679</v>
      </c>
      <c r="P1935" s="5">
        <v>5</v>
      </c>
      <c r="Q1935" s="14">
        <v>46295</v>
      </c>
      <c r="R1935" s="15">
        <v>0</v>
      </c>
    </row>
    <row r="1936" spans="2:18" x14ac:dyDescent="0.35">
      <c r="B1936" s="9">
        <v>1511</v>
      </c>
      <c r="C1936" s="9" t="str">
        <v>출고재고</v>
      </c>
      <c r="D1936" s="9" t="str">
        <v/>
      </c>
      <c r="E1936" s="9" t="str">
        <v/>
      </c>
      <c r="F1936" s="9" t="str">
        <v/>
      </c>
      <c r="G1936" s="9" t="str">
        <v/>
      </c>
      <c r="H1936" s="9" t="str">
        <v>RA-06M-3317</v>
      </c>
      <c r="I1936" s="11" t="str">
        <v>RA-06M-3317]BLK COL FIX UPPER (ST)</v>
      </c>
      <c r="J1936" s="9">
        <v>19</v>
      </c>
      <c r="K1936" s="9" t="str">
        <v/>
      </c>
      <c r="L1936" s="9" t="str">
        <v>H2-3</v>
      </c>
      <c r="M1936" s="12">
        <v>46282</v>
      </c>
      <c r="N1936" s="5" t="str">
        <v/>
      </c>
      <c r="O1936" s="5">
        <v>98679</v>
      </c>
      <c r="P1936" s="5">
        <v>10</v>
      </c>
      <c r="Q1936" s="14">
        <v>46295</v>
      </c>
      <c r="R1936" s="15">
        <v>9</v>
      </c>
    </row>
    <row r="1937" spans="2:18" x14ac:dyDescent="0.35">
      <c r="B1937" s="9">
        <v>1837</v>
      </c>
      <c r="C1937" s="9" t="str">
        <v>출고재고</v>
      </c>
      <c r="D1937" s="9" t="str">
        <v/>
      </c>
      <c r="E1937" s="9" t="str">
        <v/>
      </c>
      <c r="F1937" s="9" t="str">
        <v/>
      </c>
      <c r="G1937" s="9" t="str">
        <v/>
      </c>
      <c r="H1937" s="9" t="str">
        <v>RA-5-4</v>
      </c>
      <c r="I1937" s="11" t="str">
        <v>RA-5-4]EARTH ROT TO TUBE</v>
      </c>
      <c r="J1937" s="9">
        <v>31</v>
      </c>
      <c r="K1937" s="9" t="str">
        <v/>
      </c>
      <c r="L1937" s="9" t="str">
        <v>G3-2</v>
      </c>
      <c r="M1937" s="12">
        <v>46295</v>
      </c>
      <c r="N1937" s="5" t="str">
        <v/>
      </c>
      <c r="O1937" s="5">
        <v>98679</v>
      </c>
      <c r="P1937" s="5">
        <v>10</v>
      </c>
      <c r="Q1937" s="14">
        <v>46295</v>
      </c>
      <c r="R1937" s="15">
        <v>21</v>
      </c>
    </row>
    <row r="1938" spans="2:18" x14ac:dyDescent="0.35">
      <c r="B1938" s="9">
        <v>1901</v>
      </c>
      <c r="C1938" s="9" t="str">
        <v>출고재고</v>
      </c>
      <c r="D1938" s="9" t="str">
        <v/>
      </c>
      <c r="E1938" s="9" t="str">
        <v>입고</v>
      </c>
      <c r="F1938" s="9" t="str">
        <v>Bach Tung</v>
      </c>
      <c r="G1938" s="9" t="str">
        <v>유영국</v>
      </c>
      <c r="H1938" s="9" t="str">
        <v>RA-06A-2760</v>
      </c>
      <c r="I1938" s="11" t="str">
        <v>RA-06A-2760]ASM COL MOVING (ST) (VN)</v>
      </c>
      <c r="J1938" s="9">
        <v>40</v>
      </c>
      <c r="K1938" s="9" t="str">
        <v/>
      </c>
      <c r="L1938" s="9" t="str">
        <v>U</v>
      </c>
      <c r="M1938" s="12">
        <v>46282</v>
      </c>
      <c r="N1938" s="5" t="str">
        <v/>
      </c>
      <c r="O1938" s="5">
        <v>98679</v>
      </c>
      <c r="P1938" s="5">
        <v>5</v>
      </c>
      <c r="Q1938" s="14">
        <v>46295</v>
      </c>
      <c r="R1938" s="15">
        <v>35</v>
      </c>
    </row>
    <row r="1939" spans="2:18" x14ac:dyDescent="0.35">
      <c r="B1939" s="9">
        <v>1513</v>
      </c>
      <c r="C1939" s="9" t="str">
        <v>출고재고</v>
      </c>
      <c r="D1939" s="9" t="str">
        <v/>
      </c>
      <c r="E1939" s="9" t="str">
        <v/>
      </c>
      <c r="F1939" s="9" t="str">
        <v/>
      </c>
      <c r="G1939" s="9" t="str">
        <v/>
      </c>
      <c r="H1939" s="9" t="str">
        <v>RA-06V-3389</v>
      </c>
      <c r="I1939" s="11" t="str">
        <v xml:space="preserve">  </v>
      </c>
      <c r="J1939" s="9">
        <v>48</v>
      </c>
      <c r="K1939" s="9" t="str">
        <v/>
      </c>
      <c r="L1939" s="9" t="str">
        <v>I3-2</v>
      </c>
      <c r="M1939" s="12">
        <v>46282</v>
      </c>
      <c r="N1939" s="5" t="str">
        <v/>
      </c>
      <c r="O1939" s="5">
        <v>98679</v>
      </c>
      <c r="P1939" s="5">
        <v>10</v>
      </c>
      <c r="Q1939" s="14">
        <v>46295</v>
      </c>
      <c r="R1939" s="15">
        <v>38</v>
      </c>
    </row>
    <row r="1940" spans="2:18" x14ac:dyDescent="0.35">
      <c r="B1940" s="9">
        <v>1514</v>
      </c>
      <c r="C1940" s="9" t="str">
        <v>출고재고</v>
      </c>
      <c r="D1940" s="9" t="str">
        <v/>
      </c>
      <c r="E1940" s="9" t="str">
        <v/>
      </c>
      <c r="F1940" s="9" t="str">
        <v/>
      </c>
      <c r="G1940" s="9" t="str">
        <v/>
      </c>
      <c r="H1940" s="9" t="str">
        <v>RA-07M-3424</v>
      </c>
      <c r="I1940" s="11" t="str">
        <v>RA-07M-3424]BLK STOPPER MICROMTR HEAD(ST</v>
      </c>
      <c r="J1940" s="9">
        <v>57</v>
      </c>
      <c r="K1940" s="9" t="str">
        <v/>
      </c>
      <c r="L1940" s="9" t="str">
        <v>J3-2</v>
      </c>
      <c r="M1940" s="12">
        <v>46282</v>
      </c>
      <c r="N1940" s="5" t="str">
        <v/>
      </c>
      <c r="O1940" s="5">
        <v>98679</v>
      </c>
      <c r="P1940" s="5">
        <v>10</v>
      </c>
      <c r="Q1940" s="14">
        <v>46295</v>
      </c>
      <c r="R1940" s="15">
        <v>47</v>
      </c>
    </row>
    <row r="1941" spans="2:18" x14ac:dyDescent="0.35">
      <c r="B1941" s="9">
        <v>1515</v>
      </c>
      <c r="C1941" s="9" t="str">
        <v>출고재고</v>
      </c>
      <c r="D1941" s="9" t="str">
        <v/>
      </c>
      <c r="E1941" s="9" t="str">
        <v/>
      </c>
      <c r="F1941" s="9" t="str">
        <v/>
      </c>
      <c r="G1941" s="9" t="str">
        <v/>
      </c>
      <c r="H1941" s="9" t="str">
        <v>RA-06A-3314</v>
      </c>
      <c r="I1941" s="11" t="str">
        <v>RA-06A-3314]ASM TUBE TNK SUP (ST)</v>
      </c>
      <c r="J1941" s="9">
        <v>64</v>
      </c>
      <c r="K1941" s="9" t="str">
        <v/>
      </c>
      <c r="L1941" s="9" t="str">
        <v>O1</v>
      </c>
      <c r="M1941" s="12">
        <v>46282</v>
      </c>
      <c r="N1941" s="5" t="str">
        <v/>
      </c>
      <c r="O1941" s="5">
        <v>98679</v>
      </c>
      <c r="P1941" s="5">
        <v>10</v>
      </c>
      <c r="Q1941" s="14">
        <v>46295</v>
      </c>
      <c r="R1941" s="15">
        <v>54</v>
      </c>
    </row>
    <row r="1942" spans="2:18" x14ac:dyDescent="0.35">
      <c r="B1942" s="9">
        <v>1790</v>
      </c>
      <c r="C1942" s="9" t="str">
        <v>출고재고</v>
      </c>
      <c r="D1942" s="9" t="str">
        <v/>
      </c>
      <c r="E1942" s="9" t="str">
        <v/>
      </c>
      <c r="F1942" s="9" t="str">
        <v/>
      </c>
      <c r="G1942" s="9" t="str">
        <v/>
      </c>
      <c r="H1942" s="9" t="str">
        <v>RA-11-23</v>
      </c>
      <c r="I1942" s="11" t="str">
        <v>RA-11-23]Fcol MOT Cable D</v>
      </c>
      <c r="J1942" s="9">
        <v>65</v>
      </c>
      <c r="K1942" s="9" t="str">
        <v/>
      </c>
      <c r="L1942" s="9" t="str">
        <v>G1-5</v>
      </c>
      <c r="M1942" s="12">
        <v>46294</v>
      </c>
      <c r="N1942" s="5" t="str">
        <v/>
      </c>
      <c r="O1942" s="5">
        <v>98679</v>
      </c>
      <c r="P1942" s="5">
        <v>10</v>
      </c>
      <c r="Q1942" s="14">
        <v>46295</v>
      </c>
      <c r="R1942" s="15">
        <v>55</v>
      </c>
    </row>
    <row r="1943" spans="2:18" x14ac:dyDescent="0.35">
      <c r="B1943" s="9">
        <v>1767</v>
      </c>
      <c r="C1943" s="9" t="str">
        <v>출고재고</v>
      </c>
      <c r="D1943" s="9" t="str">
        <v/>
      </c>
      <c r="E1943" s="9" t="str">
        <v/>
      </c>
      <c r="F1943" s="9" t="str">
        <v/>
      </c>
      <c r="G1943" s="9" t="str">
        <v/>
      </c>
      <c r="H1943" s="9" t="str">
        <v>RA-11-2</v>
      </c>
      <c r="I1943" s="11" t="str">
        <v>RA-11-2]AUX MCU to FCOL</v>
      </c>
      <c r="J1943" s="9">
        <v>70</v>
      </c>
      <c r="K1943" s="9" t="str">
        <v/>
      </c>
      <c r="L1943" s="9" t="str">
        <v>G2-4</v>
      </c>
      <c r="M1943" s="12">
        <v>46294</v>
      </c>
      <c r="N1943" s="5" t="str">
        <v/>
      </c>
      <c r="O1943" s="5">
        <v>98679</v>
      </c>
      <c r="P1943" s="5">
        <v>10</v>
      </c>
      <c r="Q1943" s="14">
        <v>46295</v>
      </c>
      <c r="R1943" s="15">
        <v>60</v>
      </c>
    </row>
    <row r="1944" spans="2:18" x14ac:dyDescent="0.35">
      <c r="B1944" s="9">
        <v>1791</v>
      </c>
      <c r="C1944" s="9" t="str">
        <v>출고재고</v>
      </c>
      <c r="D1944" s="9" t="str">
        <v/>
      </c>
      <c r="E1944" s="9" t="str">
        <v/>
      </c>
      <c r="F1944" s="9" t="str">
        <v/>
      </c>
      <c r="G1944" s="9" t="str">
        <v/>
      </c>
      <c r="H1944" s="9" t="str">
        <v>RA-11-20</v>
      </c>
      <c r="I1944" s="11" t="str">
        <v>RA-11-20]Fcol MOT Cable A</v>
      </c>
      <c r="J1944" s="9">
        <v>77</v>
      </c>
      <c r="K1944" s="9" t="str">
        <v/>
      </c>
      <c r="L1944" s="9" t="str">
        <v>G2-5</v>
      </c>
      <c r="M1944" s="12">
        <v>46294</v>
      </c>
      <c r="N1944" s="5" t="str">
        <v/>
      </c>
      <c r="O1944" s="5">
        <v>98679</v>
      </c>
      <c r="P1944" s="5">
        <v>10</v>
      </c>
      <c r="Q1944" s="14">
        <v>46295</v>
      </c>
      <c r="R1944" s="15">
        <v>67</v>
      </c>
    </row>
    <row r="1945" spans="2:18" x14ac:dyDescent="0.35">
      <c r="B1945" s="9">
        <v>1518</v>
      </c>
      <c r="C1945" s="9" t="str">
        <v>출고재고</v>
      </c>
      <c r="D1945" s="9" t="str">
        <v/>
      </c>
      <c r="E1945" s="9" t="str">
        <v/>
      </c>
      <c r="F1945" s="9" t="str">
        <v/>
      </c>
      <c r="G1945" s="9" t="str">
        <v/>
      </c>
      <c r="H1945" s="9" t="str">
        <v>RA-15-10</v>
      </c>
      <c r="I1945" s="11" t="str">
        <v>RA-15-10]SUB MOT DET(VL)</v>
      </c>
      <c r="J1945" s="9">
        <v>102</v>
      </c>
      <c r="K1945" s="9" t="str">
        <v/>
      </c>
      <c r="L1945" s="9" t="str">
        <v>G3-7</v>
      </c>
      <c r="M1945" s="12">
        <v>46282</v>
      </c>
      <c r="N1945" s="5" t="str">
        <v/>
      </c>
      <c r="O1945" s="5">
        <v>98679</v>
      </c>
      <c r="P1945" s="5">
        <v>10</v>
      </c>
      <c r="Q1945" s="14">
        <v>46295</v>
      </c>
      <c r="R1945" s="15">
        <v>92</v>
      </c>
    </row>
    <row r="1946" spans="2:18" x14ac:dyDescent="0.35">
      <c r="B1946" s="9">
        <v>1519</v>
      </c>
      <c r="C1946" s="9" t="str">
        <v>출고재고</v>
      </c>
      <c r="D1946" s="9" t="str">
        <v/>
      </c>
      <c r="E1946" s="9" t="str">
        <v/>
      </c>
      <c r="F1946" s="9" t="str">
        <v/>
      </c>
      <c r="G1946" s="9" t="str">
        <v/>
      </c>
      <c r="H1946" s="9" t="str">
        <v>RA-06M-3312</v>
      </c>
      <c r="I1946" s="11" t="str">
        <v>RA-06M-3312]BLK TUBE TNK ANGLE (ST)</v>
      </c>
      <c r="J1946" s="9">
        <v>104</v>
      </c>
      <c r="K1946" s="9" t="str">
        <v/>
      </c>
      <c r="L1946" s="9" t="str">
        <v>H2-3</v>
      </c>
      <c r="M1946" s="12">
        <v>46282</v>
      </c>
      <c r="N1946" s="5" t="str">
        <v/>
      </c>
      <c r="O1946" s="5">
        <v>98679</v>
      </c>
      <c r="P1946" s="5">
        <v>10</v>
      </c>
      <c r="Q1946" s="14">
        <v>46295</v>
      </c>
      <c r="R1946" s="15">
        <v>94</v>
      </c>
    </row>
    <row r="1947" spans="2:18" x14ac:dyDescent="0.35">
      <c r="B1947" s="9">
        <v>1521</v>
      </c>
      <c r="C1947" s="9" t="str">
        <v>출고재고</v>
      </c>
      <c r="D1947" s="9" t="str">
        <v/>
      </c>
      <c r="E1947" s="9" t="str">
        <v/>
      </c>
      <c r="F1947" s="9" t="str">
        <v/>
      </c>
      <c r="G1947" s="9" t="str">
        <v/>
      </c>
      <c r="H1947" s="9" t="str">
        <v>RA-06M-3319</v>
      </c>
      <c r="I1947" s="11" t="str">
        <v>RA-06M-3319]BLK COL FIX LWR B (ST)</v>
      </c>
      <c r="J1947" s="9">
        <v>110</v>
      </c>
      <c r="K1947" s="9" t="str">
        <v/>
      </c>
      <c r="L1947" s="9" t="str">
        <v>H4-2</v>
      </c>
      <c r="M1947" s="12">
        <v>46282</v>
      </c>
      <c r="N1947" s="5" t="str">
        <v/>
      </c>
      <c r="O1947" s="5">
        <v>98679</v>
      </c>
      <c r="P1947" s="5">
        <v>10</v>
      </c>
      <c r="Q1947" s="14">
        <v>46295</v>
      </c>
      <c r="R1947" s="15">
        <v>100</v>
      </c>
    </row>
    <row r="1948" spans="2:18" x14ac:dyDescent="0.35">
      <c r="B1948" s="9">
        <v>1766</v>
      </c>
      <c r="C1948" s="9" t="str">
        <v>출고재고</v>
      </c>
      <c r="D1948" s="9" t="str">
        <v/>
      </c>
      <c r="E1948" s="9" t="str">
        <v/>
      </c>
      <c r="F1948" s="9" t="str">
        <v/>
      </c>
      <c r="G1948" s="9" t="str">
        <v/>
      </c>
      <c r="H1948" s="9" t="str">
        <v>RA-11-11</v>
      </c>
      <c r="I1948" s="11" t="str">
        <v>RA-11-11]DC POWER MOT-C</v>
      </c>
      <c r="J1948" s="9">
        <v>125</v>
      </c>
      <c r="K1948" s="9" t="str">
        <v/>
      </c>
      <c r="L1948" s="9" t="str">
        <v>G3-5</v>
      </c>
      <c r="M1948" s="12">
        <v>46294</v>
      </c>
      <c r="N1948" s="5" t="str">
        <v/>
      </c>
      <c r="O1948" s="5">
        <v>98679</v>
      </c>
      <c r="P1948" s="5">
        <v>10</v>
      </c>
      <c r="Q1948" s="14">
        <v>46295</v>
      </c>
      <c r="R1948" s="15">
        <v>115</v>
      </c>
    </row>
    <row r="1949" spans="2:18" x14ac:dyDescent="0.35">
      <c r="B1949" s="9">
        <v>1757</v>
      </c>
      <c r="C1949" s="9" t="str">
        <v>출고재고</v>
      </c>
      <c r="D1949" s="9" t="str">
        <v/>
      </c>
      <c r="E1949" s="9" t="str">
        <v/>
      </c>
      <c r="F1949" s="9" t="str">
        <v/>
      </c>
      <c r="G1949" s="9" t="str">
        <v/>
      </c>
      <c r="H1949" s="9" t="str">
        <v>RA-07S-1668</v>
      </c>
      <c r="I1949" s="11" t="str">
        <v>RA-07S-1668]MICROMTR HEAD (VA)</v>
      </c>
      <c r="J1949" s="9">
        <v>130</v>
      </c>
      <c r="K1949" s="9" t="str">
        <v/>
      </c>
      <c r="L1949" s="9" t="str">
        <v>J3-1</v>
      </c>
      <c r="M1949" s="12">
        <v>46294</v>
      </c>
      <c r="N1949" s="5" t="str">
        <v/>
      </c>
      <c r="O1949" s="5">
        <v>98679</v>
      </c>
      <c r="P1949" s="5">
        <v>10</v>
      </c>
      <c r="Q1949" s="14">
        <v>46295</v>
      </c>
      <c r="R1949" s="15">
        <v>120</v>
      </c>
    </row>
    <row r="1950" spans="2:18" x14ac:dyDescent="0.35">
      <c r="B1950" s="9">
        <v>1522</v>
      </c>
      <c r="C1950" s="9" t="str">
        <v>출고재고</v>
      </c>
      <c r="D1950" s="9" t="str">
        <v/>
      </c>
      <c r="E1950" s="9" t="str">
        <v/>
      </c>
      <c r="F1950" s="9" t="str">
        <v/>
      </c>
      <c r="G1950" s="9" t="str">
        <v/>
      </c>
      <c r="H1950" s="9" t="str">
        <v>RA-06M-3316</v>
      </c>
      <c r="I1950" s="11" t="str">
        <v>RA-06M-3316]BLK TUBE SHAFT (ST)</v>
      </c>
      <c r="J1950" s="9">
        <v>136</v>
      </c>
      <c r="K1950" s="9" t="str">
        <v/>
      </c>
      <c r="L1950" s="9" t="str">
        <v>H2-3</v>
      </c>
      <c r="M1950" s="12">
        <v>46282</v>
      </c>
      <c r="N1950" s="5" t="str">
        <v/>
      </c>
      <c r="O1950" s="5">
        <v>98679</v>
      </c>
      <c r="P1950" s="5">
        <v>10</v>
      </c>
      <c r="Q1950" s="14">
        <v>46295</v>
      </c>
      <c r="R1950" s="15">
        <v>126</v>
      </c>
    </row>
    <row r="1951" spans="2:18" x14ac:dyDescent="0.35">
      <c r="B1951" s="9">
        <v>1899</v>
      </c>
      <c r="C1951" s="9" t="str">
        <v>출고재고</v>
      </c>
      <c r="D1951" s="9" t="str">
        <v/>
      </c>
      <c r="E1951" s="9" t="str">
        <v>입고</v>
      </c>
      <c r="F1951" s="9" t="str">
        <v>정호기공</v>
      </c>
      <c r="G1951" s="9" t="str">
        <v>조영우</v>
      </c>
      <c r="H1951" s="9" t="str">
        <v>RA-06M-0243</v>
      </c>
      <c r="I1951" s="11" t="str">
        <v>RA-06M-0243]BLK TUBE TILT LIMIT</v>
      </c>
      <c r="J1951" s="9">
        <v>150</v>
      </c>
      <c r="K1951" s="9" t="str">
        <v/>
      </c>
      <c r="L1951" s="9" t="str">
        <v>I3-3</v>
      </c>
      <c r="M1951" s="12">
        <v>46294</v>
      </c>
      <c r="N1951" s="5" t="str">
        <v/>
      </c>
      <c r="O1951" s="5">
        <v>98679</v>
      </c>
      <c r="P1951" s="5">
        <v>20</v>
      </c>
      <c r="Q1951" s="14">
        <v>46295</v>
      </c>
      <c r="R1951" s="15">
        <v>130</v>
      </c>
    </row>
    <row r="1952" spans="2:18" x14ac:dyDescent="0.35">
      <c r="B1952" s="9">
        <v>1525</v>
      </c>
      <c r="C1952" s="9" t="str">
        <v>출고재고</v>
      </c>
      <c r="D1952" s="9" t="str">
        <v/>
      </c>
      <c r="E1952" s="9" t="str">
        <v/>
      </c>
      <c r="F1952" s="9" t="str">
        <v/>
      </c>
      <c r="G1952" s="9" t="str">
        <v/>
      </c>
      <c r="H1952" s="9" t="str">
        <v>RA-06A-2746</v>
      </c>
      <c r="I1952" s="11" t="str">
        <v>RA-06A-2746]SHAFT BRASS COL (ST)</v>
      </c>
      <c r="J1952" s="9">
        <v>156</v>
      </c>
      <c r="K1952" s="9" t="str">
        <v/>
      </c>
      <c r="L1952" s="9" t="str">
        <v>H1</v>
      </c>
      <c r="M1952" s="12">
        <v>46282</v>
      </c>
      <c r="N1952" s="5" t="str">
        <v/>
      </c>
      <c r="O1952" s="5">
        <v>98679</v>
      </c>
      <c r="P1952" s="5">
        <v>10</v>
      </c>
      <c r="Q1952" s="14">
        <v>46295</v>
      </c>
      <c r="R1952" s="15">
        <v>146</v>
      </c>
    </row>
    <row r="1953" spans="2:18" x14ac:dyDescent="0.35">
      <c r="B1953" s="9">
        <v>1785</v>
      </c>
      <c r="C1953" s="9" t="str">
        <v>출고재고</v>
      </c>
      <c r="D1953" s="9" t="str">
        <v/>
      </c>
      <c r="E1953" s="9" t="str">
        <v/>
      </c>
      <c r="F1953" s="9" t="str">
        <v/>
      </c>
      <c r="G1953" s="9" t="str">
        <v/>
      </c>
      <c r="H1953" s="9" t="str">
        <v>RA-03S-6009A</v>
      </c>
      <c r="I1953" s="11" t="str">
        <v>RA-03S-6009A]A2K_LBM01-370</v>
      </c>
      <c r="J1953" s="9">
        <v>171</v>
      </c>
      <c r="K1953" s="9" t="str">
        <v/>
      </c>
      <c r="L1953" s="9" t="str">
        <v>L1-2</v>
      </c>
      <c r="M1953" s="12">
        <v>46294</v>
      </c>
      <c r="N1953" s="5" t="str">
        <v/>
      </c>
      <c r="O1953" s="5">
        <v>98679</v>
      </c>
      <c r="P1953" s="5">
        <v>10</v>
      </c>
      <c r="Q1953" s="14">
        <v>46295</v>
      </c>
      <c r="R1953" s="15">
        <v>161</v>
      </c>
    </row>
    <row r="1954" spans="2:18" x14ac:dyDescent="0.35">
      <c r="B1954" s="9">
        <v>1527</v>
      </c>
      <c r="C1954" s="9" t="str">
        <v>출고재고</v>
      </c>
      <c r="D1954" s="9" t="str">
        <v/>
      </c>
      <c r="E1954" s="9" t="str">
        <v/>
      </c>
      <c r="F1954" s="9" t="str">
        <v/>
      </c>
      <c r="G1954" s="9" t="str">
        <v/>
      </c>
      <c r="H1954" s="9" t="str">
        <v>RA-07V-3962</v>
      </c>
      <c r="I1954" s="11" t="str">
        <v>RA-07V-3962]CVR DET PCB (MG)</v>
      </c>
      <c r="J1954" s="9">
        <v>179</v>
      </c>
      <c r="K1954" s="9" t="str">
        <v/>
      </c>
      <c r="L1954" s="9" t="str">
        <v>N2-4</v>
      </c>
      <c r="M1954" s="12">
        <v>46282</v>
      </c>
      <c r="N1954" s="5" t="str">
        <v/>
      </c>
      <c r="O1954" s="5">
        <v>98679</v>
      </c>
      <c r="P1954" s="5">
        <v>10</v>
      </c>
      <c r="Q1954" s="14">
        <v>46295</v>
      </c>
      <c r="R1954" s="15">
        <v>169</v>
      </c>
    </row>
    <row r="1955" spans="2:18" x14ac:dyDescent="0.35">
      <c r="B1955" s="9">
        <v>1756</v>
      </c>
      <c r="C1955" s="9" t="str">
        <v>출고재고</v>
      </c>
      <c r="D1955" s="9" t="str">
        <v/>
      </c>
      <c r="E1955" s="9" t="str">
        <v/>
      </c>
      <c r="F1955" s="9" t="str">
        <v/>
      </c>
      <c r="G1955" s="9" t="str">
        <v/>
      </c>
      <c r="H1955" s="9" t="str">
        <v>RA-07M-3434</v>
      </c>
      <c r="I1955" s="11" t="str">
        <v>RA-07M-3434]BLK MICROMTR HEAD (ST)</v>
      </c>
      <c r="J1955" s="9">
        <v>251</v>
      </c>
      <c r="K1955" s="9" t="str">
        <v/>
      </c>
      <c r="L1955" s="9" t="str">
        <v>J3-2</v>
      </c>
      <c r="M1955" s="12">
        <v>46294</v>
      </c>
      <c r="N1955" s="5" t="str">
        <v/>
      </c>
      <c r="O1955" s="5">
        <v>98679</v>
      </c>
      <c r="P1955" s="5">
        <v>10</v>
      </c>
      <c r="Q1955" s="14">
        <v>46295</v>
      </c>
      <c r="R1955" s="15">
        <v>241</v>
      </c>
    </row>
    <row r="1956" spans="2:18" x14ac:dyDescent="0.35">
      <c r="B1956" s="9">
        <v>1530</v>
      </c>
      <c r="C1956" s="9" t="str">
        <v>출고재고</v>
      </c>
      <c r="D1956" s="9" t="str">
        <v/>
      </c>
      <c r="E1956" s="9" t="str">
        <v/>
      </c>
      <c r="F1956" s="9" t="str">
        <v/>
      </c>
      <c r="G1956" s="9" t="str">
        <v/>
      </c>
      <c r="H1956" s="9" t="str">
        <v>RA-15-12</v>
      </c>
      <c r="I1956" s="11" t="str">
        <v>RA-15-12]Fcol MOT Cable C</v>
      </c>
      <c r="J1956" s="9">
        <v>281</v>
      </c>
      <c r="K1956" s="9" t="str">
        <v/>
      </c>
      <c r="L1956" s="9" t="str">
        <v>G3-7</v>
      </c>
      <c r="M1956" s="12">
        <v>46282</v>
      </c>
      <c r="N1956" s="5" t="str">
        <v/>
      </c>
      <c r="O1956" s="5">
        <v>98679</v>
      </c>
      <c r="P1956" s="5">
        <v>10</v>
      </c>
      <c r="Q1956" s="14">
        <v>46295</v>
      </c>
      <c r="R1956" s="15">
        <v>271</v>
      </c>
    </row>
    <row r="1957" spans="2:18" x14ac:dyDescent="0.35">
      <c r="B1957" s="9">
        <v>1787</v>
      </c>
      <c r="C1957" s="9" t="str">
        <v>출고재고</v>
      </c>
      <c r="D1957" s="9" t="str">
        <v/>
      </c>
      <c r="E1957" s="9" t="str">
        <v/>
      </c>
      <c r="F1957" s="9" t="str">
        <v/>
      </c>
      <c r="G1957" s="9" t="str">
        <v/>
      </c>
      <c r="H1957" s="9" t="str">
        <v>RA-06A-6006</v>
      </c>
      <c r="I1957" s="11" t="str">
        <v>RA-06A-6006]Bd ASSY'-Fcol MCU</v>
      </c>
      <c r="J1957" s="9">
        <v>308</v>
      </c>
      <c r="K1957" s="9" t="str">
        <v/>
      </c>
      <c r="L1957" s="9" t="str">
        <v>A2-1</v>
      </c>
      <c r="M1957" s="12">
        <v>46294</v>
      </c>
      <c r="N1957" s="5" t="str">
        <v/>
      </c>
      <c r="O1957" s="5">
        <v>98679</v>
      </c>
      <c r="P1957" s="5">
        <v>10</v>
      </c>
      <c r="Q1957" s="14">
        <v>46295</v>
      </c>
      <c r="R1957" s="15">
        <v>298</v>
      </c>
    </row>
    <row r="1958" spans="2:18" x14ac:dyDescent="0.35">
      <c r="B1958" s="9">
        <v>1754</v>
      </c>
      <c r="C1958" s="9" t="str">
        <v>출고재고</v>
      </c>
      <c r="D1958" s="9" t="str">
        <v/>
      </c>
      <c r="E1958" s="9" t="str">
        <v/>
      </c>
      <c r="F1958" s="9" t="str">
        <v/>
      </c>
      <c r="G1958" s="9" t="str">
        <v/>
      </c>
      <c r="H1958" s="9" t="str">
        <v>RA-04S-0977</v>
      </c>
      <c r="I1958" s="11" t="str">
        <v>RA-04S-0977]SPRING CEPH AND ARM</v>
      </c>
      <c r="J1958" s="9">
        <v>309</v>
      </c>
      <c r="K1958" s="9" t="str">
        <v/>
      </c>
      <c r="L1958" s="9" t="str">
        <v>B2-2</v>
      </c>
      <c r="M1958" s="12">
        <v>46294</v>
      </c>
      <c r="N1958" s="5" t="str">
        <v/>
      </c>
      <c r="O1958" s="5">
        <v>98679</v>
      </c>
      <c r="P1958" s="5">
        <v>10</v>
      </c>
      <c r="Q1958" s="14">
        <v>46295</v>
      </c>
      <c r="R1958" s="15">
        <v>299</v>
      </c>
    </row>
    <row r="1959" spans="2:18" x14ac:dyDescent="0.35">
      <c r="B1959" s="9">
        <v>1783</v>
      </c>
      <c r="C1959" s="9" t="str">
        <v>출고재고</v>
      </c>
      <c r="D1959" s="9" t="str">
        <v/>
      </c>
      <c r="E1959" s="9" t="str">
        <v/>
      </c>
      <c r="F1959" s="9" t="str">
        <v/>
      </c>
      <c r="G1959" s="9" t="str">
        <v/>
      </c>
      <c r="H1959" s="9" t="str">
        <v>RA-06M-0432</v>
      </c>
      <c r="I1959" s="11" t="str">
        <v>RA-06M-0432]FLANGE TUBE TILT SHAFT B</v>
      </c>
      <c r="J1959" s="9">
        <v>339</v>
      </c>
      <c r="K1959" s="9" t="str">
        <v/>
      </c>
      <c r="L1959" s="9" t="str">
        <v>H4-1</v>
      </c>
      <c r="M1959" s="12">
        <v>46294</v>
      </c>
      <c r="N1959" s="5" t="str">
        <v/>
      </c>
      <c r="O1959" s="5">
        <v>98679</v>
      </c>
      <c r="P1959" s="5">
        <v>10</v>
      </c>
      <c r="Q1959" s="14">
        <v>46295</v>
      </c>
      <c r="R1959" s="15">
        <v>329</v>
      </c>
    </row>
    <row r="1960" spans="2:18" x14ac:dyDescent="0.35">
      <c r="B1960" s="9">
        <v>1851</v>
      </c>
      <c r="C1960" s="9" t="str">
        <v>출고재고</v>
      </c>
      <c r="D1960" s="9" t="str">
        <v/>
      </c>
      <c r="E1960" s="9" t="str">
        <v/>
      </c>
      <c r="F1960" s="9" t="str">
        <v/>
      </c>
      <c r="G1960" s="9" t="str">
        <v/>
      </c>
      <c r="H1960" s="9" t="str">
        <v>RA-1-8B</v>
      </c>
      <c r="I1960" s="11" t="str">
        <v>RA-1-8B]AC POWER PFC CONNECT</v>
      </c>
      <c r="J1960" s="9">
        <v>352</v>
      </c>
      <c r="K1960" s="9" t="str">
        <v/>
      </c>
      <c r="L1960" s="9" t="str">
        <v>G3-1</v>
      </c>
      <c r="M1960" s="12">
        <v>46295</v>
      </c>
      <c r="N1960" s="5" t="str">
        <v/>
      </c>
      <c r="O1960" s="5">
        <v>98679</v>
      </c>
      <c r="P1960" s="5">
        <v>10</v>
      </c>
      <c r="Q1960" s="14">
        <v>46295</v>
      </c>
      <c r="R1960" s="15">
        <v>342</v>
      </c>
    </row>
    <row r="1961" spans="2:18" x14ac:dyDescent="0.35">
      <c r="B1961" s="9">
        <v>1796</v>
      </c>
      <c r="C1961" s="9" t="str">
        <v>출고재고</v>
      </c>
      <c r="D1961" s="9" t="str">
        <v/>
      </c>
      <c r="E1961" s="9" t="str">
        <v/>
      </c>
      <c r="F1961" s="9" t="str">
        <v/>
      </c>
      <c r="G1961" s="9" t="str">
        <v/>
      </c>
      <c r="H1961" s="9" t="str">
        <v>RA-06S-5018</v>
      </c>
      <c r="I1961" s="11" t="str">
        <v>RA-06S-5018]MICRO SWITCH</v>
      </c>
      <c r="J1961" s="9">
        <v>380</v>
      </c>
      <c r="K1961" s="9" t="str">
        <v/>
      </c>
      <c r="L1961" s="9" t="str">
        <v>A12-3</v>
      </c>
      <c r="M1961" s="12">
        <v>46294</v>
      </c>
      <c r="N1961" s="5" t="str">
        <v/>
      </c>
      <c r="O1961" s="5">
        <v>98679</v>
      </c>
      <c r="P1961" s="5">
        <v>20</v>
      </c>
      <c r="Q1961" s="14">
        <v>46295</v>
      </c>
      <c r="R1961" s="15">
        <v>360</v>
      </c>
    </row>
    <row r="1962" spans="2:18" x14ac:dyDescent="0.35">
      <c r="B1962" s="9">
        <v>1781</v>
      </c>
      <c r="C1962" s="9" t="str">
        <v>출고재고</v>
      </c>
      <c r="D1962" s="9" t="str">
        <v/>
      </c>
      <c r="E1962" s="9" t="str">
        <v/>
      </c>
      <c r="F1962" s="9" t="str">
        <v/>
      </c>
      <c r="G1962" s="9" t="str">
        <v/>
      </c>
      <c r="H1962" s="9" t="str">
        <v>RA-06V-0242</v>
      </c>
      <c r="I1962" s="11" t="str">
        <v>RA-06V-0242]BRK TUBE TILT MICRO SW</v>
      </c>
      <c r="J1962" s="9">
        <v>412</v>
      </c>
      <c r="K1962" s="9" t="str">
        <v/>
      </c>
      <c r="L1962" s="9" t="str">
        <v>H3-3</v>
      </c>
      <c r="M1962" s="12">
        <v>46294</v>
      </c>
      <c r="N1962" s="5" t="str">
        <v/>
      </c>
      <c r="O1962" s="5">
        <v>98679</v>
      </c>
      <c r="P1962" s="5">
        <v>10</v>
      </c>
      <c r="Q1962" s="14">
        <v>46295</v>
      </c>
      <c r="R1962" s="15">
        <v>402</v>
      </c>
    </row>
    <row r="1963" spans="2:18" x14ac:dyDescent="0.35">
      <c r="B1963" s="9">
        <v>1778</v>
      </c>
      <c r="C1963" s="9" t="str">
        <v>출고재고</v>
      </c>
      <c r="D1963" s="9" t="str">
        <v/>
      </c>
      <c r="E1963" s="9" t="str">
        <v/>
      </c>
      <c r="F1963" s="9" t="str">
        <v/>
      </c>
      <c r="G1963" s="9" t="str">
        <v/>
      </c>
      <c r="H1963" s="9" t="str">
        <v>RA-06S-5091</v>
      </c>
      <c r="I1963" s="11" t="str">
        <v>RA-06S-5091] DC motor(HDSG56-3448C-615)</v>
      </c>
      <c r="J1963" s="9">
        <v>419</v>
      </c>
      <c r="K1963" s="9" t="str">
        <v/>
      </c>
      <c r="L1963" s="9" t="str">
        <v>Q</v>
      </c>
      <c r="M1963" s="12">
        <v>46294</v>
      </c>
      <c r="N1963" s="5" t="str">
        <v/>
      </c>
      <c r="O1963" s="5">
        <v>98679</v>
      </c>
      <c r="P1963" s="5">
        <v>10</v>
      </c>
      <c r="Q1963" s="14">
        <v>46295</v>
      </c>
      <c r="R1963" s="15">
        <v>409</v>
      </c>
    </row>
    <row r="1964" spans="2:18" x14ac:dyDescent="0.35">
      <c r="B1964" s="9">
        <v>1777</v>
      </c>
      <c r="C1964" s="9" t="str">
        <v>출고재고</v>
      </c>
      <c r="D1964" s="9" t="str">
        <v/>
      </c>
      <c r="E1964" s="9" t="str">
        <v/>
      </c>
      <c r="F1964" s="9" t="str">
        <v/>
      </c>
      <c r="G1964" s="9" t="str">
        <v/>
      </c>
      <c r="H1964" s="9" t="str">
        <v>RA-06V-3253</v>
      </c>
      <c r="I1964" s="11" t="str">
        <v>RA-06V-3253]HLDR DC GEARED MOT (M+)</v>
      </c>
      <c r="J1964" s="9">
        <v>449</v>
      </c>
      <c r="K1964" s="9" t="str">
        <v/>
      </c>
      <c r="L1964" s="9" t="str">
        <v>I2-1</v>
      </c>
      <c r="M1964" s="12">
        <v>46294</v>
      </c>
      <c r="N1964" s="5" t="str">
        <v/>
      </c>
      <c r="O1964" s="5">
        <v>98679</v>
      </c>
      <c r="P1964" s="5">
        <v>10</v>
      </c>
      <c r="Q1964" s="14">
        <v>46295</v>
      </c>
      <c r="R1964" s="15">
        <v>439</v>
      </c>
    </row>
    <row r="1965" spans="2:18" x14ac:dyDescent="0.35">
      <c r="B1965" s="9">
        <v>1852</v>
      </c>
      <c r="C1965" s="9" t="str">
        <v>출고재고</v>
      </c>
      <c r="D1965" s="9" t="str">
        <v/>
      </c>
      <c r="E1965" s="9" t="str">
        <v/>
      </c>
      <c r="F1965" s="9" t="str">
        <v/>
      </c>
      <c r="G1965" s="9" t="str">
        <v/>
      </c>
      <c r="H1965" s="9" t="str">
        <v>RA-5-5</v>
      </c>
      <c r="I1965" s="11" t="str">
        <v>RA-5-5]EARTH ROT TO PFC</v>
      </c>
      <c r="J1965" s="9">
        <v>486</v>
      </c>
      <c r="K1965" s="9" t="str">
        <v/>
      </c>
      <c r="L1965" s="9" t="str">
        <v>G3-2</v>
      </c>
      <c r="M1965" s="12">
        <v>46295</v>
      </c>
      <c r="N1965" s="5" t="str">
        <v/>
      </c>
      <c r="O1965" s="5">
        <v>98679</v>
      </c>
      <c r="P1965" s="5">
        <v>10</v>
      </c>
      <c r="Q1965" s="14">
        <v>46295</v>
      </c>
      <c r="R1965" s="15">
        <v>476</v>
      </c>
    </row>
    <row r="1966" spans="2:18" x14ac:dyDescent="0.35">
      <c r="B1966" s="9">
        <v>1788</v>
      </c>
      <c r="C1966" s="9" t="str">
        <v>출고재고</v>
      </c>
      <c r="D1966" s="9" t="str">
        <v/>
      </c>
      <c r="E1966" s="9" t="str">
        <v/>
      </c>
      <c r="F1966" s="9" t="str">
        <v/>
      </c>
      <c r="G1966" s="9" t="str">
        <v/>
      </c>
      <c r="H1966" s="9" t="str">
        <v>RA-3-3B</v>
      </c>
      <c r="I1966" s="11" t="str">
        <v>RA-3-3B]DCM CONTROL-B</v>
      </c>
      <c r="J1966" s="9">
        <v>492</v>
      </c>
      <c r="K1966" s="9" t="str">
        <v/>
      </c>
      <c r="L1966" s="9" t="str">
        <v>G2-1</v>
      </c>
      <c r="M1966" s="12">
        <v>46294</v>
      </c>
      <c r="N1966" s="5" t="str">
        <v/>
      </c>
      <c r="O1966" s="5">
        <v>98679</v>
      </c>
      <c r="P1966" s="5">
        <v>10</v>
      </c>
      <c r="Q1966" s="14">
        <v>46295</v>
      </c>
      <c r="R1966" s="15">
        <v>482</v>
      </c>
    </row>
    <row r="1967" spans="2:18" x14ac:dyDescent="0.35">
      <c r="B1967" s="9">
        <v>1740</v>
      </c>
      <c r="C1967" s="9" t="str">
        <v>출고재고</v>
      </c>
      <c r="D1967" s="9" t="str">
        <v/>
      </c>
      <c r="E1967" s="9" t="str">
        <v/>
      </c>
      <c r="F1967" s="9" t="str">
        <v/>
      </c>
      <c r="G1967" s="9" t="str">
        <v/>
      </c>
      <c r="H1967" s="9" t="str">
        <v>RA-06M-0244</v>
      </c>
      <c r="I1967" s="11" t="str">
        <v>RA-06M-0244]PIN TUBE TILT LIMIT</v>
      </c>
      <c r="J1967" s="9">
        <v>498</v>
      </c>
      <c r="K1967" s="9" t="str">
        <v/>
      </c>
      <c r="L1967" s="9" t="str">
        <v>I3-3</v>
      </c>
      <c r="M1967" s="12">
        <v>46294</v>
      </c>
      <c r="N1967" s="5" t="str">
        <v/>
      </c>
      <c r="O1967" s="5">
        <v>98679</v>
      </c>
      <c r="P1967" s="5">
        <v>20</v>
      </c>
      <c r="Q1967" s="14">
        <v>46295</v>
      </c>
      <c r="R1967" s="15">
        <v>478</v>
      </c>
    </row>
    <row r="1968" spans="2:18" x14ac:dyDescent="0.35">
      <c r="B1968" s="9">
        <v>1780</v>
      </c>
      <c r="C1968" s="9" t="str">
        <v>출고재고</v>
      </c>
      <c r="D1968" s="9" t="str">
        <v/>
      </c>
      <c r="E1968" s="9" t="str">
        <v/>
      </c>
      <c r="F1968" s="9" t="str">
        <v/>
      </c>
      <c r="G1968" s="9" t="str">
        <v/>
      </c>
      <c r="H1968" s="9" t="str">
        <v>RA-06V-0241</v>
      </c>
      <c r="I1968" s="11" t="str">
        <v>RA-06V-0241]GUIDE TUBE TILT MICRO SW</v>
      </c>
      <c r="J1968" s="9">
        <v>581</v>
      </c>
      <c r="K1968" s="9" t="str">
        <v/>
      </c>
      <c r="L1968" s="9" t="str">
        <v>H4-3</v>
      </c>
      <c r="M1968" s="12">
        <v>46294</v>
      </c>
      <c r="N1968" s="5" t="str">
        <v/>
      </c>
      <c r="O1968" s="5">
        <v>98679</v>
      </c>
      <c r="P1968" s="5">
        <v>10</v>
      </c>
      <c r="Q1968" s="14">
        <v>46295</v>
      </c>
      <c r="R1968" s="15">
        <v>571</v>
      </c>
    </row>
    <row r="1969" spans="2:18" x14ac:dyDescent="0.35">
      <c r="B1969" s="9">
        <v>1782</v>
      </c>
      <c r="C1969" s="9" t="str">
        <v>출고재고</v>
      </c>
      <c r="D1969" s="9" t="str">
        <v/>
      </c>
      <c r="E1969" s="9" t="str">
        <v/>
      </c>
      <c r="F1969" s="9" t="str">
        <v/>
      </c>
      <c r="G1969" s="9" t="str">
        <v/>
      </c>
      <c r="H1969" s="9" t="str">
        <v>RA-06V-0866</v>
      </c>
      <c r="I1969" s="11" t="str">
        <v>RA-06V-0866]BRK TUBE TILT MICRO SW</v>
      </c>
      <c r="J1969" s="9">
        <v>706</v>
      </c>
      <c r="K1969" s="9" t="str">
        <v/>
      </c>
      <c r="L1969" s="9" t="str">
        <v>H3-3</v>
      </c>
      <c r="M1969" s="12">
        <v>46294</v>
      </c>
      <c r="N1969" s="5" t="str">
        <v/>
      </c>
      <c r="O1969" s="5">
        <v>98679</v>
      </c>
      <c r="P1969" s="5">
        <v>10</v>
      </c>
      <c r="Q1969" s="14">
        <v>46295</v>
      </c>
      <c r="R1969" s="15">
        <v>696</v>
      </c>
    </row>
    <row r="1970" spans="2:18" x14ac:dyDescent="0.35">
      <c r="B1970" s="9">
        <v>1779</v>
      </c>
      <c r="C1970" s="9" t="str">
        <v>출고재고</v>
      </c>
      <c r="D1970" s="9" t="str">
        <v/>
      </c>
      <c r="E1970" s="9" t="str">
        <v/>
      </c>
      <c r="F1970" s="9" t="str">
        <v/>
      </c>
      <c r="G1970" s="9" t="str">
        <v/>
      </c>
      <c r="H1970" s="9" t="str">
        <v>RA-06A-5005</v>
      </c>
      <c r="I1970" s="11" t="str">
        <v>RA-06A-5005]Bd ASSY'-DC MOT Bd</v>
      </c>
      <c r="J1970" s="9">
        <v>744</v>
      </c>
      <c r="K1970" s="9" t="str">
        <v/>
      </c>
      <c r="L1970" s="9" t="str">
        <v>A3-2, A3-3</v>
      </c>
      <c r="M1970" s="12">
        <v>46294</v>
      </c>
      <c r="N1970" s="5" t="str">
        <v/>
      </c>
      <c r="O1970" s="5">
        <v>98679</v>
      </c>
      <c r="P1970" s="5">
        <v>10</v>
      </c>
      <c r="Q1970" s="14">
        <v>46295</v>
      </c>
      <c r="R1970" s="15">
        <v>734</v>
      </c>
    </row>
    <row r="1971" spans="2:18" x14ac:dyDescent="0.35">
      <c r="B1971" s="9">
        <v>2387</v>
      </c>
      <c r="C1971" s="9" t="str">
        <v>출고재고</v>
      </c>
      <c r="D1971" s="9" t="str">
        <v/>
      </c>
      <c r="E1971" s="9" t="str">
        <v/>
      </c>
      <c r="F1971" s="9" t="str">
        <v/>
      </c>
      <c r="G1971" s="9" t="str">
        <v/>
      </c>
      <c r="H1971" s="9" t="str">
        <v>RA-09A-2754</v>
      </c>
      <c r="I1971" s="11" t="str">
        <v>RA-09A-2754]ASM CT HEADREST (A+) (VN)</v>
      </c>
      <c r="J1971" s="9">
        <v>94</v>
      </c>
      <c r="K1971" s="9" t="str">
        <v/>
      </c>
      <c r="L1971" s="9" t="str">
        <v>O3</v>
      </c>
      <c r="M1971" s="12">
        <v>46302</v>
      </c>
      <c r="N1971" s="5" t="str">
        <v/>
      </c>
      <c r="O1971" s="5">
        <v>98680</v>
      </c>
      <c r="P1971" s="5">
        <v>10</v>
      </c>
      <c r="Q1971" s="14">
        <v>46296</v>
      </c>
      <c r="R1971" s="15">
        <v>84</v>
      </c>
    </row>
    <row r="1972" spans="2:18" x14ac:dyDescent="0.35">
      <c r="B1972" s="9">
        <v>1494</v>
      </c>
      <c r="C1972" s="9" t="str">
        <v>출고재고</v>
      </c>
      <c r="D1972" s="9" t="str">
        <v/>
      </c>
      <c r="E1972" s="9" t="str">
        <v/>
      </c>
      <c r="F1972" s="9" t="str">
        <v/>
      </c>
      <c r="G1972" s="9" t="str">
        <v/>
      </c>
      <c r="H1972" s="9" t="str">
        <v>RA-09M-3440</v>
      </c>
      <c r="I1972" s="11" t="str">
        <v>RA-09M-3440]BLK GUIDE BITE (ST)_REV.C</v>
      </c>
      <c r="J1972" s="9">
        <v>205</v>
      </c>
      <c r="K1972" s="9" t="str">
        <v/>
      </c>
      <c r="L1972" s="9" t="str">
        <v>N6</v>
      </c>
      <c r="M1972" s="12">
        <v>46282</v>
      </c>
      <c r="N1972" s="5" t="str">
        <v/>
      </c>
      <c r="O1972" s="5">
        <v>98680</v>
      </c>
      <c r="P1972" s="5">
        <v>10</v>
      </c>
      <c r="Q1972" s="14">
        <v>46296</v>
      </c>
      <c r="R1972" s="15">
        <v>195</v>
      </c>
    </row>
    <row r="1973" spans="2:18" x14ac:dyDescent="0.35">
      <c r="B1973" s="9">
        <v>1486</v>
      </c>
      <c r="C1973" s="9" t="str">
        <v>출고재고</v>
      </c>
      <c r="D1973" s="9" t="str">
        <v/>
      </c>
      <c r="E1973" s="9" t="str">
        <v/>
      </c>
      <c r="F1973" s="9" t="str">
        <v/>
      </c>
      <c r="G1973" s="9" t="str">
        <v/>
      </c>
      <c r="H1973" s="9" t="str">
        <v>RA-09T-3991</v>
      </c>
      <c r="I1973" s="11" t="str">
        <v>RA-09T-3991]CAS CHINREST (MG)</v>
      </c>
      <c r="J1973" s="9">
        <v>20</v>
      </c>
      <c r="K1973" s="9" t="str">
        <v/>
      </c>
      <c r="L1973" s="9" t="str">
        <v>N6</v>
      </c>
      <c r="M1973" s="12">
        <v>46282</v>
      </c>
      <c r="N1973" s="5" t="str">
        <v/>
      </c>
      <c r="O1973" s="5">
        <v>98680</v>
      </c>
      <c r="P1973" s="5">
        <v>10</v>
      </c>
      <c r="Q1973" s="14">
        <v>46296</v>
      </c>
      <c r="R1973" s="15">
        <v>10</v>
      </c>
    </row>
    <row r="1974" spans="2:18" x14ac:dyDescent="0.35">
      <c r="B1974" s="9">
        <v>2374</v>
      </c>
      <c r="C1974" s="9" t="str">
        <v>출고재고</v>
      </c>
      <c r="D1974" s="9" t="str">
        <v/>
      </c>
      <c r="E1974" s="9" t="str">
        <v/>
      </c>
      <c r="F1974" s="9" t="str">
        <v/>
      </c>
      <c r="G1974" s="9" t="str">
        <v/>
      </c>
      <c r="H1974" s="9" t="str">
        <v>RA-09A-2729</v>
      </c>
      <c r="I1974" s="11" t="str">
        <v>RA-09A-2729]ASM COMPONENT SUB-1</v>
      </c>
      <c r="J1974" s="9">
        <v>55</v>
      </c>
      <c r="K1974" s="9" t="str">
        <v/>
      </c>
      <c r="L1974" s="9" t="str">
        <v>T</v>
      </c>
      <c r="M1974" s="12">
        <v>46302</v>
      </c>
      <c r="N1974" s="5" t="str">
        <v/>
      </c>
      <c r="O1974" s="5">
        <v>98680</v>
      </c>
      <c r="P1974" s="5">
        <v>10</v>
      </c>
      <c r="Q1974" s="14">
        <v>46296</v>
      </c>
      <c r="R1974" s="15">
        <v>45</v>
      </c>
    </row>
    <row r="1975" spans="2:18" x14ac:dyDescent="0.35">
      <c r="B1975" s="9">
        <v>2373</v>
      </c>
      <c r="C1975" s="9" t="str">
        <v>출고재고</v>
      </c>
      <c r="D1975" s="9" t="str">
        <v/>
      </c>
      <c r="E1975" s="9" t="str">
        <v/>
      </c>
      <c r="F1975" s="9" t="str">
        <v/>
      </c>
      <c r="G1975" s="9" t="str">
        <v/>
      </c>
      <c r="H1975" s="9" t="str">
        <v>RA-09A-2730</v>
      </c>
      <c r="I1975" s="11" t="str">
        <v>RA-09A-2730]ASM COMPONENT SUB-2</v>
      </c>
      <c r="J1975" s="9">
        <v>133</v>
      </c>
      <c r="K1975" s="9" t="str">
        <v/>
      </c>
      <c r="L1975" s="9" t="str">
        <v>T</v>
      </c>
      <c r="M1975" s="12">
        <v>46302</v>
      </c>
      <c r="N1975" s="5" t="str">
        <v/>
      </c>
      <c r="O1975" s="5">
        <v>98680</v>
      </c>
      <c r="P1975" s="5">
        <v>10</v>
      </c>
      <c r="Q1975" s="14">
        <v>46296</v>
      </c>
      <c r="R1975" s="15">
        <v>123</v>
      </c>
    </row>
    <row r="1976" spans="2:18" x14ac:dyDescent="0.35">
      <c r="B1976" s="9">
        <v>2603</v>
      </c>
      <c r="C1976" s="9" t="str">
        <v>출고재고</v>
      </c>
      <c r="D1976" s="9" t="str">
        <v/>
      </c>
      <c r="E1976" s="9" t="str">
        <v/>
      </c>
      <c r="F1976" s="9" t="str">
        <v/>
      </c>
      <c r="G1976" s="9" t="str">
        <v/>
      </c>
      <c r="H1976" s="9" t="str">
        <v>RA-09A-0967</v>
      </c>
      <c r="I1976" s="11" t="str">
        <v>RA-09A-0967]ASM EXPOSURE SW</v>
      </c>
      <c r="J1976" s="9">
        <v>210</v>
      </c>
      <c r="K1976" s="9" t="str">
        <v/>
      </c>
      <c r="L1976" s="9" t="str">
        <v>J1-3</v>
      </c>
      <c r="M1976" s="12">
        <v>46307</v>
      </c>
      <c r="N1976" s="5" t="str">
        <v/>
      </c>
      <c r="O1976" s="5">
        <v>98680</v>
      </c>
      <c r="P1976" s="5">
        <v>10</v>
      </c>
      <c r="Q1976" s="14">
        <v>46296</v>
      </c>
      <c r="R1976" s="15">
        <v>200</v>
      </c>
    </row>
    <row r="1977" spans="2:18" x14ac:dyDescent="0.35">
      <c r="B1977" s="9">
        <v>2553</v>
      </c>
      <c r="C1977" s="9" t="str">
        <v>출고재고</v>
      </c>
      <c r="D1977" s="9" t="str">
        <v/>
      </c>
      <c r="E1977" s="9" t="str">
        <v/>
      </c>
      <c r="F1977" s="9" t="str">
        <v/>
      </c>
      <c r="G1977" s="9" t="str">
        <v/>
      </c>
      <c r="H1977" s="9" t="str">
        <v>RA-09T-0733</v>
      </c>
      <c r="I1977" s="11" t="str">
        <v>RA-09T-0733]CAS S.W HLDR</v>
      </c>
      <c r="J1977" s="9">
        <v>567</v>
      </c>
      <c r="K1977" s="9" t="str">
        <v/>
      </c>
      <c r="L1977" s="9" t="str">
        <v>R</v>
      </c>
      <c r="M1977" s="12">
        <v>46307</v>
      </c>
      <c r="N1977" s="5" t="str">
        <v/>
      </c>
      <c r="O1977" s="5">
        <v>98680</v>
      </c>
      <c r="P1977" s="5">
        <v>10</v>
      </c>
      <c r="Q1977" s="14">
        <v>46296</v>
      </c>
      <c r="R1977" s="15">
        <v>557</v>
      </c>
    </row>
    <row r="1978" spans="2:18" x14ac:dyDescent="0.35">
      <c r="B1978" s="9">
        <v>2377</v>
      </c>
      <c r="C1978" s="9" t="str">
        <v>출고재고</v>
      </c>
      <c r="D1978" s="9" t="str">
        <v/>
      </c>
      <c r="E1978" s="9" t="str">
        <v/>
      </c>
      <c r="F1978" s="9" t="str">
        <v/>
      </c>
      <c r="G1978" s="9" t="str">
        <v/>
      </c>
      <c r="H1978" s="9" t="str">
        <v>RA-09A-0345</v>
      </c>
      <c r="I1978" s="11" t="str">
        <v>RA-09A-0345]ASM REMOTE CONTROL</v>
      </c>
      <c r="J1978" s="9">
        <v>113</v>
      </c>
      <c r="K1978" s="9" t="str">
        <v/>
      </c>
      <c r="L1978" s="9" t="str">
        <v>L1-1</v>
      </c>
      <c r="M1978" s="12">
        <v>46302</v>
      </c>
      <c r="N1978" s="5" t="str">
        <v/>
      </c>
      <c r="O1978" s="5">
        <v>98680</v>
      </c>
      <c r="P1978" s="5">
        <v>10</v>
      </c>
      <c r="Q1978" s="14">
        <v>46296</v>
      </c>
      <c r="R1978" s="15">
        <v>103</v>
      </c>
    </row>
    <row r="1979" spans="2:18" x14ac:dyDescent="0.35">
      <c r="B1979" s="9">
        <v>2378</v>
      </c>
      <c r="C1979" s="9" t="str">
        <v>출고재고</v>
      </c>
      <c r="D1979" s="9" t="str">
        <v/>
      </c>
      <c r="E1979" s="9" t="str">
        <v/>
      </c>
      <c r="F1979" s="9" t="str">
        <v/>
      </c>
      <c r="G1979" s="9" t="str">
        <v/>
      </c>
      <c r="H1979" s="9" t="str">
        <v>RA-01T-1791</v>
      </c>
      <c r="I1979" s="11" t="str">
        <v>RA-01T-1791]CAS MAIN Bas REAR</v>
      </c>
      <c r="J1979" s="9">
        <v>358</v>
      </c>
      <c r="K1979" s="9" t="str">
        <v/>
      </c>
      <c r="L1979" s="9" t="str">
        <v>V</v>
      </c>
      <c r="M1979" s="12">
        <v>46302</v>
      </c>
      <c r="N1979" s="5" t="str">
        <v/>
      </c>
      <c r="O1979" s="5">
        <v>98680</v>
      </c>
      <c r="P1979" s="5">
        <v>10</v>
      </c>
      <c r="Q1979" s="14">
        <v>46296</v>
      </c>
      <c r="R1979" s="15">
        <v>348</v>
      </c>
    </row>
    <row r="1980" spans="2:18" x14ac:dyDescent="0.35">
      <c r="B1980" s="9">
        <v>2379</v>
      </c>
      <c r="C1980" s="9" t="str">
        <v>출고재고</v>
      </c>
      <c r="D1980" s="9" t="str">
        <v/>
      </c>
      <c r="E1980" s="9" t="str">
        <v/>
      </c>
      <c r="F1980" s="9" t="str">
        <v/>
      </c>
      <c r="G1980" s="9" t="str">
        <v/>
      </c>
      <c r="H1980" s="9" t="str">
        <v>RA-01T-1790</v>
      </c>
      <c r="I1980" s="11" t="str">
        <v>RA-01T-1790]CAS MAIN Bas FRONT</v>
      </c>
      <c r="J1980" s="9">
        <v>230</v>
      </c>
      <c r="K1980" s="9" t="str">
        <v/>
      </c>
      <c r="L1980" s="9" t="str">
        <v>V</v>
      </c>
      <c r="M1980" s="12">
        <v>46302</v>
      </c>
      <c r="N1980" s="5" t="str">
        <v/>
      </c>
      <c r="O1980" s="5">
        <v>98680</v>
      </c>
      <c r="P1980" s="5">
        <v>10</v>
      </c>
      <c r="Q1980" s="14">
        <v>46296</v>
      </c>
      <c r="R1980" s="15">
        <v>220</v>
      </c>
    </row>
    <row r="1981" spans="2:18" x14ac:dyDescent="0.35">
      <c r="B1981" s="9">
        <v>2380</v>
      </c>
      <c r="C1981" s="9" t="str">
        <v>출고재고</v>
      </c>
      <c r="D1981" s="9" t="str">
        <v/>
      </c>
      <c r="E1981" s="9" t="str">
        <v/>
      </c>
      <c r="F1981" s="9" t="str">
        <v/>
      </c>
      <c r="G1981" s="9" t="str">
        <v/>
      </c>
      <c r="H1981" s="9" t="str">
        <v>RA-03T-0072</v>
      </c>
      <c r="I1981" s="11" t="str">
        <v>RA-03T-0072]CAS CLMN BODY REAR</v>
      </c>
      <c r="J1981" s="9">
        <v>506</v>
      </c>
      <c r="K1981" s="9" t="str">
        <v/>
      </c>
      <c r="L1981" s="9" t="str">
        <v>V</v>
      </c>
      <c r="M1981" s="12">
        <v>46302</v>
      </c>
      <c r="N1981" s="5" t="str">
        <v/>
      </c>
      <c r="O1981" s="5">
        <v>98680</v>
      </c>
      <c r="P1981" s="5">
        <v>10</v>
      </c>
      <c r="Q1981" s="14">
        <v>46296</v>
      </c>
      <c r="R1981" s="15">
        <v>496</v>
      </c>
    </row>
    <row r="1982" spans="2:18" x14ac:dyDescent="0.35">
      <c r="B1982" s="9">
        <v>2381</v>
      </c>
      <c r="C1982" s="9" t="str">
        <v>출고재고</v>
      </c>
      <c r="D1982" s="9" t="str">
        <v/>
      </c>
      <c r="E1982" s="9" t="str">
        <v/>
      </c>
      <c r="F1982" s="9" t="str">
        <v/>
      </c>
      <c r="G1982" s="9" t="str">
        <v/>
      </c>
      <c r="H1982" s="9" t="str">
        <v>RA-03A-0315</v>
      </c>
      <c r="I1982" s="11" t="str">
        <v>RA-03A-0315]ASM CAS CLMN LWR (L)</v>
      </c>
      <c r="J1982" s="9">
        <v>159</v>
      </c>
      <c r="K1982" s="9" t="str">
        <v/>
      </c>
      <c r="L1982" s="9" t="str">
        <v>V</v>
      </c>
      <c r="M1982" s="12">
        <v>46302</v>
      </c>
      <c r="N1982" s="5" t="str">
        <v/>
      </c>
      <c r="O1982" s="5">
        <v>98680</v>
      </c>
      <c r="P1982" s="5">
        <v>10</v>
      </c>
      <c r="Q1982" s="14">
        <v>46296</v>
      </c>
      <c r="R1982" s="15">
        <v>149</v>
      </c>
    </row>
    <row r="1983" spans="2:18" x14ac:dyDescent="0.35">
      <c r="B1983" s="9">
        <v>2382</v>
      </c>
      <c r="C1983" s="9" t="str">
        <v>출고재고</v>
      </c>
      <c r="D1983" s="9" t="str">
        <v/>
      </c>
      <c r="E1983" s="9" t="str">
        <v/>
      </c>
      <c r="F1983" s="9" t="str">
        <v/>
      </c>
      <c r="G1983" s="9" t="str">
        <v/>
      </c>
      <c r="H1983" s="9" t="str">
        <v>RA-03A-0314</v>
      </c>
      <c r="I1983" s="11" t="str">
        <v>RA-03A-0314]ASM CAS CLMN LWR (R)</v>
      </c>
      <c r="J1983" s="9">
        <v>47</v>
      </c>
      <c r="K1983" s="9" t="str">
        <v/>
      </c>
      <c r="L1983" s="9" t="str">
        <v>V</v>
      </c>
      <c r="M1983" s="12">
        <v>46302</v>
      </c>
      <c r="N1983" s="5" t="str">
        <v/>
      </c>
      <c r="O1983" s="5">
        <v>98680</v>
      </c>
      <c r="P1983" s="5">
        <v>10</v>
      </c>
      <c r="Q1983" s="14">
        <v>46296</v>
      </c>
      <c r="R1983" s="15">
        <v>37</v>
      </c>
    </row>
    <row r="1984" spans="2:18" x14ac:dyDescent="0.35">
      <c r="B1984" s="9">
        <v>2383</v>
      </c>
      <c r="C1984" s="9" t="str">
        <v>출고재고</v>
      </c>
      <c r="D1984" s="9" t="str">
        <v/>
      </c>
      <c r="E1984" s="9" t="str">
        <v/>
      </c>
      <c r="F1984" s="9" t="str">
        <v/>
      </c>
      <c r="G1984" s="9" t="str">
        <v/>
      </c>
      <c r="H1984" s="9" t="str">
        <v>RA-03V-0055</v>
      </c>
      <c r="I1984" s="11" t="str">
        <v>RA-03V-0055]HLDR CAS CLMN BODY LWR 2</v>
      </c>
      <c r="J1984" s="9">
        <v>38</v>
      </c>
      <c r="K1984" s="9" t="str">
        <v/>
      </c>
      <c r="L1984" s="9" t="str">
        <v>L1-2</v>
      </c>
      <c r="M1984" s="12">
        <v>46302</v>
      </c>
      <c r="N1984" s="5" t="str">
        <v/>
      </c>
      <c r="O1984" s="5">
        <v>98680</v>
      </c>
      <c r="P1984" s="5">
        <v>10</v>
      </c>
      <c r="Q1984" s="14">
        <v>46296</v>
      </c>
      <c r="R1984" s="15">
        <v>28</v>
      </c>
    </row>
    <row r="1985" spans="2:18" x14ac:dyDescent="0.35">
      <c r="B1985" s="9">
        <v>2458</v>
      </c>
      <c r="C1985" s="9" t="str">
        <v>출고재고</v>
      </c>
      <c r="D1985" s="9" t="str">
        <v/>
      </c>
      <c r="E1985" s="9" t="str">
        <v/>
      </c>
      <c r="F1985" s="9" t="str">
        <v/>
      </c>
      <c r="G1985" s="9" t="str">
        <v/>
      </c>
      <c r="H1985" s="9" t="str">
        <v>RA-03V-0054</v>
      </c>
      <c r="I1985" s="11" t="str">
        <v>RA-03V-0054]HLDR CAS CLMN BODY LWR 1</v>
      </c>
      <c r="J1985" s="9">
        <v>85</v>
      </c>
      <c r="K1985" s="9" t="str">
        <v/>
      </c>
      <c r="L1985" s="9" t="str">
        <v>L1-2</v>
      </c>
      <c r="M1985" s="12">
        <v>46302</v>
      </c>
      <c r="N1985" s="5" t="str">
        <v/>
      </c>
      <c r="O1985" s="5">
        <v>98680</v>
      </c>
      <c r="P1985" s="5">
        <v>10</v>
      </c>
      <c r="Q1985" s="14">
        <v>46296</v>
      </c>
      <c r="R1985" s="15">
        <v>75</v>
      </c>
    </row>
    <row r="1986" spans="2:18" x14ac:dyDescent="0.35">
      <c r="B1986" s="9">
        <v>2385</v>
      </c>
      <c r="C1986" s="9" t="str">
        <v>출고재고</v>
      </c>
      <c r="D1986" s="9" t="str">
        <v/>
      </c>
      <c r="E1986" s="9" t="str">
        <v/>
      </c>
      <c r="F1986" s="9" t="str">
        <v/>
      </c>
      <c r="G1986" s="9" t="str">
        <v/>
      </c>
      <c r="H1986" s="9" t="str">
        <v>RA-04T-1707</v>
      </c>
      <c r="I1986" s="11" t="str">
        <v>RA-04T-1707]CAS MONITOR DECO</v>
      </c>
      <c r="J1986" s="9">
        <v>196</v>
      </c>
      <c r="K1986" s="9" t="str">
        <v/>
      </c>
      <c r="L1986" s="9" t="str">
        <v>R</v>
      </c>
      <c r="M1986" s="12">
        <v>46302</v>
      </c>
      <c r="N1986" s="5" t="str">
        <v/>
      </c>
      <c r="O1986" s="5">
        <v>98680</v>
      </c>
      <c r="P1986" s="5">
        <v>10</v>
      </c>
      <c r="Q1986" s="14">
        <v>46296</v>
      </c>
      <c r="R1986" s="15">
        <v>186</v>
      </c>
    </row>
    <row r="1987" spans="2:18" x14ac:dyDescent="0.35">
      <c r="B1987" s="9">
        <v>2459</v>
      </c>
      <c r="C1987" s="9" t="str">
        <v>출고재고</v>
      </c>
      <c r="D1987" s="9" t="str">
        <v/>
      </c>
      <c r="E1987" s="9" t="str">
        <v/>
      </c>
      <c r="F1987" s="9" t="str">
        <v/>
      </c>
      <c r="G1987" s="9" t="str">
        <v/>
      </c>
      <c r="H1987" s="9" t="str">
        <v>RA-02T-2182</v>
      </c>
      <c r="I1987" s="11" t="str">
        <v>RA-02T-2182]CAS VERT UPPER (A+)</v>
      </c>
      <c r="J1987" s="9">
        <v>88</v>
      </c>
      <c r="K1987" s="9" t="str">
        <v/>
      </c>
      <c r="L1987" s="9" t="str">
        <v>V</v>
      </c>
      <c r="M1987" s="12">
        <v>46302</v>
      </c>
      <c r="N1987" s="5" t="str">
        <v/>
      </c>
      <c r="O1987" s="5">
        <v>98680</v>
      </c>
      <c r="P1987" s="5">
        <v>10</v>
      </c>
      <c r="Q1987" s="14">
        <v>46296</v>
      </c>
      <c r="R1987" s="15">
        <v>78</v>
      </c>
    </row>
    <row r="1988" spans="2:18" x14ac:dyDescent="0.35">
      <c r="B1988" s="9">
        <v>2388</v>
      </c>
      <c r="C1988" s="9" t="str">
        <v>출고재고</v>
      </c>
      <c r="D1988" s="9" t="str">
        <v/>
      </c>
      <c r="E1988" s="9" t="str">
        <v/>
      </c>
      <c r="F1988" s="9" t="str">
        <v/>
      </c>
      <c r="G1988" s="9" t="str">
        <v/>
      </c>
      <c r="H1988" s="9" t="str">
        <v>RA-5-7</v>
      </c>
      <c r="I1988" s="11" t="str">
        <v>RA-5-7]EARTH SHAFT TO WALL</v>
      </c>
      <c r="J1988" s="9">
        <v>160</v>
      </c>
      <c r="K1988" s="9" t="str">
        <v/>
      </c>
      <c r="L1988" s="9" t="str">
        <v>G4</v>
      </c>
      <c r="M1988" s="12">
        <v>46302</v>
      </c>
      <c r="N1988" s="5" t="str">
        <v/>
      </c>
      <c r="O1988" s="5">
        <v>98680</v>
      </c>
      <c r="P1988" s="5">
        <v>10</v>
      </c>
      <c r="Q1988" s="14">
        <v>46296</v>
      </c>
      <c r="R1988" s="15">
        <v>150</v>
      </c>
    </row>
    <row r="1989" spans="2:18" x14ac:dyDescent="0.35">
      <c r="B1989" s="9">
        <v>2389</v>
      </c>
      <c r="C1989" s="9" t="str">
        <v>출고재고</v>
      </c>
      <c r="D1989" s="9" t="str">
        <v/>
      </c>
      <c r="E1989" s="9" t="str">
        <v/>
      </c>
      <c r="F1989" s="9" t="str">
        <v/>
      </c>
      <c r="G1989" s="9" t="str">
        <v/>
      </c>
      <c r="H1989" s="9" t="str">
        <v>RA-5-6</v>
      </c>
      <c r="I1989" s="11" t="str">
        <v>RA-5-6]EARTH SHAFT TO PC</v>
      </c>
      <c r="J1989" s="9">
        <v>169</v>
      </c>
      <c r="K1989" s="9" t="str">
        <v/>
      </c>
      <c r="L1989" s="9" t="str">
        <v>G4</v>
      </c>
      <c r="M1989" s="12">
        <v>46302</v>
      </c>
      <c r="N1989" s="5" t="str">
        <v/>
      </c>
      <c r="O1989" s="5">
        <v>98680</v>
      </c>
      <c r="P1989" s="5">
        <v>10</v>
      </c>
      <c r="Q1989" s="14">
        <v>46296</v>
      </c>
      <c r="R1989" s="15">
        <v>159</v>
      </c>
    </row>
    <row r="1990" spans="2:18" x14ac:dyDescent="0.35">
      <c r="B1990" s="9">
        <v>2391</v>
      </c>
      <c r="C1990" s="9" t="str">
        <v>출고재고</v>
      </c>
      <c r="D1990" s="9" t="str">
        <v/>
      </c>
      <c r="E1990" s="9" t="str">
        <v/>
      </c>
      <c r="F1990" s="9" t="str">
        <v/>
      </c>
      <c r="G1990" s="9" t="str">
        <v/>
      </c>
      <c r="H1990" s="9" t="str">
        <v>RA-09T-2534</v>
      </c>
      <c r="I1990" s="11" t="str">
        <v>RA-09T-2534]CAS CT HEADREST (A+)</v>
      </c>
      <c r="J1990" s="9">
        <v>31</v>
      </c>
      <c r="K1990" s="9" t="str">
        <v/>
      </c>
      <c r="L1990" s="9" t="str">
        <v>S</v>
      </c>
      <c r="M1990" s="12">
        <v>46302</v>
      </c>
      <c r="N1990" s="5" t="str">
        <v/>
      </c>
      <c r="O1990" s="5">
        <v>98680</v>
      </c>
      <c r="P1990" s="5">
        <v>16</v>
      </c>
      <c r="Q1990" s="14">
        <v>46296</v>
      </c>
      <c r="R1990" s="15">
        <v>15</v>
      </c>
    </row>
    <row r="1991" spans="2:18" x14ac:dyDescent="0.35">
      <c r="B1991" s="9">
        <v>2390</v>
      </c>
      <c r="C1991" s="9" t="str">
        <v>출고재고</v>
      </c>
      <c r="D1991" s="9" t="str">
        <v/>
      </c>
      <c r="E1991" s="9" t="str">
        <v/>
      </c>
      <c r="F1991" s="9" t="str">
        <v/>
      </c>
      <c r="G1991" s="9" t="str">
        <v/>
      </c>
      <c r="H1991" s="9" t="str">
        <v>RA-09T-0344</v>
      </c>
      <c r="I1991" s="11" t="str">
        <v>RA-09T-0344]KNOB CEPH ADJUST</v>
      </c>
      <c r="J1991" s="9">
        <v>152</v>
      </c>
      <c r="K1991" s="9" t="str">
        <v/>
      </c>
      <c r="L1991" s="9" t="str">
        <v>R</v>
      </c>
      <c r="M1991" s="12">
        <v>46302</v>
      </c>
      <c r="N1991" s="5" t="str">
        <v/>
      </c>
      <c r="O1991" s="5">
        <v>98680</v>
      </c>
      <c r="P1991" s="5">
        <v>20</v>
      </c>
      <c r="Q1991" s="14">
        <v>46296</v>
      </c>
      <c r="R1991" s="15">
        <v>132</v>
      </c>
    </row>
    <row r="1992" spans="2:18" x14ac:dyDescent="0.35">
      <c r="B1992" s="9">
        <v>1499</v>
      </c>
      <c r="C1992" s="9" t="str">
        <v>출고재고</v>
      </c>
      <c r="D1992" s="9" t="str">
        <v/>
      </c>
      <c r="E1992" s="9" t="str">
        <v/>
      </c>
      <c r="F1992" s="9" t="str">
        <v/>
      </c>
      <c r="G1992" s="9" t="str">
        <v/>
      </c>
      <c r="H1992" s="9" t="str">
        <v>RA-09M-3441</v>
      </c>
      <c r="I1992" s="11" t="str">
        <v>RA-09M-3441]PIN GUIDE BITE (ST)</v>
      </c>
      <c r="J1992" s="9">
        <v>318</v>
      </c>
      <c r="K1992" s="9" t="str">
        <v/>
      </c>
      <c r="L1992" s="9" t="str">
        <v>N6</v>
      </c>
      <c r="M1992" s="12">
        <v>46282</v>
      </c>
      <c r="N1992" s="5" t="str">
        <v/>
      </c>
      <c r="O1992" s="5">
        <v>98680</v>
      </c>
      <c r="P1992" s="5">
        <v>20</v>
      </c>
      <c r="Q1992" s="14">
        <v>46296</v>
      </c>
      <c r="R1992" s="15">
        <v>298</v>
      </c>
    </row>
    <row r="1993" spans="2:18" x14ac:dyDescent="0.35">
      <c r="B1993" s="9">
        <v>2012</v>
      </c>
      <c r="C1993" s="9" t="str">
        <v>출고재고</v>
      </c>
      <c r="D1993" s="9" t="str">
        <v/>
      </c>
      <c r="E1993" s="9" t="str">
        <v/>
      </c>
      <c r="F1993" s="9" t="str">
        <v/>
      </c>
      <c r="G1993" s="9" t="str">
        <v/>
      </c>
      <c r="H1993" s="9" t="str">
        <v>RA-10-2</v>
      </c>
      <c r="I1993" s="11" t="str">
        <v>RA-10-2]PRIME CABLE ASS’Y</v>
      </c>
      <c r="J1993" s="9">
        <v>30</v>
      </c>
      <c r="K1993" s="9" t="str">
        <v/>
      </c>
      <c r="L1993" s="9" t="str">
        <v>G4</v>
      </c>
      <c r="M1993" s="12">
        <v>46293</v>
      </c>
      <c r="N1993" s="5" t="str">
        <v/>
      </c>
      <c r="O1993" s="5">
        <v>99010</v>
      </c>
      <c r="P1993" s="5">
        <v>10</v>
      </c>
      <c r="Q1993" s="14">
        <v>46282</v>
      </c>
      <c r="R1993" s="15">
        <v>20</v>
      </c>
    </row>
    <row r="1994" spans="2:18" x14ac:dyDescent="0.35">
      <c r="B1994" s="9">
        <v>1694</v>
      </c>
      <c r="C1994" s="9" t="str">
        <v>출고재고</v>
      </c>
      <c r="D1994" s="9" t="str">
        <v/>
      </c>
      <c r="E1994" s="9" t="str">
        <v/>
      </c>
      <c r="F1994" s="9" t="str">
        <v/>
      </c>
      <c r="G1994" s="9" t="str">
        <v/>
      </c>
      <c r="H1994" s="9" t="str">
        <v>RA-05A-6112</v>
      </c>
      <c r="I1994" s="11" t="str">
        <v/>
      </c>
      <c r="J1994" s="9">
        <v>56</v>
      </c>
      <c r="K1994" s="9" t="str">
        <v/>
      </c>
      <c r="L1994" s="9" t="str">
        <v>A1-2</v>
      </c>
      <c r="M1994" s="12">
        <v>46279</v>
      </c>
      <c r="N1994" s="5" t="str">
        <v/>
      </c>
      <c r="O1994" s="5">
        <v>99010</v>
      </c>
      <c r="P1994" s="5">
        <v>10</v>
      </c>
      <c r="Q1994" s="14">
        <v>46282</v>
      </c>
      <c r="R1994" s="15">
        <v>46</v>
      </c>
    </row>
    <row r="1995" spans="2:18" x14ac:dyDescent="0.35">
      <c r="B1995" s="9">
        <v>1867</v>
      </c>
      <c r="C1995" s="9" t="str">
        <v>출고재고</v>
      </c>
      <c r="D1995" s="9" t="str">
        <v/>
      </c>
      <c r="E1995" s="9" t="str">
        <v/>
      </c>
      <c r="F1995" s="9" t="str">
        <v/>
      </c>
      <c r="G1995" s="9" t="str">
        <v/>
      </c>
      <c r="H1995" s="9" t="str">
        <v>RA-02M-0395</v>
      </c>
      <c r="I1995" s="11" t="str">
        <v>RA-02M-0395]PIN VERT POSITION</v>
      </c>
      <c r="J1995" s="9">
        <v>126</v>
      </c>
      <c r="K1995" s="9" t="str">
        <v/>
      </c>
      <c r="L1995" s="9" t="str">
        <v>C3-1</v>
      </c>
      <c r="M1995" s="12">
        <v>46295</v>
      </c>
      <c r="N1995" s="5" t="str">
        <v/>
      </c>
      <c r="O1995" s="5">
        <v>99010</v>
      </c>
      <c r="P1995" s="5">
        <v>20</v>
      </c>
      <c r="Q1995" s="14">
        <v>46282</v>
      </c>
      <c r="R1995" s="15">
        <v>106</v>
      </c>
    </row>
    <row r="1996" spans="2:18" x14ac:dyDescent="0.35">
      <c r="B1996" s="9">
        <v>1896</v>
      </c>
      <c r="C1996" s="9" t="str">
        <v>출고재고</v>
      </c>
      <c r="D1996" s="9" t="str">
        <v/>
      </c>
      <c r="E1996" s="9" t="str">
        <v/>
      </c>
      <c r="F1996" s="9" t="str">
        <v/>
      </c>
      <c r="G1996" s="9" t="str">
        <v/>
      </c>
      <c r="H1996" s="9" t="str">
        <v>RA-05V-0513</v>
      </c>
      <c r="I1996" s="11" t="str">
        <v>RA-05V-0513]BRK LED PCB</v>
      </c>
      <c r="J1996" s="9">
        <v>195</v>
      </c>
      <c r="K1996" s="9" t="str">
        <v/>
      </c>
      <c r="L1996" s="9" t="str">
        <v>J4-2</v>
      </c>
      <c r="M1996" s="12">
        <v>46295</v>
      </c>
      <c r="N1996" s="5" t="str">
        <v/>
      </c>
      <c r="O1996" s="5">
        <v>99010</v>
      </c>
      <c r="P1996" s="5">
        <v>10</v>
      </c>
      <c r="Q1996" s="14">
        <v>46282</v>
      </c>
      <c r="R1996" s="15">
        <v>185</v>
      </c>
    </row>
    <row r="1997" spans="2:18" x14ac:dyDescent="0.35">
      <c r="B1997" s="9">
        <v>646</v>
      </c>
      <c r="C1997" s="9" t="str">
        <v>출고재고</v>
      </c>
      <c r="D1997" s="9" t="str">
        <v/>
      </c>
      <c r="E1997" s="9" t="str">
        <v>기초</v>
      </c>
      <c r="F1997" s="9" t="str">
        <v/>
      </c>
      <c r="G1997" s="9" t="str">
        <v/>
      </c>
      <c r="H1997" s="9" t="str">
        <v>RA-06V-0230</v>
      </c>
      <c r="I1997" s="11" t="str">
        <v>RA-06V-0230]BRK FAN SUP</v>
      </c>
      <c r="J1997" s="9">
        <v>103</v>
      </c>
      <c r="K1997" s="9" t="str">
        <v/>
      </c>
      <c r="L1997" s="9" t="str">
        <v>I3-3</v>
      </c>
      <c r="M1997" s="12">
        <v>46273</v>
      </c>
      <c r="N1997" s="5" t="str">
        <v/>
      </c>
      <c r="O1997" s="5">
        <v>99011</v>
      </c>
      <c r="P1997" s="5">
        <v>10</v>
      </c>
      <c r="Q1997" s="14">
        <v>46283</v>
      </c>
      <c r="R1997" s="15">
        <v>93</v>
      </c>
    </row>
    <row r="1998" spans="2:18" x14ac:dyDescent="0.35">
      <c r="B1998" s="9">
        <v>797</v>
      </c>
      <c r="C1998" s="9" t="str">
        <v>출고재고</v>
      </c>
      <c r="D1998" s="9" t="str">
        <v/>
      </c>
      <c r="E1998" s="9" t="str">
        <v/>
      </c>
      <c r="F1998" s="9" t="str">
        <v/>
      </c>
      <c r="G1998" s="9" t="str">
        <v/>
      </c>
      <c r="H1998" s="9" t="str">
        <v>RA-06M-0520</v>
      </c>
      <c r="I1998" s="11" t="str">
        <v>RA-06M-0520]HEATSINK</v>
      </c>
      <c r="J1998" s="9">
        <v>120</v>
      </c>
      <c r="K1998" s="9" t="str">
        <v/>
      </c>
      <c r="L1998" s="9" t="str">
        <v>M1</v>
      </c>
      <c r="M1998" s="12">
        <v>46274</v>
      </c>
      <c r="N1998" s="5" t="str">
        <v/>
      </c>
      <c r="O1998" s="5">
        <v>99011</v>
      </c>
      <c r="P1998" s="5">
        <v>10</v>
      </c>
      <c r="Q1998" s="14">
        <v>46283</v>
      </c>
      <c r="R1998" s="15">
        <v>110</v>
      </c>
    </row>
    <row r="1999" spans="2:18" x14ac:dyDescent="0.35">
      <c r="B1999" s="9">
        <v>801</v>
      </c>
      <c r="C1999" s="9" t="str">
        <v>출고재고</v>
      </c>
      <c r="D1999" s="9" t="str">
        <v/>
      </c>
      <c r="E1999" s="9" t="str">
        <v/>
      </c>
      <c r="F1999" s="9" t="str">
        <v/>
      </c>
      <c r="G1999" s="9" t="str">
        <v/>
      </c>
      <c r="H1999" s="9" t="str">
        <v>RA-5-4</v>
      </c>
      <c r="I1999" s="11" t="str">
        <v>RA-5-4]EARTH ROT TO TUBE</v>
      </c>
      <c r="J1999" s="9">
        <v>126</v>
      </c>
      <c r="K1999" s="9" t="str">
        <v/>
      </c>
      <c r="L1999" s="9" t="str">
        <v>G3-2</v>
      </c>
      <c r="M1999" s="12">
        <v>46274</v>
      </c>
      <c r="N1999" s="5" t="str">
        <v/>
      </c>
      <c r="O1999" s="5">
        <v>99011</v>
      </c>
      <c r="P1999" s="5">
        <v>10</v>
      </c>
      <c r="Q1999" s="14">
        <v>46283</v>
      </c>
      <c r="R1999" s="15">
        <v>116</v>
      </c>
    </row>
    <row r="2000" spans="2:18" x14ac:dyDescent="0.35">
      <c r="B2000" s="9">
        <v>649</v>
      </c>
      <c r="C2000" s="9" t="str">
        <v>출고재고</v>
      </c>
      <c r="D2000" s="9" t="str">
        <v/>
      </c>
      <c r="E2000" s="9" t="str">
        <v>기초</v>
      </c>
      <c r="F2000" s="9" t="str">
        <v/>
      </c>
      <c r="G2000" s="9" t="str">
        <v/>
      </c>
      <c r="H2000" s="9" t="str">
        <v>RA-06A-1063</v>
      </c>
      <c r="I2000" s="11" t="str">
        <v>RA-06A-1063]ASM TUBE TNK SUP</v>
      </c>
      <c r="J2000" s="9">
        <v>132</v>
      </c>
      <c r="K2000" s="9" t="str">
        <v/>
      </c>
      <c r="L2000" s="9" t="str">
        <v>O1</v>
      </c>
      <c r="M2000" s="12">
        <v>46273</v>
      </c>
      <c r="N2000" s="5" t="str">
        <v/>
      </c>
      <c r="O2000" s="5">
        <v>99011</v>
      </c>
      <c r="P2000" s="5">
        <v>10</v>
      </c>
      <c r="Q2000" s="14">
        <v>46283</v>
      </c>
      <c r="R2000" s="15">
        <v>122</v>
      </c>
    </row>
    <row r="2001" spans="2:18" x14ac:dyDescent="0.35">
      <c r="B2001" s="9">
        <v>635</v>
      </c>
      <c r="C2001" s="9" t="str">
        <v>출고재고</v>
      </c>
      <c r="D2001" s="9" t="str">
        <v/>
      </c>
      <c r="E2001" s="9" t="str">
        <v>기초</v>
      </c>
      <c r="F2001" s="9" t="str">
        <v/>
      </c>
      <c r="G2001" s="9" t="str">
        <v/>
      </c>
      <c r="H2001" s="9" t="str">
        <v>RA-03S-5181A</v>
      </c>
      <c r="I2001" s="11" t="str">
        <v>RA-03S-5181A]A2K_LBM01-970</v>
      </c>
      <c r="J2001" s="9">
        <v>139</v>
      </c>
      <c r="K2001" s="9" t="str">
        <v/>
      </c>
      <c r="L2001" s="9" t="str">
        <v>H2-1</v>
      </c>
      <c r="M2001" s="12">
        <v>46273</v>
      </c>
      <c r="N2001" s="5" t="str">
        <v/>
      </c>
      <c r="O2001" s="5">
        <v>99011</v>
      </c>
      <c r="P2001" s="5">
        <v>10</v>
      </c>
      <c r="Q2001" s="14">
        <v>46283</v>
      </c>
      <c r="R2001" s="15">
        <v>129</v>
      </c>
    </row>
    <row r="2002" spans="2:18" x14ac:dyDescent="0.35">
      <c r="B2002" s="9">
        <v>641</v>
      </c>
      <c r="C2002" s="9" t="str">
        <v>출고재고</v>
      </c>
      <c r="D2002" s="9" t="str">
        <v/>
      </c>
      <c r="E2002" s="9" t="str">
        <v>기초</v>
      </c>
      <c r="F2002" s="9" t="str">
        <v/>
      </c>
      <c r="G2002" s="9" t="str">
        <v/>
      </c>
      <c r="H2002" s="9" t="str">
        <v>RA-06V-1678</v>
      </c>
      <c r="I2002" s="11" t="str">
        <v>RA-06V-1678]BRK CANINE TOOTH LASER BEAM</v>
      </c>
      <c r="J2002" s="9">
        <v>151</v>
      </c>
      <c r="K2002" s="9" t="str">
        <v/>
      </c>
      <c r="L2002" s="9" t="str">
        <v>H3-4</v>
      </c>
      <c r="M2002" s="12">
        <v>46273</v>
      </c>
      <c r="N2002" s="5" t="str">
        <v/>
      </c>
      <c r="O2002" s="5">
        <v>99011</v>
      </c>
      <c r="P2002" s="5">
        <v>10</v>
      </c>
      <c r="Q2002" s="14">
        <v>46283</v>
      </c>
      <c r="R2002" s="15">
        <v>141</v>
      </c>
    </row>
    <row r="2003" spans="2:18" x14ac:dyDescent="0.35">
      <c r="B2003" s="9">
        <v>1144</v>
      </c>
      <c r="C2003" s="9" t="str">
        <v>출고재고</v>
      </c>
      <c r="D2003" s="9" t="str">
        <v/>
      </c>
      <c r="E2003" s="9" t="str">
        <v/>
      </c>
      <c r="F2003" s="9" t="str">
        <v/>
      </c>
      <c r="G2003" s="9" t="str">
        <v/>
      </c>
      <c r="H2003" s="9" t="str">
        <v>RA-06A-2747</v>
      </c>
      <c r="I2003" s="11" t="str">
        <v>RA-06A-2747]ASM EXTRUSION COL (VN)</v>
      </c>
      <c r="J2003" s="9">
        <v>163</v>
      </c>
      <c r="K2003" s="9" t="str">
        <v/>
      </c>
      <c r="L2003" s="9" t="str">
        <v>O1</v>
      </c>
      <c r="M2003" s="12">
        <v>46276</v>
      </c>
      <c r="N2003" s="5" t="str">
        <v/>
      </c>
      <c r="O2003" s="5">
        <v>99011</v>
      </c>
      <c r="P2003" s="5">
        <v>10</v>
      </c>
      <c r="Q2003" s="14">
        <v>46283</v>
      </c>
      <c r="R2003" s="15">
        <v>153</v>
      </c>
    </row>
    <row r="2004" spans="2:18" x14ac:dyDescent="0.35">
      <c r="B2004" s="9">
        <v>638</v>
      </c>
      <c r="C2004" s="9" t="str">
        <v>출고재고</v>
      </c>
      <c r="D2004" s="9" t="str">
        <v/>
      </c>
      <c r="E2004" s="9" t="str">
        <v>기초</v>
      </c>
      <c r="F2004" s="9" t="str">
        <v/>
      </c>
      <c r="G2004" s="9" t="str">
        <v/>
      </c>
      <c r="H2004" s="9" t="str">
        <v>RA-06V-0793</v>
      </c>
      <c r="I2004" s="11" t="str">
        <v>RA-06V-0793]BRK TUBE FIX A</v>
      </c>
      <c r="J2004" s="9">
        <v>179</v>
      </c>
      <c r="K2004" s="9" t="str">
        <v/>
      </c>
      <c r="L2004" s="9" t="str">
        <v>H3-3</v>
      </c>
      <c r="M2004" s="12">
        <v>46273</v>
      </c>
      <c r="N2004" s="5" t="str">
        <v/>
      </c>
      <c r="O2004" s="5">
        <v>99011</v>
      </c>
      <c r="P2004" s="5">
        <v>10</v>
      </c>
      <c r="Q2004" s="14">
        <v>46283</v>
      </c>
      <c r="R2004" s="15">
        <v>169</v>
      </c>
    </row>
    <row r="2005" spans="2:18" x14ac:dyDescent="0.35">
      <c r="B2005" s="9">
        <v>644</v>
      </c>
      <c r="C2005" s="9" t="str">
        <v>출고재고</v>
      </c>
      <c r="D2005" s="9" t="str">
        <v/>
      </c>
      <c r="E2005" s="9" t="str">
        <v>기초</v>
      </c>
      <c r="F2005" s="9" t="str">
        <v/>
      </c>
      <c r="G2005" s="9" t="str">
        <v/>
      </c>
      <c r="H2005" s="9" t="str">
        <v>RA-06V-1384</v>
      </c>
      <c r="I2005" s="11" t="str">
        <v>RA-06V-1384]BRK XTRUSION PB COL SC</v>
      </c>
      <c r="J2005" s="9">
        <v>188</v>
      </c>
      <c r="K2005" s="9" t="str">
        <v/>
      </c>
      <c r="L2005" s="9" t="str">
        <v>H4-4</v>
      </c>
      <c r="M2005" s="12">
        <v>46273</v>
      </c>
      <c r="N2005" s="5" t="str">
        <v/>
      </c>
      <c r="O2005" s="5">
        <v>99011</v>
      </c>
      <c r="P2005" s="5">
        <v>10</v>
      </c>
      <c r="Q2005" s="14">
        <v>46283</v>
      </c>
      <c r="R2005" s="15">
        <v>178</v>
      </c>
    </row>
    <row r="2006" spans="2:18" x14ac:dyDescent="0.35">
      <c r="B2006" s="9">
        <v>636</v>
      </c>
      <c r="C2006" s="9" t="str">
        <v>출고재고</v>
      </c>
      <c r="D2006" s="9" t="str">
        <v/>
      </c>
      <c r="E2006" s="9" t="str">
        <v>기초</v>
      </c>
      <c r="F2006" s="9" t="str">
        <v/>
      </c>
      <c r="G2006" s="9" t="str">
        <v/>
      </c>
      <c r="H2006" s="9" t="str">
        <v>RA-06V-0795</v>
      </c>
      <c r="I2006" s="11" t="str">
        <v>RA-06V-0795]BRK TUBE FIX C</v>
      </c>
      <c r="J2006" s="9">
        <v>227</v>
      </c>
      <c r="K2006" s="9" t="str">
        <v/>
      </c>
      <c r="L2006" s="9" t="str">
        <v>H3-3</v>
      </c>
      <c r="M2006" s="12">
        <v>46273</v>
      </c>
      <c r="N2006" s="5" t="str">
        <v/>
      </c>
      <c r="O2006" s="5">
        <v>99011</v>
      </c>
      <c r="P2006" s="5">
        <v>10</v>
      </c>
      <c r="Q2006" s="14">
        <v>46283</v>
      </c>
      <c r="R2006" s="15">
        <v>217</v>
      </c>
    </row>
    <row r="2007" spans="2:18" x14ac:dyDescent="0.35">
      <c r="B2007" s="9">
        <v>637</v>
      </c>
      <c r="C2007" s="9" t="str">
        <v>출고재고</v>
      </c>
      <c r="D2007" s="9" t="str">
        <v/>
      </c>
      <c r="E2007" s="9" t="str">
        <v>기초</v>
      </c>
      <c r="F2007" s="9" t="str">
        <v/>
      </c>
      <c r="G2007" s="9" t="str">
        <v/>
      </c>
      <c r="H2007" s="9" t="str">
        <v>RA-06V-0794</v>
      </c>
      <c r="I2007" s="11" t="str">
        <v>RA-06V-0794]BRK TUBE FIX B</v>
      </c>
      <c r="J2007" s="9">
        <v>322</v>
      </c>
      <c r="K2007" s="9" t="str">
        <v/>
      </c>
      <c r="L2007" s="9" t="str">
        <v>H3-3</v>
      </c>
      <c r="M2007" s="12">
        <v>46273</v>
      </c>
      <c r="N2007" s="5" t="str">
        <v/>
      </c>
      <c r="O2007" s="5">
        <v>99011</v>
      </c>
      <c r="P2007" s="5">
        <v>10</v>
      </c>
      <c r="Q2007" s="14">
        <v>46283</v>
      </c>
      <c r="R2007" s="15">
        <v>312</v>
      </c>
    </row>
    <row r="2008" spans="2:18" x14ac:dyDescent="0.35">
      <c r="B2008" s="9">
        <v>820</v>
      </c>
      <c r="C2008" s="9" t="str">
        <v>출고재고</v>
      </c>
      <c r="D2008" s="9" t="str">
        <v/>
      </c>
      <c r="E2008" s="9" t="str">
        <v/>
      </c>
      <c r="F2008" s="9" t="str">
        <v/>
      </c>
      <c r="G2008" s="9" t="str">
        <v/>
      </c>
      <c r="H2008" s="9" t="str">
        <v>RA-05V-0199</v>
      </c>
      <c r="I2008" s="11" t="str">
        <v>RA-05V-0199]BRK PXD-200CT DRV PCB R</v>
      </c>
      <c r="J2008" s="9">
        <v>354</v>
      </c>
      <c r="K2008" s="9" t="str">
        <v/>
      </c>
      <c r="L2008" s="9" t="str">
        <v>H2-2</v>
      </c>
      <c r="M2008" s="12">
        <v>46275</v>
      </c>
      <c r="N2008" s="5" t="str">
        <v/>
      </c>
      <c r="O2008" s="5">
        <v>99011</v>
      </c>
      <c r="P2008" s="5">
        <v>10</v>
      </c>
      <c r="Q2008" s="14">
        <v>46283</v>
      </c>
      <c r="R2008" s="15">
        <v>344</v>
      </c>
    </row>
    <row r="2009" spans="2:18" x14ac:dyDescent="0.35">
      <c r="B2009" s="9">
        <v>821</v>
      </c>
      <c r="C2009" s="9" t="str">
        <v>출고재고</v>
      </c>
      <c r="D2009" s="9" t="str">
        <v/>
      </c>
      <c r="E2009" s="9" t="str">
        <v/>
      </c>
      <c r="F2009" s="9" t="str">
        <v/>
      </c>
      <c r="G2009" s="9" t="str">
        <v/>
      </c>
      <c r="H2009" s="9" t="str">
        <v>RA-05V-0297</v>
      </c>
      <c r="I2009" s="11" t="str">
        <v>RA-05V-0297]BRK PXD-200CT DRV PCB L</v>
      </c>
      <c r="J2009" s="9">
        <v>359</v>
      </c>
      <c r="K2009" s="9" t="str">
        <v/>
      </c>
      <c r="L2009" s="9" t="str">
        <v>H2-2</v>
      </c>
      <c r="M2009" s="12">
        <v>46275</v>
      </c>
      <c r="N2009" s="5" t="str">
        <v/>
      </c>
      <c r="O2009" s="5">
        <v>99011</v>
      </c>
      <c r="P2009" s="5">
        <v>10</v>
      </c>
      <c r="Q2009" s="14">
        <v>46283</v>
      </c>
      <c r="R2009" s="15">
        <v>349</v>
      </c>
    </row>
    <row r="2010" spans="2:18" x14ac:dyDescent="0.35">
      <c r="B2010" s="9">
        <v>643</v>
      </c>
      <c r="C2010" s="9" t="str">
        <v>출고재고</v>
      </c>
      <c r="D2010" s="9" t="str">
        <v/>
      </c>
      <c r="E2010" s="9" t="str">
        <v>기초</v>
      </c>
      <c r="F2010" s="9" t="str">
        <v/>
      </c>
      <c r="G2010" s="9" t="str">
        <v/>
      </c>
      <c r="H2010" s="9" t="str">
        <v>RA-06M-0220</v>
      </c>
      <c r="I2010" s="11" t="str">
        <v>RA-06M-0220]BLOCK CANINE TOOTH LASER B</v>
      </c>
      <c r="J2010" s="9">
        <v>389</v>
      </c>
      <c r="K2010" s="9" t="str">
        <v/>
      </c>
      <c r="L2010" s="9" t="str">
        <v>H4-1</v>
      </c>
      <c r="M2010" s="12">
        <v>46273</v>
      </c>
      <c r="N2010" s="5" t="str">
        <v/>
      </c>
      <c r="O2010" s="5">
        <v>99011</v>
      </c>
      <c r="P2010" s="5">
        <v>10</v>
      </c>
      <c r="Q2010" s="14">
        <v>46283</v>
      </c>
      <c r="R2010" s="15">
        <v>379</v>
      </c>
    </row>
    <row r="2011" spans="2:18" x14ac:dyDescent="0.35">
      <c r="B2011" s="9">
        <v>799</v>
      </c>
      <c r="C2011" s="9" t="str">
        <v>출고재고</v>
      </c>
      <c r="D2011" s="9" t="str">
        <v/>
      </c>
      <c r="E2011" s="9" t="str">
        <v/>
      </c>
      <c r="F2011" s="9" t="str">
        <v/>
      </c>
      <c r="G2011" s="9" t="str">
        <v/>
      </c>
      <c r="H2011" s="9" t="str">
        <v>RA-1-8B</v>
      </c>
      <c r="I2011" s="11" t="str">
        <v>RA-1-8B]AC POWER PFC CONNECT</v>
      </c>
      <c r="J2011" s="9">
        <v>447</v>
      </c>
      <c r="K2011" s="9" t="str">
        <v/>
      </c>
      <c r="L2011" s="9" t="str">
        <v>G3-1</v>
      </c>
      <c r="M2011" s="12">
        <v>46274</v>
      </c>
      <c r="N2011" s="5" t="str">
        <v/>
      </c>
      <c r="O2011" s="5">
        <v>99011</v>
      </c>
      <c r="P2011" s="5">
        <v>10</v>
      </c>
      <c r="Q2011" s="14">
        <v>46283</v>
      </c>
      <c r="R2011" s="15">
        <v>437</v>
      </c>
    </row>
    <row r="2012" spans="2:18" x14ac:dyDescent="0.35">
      <c r="B2012" s="9">
        <v>796</v>
      </c>
      <c r="C2012" s="9" t="str">
        <v>출고재고</v>
      </c>
      <c r="D2012" s="9" t="str">
        <v/>
      </c>
      <c r="E2012" s="9" t="str">
        <v/>
      </c>
      <c r="F2012" s="9" t="str">
        <v/>
      </c>
      <c r="G2012" s="9" t="str">
        <v/>
      </c>
      <c r="H2012" s="9" t="str">
        <v>RA-5-5</v>
      </c>
      <c r="I2012" s="11" t="str">
        <v>RA-5-5]EARTH ROT TO PFC</v>
      </c>
      <c r="J2012" s="9">
        <v>581</v>
      </c>
      <c r="K2012" s="9" t="str">
        <v/>
      </c>
      <c r="L2012" s="9" t="str">
        <v>G3-2</v>
      </c>
      <c r="M2012" s="12">
        <v>46274</v>
      </c>
      <c r="N2012" s="5" t="str">
        <v/>
      </c>
      <c r="O2012" s="5">
        <v>99011</v>
      </c>
      <c r="P2012" s="5">
        <v>10</v>
      </c>
      <c r="Q2012" s="14">
        <v>46283</v>
      </c>
      <c r="R2012" s="15">
        <v>571</v>
      </c>
    </row>
    <row r="2013" spans="2:18" x14ac:dyDescent="0.35">
      <c r="B2013" s="9">
        <v>632</v>
      </c>
      <c r="C2013" s="9" t="str">
        <v>출고재고</v>
      </c>
      <c r="D2013" s="9" t="str">
        <v/>
      </c>
      <c r="E2013" s="9" t="str">
        <v>기초</v>
      </c>
      <c r="F2013" s="9" t="str">
        <v/>
      </c>
      <c r="G2013" s="9" t="str">
        <v/>
      </c>
      <c r="H2013" s="9" t="str">
        <v>RA-10-4</v>
      </c>
      <c r="I2013" s="11" t="str">
        <v>RA-10-4]FAN ASS'Y</v>
      </c>
      <c r="J2013" s="9">
        <v>598</v>
      </c>
      <c r="K2013" s="9" t="str">
        <v/>
      </c>
      <c r="L2013" s="9" t="str">
        <v>G4</v>
      </c>
      <c r="M2013" s="12">
        <v>46273</v>
      </c>
      <c r="N2013" s="5" t="str">
        <v/>
      </c>
      <c r="O2013" s="5">
        <v>99011</v>
      </c>
      <c r="P2013" s="5">
        <v>10</v>
      </c>
      <c r="Q2013" s="14">
        <v>46283</v>
      </c>
      <c r="R2013" s="15">
        <v>588</v>
      </c>
    </row>
    <row r="2014" spans="2:18" x14ac:dyDescent="0.35">
      <c r="B2014" s="9">
        <v>631</v>
      </c>
      <c r="C2014" s="9" t="str">
        <v>출고재고</v>
      </c>
      <c r="D2014" s="9" t="str">
        <v/>
      </c>
      <c r="E2014" s="9" t="str">
        <v>기초</v>
      </c>
      <c r="F2014" s="9" t="str">
        <v/>
      </c>
      <c r="G2014" s="9" t="str">
        <v/>
      </c>
      <c r="H2014" s="9" t="str">
        <v>RA-6-3</v>
      </c>
      <c r="I2014" s="11" t="str">
        <v>RA-6-3]SUB MOT TUBE</v>
      </c>
      <c r="J2014" s="9">
        <v>925</v>
      </c>
      <c r="K2014" s="9" t="str">
        <v/>
      </c>
      <c r="L2014" s="9" t="str">
        <v>G4</v>
      </c>
      <c r="M2014" s="12">
        <v>46273</v>
      </c>
      <c r="N2014" s="5" t="str">
        <v/>
      </c>
      <c r="O2014" s="5">
        <v>99011</v>
      </c>
      <c r="P2014" s="5">
        <v>10</v>
      </c>
      <c r="Q2014" s="14">
        <v>46283</v>
      </c>
      <c r="R2014" s="15">
        <v>915</v>
      </c>
    </row>
    <row r="2015" spans="2:18" x14ac:dyDescent="0.35">
      <c r="B2015" s="9">
        <v>651</v>
      </c>
      <c r="C2015" s="9" t="str">
        <v>출고재고</v>
      </c>
      <c r="D2015" s="9" t="str">
        <v/>
      </c>
      <c r="E2015" s="9" t="str">
        <v>기초</v>
      </c>
      <c r="F2015" s="9" t="str">
        <v/>
      </c>
      <c r="G2015" s="9" t="str">
        <v/>
      </c>
      <c r="H2015" s="9" t="str">
        <v>RA-06T-0296</v>
      </c>
      <c r="I2015" s="11" t="str">
        <v>RA-06T-0296]CAS TUBE TNK FAN</v>
      </c>
      <c r="J2015" s="9">
        <v>955</v>
      </c>
      <c r="K2015" s="9" t="str">
        <v/>
      </c>
      <c r="L2015" s="9" t="str">
        <v>S</v>
      </c>
      <c r="M2015" s="12">
        <v>46273</v>
      </c>
      <c r="N2015" s="5" t="str">
        <v/>
      </c>
      <c r="O2015" s="5">
        <v>99011</v>
      </c>
      <c r="P2015" s="5">
        <v>10</v>
      </c>
      <c r="Q2015" s="14">
        <v>46283</v>
      </c>
      <c r="R2015" s="15">
        <v>945</v>
      </c>
    </row>
    <row r="2016" spans="2:18" x14ac:dyDescent="0.35">
      <c r="B2016" s="9">
        <v>802</v>
      </c>
      <c r="C2016" s="9" t="str">
        <v>출고재고</v>
      </c>
      <c r="D2016" s="9" t="str">
        <v/>
      </c>
      <c r="E2016" s="9" t="str">
        <v/>
      </c>
      <c r="F2016" s="9" t="str">
        <v/>
      </c>
      <c r="G2016" s="9" t="str">
        <v/>
      </c>
      <c r="H2016" s="9" t="str">
        <v>RA-8-4</v>
      </c>
      <c r="I2016" s="11" t="str">
        <v>RA-8-4]AC POWER CEPH</v>
      </c>
      <c r="J2016" s="9">
        <v>38</v>
      </c>
      <c r="K2016" s="9" t="str">
        <v/>
      </c>
      <c r="L2016" s="9" t="str">
        <v>G4</v>
      </c>
      <c r="M2016" s="12">
        <v>46275</v>
      </c>
      <c r="N2016" s="5" t="str">
        <v/>
      </c>
      <c r="O2016" s="5">
        <v>99012</v>
      </c>
      <c r="P2016" s="5">
        <v>10</v>
      </c>
      <c r="Q2016" s="14">
        <v>46283</v>
      </c>
      <c r="R2016" s="15">
        <v>28</v>
      </c>
    </row>
    <row r="2017" spans="2:18" x14ac:dyDescent="0.35">
      <c r="B2017" s="9">
        <v>804</v>
      </c>
      <c r="C2017" s="9" t="str">
        <v>출고재고</v>
      </c>
      <c r="D2017" s="9" t="str">
        <v/>
      </c>
      <c r="E2017" s="9" t="str">
        <v/>
      </c>
      <c r="F2017" s="9" t="str">
        <v/>
      </c>
      <c r="G2017" s="9" t="str">
        <v/>
      </c>
      <c r="H2017" s="9" t="str">
        <v>RA-04V-1108</v>
      </c>
      <c r="I2017" s="11" t="str">
        <v>RA-04V-1108]BRK ARM RIGID R</v>
      </c>
      <c r="J2017" s="9">
        <v>60</v>
      </c>
      <c r="K2017" s="9" t="str">
        <v/>
      </c>
      <c r="L2017" s="9" t="str">
        <v>B1-6</v>
      </c>
      <c r="M2017" s="12">
        <v>46275</v>
      </c>
      <c r="N2017" s="5" t="str">
        <v/>
      </c>
      <c r="O2017" s="5">
        <v>99012</v>
      </c>
      <c r="P2017" s="5">
        <v>10</v>
      </c>
      <c r="Q2017" s="14">
        <v>46283</v>
      </c>
      <c r="R2017" s="15">
        <v>50</v>
      </c>
    </row>
    <row r="2018" spans="2:18" x14ac:dyDescent="0.35">
      <c r="B2018" s="9">
        <v>805</v>
      </c>
      <c r="C2018" s="9" t="str">
        <v>출고재고</v>
      </c>
      <c r="D2018" s="9" t="str">
        <v/>
      </c>
      <c r="E2018" s="9" t="str">
        <v/>
      </c>
      <c r="F2018" s="9" t="str">
        <v/>
      </c>
      <c r="G2018" s="9" t="str">
        <v/>
      </c>
      <c r="H2018" s="9" t="str">
        <v>RA-04V-1109</v>
      </c>
      <c r="I2018" s="11" t="str">
        <v>RA-04V-1109]BRK ARM RIGID L</v>
      </c>
      <c r="J2018" s="9">
        <v>60</v>
      </c>
      <c r="K2018" s="9" t="str">
        <v/>
      </c>
      <c r="L2018" s="9" t="str">
        <v>B1-6</v>
      </c>
      <c r="M2018" s="12">
        <v>46275</v>
      </c>
      <c r="N2018" s="5" t="str">
        <v/>
      </c>
      <c r="O2018" s="5">
        <v>99012</v>
      </c>
      <c r="P2018" s="5">
        <v>10</v>
      </c>
      <c r="Q2018" s="14">
        <v>46283</v>
      </c>
      <c r="R2018" s="15">
        <v>50</v>
      </c>
    </row>
    <row r="2019" spans="2:18" x14ac:dyDescent="0.35">
      <c r="B2019" s="9">
        <v>806</v>
      </c>
      <c r="C2019" s="9" t="str">
        <v>출고재고</v>
      </c>
      <c r="D2019" s="9" t="str">
        <v/>
      </c>
      <c r="E2019" s="9" t="str">
        <v/>
      </c>
      <c r="F2019" s="9" t="str">
        <v/>
      </c>
      <c r="G2019" s="9" t="str">
        <v/>
      </c>
      <c r="H2019" s="9" t="str">
        <v>RA-3-6</v>
      </c>
      <c r="I2019" s="11" t="str">
        <v>RA-3-6]INDICATOR CONTROL</v>
      </c>
      <c r="J2019" s="9">
        <v>86</v>
      </c>
      <c r="K2019" s="9" t="str">
        <v/>
      </c>
      <c r="L2019" s="9" t="str">
        <v>G1-1</v>
      </c>
      <c r="M2019" s="12">
        <v>46275</v>
      </c>
      <c r="N2019" s="5" t="str">
        <v/>
      </c>
      <c r="O2019" s="5">
        <v>99012</v>
      </c>
      <c r="P2019" s="5">
        <v>10</v>
      </c>
      <c r="Q2019" s="14">
        <v>46283</v>
      </c>
      <c r="R2019" s="15">
        <v>76</v>
      </c>
    </row>
    <row r="2020" spans="2:18" x14ac:dyDescent="0.35">
      <c r="B2020" s="9">
        <v>545</v>
      </c>
      <c r="C2020" s="9" t="str">
        <v>출고재고</v>
      </c>
      <c r="D2020" s="9" t="str">
        <v/>
      </c>
      <c r="E2020" s="9" t="str">
        <v>기초</v>
      </c>
      <c r="F2020" s="9" t="str">
        <v/>
      </c>
      <c r="G2020" s="9" t="str">
        <v/>
      </c>
      <c r="H2020" s="9" t="str">
        <v>RA-06V-1311</v>
      </c>
      <c r="I2020" s="11" t="str">
        <v>RA-06V-1311]BRK TUBE CAS FIX B</v>
      </c>
      <c r="J2020" s="9">
        <v>100</v>
      </c>
      <c r="K2020" s="9" t="str">
        <v/>
      </c>
      <c r="L2020" s="9" t="str">
        <v>I3-2</v>
      </c>
      <c r="M2020" s="12">
        <v>46273</v>
      </c>
      <c r="N2020" s="5" t="str">
        <v/>
      </c>
      <c r="O2020" s="5">
        <v>99012</v>
      </c>
      <c r="P2020" s="5">
        <v>10</v>
      </c>
      <c r="Q2020" s="14">
        <v>46283</v>
      </c>
      <c r="R2020" s="15">
        <v>90</v>
      </c>
    </row>
    <row r="2021" spans="2:18" x14ac:dyDescent="0.35">
      <c r="B2021" s="9">
        <v>807</v>
      </c>
      <c r="C2021" s="9" t="str">
        <v>출고재고</v>
      </c>
      <c r="D2021" s="9" t="str">
        <v/>
      </c>
      <c r="E2021" s="9" t="str">
        <v/>
      </c>
      <c r="F2021" s="9" t="str">
        <v/>
      </c>
      <c r="G2021" s="9" t="str">
        <v/>
      </c>
      <c r="H2021" s="9" t="str">
        <v>RA-1-5</v>
      </c>
      <c r="I2021" s="11" t="str">
        <v>RA-1-5]AC POWER SMPS-1</v>
      </c>
      <c r="J2021" s="9">
        <v>100</v>
      </c>
      <c r="K2021" s="9" t="str">
        <v/>
      </c>
      <c r="L2021" s="9" t="str">
        <v>G3-1</v>
      </c>
      <c r="M2021" s="12">
        <v>46275</v>
      </c>
      <c r="N2021" s="5" t="str">
        <v/>
      </c>
      <c r="O2021" s="5">
        <v>99012</v>
      </c>
      <c r="P2021" s="5">
        <v>10</v>
      </c>
      <c r="Q2021" s="14">
        <v>46283</v>
      </c>
      <c r="R2021" s="15">
        <v>90</v>
      </c>
    </row>
    <row r="2022" spans="2:18" x14ac:dyDescent="0.35">
      <c r="B2022" s="9">
        <v>832</v>
      </c>
      <c r="C2022" s="9" t="str">
        <v>출고재고</v>
      </c>
      <c r="D2022" s="9" t="str">
        <v/>
      </c>
      <c r="E2022" s="9" t="str">
        <v/>
      </c>
      <c r="F2022" s="9" t="str">
        <v/>
      </c>
      <c r="G2022" s="9" t="str">
        <v/>
      </c>
      <c r="H2022" s="9" t="str">
        <v>RA-5-1</v>
      </c>
      <c r="I2022" s="11" t="str">
        <v>RA-5-1]EARTH NF</v>
      </c>
      <c r="J2022" s="9">
        <v>110</v>
      </c>
      <c r="K2022" s="9" t="str">
        <v/>
      </c>
      <c r="L2022" s="9" t="str">
        <v>G3-2</v>
      </c>
      <c r="M2022" s="12">
        <v>46274</v>
      </c>
      <c r="N2022" s="5" t="str">
        <v/>
      </c>
      <c r="O2022" s="5">
        <v>99012</v>
      </c>
      <c r="P2022" s="5">
        <v>10</v>
      </c>
      <c r="Q2022" s="14">
        <v>46283</v>
      </c>
      <c r="R2022" s="15">
        <v>100</v>
      </c>
    </row>
    <row r="2023" spans="2:18" x14ac:dyDescent="0.35">
      <c r="B2023" s="9">
        <v>812</v>
      </c>
      <c r="C2023" s="9" t="str">
        <v>출고재고</v>
      </c>
      <c r="D2023" s="9" t="str">
        <v/>
      </c>
      <c r="E2023" s="9" t="str">
        <v/>
      </c>
      <c r="F2023" s="9" t="str">
        <v/>
      </c>
      <c r="G2023" s="9" t="str">
        <v/>
      </c>
      <c r="H2023" s="9" t="str">
        <v>RA-06A-5004</v>
      </c>
      <c r="I2023" s="11" t="str">
        <v>RA-06A-5004]Bd ASSY'-Indicator Bd</v>
      </c>
      <c r="J2023" s="9">
        <v>138</v>
      </c>
      <c r="K2023" s="9" t="str">
        <v/>
      </c>
      <c r="L2023" s="9" t="str">
        <v>A1-5</v>
      </c>
      <c r="M2023" s="12">
        <v>46275</v>
      </c>
      <c r="N2023" s="5" t="str">
        <v/>
      </c>
      <c r="O2023" s="5">
        <v>99012</v>
      </c>
      <c r="P2023" s="5">
        <v>20</v>
      </c>
      <c r="Q2023" s="14">
        <v>46283</v>
      </c>
      <c r="R2023" s="15">
        <v>118</v>
      </c>
    </row>
    <row r="2024" spans="2:18" x14ac:dyDescent="0.35">
      <c r="B2024" s="9">
        <v>808</v>
      </c>
      <c r="C2024" s="9" t="str">
        <v>출고재고</v>
      </c>
      <c r="D2024" s="9" t="str">
        <v/>
      </c>
      <c r="E2024" s="9" t="str">
        <v/>
      </c>
      <c r="F2024" s="9" t="str">
        <v/>
      </c>
      <c r="G2024" s="9" t="str">
        <v/>
      </c>
      <c r="H2024" s="9" t="str">
        <v>RA-7-5</v>
      </c>
      <c r="I2024" s="11" t="str">
        <v>RA-7-5]LAN THU</v>
      </c>
      <c r="J2024" s="9">
        <v>156</v>
      </c>
      <c r="K2024" s="9" t="str">
        <v/>
      </c>
      <c r="L2024" s="9" t="str">
        <v>G2-2</v>
      </c>
      <c r="M2024" s="12">
        <v>46275</v>
      </c>
      <c r="N2024" s="5" t="str">
        <v/>
      </c>
      <c r="O2024" s="5">
        <v>99012</v>
      </c>
      <c r="P2024" s="5">
        <v>10</v>
      </c>
      <c r="Q2024" s="14">
        <v>46283</v>
      </c>
      <c r="R2024" s="15">
        <v>146</v>
      </c>
    </row>
    <row r="2025" spans="2:18" x14ac:dyDescent="0.35">
      <c r="B2025" s="9">
        <v>544</v>
      </c>
      <c r="C2025" s="9" t="str">
        <v>출고재고</v>
      </c>
      <c r="D2025" s="9" t="str">
        <v/>
      </c>
      <c r="E2025" s="9" t="str">
        <v>기초</v>
      </c>
      <c r="F2025" s="9" t="str">
        <v/>
      </c>
      <c r="G2025" s="9" t="str">
        <v/>
      </c>
      <c r="H2025" s="9" t="str">
        <v>RA-06V-0651</v>
      </c>
      <c r="I2025" s="11" t="str">
        <v>RA-06V-0651]BRK TUBE CAS FIX A</v>
      </c>
      <c r="J2025" s="9">
        <v>160</v>
      </c>
      <c r="K2025" s="9" t="str">
        <v/>
      </c>
      <c r="L2025" s="9" t="str">
        <v>I2-3</v>
      </c>
      <c r="M2025" s="12">
        <v>46273</v>
      </c>
      <c r="N2025" s="5" t="str">
        <v/>
      </c>
      <c r="O2025" s="5">
        <v>99012</v>
      </c>
      <c r="P2025" s="5">
        <v>10</v>
      </c>
      <c r="Q2025" s="14">
        <v>46283</v>
      </c>
      <c r="R2025" s="15">
        <v>150</v>
      </c>
    </row>
    <row r="2026" spans="2:18" x14ac:dyDescent="0.35">
      <c r="B2026" s="9">
        <v>809</v>
      </c>
      <c r="C2026" s="9" t="str">
        <v>출고재고</v>
      </c>
      <c r="D2026" s="9" t="str">
        <v/>
      </c>
      <c r="E2026" s="9" t="str">
        <v/>
      </c>
      <c r="F2026" s="9" t="str">
        <v/>
      </c>
      <c r="G2026" s="9" t="str">
        <v/>
      </c>
      <c r="H2026" s="9" t="str">
        <v>RA-1-11</v>
      </c>
      <c r="I2026" s="11" t="str">
        <v>RA-1-11]DC POWER HUB</v>
      </c>
      <c r="J2026" s="9">
        <v>165</v>
      </c>
      <c r="K2026" s="9" t="str">
        <v/>
      </c>
      <c r="L2026" s="9" t="str">
        <v>G3-1</v>
      </c>
      <c r="M2026" s="12">
        <v>46275</v>
      </c>
      <c r="N2026" s="5" t="str">
        <v/>
      </c>
      <c r="O2026" s="5">
        <v>99012</v>
      </c>
      <c r="P2026" s="5">
        <v>10</v>
      </c>
      <c r="Q2026" s="14">
        <v>46283</v>
      </c>
      <c r="R2026" s="15">
        <v>155</v>
      </c>
    </row>
    <row r="2027" spans="2:18" x14ac:dyDescent="0.35">
      <c r="B2027" s="9">
        <v>810</v>
      </c>
      <c r="C2027" s="9" t="str">
        <v>출고재고</v>
      </c>
      <c r="D2027" s="9" t="str">
        <v/>
      </c>
      <c r="E2027" s="9" t="str">
        <v/>
      </c>
      <c r="F2027" s="9" t="str">
        <v/>
      </c>
      <c r="G2027" s="9" t="str">
        <v/>
      </c>
      <c r="H2027" s="9" t="str">
        <v>RA-3-5</v>
      </c>
      <c r="I2027" s="11" t="str">
        <v>RA-3-5]INDICATOR</v>
      </c>
      <c r="J2027" s="9">
        <v>165</v>
      </c>
      <c r="K2027" s="9" t="str">
        <v/>
      </c>
      <c r="L2027" s="9" t="str">
        <v>G1-1</v>
      </c>
      <c r="M2027" s="12">
        <v>46275</v>
      </c>
      <c r="N2027" s="5" t="str">
        <v/>
      </c>
      <c r="O2027" s="5">
        <v>99012</v>
      </c>
      <c r="P2027" s="5">
        <v>10</v>
      </c>
      <c r="Q2027" s="14">
        <v>46283</v>
      </c>
      <c r="R2027" s="15">
        <v>155</v>
      </c>
    </row>
    <row r="2028" spans="2:18" x14ac:dyDescent="0.35">
      <c r="B2028" s="9">
        <v>811</v>
      </c>
      <c r="C2028" s="9" t="str">
        <v>출고재고</v>
      </c>
      <c r="D2028" s="9" t="str">
        <v/>
      </c>
      <c r="E2028" s="9" t="str">
        <v/>
      </c>
      <c r="F2028" s="9" t="str">
        <v/>
      </c>
      <c r="G2028" s="9" t="str">
        <v/>
      </c>
      <c r="H2028" s="9" t="str">
        <v>RA-9-8</v>
      </c>
      <c r="I2028" s="11" t="str">
        <v>RA-9-8]SERIAL POWER LS 1</v>
      </c>
      <c r="J2028" s="9">
        <v>174</v>
      </c>
      <c r="K2028" s="9" t="str">
        <v/>
      </c>
      <c r="L2028" s="9" t="str">
        <v>G1-3</v>
      </c>
      <c r="M2028" s="12">
        <v>46275</v>
      </c>
      <c r="N2028" s="5" t="str">
        <v/>
      </c>
      <c r="O2028" s="5">
        <v>99012</v>
      </c>
      <c r="P2028" s="5">
        <v>10</v>
      </c>
      <c r="Q2028" s="14">
        <v>46283</v>
      </c>
      <c r="R2028" s="15">
        <v>164</v>
      </c>
    </row>
    <row r="2029" spans="2:18" x14ac:dyDescent="0.35">
      <c r="B2029" s="9">
        <v>813</v>
      </c>
      <c r="C2029" s="9" t="str">
        <v>출고재고</v>
      </c>
      <c r="D2029" s="9" t="str">
        <v/>
      </c>
      <c r="E2029" s="9" t="str">
        <v/>
      </c>
      <c r="F2029" s="9" t="str">
        <v/>
      </c>
      <c r="G2029" s="9" t="str">
        <v/>
      </c>
      <c r="H2029" s="9" t="str">
        <v>RA-05T-0210</v>
      </c>
      <c r="I2029" s="11" t="str">
        <v>RA-05T-0210]CAS ROT TOP SUB</v>
      </c>
      <c r="J2029" s="9">
        <v>193</v>
      </c>
      <c r="K2029" s="9" t="str">
        <v/>
      </c>
      <c r="L2029" s="9" t="str">
        <v>S</v>
      </c>
      <c r="M2029" s="12">
        <v>46275</v>
      </c>
      <c r="N2029" s="5" t="str">
        <v/>
      </c>
      <c r="O2029" s="5">
        <v>99012</v>
      </c>
      <c r="P2029" s="5">
        <v>10</v>
      </c>
      <c r="Q2029" s="14">
        <v>46283</v>
      </c>
      <c r="R2029" s="15">
        <v>183</v>
      </c>
    </row>
    <row r="2030" spans="2:18" x14ac:dyDescent="0.35">
      <c r="B2030" s="9">
        <v>539</v>
      </c>
      <c r="C2030" s="9" t="str">
        <v>출고재고</v>
      </c>
      <c r="D2030" s="9" t="str">
        <v/>
      </c>
      <c r="E2030" s="9" t="str">
        <v>기초</v>
      </c>
      <c r="F2030" s="9" t="str">
        <v/>
      </c>
      <c r="G2030" s="9" t="str">
        <v/>
      </c>
      <c r="H2030" s="9" t="str">
        <v>RA-1-9A</v>
      </c>
      <c r="I2030" s="11" t="str">
        <v>RA-1-9A]DC POWER MOT-A</v>
      </c>
      <c r="J2030" s="9">
        <v>197</v>
      </c>
      <c r="K2030" s="9" t="str">
        <v/>
      </c>
      <c r="L2030" s="9" t="str">
        <v>G4</v>
      </c>
      <c r="M2030" s="12">
        <v>46273</v>
      </c>
      <c r="N2030" s="5" t="str">
        <v/>
      </c>
      <c r="O2030" s="5">
        <v>99012</v>
      </c>
      <c r="P2030" s="5">
        <v>10</v>
      </c>
      <c r="Q2030" s="14">
        <v>46283</v>
      </c>
      <c r="R2030" s="15">
        <v>187</v>
      </c>
    </row>
    <row r="2031" spans="2:18" x14ac:dyDescent="0.35">
      <c r="B2031" s="9">
        <v>1411</v>
      </c>
      <c r="C2031" s="9" t="str">
        <v>출고재고</v>
      </c>
      <c r="D2031" s="9" t="str">
        <v/>
      </c>
      <c r="E2031" s="9" t="str">
        <v>입고</v>
      </c>
      <c r="F2031" s="9" t="str">
        <v>Son Tung</v>
      </c>
      <c r="G2031" s="9" t="str">
        <v>조영우</v>
      </c>
      <c r="H2031" s="9" t="str">
        <v>RA-02T-0045</v>
      </c>
      <c r="I2031" s="11" t="str">
        <v>RA-02T-0045]CAS VERT SUB BOT</v>
      </c>
      <c r="J2031" s="9">
        <v>200</v>
      </c>
      <c r="K2031" s="9" t="str">
        <v/>
      </c>
      <c r="L2031" s="9" t="str">
        <v>S</v>
      </c>
      <c r="M2031" s="12">
        <v>46281</v>
      </c>
      <c r="N2031" s="5" t="str">
        <v/>
      </c>
      <c r="O2031" s="5">
        <v>99012</v>
      </c>
      <c r="P2031" s="5">
        <v>10</v>
      </c>
      <c r="Q2031" s="14">
        <v>46283</v>
      </c>
      <c r="R2031" s="15">
        <v>190</v>
      </c>
    </row>
    <row r="2032" spans="2:18" x14ac:dyDescent="0.35">
      <c r="B2032" s="9">
        <v>2505</v>
      </c>
      <c r="C2032" s="9" t="str">
        <v>출고재고</v>
      </c>
      <c r="D2032" s="9" t="str">
        <v/>
      </c>
      <c r="E2032" s="9" t="str">
        <v/>
      </c>
      <c r="F2032" s="9" t="str">
        <v/>
      </c>
      <c r="G2032" s="9" t="str">
        <v/>
      </c>
      <c r="H2032" s="9" t="str">
        <v>RA-10-1</v>
      </c>
      <c r="I2032" s="11" t="str">
        <v>RA-10-1]AC CABLE ASS’Y</v>
      </c>
      <c r="J2032" s="9">
        <v>230</v>
      </c>
      <c r="K2032" s="9" t="str">
        <v/>
      </c>
      <c r="L2032" s="9" t="str">
        <v>G4</v>
      </c>
      <c r="M2032" s="12">
        <v>46297</v>
      </c>
      <c r="N2032" s="5" t="str">
        <v/>
      </c>
      <c r="O2032" s="5">
        <v>99012</v>
      </c>
      <c r="P2032" s="5">
        <v>10</v>
      </c>
      <c r="Q2032" s="14">
        <v>46297</v>
      </c>
      <c r="R2032" s="15">
        <v>220</v>
      </c>
    </row>
    <row r="2033" spans="2:18" x14ac:dyDescent="0.35">
      <c r="B2033" s="9">
        <v>814</v>
      </c>
      <c r="C2033" s="9" t="str">
        <v>출고재고</v>
      </c>
      <c r="D2033" s="9" t="str">
        <v/>
      </c>
      <c r="E2033" s="9" t="str">
        <v/>
      </c>
      <c r="F2033" s="9" t="str">
        <v/>
      </c>
      <c r="G2033" s="9" t="str">
        <v/>
      </c>
      <c r="H2033" s="9" t="str">
        <v>RA-3-3A</v>
      </c>
      <c r="I2033" s="11" t="str">
        <v>RA-3-3A]DCM CONTROL-A</v>
      </c>
      <c r="J2033" s="9">
        <v>237</v>
      </c>
      <c r="K2033" s="9" t="str">
        <v/>
      </c>
      <c r="L2033" s="9" t="str">
        <v>G4</v>
      </c>
      <c r="M2033" s="12">
        <v>46275</v>
      </c>
      <c r="N2033" s="5" t="str">
        <v/>
      </c>
      <c r="O2033" s="5">
        <v>99012</v>
      </c>
      <c r="P2033" s="5">
        <v>10</v>
      </c>
      <c r="Q2033" s="14">
        <v>46283</v>
      </c>
      <c r="R2033" s="15">
        <v>227</v>
      </c>
    </row>
    <row r="2034" spans="2:18" x14ac:dyDescent="0.35">
      <c r="B2034" s="9">
        <v>815</v>
      </c>
      <c r="C2034" s="9" t="str">
        <v>출고재고</v>
      </c>
      <c r="D2034" s="9" t="str">
        <v/>
      </c>
      <c r="E2034" s="9" t="str">
        <v/>
      </c>
      <c r="F2034" s="9" t="str">
        <v/>
      </c>
      <c r="G2034" s="9" t="str">
        <v/>
      </c>
      <c r="H2034" s="9" t="str">
        <v>RA-1-12</v>
      </c>
      <c r="I2034" s="11" t="str">
        <v>RA-1-12]DC POWER SMPS CONN</v>
      </c>
      <c r="J2034" s="9">
        <v>240</v>
      </c>
      <c r="K2034" s="9" t="str">
        <v/>
      </c>
      <c r="L2034" s="9" t="str">
        <v>G2-1</v>
      </c>
      <c r="M2034" s="12">
        <v>46275</v>
      </c>
      <c r="N2034" s="5" t="str">
        <v/>
      </c>
      <c r="O2034" s="5">
        <v>99012</v>
      </c>
      <c r="P2034" s="5">
        <v>10</v>
      </c>
      <c r="Q2034" s="14">
        <v>46283</v>
      </c>
      <c r="R2034" s="15">
        <v>230</v>
      </c>
    </row>
    <row r="2035" spans="2:18" x14ac:dyDescent="0.35">
      <c r="B2035" s="9">
        <v>816</v>
      </c>
      <c r="C2035" s="9" t="str">
        <v>출고재고</v>
      </c>
      <c r="D2035" s="9" t="str">
        <v/>
      </c>
      <c r="E2035" s="9" t="str">
        <v/>
      </c>
      <c r="F2035" s="9" t="str">
        <v/>
      </c>
      <c r="G2035" s="9" t="str">
        <v/>
      </c>
      <c r="H2035" s="9" t="str">
        <v>RA-2-9</v>
      </c>
      <c r="I2035" s="11" t="str">
        <v>RA-2-9]ACT 2nd LIMIT</v>
      </c>
      <c r="J2035" s="9">
        <v>242</v>
      </c>
      <c r="K2035" s="9" t="str">
        <v/>
      </c>
      <c r="L2035" s="9" t="str">
        <v>G2-1</v>
      </c>
      <c r="M2035" s="12">
        <v>46275</v>
      </c>
      <c r="N2035" s="5" t="str">
        <v/>
      </c>
      <c r="O2035" s="5">
        <v>99012</v>
      </c>
      <c r="P2035" s="5">
        <v>10</v>
      </c>
      <c r="Q2035" s="14">
        <v>46283</v>
      </c>
      <c r="R2035" s="15">
        <v>232</v>
      </c>
    </row>
    <row r="2036" spans="2:18" x14ac:dyDescent="0.35">
      <c r="B2036" s="9">
        <v>817</v>
      </c>
      <c r="C2036" s="9" t="str">
        <v>출고재고</v>
      </c>
      <c r="D2036" s="9" t="str">
        <v/>
      </c>
      <c r="E2036" s="9" t="str">
        <v/>
      </c>
      <c r="F2036" s="9" t="str">
        <v/>
      </c>
      <c r="G2036" s="9" t="str">
        <v/>
      </c>
      <c r="H2036" s="9" t="str">
        <v>RA-5-8</v>
      </c>
      <c r="I2036" s="11" t="str">
        <v>RA-5-8]EARTH CTRL SMPS</v>
      </c>
      <c r="J2036" s="9">
        <v>256</v>
      </c>
      <c r="K2036" s="9" t="str">
        <v/>
      </c>
      <c r="L2036" s="9" t="str">
        <v>G3-2</v>
      </c>
      <c r="M2036" s="12">
        <v>46275</v>
      </c>
      <c r="N2036" s="5" t="str">
        <v/>
      </c>
      <c r="O2036" s="5">
        <v>99012</v>
      </c>
      <c r="P2036" s="5">
        <v>10</v>
      </c>
      <c r="Q2036" s="14">
        <v>46283</v>
      </c>
      <c r="R2036" s="15">
        <v>246</v>
      </c>
    </row>
    <row r="2037" spans="2:18" x14ac:dyDescent="0.35">
      <c r="B2037" s="9">
        <v>819</v>
      </c>
      <c r="C2037" s="9" t="str">
        <v>출고재고</v>
      </c>
      <c r="D2037" s="9" t="str">
        <v/>
      </c>
      <c r="E2037" s="9" t="str">
        <v/>
      </c>
      <c r="F2037" s="9" t="str">
        <v/>
      </c>
      <c r="G2037" s="9" t="str">
        <v/>
      </c>
      <c r="H2037" s="9" t="str">
        <v>RA-2-4</v>
      </c>
      <c r="I2037" s="11" t="str">
        <v>RA-2-4]SERIAL POWER THU</v>
      </c>
      <c r="J2037" s="9">
        <v>268</v>
      </c>
      <c r="K2037" s="9" t="str">
        <v/>
      </c>
      <c r="L2037" s="9" t="str">
        <v>G2-1</v>
      </c>
      <c r="M2037" s="12">
        <v>46275</v>
      </c>
      <c r="N2037" s="5" t="str">
        <v/>
      </c>
      <c r="O2037" s="5">
        <v>99012</v>
      </c>
      <c r="P2037" s="5">
        <v>10</v>
      </c>
      <c r="Q2037" s="14">
        <v>46283</v>
      </c>
      <c r="R2037" s="15">
        <v>258</v>
      </c>
    </row>
    <row r="2038" spans="2:18" x14ac:dyDescent="0.35">
      <c r="B2038" s="9">
        <v>822</v>
      </c>
      <c r="C2038" s="9" t="str">
        <v>출고재고</v>
      </c>
      <c r="D2038" s="9" t="str">
        <v/>
      </c>
      <c r="E2038" s="9" t="str">
        <v/>
      </c>
      <c r="F2038" s="9" t="str">
        <v/>
      </c>
      <c r="G2038" s="9" t="str">
        <v/>
      </c>
      <c r="H2038" s="9" t="str">
        <v>RA-5-10</v>
      </c>
      <c r="I2038" s="11" t="str">
        <v>RA-5-10]EARTH MOT SMPS(RPS)</v>
      </c>
      <c r="J2038" s="9">
        <v>365</v>
      </c>
      <c r="K2038" s="9" t="str">
        <v/>
      </c>
      <c r="L2038" s="9" t="str">
        <v>G3-2</v>
      </c>
      <c r="M2038" s="12">
        <v>46275</v>
      </c>
      <c r="N2038" s="5" t="str">
        <v/>
      </c>
      <c r="O2038" s="5">
        <v>99012</v>
      </c>
      <c r="P2038" s="5">
        <v>10</v>
      </c>
      <c r="Q2038" s="14">
        <v>46283</v>
      </c>
      <c r="R2038" s="15">
        <v>355</v>
      </c>
    </row>
    <row r="2039" spans="2:18" x14ac:dyDescent="0.35">
      <c r="B2039" s="9">
        <v>743</v>
      </c>
      <c r="C2039" s="9" t="str">
        <v>출고재고</v>
      </c>
      <c r="D2039" s="9" t="str">
        <v/>
      </c>
      <c r="E2039" s="9" t="str">
        <v/>
      </c>
      <c r="F2039" s="9" t="str">
        <v/>
      </c>
      <c r="G2039" s="9" t="str">
        <v/>
      </c>
      <c r="H2039" s="9" t="str">
        <v>RA-04T-0143</v>
      </c>
      <c r="I2039" s="11" t="str">
        <v>RA-04T-0143]CAS CHINREST UPPER</v>
      </c>
      <c r="J2039" s="9">
        <v>808</v>
      </c>
      <c r="K2039" s="9" t="str">
        <v/>
      </c>
      <c r="L2039" s="9" t="str">
        <v>S</v>
      </c>
      <c r="M2039" s="12">
        <v>46274</v>
      </c>
      <c r="N2039" s="5" t="str">
        <v/>
      </c>
      <c r="O2039" s="5">
        <v>99012</v>
      </c>
      <c r="P2039" s="5">
        <v>10</v>
      </c>
      <c r="Q2039" s="14">
        <v>46283</v>
      </c>
      <c r="R2039" s="15">
        <v>798</v>
      </c>
    </row>
    <row r="2040" spans="2:18" x14ac:dyDescent="0.35">
      <c r="B2040" s="9">
        <v>1181</v>
      </c>
      <c r="C2040" s="9" t="str">
        <v>출고재고</v>
      </c>
      <c r="D2040" s="9" t="str">
        <v/>
      </c>
      <c r="E2040" s="9" t="str">
        <v/>
      </c>
      <c r="F2040" s="9" t="str">
        <v/>
      </c>
      <c r="G2040" s="9" t="str">
        <v/>
      </c>
      <c r="H2040" s="9" t="str">
        <v>RA-06M-1105</v>
      </c>
      <c r="I2040" s="11" t="str">
        <v>RA-06M-1105]DECO WINDOW COL</v>
      </c>
      <c r="J2040" s="9">
        <v>53</v>
      </c>
      <c r="K2040" s="9" t="str">
        <v/>
      </c>
      <c r="L2040" s="9" t="str">
        <v>L2-2</v>
      </c>
      <c r="M2040" s="12">
        <v>46276</v>
      </c>
      <c r="N2040" s="5" t="str">
        <v/>
      </c>
      <c r="O2040" s="5">
        <v>99013</v>
      </c>
      <c r="P2040" s="5">
        <v>10</v>
      </c>
      <c r="Q2040" s="14">
        <v>46283</v>
      </c>
      <c r="R2040" s="15">
        <v>43</v>
      </c>
    </row>
    <row r="2041" spans="2:18" x14ac:dyDescent="0.35">
      <c r="B2041" s="9">
        <v>871</v>
      </c>
      <c r="C2041" s="9" t="str">
        <v>출고재고</v>
      </c>
      <c r="D2041" s="9" t="str">
        <v/>
      </c>
      <c r="E2041" s="9" t="str">
        <v/>
      </c>
      <c r="F2041" s="9" t="str">
        <v/>
      </c>
      <c r="G2041" s="9" t="str">
        <v/>
      </c>
      <c r="H2041" s="9" t="str">
        <v>RA-03T-0076</v>
      </c>
      <c r="I2041" s="11" t="str">
        <v>RA-03T-0076]CAS MIRROR DECO</v>
      </c>
      <c r="J2041" s="9">
        <v>85</v>
      </c>
      <c r="K2041" s="9" t="str">
        <v/>
      </c>
      <c r="L2041" s="9" t="str">
        <v>S</v>
      </c>
      <c r="M2041" s="12">
        <v>46275</v>
      </c>
      <c r="N2041" s="5" t="str">
        <v/>
      </c>
      <c r="O2041" s="5">
        <v>99013</v>
      </c>
      <c r="P2041" s="5">
        <v>84</v>
      </c>
      <c r="Q2041" s="14">
        <v>46283</v>
      </c>
      <c r="R2041" s="15">
        <v>1</v>
      </c>
    </row>
    <row r="2042" spans="2:18" x14ac:dyDescent="0.35">
      <c r="B2042" s="9">
        <v>786</v>
      </c>
      <c r="C2042" s="9" t="str">
        <v>출고재고</v>
      </c>
      <c r="D2042" s="9" t="str">
        <v/>
      </c>
      <c r="E2042" s="9" t="str">
        <v/>
      </c>
      <c r="F2042" s="9" t="str">
        <v/>
      </c>
      <c r="G2042" s="9" t="str">
        <v/>
      </c>
      <c r="H2042" s="9" t="str">
        <v>RA-05V-0501</v>
      </c>
      <c r="I2042" s="11" t="str">
        <v>RA-05V-0501]BRK ROT CAS-A</v>
      </c>
      <c r="J2042" s="9">
        <v>121</v>
      </c>
      <c r="K2042" s="9" t="str">
        <v/>
      </c>
      <c r="L2042" s="9" t="str">
        <v>W</v>
      </c>
      <c r="M2042" s="12">
        <v>46273</v>
      </c>
      <c r="N2042" s="5" t="str">
        <v/>
      </c>
      <c r="O2042" s="5">
        <v>99013</v>
      </c>
      <c r="P2042" s="5">
        <v>20</v>
      </c>
      <c r="Q2042" s="14">
        <v>46283</v>
      </c>
      <c r="R2042" s="15">
        <v>101</v>
      </c>
    </row>
    <row r="2043" spans="2:18" x14ac:dyDescent="0.35">
      <c r="B2043" s="9">
        <v>872</v>
      </c>
      <c r="C2043" s="9" t="str">
        <v>출고재고</v>
      </c>
      <c r="D2043" s="9" t="str">
        <v/>
      </c>
      <c r="E2043" s="9" t="str">
        <v/>
      </c>
      <c r="F2043" s="9" t="str">
        <v/>
      </c>
      <c r="G2043" s="9" t="str">
        <v/>
      </c>
      <c r="H2043" s="9" t="str">
        <v>RA-03A-0287</v>
      </c>
      <c r="I2043" s="11" t="str">
        <v>RA-03A-0287]ASM LEVER HORIZONTAL LASER</v>
      </c>
      <c r="J2043" s="9">
        <v>138</v>
      </c>
      <c r="K2043" s="9" t="str">
        <v/>
      </c>
      <c r="L2043" s="9" t="str">
        <v>B1-4</v>
      </c>
      <c r="M2043" s="12">
        <v>46275</v>
      </c>
      <c r="N2043" s="5" t="str">
        <v/>
      </c>
      <c r="O2043" s="5">
        <v>99013</v>
      </c>
      <c r="P2043" s="5">
        <v>10</v>
      </c>
      <c r="Q2043" s="14">
        <v>46283</v>
      </c>
      <c r="R2043" s="15">
        <v>128</v>
      </c>
    </row>
    <row r="2044" spans="2:18" x14ac:dyDescent="0.35">
      <c r="B2044" s="9">
        <v>874</v>
      </c>
      <c r="C2044" s="9" t="str">
        <v>출고재고</v>
      </c>
      <c r="D2044" s="9" t="str">
        <v/>
      </c>
      <c r="E2044" s="9" t="str">
        <v/>
      </c>
      <c r="F2044" s="9" t="str">
        <v/>
      </c>
      <c r="G2044" s="9" t="str">
        <v/>
      </c>
      <c r="H2044" s="9" t="str">
        <v>RA-03M-2064</v>
      </c>
      <c r="I2044" s="11" t="str">
        <v>RA-03M-2064]PLT MIRROR (A+)</v>
      </c>
      <c r="J2044" s="9">
        <v>214</v>
      </c>
      <c r="K2044" s="9" t="str">
        <v/>
      </c>
      <c r="L2044" s="9" t="str">
        <v>L2-1</v>
      </c>
      <c r="M2044" s="12">
        <v>46275</v>
      </c>
      <c r="N2044" s="5" t="str">
        <v/>
      </c>
      <c r="O2044" s="5">
        <v>99013</v>
      </c>
      <c r="P2044" s="5">
        <v>10</v>
      </c>
      <c r="Q2044" s="14">
        <v>46283</v>
      </c>
      <c r="R2044" s="15">
        <v>204</v>
      </c>
    </row>
    <row r="2045" spans="2:18" x14ac:dyDescent="0.35">
      <c r="B2045" s="9">
        <v>1177</v>
      </c>
      <c r="C2045" s="9" t="str">
        <v>출고재고</v>
      </c>
      <c r="D2045" s="9" t="str">
        <v/>
      </c>
      <c r="E2045" s="9" t="str">
        <v/>
      </c>
      <c r="F2045" s="9" t="str">
        <v/>
      </c>
      <c r="G2045" s="9" t="str">
        <v/>
      </c>
      <c r="H2045" s="9" t="str">
        <v>RA-7-3</v>
      </c>
      <c r="I2045" s="11" t="str">
        <v>RA-7-3]LAN PC</v>
      </c>
      <c r="J2045" s="9">
        <v>241</v>
      </c>
      <c r="K2045" s="9" t="str">
        <v/>
      </c>
      <c r="L2045" s="9" t="str">
        <v>G4</v>
      </c>
      <c r="M2045" s="12">
        <v>46276</v>
      </c>
      <c r="N2045" s="5" t="str">
        <v/>
      </c>
      <c r="O2045" s="5">
        <v>99013</v>
      </c>
      <c r="P2045" s="5">
        <v>10</v>
      </c>
      <c r="Q2045" s="14">
        <v>46283</v>
      </c>
      <c r="R2045" s="15">
        <v>231</v>
      </c>
    </row>
    <row r="2046" spans="2:18" x14ac:dyDescent="0.35">
      <c r="B2046" s="9">
        <v>876</v>
      </c>
      <c r="C2046" s="9" t="str">
        <v>출고재고</v>
      </c>
      <c r="D2046" s="9" t="str">
        <v/>
      </c>
      <c r="E2046" s="9" t="str">
        <v/>
      </c>
      <c r="F2046" s="9" t="str">
        <v/>
      </c>
      <c r="G2046" s="9" t="str">
        <v/>
      </c>
      <c r="H2046" s="9" t="str">
        <v>RA-04T-0144</v>
      </c>
      <c r="I2046" s="11" t="str">
        <v>RA-04T-0144]CAS CHINREST BOT</v>
      </c>
      <c r="J2046" s="9">
        <v>316</v>
      </c>
      <c r="K2046" s="9" t="str">
        <v/>
      </c>
      <c r="L2046" s="9" t="str">
        <v>S</v>
      </c>
      <c r="M2046" s="12">
        <v>46275</v>
      </c>
      <c r="N2046" s="5" t="str">
        <v/>
      </c>
      <c r="O2046" s="5">
        <v>99013</v>
      </c>
      <c r="P2046" s="5">
        <v>10</v>
      </c>
      <c r="Q2046" s="14">
        <v>46283</v>
      </c>
      <c r="R2046" s="15">
        <v>306</v>
      </c>
    </row>
    <row r="2047" spans="2:18" x14ac:dyDescent="0.35">
      <c r="B2047" s="9">
        <v>877</v>
      </c>
      <c r="C2047" s="9" t="str">
        <v>출고재고</v>
      </c>
      <c r="D2047" s="9" t="str">
        <v/>
      </c>
      <c r="E2047" s="9" t="str">
        <v/>
      </c>
      <c r="F2047" s="9" t="str">
        <v/>
      </c>
      <c r="G2047" s="9" t="str">
        <v/>
      </c>
      <c r="H2047" s="9" t="str">
        <v>RA-06M-2299</v>
      </c>
      <c r="I2047" s="11" t="str">
        <v>RA-06M-2299]PLT MIRROR TUBE CAS R (A+)</v>
      </c>
      <c r="J2047" s="9">
        <v>354</v>
      </c>
      <c r="K2047" s="9" t="str">
        <v/>
      </c>
      <c r="L2047" s="9" t="str">
        <v>L2-2</v>
      </c>
      <c r="M2047" s="12">
        <v>46275</v>
      </c>
      <c r="N2047" s="5" t="str">
        <v/>
      </c>
      <c r="O2047" s="5">
        <v>99013</v>
      </c>
      <c r="P2047" s="5">
        <v>10</v>
      </c>
      <c r="Q2047" s="14">
        <v>46283</v>
      </c>
      <c r="R2047" s="15">
        <v>344</v>
      </c>
    </row>
    <row r="2048" spans="2:18" x14ac:dyDescent="0.35">
      <c r="B2048" s="9">
        <v>878</v>
      </c>
      <c r="C2048" s="9" t="str">
        <v>출고재고</v>
      </c>
      <c r="D2048" s="9" t="str">
        <v/>
      </c>
      <c r="E2048" s="9" t="str">
        <v/>
      </c>
      <c r="F2048" s="9" t="str">
        <v/>
      </c>
      <c r="G2048" s="9" t="str">
        <v/>
      </c>
      <c r="H2048" s="9" t="str">
        <v>RA-06M-2298</v>
      </c>
      <c r="I2048" s="11" t="str">
        <v>RA-06M-2298]PLT MIRROR TUBE CAS L (A+)</v>
      </c>
      <c r="J2048" s="9">
        <v>438</v>
      </c>
      <c r="K2048" s="9" t="str">
        <v/>
      </c>
      <c r="L2048" s="9" t="str">
        <v>L2-2</v>
      </c>
      <c r="M2048" s="12">
        <v>46275</v>
      </c>
      <c r="N2048" s="5" t="str">
        <v/>
      </c>
      <c r="O2048" s="5">
        <v>99013</v>
      </c>
      <c r="P2048" s="5">
        <v>10</v>
      </c>
      <c r="Q2048" s="14">
        <v>46283</v>
      </c>
      <c r="R2048" s="15">
        <v>428</v>
      </c>
    </row>
    <row r="2049" spans="2:18" x14ac:dyDescent="0.35">
      <c r="B2049" s="9">
        <v>879</v>
      </c>
      <c r="C2049" s="9" t="str">
        <v>출고재고</v>
      </c>
      <c r="D2049" s="9" t="str">
        <v/>
      </c>
      <c r="E2049" s="9" t="str">
        <v/>
      </c>
      <c r="F2049" s="9" t="str">
        <v/>
      </c>
      <c r="G2049" s="9" t="str">
        <v/>
      </c>
      <c r="H2049" s="9" t="str">
        <v>RA-05T-0207</v>
      </c>
      <c r="I2049" s="11" t="str">
        <v>RA-05T-0207]CAS ROT BOT DECO</v>
      </c>
      <c r="J2049" s="9">
        <v>468</v>
      </c>
      <c r="K2049" s="9" t="str">
        <v/>
      </c>
      <c r="L2049" s="9" t="str">
        <v>R</v>
      </c>
      <c r="M2049" s="12">
        <v>46275</v>
      </c>
      <c r="N2049" s="5" t="str">
        <v/>
      </c>
      <c r="O2049" s="5">
        <v>99013</v>
      </c>
      <c r="P2049" s="5">
        <v>10</v>
      </c>
      <c r="Q2049" s="14">
        <v>46283</v>
      </c>
      <c r="R2049" s="15">
        <v>458</v>
      </c>
    </row>
    <row r="2050" spans="2:18" x14ac:dyDescent="0.35">
      <c r="B2050" s="9">
        <v>880</v>
      </c>
      <c r="C2050" s="9" t="str">
        <v>출고재고</v>
      </c>
      <c r="D2050" s="9" t="str">
        <v/>
      </c>
      <c r="E2050" s="9" t="str">
        <v/>
      </c>
      <c r="F2050" s="9" t="str">
        <v/>
      </c>
      <c r="G2050" s="9" t="str">
        <v/>
      </c>
      <c r="H2050" s="9" t="str">
        <v>RA-06V-0249</v>
      </c>
      <c r="I2050" s="11" t="str">
        <v>RA-06V-0249]HLDR CAS TUBE TNK REAR</v>
      </c>
      <c r="J2050" s="9">
        <v>570</v>
      </c>
      <c r="K2050" s="9" t="str">
        <v/>
      </c>
      <c r="L2050" s="9" t="str">
        <v>W</v>
      </c>
      <c r="M2050" s="12">
        <v>46275</v>
      </c>
      <c r="N2050" s="5" t="str">
        <v/>
      </c>
      <c r="O2050" s="5">
        <v>99013</v>
      </c>
      <c r="P2050" s="5">
        <v>20</v>
      </c>
      <c r="Q2050" s="14">
        <v>46283</v>
      </c>
      <c r="R2050" s="15">
        <v>550</v>
      </c>
    </row>
    <row r="2051" spans="2:18" x14ac:dyDescent="0.35">
      <c r="B2051" s="9">
        <v>662</v>
      </c>
      <c r="C2051" s="9" t="str">
        <v>출고재고</v>
      </c>
      <c r="D2051" s="9" t="str">
        <v/>
      </c>
      <c r="E2051" s="9" t="str">
        <v/>
      </c>
      <c r="F2051" s="9" t="str">
        <v/>
      </c>
      <c r="G2051" s="9" t="str">
        <v/>
      </c>
      <c r="H2051" s="9" t="str">
        <v>RF-01M-0200</v>
      </c>
      <c r="I2051" s="11" t="str">
        <v>RF-01M-0200]MIRROR PLT</v>
      </c>
      <c r="J2051" s="9">
        <v>72</v>
      </c>
      <c r="K2051" s="9" t="str">
        <v/>
      </c>
      <c r="L2051" s="9" t="str">
        <v>3L4-3</v>
      </c>
      <c r="M2051" s="12">
        <v>46268</v>
      </c>
      <c r="N2051" s="5" t="str">
        <v/>
      </c>
      <c r="O2051" s="5">
        <v>99025</v>
      </c>
      <c r="P2051" s="5">
        <v>3</v>
      </c>
      <c r="Q2051" s="14">
        <v>46281</v>
      </c>
      <c r="R2051" s="15">
        <v>69</v>
      </c>
    </row>
    <row r="2052" spans="2:18" x14ac:dyDescent="0.35">
      <c r="B2052" s="9">
        <v>1152</v>
      </c>
      <c r="C2052" s="9" t="str">
        <v>출고재고</v>
      </c>
      <c r="D2052" s="9" t="str">
        <v/>
      </c>
      <c r="E2052" s="9" t="str">
        <v/>
      </c>
      <c r="F2052" s="9" t="str">
        <v/>
      </c>
      <c r="G2052" s="9" t="str">
        <v/>
      </c>
      <c r="H2052" s="9" t="str">
        <v>RF-01T-0171</v>
      </c>
      <c r="I2052" s="11" t="str">
        <v>RF-01T-0171]ARM CVR REAR R</v>
      </c>
      <c r="J2052" s="9">
        <v>240</v>
      </c>
      <c r="K2052" s="9" t="str">
        <v/>
      </c>
      <c r="L2052" s="9" t="str">
        <v>3B4</v>
      </c>
      <c r="M2052" s="12">
        <v>46279</v>
      </c>
      <c r="N2052" s="5" t="str">
        <v/>
      </c>
      <c r="O2052" s="5">
        <v>99025</v>
      </c>
      <c r="P2052" s="5">
        <v>8</v>
      </c>
      <c r="Q2052" s="14">
        <v>46281</v>
      </c>
      <c r="R2052" s="15">
        <v>232</v>
      </c>
    </row>
    <row r="2053" spans="2:18" x14ac:dyDescent="0.35">
      <c r="B2053" s="9">
        <v>1143</v>
      </c>
      <c r="C2053" s="9" t="str">
        <v>출고재고</v>
      </c>
      <c r="D2053" s="9" t="str">
        <v/>
      </c>
      <c r="E2053" s="9" t="str">
        <v/>
      </c>
      <c r="F2053" s="9" t="str">
        <v/>
      </c>
      <c r="G2053" s="9" t="str">
        <v/>
      </c>
      <c r="H2053" s="9" t="str">
        <v>RA-03A-2713</v>
      </c>
      <c r="I2053" s="11" t="str">
        <v>ASM COLUMN BODY</v>
      </c>
      <c r="J2053" s="9">
        <v>26</v>
      </c>
      <c r="K2053" s="9" t="str">
        <v/>
      </c>
      <c r="L2053" s="9" t="str">
        <v>Q</v>
      </c>
      <c r="M2053" s="12">
        <v>46276</v>
      </c>
      <c r="N2053" s="5" t="str">
        <v/>
      </c>
      <c r="O2053" s="5">
        <v>99026</v>
      </c>
      <c r="P2053" s="5">
        <v>26</v>
      </c>
      <c r="Q2053" s="14">
        <v>46282</v>
      </c>
      <c r="R2053" s="15">
        <v>0</v>
      </c>
    </row>
    <row r="2054" spans="2:18" x14ac:dyDescent="0.35">
      <c r="B2054" s="9">
        <v>1151</v>
      </c>
      <c r="C2054" s="9" t="str">
        <v>출고재고</v>
      </c>
      <c r="D2054" s="9" t="str">
        <v/>
      </c>
      <c r="E2054" s="9" t="str">
        <v>입고</v>
      </c>
      <c r="F2054" s="9" t="str">
        <v>MTS</v>
      </c>
      <c r="G2054" s="9" t="str">
        <v>유영국</v>
      </c>
      <c r="H2054" s="9" t="str">
        <v>RA-03V-0062</v>
      </c>
      <c r="I2054" s="11" t="str">
        <v>RA-03V-0062]PLT CLMN BODY (LWR)</v>
      </c>
      <c r="J2054" s="9">
        <v>50</v>
      </c>
      <c r="K2054" s="9" t="str">
        <v/>
      </c>
      <c r="L2054" s="9" t="str">
        <v>3G</v>
      </c>
      <c r="M2054" s="12">
        <v>46280</v>
      </c>
      <c r="N2054" s="5" t="str">
        <v/>
      </c>
      <c r="O2054" s="5">
        <v>99026</v>
      </c>
      <c r="P2054" s="5">
        <v>50</v>
      </c>
      <c r="Q2054" s="14">
        <v>46282</v>
      </c>
      <c r="R2054" s="15">
        <v>0</v>
      </c>
    </row>
    <row r="2055" spans="2:18" x14ac:dyDescent="0.35">
      <c r="B2055" s="9">
        <v>825</v>
      </c>
      <c r="C2055" s="9" t="str">
        <v>출고재고</v>
      </c>
      <c r="D2055" s="9" t="str">
        <v/>
      </c>
      <c r="E2055" s="9" t="str">
        <v/>
      </c>
      <c r="F2055" s="9" t="str">
        <v/>
      </c>
      <c r="G2055" s="9" t="str">
        <v/>
      </c>
      <c r="H2055" s="9" t="str">
        <v>RA-03V-1639</v>
      </c>
      <c r="I2055" s="11" t="str">
        <v>RA-03V-1639]PLT ELECT COMPONENT (VA)</v>
      </c>
      <c r="J2055" s="9">
        <v>8</v>
      </c>
      <c r="K2055" s="9" t="str">
        <v/>
      </c>
      <c r="L2055" s="9" t="str">
        <v>M2</v>
      </c>
      <c r="M2055" s="12">
        <v>46274</v>
      </c>
      <c r="N2055" s="5" t="str">
        <v/>
      </c>
      <c r="O2055" s="5">
        <v>99028</v>
      </c>
      <c r="P2055" s="5">
        <v>8</v>
      </c>
      <c r="Q2055" s="14">
        <v>46283</v>
      </c>
      <c r="R2055" s="15">
        <v>0</v>
      </c>
    </row>
    <row r="2056" spans="2:18" x14ac:dyDescent="0.35">
      <c r="B2056" s="9">
        <v>826</v>
      </c>
      <c r="C2056" s="9" t="str">
        <v>출고재고</v>
      </c>
      <c r="D2056" s="9" t="str">
        <v/>
      </c>
      <c r="E2056" s="9" t="str">
        <v/>
      </c>
      <c r="F2056" s="9" t="str">
        <v/>
      </c>
      <c r="G2056" s="9" t="str">
        <v/>
      </c>
      <c r="H2056" s="9" t="str">
        <v>RA-03S-6045</v>
      </c>
      <c r="I2056" s="11" t="str">
        <v>RA-03S-6045]SMPS-RPS-200-24V</v>
      </c>
      <c r="J2056" s="9">
        <v>19</v>
      </c>
      <c r="K2056" s="9" t="str">
        <v/>
      </c>
      <c r="L2056" s="9" t="str">
        <v>A12-4</v>
      </c>
      <c r="M2056" s="12">
        <v>46274</v>
      </c>
      <c r="N2056" s="5" t="str">
        <v/>
      </c>
      <c r="O2056" s="5">
        <v>99028</v>
      </c>
      <c r="P2056" s="5">
        <v>10</v>
      </c>
      <c r="Q2056" s="14">
        <v>46283</v>
      </c>
      <c r="R2056" s="15">
        <v>9</v>
      </c>
    </row>
    <row r="2057" spans="2:18" x14ac:dyDescent="0.35">
      <c r="B2057" s="9">
        <v>827</v>
      </c>
      <c r="C2057" s="9" t="str">
        <v>출고재고</v>
      </c>
      <c r="D2057" s="9" t="str">
        <v/>
      </c>
      <c r="E2057" s="9" t="str">
        <v/>
      </c>
      <c r="F2057" s="9" t="str">
        <v/>
      </c>
      <c r="G2057" s="9" t="str">
        <v/>
      </c>
      <c r="H2057" s="9" t="str">
        <v>RA-03A-6012</v>
      </c>
      <c r="I2057" s="11" t="str">
        <v>RA-03A-6012]Bd ASSY'-ACT Bd(A/A+)</v>
      </c>
      <c r="J2057" s="9">
        <v>20</v>
      </c>
      <c r="K2057" s="9" t="str">
        <v/>
      </c>
      <c r="L2057" s="9" t="str">
        <v>A7-3</v>
      </c>
      <c r="M2057" s="12">
        <v>46274</v>
      </c>
      <c r="N2057" s="5" t="str">
        <v/>
      </c>
      <c r="O2057" s="5">
        <v>99028</v>
      </c>
      <c r="P2057" s="5">
        <v>10</v>
      </c>
      <c r="Q2057" s="14">
        <v>46283</v>
      </c>
      <c r="R2057" s="15">
        <v>10</v>
      </c>
    </row>
    <row r="2058" spans="2:18" x14ac:dyDescent="0.35">
      <c r="B2058" s="9">
        <v>851</v>
      </c>
      <c r="C2058" s="9" t="str">
        <v>출고재고</v>
      </c>
      <c r="D2058" s="9" t="str">
        <v/>
      </c>
      <c r="E2058" s="9" t="str">
        <v/>
      </c>
      <c r="F2058" s="9" t="str">
        <v/>
      </c>
      <c r="G2058" s="9" t="str">
        <v/>
      </c>
      <c r="H2058" s="9" t="str">
        <v>RA-04V-0118</v>
      </c>
      <c r="I2058" s="11" t="str">
        <v>RA-04V-0118]BRK MONITOR HINGE</v>
      </c>
      <c r="J2058" s="9">
        <v>20</v>
      </c>
      <c r="K2058" s="9" t="str">
        <v/>
      </c>
      <c r="L2058" s="9" t="str">
        <v>B2-3</v>
      </c>
      <c r="M2058" s="12">
        <v>46274</v>
      </c>
      <c r="N2058" s="5" t="str">
        <v/>
      </c>
      <c r="O2058" s="5">
        <v>99028</v>
      </c>
      <c r="P2058" s="5">
        <v>20</v>
      </c>
      <c r="Q2058" s="14">
        <v>46283</v>
      </c>
      <c r="R2058" s="15">
        <v>0</v>
      </c>
    </row>
    <row r="2059" spans="2:18" x14ac:dyDescent="0.35">
      <c r="B2059" s="9">
        <v>624</v>
      </c>
      <c r="C2059" s="9" t="str">
        <v>출고재고</v>
      </c>
      <c r="D2059" s="9" t="str">
        <v/>
      </c>
      <c r="E2059" s="9" t="str">
        <v>기초</v>
      </c>
      <c r="F2059" s="9" t="str">
        <v/>
      </c>
      <c r="G2059" s="9" t="str">
        <v/>
      </c>
      <c r="H2059" s="9" t="str">
        <v>RA-04A-1926</v>
      </c>
      <c r="I2059" s="11" t="str">
        <v>RA-04A-1926]ASM CHINREST SUB</v>
      </c>
      <c r="J2059" s="9">
        <v>55</v>
      </c>
      <c r="K2059" s="9" t="str">
        <v/>
      </c>
      <c r="L2059" s="9" t="str">
        <v>O2</v>
      </c>
      <c r="M2059" s="12">
        <v>46276</v>
      </c>
      <c r="N2059" s="5" t="str">
        <v/>
      </c>
      <c r="O2059" s="5">
        <v>99028</v>
      </c>
      <c r="P2059" s="5">
        <v>10</v>
      </c>
      <c r="Q2059" s="14">
        <v>46283</v>
      </c>
      <c r="R2059" s="15">
        <v>45</v>
      </c>
    </row>
    <row r="2060" spans="2:18" x14ac:dyDescent="0.35">
      <c r="B2060" s="9">
        <v>830</v>
      </c>
      <c r="C2060" s="9" t="str">
        <v>출고재고</v>
      </c>
      <c r="D2060" s="9" t="str">
        <v/>
      </c>
      <c r="E2060" s="9" t="str">
        <v/>
      </c>
      <c r="F2060" s="9" t="str">
        <v/>
      </c>
      <c r="G2060" s="9" t="str">
        <v/>
      </c>
      <c r="H2060" s="9" t="str">
        <v>RA-04V-1708</v>
      </c>
      <c r="I2060" s="11" t="str">
        <v>RA-04V-1708]CVR THU Bd</v>
      </c>
      <c r="J2060" s="9">
        <v>58</v>
      </c>
      <c r="K2060" s="9" t="str">
        <v/>
      </c>
      <c r="L2060" s="9" t="str">
        <v>B3-3</v>
      </c>
      <c r="M2060" s="12">
        <v>46274</v>
      </c>
      <c r="N2060" s="5" t="str">
        <v/>
      </c>
      <c r="O2060" s="5">
        <v>99028</v>
      </c>
      <c r="P2060" s="5">
        <v>10</v>
      </c>
      <c r="Q2060" s="14">
        <v>46283</v>
      </c>
      <c r="R2060" s="15">
        <v>48</v>
      </c>
    </row>
    <row r="2061" spans="2:18" x14ac:dyDescent="0.35">
      <c r="B2061" s="9">
        <v>831</v>
      </c>
      <c r="C2061" s="9" t="str">
        <v>출고재고</v>
      </c>
      <c r="D2061" s="9" t="str">
        <v/>
      </c>
      <c r="E2061" s="9" t="str">
        <v/>
      </c>
      <c r="F2061" s="9" t="str">
        <v/>
      </c>
      <c r="G2061" s="9" t="str">
        <v/>
      </c>
      <c r="H2061" s="9" t="str">
        <v>RA-03V-1909</v>
      </c>
      <c r="I2061" s="11" t="str">
        <v>RA-03V-1909]BRK PUSH HUB</v>
      </c>
      <c r="J2061" s="9">
        <v>69</v>
      </c>
      <c r="K2061" s="9" t="str">
        <v/>
      </c>
      <c r="L2061" s="9" t="str">
        <v>B1-3</v>
      </c>
      <c r="M2061" s="12">
        <v>46274</v>
      </c>
      <c r="N2061" s="5" t="str">
        <v/>
      </c>
      <c r="O2061" s="5">
        <v>99028</v>
      </c>
      <c r="P2061" s="5">
        <v>10</v>
      </c>
      <c r="Q2061" s="14">
        <v>46283</v>
      </c>
      <c r="R2061" s="15">
        <v>59</v>
      </c>
    </row>
    <row r="2062" spans="2:18" x14ac:dyDescent="0.35">
      <c r="B2062" s="9">
        <v>1454</v>
      </c>
      <c r="C2062" s="9" t="str">
        <v>출고재고</v>
      </c>
      <c r="D2062" s="9" t="str">
        <v/>
      </c>
      <c r="E2062" s="9" t="str">
        <v>입고</v>
      </c>
      <c r="F2062" s="9" t="str">
        <v>MTS</v>
      </c>
      <c r="G2062" s="9" t="str">
        <v>유영국</v>
      </c>
      <c r="H2062" s="9" t="str">
        <v>RA-03V-1639</v>
      </c>
      <c r="I2062" s="11" t="str">
        <v>RA-03V-1639]PLT ELECT COMPONENT (VA)</v>
      </c>
      <c r="J2062" s="9">
        <v>80</v>
      </c>
      <c r="K2062" s="9" t="str">
        <v/>
      </c>
      <c r="L2062" s="9" t="str">
        <v>M2</v>
      </c>
      <c r="M2062" s="12">
        <v>46280</v>
      </c>
      <c r="N2062" s="5" t="str">
        <v/>
      </c>
      <c r="O2062" s="5">
        <v>99028</v>
      </c>
      <c r="P2062" s="5">
        <v>2</v>
      </c>
      <c r="Q2062" s="14">
        <v>46283</v>
      </c>
      <c r="R2062" s="15">
        <v>78</v>
      </c>
    </row>
    <row r="2063" spans="2:18" x14ac:dyDescent="0.35">
      <c r="B2063" s="9">
        <v>2512</v>
      </c>
      <c r="C2063" s="9" t="str">
        <v>출고재고</v>
      </c>
      <c r="D2063" s="9" t="str">
        <v/>
      </c>
      <c r="E2063" s="9" t="str">
        <v/>
      </c>
      <c r="F2063" s="9" t="str">
        <v/>
      </c>
      <c r="G2063" s="9" t="str">
        <v/>
      </c>
      <c r="H2063" s="9" t="str">
        <v>RA-04A-6035</v>
      </c>
      <c r="I2063" s="11" t="str">
        <v>RA-04A-6035_4]Bd ASSY'-THU Bd</v>
      </c>
      <c r="J2063" s="9">
        <v>87</v>
      </c>
      <c r="K2063" s="9" t="str">
        <v/>
      </c>
      <c r="L2063" s="9" t="str">
        <v>A1-1</v>
      </c>
      <c r="M2063" s="12">
        <v>46296</v>
      </c>
      <c r="N2063" s="5" t="str">
        <v/>
      </c>
      <c r="O2063" s="5">
        <v>99028</v>
      </c>
      <c r="P2063" s="5">
        <v>10</v>
      </c>
      <c r="Q2063" s="14">
        <v>46296</v>
      </c>
      <c r="R2063" s="15">
        <v>77</v>
      </c>
    </row>
    <row r="2064" spans="2:18" x14ac:dyDescent="0.35">
      <c r="B2064" s="9">
        <v>833</v>
      </c>
      <c r="C2064" s="9" t="str">
        <v>출고재고</v>
      </c>
      <c r="D2064" s="9" t="str">
        <v/>
      </c>
      <c r="E2064" s="9" t="str">
        <v/>
      </c>
      <c r="F2064" s="9" t="str">
        <v/>
      </c>
      <c r="G2064" s="9" t="str">
        <v/>
      </c>
      <c r="H2064" s="9" t="str">
        <v>RA-04V-0117</v>
      </c>
      <c r="I2064" s="11" t="str">
        <v>RA-04V-0117] ARM MONITOR</v>
      </c>
      <c r="J2064" s="9">
        <v>112</v>
      </c>
      <c r="K2064" s="9" t="str">
        <v/>
      </c>
      <c r="L2064" s="9" t="str">
        <v>H1</v>
      </c>
      <c r="M2064" s="12">
        <v>46274</v>
      </c>
      <c r="N2064" s="5" t="str">
        <v/>
      </c>
      <c r="O2064" s="5">
        <v>99028</v>
      </c>
      <c r="P2064" s="5">
        <v>10</v>
      </c>
      <c r="Q2064" s="14">
        <v>46283</v>
      </c>
      <c r="R2064" s="15">
        <v>102</v>
      </c>
    </row>
    <row r="2065" spans="2:18" x14ac:dyDescent="0.35">
      <c r="B2065" s="9">
        <v>834</v>
      </c>
      <c r="C2065" s="9" t="str">
        <v>출고재고</v>
      </c>
      <c r="D2065" s="9" t="str">
        <v/>
      </c>
      <c r="E2065" s="9" t="str">
        <v/>
      </c>
      <c r="F2065" s="9" t="str">
        <v/>
      </c>
      <c r="G2065" s="9" t="str">
        <v/>
      </c>
      <c r="H2065" s="9" t="str">
        <v>RA-03S-5013</v>
      </c>
      <c r="I2065" s="11" t="str">
        <v>RA-03S-5013]Mgnet CONTECTOR-LP1K0910BD</v>
      </c>
      <c r="J2065" s="9">
        <v>127</v>
      </c>
      <c r="K2065" s="9" t="str">
        <v/>
      </c>
      <c r="L2065" s="9" t="str">
        <v>A13-4</v>
      </c>
      <c r="M2065" s="12">
        <v>46274</v>
      </c>
      <c r="N2065" s="5" t="str">
        <v/>
      </c>
      <c r="O2065" s="5">
        <v>99028</v>
      </c>
      <c r="P2065" s="5">
        <v>10</v>
      </c>
      <c r="Q2065" s="14">
        <v>46283</v>
      </c>
      <c r="R2065" s="15">
        <v>117</v>
      </c>
    </row>
    <row r="2066" spans="2:18" x14ac:dyDescent="0.35">
      <c r="B2066" s="9">
        <v>835</v>
      </c>
      <c r="C2066" s="9" t="str">
        <v>출고재고</v>
      </c>
      <c r="D2066" s="9" t="str">
        <v/>
      </c>
      <c r="E2066" s="9" t="str">
        <v/>
      </c>
      <c r="F2066" s="9" t="str">
        <v/>
      </c>
      <c r="G2066" s="9" t="str">
        <v/>
      </c>
      <c r="H2066" s="9" t="str">
        <v>RA-04S-5174</v>
      </c>
      <c r="I2066" s="11" t="str">
        <v>RA-04S-5174]THU Cable Ass'y</v>
      </c>
      <c r="J2066" s="9">
        <v>129</v>
      </c>
      <c r="K2066" s="9" t="str">
        <v/>
      </c>
      <c r="L2066" s="9" t="str">
        <v>B2-2</v>
      </c>
      <c r="M2066" s="12">
        <v>46274</v>
      </c>
      <c r="N2066" s="5" t="str">
        <v/>
      </c>
      <c r="O2066" s="5">
        <v>99028</v>
      </c>
      <c r="P2066" s="5">
        <v>10</v>
      </c>
      <c r="Q2066" s="14">
        <v>46283</v>
      </c>
      <c r="R2066" s="15">
        <v>119</v>
      </c>
    </row>
    <row r="2067" spans="2:18" x14ac:dyDescent="0.35">
      <c r="B2067" s="9">
        <v>836</v>
      </c>
      <c r="C2067" s="9" t="str">
        <v>출고재고</v>
      </c>
      <c r="D2067" s="9" t="str">
        <v/>
      </c>
      <c r="E2067" s="9" t="str">
        <v/>
      </c>
      <c r="F2067" s="9" t="str">
        <v/>
      </c>
      <c r="G2067" s="9" t="str">
        <v/>
      </c>
      <c r="H2067" s="9" t="str">
        <v>RA-04V-1709</v>
      </c>
      <c r="I2067" s="11" t="str">
        <v>RA-04V-1709]BRK THU Bd</v>
      </c>
      <c r="J2067" s="9">
        <v>135</v>
      </c>
      <c r="K2067" s="9" t="str">
        <v/>
      </c>
      <c r="L2067" s="9" t="str">
        <v>B3-1</v>
      </c>
      <c r="M2067" s="12">
        <v>46274</v>
      </c>
      <c r="N2067" s="5" t="str">
        <v/>
      </c>
      <c r="O2067" s="5">
        <v>99028</v>
      </c>
      <c r="P2067" s="5">
        <v>10</v>
      </c>
      <c r="Q2067" s="14">
        <v>46283</v>
      </c>
      <c r="R2067" s="15">
        <v>125</v>
      </c>
    </row>
    <row r="2068" spans="2:18" x14ac:dyDescent="0.35">
      <c r="B2068" s="9">
        <v>837</v>
      </c>
      <c r="C2068" s="9" t="str">
        <v>출고재고</v>
      </c>
      <c r="D2068" s="9" t="str">
        <v/>
      </c>
      <c r="E2068" s="9" t="str">
        <v/>
      </c>
      <c r="F2068" s="9" t="str">
        <v/>
      </c>
      <c r="G2068" s="9" t="str">
        <v/>
      </c>
      <c r="H2068" s="9" t="str">
        <v>RA-03S-5176</v>
      </c>
      <c r="I2068" s="11" t="str">
        <v>RA-03S-5176]NOISE FILTER RSHN2016</v>
      </c>
      <c r="J2068" s="9">
        <v>139</v>
      </c>
      <c r="K2068" s="9" t="str">
        <v/>
      </c>
      <c r="L2068" s="9" t="str">
        <v>A12-4</v>
      </c>
      <c r="M2068" s="12">
        <v>46274</v>
      </c>
      <c r="N2068" s="5" t="str">
        <v/>
      </c>
      <c r="O2068" s="5">
        <v>99028</v>
      </c>
      <c r="P2068" s="5">
        <v>10</v>
      </c>
      <c r="Q2068" s="14">
        <v>46283</v>
      </c>
      <c r="R2068" s="15">
        <v>129</v>
      </c>
    </row>
    <row r="2069" spans="2:18" x14ac:dyDescent="0.35">
      <c r="B2069" s="9">
        <v>626</v>
      </c>
      <c r="C2069" s="9" t="str">
        <v>출고재고</v>
      </c>
      <c r="D2069" s="9" t="str">
        <v/>
      </c>
      <c r="E2069" s="9" t="str">
        <v>기초</v>
      </c>
      <c r="F2069" s="9" t="str">
        <v/>
      </c>
      <c r="G2069" s="9" t="str">
        <v/>
      </c>
      <c r="H2069" s="9" t="str">
        <v>RA-04A-2748</v>
      </c>
      <c r="I2069" s="11" t="str">
        <v>RA-04A-2748]ASM ARM SUB (A+) (VN)</v>
      </c>
      <c r="J2069" s="9">
        <v>150</v>
      </c>
      <c r="K2069" s="9" t="str">
        <v/>
      </c>
      <c r="L2069" s="9" t="str">
        <v>T</v>
      </c>
      <c r="M2069" s="12">
        <v>46281</v>
      </c>
      <c r="N2069" s="5" t="str">
        <v/>
      </c>
      <c r="O2069" s="5">
        <v>99028</v>
      </c>
      <c r="P2069" s="5">
        <v>10</v>
      </c>
      <c r="Q2069" s="14">
        <v>46283</v>
      </c>
      <c r="R2069" s="15">
        <v>140</v>
      </c>
    </row>
    <row r="2070" spans="2:18" x14ac:dyDescent="0.35">
      <c r="B2070" s="9">
        <v>823</v>
      </c>
      <c r="C2070" s="9" t="str">
        <v>출고재고</v>
      </c>
      <c r="D2070" s="9" t="str">
        <v/>
      </c>
      <c r="E2070" s="9" t="str">
        <v/>
      </c>
      <c r="F2070" s="9" t="str">
        <v/>
      </c>
      <c r="G2070" s="9" t="str">
        <v/>
      </c>
      <c r="H2070" s="9" t="str">
        <v>RA-03S-6025</v>
      </c>
      <c r="I2070" s="11" t="str">
        <v>RA-03S-6025]LBM-RAY01</v>
      </c>
      <c r="J2070" s="9">
        <v>156</v>
      </c>
      <c r="K2070" s="9" t="str">
        <v/>
      </c>
      <c r="L2070" s="9" t="str">
        <v>B1-1</v>
      </c>
      <c r="M2070" s="12">
        <v>46274</v>
      </c>
      <c r="N2070" s="5" t="str">
        <v/>
      </c>
      <c r="O2070" s="5">
        <v>99028</v>
      </c>
      <c r="P2070" s="5">
        <v>10</v>
      </c>
      <c r="Q2070" s="14">
        <v>46283</v>
      </c>
      <c r="R2070" s="15">
        <v>146</v>
      </c>
    </row>
    <row r="2071" spans="2:18" x14ac:dyDescent="0.35">
      <c r="B2071" s="9">
        <v>850</v>
      </c>
      <c r="C2071" s="9" t="str">
        <v>출고재고</v>
      </c>
      <c r="D2071" s="9" t="str">
        <v/>
      </c>
      <c r="E2071" s="9" t="str">
        <v/>
      </c>
      <c r="F2071" s="9" t="str">
        <v/>
      </c>
      <c r="G2071" s="9" t="str">
        <v/>
      </c>
      <c r="H2071" s="9" t="str">
        <v>RA-03S-5180A</v>
      </c>
      <c r="I2071" s="11" t="str">
        <v>RA-03S-5180A]A2K_LBM01-570</v>
      </c>
      <c r="J2071" s="9">
        <v>156</v>
      </c>
      <c r="K2071" s="9" t="str">
        <v/>
      </c>
      <c r="L2071" s="9" t="str">
        <v>B1-1</v>
      </c>
      <c r="M2071" s="12">
        <v>46274</v>
      </c>
      <c r="N2071" s="5" t="str">
        <v/>
      </c>
      <c r="O2071" s="5">
        <v>99028</v>
      </c>
      <c r="P2071" s="5">
        <v>10</v>
      </c>
      <c r="Q2071" s="14">
        <v>46283</v>
      </c>
      <c r="R2071" s="15">
        <v>146</v>
      </c>
    </row>
    <row r="2072" spans="2:18" x14ac:dyDescent="0.35">
      <c r="B2072" s="9">
        <v>1999</v>
      </c>
      <c r="C2072" s="9" t="str">
        <v>출고재고</v>
      </c>
      <c r="D2072" s="9" t="str">
        <v/>
      </c>
      <c r="E2072" s="9" t="str">
        <v/>
      </c>
      <c r="F2072" s="9" t="str">
        <v/>
      </c>
      <c r="G2072" s="9" t="str">
        <v/>
      </c>
      <c r="H2072" s="9" t="str">
        <v>RA-04A-0899</v>
      </c>
      <c r="I2072" s="11" t="str">
        <v>RA-04A-0899]ASM LCD M101NWT2 R1</v>
      </c>
      <c r="J2072" s="9">
        <v>158</v>
      </c>
      <c r="K2072" s="9" t="str">
        <v/>
      </c>
      <c r="L2072" s="9" t="str">
        <v>A16</v>
      </c>
      <c r="M2072" s="12">
        <v>46294</v>
      </c>
      <c r="N2072" s="5" t="str">
        <v/>
      </c>
      <c r="O2072" s="5">
        <v>99028</v>
      </c>
      <c r="P2072" s="5">
        <v>10</v>
      </c>
      <c r="Q2072" s="14">
        <v>46294</v>
      </c>
      <c r="R2072" s="15">
        <v>148</v>
      </c>
    </row>
    <row r="2073" spans="2:18" x14ac:dyDescent="0.35">
      <c r="B2073" s="9">
        <v>839</v>
      </c>
      <c r="C2073" s="9" t="str">
        <v>출고재고</v>
      </c>
      <c r="D2073" s="9" t="str">
        <v/>
      </c>
      <c r="E2073" s="9" t="str">
        <v/>
      </c>
      <c r="F2073" s="9" t="str">
        <v/>
      </c>
      <c r="G2073" s="9" t="str">
        <v/>
      </c>
      <c r="H2073" s="9" t="str">
        <v>RA-04M-1339</v>
      </c>
      <c r="I2073" s="11" t="str">
        <v>RA-04M-1339]BLK HEADREST FIX BAR-R</v>
      </c>
      <c r="J2073" s="9">
        <v>160</v>
      </c>
      <c r="K2073" s="9" t="str">
        <v/>
      </c>
      <c r="L2073" s="9" t="str">
        <v>B1-5</v>
      </c>
      <c r="M2073" s="12">
        <v>46274</v>
      </c>
      <c r="N2073" s="5" t="str">
        <v/>
      </c>
      <c r="O2073" s="5">
        <v>99028</v>
      </c>
      <c r="P2073" s="5">
        <v>10</v>
      </c>
      <c r="Q2073" s="14">
        <v>46283</v>
      </c>
      <c r="R2073" s="15">
        <v>150</v>
      </c>
    </row>
    <row r="2074" spans="2:18" x14ac:dyDescent="0.35">
      <c r="B2074" s="9">
        <v>841</v>
      </c>
      <c r="C2074" s="9" t="str">
        <v>출고재고</v>
      </c>
      <c r="D2074" s="9" t="str">
        <v/>
      </c>
      <c r="E2074" s="9" t="str">
        <v/>
      </c>
      <c r="F2074" s="9" t="str">
        <v/>
      </c>
      <c r="G2074" s="9" t="str">
        <v/>
      </c>
      <c r="H2074" s="9" t="str">
        <v>RA-03M-2193</v>
      </c>
      <c r="I2074" s="11" t="str">
        <v>RA-03M-2193]CVR PROT (A+)</v>
      </c>
      <c r="J2074" s="9">
        <v>186</v>
      </c>
      <c r="K2074" s="9" t="str">
        <v/>
      </c>
      <c r="L2074" s="9" t="str">
        <v>B1-1</v>
      </c>
      <c r="M2074" s="12">
        <v>46274</v>
      </c>
      <c r="N2074" s="5" t="str">
        <v/>
      </c>
      <c r="O2074" s="5">
        <v>99028</v>
      </c>
      <c r="P2074" s="5">
        <v>10</v>
      </c>
      <c r="Q2074" s="14">
        <v>46283</v>
      </c>
      <c r="R2074" s="15">
        <v>176</v>
      </c>
    </row>
    <row r="2075" spans="2:18" x14ac:dyDescent="0.35">
      <c r="B2075" s="9">
        <v>842</v>
      </c>
      <c r="C2075" s="9" t="str">
        <v>출고재고</v>
      </c>
      <c r="D2075" s="9" t="str">
        <v/>
      </c>
      <c r="E2075" s="9" t="str">
        <v/>
      </c>
      <c r="F2075" s="9" t="str">
        <v/>
      </c>
      <c r="G2075" s="9" t="str">
        <v/>
      </c>
      <c r="H2075" s="9" t="str">
        <v>RA-04M-1338</v>
      </c>
      <c r="I2075" s="11" t="str">
        <v>RA-04M-1338]BLK HEADREST FIX BAR-L</v>
      </c>
      <c r="J2075" s="9">
        <v>210</v>
      </c>
      <c r="K2075" s="9" t="str">
        <v/>
      </c>
      <c r="L2075" s="9" t="str">
        <v>B1-5</v>
      </c>
      <c r="M2075" s="12">
        <v>46274</v>
      </c>
      <c r="N2075" s="5" t="str">
        <v/>
      </c>
      <c r="O2075" s="5">
        <v>99028</v>
      </c>
      <c r="P2075" s="5">
        <v>10</v>
      </c>
      <c r="Q2075" s="14">
        <v>46283</v>
      </c>
      <c r="R2075" s="15">
        <v>200</v>
      </c>
    </row>
    <row r="2076" spans="2:18" x14ac:dyDescent="0.35">
      <c r="B2076" s="9">
        <v>843</v>
      </c>
      <c r="C2076" s="9" t="str">
        <v>출고재고</v>
      </c>
      <c r="D2076" s="9" t="str">
        <v/>
      </c>
      <c r="E2076" s="9" t="str">
        <v/>
      </c>
      <c r="F2076" s="9" t="str">
        <v/>
      </c>
      <c r="G2076" s="9" t="str">
        <v/>
      </c>
      <c r="H2076" s="9" t="str">
        <v>RA-03T-1992</v>
      </c>
      <c r="I2076" s="11" t="str">
        <v>RA-03T-1992]HLDR LASER BEAM V</v>
      </c>
      <c r="J2076" s="9">
        <v>265</v>
      </c>
      <c r="K2076" s="9" t="str">
        <v/>
      </c>
      <c r="L2076" s="9" t="str">
        <v>B1-1</v>
      </c>
      <c r="M2076" s="12">
        <v>46274</v>
      </c>
      <c r="N2076" s="5" t="str">
        <v/>
      </c>
      <c r="O2076" s="5">
        <v>99028</v>
      </c>
      <c r="P2076" s="5">
        <v>10</v>
      </c>
      <c r="Q2076" s="14">
        <v>46283</v>
      </c>
      <c r="R2076" s="15">
        <v>255</v>
      </c>
    </row>
    <row r="2077" spans="2:18" x14ac:dyDescent="0.35">
      <c r="B2077" s="9">
        <v>611</v>
      </c>
      <c r="C2077" s="9" t="str">
        <v>출고재고</v>
      </c>
      <c r="D2077" s="9" t="str">
        <v/>
      </c>
      <c r="E2077" s="9" t="str">
        <v>기초</v>
      </c>
      <c r="F2077" s="9" t="str">
        <v/>
      </c>
      <c r="G2077" s="9" t="str">
        <v/>
      </c>
      <c r="H2077" s="9" t="str">
        <v>RA-04S-0121</v>
      </c>
      <c r="I2077" s="11" t="str">
        <v>RA-04S-0121]HINGE SET</v>
      </c>
      <c r="J2077" s="9">
        <v>279</v>
      </c>
      <c r="K2077" s="9" t="str">
        <v/>
      </c>
      <c r="L2077" s="9" t="str">
        <v>B1-4</v>
      </c>
      <c r="M2077" s="12">
        <v>46276</v>
      </c>
      <c r="N2077" s="5" t="str">
        <v/>
      </c>
      <c r="O2077" s="5">
        <v>99028</v>
      </c>
      <c r="P2077" s="5">
        <v>20</v>
      </c>
      <c r="Q2077" s="14">
        <v>46283</v>
      </c>
      <c r="R2077" s="15">
        <v>259</v>
      </c>
    </row>
    <row r="2078" spans="2:18" x14ac:dyDescent="0.35">
      <c r="B2078" s="9">
        <v>849</v>
      </c>
      <c r="C2078" s="9" t="str">
        <v>출고재고</v>
      </c>
      <c r="D2078" s="9" t="str">
        <v/>
      </c>
      <c r="E2078" s="9" t="str">
        <v/>
      </c>
      <c r="F2078" s="9" t="str">
        <v/>
      </c>
      <c r="G2078" s="9" t="str">
        <v/>
      </c>
      <c r="H2078" s="9" t="str">
        <v>RA-03A-6016A</v>
      </c>
      <c r="I2078" s="11" t="str">
        <v>RA-03A-6016A]BD ASSY'-AC FUSE BLK</v>
      </c>
      <c r="J2078" s="9">
        <v>280</v>
      </c>
      <c r="K2078" s="9" t="str">
        <v/>
      </c>
      <c r="L2078" s="9" t="str">
        <v>A3-1</v>
      </c>
      <c r="M2078" s="12">
        <v>46274</v>
      </c>
      <c r="N2078" s="5" t="str">
        <v/>
      </c>
      <c r="O2078" s="5">
        <v>99028</v>
      </c>
      <c r="P2078" s="5">
        <v>10</v>
      </c>
      <c r="Q2078" s="14">
        <v>46283</v>
      </c>
      <c r="R2078" s="15">
        <v>270</v>
      </c>
    </row>
    <row r="2079" spans="2:18" x14ac:dyDescent="0.35">
      <c r="B2079" s="9">
        <v>844</v>
      </c>
      <c r="C2079" s="9" t="str">
        <v>출고재고</v>
      </c>
      <c r="D2079" s="9" t="str">
        <v/>
      </c>
      <c r="E2079" s="9" t="str">
        <v/>
      </c>
      <c r="F2079" s="9" t="str">
        <v/>
      </c>
      <c r="G2079" s="9" t="str">
        <v/>
      </c>
      <c r="H2079" s="9" t="str">
        <v>RA-03A-0050</v>
      </c>
      <c r="I2079" s="11" t="str">
        <v>RA-03A-0050_I]ASM HORIZONTAL LASER BEAM</v>
      </c>
      <c r="J2079" s="9">
        <v>294</v>
      </c>
      <c r="K2079" s="9" t="str">
        <v/>
      </c>
      <c r="L2079" s="9" t="str">
        <v>O2</v>
      </c>
      <c r="M2079" s="12">
        <v>46274</v>
      </c>
      <c r="N2079" s="5" t="str">
        <v/>
      </c>
      <c r="O2079" s="5">
        <v>99028</v>
      </c>
      <c r="P2079" s="5">
        <v>10</v>
      </c>
      <c r="Q2079" s="14">
        <v>46283</v>
      </c>
      <c r="R2079" s="15">
        <v>284</v>
      </c>
    </row>
    <row r="2080" spans="2:18" x14ac:dyDescent="0.35">
      <c r="B2080" s="9">
        <v>845</v>
      </c>
      <c r="C2080" s="9" t="str">
        <v>출고재고</v>
      </c>
      <c r="D2080" s="9" t="str">
        <v/>
      </c>
      <c r="E2080" s="9" t="str">
        <v/>
      </c>
      <c r="F2080" s="9" t="str">
        <v/>
      </c>
      <c r="G2080" s="9" t="str">
        <v/>
      </c>
      <c r="H2080" s="9" t="str">
        <v>RA-1-1</v>
      </c>
      <c r="I2080" s="11" t="str">
        <v>RA-1-1_2]AC POWER FUSE TO NF2</v>
      </c>
      <c r="J2080" s="9">
        <v>309</v>
      </c>
      <c r="K2080" s="9" t="str">
        <v/>
      </c>
      <c r="L2080" s="9" t="str">
        <v>G3-1</v>
      </c>
      <c r="M2080" s="12">
        <v>46274</v>
      </c>
      <c r="N2080" s="5" t="str">
        <v/>
      </c>
      <c r="O2080" s="5">
        <v>99028</v>
      </c>
      <c r="P2080" s="5">
        <v>10</v>
      </c>
      <c r="Q2080" s="14">
        <v>46283</v>
      </c>
      <c r="R2080" s="15">
        <v>299</v>
      </c>
    </row>
    <row r="2081" spans="2:18" x14ac:dyDescent="0.35">
      <c r="B2081" s="9">
        <v>846</v>
      </c>
      <c r="C2081" s="9" t="str">
        <v>출고재고</v>
      </c>
      <c r="D2081" s="9" t="str">
        <v/>
      </c>
      <c r="E2081" s="9" t="str">
        <v/>
      </c>
      <c r="F2081" s="9" t="str">
        <v/>
      </c>
      <c r="G2081" s="9" t="str">
        <v/>
      </c>
      <c r="H2081" s="9" t="str">
        <v>RA-04M-2399</v>
      </c>
      <c r="I2081" s="11" t="str">
        <v>RA-04M-2399]GUIDE BITE BLK A (A+)</v>
      </c>
      <c r="J2081" s="9">
        <v>327</v>
      </c>
      <c r="K2081" s="9" t="str">
        <v/>
      </c>
      <c r="L2081" s="9" t="str">
        <v>B1-6</v>
      </c>
      <c r="M2081" s="12">
        <v>46274</v>
      </c>
      <c r="N2081" s="5" t="str">
        <v/>
      </c>
      <c r="O2081" s="5">
        <v>99028</v>
      </c>
      <c r="P2081" s="5">
        <v>10</v>
      </c>
      <c r="Q2081" s="14">
        <v>46283</v>
      </c>
      <c r="R2081" s="15">
        <v>317</v>
      </c>
    </row>
    <row r="2082" spans="2:18" x14ac:dyDescent="0.35">
      <c r="B2082" s="9">
        <v>847</v>
      </c>
      <c r="C2082" s="9" t="str">
        <v>출고재고</v>
      </c>
      <c r="D2082" s="9" t="str">
        <v/>
      </c>
      <c r="E2082" s="9" t="str">
        <v/>
      </c>
      <c r="F2082" s="9" t="str">
        <v/>
      </c>
      <c r="G2082" s="9" t="str">
        <v/>
      </c>
      <c r="H2082" s="9" t="str">
        <v>RA-03A-6046</v>
      </c>
      <c r="I2082" s="11" t="str">
        <v>RA-03A-6046]SMPS CONN B/D</v>
      </c>
      <c r="J2082" s="9">
        <v>384</v>
      </c>
      <c r="K2082" s="9" t="str">
        <v/>
      </c>
      <c r="L2082" s="9" t="str">
        <v>A1-3</v>
      </c>
      <c r="M2082" s="12">
        <v>46274</v>
      </c>
      <c r="N2082" s="5" t="str">
        <v/>
      </c>
      <c r="O2082" s="5">
        <v>99028</v>
      </c>
      <c r="P2082" s="5">
        <v>10</v>
      </c>
      <c r="Q2082" s="14">
        <v>46283</v>
      </c>
      <c r="R2082" s="15">
        <v>374</v>
      </c>
    </row>
    <row r="2083" spans="2:18" x14ac:dyDescent="0.35">
      <c r="B2083" s="9">
        <v>848</v>
      </c>
      <c r="C2083" s="9" t="str">
        <v>출고재고</v>
      </c>
      <c r="D2083" s="9" t="str">
        <v/>
      </c>
      <c r="E2083" s="9" t="str">
        <v/>
      </c>
      <c r="F2083" s="9" t="str">
        <v/>
      </c>
      <c r="G2083" s="9" t="str">
        <v/>
      </c>
      <c r="H2083" s="9" t="str">
        <v>RA-1-2</v>
      </c>
      <c r="I2083" s="11" t="str">
        <v>RA-1-2_2]AC POWER FUSE TO NF1</v>
      </c>
      <c r="J2083" s="9">
        <v>570</v>
      </c>
      <c r="K2083" s="9" t="str">
        <v/>
      </c>
      <c r="L2083" s="9" t="str">
        <v>G3-1</v>
      </c>
      <c r="M2083" s="12">
        <v>46274</v>
      </c>
      <c r="N2083" s="5" t="str">
        <v/>
      </c>
      <c r="O2083" s="5">
        <v>99028</v>
      </c>
      <c r="P2083" s="5">
        <v>10</v>
      </c>
      <c r="Q2083" s="14">
        <v>46283</v>
      </c>
      <c r="R2083" s="15">
        <v>560</v>
      </c>
    </row>
    <row r="2084" spans="2:18" x14ac:dyDescent="0.35">
      <c r="B2084" s="9">
        <v>854</v>
      </c>
      <c r="C2084" s="9" t="str">
        <v>출고재고</v>
      </c>
      <c r="D2084" s="9" t="str">
        <v/>
      </c>
      <c r="E2084" s="9" t="str">
        <v/>
      </c>
      <c r="F2084" s="9" t="str">
        <v/>
      </c>
      <c r="G2084" s="9" t="str">
        <v/>
      </c>
      <c r="H2084" s="9" t="str">
        <v>RA-03M-0063</v>
      </c>
      <c r="I2084" s="11" t="str">
        <v>RA-03M-0063]GUIDE PIN 2</v>
      </c>
      <c r="J2084" s="9">
        <v>782</v>
      </c>
      <c r="K2084" s="9" t="str">
        <v/>
      </c>
      <c r="L2084" s="9" t="str">
        <v>B1-2</v>
      </c>
      <c r="M2084" s="12">
        <v>46274</v>
      </c>
      <c r="N2084" s="5" t="str">
        <v/>
      </c>
      <c r="O2084" s="5">
        <v>99028</v>
      </c>
      <c r="P2084" s="5">
        <v>20</v>
      </c>
      <c r="Q2084" s="14">
        <v>46283</v>
      </c>
      <c r="R2084" s="15">
        <v>762</v>
      </c>
    </row>
    <row r="2085" spans="2:18" x14ac:dyDescent="0.35">
      <c r="B2085" s="9">
        <v>865</v>
      </c>
      <c r="C2085" s="9" t="str">
        <v>출고재고</v>
      </c>
      <c r="D2085" s="9" t="str">
        <v/>
      </c>
      <c r="E2085" s="9" t="str">
        <v/>
      </c>
      <c r="F2085" s="9" t="str">
        <v/>
      </c>
      <c r="G2085" s="9" t="str">
        <v/>
      </c>
      <c r="H2085" s="9" t="str">
        <v>RA-09A-2730</v>
      </c>
      <c r="I2085" s="11" t="str">
        <v>RA-09A-2730]ASM COMPONENT SUB-2</v>
      </c>
      <c r="J2085" s="9">
        <v>3</v>
      </c>
      <c r="K2085" s="9" t="str">
        <v/>
      </c>
      <c r="L2085" s="9" t="str">
        <v>T</v>
      </c>
      <c r="M2085" s="12">
        <v>46275</v>
      </c>
      <c r="N2085" s="5" t="str">
        <v/>
      </c>
      <c r="O2085" s="5">
        <v>99029</v>
      </c>
      <c r="P2085" s="5">
        <v>3</v>
      </c>
      <c r="Q2085" s="14">
        <v>46283</v>
      </c>
      <c r="R2085" s="15">
        <v>0</v>
      </c>
    </row>
    <row r="2086" spans="2:18" x14ac:dyDescent="0.35">
      <c r="B2086" s="9">
        <v>861</v>
      </c>
      <c r="C2086" s="9" t="str">
        <v>출고재고</v>
      </c>
      <c r="D2086" s="9" t="str">
        <v/>
      </c>
      <c r="E2086" s="9" t="str">
        <v/>
      </c>
      <c r="F2086" s="9" t="str">
        <v/>
      </c>
      <c r="G2086" s="9" t="str">
        <v/>
      </c>
      <c r="H2086" s="9" t="str">
        <v>RA-03V-0055</v>
      </c>
      <c r="I2086" s="11" t="str">
        <v>RA-03V-0055]HLDR CAS CLMN BODY LWR 2</v>
      </c>
      <c r="J2086" s="9">
        <v>8</v>
      </c>
      <c r="K2086" s="9" t="str">
        <v/>
      </c>
      <c r="L2086" s="9" t="str">
        <v>L1-2</v>
      </c>
      <c r="M2086" s="12">
        <v>46275</v>
      </c>
      <c r="N2086" s="5" t="str">
        <v/>
      </c>
      <c r="O2086" s="5">
        <v>99029</v>
      </c>
      <c r="P2086" s="5">
        <v>8</v>
      </c>
      <c r="Q2086" s="14">
        <v>46283</v>
      </c>
      <c r="R2086" s="15">
        <v>0</v>
      </c>
    </row>
    <row r="2087" spans="2:18" x14ac:dyDescent="0.35">
      <c r="B2087" s="9">
        <v>863</v>
      </c>
      <c r="C2087" s="9" t="str">
        <v>출고재고</v>
      </c>
      <c r="D2087" s="9" t="str">
        <v/>
      </c>
      <c r="E2087" s="9" t="str">
        <v/>
      </c>
      <c r="F2087" s="9" t="str">
        <v/>
      </c>
      <c r="G2087" s="9" t="str">
        <v/>
      </c>
      <c r="H2087" s="9" t="str">
        <v>RA-09A-0345</v>
      </c>
      <c r="I2087" s="11" t="str">
        <v>RA-09A-0345]ASM REMOTE CONTROL</v>
      </c>
      <c r="J2087" s="9">
        <v>33</v>
      </c>
      <c r="K2087" s="9" t="str">
        <v/>
      </c>
      <c r="L2087" s="9" t="str">
        <v>L1-1</v>
      </c>
      <c r="M2087" s="12">
        <v>46275</v>
      </c>
      <c r="N2087" s="5" t="str">
        <v/>
      </c>
      <c r="O2087" s="5">
        <v>99029</v>
      </c>
      <c r="P2087" s="5">
        <v>10</v>
      </c>
      <c r="Q2087" s="14">
        <v>46283</v>
      </c>
      <c r="R2087" s="15">
        <v>23</v>
      </c>
    </row>
    <row r="2088" spans="2:18" x14ac:dyDescent="0.35">
      <c r="B2088" s="9">
        <v>860</v>
      </c>
      <c r="C2088" s="9" t="str">
        <v>출고재고</v>
      </c>
      <c r="D2088" s="9" t="str">
        <v/>
      </c>
      <c r="E2088" s="9" t="str">
        <v/>
      </c>
      <c r="F2088" s="9" t="str">
        <v/>
      </c>
      <c r="G2088" s="9" t="str">
        <v/>
      </c>
      <c r="H2088" s="9" t="str">
        <v>RA-03V-0054</v>
      </c>
      <c r="I2088" s="11" t="str">
        <v>RA-03V-0054]HLDR CAS CLMN BODY LWR 1</v>
      </c>
      <c r="J2088" s="9">
        <v>55</v>
      </c>
      <c r="K2088" s="9" t="str">
        <v/>
      </c>
      <c r="L2088" s="9" t="str">
        <v>L1-2</v>
      </c>
      <c r="M2088" s="12">
        <v>46275</v>
      </c>
      <c r="N2088" s="5" t="str">
        <v/>
      </c>
      <c r="O2088" s="5">
        <v>99029</v>
      </c>
      <c r="P2088" s="5">
        <v>10</v>
      </c>
      <c r="Q2088" s="14">
        <v>46283</v>
      </c>
      <c r="R2088" s="15">
        <v>45</v>
      </c>
    </row>
    <row r="2089" spans="2:18" x14ac:dyDescent="0.35">
      <c r="B2089" s="9">
        <v>1158</v>
      </c>
      <c r="C2089" s="9" t="str">
        <v>출고재고</v>
      </c>
      <c r="D2089" s="9" t="str">
        <v/>
      </c>
      <c r="E2089" s="9" t="str">
        <v/>
      </c>
      <c r="F2089" s="9" t="str">
        <v/>
      </c>
      <c r="G2089" s="9" t="str">
        <v/>
      </c>
      <c r="H2089" s="9" t="str">
        <v>RA-04A-2296</v>
      </c>
      <c r="I2089" s="11" t="str">
        <v>RA-04A-2296]ASM HANDLE (A+)</v>
      </c>
      <c r="J2089" s="9">
        <v>61</v>
      </c>
      <c r="K2089" s="9" t="str">
        <v/>
      </c>
      <c r="L2089" s="9" t="str">
        <v>M1</v>
      </c>
      <c r="M2089" s="12">
        <v>46281</v>
      </c>
      <c r="N2089" s="5" t="str">
        <v/>
      </c>
      <c r="O2089" s="5">
        <v>99029</v>
      </c>
      <c r="P2089" s="5">
        <v>10</v>
      </c>
      <c r="Q2089" s="14">
        <v>46283</v>
      </c>
      <c r="R2089" s="15">
        <v>51</v>
      </c>
    </row>
    <row r="2090" spans="2:18" x14ac:dyDescent="0.35">
      <c r="B2090" s="9">
        <v>1380</v>
      </c>
      <c r="C2090" s="9" t="str">
        <v>출고재고</v>
      </c>
      <c r="D2090" s="9" t="str">
        <v/>
      </c>
      <c r="E2090" s="9" t="str">
        <v>입고</v>
      </c>
      <c r="F2090" s="9" t="str">
        <v>MTS</v>
      </c>
      <c r="G2090" s="9" t="str">
        <v>유영국</v>
      </c>
      <c r="H2090" s="9" t="str">
        <v>RA-03V-0055</v>
      </c>
      <c r="I2090" s="11" t="str">
        <v>RA-03V-0055]HLDR CAS CLMN BODY LWR 2</v>
      </c>
      <c r="J2090" s="9">
        <v>100</v>
      </c>
      <c r="K2090" s="9" t="str">
        <v/>
      </c>
      <c r="L2090" s="9" t="str">
        <v>L1-2</v>
      </c>
      <c r="M2090" s="12">
        <v>46280</v>
      </c>
      <c r="N2090" s="5" t="str">
        <v/>
      </c>
      <c r="O2090" s="5">
        <v>99029</v>
      </c>
      <c r="P2090" s="5">
        <v>2</v>
      </c>
      <c r="Q2090" s="14">
        <v>46283</v>
      </c>
      <c r="R2090" s="15">
        <v>98</v>
      </c>
    </row>
    <row r="2091" spans="2:18" x14ac:dyDescent="0.35">
      <c r="B2091" s="9">
        <v>857</v>
      </c>
      <c r="C2091" s="9" t="str">
        <v>출고재고</v>
      </c>
      <c r="D2091" s="9" t="str">
        <v/>
      </c>
      <c r="E2091" s="9" t="str">
        <v/>
      </c>
      <c r="F2091" s="9" t="str">
        <v/>
      </c>
      <c r="G2091" s="9" t="str">
        <v/>
      </c>
      <c r="H2091" s="9" t="str">
        <v>RA-03A-0314</v>
      </c>
      <c r="I2091" s="11" t="str">
        <v>RA-03A-0314]ASM CAS CLMN LWR (R)</v>
      </c>
      <c r="J2091" s="9">
        <v>117</v>
      </c>
      <c r="K2091" s="9" t="str">
        <v/>
      </c>
      <c r="L2091" s="9" t="str">
        <v>V</v>
      </c>
      <c r="M2091" s="12">
        <v>46275</v>
      </c>
      <c r="N2091" s="5" t="str">
        <v/>
      </c>
      <c r="O2091" s="5">
        <v>99029</v>
      </c>
      <c r="P2091" s="5">
        <v>10</v>
      </c>
      <c r="Q2091" s="14">
        <v>46283</v>
      </c>
      <c r="R2091" s="15">
        <v>107</v>
      </c>
    </row>
    <row r="2092" spans="2:18" x14ac:dyDescent="0.35">
      <c r="B2092" s="9">
        <v>864</v>
      </c>
      <c r="C2092" s="9" t="str">
        <v>출고재고</v>
      </c>
      <c r="D2092" s="9" t="str">
        <v/>
      </c>
      <c r="E2092" s="9" t="str">
        <v/>
      </c>
      <c r="F2092" s="9" t="str">
        <v/>
      </c>
      <c r="G2092" s="9" t="str">
        <v/>
      </c>
      <c r="H2092" s="9" t="str">
        <v>RA-09A-0967</v>
      </c>
      <c r="I2092" s="11" t="str">
        <v>RA-09A-0967]ASM EXPOSURE SW</v>
      </c>
      <c r="J2092" s="9">
        <v>120</v>
      </c>
      <c r="K2092" s="9" t="str">
        <v/>
      </c>
      <c r="L2092" s="9" t="str">
        <v>J1-3</v>
      </c>
      <c r="M2092" s="12">
        <v>46275</v>
      </c>
      <c r="N2092" s="5" t="str">
        <v/>
      </c>
      <c r="O2092" s="5">
        <v>99029</v>
      </c>
      <c r="P2092" s="5">
        <v>10</v>
      </c>
      <c r="Q2092" s="14">
        <v>46283</v>
      </c>
      <c r="R2092" s="15">
        <v>110</v>
      </c>
    </row>
    <row r="2093" spans="2:18" x14ac:dyDescent="0.35">
      <c r="B2093" s="9">
        <v>866</v>
      </c>
      <c r="C2093" s="9" t="str">
        <v>출고재고</v>
      </c>
      <c r="D2093" s="9" t="str">
        <v/>
      </c>
      <c r="E2093" s="9" t="str">
        <v/>
      </c>
      <c r="F2093" s="9" t="str">
        <v/>
      </c>
      <c r="G2093" s="9" t="str">
        <v/>
      </c>
      <c r="H2093" s="9" t="str">
        <v>RA-09M-1133</v>
      </c>
      <c r="I2093" s="11" t="str">
        <v>RA-09M-1133]PIN GUIDE BITE</v>
      </c>
      <c r="J2093" s="9">
        <v>120</v>
      </c>
      <c r="K2093" s="9" t="str">
        <v/>
      </c>
      <c r="L2093" s="9" t="str">
        <v>L1-1</v>
      </c>
      <c r="M2093" s="12">
        <v>46275</v>
      </c>
      <c r="N2093" s="5" t="str">
        <v/>
      </c>
      <c r="O2093" s="5">
        <v>99029</v>
      </c>
      <c r="P2093" s="5">
        <v>20</v>
      </c>
      <c r="Q2093" s="14">
        <v>46283</v>
      </c>
      <c r="R2093" s="15">
        <v>100</v>
      </c>
    </row>
    <row r="2094" spans="2:18" x14ac:dyDescent="0.35">
      <c r="B2094" s="9">
        <v>1007</v>
      </c>
      <c r="C2094" s="9" t="str">
        <v>출고재고</v>
      </c>
      <c r="D2094" s="9" t="str">
        <v/>
      </c>
      <c r="E2094" s="9" t="str">
        <v>기초</v>
      </c>
      <c r="F2094" s="9" t="str">
        <v/>
      </c>
      <c r="G2094" s="9" t="str">
        <v/>
      </c>
      <c r="H2094" s="9" t="str">
        <v>RA-09A-2729</v>
      </c>
      <c r="I2094" s="11" t="str">
        <v>RA-09A-2729]ASM COMPONENT SUB-1</v>
      </c>
      <c r="J2094" s="9">
        <v>125</v>
      </c>
      <c r="K2094" s="9" t="str">
        <v/>
      </c>
      <c r="L2094" s="9" t="str">
        <v>T</v>
      </c>
      <c r="M2094" s="12">
        <v>46276</v>
      </c>
      <c r="N2094" s="5" t="str">
        <v/>
      </c>
      <c r="O2094" s="5">
        <v>99029</v>
      </c>
      <c r="P2094" s="5">
        <v>10</v>
      </c>
      <c r="Q2094" s="14">
        <v>46283</v>
      </c>
      <c r="R2094" s="15">
        <v>115</v>
      </c>
    </row>
    <row r="2095" spans="2:18" x14ac:dyDescent="0.35">
      <c r="B2095" s="9">
        <v>881</v>
      </c>
      <c r="C2095" s="9" t="str">
        <v>출고재고</v>
      </c>
      <c r="D2095" s="9" t="str">
        <v/>
      </c>
      <c r="E2095" s="9" t="str">
        <v/>
      </c>
      <c r="F2095" s="9" t="str">
        <v/>
      </c>
      <c r="G2095" s="9" t="str">
        <v/>
      </c>
      <c r="H2095" s="9" t="str">
        <v>RA-09A-2730</v>
      </c>
      <c r="I2095" s="11" t="str">
        <v>RA-09A-2730]ASM COMPONENT SUB-2</v>
      </c>
      <c r="J2095" s="9">
        <v>200</v>
      </c>
      <c r="K2095" s="9" t="str">
        <v/>
      </c>
      <c r="L2095" s="9" t="str">
        <v>T</v>
      </c>
      <c r="M2095" s="12">
        <v>46273</v>
      </c>
      <c r="N2095" s="5" t="str">
        <v/>
      </c>
      <c r="O2095" s="5">
        <v>99029</v>
      </c>
      <c r="P2095" s="5">
        <v>7</v>
      </c>
      <c r="Q2095" s="14">
        <v>46283</v>
      </c>
      <c r="R2095" s="15">
        <v>193</v>
      </c>
    </row>
    <row r="2096" spans="2:18" x14ac:dyDescent="0.35">
      <c r="B2096" s="9">
        <v>858</v>
      </c>
      <c r="C2096" s="9" t="str">
        <v>출고재고</v>
      </c>
      <c r="D2096" s="9" t="str">
        <v/>
      </c>
      <c r="E2096" s="9" t="str">
        <v/>
      </c>
      <c r="F2096" s="9" t="str">
        <v/>
      </c>
      <c r="G2096" s="9" t="str">
        <v/>
      </c>
      <c r="H2096" s="9" t="str">
        <v>RA-03A-0315</v>
      </c>
      <c r="I2096" s="11" t="str">
        <v>RA-03A-0315]ASM CAS CLMN LWR (L)</v>
      </c>
      <c r="J2096" s="9">
        <v>229</v>
      </c>
      <c r="K2096" s="9" t="str">
        <v/>
      </c>
      <c r="L2096" s="9" t="str">
        <v>V</v>
      </c>
      <c r="M2096" s="12">
        <v>46275</v>
      </c>
      <c r="N2096" s="5" t="str">
        <v/>
      </c>
      <c r="O2096" s="5">
        <v>99029</v>
      </c>
      <c r="P2096" s="5">
        <v>10</v>
      </c>
      <c r="Q2096" s="14">
        <v>46283</v>
      </c>
      <c r="R2096" s="15">
        <v>219</v>
      </c>
    </row>
    <row r="2097" spans="2:18" x14ac:dyDescent="0.35">
      <c r="B2097" s="9">
        <v>870</v>
      </c>
      <c r="C2097" s="9" t="str">
        <v>출고재고</v>
      </c>
      <c r="D2097" s="9" t="str">
        <v/>
      </c>
      <c r="E2097" s="9" t="str">
        <v/>
      </c>
      <c r="F2097" s="9" t="str">
        <v/>
      </c>
      <c r="G2097" s="9" t="str">
        <v/>
      </c>
      <c r="H2097" s="9" t="str">
        <v>RA-5-7</v>
      </c>
      <c r="I2097" s="11" t="str">
        <v>RA-5-7]EARTH SHAFT TO WALL</v>
      </c>
      <c r="J2097" s="9">
        <v>230</v>
      </c>
      <c r="K2097" s="9" t="str">
        <v/>
      </c>
      <c r="L2097" s="9" t="str">
        <v>G4</v>
      </c>
      <c r="M2097" s="12">
        <v>46275</v>
      </c>
      <c r="N2097" s="5" t="str">
        <v/>
      </c>
      <c r="O2097" s="5">
        <v>99029</v>
      </c>
      <c r="P2097" s="5">
        <v>10</v>
      </c>
      <c r="Q2097" s="14">
        <v>46283</v>
      </c>
      <c r="R2097" s="15">
        <v>220</v>
      </c>
    </row>
    <row r="2098" spans="2:18" x14ac:dyDescent="0.35">
      <c r="B2098" s="9">
        <v>555</v>
      </c>
      <c r="C2098" s="9" t="str">
        <v>출고재고</v>
      </c>
      <c r="D2098" s="9" t="str">
        <v/>
      </c>
      <c r="E2098" s="9" t="str">
        <v>기초</v>
      </c>
      <c r="F2098" s="9" t="str">
        <v/>
      </c>
      <c r="G2098" s="9" t="str">
        <v/>
      </c>
      <c r="H2098" s="9" t="str">
        <v>RA-09M-1134</v>
      </c>
      <c r="I2098" s="11" t="str">
        <v>RA-09M-1134]BLK GUIDE BITE</v>
      </c>
      <c r="J2098" s="9">
        <v>239</v>
      </c>
      <c r="K2098" s="9" t="str">
        <v/>
      </c>
      <c r="L2098" s="9" t="str">
        <v>L1-1</v>
      </c>
      <c r="M2098" s="12">
        <v>46276</v>
      </c>
      <c r="N2098" s="5" t="str">
        <v/>
      </c>
      <c r="O2098" s="5">
        <v>99029</v>
      </c>
      <c r="P2098" s="5">
        <v>10</v>
      </c>
      <c r="Q2098" s="14">
        <v>46283</v>
      </c>
      <c r="R2098" s="15">
        <v>229</v>
      </c>
    </row>
    <row r="2099" spans="2:18" x14ac:dyDescent="0.35">
      <c r="B2099" s="9">
        <v>869</v>
      </c>
      <c r="C2099" s="9" t="str">
        <v>출고재고</v>
      </c>
      <c r="D2099" s="9" t="str">
        <v/>
      </c>
      <c r="E2099" s="9" t="str">
        <v/>
      </c>
      <c r="F2099" s="9" t="str">
        <v/>
      </c>
      <c r="G2099" s="9" t="str">
        <v/>
      </c>
      <c r="H2099" s="9" t="str">
        <v>RA-5-6</v>
      </c>
      <c r="I2099" s="11" t="str">
        <v>RA-5-6]EARTH SHAFT TO PC</v>
      </c>
      <c r="J2099" s="9">
        <v>239</v>
      </c>
      <c r="K2099" s="9" t="str">
        <v/>
      </c>
      <c r="L2099" s="9" t="str">
        <v>G4</v>
      </c>
      <c r="M2099" s="12">
        <v>46275</v>
      </c>
      <c r="N2099" s="5" t="str">
        <v/>
      </c>
      <c r="O2099" s="5">
        <v>99029</v>
      </c>
      <c r="P2099" s="5">
        <v>10</v>
      </c>
      <c r="Q2099" s="14">
        <v>46283</v>
      </c>
      <c r="R2099" s="15">
        <v>229</v>
      </c>
    </row>
    <row r="2100" spans="2:18" x14ac:dyDescent="0.35">
      <c r="B2100" s="9">
        <v>1043</v>
      </c>
      <c r="C2100" s="9" t="str">
        <v>출고재고</v>
      </c>
      <c r="D2100" s="9" t="str">
        <v/>
      </c>
      <c r="E2100" s="9" t="str">
        <v>기초</v>
      </c>
      <c r="F2100" s="9" t="str">
        <v/>
      </c>
      <c r="G2100" s="9" t="str">
        <v/>
      </c>
      <c r="H2100" s="9" t="str">
        <v>RA-09T-0344</v>
      </c>
      <c r="I2100" s="11" t="str">
        <v>RA-09T-0344]KNOB CEPH ADJUST</v>
      </c>
      <c r="J2100" s="9">
        <v>252</v>
      </c>
      <c r="K2100" s="9" t="str">
        <v/>
      </c>
      <c r="L2100" s="9" t="str">
        <v>R</v>
      </c>
      <c r="M2100" s="12">
        <v>46276</v>
      </c>
      <c r="N2100" s="5" t="str">
        <v/>
      </c>
      <c r="O2100" s="5">
        <v>99029</v>
      </c>
      <c r="P2100" s="5">
        <v>20</v>
      </c>
      <c r="Q2100" s="14">
        <v>46283</v>
      </c>
      <c r="R2100" s="15">
        <v>232</v>
      </c>
    </row>
    <row r="2101" spans="2:18" x14ac:dyDescent="0.35">
      <c r="B2101" s="9">
        <v>1379</v>
      </c>
      <c r="C2101" s="9" t="str">
        <v>출고재고</v>
      </c>
      <c r="D2101" s="9" t="str">
        <v/>
      </c>
      <c r="E2101" s="9" t="str">
        <v/>
      </c>
      <c r="F2101" s="9" t="str">
        <v/>
      </c>
      <c r="G2101" s="9" t="str">
        <v/>
      </c>
      <c r="H2101" s="9" t="str">
        <v>RA-04T-1707</v>
      </c>
      <c r="I2101" s="11" t="str">
        <v>RA-04T-1707]CAS MONITOR DECO</v>
      </c>
      <c r="J2101" s="9">
        <v>330</v>
      </c>
      <c r="K2101" s="9" t="str">
        <v/>
      </c>
      <c r="L2101" s="9" t="str">
        <v>R</v>
      </c>
      <c r="M2101" s="12">
        <v>46281</v>
      </c>
      <c r="N2101" s="5" t="str">
        <v/>
      </c>
      <c r="O2101" s="5">
        <v>99029</v>
      </c>
      <c r="P2101" s="5">
        <v>10</v>
      </c>
      <c r="Q2101" s="14">
        <v>46283</v>
      </c>
      <c r="R2101" s="15">
        <v>320</v>
      </c>
    </row>
    <row r="2102" spans="2:18" x14ac:dyDescent="0.35">
      <c r="B2102" s="9">
        <v>855</v>
      </c>
      <c r="C2102" s="9" t="str">
        <v>출고재고</v>
      </c>
      <c r="D2102" s="9" t="str">
        <v/>
      </c>
      <c r="E2102" s="9" t="str">
        <v/>
      </c>
      <c r="F2102" s="9" t="str">
        <v/>
      </c>
      <c r="G2102" s="9" t="str">
        <v/>
      </c>
      <c r="H2102" s="9" t="str">
        <v>RA-01T-1791</v>
      </c>
      <c r="I2102" s="11" t="str">
        <v>RA-01T-1791]CAS MAIN Bas REAR</v>
      </c>
      <c r="J2102" s="9">
        <v>428</v>
      </c>
      <c r="K2102" s="9" t="str">
        <v/>
      </c>
      <c r="L2102" s="9" t="str">
        <v>V</v>
      </c>
      <c r="M2102" s="12">
        <v>46275</v>
      </c>
      <c r="N2102" s="5" t="str">
        <v/>
      </c>
      <c r="O2102" s="5">
        <v>99029</v>
      </c>
      <c r="P2102" s="5">
        <v>10</v>
      </c>
      <c r="Q2102" s="14">
        <v>46283</v>
      </c>
      <c r="R2102" s="15">
        <v>418</v>
      </c>
    </row>
    <row r="2103" spans="2:18" x14ac:dyDescent="0.35">
      <c r="B2103" s="9">
        <v>868</v>
      </c>
      <c r="C2103" s="9" t="str">
        <v>출고재고</v>
      </c>
      <c r="D2103" s="9" t="str">
        <v/>
      </c>
      <c r="E2103" s="9" t="str">
        <v/>
      </c>
      <c r="F2103" s="9" t="str">
        <v/>
      </c>
      <c r="G2103" s="9" t="str">
        <v/>
      </c>
      <c r="H2103" s="9" t="str">
        <v>RA-09T-1184</v>
      </c>
      <c r="I2103" s="11" t="str">
        <v>RA-09T-1184]CAS CHINREST</v>
      </c>
      <c r="J2103" s="9">
        <v>459</v>
      </c>
      <c r="K2103" s="9" t="str">
        <v/>
      </c>
      <c r="L2103" s="9" t="str">
        <v>S</v>
      </c>
      <c r="M2103" s="12">
        <v>46275</v>
      </c>
      <c r="N2103" s="5" t="str">
        <v/>
      </c>
      <c r="O2103" s="5">
        <v>99029</v>
      </c>
      <c r="P2103" s="5">
        <v>10</v>
      </c>
      <c r="Q2103" s="14">
        <v>46283</v>
      </c>
      <c r="R2103" s="15">
        <v>449</v>
      </c>
    </row>
    <row r="2104" spans="2:18" x14ac:dyDescent="0.35">
      <c r="B2104" s="9">
        <v>859</v>
      </c>
      <c r="C2104" s="9" t="str">
        <v>출고재고</v>
      </c>
      <c r="D2104" s="9" t="str">
        <v/>
      </c>
      <c r="E2104" s="9" t="str">
        <v/>
      </c>
      <c r="F2104" s="9" t="str">
        <v/>
      </c>
      <c r="G2104" s="9" t="str">
        <v/>
      </c>
      <c r="H2104" s="9" t="str">
        <v>RA-03T-0072</v>
      </c>
      <c r="I2104" s="11" t="str">
        <v>RA-03T-0072]CAS CLMN BODY REAR</v>
      </c>
      <c r="J2104" s="9">
        <v>576</v>
      </c>
      <c r="K2104" s="9" t="str">
        <v/>
      </c>
      <c r="L2104" s="9" t="str">
        <v>V</v>
      </c>
      <c r="M2104" s="12">
        <v>46275</v>
      </c>
      <c r="N2104" s="5" t="str">
        <v/>
      </c>
      <c r="O2104" s="5">
        <v>99029</v>
      </c>
      <c r="P2104" s="5">
        <v>10</v>
      </c>
      <c r="Q2104" s="14">
        <v>46283</v>
      </c>
      <c r="R2104" s="15">
        <v>566</v>
      </c>
    </row>
    <row r="2105" spans="2:18" x14ac:dyDescent="0.35">
      <c r="B2105" s="9">
        <v>867</v>
      </c>
      <c r="C2105" s="9" t="str">
        <v>출고재고</v>
      </c>
      <c r="D2105" s="9" t="str">
        <v/>
      </c>
      <c r="E2105" s="9" t="str">
        <v/>
      </c>
      <c r="F2105" s="9" t="str">
        <v/>
      </c>
      <c r="G2105" s="9" t="str">
        <v/>
      </c>
      <c r="H2105" s="9" t="str">
        <v>RA-09T-0733</v>
      </c>
      <c r="I2105" s="11" t="str">
        <v>RA-09T-0733]CAS S.W HLDR</v>
      </c>
      <c r="J2105" s="9">
        <v>697</v>
      </c>
      <c r="K2105" s="9" t="str">
        <v/>
      </c>
      <c r="L2105" s="9" t="str">
        <v>R</v>
      </c>
      <c r="M2105" s="12">
        <v>46275</v>
      </c>
      <c r="N2105" s="5" t="str">
        <v/>
      </c>
      <c r="O2105" s="5">
        <v>99029</v>
      </c>
      <c r="P2105" s="5">
        <v>10</v>
      </c>
      <c r="Q2105" s="14">
        <v>46283</v>
      </c>
      <c r="R2105" s="15">
        <v>687</v>
      </c>
    </row>
    <row r="2106" spans="2:18" x14ac:dyDescent="0.35">
      <c r="B2106" s="9">
        <v>1176</v>
      </c>
      <c r="C2106" s="9" t="str">
        <v>출고재고</v>
      </c>
      <c r="D2106" s="9" t="str">
        <v/>
      </c>
      <c r="E2106" s="9" t="str">
        <v/>
      </c>
      <c r="F2106" s="9" t="str">
        <v/>
      </c>
      <c r="G2106" s="9" t="str">
        <v/>
      </c>
      <c r="H2106" s="9" t="str">
        <v>RA-8-9</v>
      </c>
      <c r="I2106" s="11" t="str">
        <v>RA-8-9]AC POWER CABLE(IEC)</v>
      </c>
      <c r="J2106" s="9">
        <v>470</v>
      </c>
      <c r="K2106" s="9" t="str">
        <v/>
      </c>
      <c r="L2106" s="9" t="str">
        <v>G4</v>
      </c>
      <c r="M2106" s="12">
        <v>46280</v>
      </c>
      <c r="N2106" s="5" t="str">
        <v/>
      </c>
      <c r="O2106" s="5">
        <v>99030</v>
      </c>
      <c r="P2106" s="5">
        <v>40</v>
      </c>
      <c r="Q2106" s="14">
        <v>46281</v>
      </c>
      <c r="R2106" s="15">
        <v>430</v>
      </c>
    </row>
    <row r="2107" spans="2:18" x14ac:dyDescent="0.35">
      <c r="B2107" s="9">
        <v>1078</v>
      </c>
      <c r="C2107" s="9" t="str">
        <v>출고재고</v>
      </c>
      <c r="D2107" s="9" t="str">
        <v/>
      </c>
      <c r="E2107" s="9" t="str">
        <v>기초</v>
      </c>
      <c r="F2107" s="9" t="str">
        <v/>
      </c>
      <c r="G2107" s="9" t="str">
        <v/>
      </c>
      <c r="H2107" s="9" t="str">
        <v>RA-02V-2286</v>
      </c>
      <c r="I2107" s="11" t="str">
        <v>RA-02V-2286]BRK ROTATION FIX AXIS (A+)</v>
      </c>
      <c r="J2107" s="9">
        <v>484</v>
      </c>
      <c r="K2107" s="9" t="str">
        <v/>
      </c>
      <c r="L2107" s="9" t="str">
        <v>L1-3</v>
      </c>
      <c r="M2107" s="12">
        <v>46276</v>
      </c>
      <c r="N2107" s="5" t="str">
        <v/>
      </c>
      <c r="O2107" s="5">
        <v>99031</v>
      </c>
      <c r="P2107" s="5">
        <v>30</v>
      </c>
      <c r="Q2107" s="14">
        <v>46281</v>
      </c>
      <c r="R2107" s="15">
        <v>454</v>
      </c>
    </row>
    <row r="2108" spans="2:18" x14ac:dyDescent="0.35">
      <c r="B2108" s="9">
        <v>981</v>
      </c>
      <c r="C2108" s="9" t="str">
        <v>출고재고</v>
      </c>
      <c r="D2108" s="9" t="str">
        <v/>
      </c>
      <c r="E2108" s="9" t="str">
        <v>기초</v>
      </c>
      <c r="F2108" s="9" t="str">
        <v/>
      </c>
      <c r="G2108" s="9" t="str">
        <v/>
      </c>
      <c r="H2108" s="9" t="str">
        <v>RA-06M-3187</v>
      </c>
      <c r="I2108" s="11" t="str">
        <v>RA-06M-3187]BLK COL FIX LWR A (ST)</v>
      </c>
      <c r="J2108" s="9">
        <v>73</v>
      </c>
      <c r="K2108" s="9" t="str">
        <v/>
      </c>
      <c r="L2108" s="9" t="str">
        <v>N2-2</v>
      </c>
      <c r="M2108" s="12">
        <v>46276</v>
      </c>
      <c r="N2108" s="5" t="str">
        <v/>
      </c>
      <c r="O2108" s="5">
        <v>99038</v>
      </c>
      <c r="P2108" s="5">
        <v>6</v>
      </c>
      <c r="Q2108" s="14">
        <v>46283</v>
      </c>
      <c r="R2108" s="15">
        <v>67</v>
      </c>
    </row>
    <row r="2109" spans="2:18" x14ac:dyDescent="0.35">
      <c r="B2109" s="9">
        <v>1853</v>
      </c>
      <c r="C2109" s="9" t="str">
        <v>출고재고</v>
      </c>
      <c r="D2109" s="9" t="str">
        <v/>
      </c>
      <c r="E2109" s="9" t="str">
        <v/>
      </c>
      <c r="F2109" s="9" t="str">
        <v/>
      </c>
      <c r="G2109" s="9" t="str">
        <v/>
      </c>
      <c r="H2109" s="9" t="str">
        <v>RA-10-4</v>
      </c>
      <c r="I2109" s="11" t="str">
        <v>RA-10-4]FAN ASS'Y</v>
      </c>
      <c r="J2109" s="9">
        <v>553</v>
      </c>
      <c r="K2109" s="9" t="str">
        <v/>
      </c>
      <c r="L2109" s="9" t="str">
        <v>G4</v>
      </c>
      <c r="M2109" s="12">
        <v>46295</v>
      </c>
      <c r="N2109" s="5" t="str">
        <v/>
      </c>
      <c r="O2109" s="5">
        <v>99038</v>
      </c>
      <c r="P2109" s="5">
        <v>13</v>
      </c>
      <c r="Q2109" s="14">
        <v>46283</v>
      </c>
      <c r="R2109" s="15">
        <v>540</v>
      </c>
    </row>
    <row r="2110" spans="2:18" x14ac:dyDescent="0.35">
      <c r="B2110" s="9">
        <v>1855</v>
      </c>
      <c r="C2110" s="9" t="str">
        <v>출고재고</v>
      </c>
      <c r="D2110" s="9" t="str">
        <v/>
      </c>
      <c r="E2110" s="9" t="str">
        <v/>
      </c>
      <c r="F2110" s="9" t="str">
        <v/>
      </c>
      <c r="G2110" s="9" t="str">
        <v/>
      </c>
      <c r="H2110" s="9" t="str">
        <v>RA-06T-0296</v>
      </c>
      <c r="I2110" s="11" t="str">
        <v>RA-06T-0296]CAS TUBE TNK FAN</v>
      </c>
      <c r="J2110" s="9">
        <v>910</v>
      </c>
      <c r="K2110" s="9" t="str">
        <v/>
      </c>
      <c r="L2110" s="9" t="str">
        <v>S</v>
      </c>
      <c r="M2110" s="12">
        <v>46295</v>
      </c>
      <c r="N2110" s="5" t="str">
        <v/>
      </c>
      <c r="O2110" s="5">
        <v>99038</v>
      </c>
      <c r="P2110" s="5">
        <v>13</v>
      </c>
      <c r="Q2110" s="14">
        <v>46283</v>
      </c>
      <c r="R2110" s="15">
        <v>897</v>
      </c>
    </row>
    <row r="2111" spans="2:18" x14ac:dyDescent="0.35">
      <c r="B2111" s="9">
        <v>1692</v>
      </c>
      <c r="C2111" s="9" t="str">
        <v>출고재고</v>
      </c>
      <c r="D2111" s="9" t="str">
        <v/>
      </c>
      <c r="E2111" s="9" t="str">
        <v/>
      </c>
      <c r="F2111" s="9" t="str">
        <v/>
      </c>
      <c r="G2111" s="9" t="str">
        <v/>
      </c>
      <c r="H2111" s="9" t="str">
        <v>RA-05A-2721</v>
      </c>
      <c r="I2111" s="11" t="str">
        <v>ASM ROTATOR</v>
      </c>
      <c r="J2111" s="9">
        <v>48</v>
      </c>
      <c r="K2111" s="9" t="str">
        <v/>
      </c>
      <c r="L2111" s="9" t="str">
        <v>T</v>
      </c>
      <c r="M2111" s="12">
        <v>46279</v>
      </c>
      <c r="N2111" s="5" t="str">
        <v/>
      </c>
      <c r="O2111" s="5">
        <v>99039</v>
      </c>
      <c r="P2111" s="5">
        <v>48</v>
      </c>
      <c r="Q2111" s="14">
        <v>46283</v>
      </c>
      <c r="R2111" s="15">
        <v>0</v>
      </c>
    </row>
    <row r="2112" spans="2:18" x14ac:dyDescent="0.35">
      <c r="B2112" s="9">
        <v>1924</v>
      </c>
      <c r="C2112" s="9" t="str">
        <v>출고재고</v>
      </c>
      <c r="D2112" s="9" t="str">
        <v/>
      </c>
      <c r="E2112" s="9" t="str">
        <v/>
      </c>
      <c r="F2112" s="9" t="str">
        <v/>
      </c>
      <c r="G2112" s="9" t="str">
        <v/>
      </c>
      <c r="H2112" s="9" t="str">
        <v>RA-06M-0432</v>
      </c>
      <c r="I2112" s="11" t="str">
        <v>RA-06M-0432]FLANGE TUBE TILT SHAFT B</v>
      </c>
      <c r="J2112" s="9">
        <v>329</v>
      </c>
      <c r="K2112" s="9" t="str">
        <v/>
      </c>
      <c r="L2112" s="9" t="str">
        <v>H4-1</v>
      </c>
      <c r="M2112" s="12">
        <v>46295</v>
      </c>
      <c r="N2112" s="5" t="str">
        <v/>
      </c>
      <c r="O2112" s="5">
        <v>100547</v>
      </c>
      <c r="P2112" s="5">
        <v>50</v>
      </c>
      <c r="Q2112" s="14">
        <v>46286</v>
      </c>
      <c r="R2112" s="15">
        <v>279</v>
      </c>
    </row>
    <row r="2113" spans="2:18" x14ac:dyDescent="0.35">
      <c r="B2113" s="9">
        <v>2110</v>
      </c>
      <c r="C2113" s="9" t="str">
        <v>출고재고</v>
      </c>
      <c r="D2113" s="9" t="str">
        <v/>
      </c>
      <c r="E2113" s="9" t="str">
        <v/>
      </c>
      <c r="F2113" s="9" t="str">
        <v/>
      </c>
      <c r="G2113" s="9" t="str">
        <v/>
      </c>
      <c r="H2113" s="9" t="str">
        <v>RA-06S-5091</v>
      </c>
      <c r="I2113" s="11" t="str">
        <v>RA-06S-5091] DC motor(HDSG56-3448C-615)</v>
      </c>
      <c r="J2113" s="9">
        <v>350</v>
      </c>
      <c r="K2113" s="9" t="str">
        <v/>
      </c>
      <c r="L2113" s="9" t="str">
        <v>Q</v>
      </c>
      <c r="M2113" s="12">
        <v>46286</v>
      </c>
      <c r="N2113" s="5" t="str">
        <v/>
      </c>
      <c r="O2113" s="5">
        <v>100547</v>
      </c>
      <c r="P2113" s="5">
        <v>6</v>
      </c>
      <c r="Q2113" s="14">
        <v>46286</v>
      </c>
      <c r="R2113" s="15">
        <v>344</v>
      </c>
    </row>
    <row r="2114" spans="2:18" x14ac:dyDescent="0.35">
      <c r="B2114" s="9">
        <v>1926</v>
      </c>
      <c r="C2114" s="9" t="str">
        <v>출고재고</v>
      </c>
      <c r="D2114" s="9" t="str">
        <v/>
      </c>
      <c r="E2114" s="9" t="str">
        <v/>
      </c>
      <c r="F2114" s="9" t="str">
        <v/>
      </c>
      <c r="G2114" s="9" t="str">
        <v/>
      </c>
      <c r="H2114" s="9" t="str">
        <v>RA-06S-5018</v>
      </c>
      <c r="I2114" s="11" t="str">
        <v>RA-06S-5018]MICRO SWITCH</v>
      </c>
      <c r="J2114" s="9">
        <v>360</v>
      </c>
      <c r="K2114" s="9" t="str">
        <v/>
      </c>
      <c r="L2114" s="9" t="str">
        <v>A12-3</v>
      </c>
      <c r="M2114" s="12">
        <v>46295</v>
      </c>
      <c r="N2114" s="5" t="str">
        <v/>
      </c>
      <c r="O2114" s="5">
        <v>100547</v>
      </c>
      <c r="P2114" s="5">
        <v>100</v>
      </c>
      <c r="Q2114" s="14">
        <v>46286</v>
      </c>
      <c r="R2114" s="15">
        <v>260</v>
      </c>
    </row>
    <row r="2115" spans="2:18" x14ac:dyDescent="0.35">
      <c r="B2115" s="9">
        <v>2007</v>
      </c>
      <c r="C2115" s="9" t="str">
        <v>출고재고</v>
      </c>
      <c r="D2115" s="9" t="str">
        <v/>
      </c>
      <c r="E2115" s="9" t="str">
        <v/>
      </c>
      <c r="F2115" s="9" t="str">
        <v/>
      </c>
      <c r="G2115" s="9" t="str">
        <v/>
      </c>
      <c r="H2115" s="9" t="str">
        <v>RA-06S-5091</v>
      </c>
      <c r="I2115" s="11" t="str">
        <v>RA-06S-5091] DC motor(HDSG56-3448C-615)</v>
      </c>
      <c r="J2115" s="9">
        <v>365</v>
      </c>
      <c r="K2115" s="9" t="str">
        <v/>
      </c>
      <c r="L2115" s="9" t="str">
        <v>Q</v>
      </c>
      <c r="M2115" s="12">
        <v>46294</v>
      </c>
      <c r="N2115" s="5" t="str">
        <v/>
      </c>
      <c r="O2115" s="5">
        <v>100547</v>
      </c>
      <c r="P2115" s="5">
        <v>15</v>
      </c>
      <c r="Q2115" s="14">
        <v>46286</v>
      </c>
      <c r="R2115" s="15">
        <v>350</v>
      </c>
    </row>
    <row r="2116" spans="2:18" x14ac:dyDescent="0.35">
      <c r="B2116" s="9">
        <v>2109</v>
      </c>
      <c r="C2116" s="9" t="str">
        <v>출고재고</v>
      </c>
      <c r="D2116" s="9" t="str">
        <v/>
      </c>
      <c r="E2116" s="9" t="str">
        <v/>
      </c>
      <c r="F2116" s="9" t="str">
        <v/>
      </c>
      <c r="G2116" s="9" t="str">
        <v/>
      </c>
      <c r="H2116" s="9" t="str">
        <v>RA-06V-0242</v>
      </c>
      <c r="I2116" s="11" t="str">
        <v>RA-06V-0242]BRK TUBE TILT MICRO SW</v>
      </c>
      <c r="J2116" s="9">
        <v>387</v>
      </c>
      <c r="K2116" s="9" t="str">
        <v/>
      </c>
      <c r="L2116" s="9" t="str">
        <v>H3-3</v>
      </c>
      <c r="M2116" s="12">
        <v>46286</v>
      </c>
      <c r="N2116" s="5" t="str">
        <v/>
      </c>
      <c r="O2116" s="5">
        <v>100547</v>
      </c>
      <c r="P2116" s="5">
        <v>50</v>
      </c>
      <c r="Q2116" s="14">
        <v>46286</v>
      </c>
      <c r="R2116" s="15">
        <v>337</v>
      </c>
    </row>
    <row r="2117" spans="2:18" x14ac:dyDescent="0.35">
      <c r="B2117" s="9">
        <v>1927</v>
      </c>
      <c r="C2117" s="9" t="str">
        <v>출고재고</v>
      </c>
      <c r="D2117" s="9" t="str">
        <v/>
      </c>
      <c r="E2117" s="9" t="str">
        <v/>
      </c>
      <c r="F2117" s="9" t="str">
        <v/>
      </c>
      <c r="G2117" s="9" t="str">
        <v/>
      </c>
      <c r="H2117" s="9" t="str">
        <v>RA-06V-0242</v>
      </c>
      <c r="I2117" s="11" t="str">
        <v>RA-06V-0242]BRK TUBE TILT MICRO SW</v>
      </c>
      <c r="J2117" s="9">
        <v>402</v>
      </c>
      <c r="K2117" s="9" t="str">
        <v/>
      </c>
      <c r="L2117" s="9" t="str">
        <v>H3-3</v>
      </c>
      <c r="M2117" s="12">
        <v>46295</v>
      </c>
      <c r="N2117" s="5" t="str">
        <v/>
      </c>
      <c r="O2117" s="5">
        <v>100547</v>
      </c>
      <c r="P2117" s="5">
        <v>15</v>
      </c>
      <c r="Q2117" s="14">
        <v>46286</v>
      </c>
      <c r="R2117" s="15">
        <v>387</v>
      </c>
    </row>
    <row r="2118" spans="2:18" x14ac:dyDescent="0.35">
      <c r="B2118" s="9">
        <v>1928</v>
      </c>
      <c r="C2118" s="9" t="str">
        <v>출고재고</v>
      </c>
      <c r="D2118" s="9" t="str">
        <v/>
      </c>
      <c r="E2118" s="9" t="str">
        <v/>
      </c>
      <c r="F2118" s="9" t="str">
        <v/>
      </c>
      <c r="G2118" s="9" t="str">
        <v/>
      </c>
      <c r="H2118" s="9" t="str">
        <v>RA-06S-5091</v>
      </c>
      <c r="I2118" s="11" t="str">
        <v>RA-06S-5091] DC motor(HDSG56-3448C-615)</v>
      </c>
      <c r="J2118" s="9">
        <v>409</v>
      </c>
      <c r="K2118" s="9" t="str">
        <v/>
      </c>
      <c r="L2118" s="9" t="str">
        <v>Q</v>
      </c>
      <c r="M2118" s="12">
        <v>46295</v>
      </c>
      <c r="N2118" s="5" t="str">
        <v/>
      </c>
      <c r="O2118" s="5">
        <v>100547</v>
      </c>
      <c r="P2118" s="5">
        <v>44</v>
      </c>
      <c r="Q2118" s="14">
        <v>46294</v>
      </c>
      <c r="R2118" s="15">
        <v>365</v>
      </c>
    </row>
    <row r="2119" spans="2:18" x14ac:dyDescent="0.35">
      <c r="B2119" s="9">
        <v>1929</v>
      </c>
      <c r="C2119" s="9" t="str">
        <v>출고재고</v>
      </c>
      <c r="D2119" s="9" t="str">
        <v/>
      </c>
      <c r="E2119" s="9" t="str">
        <v/>
      </c>
      <c r="F2119" s="9" t="str">
        <v/>
      </c>
      <c r="G2119" s="9" t="str">
        <v/>
      </c>
      <c r="H2119" s="9" t="str">
        <v>RA-06V-3253</v>
      </c>
      <c r="I2119" s="11" t="str">
        <v>RA-06V-3253]HLDR DC GEARED MOT (M+)</v>
      </c>
      <c r="J2119" s="9">
        <v>439</v>
      </c>
      <c r="K2119" s="9" t="str">
        <v/>
      </c>
      <c r="L2119" s="9" t="str">
        <v>I2-1</v>
      </c>
      <c r="M2119" s="12">
        <v>46295</v>
      </c>
      <c r="N2119" s="5" t="str">
        <v/>
      </c>
      <c r="O2119" s="5">
        <v>100547</v>
      </c>
      <c r="P2119" s="5">
        <v>50</v>
      </c>
      <c r="Q2119" s="14">
        <v>46286</v>
      </c>
      <c r="R2119" s="15">
        <v>389</v>
      </c>
    </row>
    <row r="2120" spans="2:18" x14ac:dyDescent="0.35">
      <c r="B2120" s="9">
        <v>1987</v>
      </c>
      <c r="C2120" s="9" t="str">
        <v>출고재고</v>
      </c>
      <c r="D2120" s="9" t="str">
        <v/>
      </c>
      <c r="E2120" s="9" t="str">
        <v/>
      </c>
      <c r="F2120" s="9" t="str">
        <v/>
      </c>
      <c r="G2120" s="9" t="str">
        <v/>
      </c>
      <c r="H2120" s="9" t="str">
        <v>RA-06M-0244</v>
      </c>
      <c r="I2120" s="11" t="str">
        <v>RA-06M-0244]PIN TUBE TILT LIMIT</v>
      </c>
      <c r="J2120" s="9">
        <v>474</v>
      </c>
      <c r="K2120" s="9" t="str">
        <v/>
      </c>
      <c r="L2120" s="9" t="str">
        <v>I3-3</v>
      </c>
      <c r="M2120" s="12">
        <v>46295</v>
      </c>
      <c r="N2120" s="5" t="str">
        <v/>
      </c>
      <c r="O2120" s="5">
        <v>100547</v>
      </c>
      <c r="P2120" s="5">
        <v>100</v>
      </c>
      <c r="Q2120" s="14">
        <v>46286</v>
      </c>
      <c r="R2120" s="15">
        <v>374</v>
      </c>
    </row>
    <row r="2121" spans="2:18" x14ac:dyDescent="0.35">
      <c r="B2121" s="9">
        <v>1932</v>
      </c>
      <c r="C2121" s="9" t="str">
        <v>출고재고</v>
      </c>
      <c r="D2121" s="9" t="str">
        <v/>
      </c>
      <c r="E2121" s="9" t="str">
        <v/>
      </c>
      <c r="F2121" s="9" t="str">
        <v/>
      </c>
      <c r="G2121" s="9" t="str">
        <v/>
      </c>
      <c r="H2121" s="9" t="str">
        <v>RA-3-3B</v>
      </c>
      <c r="I2121" s="11" t="str">
        <v>RA-3-3B]DCM CONTROL-B</v>
      </c>
      <c r="J2121" s="9">
        <v>482</v>
      </c>
      <c r="K2121" s="9" t="str">
        <v/>
      </c>
      <c r="L2121" s="9" t="str">
        <v>G2-1</v>
      </c>
      <c r="M2121" s="12">
        <v>46295</v>
      </c>
      <c r="N2121" s="5" t="str">
        <v/>
      </c>
      <c r="O2121" s="5">
        <v>100547</v>
      </c>
      <c r="P2121" s="5">
        <v>50</v>
      </c>
      <c r="Q2121" s="14">
        <v>46286</v>
      </c>
      <c r="R2121" s="15">
        <v>432</v>
      </c>
    </row>
    <row r="2122" spans="2:18" x14ac:dyDescent="0.35">
      <c r="B2122" s="9">
        <v>1934</v>
      </c>
      <c r="C2122" s="9" t="str">
        <v>출고재고</v>
      </c>
      <c r="D2122" s="9" t="str">
        <v/>
      </c>
      <c r="E2122" s="9" t="str">
        <v/>
      </c>
      <c r="F2122" s="9" t="str">
        <v/>
      </c>
      <c r="G2122" s="9" t="str">
        <v/>
      </c>
      <c r="H2122" s="9" t="str">
        <v>RA-06V-0241</v>
      </c>
      <c r="I2122" s="11" t="str">
        <v>RA-06V-0241]GUIDE TUBE TILT MICRO SW</v>
      </c>
      <c r="J2122" s="9">
        <v>571</v>
      </c>
      <c r="K2122" s="9" t="str">
        <v/>
      </c>
      <c r="L2122" s="9" t="str">
        <v>H4-3</v>
      </c>
      <c r="M2122" s="12">
        <v>46295</v>
      </c>
      <c r="N2122" s="5" t="str">
        <v/>
      </c>
      <c r="O2122" s="5">
        <v>100547</v>
      </c>
      <c r="P2122" s="5">
        <v>50</v>
      </c>
      <c r="Q2122" s="14">
        <v>46286</v>
      </c>
      <c r="R2122" s="15">
        <v>521</v>
      </c>
    </row>
    <row r="2123" spans="2:18" x14ac:dyDescent="0.35">
      <c r="B2123" s="9">
        <v>2115</v>
      </c>
      <c r="C2123" s="9" t="str">
        <v>출고재고</v>
      </c>
      <c r="D2123" s="9" t="str">
        <v/>
      </c>
      <c r="E2123" s="9" t="str">
        <v/>
      </c>
      <c r="F2123" s="9" t="str">
        <v/>
      </c>
      <c r="G2123" s="9" t="str">
        <v/>
      </c>
      <c r="H2123" s="9" t="str">
        <v>RA-06V-0866</v>
      </c>
      <c r="I2123" s="11" t="str">
        <v>RA-06V-0866]BRK TUBE TILT MICRO SW</v>
      </c>
      <c r="J2123" s="9">
        <v>681</v>
      </c>
      <c r="K2123" s="9" t="str">
        <v/>
      </c>
      <c r="L2123" s="9" t="str">
        <v>H3-3</v>
      </c>
      <c r="M2123" s="12">
        <v>46286</v>
      </c>
      <c r="N2123" s="5" t="str">
        <v/>
      </c>
      <c r="O2123" s="5">
        <v>100547</v>
      </c>
      <c r="P2123" s="5">
        <v>50</v>
      </c>
      <c r="Q2123" s="14">
        <v>46286</v>
      </c>
      <c r="R2123" s="15">
        <v>631</v>
      </c>
    </row>
    <row r="2124" spans="2:18" x14ac:dyDescent="0.35">
      <c r="B2124" s="9">
        <v>1935</v>
      </c>
      <c r="C2124" s="9" t="str">
        <v>출고재고</v>
      </c>
      <c r="D2124" s="9" t="str">
        <v/>
      </c>
      <c r="E2124" s="9" t="str">
        <v/>
      </c>
      <c r="F2124" s="9" t="str">
        <v/>
      </c>
      <c r="G2124" s="9" t="str">
        <v/>
      </c>
      <c r="H2124" s="9" t="str">
        <v>RA-06V-0866</v>
      </c>
      <c r="I2124" s="11" t="str">
        <v>RA-06V-0866]BRK TUBE TILT MICRO SW</v>
      </c>
      <c r="J2124" s="9">
        <v>696</v>
      </c>
      <c r="K2124" s="9" t="str">
        <v/>
      </c>
      <c r="L2124" s="9" t="str">
        <v>H3-3</v>
      </c>
      <c r="M2124" s="12">
        <v>46295</v>
      </c>
      <c r="N2124" s="5" t="str">
        <v/>
      </c>
      <c r="O2124" s="5">
        <v>100547</v>
      </c>
      <c r="P2124" s="5">
        <v>15</v>
      </c>
      <c r="Q2124" s="14">
        <v>46286</v>
      </c>
      <c r="R2124" s="15">
        <v>681</v>
      </c>
    </row>
    <row r="2125" spans="2:18" x14ac:dyDescent="0.35">
      <c r="B2125" s="9">
        <v>1936</v>
      </c>
      <c r="C2125" s="9" t="str">
        <v>출고재고</v>
      </c>
      <c r="D2125" s="9" t="str">
        <v/>
      </c>
      <c r="E2125" s="9" t="str">
        <v/>
      </c>
      <c r="F2125" s="9" t="str">
        <v/>
      </c>
      <c r="G2125" s="9" t="str">
        <v/>
      </c>
      <c r="H2125" s="9" t="str">
        <v>RA-06A-5005</v>
      </c>
      <c r="I2125" s="11" t="str">
        <v>RA-06A-5005]Bd ASSY'-DC MOT Bd</v>
      </c>
      <c r="J2125" s="9">
        <v>734</v>
      </c>
      <c r="K2125" s="9" t="str">
        <v/>
      </c>
      <c r="L2125" s="9" t="str">
        <v>A3-2, A3-3</v>
      </c>
      <c r="M2125" s="12">
        <v>46295</v>
      </c>
      <c r="N2125" s="5" t="str">
        <v/>
      </c>
      <c r="O2125" s="5">
        <v>100547</v>
      </c>
      <c r="P2125" s="5">
        <v>50</v>
      </c>
      <c r="Q2125" s="14">
        <v>46286</v>
      </c>
      <c r="R2125" s="15">
        <v>684</v>
      </c>
    </row>
    <row r="2126" spans="2:18" x14ac:dyDescent="0.35">
      <c r="B2126" s="9">
        <v>1187</v>
      </c>
      <c r="C2126" s="9" t="str">
        <v>출고재고</v>
      </c>
      <c r="D2126" s="9" t="str">
        <v/>
      </c>
      <c r="E2126" s="9" t="str">
        <v/>
      </c>
      <c r="F2126" s="9" t="str">
        <v/>
      </c>
      <c r="G2126" s="9" t="str">
        <v/>
      </c>
      <c r="H2126" s="9" t="str">
        <v>RE-06A-0625</v>
      </c>
      <c r="I2126" s="11" t="str">
        <v>RE-06A-0625]ASM TUBE FAN</v>
      </c>
      <c r="J2126" s="9">
        <v>30</v>
      </c>
      <c r="K2126" s="9" t="str">
        <v/>
      </c>
      <c r="L2126" s="9" t="str">
        <v>K6-1</v>
      </c>
      <c r="M2126" s="12">
        <v>46276</v>
      </c>
      <c r="N2126" s="5" t="str">
        <v/>
      </c>
      <c r="O2126" s="5">
        <v>100550</v>
      </c>
      <c r="P2126" s="5">
        <v>20</v>
      </c>
      <c r="Q2126" s="14">
        <v>46287</v>
      </c>
      <c r="R2126" s="15">
        <v>10</v>
      </c>
    </row>
    <row r="2127" spans="2:18" x14ac:dyDescent="0.35">
      <c r="B2127" s="9">
        <v>1183</v>
      </c>
      <c r="C2127" s="9" t="str">
        <v>출고재고</v>
      </c>
      <c r="D2127" s="9" t="str">
        <v/>
      </c>
      <c r="E2127" s="9" t="str">
        <v/>
      </c>
      <c r="F2127" s="9" t="str">
        <v/>
      </c>
      <c r="G2127" s="9" t="str">
        <v/>
      </c>
      <c r="H2127" s="9" t="str">
        <v>RE-06V-0608</v>
      </c>
      <c r="I2127" s="11" t="str">
        <v>RE-06V-0608]BRK COL LWR</v>
      </c>
      <c r="J2127" s="9">
        <v>50</v>
      </c>
      <c r="K2127" s="9" t="str">
        <v/>
      </c>
      <c r="L2127" s="9" t="str">
        <v>K1-4</v>
      </c>
      <c r="M2127" s="12">
        <v>46276</v>
      </c>
      <c r="N2127" s="5" t="str">
        <v/>
      </c>
      <c r="O2127" s="5">
        <v>100550</v>
      </c>
      <c r="P2127" s="5">
        <v>20</v>
      </c>
      <c r="Q2127" s="14">
        <v>46287</v>
      </c>
      <c r="R2127" s="15">
        <v>30</v>
      </c>
    </row>
    <row r="2128" spans="2:18" x14ac:dyDescent="0.35">
      <c r="B2128" s="9">
        <v>1185</v>
      </c>
      <c r="C2128" s="9" t="str">
        <v>출고재고</v>
      </c>
      <c r="D2128" s="9" t="str">
        <v/>
      </c>
      <c r="E2128" s="9" t="str">
        <v/>
      </c>
      <c r="F2128" s="9" t="str">
        <v/>
      </c>
      <c r="G2128" s="9" t="str">
        <v/>
      </c>
      <c r="H2128" s="9" t="str">
        <v>RE-06A-0601</v>
      </c>
      <c r="I2128" s="11" t="str">
        <v>RE-06A-0601]ASM COLLIMATOR MODULE</v>
      </c>
      <c r="J2128" s="9">
        <v>58</v>
      </c>
      <c r="K2128" s="9" t="str">
        <v/>
      </c>
      <c r="L2128" s="9" t="str">
        <v>K8</v>
      </c>
      <c r="M2128" s="12">
        <v>46276</v>
      </c>
      <c r="N2128" s="5" t="str">
        <v/>
      </c>
      <c r="O2128" s="5">
        <v>100550</v>
      </c>
      <c r="P2128" s="5">
        <v>20</v>
      </c>
      <c r="Q2128" s="14">
        <v>46287</v>
      </c>
      <c r="R2128" s="15">
        <v>38</v>
      </c>
    </row>
    <row r="2129" spans="2:18" x14ac:dyDescent="0.35">
      <c r="B2129" s="9">
        <v>1184</v>
      </c>
      <c r="C2129" s="9" t="str">
        <v>출고재고</v>
      </c>
      <c r="D2129" s="9" t="str">
        <v/>
      </c>
      <c r="E2129" s="9" t="str">
        <v/>
      </c>
      <c r="F2129" s="9" t="str">
        <v/>
      </c>
      <c r="G2129" s="9" t="str">
        <v/>
      </c>
      <c r="H2129" s="9" t="str">
        <v>RE-06A-0630</v>
      </c>
      <c r="I2129" s="11" t="str">
        <v>RE-06A-0630]ASM TUBE SHAFT BRASS</v>
      </c>
      <c r="J2129" s="9">
        <v>69</v>
      </c>
      <c r="K2129" s="9" t="str">
        <v/>
      </c>
      <c r="L2129" s="9" t="str">
        <v>K7-2</v>
      </c>
      <c r="M2129" s="12">
        <v>46276</v>
      </c>
      <c r="N2129" s="5" t="str">
        <v/>
      </c>
      <c r="O2129" s="5">
        <v>100550</v>
      </c>
      <c r="P2129" s="5">
        <v>20</v>
      </c>
      <c r="Q2129" s="14">
        <v>46287</v>
      </c>
      <c r="R2129" s="15">
        <v>49</v>
      </c>
    </row>
    <row r="2130" spans="2:18" x14ac:dyDescent="0.35">
      <c r="B2130" s="9">
        <v>1186</v>
      </c>
      <c r="C2130" s="9" t="str">
        <v>출고재고</v>
      </c>
      <c r="D2130" s="9" t="str">
        <v/>
      </c>
      <c r="E2130" s="9" t="str">
        <v/>
      </c>
      <c r="F2130" s="9" t="str">
        <v/>
      </c>
      <c r="G2130" s="9" t="str">
        <v/>
      </c>
      <c r="H2130" s="9" t="str">
        <v>RE-06H-5048</v>
      </c>
      <c r="I2130" s="11" t="str">
        <v>RE-06H-5048]LASER H [LBM01-300]</v>
      </c>
      <c r="J2130" s="9">
        <v>69</v>
      </c>
      <c r="K2130" s="9" t="str">
        <v/>
      </c>
      <c r="L2130" s="9" t="str">
        <v>F3-2</v>
      </c>
      <c r="M2130" s="12">
        <v>46276</v>
      </c>
      <c r="N2130" s="5" t="str">
        <v/>
      </c>
      <c r="O2130" s="5">
        <v>100550</v>
      </c>
      <c r="P2130" s="5">
        <v>20</v>
      </c>
      <c r="Q2130" s="14">
        <v>46287</v>
      </c>
      <c r="R2130" s="15">
        <v>49</v>
      </c>
    </row>
    <row r="2131" spans="2:18" x14ac:dyDescent="0.35">
      <c r="B2131" s="9">
        <v>1363</v>
      </c>
      <c r="C2131" s="9" t="str">
        <v>출고재고</v>
      </c>
      <c r="D2131" s="9" t="str">
        <v/>
      </c>
      <c r="E2131" s="9" t="str">
        <v>기초추가</v>
      </c>
      <c r="F2131" s="9" t="str">
        <v/>
      </c>
      <c r="G2131" s="9" t="str">
        <v/>
      </c>
      <c r="H2131" s="9" t="str">
        <v>RE-05H-5030</v>
      </c>
      <c r="I2131" s="11" t="str">
        <v>RE-05H-5030_1]TILT SIGNAL</v>
      </c>
      <c r="J2131" s="9">
        <v>6</v>
      </c>
      <c r="K2131" s="9" t="str">
        <v/>
      </c>
      <c r="L2131" s="9" t="str">
        <v>F2-2</v>
      </c>
      <c r="M2131" s="12">
        <v>46275</v>
      </c>
      <c r="N2131" s="5" t="str">
        <v/>
      </c>
      <c r="O2131" s="5">
        <v>100551</v>
      </c>
      <c r="P2131" s="5">
        <v>6</v>
      </c>
      <c r="Q2131" s="14">
        <v>46287</v>
      </c>
      <c r="R2131" s="15">
        <v>0</v>
      </c>
    </row>
    <row r="2132" spans="2:18" x14ac:dyDescent="0.35">
      <c r="B2132" s="9">
        <v>793</v>
      </c>
      <c r="C2132" s="9" t="str">
        <v>출고재고</v>
      </c>
      <c r="D2132" s="9" t="str">
        <v/>
      </c>
      <c r="E2132" s="9" t="str">
        <v/>
      </c>
      <c r="F2132" s="9" t="str">
        <v/>
      </c>
      <c r="G2132" s="9" t="str">
        <v/>
      </c>
      <c r="H2132" s="9" t="str">
        <v>RE-05H-5025</v>
      </c>
      <c r="I2132" s="11" t="str">
        <v>RE-05H-5025_1]eSUB MOT DET</v>
      </c>
      <c r="J2132" s="9">
        <v>15</v>
      </c>
      <c r="K2132" s="9" t="str">
        <v/>
      </c>
      <c r="L2132" s="9" t="str">
        <v>F2-2</v>
      </c>
      <c r="M2132" s="12">
        <v>46276</v>
      </c>
      <c r="N2132" s="5" t="str">
        <v/>
      </c>
      <c r="O2132" s="5">
        <v>100551</v>
      </c>
      <c r="P2132" s="5">
        <v>15</v>
      </c>
      <c r="Q2132" s="14">
        <v>46287</v>
      </c>
      <c r="R2132" s="15">
        <v>0</v>
      </c>
    </row>
    <row r="2133" spans="2:18" x14ac:dyDescent="0.35">
      <c r="B2133" s="9">
        <v>2009</v>
      </c>
      <c r="C2133" s="9" t="str">
        <v>출고재고</v>
      </c>
      <c r="D2133" s="9" t="str">
        <v/>
      </c>
      <c r="E2133" s="9" t="str">
        <v>입고</v>
      </c>
      <c r="F2133" s="9" t="str">
        <v>에이투케이</v>
      </c>
      <c r="G2133" s="9" t="str">
        <v>유영국</v>
      </c>
      <c r="H2133" s="9" t="str">
        <v>RE-05H-5024</v>
      </c>
      <c r="I2133" s="11" t="str">
        <v>RE-05H-5024_1]eSUB MOT COL</v>
      </c>
      <c r="J2133" s="9">
        <v>20</v>
      </c>
      <c r="K2133" s="9" t="str">
        <v/>
      </c>
      <c r="L2133" s="9" t="str">
        <v>F2-2</v>
      </c>
      <c r="M2133" s="12">
        <v>46293</v>
      </c>
      <c r="N2133" s="5" t="str">
        <v/>
      </c>
      <c r="O2133" s="5">
        <v>100551</v>
      </c>
      <c r="P2133" s="5">
        <v>20</v>
      </c>
      <c r="Q2133" s="14">
        <v>46293</v>
      </c>
      <c r="R2133" s="15">
        <v>0</v>
      </c>
    </row>
    <row r="2134" spans="2:18" x14ac:dyDescent="0.35">
      <c r="B2134" s="9">
        <v>2010</v>
      </c>
      <c r="C2134" s="9" t="str">
        <v>출고재고</v>
      </c>
      <c r="D2134" s="9" t="str">
        <v/>
      </c>
      <c r="E2134" s="9" t="str">
        <v/>
      </c>
      <c r="F2134" s="9" t="str">
        <v/>
      </c>
      <c r="G2134" s="9" t="str">
        <v/>
      </c>
      <c r="H2134" s="9" t="str">
        <v>RE-05H-5065</v>
      </c>
      <c r="I2134" s="11" t="str">
        <v>RE-05H-5065_1]Earth ROT to TNK</v>
      </c>
      <c r="J2134" s="9">
        <v>20</v>
      </c>
      <c r="K2134" s="9" t="str">
        <v/>
      </c>
      <c r="L2134" s="9" t="str">
        <v>F2-5</v>
      </c>
      <c r="M2134" s="12">
        <v>46293</v>
      </c>
      <c r="N2134" s="5" t="str">
        <v/>
      </c>
      <c r="O2134" s="5">
        <v>100551</v>
      </c>
      <c r="P2134" s="5">
        <v>20</v>
      </c>
      <c r="Q2134" s="14">
        <v>46293</v>
      </c>
      <c r="R2134" s="15">
        <v>0</v>
      </c>
    </row>
    <row r="2135" spans="2:18" x14ac:dyDescent="0.35">
      <c r="B2135" s="9">
        <v>788</v>
      </c>
      <c r="C2135" s="9" t="str">
        <v>출고재고</v>
      </c>
      <c r="D2135" s="9" t="str">
        <v/>
      </c>
      <c r="E2135" s="9" t="str">
        <v/>
      </c>
      <c r="F2135" s="9" t="str">
        <v/>
      </c>
      <c r="G2135" s="9" t="str">
        <v/>
      </c>
      <c r="H2135" s="9" t="str">
        <v>RE-02T-0243</v>
      </c>
      <c r="I2135" s="11" t="str">
        <v>RE-02T-0243]CAS VERT BOT R</v>
      </c>
      <c r="J2135" s="9">
        <v>28</v>
      </c>
      <c r="K2135" s="9" t="str">
        <v/>
      </c>
      <c r="L2135" s="9" t="str">
        <v>3A-14</v>
      </c>
      <c r="M2135" s="12">
        <v>46276</v>
      </c>
      <c r="N2135" s="5" t="str">
        <v/>
      </c>
      <c r="O2135" s="5">
        <v>100551</v>
      </c>
      <c r="P2135" s="5">
        <v>20</v>
      </c>
      <c r="Q2135" s="14">
        <v>46287</v>
      </c>
      <c r="R2135" s="15">
        <v>8</v>
      </c>
    </row>
    <row r="2136" spans="2:18" x14ac:dyDescent="0.35">
      <c r="B2136" s="9">
        <v>795</v>
      </c>
      <c r="C2136" s="9" t="str">
        <v>출고재고</v>
      </c>
      <c r="D2136" s="9" t="str">
        <v/>
      </c>
      <c r="E2136" s="9" t="str">
        <v/>
      </c>
      <c r="F2136" s="9" t="str">
        <v/>
      </c>
      <c r="G2136" s="9" t="str">
        <v/>
      </c>
      <c r="H2136" s="9" t="str">
        <v>RE-04T-0434</v>
      </c>
      <c r="I2136" s="11" t="str">
        <v>RE-04T-0434]CAS ARM BOT</v>
      </c>
      <c r="J2136" s="9">
        <v>30</v>
      </c>
      <c r="K2136" s="9" t="str">
        <v/>
      </c>
      <c r="L2136" s="9" t="str">
        <v>3A-12</v>
      </c>
      <c r="M2136" s="12">
        <v>46276</v>
      </c>
      <c r="N2136" s="5" t="str">
        <v/>
      </c>
      <c r="O2136" s="5">
        <v>100551</v>
      </c>
      <c r="P2136" s="5">
        <v>20</v>
      </c>
      <c r="Q2136" s="14">
        <v>46287</v>
      </c>
      <c r="R2136" s="15">
        <v>10</v>
      </c>
    </row>
    <row r="2137" spans="2:18" x14ac:dyDescent="0.35">
      <c r="B2137" s="9">
        <v>787</v>
      </c>
      <c r="C2137" s="9" t="str">
        <v>출고재고</v>
      </c>
      <c r="D2137" s="9" t="str">
        <v/>
      </c>
      <c r="E2137" s="9" t="str">
        <v/>
      </c>
      <c r="F2137" s="9" t="str">
        <v/>
      </c>
      <c r="G2137" s="9" t="str">
        <v/>
      </c>
      <c r="H2137" s="9" t="str">
        <v>RE-02T-0242</v>
      </c>
      <c r="I2137" s="11" t="str">
        <v>RE-02T-0242]CAS VERT BOT L</v>
      </c>
      <c r="J2137" s="9">
        <v>31</v>
      </c>
      <c r="K2137" s="9" t="str">
        <v/>
      </c>
      <c r="L2137" s="9" t="str">
        <v>3A-14</v>
      </c>
      <c r="M2137" s="12">
        <v>46276</v>
      </c>
      <c r="N2137" s="5" t="str">
        <v/>
      </c>
      <c r="O2137" s="5">
        <v>100551</v>
      </c>
      <c r="P2137" s="5">
        <v>20</v>
      </c>
      <c r="Q2137" s="14">
        <v>46287</v>
      </c>
      <c r="R2137" s="15">
        <v>11</v>
      </c>
    </row>
    <row r="2138" spans="2:18" x14ac:dyDescent="0.35">
      <c r="B2138" s="9">
        <v>789</v>
      </c>
      <c r="C2138" s="9" t="str">
        <v>출고재고</v>
      </c>
      <c r="D2138" s="9" t="str">
        <v/>
      </c>
      <c r="E2138" s="9" t="str">
        <v/>
      </c>
      <c r="F2138" s="9" t="str">
        <v/>
      </c>
      <c r="G2138" s="9" t="str">
        <v/>
      </c>
      <c r="H2138" s="9" t="str">
        <v>RE-02T-0246</v>
      </c>
      <c r="I2138" s="11" t="str">
        <v>RE-02T-0246]CAS LED</v>
      </c>
      <c r="J2138" s="9">
        <v>44</v>
      </c>
      <c r="K2138" s="9" t="str">
        <v/>
      </c>
      <c r="L2138" s="9" t="str">
        <v>3A-19</v>
      </c>
      <c r="M2138" s="12">
        <v>46276</v>
      </c>
      <c r="N2138" s="5" t="str">
        <v/>
      </c>
      <c r="O2138" s="5">
        <v>100551</v>
      </c>
      <c r="P2138" s="5">
        <v>20</v>
      </c>
      <c r="Q2138" s="14">
        <v>46287</v>
      </c>
      <c r="R2138" s="15">
        <v>24</v>
      </c>
    </row>
    <row r="2139" spans="2:18" x14ac:dyDescent="0.35">
      <c r="B2139" s="9">
        <v>791</v>
      </c>
      <c r="C2139" s="9" t="str">
        <v>출고재고</v>
      </c>
      <c r="D2139" s="9" t="str">
        <v/>
      </c>
      <c r="E2139" s="9" t="str">
        <v/>
      </c>
      <c r="F2139" s="9" t="str">
        <v/>
      </c>
      <c r="G2139" s="9" t="str">
        <v/>
      </c>
      <c r="H2139" s="9" t="str">
        <v>RE-04T-0436</v>
      </c>
      <c r="I2139" s="11" t="str">
        <v>RE-04T-0436]CAS CHINREST BOT</v>
      </c>
      <c r="J2139" s="9">
        <v>67</v>
      </c>
      <c r="K2139" s="9" t="str">
        <v/>
      </c>
      <c r="L2139" s="9" t="str">
        <v>3A-22</v>
      </c>
      <c r="M2139" s="12">
        <v>46276</v>
      </c>
      <c r="N2139" s="5" t="str">
        <v/>
      </c>
      <c r="O2139" s="5">
        <v>100551</v>
      </c>
      <c r="P2139" s="5">
        <v>20</v>
      </c>
      <c r="Q2139" s="14">
        <v>46287</v>
      </c>
      <c r="R2139" s="15">
        <v>47</v>
      </c>
    </row>
    <row r="2140" spans="2:18" x14ac:dyDescent="0.35">
      <c r="B2140" s="9">
        <v>794</v>
      </c>
      <c r="C2140" s="9" t="str">
        <v>출고재고</v>
      </c>
      <c r="D2140" s="9" t="str">
        <v/>
      </c>
      <c r="E2140" s="9" t="str">
        <v/>
      </c>
      <c r="F2140" s="9" t="str">
        <v/>
      </c>
      <c r="G2140" s="9" t="str">
        <v/>
      </c>
      <c r="H2140" s="9" t="str">
        <v>RE-05A-0512</v>
      </c>
      <c r="I2140" s="11" t="str">
        <v>RE-05A-0512]ASM ROTATOR WEIGH</v>
      </c>
      <c r="J2140" s="9">
        <v>80</v>
      </c>
      <c r="K2140" s="9" t="str">
        <v/>
      </c>
      <c r="L2140" s="9" t="str">
        <v xml:space="preserve">4F  </v>
      </c>
      <c r="M2140" s="12">
        <v>46276</v>
      </c>
      <c r="N2140" s="5" t="str">
        <v/>
      </c>
      <c r="O2140" s="5">
        <v>100551</v>
      </c>
      <c r="P2140" s="5">
        <v>20</v>
      </c>
      <c r="Q2140" s="14">
        <v>46287</v>
      </c>
      <c r="R2140" s="15">
        <v>60</v>
      </c>
    </row>
    <row r="2141" spans="2:18" x14ac:dyDescent="0.35">
      <c r="B2141" s="9">
        <v>1364</v>
      </c>
      <c r="C2141" s="9" t="str">
        <v>출고재고</v>
      </c>
      <c r="D2141" s="9" t="str">
        <v/>
      </c>
      <c r="E2141" s="9" t="str">
        <v>입고</v>
      </c>
      <c r="F2141" s="9" t="str">
        <v/>
      </c>
      <c r="G2141" s="9" t="str">
        <v/>
      </c>
      <c r="H2141" s="9" t="str">
        <v>RE-02B-5105</v>
      </c>
      <c r="I2141" s="11" t="str">
        <v>RE-02B-5105]eINDICATOR Bd</v>
      </c>
      <c r="J2141" s="9">
        <v>100</v>
      </c>
      <c r="K2141" s="9" t="str">
        <v/>
      </c>
      <c r="L2141" s="9" t="str">
        <v>K6-3</v>
      </c>
      <c r="M2141" s="12">
        <v>46275</v>
      </c>
      <c r="N2141" s="5" t="str">
        <v/>
      </c>
      <c r="O2141" s="5">
        <v>100551</v>
      </c>
      <c r="P2141" s="5">
        <v>20</v>
      </c>
      <c r="Q2141" s="14">
        <v>46287</v>
      </c>
      <c r="R2141" s="15">
        <v>80</v>
      </c>
    </row>
    <row r="2142" spans="2:18" x14ac:dyDescent="0.35">
      <c r="B2142" s="9">
        <v>792</v>
      </c>
      <c r="C2142" s="9" t="str">
        <v>출고재고</v>
      </c>
      <c r="D2142" s="9" t="str">
        <v/>
      </c>
      <c r="E2142" s="9" t="str">
        <v/>
      </c>
      <c r="F2142" s="9" t="str">
        <v/>
      </c>
      <c r="G2142" s="9" t="str">
        <v/>
      </c>
      <c r="H2142" s="9" t="str">
        <v>RE-07M-0711</v>
      </c>
      <c r="I2142" s="11" t="str">
        <v>RE-07M-0711_B]PLT DET SNSR (IR)</v>
      </c>
      <c r="J2142" s="9">
        <v>119</v>
      </c>
      <c r="K2142" s="9" t="str">
        <v/>
      </c>
      <c r="L2142" s="9" t="str">
        <v>K1-6</v>
      </c>
      <c r="M2142" s="12">
        <v>46276</v>
      </c>
      <c r="N2142" s="5" t="str">
        <v/>
      </c>
      <c r="O2142" s="5">
        <v>100551</v>
      </c>
      <c r="P2142" s="5">
        <v>40</v>
      </c>
      <c r="Q2142" s="14">
        <v>46287</v>
      </c>
      <c r="R2142" s="15">
        <v>79</v>
      </c>
    </row>
    <row r="2143" spans="2:18" x14ac:dyDescent="0.35">
      <c r="B2143" s="9">
        <v>2283</v>
      </c>
      <c r="C2143" s="9" t="str">
        <v>출고재고</v>
      </c>
      <c r="D2143" s="9" t="str">
        <v/>
      </c>
      <c r="E2143" s="9" t="str">
        <v/>
      </c>
      <c r="F2143" s="9" t="str">
        <v/>
      </c>
      <c r="G2143" s="9" t="str">
        <v/>
      </c>
      <c r="H2143" s="9" t="str">
        <v>RE-05H-5049</v>
      </c>
      <c r="I2143" s="11" t="str">
        <v>RE-05H-5049_1]LASER_H Extend</v>
      </c>
      <c r="J2143" s="9">
        <v>126</v>
      </c>
      <c r="K2143" s="9" t="str">
        <v/>
      </c>
      <c r="L2143" s="9" t="str">
        <v>F2-4</v>
      </c>
      <c r="M2143" s="12">
        <v>46303</v>
      </c>
      <c r="N2143" s="5" t="str">
        <v/>
      </c>
      <c r="O2143" s="5">
        <v>100551</v>
      </c>
      <c r="P2143" s="5">
        <v>20</v>
      </c>
      <c r="Q2143" s="14">
        <v>46303</v>
      </c>
      <c r="R2143" s="15">
        <v>106</v>
      </c>
    </row>
    <row r="2144" spans="2:18" x14ac:dyDescent="0.35">
      <c r="B2144" s="9">
        <v>818</v>
      </c>
      <c r="C2144" s="9" t="str">
        <v>출고재고</v>
      </c>
      <c r="D2144" s="9" t="str">
        <v/>
      </c>
      <c r="E2144" s="9" t="str">
        <v/>
      </c>
      <c r="F2144" s="9" t="str">
        <v/>
      </c>
      <c r="G2144" s="9" t="str">
        <v/>
      </c>
      <c r="H2144" s="9" t="str">
        <v>RA-02M-0395</v>
      </c>
      <c r="I2144" s="11" t="str">
        <v>RA-02M-0395]PIN VERT POSITION</v>
      </c>
      <c r="J2144" s="9">
        <v>246</v>
      </c>
      <c r="K2144" s="9" t="str">
        <v/>
      </c>
      <c r="L2144" s="9" t="str">
        <v>C3-1</v>
      </c>
      <c r="M2144" s="12">
        <v>46275</v>
      </c>
      <c r="N2144" s="5" t="str">
        <v/>
      </c>
      <c r="O2144" s="5">
        <v>100551</v>
      </c>
      <c r="P2144" s="5">
        <v>20</v>
      </c>
      <c r="Q2144" s="14">
        <v>46287</v>
      </c>
      <c r="R2144" s="15">
        <v>226</v>
      </c>
    </row>
    <row r="2145" spans="2:18" x14ac:dyDescent="0.35">
      <c r="B2145" s="9">
        <v>1679</v>
      </c>
      <c r="C2145" s="9" t="str">
        <v>출고재고</v>
      </c>
      <c r="D2145" s="9" t="str">
        <v/>
      </c>
      <c r="E2145" s="9" t="str">
        <v/>
      </c>
      <c r="F2145" s="9" t="str">
        <v/>
      </c>
      <c r="G2145" s="9" t="str">
        <v/>
      </c>
      <c r="H2145" s="9" t="str">
        <v>RA-07A-6048</v>
      </c>
      <c r="I2145" s="11" t="str">
        <v>RA-07A-6048]Bd ASSY'-ADET POWER-3D NEW</v>
      </c>
      <c r="J2145" s="9">
        <v>1</v>
      </c>
      <c r="K2145" s="9" t="str">
        <v/>
      </c>
      <c r="L2145" s="9" t="str">
        <v>A1-3</v>
      </c>
      <c r="M2145" s="12">
        <v>46280</v>
      </c>
      <c r="N2145" s="5" t="str">
        <v/>
      </c>
      <c r="O2145" s="5">
        <v>100554</v>
      </c>
      <c r="P2145" s="5">
        <v>1</v>
      </c>
      <c r="Q2145" s="14">
        <v>46288</v>
      </c>
      <c r="R2145" s="15">
        <v>0</v>
      </c>
    </row>
    <row r="2146" spans="2:18" x14ac:dyDescent="0.35">
      <c r="B2146" s="9">
        <v>1167</v>
      </c>
      <c r="C2146" s="9" t="str">
        <v>출고재고</v>
      </c>
      <c r="D2146" s="9" t="str">
        <v/>
      </c>
      <c r="E2146" s="9" t="str">
        <v/>
      </c>
      <c r="F2146" s="9" t="str">
        <v/>
      </c>
      <c r="G2146" s="9" t="str">
        <v/>
      </c>
      <c r="H2146" s="9" t="str">
        <v>RA-07A-6048</v>
      </c>
      <c r="I2146" s="11" t="str">
        <v>RA-07A-6048]Bd ASSY'-ADET POWER-3D NEW</v>
      </c>
      <c r="J2146" s="9">
        <v>34</v>
      </c>
      <c r="K2146" s="9" t="str">
        <v/>
      </c>
      <c r="L2146" s="9" t="str">
        <v>A1-3</v>
      </c>
      <c r="M2146" s="12">
        <v>46280</v>
      </c>
      <c r="N2146" s="5" t="str">
        <v/>
      </c>
      <c r="O2146" s="5">
        <v>100554</v>
      </c>
      <c r="P2146" s="5">
        <v>13</v>
      </c>
      <c r="Q2146" s="14">
        <v>46288</v>
      </c>
      <c r="R2146" s="15">
        <v>21</v>
      </c>
    </row>
    <row r="2147" spans="2:18" x14ac:dyDescent="0.35">
      <c r="B2147" s="9">
        <v>2124</v>
      </c>
      <c r="C2147" s="9" t="str">
        <v>출고재고</v>
      </c>
      <c r="D2147" s="9" t="str">
        <v/>
      </c>
      <c r="E2147" s="9" t="str">
        <v>입고</v>
      </c>
      <c r="F2147" s="9" t="str">
        <v>DIEN QUANG</v>
      </c>
      <c r="G2147" s="9" t="str">
        <v>장동은</v>
      </c>
      <c r="H2147" s="9" t="str">
        <v>RA-07A-6048</v>
      </c>
      <c r="I2147" s="11" t="str">
        <v>RA-07A-6048]Bd ASSY'-ADET POWER-3D NEW</v>
      </c>
      <c r="J2147" s="9">
        <v>52</v>
      </c>
      <c r="K2147" s="9" t="str">
        <v/>
      </c>
      <c r="L2147" s="9" t="str">
        <v>A1-3</v>
      </c>
      <c r="M2147" s="12">
        <v>46275</v>
      </c>
      <c r="N2147" s="5" t="str">
        <v/>
      </c>
      <c r="O2147" s="5">
        <v>100554</v>
      </c>
      <c r="P2147" s="5">
        <v>12</v>
      </c>
      <c r="Q2147" s="14">
        <v>46288</v>
      </c>
      <c r="R2147" s="15">
        <v>40</v>
      </c>
    </row>
    <row r="2148" spans="2:18" x14ac:dyDescent="0.35">
      <c r="B2148" s="9">
        <v>1983</v>
      </c>
      <c r="C2148" s="9" t="str">
        <v>출고재고</v>
      </c>
      <c r="D2148" s="9" t="str">
        <v/>
      </c>
      <c r="E2148" s="9" t="str">
        <v/>
      </c>
      <c r="F2148" s="9" t="str">
        <v/>
      </c>
      <c r="G2148" s="9" t="str">
        <v/>
      </c>
      <c r="H2148" s="9" t="str">
        <v>RA-02T-0045</v>
      </c>
      <c r="I2148" s="11" t="str">
        <v>RA-02T-0045]CAS VERT SUB BOT</v>
      </c>
      <c r="J2148" s="9">
        <v>144</v>
      </c>
      <c r="K2148" s="9" t="str">
        <v/>
      </c>
      <c r="L2148" s="9" t="str">
        <v>S</v>
      </c>
      <c r="M2148" s="12">
        <v>46295</v>
      </c>
      <c r="N2148" s="5" t="str">
        <v/>
      </c>
      <c r="O2148" s="5">
        <v>100564</v>
      </c>
      <c r="P2148" s="5">
        <v>22</v>
      </c>
      <c r="Q2148" s="14">
        <v>46288</v>
      </c>
      <c r="R2148" s="15">
        <v>122</v>
      </c>
    </row>
    <row r="2149" spans="2:18" x14ac:dyDescent="0.35">
      <c r="B2149" s="9">
        <v>745</v>
      </c>
      <c r="C2149" s="9" t="str">
        <v>출고재고</v>
      </c>
      <c r="D2149" s="9" t="str">
        <v/>
      </c>
      <c r="E2149" s="9" t="str">
        <v/>
      </c>
      <c r="F2149" s="9" t="str">
        <v/>
      </c>
      <c r="G2149" s="9" t="str">
        <v/>
      </c>
      <c r="H2149" s="9" t="str">
        <v>RE-04A-1040</v>
      </c>
      <c r="I2149" s="11" t="str">
        <v>RE-04A-1040]ASM ARM MODULE</v>
      </c>
      <c r="J2149" s="9">
        <v>1</v>
      </c>
      <c r="K2149" s="9" t="str">
        <v/>
      </c>
      <c r="L2149" s="9" t="str">
        <v>K8</v>
      </c>
      <c r="M2149" s="12">
        <v>46275</v>
      </c>
      <c r="N2149" s="5" t="str">
        <v/>
      </c>
      <c r="O2149" s="5">
        <v>100572</v>
      </c>
      <c r="P2149" s="5">
        <v>1</v>
      </c>
      <c r="Q2149" s="14">
        <v>46288</v>
      </c>
      <c r="R2149" s="15">
        <v>0</v>
      </c>
    </row>
    <row r="2150" spans="2:18" x14ac:dyDescent="0.35">
      <c r="B2150" s="9">
        <v>744</v>
      </c>
      <c r="C2150" s="9" t="str">
        <v>출고재고</v>
      </c>
      <c r="D2150" s="9" t="str">
        <v/>
      </c>
      <c r="E2150" s="9" t="str">
        <v/>
      </c>
      <c r="F2150" s="9" t="str">
        <v/>
      </c>
      <c r="G2150" s="9" t="str">
        <v/>
      </c>
      <c r="H2150" s="9" t="str">
        <v>RE-04T-0413</v>
      </c>
      <c r="I2150" s="11" t="str">
        <v>RE-04T-0413]CAS CHINREST Bas</v>
      </c>
      <c r="J2150" s="9">
        <v>74</v>
      </c>
      <c r="K2150" s="9" t="str">
        <v/>
      </c>
      <c r="L2150" s="9" t="str">
        <v>3L14-1</v>
      </c>
      <c r="M2150" s="12">
        <v>46275</v>
      </c>
      <c r="N2150" s="5" t="str">
        <v/>
      </c>
      <c r="O2150" s="5">
        <v>100572</v>
      </c>
      <c r="P2150" s="5">
        <v>20</v>
      </c>
      <c r="Q2150" s="14">
        <v>46288</v>
      </c>
      <c r="R2150" s="15">
        <v>54</v>
      </c>
    </row>
    <row r="2151" spans="2:18" x14ac:dyDescent="0.35">
      <c r="B2151" s="9">
        <v>2630</v>
      </c>
      <c r="C2151" s="9" t="str">
        <v>출고재고</v>
      </c>
      <c r="D2151" s="9" t="str">
        <v/>
      </c>
      <c r="E2151" s="9" t="str">
        <v>입고</v>
      </c>
      <c r="F2151" s="9" t="str">
        <v>A&amp;T</v>
      </c>
      <c r="G2151" s="9" t="str">
        <v>장동은</v>
      </c>
      <c r="H2151" s="9" t="str">
        <v>RE-03A-1030</v>
      </c>
      <c r="I2151" s="11" t="str">
        <v>RE-03A-1030]ASM COLUMN MODULE</v>
      </c>
      <c r="J2151" s="9">
        <v>18</v>
      </c>
      <c r="K2151" s="9" t="str">
        <v/>
      </c>
      <c r="L2151" s="9" t="str">
        <v>K8</v>
      </c>
      <c r="M2151" s="12">
        <v>46287</v>
      </c>
      <c r="N2151" s="5" t="str">
        <v/>
      </c>
      <c r="O2151" s="5">
        <v>100572</v>
      </c>
      <c r="P2151" s="5">
        <v>15</v>
      </c>
      <c r="Q2151" s="14">
        <v>46301</v>
      </c>
      <c r="R2151" s="15">
        <v>3</v>
      </c>
    </row>
    <row r="2152" spans="2:18" x14ac:dyDescent="0.35">
      <c r="B2152" s="9">
        <v>2631</v>
      </c>
      <c r="C2152" s="9" t="str">
        <v>출고재고</v>
      </c>
      <c r="D2152" s="9" t="str">
        <v/>
      </c>
      <c r="E2152" s="9" t="str">
        <v/>
      </c>
      <c r="F2152" s="9" t="str">
        <v/>
      </c>
      <c r="G2152" s="9" t="str">
        <v/>
      </c>
      <c r="H2152" s="9" t="str">
        <v>RE-03A-1030</v>
      </c>
      <c r="I2152" s="11" t="str">
        <v>RE-03A-1030]ASM COLUMN MODULE</v>
      </c>
      <c r="J2152" s="9">
        <v>5</v>
      </c>
      <c r="K2152" s="9" t="str">
        <v/>
      </c>
      <c r="L2152" s="9" t="str">
        <v>K8</v>
      </c>
      <c r="M2152" s="12">
        <v>46301</v>
      </c>
      <c r="N2152" s="5" t="str">
        <v/>
      </c>
      <c r="O2152" s="5">
        <v>100572</v>
      </c>
      <c r="P2152" s="5">
        <v>5</v>
      </c>
      <c r="Q2152" s="14">
        <v>46301</v>
      </c>
      <c r="R2152" s="15">
        <v>0</v>
      </c>
    </row>
    <row r="2153" spans="2:18" x14ac:dyDescent="0.35">
      <c r="B2153" s="9">
        <v>1702</v>
      </c>
      <c r="C2153" s="9" t="str">
        <v>출고재고</v>
      </c>
      <c r="D2153" s="9" t="str">
        <v/>
      </c>
      <c r="E2153" s="9" t="str">
        <v>입고</v>
      </c>
      <c r="F2153" s="9" t="str">
        <v>A&amp;T</v>
      </c>
      <c r="G2153" s="9" t="str">
        <v>조영우</v>
      </c>
      <c r="H2153" s="9" t="str">
        <v>RE-04A-1040</v>
      </c>
      <c r="I2153" s="11" t="str">
        <v>RE-04A-1040]ASM ARM MODULE</v>
      </c>
      <c r="J2153" s="9">
        <v>19</v>
      </c>
      <c r="K2153" s="9" t="str">
        <v/>
      </c>
      <c r="L2153" s="9" t="str">
        <v>K8</v>
      </c>
      <c r="M2153" s="12">
        <v>46281</v>
      </c>
      <c r="N2153" s="5" t="str">
        <v/>
      </c>
      <c r="O2153" s="5">
        <v>100572</v>
      </c>
      <c r="P2153" s="5">
        <v>19</v>
      </c>
      <c r="Q2153" s="14">
        <v>46288</v>
      </c>
      <c r="R2153" s="15">
        <v>0</v>
      </c>
    </row>
    <row r="2154" spans="2:18" x14ac:dyDescent="0.35">
      <c r="B2154" s="9">
        <v>2354</v>
      </c>
      <c r="C2154" s="9" t="str">
        <v>출고재고</v>
      </c>
      <c r="D2154" s="9" t="str">
        <v/>
      </c>
      <c r="E2154" s="9" t="str">
        <v/>
      </c>
      <c r="F2154" s="9" t="str">
        <v/>
      </c>
      <c r="G2154" s="9" t="str">
        <v/>
      </c>
      <c r="H2154" s="9" t="str">
        <v>RE-05B-5101</v>
      </c>
      <c r="I2154" s="11" t="str">
        <v>RE-05B-5101]eSUB Bd</v>
      </c>
      <c r="J2154" s="9">
        <v>2</v>
      </c>
      <c r="K2154" s="9" t="str">
        <v/>
      </c>
      <c r="L2154" s="9" t="str">
        <v>K6-4</v>
      </c>
      <c r="M2154" s="12">
        <v>46296</v>
      </c>
      <c r="N2154" s="5" t="str">
        <v/>
      </c>
      <c r="O2154" s="5">
        <v>100573</v>
      </c>
      <c r="P2154" s="5">
        <v>1</v>
      </c>
      <c r="Q2154" s="14">
        <v>46296</v>
      </c>
      <c r="R2154" s="15">
        <v>1</v>
      </c>
    </row>
    <row r="2155" spans="2:18" x14ac:dyDescent="0.35">
      <c r="B2155" s="9">
        <v>1700</v>
      </c>
      <c r="C2155" s="9" t="str">
        <v>출고재고</v>
      </c>
      <c r="D2155" s="9" t="str">
        <v/>
      </c>
      <c r="E2155" s="9" t="str">
        <v/>
      </c>
      <c r="F2155" s="9" t="str">
        <v/>
      </c>
      <c r="G2155" s="9" t="str">
        <v/>
      </c>
      <c r="H2155" s="9" t="str">
        <v>RE-05B-5101</v>
      </c>
      <c r="I2155" s="11" t="str">
        <v>RE-05B-5101]eSUB Bd</v>
      </c>
      <c r="J2155" s="9">
        <v>19</v>
      </c>
      <c r="K2155" s="9" t="str">
        <v/>
      </c>
      <c r="L2155" s="9" t="str">
        <v>K6-4</v>
      </c>
      <c r="M2155" s="12">
        <v>46276</v>
      </c>
      <c r="N2155" s="5" t="str">
        <v/>
      </c>
      <c r="O2155" s="5">
        <v>100573</v>
      </c>
      <c r="P2155" s="5">
        <v>19</v>
      </c>
      <c r="Q2155" s="14">
        <v>46287</v>
      </c>
      <c r="R2155" s="15">
        <v>0</v>
      </c>
    </row>
    <row r="2156" spans="2:18" x14ac:dyDescent="0.35">
      <c r="B2156" s="9">
        <v>1699</v>
      </c>
      <c r="C2156" s="9" t="str">
        <v>출고재고</v>
      </c>
      <c r="D2156" s="9" t="str">
        <v/>
      </c>
      <c r="E2156" s="9" t="str">
        <v/>
      </c>
      <c r="F2156" s="9" t="str">
        <v/>
      </c>
      <c r="G2156" s="9" t="str">
        <v/>
      </c>
      <c r="H2156" s="9" t="str">
        <v>RE-05A-1050</v>
      </c>
      <c r="I2156" s="11" t="str">
        <v>RE-05A-1050]ASM ROTATOR MODULE</v>
      </c>
      <c r="J2156" s="9">
        <v>27</v>
      </c>
      <c r="K2156" s="9" t="str">
        <v/>
      </c>
      <c r="L2156" s="9" t="str">
        <v>K8</v>
      </c>
      <c r="M2156" s="12">
        <v>46276</v>
      </c>
      <c r="N2156" s="5" t="str">
        <v/>
      </c>
      <c r="O2156" s="5">
        <v>100573</v>
      </c>
      <c r="P2156" s="5">
        <v>20</v>
      </c>
      <c r="Q2156" s="14">
        <v>46287</v>
      </c>
      <c r="R2156" s="15">
        <v>7</v>
      </c>
    </row>
    <row r="2157" spans="2:18" x14ac:dyDescent="0.35">
      <c r="B2157" s="9">
        <v>1400</v>
      </c>
      <c r="C2157" s="9" t="str">
        <v>출고재고</v>
      </c>
      <c r="D2157" s="9" t="str">
        <v/>
      </c>
      <c r="E2157" s="9" t="str">
        <v/>
      </c>
      <c r="F2157" s="9" t="str">
        <v/>
      </c>
      <c r="G2157" s="9" t="str">
        <v/>
      </c>
      <c r="H2157" s="9" t="str">
        <v>RA-06M-1105</v>
      </c>
      <c r="I2157" s="11" t="str">
        <v>RA-06M-1105]DECO WINDOW COL</v>
      </c>
      <c r="J2157" s="9">
        <v>43</v>
      </c>
      <c r="K2157" s="9" t="str">
        <v/>
      </c>
      <c r="L2157" s="9" t="str">
        <v>L2-2</v>
      </c>
      <c r="M2157" s="12">
        <v>46283</v>
      </c>
      <c r="N2157" s="5" t="str">
        <v/>
      </c>
      <c r="O2157" s="5">
        <v>100574</v>
      </c>
      <c r="P2157" s="5">
        <v>20</v>
      </c>
      <c r="Q2157" s="14">
        <v>46287</v>
      </c>
      <c r="R2157" s="15">
        <v>23</v>
      </c>
    </row>
    <row r="2158" spans="2:18" x14ac:dyDescent="0.35">
      <c r="B2158" s="9">
        <v>1180</v>
      </c>
      <c r="C2158" s="9" t="str">
        <v>출고재고</v>
      </c>
      <c r="D2158" s="9" t="str">
        <v/>
      </c>
      <c r="E2158" s="9" t="str">
        <v/>
      </c>
      <c r="F2158" s="9" t="str">
        <v/>
      </c>
      <c r="G2158" s="9" t="str">
        <v/>
      </c>
      <c r="H2158" s="9" t="str">
        <v>RE-06M-0636</v>
      </c>
      <c r="I2158" s="11" t="str">
        <v>RE-06M-0636]DECO HORIZONTAL LASER</v>
      </c>
      <c r="J2158" s="9">
        <v>49</v>
      </c>
      <c r="K2158" s="9" t="str">
        <v/>
      </c>
      <c r="L2158" s="9" t="str">
        <v>K3-4</v>
      </c>
      <c r="M2158" s="12">
        <v>46276</v>
      </c>
      <c r="N2158" s="5" t="str">
        <v/>
      </c>
      <c r="O2158" s="5">
        <v>100574</v>
      </c>
      <c r="P2158" s="5">
        <v>20</v>
      </c>
      <c r="Q2158" s="14">
        <v>46287</v>
      </c>
      <c r="R2158" s="15">
        <v>29</v>
      </c>
    </row>
    <row r="2159" spans="2:18" x14ac:dyDescent="0.35">
      <c r="B2159" s="9">
        <v>1178</v>
      </c>
      <c r="C2159" s="9" t="str">
        <v>출고재고</v>
      </c>
      <c r="D2159" s="9" t="str">
        <v/>
      </c>
      <c r="E2159" s="9" t="str">
        <v/>
      </c>
      <c r="F2159" s="9" t="str">
        <v/>
      </c>
      <c r="G2159" s="9" t="str">
        <v/>
      </c>
      <c r="H2159" s="9" t="str">
        <v>RE-07M-0717</v>
      </c>
      <c r="I2159" s="11" t="str">
        <v>RE-07M-0717]CVR DET FRONT</v>
      </c>
      <c r="J2159" s="9">
        <v>52</v>
      </c>
      <c r="K2159" s="9" t="str">
        <v/>
      </c>
      <c r="L2159" s="9" t="str">
        <v>K2-6</v>
      </c>
      <c r="M2159" s="12">
        <v>46276</v>
      </c>
      <c r="N2159" s="5" t="str">
        <v/>
      </c>
      <c r="O2159" s="5">
        <v>100574</v>
      </c>
      <c r="P2159" s="5">
        <v>20</v>
      </c>
      <c r="Q2159" s="14">
        <v>46287</v>
      </c>
      <c r="R2159" s="15">
        <v>32</v>
      </c>
    </row>
    <row r="2160" spans="2:18" x14ac:dyDescent="0.35">
      <c r="B2160" s="9">
        <v>1179</v>
      </c>
      <c r="C2160" s="9" t="str">
        <v>출고재고</v>
      </c>
      <c r="D2160" s="9" t="str">
        <v/>
      </c>
      <c r="E2160" s="9" t="str">
        <v/>
      </c>
      <c r="F2160" s="9" t="str">
        <v/>
      </c>
      <c r="G2160" s="9" t="str">
        <v/>
      </c>
      <c r="H2160" s="9" t="str">
        <v>RE-04M-0438</v>
      </c>
      <c r="I2160" s="11" t="str">
        <v>RE-04M-0438]DECO CANINE WINDOW</v>
      </c>
      <c r="J2160" s="9">
        <v>113</v>
      </c>
      <c r="K2160" s="9" t="str">
        <v/>
      </c>
      <c r="L2160" s="9" t="str">
        <v>K3-3</v>
      </c>
      <c r="M2160" s="12">
        <v>46276</v>
      </c>
      <c r="N2160" s="5" t="str">
        <v/>
      </c>
      <c r="O2160" s="5">
        <v>100574</v>
      </c>
      <c r="P2160" s="5">
        <v>20</v>
      </c>
      <c r="Q2160" s="14">
        <v>46287</v>
      </c>
      <c r="R2160" s="15">
        <v>93</v>
      </c>
    </row>
    <row r="2161" spans="2:18" x14ac:dyDescent="0.35">
      <c r="B2161" s="9">
        <v>1405</v>
      </c>
      <c r="C2161" s="9" t="str">
        <v>출고재고</v>
      </c>
      <c r="D2161" s="9" t="str">
        <v/>
      </c>
      <c r="E2161" s="9" t="str">
        <v/>
      </c>
      <c r="F2161" s="9" t="str">
        <v/>
      </c>
      <c r="G2161" s="9" t="str">
        <v/>
      </c>
      <c r="H2161" s="9" t="str">
        <v>RA-7-3</v>
      </c>
      <c r="I2161" s="11" t="str">
        <v>RA-7-3]LAN PC</v>
      </c>
      <c r="J2161" s="9">
        <v>231</v>
      </c>
      <c r="K2161" s="9" t="str">
        <v/>
      </c>
      <c r="L2161" s="9" t="str">
        <v>G4</v>
      </c>
      <c r="M2161" s="12">
        <v>46283</v>
      </c>
      <c r="N2161" s="5" t="str">
        <v/>
      </c>
      <c r="O2161" s="5">
        <v>100574</v>
      </c>
      <c r="P2161" s="5">
        <v>20</v>
      </c>
      <c r="Q2161" s="14">
        <v>46287</v>
      </c>
      <c r="R2161" s="15">
        <v>211</v>
      </c>
    </row>
    <row r="2162" spans="2:18" x14ac:dyDescent="0.35">
      <c r="B2162" s="9">
        <v>1182</v>
      </c>
      <c r="C2162" s="9" t="str">
        <v>출고재고</v>
      </c>
      <c r="D2162" s="9" t="str">
        <v/>
      </c>
      <c r="E2162" s="9" t="str">
        <v/>
      </c>
      <c r="F2162" s="9" t="str">
        <v/>
      </c>
      <c r="G2162" s="9" t="str">
        <v/>
      </c>
      <c r="H2162" s="9" t="str">
        <v>RE-01T-0104</v>
      </c>
      <c r="I2162" s="11" t="str">
        <v>RE-01T-0104]RUBBER CAP DECO</v>
      </c>
      <c r="J2162" s="9">
        <v>2040</v>
      </c>
      <c r="K2162" s="9" t="str">
        <v/>
      </c>
      <c r="L2162" s="9" t="str">
        <v>W</v>
      </c>
      <c r="M2162" s="12">
        <v>46276</v>
      </c>
      <c r="N2162" s="5" t="str">
        <v/>
      </c>
      <c r="O2162" s="5">
        <v>100574</v>
      </c>
      <c r="P2162" s="5">
        <v>440</v>
      </c>
      <c r="Q2162" s="14">
        <v>46287</v>
      </c>
      <c r="R2162" s="15">
        <v>1600</v>
      </c>
    </row>
    <row r="2163" spans="2:18" x14ac:dyDescent="0.35">
      <c r="B2163" s="9">
        <v>771</v>
      </c>
      <c r="C2163" s="9" t="str">
        <v>출고재고</v>
      </c>
      <c r="D2163" s="9" t="str">
        <v/>
      </c>
      <c r="E2163" s="9" t="str">
        <v/>
      </c>
      <c r="F2163" s="9" t="str">
        <v/>
      </c>
      <c r="G2163" s="9" t="str">
        <v/>
      </c>
      <c r="H2163" s="9" t="str">
        <v>RE-09T-0902</v>
      </c>
      <c r="I2163" s="11" t="str">
        <v>RE-09T-0902]CAS CHINREST LOW</v>
      </c>
      <c r="J2163" s="9">
        <v>8</v>
      </c>
      <c r="K2163" s="9" t="str">
        <v/>
      </c>
      <c r="L2163" s="9" t="str">
        <v>3A-22</v>
      </c>
      <c r="M2163" s="12">
        <v>46275</v>
      </c>
      <c r="N2163" s="5" t="str">
        <v/>
      </c>
      <c r="O2163" s="5">
        <v>100575</v>
      </c>
      <c r="P2163" s="5">
        <v>8</v>
      </c>
      <c r="Q2163" s="14">
        <v>46288</v>
      </c>
      <c r="R2163" s="15">
        <v>0</v>
      </c>
    </row>
    <row r="2164" spans="2:18" x14ac:dyDescent="0.35">
      <c r="B2164" s="9">
        <v>759</v>
      </c>
      <c r="C2164" s="9" t="str">
        <v>출고재고</v>
      </c>
      <c r="D2164" s="9" t="str">
        <v/>
      </c>
      <c r="E2164" s="9" t="str">
        <v/>
      </c>
      <c r="F2164" s="9" t="str">
        <v/>
      </c>
      <c r="G2164" s="9" t="str">
        <v/>
      </c>
      <c r="H2164" s="9" t="str">
        <v>RE-04T-0439</v>
      </c>
      <c r="I2164" s="11" t="str">
        <v>RE-04T-0439]CAS HEADREST KNOB</v>
      </c>
      <c r="J2164" s="9">
        <v>18</v>
      </c>
      <c r="K2164" s="9" t="str">
        <v/>
      </c>
      <c r="L2164" s="9" t="str">
        <v>3L14-2</v>
      </c>
      <c r="M2164" s="12">
        <v>46275</v>
      </c>
      <c r="N2164" s="5" t="str">
        <v/>
      </c>
      <c r="O2164" s="5">
        <v>100575</v>
      </c>
      <c r="P2164" s="5">
        <v>13</v>
      </c>
      <c r="Q2164" s="14">
        <v>46288</v>
      </c>
      <c r="R2164" s="15">
        <v>5</v>
      </c>
    </row>
    <row r="2165" spans="2:18" x14ac:dyDescent="0.35">
      <c r="B2165" s="9">
        <v>1163</v>
      </c>
      <c r="C2165" s="9" t="str">
        <v>출고재고</v>
      </c>
      <c r="D2165" s="9" t="str">
        <v/>
      </c>
      <c r="E2165" s="9" t="str">
        <v/>
      </c>
      <c r="F2165" s="9" t="str">
        <v/>
      </c>
      <c r="G2165" s="9" t="str">
        <v/>
      </c>
      <c r="H2165" s="9" t="str">
        <v>RE-03T-0309</v>
      </c>
      <c r="I2165" s="11" t="str">
        <v>RE-03T-0309]CAS CLMN DECO</v>
      </c>
      <c r="J2165" s="9">
        <v>26</v>
      </c>
      <c r="K2165" s="9" t="str">
        <v/>
      </c>
      <c r="L2165" s="9" t="str">
        <v>3A-21</v>
      </c>
      <c r="M2165" s="12">
        <v>46281</v>
      </c>
      <c r="N2165" s="5" t="str">
        <v/>
      </c>
      <c r="O2165" s="5">
        <v>100575</v>
      </c>
      <c r="P2165" s="5">
        <v>20</v>
      </c>
      <c r="Q2165" s="14">
        <v>46288</v>
      </c>
      <c r="R2165" s="15">
        <v>6</v>
      </c>
    </row>
    <row r="2166" spans="2:18" x14ac:dyDescent="0.35">
      <c r="B2166" s="9">
        <v>756</v>
      </c>
      <c r="C2166" s="9" t="str">
        <v>출고재고</v>
      </c>
      <c r="D2166" s="9" t="str">
        <v/>
      </c>
      <c r="E2166" s="9" t="str">
        <v/>
      </c>
      <c r="F2166" s="9" t="str">
        <v/>
      </c>
      <c r="G2166" s="9" t="str">
        <v/>
      </c>
      <c r="H2166" s="9" t="str">
        <v>RE-03T-0320</v>
      </c>
      <c r="I2166" s="11" t="str">
        <v/>
      </c>
      <c r="J2166" s="9">
        <v>33</v>
      </c>
      <c r="K2166" s="9" t="str">
        <v/>
      </c>
      <c r="L2166" s="9" t="str">
        <v>3A-14</v>
      </c>
      <c r="M2166" s="12">
        <v>46275</v>
      </c>
      <c r="N2166" s="5" t="str">
        <v/>
      </c>
      <c r="O2166" s="5">
        <v>100575</v>
      </c>
      <c r="P2166" s="5">
        <v>20</v>
      </c>
      <c r="Q2166" s="14">
        <v>46288</v>
      </c>
      <c r="R2166" s="15">
        <v>13</v>
      </c>
    </row>
    <row r="2167" spans="2:18" x14ac:dyDescent="0.35">
      <c r="B2167" s="9">
        <v>746</v>
      </c>
      <c r="C2167" s="9" t="str">
        <v>출고재고</v>
      </c>
      <c r="D2167" s="9" t="str">
        <v/>
      </c>
      <c r="E2167" s="9" t="str">
        <v/>
      </c>
      <c r="F2167" s="9" t="str">
        <v/>
      </c>
      <c r="G2167" s="9" t="str">
        <v/>
      </c>
      <c r="H2167" s="9" t="str">
        <v>RE-09S-0909</v>
      </c>
      <c r="I2167" s="11" t="str">
        <v>RE-09S-0909]STK FOOT</v>
      </c>
      <c r="J2167" s="9">
        <v>34</v>
      </c>
      <c r="K2167" s="9" t="str">
        <v/>
      </c>
      <c r="L2167" s="9" t="str">
        <v>K7-3</v>
      </c>
      <c r="M2167" s="12">
        <v>46275</v>
      </c>
      <c r="N2167" s="5" t="str">
        <v/>
      </c>
      <c r="O2167" s="5">
        <v>100575</v>
      </c>
      <c r="P2167" s="5">
        <v>20</v>
      </c>
      <c r="Q2167" s="14">
        <v>46288</v>
      </c>
      <c r="R2167" s="15">
        <v>14</v>
      </c>
    </row>
    <row r="2168" spans="2:18" x14ac:dyDescent="0.35">
      <c r="B2168" s="9">
        <v>757</v>
      </c>
      <c r="C2168" s="9" t="str">
        <v>출고재고</v>
      </c>
      <c r="D2168" s="9" t="str">
        <v/>
      </c>
      <c r="E2168" s="9" t="str">
        <v/>
      </c>
      <c r="F2168" s="9" t="str">
        <v/>
      </c>
      <c r="G2168" s="9" t="str">
        <v/>
      </c>
      <c r="H2168" s="9" t="str">
        <v>RE-03T-0306</v>
      </c>
      <c r="I2168" s="11" t="str">
        <v>RE-03T-0306]CAS CLMN FRONT</v>
      </c>
      <c r="J2168" s="9">
        <v>49</v>
      </c>
      <c r="K2168" s="9" t="str">
        <v/>
      </c>
      <c r="L2168" s="9" t="str">
        <v>3A-11</v>
      </c>
      <c r="M2168" s="12">
        <v>46275</v>
      </c>
      <c r="N2168" s="5" t="str">
        <v/>
      </c>
      <c r="O2168" s="5">
        <v>100575</v>
      </c>
      <c r="P2168" s="5">
        <v>20</v>
      </c>
      <c r="Q2168" s="14">
        <v>46288</v>
      </c>
      <c r="R2168" s="15">
        <v>29</v>
      </c>
    </row>
    <row r="2169" spans="2:18" x14ac:dyDescent="0.35">
      <c r="B2169" s="9">
        <v>766</v>
      </c>
      <c r="C2169" s="9" t="str">
        <v>출고재고</v>
      </c>
      <c r="D2169" s="9" t="str">
        <v/>
      </c>
      <c r="E2169" s="9" t="str">
        <v/>
      </c>
      <c r="F2169" s="9" t="str">
        <v/>
      </c>
      <c r="G2169" s="9" t="str">
        <v/>
      </c>
      <c r="H2169" s="9" t="str">
        <v>RE-09S-0907</v>
      </c>
      <c r="I2169" s="11" t="str">
        <v>RE-09S-0907]MAGNET TEMPLE SUP 15_8</v>
      </c>
      <c r="J2169" s="9">
        <v>49</v>
      </c>
      <c r="K2169" s="9" t="str">
        <v/>
      </c>
      <c r="L2169" s="9" t="str">
        <v>K3-5</v>
      </c>
      <c r="M2169" s="12">
        <v>46275</v>
      </c>
      <c r="N2169" s="5" t="str">
        <v/>
      </c>
      <c r="O2169" s="5">
        <v>100575</v>
      </c>
      <c r="P2169" s="5">
        <v>39</v>
      </c>
      <c r="Q2169" s="14">
        <v>46288</v>
      </c>
      <c r="R2169" s="15">
        <v>10</v>
      </c>
    </row>
    <row r="2170" spans="2:18" x14ac:dyDescent="0.35">
      <c r="B2170" s="9">
        <v>755</v>
      </c>
      <c r="C2170" s="9" t="str">
        <v>출고재고</v>
      </c>
      <c r="D2170" s="9" t="str">
        <v/>
      </c>
      <c r="E2170" s="9" t="str">
        <v/>
      </c>
      <c r="F2170" s="9" t="str">
        <v/>
      </c>
      <c r="G2170" s="9" t="str">
        <v/>
      </c>
      <c r="H2170" s="9" t="str">
        <v>RE-01T-0103</v>
      </c>
      <c r="I2170" s="11" t="str">
        <v>RE-01T-0103]CAS MAIN Bas R</v>
      </c>
      <c r="J2170" s="9">
        <v>51</v>
      </c>
      <c r="K2170" s="9" t="str">
        <v/>
      </c>
      <c r="L2170" s="9" t="str">
        <v>3A-6,3A-7</v>
      </c>
      <c r="M2170" s="12">
        <v>46275</v>
      </c>
      <c r="N2170" s="5" t="str">
        <v/>
      </c>
      <c r="O2170" s="5">
        <v>100575</v>
      </c>
      <c r="P2170" s="5">
        <v>20</v>
      </c>
      <c r="Q2170" s="14">
        <v>46288</v>
      </c>
      <c r="R2170" s="15">
        <v>31</v>
      </c>
    </row>
    <row r="2171" spans="2:18" x14ac:dyDescent="0.35">
      <c r="B2171" s="9">
        <v>754</v>
      </c>
      <c r="C2171" s="9" t="str">
        <v>출고재고</v>
      </c>
      <c r="D2171" s="9" t="str">
        <v/>
      </c>
      <c r="E2171" s="9" t="str">
        <v/>
      </c>
      <c r="F2171" s="9" t="str">
        <v/>
      </c>
      <c r="G2171" s="9" t="str">
        <v/>
      </c>
      <c r="H2171" s="9" t="str">
        <v>RE-01T-0102</v>
      </c>
      <c r="I2171" s="11" t="str">
        <v>RE-01T-0102]CAS MAIN Bas L</v>
      </c>
      <c r="J2171" s="9">
        <v>53</v>
      </c>
      <c r="K2171" s="9" t="str">
        <v/>
      </c>
      <c r="L2171" s="9" t="str">
        <v>3A-4,3A-5</v>
      </c>
      <c r="M2171" s="12">
        <v>46275</v>
      </c>
      <c r="N2171" s="5" t="str">
        <v/>
      </c>
      <c r="O2171" s="5">
        <v>100575</v>
      </c>
      <c r="P2171" s="5">
        <v>20</v>
      </c>
      <c r="Q2171" s="14">
        <v>46288</v>
      </c>
      <c r="R2171" s="15">
        <v>33</v>
      </c>
    </row>
    <row r="2172" spans="2:18" x14ac:dyDescent="0.35">
      <c r="B2172" s="9">
        <v>763</v>
      </c>
      <c r="C2172" s="9" t="str">
        <v>출고재고</v>
      </c>
      <c r="D2172" s="9" t="str">
        <v/>
      </c>
      <c r="E2172" s="9" t="str">
        <v/>
      </c>
      <c r="F2172" s="9" t="str">
        <v/>
      </c>
      <c r="G2172" s="9" t="str">
        <v/>
      </c>
      <c r="H2172" s="9" t="str">
        <v>RE-04T-0416</v>
      </c>
      <c r="I2172" s="11" t="str">
        <v>RE-04T-0416]CAS HANDLE FRONT</v>
      </c>
      <c r="J2172" s="9">
        <v>54</v>
      </c>
      <c r="K2172" s="9" t="str">
        <v/>
      </c>
      <c r="L2172" s="9" t="str">
        <v>3A-20</v>
      </c>
      <c r="M2172" s="12">
        <v>46275</v>
      </c>
      <c r="N2172" s="5" t="str">
        <v/>
      </c>
      <c r="O2172" s="5">
        <v>100575</v>
      </c>
      <c r="P2172" s="5">
        <v>20</v>
      </c>
      <c r="Q2172" s="14">
        <v>46288</v>
      </c>
      <c r="R2172" s="15">
        <v>34</v>
      </c>
    </row>
    <row r="2173" spans="2:18" x14ac:dyDescent="0.35">
      <c r="B2173" s="9">
        <v>764</v>
      </c>
      <c r="C2173" s="9" t="str">
        <v>출고재고</v>
      </c>
      <c r="D2173" s="9" t="str">
        <v/>
      </c>
      <c r="E2173" s="9" t="str">
        <v/>
      </c>
      <c r="F2173" s="9" t="str">
        <v/>
      </c>
      <c r="G2173" s="9" t="str">
        <v/>
      </c>
      <c r="H2173" s="9" t="str">
        <v>RE-04T-0419</v>
      </c>
      <c r="I2173" s="11" t="str">
        <v>RE-04T-0419]CAS HANDLE REAR</v>
      </c>
      <c r="J2173" s="9">
        <v>54</v>
      </c>
      <c r="K2173" s="9" t="str">
        <v/>
      </c>
      <c r="L2173" s="9" t="str">
        <v>3A-20</v>
      </c>
      <c r="M2173" s="12">
        <v>46275</v>
      </c>
      <c r="N2173" s="5" t="str">
        <v/>
      </c>
      <c r="O2173" s="5">
        <v>100575</v>
      </c>
      <c r="P2173" s="5">
        <v>20</v>
      </c>
      <c r="Q2173" s="14">
        <v>46288</v>
      </c>
      <c r="R2173" s="15">
        <v>34</v>
      </c>
    </row>
    <row r="2174" spans="2:18" x14ac:dyDescent="0.35">
      <c r="B2174" s="9">
        <v>747</v>
      </c>
      <c r="C2174" s="9" t="str">
        <v>출고재고</v>
      </c>
      <c r="D2174" s="9" t="str">
        <v/>
      </c>
      <c r="E2174" s="9" t="str">
        <v/>
      </c>
      <c r="F2174" s="9" t="str">
        <v/>
      </c>
      <c r="G2174" s="9" t="str">
        <v/>
      </c>
      <c r="H2174" s="9" t="str">
        <v>RE-09S-0908</v>
      </c>
      <c r="I2174" s="11" t="str">
        <v>RE-09S-0908]FOOT STK JIG</v>
      </c>
      <c r="J2174" s="9">
        <v>56</v>
      </c>
      <c r="K2174" s="9" t="str">
        <v/>
      </c>
      <c r="L2174" s="9" t="str">
        <v>K7-3</v>
      </c>
      <c r="M2174" s="12">
        <v>46275</v>
      </c>
      <c r="N2174" s="5" t="str">
        <v/>
      </c>
      <c r="O2174" s="5">
        <v>100575</v>
      </c>
      <c r="P2174" s="5">
        <v>20</v>
      </c>
      <c r="Q2174" s="14">
        <v>46288</v>
      </c>
      <c r="R2174" s="15">
        <v>36</v>
      </c>
    </row>
    <row r="2175" spans="2:18" x14ac:dyDescent="0.35">
      <c r="B2175" s="9">
        <v>753</v>
      </c>
      <c r="C2175" s="9" t="str">
        <v>출고재고</v>
      </c>
      <c r="D2175" s="9" t="str">
        <v/>
      </c>
      <c r="E2175" s="9" t="str">
        <v/>
      </c>
      <c r="F2175" s="9" t="str">
        <v/>
      </c>
      <c r="G2175" s="9" t="str">
        <v/>
      </c>
      <c r="H2175" s="9" t="str">
        <v>RE-02T-0247</v>
      </c>
      <c r="I2175" s="11" t="str">
        <v>RE-02T-0247]CAS VERT TOP</v>
      </c>
      <c r="J2175" s="9">
        <v>56</v>
      </c>
      <c r="K2175" s="9" t="str">
        <v/>
      </c>
      <c r="L2175" s="9" t="str">
        <v>3A-14</v>
      </c>
      <c r="M2175" s="12">
        <v>46275</v>
      </c>
      <c r="N2175" s="5" t="str">
        <v/>
      </c>
      <c r="O2175" s="5">
        <v>100575</v>
      </c>
      <c r="P2175" s="5">
        <v>20</v>
      </c>
      <c r="Q2175" s="14">
        <v>46288</v>
      </c>
      <c r="R2175" s="15">
        <v>36</v>
      </c>
    </row>
    <row r="2176" spans="2:18" x14ac:dyDescent="0.35">
      <c r="B2176" s="9">
        <v>768</v>
      </c>
      <c r="C2176" s="9" t="str">
        <v>출고재고</v>
      </c>
      <c r="D2176" s="9" t="str">
        <v/>
      </c>
      <c r="E2176" s="9" t="str">
        <v/>
      </c>
      <c r="F2176" s="9" t="str">
        <v/>
      </c>
      <c r="G2176" s="9" t="str">
        <v/>
      </c>
      <c r="H2176" s="9" t="str">
        <v>RE-09T-0906</v>
      </c>
      <c r="I2176" s="11" t="str">
        <v>RE-09T-0906]CAS TEMPLE SUP R</v>
      </c>
      <c r="J2176" s="9">
        <v>65</v>
      </c>
      <c r="K2176" s="9" t="str">
        <v/>
      </c>
      <c r="L2176" s="9" t="str">
        <v>3A-22</v>
      </c>
      <c r="M2176" s="12">
        <v>46275</v>
      </c>
      <c r="N2176" s="5" t="str">
        <v/>
      </c>
      <c r="O2176" s="5">
        <v>100575</v>
      </c>
      <c r="P2176" s="5">
        <v>20</v>
      </c>
      <c r="Q2176" s="14">
        <v>46288</v>
      </c>
      <c r="R2176" s="15">
        <v>45</v>
      </c>
    </row>
    <row r="2177" spans="2:18" x14ac:dyDescent="0.35">
      <c r="B2177" s="9">
        <v>765</v>
      </c>
      <c r="C2177" s="9" t="str">
        <v>출고재고</v>
      </c>
      <c r="D2177" s="9" t="str">
        <v/>
      </c>
      <c r="E2177" s="9" t="str">
        <v/>
      </c>
      <c r="F2177" s="9" t="str">
        <v/>
      </c>
      <c r="G2177" s="9" t="str">
        <v/>
      </c>
      <c r="H2177" s="9" t="str">
        <v>RE-09T-0905</v>
      </c>
      <c r="I2177" s="11" t="str">
        <v>RE-09T-0905]CAS TEMPLE SUP L</v>
      </c>
      <c r="J2177" s="9">
        <v>66</v>
      </c>
      <c r="K2177" s="9" t="str">
        <v/>
      </c>
      <c r="L2177" s="9" t="str">
        <v>3A-22</v>
      </c>
      <c r="M2177" s="12">
        <v>46275</v>
      </c>
      <c r="N2177" s="5" t="str">
        <v/>
      </c>
      <c r="O2177" s="5">
        <v>100575</v>
      </c>
      <c r="P2177" s="5">
        <v>20</v>
      </c>
      <c r="Q2177" s="14">
        <v>46288</v>
      </c>
      <c r="R2177" s="15">
        <v>46</v>
      </c>
    </row>
    <row r="2178" spans="2:18" x14ac:dyDescent="0.35">
      <c r="B2178" s="9">
        <v>1597</v>
      </c>
      <c r="C2178" s="9" t="str">
        <v>출고재고</v>
      </c>
      <c r="D2178" s="9" t="str">
        <v/>
      </c>
      <c r="E2178" s="9" t="str">
        <v/>
      </c>
      <c r="F2178" s="9" t="str">
        <v/>
      </c>
      <c r="G2178" s="9" t="str">
        <v/>
      </c>
      <c r="H2178" s="9" t="str">
        <v>RA-09A-0967</v>
      </c>
      <c r="I2178" s="11" t="str">
        <v>RA-09A-0967]ASM EXPOSURE SW</v>
      </c>
      <c r="J2178" s="9">
        <v>70</v>
      </c>
      <c r="K2178" s="9" t="str">
        <v/>
      </c>
      <c r="L2178" s="9" t="str">
        <v>J1-3</v>
      </c>
      <c r="M2178" s="12">
        <v>46282</v>
      </c>
      <c r="N2178" s="5" t="str">
        <v/>
      </c>
      <c r="O2178" s="5">
        <v>100575</v>
      </c>
      <c r="P2178" s="5">
        <v>20</v>
      </c>
      <c r="Q2178" s="14">
        <v>46288</v>
      </c>
      <c r="R2178" s="15">
        <v>50</v>
      </c>
    </row>
    <row r="2179" spans="2:18" x14ac:dyDescent="0.35">
      <c r="B2179" s="9">
        <v>752</v>
      </c>
      <c r="C2179" s="9" t="str">
        <v>출고재고</v>
      </c>
      <c r="D2179" s="9" t="str">
        <v/>
      </c>
      <c r="E2179" s="9" t="str">
        <v/>
      </c>
      <c r="F2179" s="9" t="str">
        <v/>
      </c>
      <c r="G2179" s="9" t="str">
        <v/>
      </c>
      <c r="H2179" s="9" t="str">
        <v>RE-09T-0904</v>
      </c>
      <c r="I2179" s="11" t="str">
        <v>RE-09T-0904]CAS TMJREST</v>
      </c>
      <c r="J2179" s="9">
        <v>75</v>
      </c>
      <c r="K2179" s="9" t="str">
        <v/>
      </c>
      <c r="L2179" s="9" t="str">
        <v>3A-22</v>
      </c>
      <c r="M2179" s="12">
        <v>46275</v>
      </c>
      <c r="N2179" s="5" t="str">
        <v/>
      </c>
      <c r="O2179" s="5">
        <v>100575</v>
      </c>
      <c r="P2179" s="5">
        <v>20</v>
      </c>
      <c r="Q2179" s="14">
        <v>46288</v>
      </c>
      <c r="R2179" s="15">
        <v>55</v>
      </c>
    </row>
    <row r="2180" spans="2:18" x14ac:dyDescent="0.35">
      <c r="B2180" s="9">
        <v>760</v>
      </c>
      <c r="C2180" s="9" t="str">
        <v>출고재고</v>
      </c>
      <c r="D2180" s="9" t="str">
        <v/>
      </c>
      <c r="E2180" s="9" t="str">
        <v/>
      </c>
      <c r="F2180" s="9" t="str">
        <v/>
      </c>
      <c r="G2180" s="9" t="str">
        <v/>
      </c>
      <c r="H2180" s="9" t="str">
        <v>RE-04T-0453</v>
      </c>
      <c r="I2180" s="11" t="str">
        <v>RE-04T-0453]CAP HANDLE B</v>
      </c>
      <c r="J2180" s="9">
        <v>85</v>
      </c>
      <c r="K2180" s="9" t="str">
        <v/>
      </c>
      <c r="L2180" s="9" t="str">
        <v>3L14-2</v>
      </c>
      <c r="M2180" s="12">
        <v>46275</v>
      </c>
      <c r="N2180" s="5" t="str">
        <v/>
      </c>
      <c r="O2180" s="5">
        <v>100575</v>
      </c>
      <c r="P2180" s="5">
        <v>60</v>
      </c>
      <c r="Q2180" s="14">
        <v>46288</v>
      </c>
      <c r="R2180" s="15">
        <v>25</v>
      </c>
    </row>
    <row r="2181" spans="2:18" x14ac:dyDescent="0.35">
      <c r="B2181" s="9">
        <v>1708</v>
      </c>
      <c r="C2181" s="9" t="str">
        <v>출고재고</v>
      </c>
      <c r="D2181" s="9" t="str">
        <v/>
      </c>
      <c r="E2181" s="9" t="str">
        <v>입고</v>
      </c>
      <c r="F2181" s="9" t="str">
        <v>진광</v>
      </c>
      <c r="G2181" s="9" t="str">
        <v>장동은</v>
      </c>
      <c r="H2181" s="9" t="str">
        <v>RE-09T-0902</v>
      </c>
      <c r="I2181" s="11" t="str">
        <v>RE-09T-0902]CAS CHINREST LOW</v>
      </c>
      <c r="J2181" s="9">
        <v>100</v>
      </c>
      <c r="K2181" s="9" t="str">
        <v/>
      </c>
      <c r="L2181" s="9" t="str">
        <v>3A-22</v>
      </c>
      <c r="M2181" s="12">
        <v>46279</v>
      </c>
      <c r="N2181" s="5" t="str">
        <v/>
      </c>
      <c r="O2181" s="5">
        <v>100575</v>
      </c>
      <c r="P2181" s="5">
        <v>12</v>
      </c>
      <c r="Q2181" s="14">
        <v>46288</v>
      </c>
      <c r="R2181" s="15">
        <v>88</v>
      </c>
    </row>
    <row r="2182" spans="2:18" x14ac:dyDescent="0.35">
      <c r="B2182" s="9">
        <v>772</v>
      </c>
      <c r="C2182" s="9" t="str">
        <v>출고재고</v>
      </c>
      <c r="D2182" s="9" t="str">
        <v/>
      </c>
      <c r="E2182" s="9" t="str">
        <v/>
      </c>
      <c r="F2182" s="9" t="str">
        <v/>
      </c>
      <c r="G2182" s="9" t="str">
        <v/>
      </c>
      <c r="H2182" s="9" t="str">
        <v>RE-09T-0901</v>
      </c>
      <c r="I2182" s="11" t="str">
        <v>RE-09T-0901]CAS CHINREST</v>
      </c>
      <c r="J2182" s="9">
        <v>101</v>
      </c>
      <c r="K2182" s="9" t="str">
        <v/>
      </c>
      <c r="L2182" s="9" t="str">
        <v>3A-22</v>
      </c>
      <c r="M2182" s="12">
        <v>46275</v>
      </c>
      <c r="N2182" s="5" t="str">
        <v/>
      </c>
      <c r="O2182" s="5">
        <v>100575</v>
      </c>
      <c r="P2182" s="5">
        <v>20</v>
      </c>
      <c r="Q2182" s="14">
        <v>46288</v>
      </c>
      <c r="R2182" s="15">
        <v>81</v>
      </c>
    </row>
    <row r="2183" spans="2:18" x14ac:dyDescent="0.35">
      <c r="B2183" s="9">
        <v>750</v>
      </c>
      <c r="C2183" s="9" t="str">
        <v>출고재고</v>
      </c>
      <c r="D2183" s="9" t="str">
        <v/>
      </c>
      <c r="E2183" s="9" t="str">
        <v/>
      </c>
      <c r="F2183" s="9" t="str">
        <v/>
      </c>
      <c r="G2183" s="9" t="str">
        <v/>
      </c>
      <c r="H2183" s="9" t="str">
        <v>RA-09S-0389</v>
      </c>
      <c r="I2183" s="11" t="str">
        <v>RA-09S-0389]CVR BITE BLK VINYL CVR</v>
      </c>
      <c r="J2183" s="9">
        <v>112</v>
      </c>
      <c r="K2183" s="9" t="str">
        <v/>
      </c>
      <c r="L2183" s="9" t="str">
        <v>L1-1</v>
      </c>
      <c r="M2183" s="12">
        <v>46275</v>
      </c>
      <c r="N2183" s="5" t="str">
        <v/>
      </c>
      <c r="O2183" s="5">
        <v>100575</v>
      </c>
      <c r="P2183" s="5">
        <v>20</v>
      </c>
      <c r="Q2183" s="14">
        <v>46288</v>
      </c>
      <c r="R2183" s="15">
        <v>92</v>
      </c>
    </row>
    <row r="2184" spans="2:18" x14ac:dyDescent="0.35">
      <c r="B2184" s="9">
        <v>1358</v>
      </c>
      <c r="C2184" s="9" t="str">
        <v>출고재고</v>
      </c>
      <c r="D2184" s="9" t="str">
        <v/>
      </c>
      <c r="E2184" s="9" t="str">
        <v>입고</v>
      </c>
      <c r="F2184" s="9" t="str">
        <v>진광</v>
      </c>
      <c r="G2184" s="9" t="str">
        <v>장동은</v>
      </c>
      <c r="H2184" s="9" t="str">
        <v>RE-04T-0452</v>
      </c>
      <c r="I2184" s="11" t="str">
        <v>RE-04T-0452]CAP HANDLE A</v>
      </c>
      <c r="J2184" s="9">
        <v>190</v>
      </c>
      <c r="K2184" s="9" t="str">
        <v/>
      </c>
      <c r="L2184" s="9" t="str">
        <v>3L14-2</v>
      </c>
      <c r="M2184" s="12">
        <v>46286</v>
      </c>
      <c r="N2184" s="5" t="str">
        <v/>
      </c>
      <c r="O2184" s="5">
        <v>100575</v>
      </c>
      <c r="P2184" s="5">
        <v>100</v>
      </c>
      <c r="Q2184" s="14">
        <v>46288</v>
      </c>
      <c r="R2184" s="15">
        <v>90</v>
      </c>
    </row>
    <row r="2185" spans="2:18" x14ac:dyDescent="0.35">
      <c r="B2185" s="9">
        <v>761</v>
      </c>
      <c r="C2185" s="9" t="str">
        <v>출고재고</v>
      </c>
      <c r="D2185" s="9" t="str">
        <v/>
      </c>
      <c r="E2185" s="9" t="str">
        <v/>
      </c>
      <c r="F2185" s="9" t="str">
        <v/>
      </c>
      <c r="G2185" s="9" t="str">
        <v/>
      </c>
      <c r="H2185" s="9" t="str">
        <v>RE-04V-0417</v>
      </c>
      <c r="I2185" s="11" t="str">
        <v>RE-04V-0417]PLT HANDLE FRONT</v>
      </c>
      <c r="J2185" s="9">
        <v>218</v>
      </c>
      <c r="K2185" s="9" t="str">
        <v/>
      </c>
      <c r="L2185" s="9" t="str">
        <v xml:space="preserve">4F  </v>
      </c>
      <c r="M2185" s="12">
        <v>46275</v>
      </c>
      <c r="N2185" s="5" t="str">
        <v/>
      </c>
      <c r="O2185" s="5">
        <v>100575</v>
      </c>
      <c r="P2185" s="5">
        <v>20</v>
      </c>
      <c r="Q2185" s="14">
        <v>46288</v>
      </c>
      <c r="R2185" s="15">
        <v>198</v>
      </c>
    </row>
    <row r="2186" spans="2:18" x14ac:dyDescent="0.35">
      <c r="B2186" s="9">
        <v>762</v>
      </c>
      <c r="C2186" s="9" t="str">
        <v>출고재고</v>
      </c>
      <c r="D2186" s="9" t="str">
        <v/>
      </c>
      <c r="E2186" s="9" t="str">
        <v/>
      </c>
      <c r="F2186" s="9" t="str">
        <v/>
      </c>
      <c r="G2186" s="9" t="str">
        <v/>
      </c>
      <c r="H2186" s="9" t="str">
        <v>RE-04V-0418</v>
      </c>
      <c r="I2186" s="11" t="str">
        <v>RE-04V-0418]PLT HANDLE REAR</v>
      </c>
      <c r="J2186" s="9">
        <v>218</v>
      </c>
      <c r="K2186" s="9" t="str">
        <v/>
      </c>
      <c r="L2186" s="9" t="str">
        <v xml:space="preserve">4F  </v>
      </c>
      <c r="M2186" s="12">
        <v>46275</v>
      </c>
      <c r="N2186" s="5" t="str">
        <v/>
      </c>
      <c r="O2186" s="5">
        <v>100575</v>
      </c>
      <c r="P2186" s="5">
        <v>20</v>
      </c>
      <c r="Q2186" s="14">
        <v>46288</v>
      </c>
      <c r="R2186" s="15">
        <v>198</v>
      </c>
    </row>
    <row r="2187" spans="2:18" x14ac:dyDescent="0.35">
      <c r="B2187" s="9">
        <v>770</v>
      </c>
      <c r="C2187" s="9" t="str">
        <v>출고재고</v>
      </c>
      <c r="D2187" s="9" t="str">
        <v/>
      </c>
      <c r="E2187" s="9" t="str">
        <v/>
      </c>
      <c r="F2187" s="9" t="str">
        <v/>
      </c>
      <c r="G2187" s="9" t="str">
        <v/>
      </c>
      <c r="H2187" s="9" t="str">
        <v>RA-09T-1132</v>
      </c>
      <c r="I2187" s="11" t="str">
        <v>RA-09T-1132]CAS EDENTULOUS GUIDE</v>
      </c>
      <c r="J2187" s="9">
        <v>266</v>
      </c>
      <c r="K2187" s="9" t="str">
        <v/>
      </c>
      <c r="L2187" s="9" t="str">
        <v>3I4</v>
      </c>
      <c r="M2187" s="12">
        <v>46275</v>
      </c>
      <c r="N2187" s="5" t="str">
        <v/>
      </c>
      <c r="O2187" s="5">
        <v>100575</v>
      </c>
      <c r="P2187" s="5">
        <v>20</v>
      </c>
      <c r="Q2187" s="14">
        <v>46288</v>
      </c>
      <c r="R2187" s="15">
        <v>246</v>
      </c>
    </row>
    <row r="2188" spans="2:18" x14ac:dyDescent="0.35">
      <c r="B2188" s="9">
        <v>767</v>
      </c>
      <c r="C2188" s="9" t="str">
        <v>출고재고</v>
      </c>
      <c r="D2188" s="9" t="str">
        <v/>
      </c>
      <c r="E2188" s="9" t="str">
        <v/>
      </c>
      <c r="F2188" s="9" t="str">
        <v/>
      </c>
      <c r="G2188" s="9" t="str">
        <v/>
      </c>
      <c r="H2188" s="9" t="str">
        <v>RE-09S-0922</v>
      </c>
      <c r="I2188" s="11" t="str">
        <v>RE-09S-0922]STK MAGNET BLUE</v>
      </c>
      <c r="J2188" s="9">
        <v>270</v>
      </c>
      <c r="K2188" s="9" t="str">
        <v/>
      </c>
      <c r="L2188" s="9" t="str">
        <v>K7-3</v>
      </c>
      <c r="M2188" s="12">
        <v>46275</v>
      </c>
      <c r="N2188" s="5" t="str">
        <v/>
      </c>
      <c r="O2188" s="5">
        <v>100575</v>
      </c>
      <c r="P2188" s="5">
        <v>20</v>
      </c>
      <c r="Q2188" s="14">
        <v>46288</v>
      </c>
      <c r="R2188" s="15">
        <v>250</v>
      </c>
    </row>
    <row r="2189" spans="2:18" x14ac:dyDescent="0.35">
      <c r="B2189" s="9">
        <v>769</v>
      </c>
      <c r="C2189" s="9" t="str">
        <v>출고재고</v>
      </c>
      <c r="D2189" s="9" t="str">
        <v/>
      </c>
      <c r="E2189" s="9" t="str">
        <v/>
      </c>
      <c r="F2189" s="9" t="str">
        <v/>
      </c>
      <c r="G2189" s="9" t="str">
        <v/>
      </c>
      <c r="H2189" s="9" t="str">
        <v>RE-09S-0921</v>
      </c>
      <c r="I2189" s="11" t="str">
        <v>RE-09S-0921]STK MAGNET RED</v>
      </c>
      <c r="J2189" s="9">
        <v>275</v>
      </c>
      <c r="K2189" s="9" t="str">
        <v/>
      </c>
      <c r="L2189" s="9" t="str">
        <v>K7-3</v>
      </c>
      <c r="M2189" s="12">
        <v>46275</v>
      </c>
      <c r="N2189" s="5" t="str">
        <v/>
      </c>
      <c r="O2189" s="5">
        <v>100575</v>
      </c>
      <c r="P2189" s="5">
        <v>20</v>
      </c>
      <c r="Q2189" s="14">
        <v>46288</v>
      </c>
      <c r="R2189" s="15">
        <v>255</v>
      </c>
    </row>
    <row r="2190" spans="2:18" x14ac:dyDescent="0.35">
      <c r="B2190" s="9">
        <v>758</v>
      </c>
      <c r="C2190" s="9" t="str">
        <v>출고재고</v>
      </c>
      <c r="D2190" s="9" t="str">
        <v/>
      </c>
      <c r="E2190" s="9" t="str">
        <v/>
      </c>
      <c r="F2190" s="9" t="str">
        <v/>
      </c>
      <c r="G2190" s="9" t="str">
        <v/>
      </c>
      <c r="H2190" s="9" t="str">
        <v>RE-04T-0440</v>
      </c>
      <c r="I2190" s="11" t="str">
        <v>RE-04T-0440]CAP HEADREST KNOB</v>
      </c>
      <c r="J2190" s="9">
        <v>306</v>
      </c>
      <c r="K2190" s="9" t="str">
        <v/>
      </c>
      <c r="L2190" s="9" t="str">
        <v>3L14-2</v>
      </c>
      <c r="M2190" s="12">
        <v>46275</v>
      </c>
      <c r="N2190" s="5" t="str">
        <v/>
      </c>
      <c r="O2190" s="5">
        <v>100575</v>
      </c>
      <c r="P2190" s="5">
        <v>20</v>
      </c>
      <c r="Q2190" s="14">
        <v>46288</v>
      </c>
      <c r="R2190" s="15">
        <v>286</v>
      </c>
    </row>
    <row r="2191" spans="2:18" x14ac:dyDescent="0.35">
      <c r="B2191" s="9">
        <v>751</v>
      </c>
      <c r="C2191" s="9" t="str">
        <v>출고재고</v>
      </c>
      <c r="D2191" s="9" t="str">
        <v/>
      </c>
      <c r="E2191" s="9" t="str">
        <v/>
      </c>
      <c r="F2191" s="9" t="str">
        <v/>
      </c>
      <c r="G2191" s="9" t="str">
        <v/>
      </c>
      <c r="H2191" s="9" t="str">
        <v>RA-09T-1183</v>
      </c>
      <c r="I2191" s="11" t="str">
        <v>RA-09T-1183]BLK BITE</v>
      </c>
      <c r="J2191" s="9">
        <v>429</v>
      </c>
      <c r="K2191" s="9" t="str">
        <v/>
      </c>
      <c r="L2191" s="9" t="str">
        <v>3I4</v>
      </c>
      <c r="M2191" s="12">
        <v>46275</v>
      </c>
      <c r="N2191" s="5" t="str">
        <v/>
      </c>
      <c r="O2191" s="5">
        <v>100575</v>
      </c>
      <c r="P2191" s="5">
        <v>100</v>
      </c>
      <c r="Q2191" s="14">
        <v>46288</v>
      </c>
      <c r="R2191" s="15">
        <v>329</v>
      </c>
    </row>
    <row r="2192" spans="2:18" x14ac:dyDescent="0.35">
      <c r="B2192" s="9">
        <v>1598</v>
      </c>
      <c r="C2192" s="9" t="str">
        <v>출고재고</v>
      </c>
      <c r="D2192" s="9" t="str">
        <v/>
      </c>
      <c r="E2192" s="9" t="str">
        <v/>
      </c>
      <c r="F2192" s="9" t="str">
        <v/>
      </c>
      <c r="G2192" s="9" t="str">
        <v/>
      </c>
      <c r="H2192" s="9" t="str">
        <v>RA-09T-0733</v>
      </c>
      <c r="I2192" s="11" t="str">
        <v>RA-09T-0733]CAS S.W HLDR</v>
      </c>
      <c r="J2192" s="9">
        <v>647</v>
      </c>
      <c r="K2192" s="9" t="str">
        <v/>
      </c>
      <c r="L2192" s="9" t="str">
        <v>R</v>
      </c>
      <c r="M2192" s="12">
        <v>46282</v>
      </c>
      <c r="N2192" s="5" t="str">
        <v/>
      </c>
      <c r="O2192" s="5">
        <v>100575</v>
      </c>
      <c r="P2192" s="5">
        <v>20</v>
      </c>
      <c r="Q2192" s="14">
        <v>46288</v>
      </c>
      <c r="R2192" s="15">
        <v>627</v>
      </c>
    </row>
    <row r="2193" spans="2:18" x14ac:dyDescent="0.35">
      <c r="B2193" s="9">
        <v>1888</v>
      </c>
      <c r="C2193" s="9" t="str">
        <v>출고재고</v>
      </c>
      <c r="D2193" s="9" t="str">
        <v/>
      </c>
      <c r="E2193" s="9" t="str">
        <v/>
      </c>
      <c r="F2193" s="9" t="str">
        <v/>
      </c>
      <c r="G2193" s="9" t="str">
        <v/>
      </c>
      <c r="H2193" s="9" t="str">
        <v>RA-09M-2269</v>
      </c>
      <c r="I2193" s="11" t="str">
        <v>RA-09M-2269]SCREW FIX PHNT (A+)</v>
      </c>
      <c r="J2193" s="9">
        <v>480</v>
      </c>
      <c r="K2193" s="9" t="str">
        <v/>
      </c>
      <c r="L2193" s="9" t="str">
        <v>W</v>
      </c>
      <c r="M2193" s="12">
        <v>46295</v>
      </c>
      <c r="N2193" s="5" t="str">
        <v/>
      </c>
      <c r="O2193" s="5">
        <v>100581</v>
      </c>
      <c r="P2193" s="5">
        <v>200</v>
      </c>
      <c r="Q2193" s="14">
        <v>46287</v>
      </c>
      <c r="R2193" s="15">
        <v>280</v>
      </c>
    </row>
    <row r="2194" spans="2:18" x14ac:dyDescent="0.35">
      <c r="B2194" s="9">
        <v>1729</v>
      </c>
      <c r="C2194" s="9" t="str">
        <v>출고재고</v>
      </c>
      <c r="D2194" s="9" t="str">
        <v/>
      </c>
      <c r="E2194" s="9" t="str">
        <v/>
      </c>
      <c r="F2194" s="9" t="str">
        <v/>
      </c>
      <c r="G2194" s="9" t="str">
        <v/>
      </c>
      <c r="H2194" s="9" t="str">
        <v>RE-09S-0922</v>
      </c>
      <c r="I2194" s="11" t="str">
        <v>RE-09S-0922]STK MAGNET BLUE</v>
      </c>
      <c r="J2194" s="9">
        <v>250</v>
      </c>
      <c r="K2194" s="9" t="str">
        <v/>
      </c>
      <c r="L2194" s="9" t="str">
        <v>K7-3</v>
      </c>
      <c r="M2194" s="12">
        <v>46288</v>
      </c>
      <c r="N2194" s="5" t="str">
        <v/>
      </c>
      <c r="O2194" s="5">
        <v>100945</v>
      </c>
      <c r="P2194" s="5">
        <v>100</v>
      </c>
      <c r="Q2194" s="14">
        <v>46288</v>
      </c>
      <c r="R2194" s="15">
        <v>150</v>
      </c>
    </row>
    <row r="2195" spans="2:18" x14ac:dyDescent="0.35">
      <c r="B2195" s="9">
        <v>1731</v>
      </c>
      <c r="C2195" s="9" t="str">
        <v>출고재고</v>
      </c>
      <c r="D2195" s="9" t="str">
        <v/>
      </c>
      <c r="E2195" s="9" t="str">
        <v/>
      </c>
      <c r="F2195" s="9" t="str">
        <v/>
      </c>
      <c r="G2195" s="9" t="str">
        <v/>
      </c>
      <c r="H2195" s="9" t="str">
        <v>RE-09S-0921</v>
      </c>
      <c r="I2195" s="11" t="str">
        <v>RE-09S-0921]STK MAGNET RED</v>
      </c>
      <c r="J2195" s="9">
        <v>255</v>
      </c>
      <c r="K2195" s="9" t="str">
        <v/>
      </c>
      <c r="L2195" s="9" t="str">
        <v>K7-3</v>
      </c>
      <c r="M2195" s="12">
        <v>46288</v>
      </c>
      <c r="N2195" s="5" t="str">
        <v/>
      </c>
      <c r="O2195" s="5">
        <v>100945</v>
      </c>
      <c r="P2195" s="5">
        <v>100</v>
      </c>
      <c r="Q2195" s="14">
        <v>46288</v>
      </c>
      <c r="R2195" s="15">
        <v>155</v>
      </c>
    </row>
    <row r="2196" spans="2:18" x14ac:dyDescent="0.35">
      <c r="B2196" s="9">
        <v>1318</v>
      </c>
      <c r="C2196" s="9" t="str">
        <v>출고재고</v>
      </c>
      <c r="D2196" s="9" t="str">
        <v/>
      </c>
      <c r="E2196" s="9" t="str">
        <v/>
      </c>
      <c r="F2196" s="9" t="str">
        <v/>
      </c>
      <c r="G2196" s="9" t="str">
        <v/>
      </c>
      <c r="H2196" s="9" t="str">
        <v>RF-01M-0396</v>
      </c>
      <c r="I2196" s="11" t="str">
        <v>RF-01M-0396]FRAME PIPE ALIGN</v>
      </c>
      <c r="J2196" s="9">
        <v>5</v>
      </c>
      <c r="K2196" s="9" t="str">
        <v/>
      </c>
      <c r="L2196" s="9" t="str">
        <v>3C10</v>
      </c>
      <c r="M2196" s="12">
        <v>46287</v>
      </c>
      <c r="N2196" s="5" t="str">
        <v/>
      </c>
      <c r="O2196" s="5">
        <v>100947</v>
      </c>
      <c r="P2196" s="5">
        <v>2</v>
      </c>
      <c r="Q2196" s="14">
        <v>46301</v>
      </c>
      <c r="R2196" s="15">
        <v>3</v>
      </c>
    </row>
    <row r="2197" spans="2:18" x14ac:dyDescent="0.35">
      <c r="B2197" s="9">
        <v>394</v>
      </c>
      <c r="C2197" s="9" t="str">
        <v>출고재고</v>
      </c>
      <c r="D2197" s="9" t="str">
        <v/>
      </c>
      <c r="E2197" s="9" t="str">
        <v/>
      </c>
      <c r="F2197" s="9" t="str">
        <v/>
      </c>
      <c r="G2197" s="9" t="str">
        <v/>
      </c>
      <c r="H2197" s="9" t="str">
        <v>RF-01T-0355</v>
      </c>
      <c r="I2197" s="11" t="str">
        <v>RF-01T-0355]CAMERA CASE R</v>
      </c>
      <c r="J2197" s="9">
        <v>10</v>
      </c>
      <c r="K2197" s="9" t="str">
        <v/>
      </c>
      <c r="L2197" s="9" t="str">
        <v>3E9</v>
      </c>
      <c r="M2197" s="12">
        <v>46253</v>
      </c>
      <c r="N2197" s="5" t="str">
        <v/>
      </c>
      <c r="O2197" s="5">
        <v>100947</v>
      </c>
      <c r="P2197" s="5">
        <v>1</v>
      </c>
      <c r="Q2197" s="14">
        <v>46301</v>
      </c>
      <c r="R2197" s="15">
        <v>9</v>
      </c>
    </row>
    <row r="2198" spans="2:18" x14ac:dyDescent="0.35">
      <c r="B2198" s="9">
        <v>1290</v>
      </c>
      <c r="C2198" s="9" t="str">
        <v>출고재고</v>
      </c>
      <c r="D2198" s="9" t="str">
        <v/>
      </c>
      <c r="E2198" s="9" t="str">
        <v/>
      </c>
      <c r="F2198" s="9" t="str">
        <v/>
      </c>
      <c r="G2198" s="9" t="str">
        <v/>
      </c>
      <c r="H2198" s="9" t="str">
        <v>RF-01T-0210</v>
      </c>
      <c r="I2198" s="11" t="str">
        <v>RF-01T-0210]CVR FRONT MID L</v>
      </c>
      <c r="J2198" s="9">
        <v>11</v>
      </c>
      <c r="K2198" s="9" t="str">
        <v/>
      </c>
      <c r="L2198" s="9" t="str">
        <v>3L3-1</v>
      </c>
      <c r="M2198" s="12">
        <v>46287</v>
      </c>
      <c r="N2198" s="5" t="str">
        <v/>
      </c>
      <c r="O2198" s="5">
        <v>100947</v>
      </c>
      <c r="P2198" s="5">
        <v>1</v>
      </c>
      <c r="Q2198" s="14">
        <v>46301</v>
      </c>
      <c r="R2198" s="15">
        <v>10</v>
      </c>
    </row>
    <row r="2199" spans="2:18" x14ac:dyDescent="0.35">
      <c r="B2199" s="9">
        <v>1343</v>
      </c>
      <c r="C2199" s="9" t="str">
        <v>출고재고</v>
      </c>
      <c r="D2199" s="9" t="str">
        <v/>
      </c>
      <c r="E2199" s="9" t="str">
        <v/>
      </c>
      <c r="F2199" s="9" t="str">
        <v/>
      </c>
      <c r="G2199" s="9" t="str">
        <v/>
      </c>
      <c r="H2199" s="9" t="str">
        <v>RF-01T-0190</v>
      </c>
      <c r="I2199" s="11" t="str">
        <v>RF-01T-0190]CVR FRONT</v>
      </c>
      <c r="J2199" s="9">
        <v>30</v>
      </c>
      <c r="K2199" s="9" t="str">
        <v/>
      </c>
      <c r="L2199" s="9" t="str">
        <v>3F4</v>
      </c>
      <c r="M2199" s="12">
        <v>46287</v>
      </c>
      <c r="N2199" s="5" t="str">
        <v/>
      </c>
      <c r="O2199" s="5">
        <v>100947</v>
      </c>
      <c r="P2199" s="5">
        <v>1</v>
      </c>
      <c r="Q2199" s="14">
        <v>46301</v>
      </c>
      <c r="R2199" s="15">
        <v>29</v>
      </c>
    </row>
    <row r="2200" spans="2:18" x14ac:dyDescent="0.35">
      <c r="B2200" s="9">
        <v>1346</v>
      </c>
      <c r="C2200" s="9" t="str">
        <v>출고재고</v>
      </c>
      <c r="D2200" s="9" t="str">
        <v/>
      </c>
      <c r="E2200" s="9" t="str">
        <v/>
      </c>
      <c r="F2200" s="9" t="str">
        <v/>
      </c>
      <c r="G2200" s="9" t="str">
        <v/>
      </c>
      <c r="H2200" s="9" t="str">
        <v>RF-01S-5046</v>
      </c>
      <c r="I2200" s="11" t="str">
        <v>RF-01S-5046]DLP ENGINE</v>
      </c>
      <c r="J2200" s="9">
        <v>41</v>
      </c>
      <c r="K2200" s="9" t="str">
        <v/>
      </c>
      <c r="L2200" s="9" t="str">
        <v>3C7</v>
      </c>
      <c r="M2200" s="12">
        <v>46287</v>
      </c>
      <c r="N2200" s="5" t="str">
        <v/>
      </c>
      <c r="O2200" s="5">
        <v>100947</v>
      </c>
      <c r="P2200" s="5">
        <v>1</v>
      </c>
      <c r="Q2200" s="14">
        <v>46301</v>
      </c>
      <c r="R2200" s="15">
        <v>40</v>
      </c>
    </row>
    <row r="2201" spans="2:18" x14ac:dyDescent="0.35">
      <c r="B2201" s="9">
        <v>1376</v>
      </c>
      <c r="C2201" s="9" t="str">
        <v>출고재고</v>
      </c>
      <c r="D2201" s="9" t="str">
        <v/>
      </c>
      <c r="E2201" s="9" t="str">
        <v/>
      </c>
      <c r="F2201" s="9" t="str">
        <v/>
      </c>
      <c r="G2201" s="9" t="str">
        <v/>
      </c>
      <c r="H2201" s="9" t="str">
        <v>RA-08T-1466</v>
      </c>
      <c r="I2201" s="11" t="str">
        <v>RA-08T-1466]CAS CEPH EAR-ROD</v>
      </c>
      <c r="J2201" s="9">
        <v>327</v>
      </c>
      <c r="K2201" s="9" t="str">
        <v/>
      </c>
      <c r="L2201" s="9" t="str">
        <v>S</v>
      </c>
      <c r="M2201" s="12">
        <v>46279</v>
      </c>
      <c r="N2201" s="5" t="str">
        <v/>
      </c>
      <c r="O2201" s="5">
        <v>100951</v>
      </c>
      <c r="P2201" s="5">
        <v>2</v>
      </c>
      <c r="Q2201" s="14">
        <v>46294</v>
      </c>
      <c r="R2201" s="15">
        <v>325</v>
      </c>
    </row>
    <row r="2202" spans="2:18" x14ac:dyDescent="0.35">
      <c r="B2202" s="9">
        <v>1377</v>
      </c>
      <c r="C2202" s="9" t="str">
        <v>출고재고</v>
      </c>
      <c r="D2202" s="9" t="str">
        <v/>
      </c>
      <c r="E2202" s="9" t="str">
        <v/>
      </c>
      <c r="F2202" s="9" t="str">
        <v/>
      </c>
      <c r="G2202" s="9" t="str">
        <v/>
      </c>
      <c r="H2202" s="9" t="str">
        <v>RA-08M-0708</v>
      </c>
      <c r="I2202" s="11" t="str">
        <v>RA-08M-0708]RING EARLOD</v>
      </c>
      <c r="J2202" s="9">
        <v>593</v>
      </c>
      <c r="K2202" s="9" t="str">
        <v/>
      </c>
      <c r="L2202" s="9" t="str">
        <v>E1-1</v>
      </c>
      <c r="M2202" s="12">
        <v>46279</v>
      </c>
      <c r="N2202" s="5" t="str">
        <v/>
      </c>
      <c r="O2202" s="5">
        <v>100951</v>
      </c>
      <c r="P2202" s="5">
        <v>1</v>
      </c>
      <c r="Q2202" s="14">
        <v>46294</v>
      </c>
      <c r="R2202" s="15">
        <v>592</v>
      </c>
    </row>
    <row r="2203" spans="2:18" x14ac:dyDescent="0.35">
      <c r="B2203" s="9">
        <v>1378</v>
      </c>
      <c r="C2203" s="9" t="str">
        <v>출고재고</v>
      </c>
      <c r="D2203" s="9" t="str">
        <v/>
      </c>
      <c r="E2203" s="9" t="str">
        <v/>
      </c>
      <c r="F2203" s="9" t="str">
        <v/>
      </c>
      <c r="G2203" s="9" t="str">
        <v/>
      </c>
      <c r="H2203" s="9" t="str">
        <v>RA-08M-0707</v>
      </c>
      <c r="I2203" s="11" t="str">
        <v>RA-08M-0707]CAP EARLOD</v>
      </c>
      <c r="J2203" s="9">
        <v>709</v>
      </c>
      <c r="K2203" s="9" t="str">
        <v/>
      </c>
      <c r="L2203" s="9" t="str">
        <v>E1-1</v>
      </c>
      <c r="M2203" s="12">
        <v>46279</v>
      </c>
      <c r="N2203" s="5" t="str">
        <v/>
      </c>
      <c r="O2203" s="5">
        <v>100951</v>
      </c>
      <c r="P2203" s="5">
        <v>1</v>
      </c>
      <c r="Q2203" s="14">
        <v>46294</v>
      </c>
      <c r="R2203" s="15">
        <v>708</v>
      </c>
    </row>
    <row r="2204" spans="2:18" x14ac:dyDescent="0.35">
      <c r="B2204" s="9">
        <v>1687</v>
      </c>
      <c r="C2204" s="9" t="str">
        <v>출고재고</v>
      </c>
      <c r="D2204" s="9" t="str">
        <v/>
      </c>
      <c r="E2204" s="9" t="str">
        <v>입고</v>
      </c>
      <c r="F2204" s="9" t="str">
        <v>다유</v>
      </c>
      <c r="G2204" s="9" t="str">
        <v>유영국</v>
      </c>
      <c r="H2204" s="9" t="str">
        <v>RA-05M-2907</v>
      </c>
      <c r="I2204" s="11" t="str">
        <v>RA-05M-2907]FRM ROT WEIGHT</v>
      </c>
      <c r="J2204" s="9">
        <v>53</v>
      </c>
      <c r="K2204" s="9" t="str">
        <v/>
      </c>
      <c r="L2204" s="9" t="str">
        <v>O4,T</v>
      </c>
      <c r="M2204" s="12">
        <v>46286</v>
      </c>
      <c r="N2204" s="5" t="str">
        <v/>
      </c>
      <c r="O2204" s="5">
        <v>101317</v>
      </c>
      <c r="P2204" s="5">
        <v>53</v>
      </c>
      <c r="Q2204" s="14">
        <v>46293</v>
      </c>
      <c r="R2204" s="15">
        <v>0</v>
      </c>
    </row>
    <row r="2205" spans="2:18" x14ac:dyDescent="0.35">
      <c r="B2205" s="9">
        <v>2078</v>
      </c>
      <c r="C2205" s="9" t="str">
        <v>출고재고</v>
      </c>
      <c r="D2205" s="9" t="str">
        <v/>
      </c>
      <c r="E2205" s="9" t="str">
        <v/>
      </c>
      <c r="F2205" s="9" t="str">
        <v/>
      </c>
      <c r="G2205" s="9" t="str">
        <v/>
      </c>
      <c r="H2205" s="9" t="str">
        <v>RA-02T-0045</v>
      </c>
      <c r="I2205" s="11" t="str">
        <v>RA-02T-0045]CAS VERT SUB BOT</v>
      </c>
      <c r="J2205" s="9">
        <v>122</v>
      </c>
      <c r="K2205" s="9" t="str">
        <v/>
      </c>
      <c r="L2205" s="9" t="str">
        <v>S</v>
      </c>
      <c r="M2205" s="12">
        <v>46288</v>
      </c>
      <c r="N2205" s="5" t="str">
        <v/>
      </c>
      <c r="O2205" s="5">
        <v>101318</v>
      </c>
      <c r="P2205" s="5">
        <v>14</v>
      </c>
      <c r="Q2205" s="14">
        <v>46288</v>
      </c>
      <c r="R2205" s="15">
        <v>108</v>
      </c>
    </row>
    <row r="2206" spans="2:18" x14ac:dyDescent="0.35">
      <c r="B2206" s="9">
        <v>284</v>
      </c>
      <c r="C2206" s="9" t="str">
        <v>출고재고</v>
      </c>
      <c r="D2206" s="9" t="str">
        <v/>
      </c>
      <c r="E2206" s="9" t="str">
        <v/>
      </c>
      <c r="F2206" s="9" t="str">
        <v/>
      </c>
      <c r="G2206" s="9" t="str">
        <v/>
      </c>
      <c r="H2206" s="9" t="str">
        <v>RA-08M-0623</v>
      </c>
      <c r="I2206" s="11" t="str">
        <v>RA-08M-0623]PIN STOPPER</v>
      </c>
      <c r="J2206" s="9">
        <v>1</v>
      </c>
      <c r="K2206" s="9" t="str">
        <v/>
      </c>
      <c r="L2206" s="9" t="str">
        <v>E2-1</v>
      </c>
      <c r="M2206" s="12">
        <v>46232</v>
      </c>
      <c r="N2206" s="5" t="str">
        <v/>
      </c>
      <c r="O2206" s="5">
        <v>101320</v>
      </c>
      <c r="P2206" s="5">
        <v>1</v>
      </c>
      <c r="Q2206" s="14">
        <v>46296</v>
      </c>
      <c r="R2206" s="15">
        <v>0</v>
      </c>
    </row>
    <row r="2207" spans="2:18" x14ac:dyDescent="0.35">
      <c r="B2207" s="9">
        <v>289</v>
      </c>
      <c r="C2207" s="9" t="str">
        <v>출고재고</v>
      </c>
      <c r="D2207" s="9" t="str">
        <v/>
      </c>
      <c r="E2207" s="9" t="str">
        <v/>
      </c>
      <c r="F2207" s="9" t="str">
        <v/>
      </c>
      <c r="G2207" s="9" t="str">
        <v/>
      </c>
      <c r="H2207" s="9" t="str">
        <v>RA-08M-0738</v>
      </c>
      <c r="I2207" s="11" t="str">
        <v>RA-08M-0738]BLK OC _4HEAD FIX</v>
      </c>
      <c r="J2207" s="9">
        <v>176</v>
      </c>
      <c r="K2207" s="9" t="str">
        <v/>
      </c>
      <c r="L2207" s="9" t="str">
        <v>E1-2</v>
      </c>
      <c r="M2207" s="12">
        <v>46232</v>
      </c>
      <c r="N2207" s="5" t="str">
        <v/>
      </c>
      <c r="O2207" s="5">
        <v>101320</v>
      </c>
      <c r="P2207" s="5">
        <v>5</v>
      </c>
      <c r="Q2207" s="14">
        <v>46296</v>
      </c>
      <c r="R2207" s="15">
        <v>171</v>
      </c>
    </row>
    <row r="2208" spans="2:18" x14ac:dyDescent="0.35">
      <c r="B2208" s="9">
        <v>283</v>
      </c>
      <c r="C2208" s="9" t="str">
        <v>출고재고</v>
      </c>
      <c r="D2208" s="9" t="str">
        <v/>
      </c>
      <c r="E2208" s="9" t="str">
        <v/>
      </c>
      <c r="F2208" s="9" t="str">
        <v/>
      </c>
      <c r="G2208" s="9" t="str">
        <v/>
      </c>
      <c r="H2208" s="9" t="str">
        <v>RA-08M-0619</v>
      </c>
      <c r="I2208" s="11" t="str">
        <v>RA-08M-0619]SHAFT _4HEAD FIX</v>
      </c>
      <c r="J2208" s="9">
        <v>220</v>
      </c>
      <c r="K2208" s="9" t="str">
        <v/>
      </c>
      <c r="L2208" s="9" t="str">
        <v>E2-1</v>
      </c>
      <c r="M2208" s="12">
        <v>46232</v>
      </c>
      <c r="N2208" s="5" t="str">
        <v/>
      </c>
      <c r="O2208" s="5">
        <v>101320</v>
      </c>
      <c r="P2208" s="5">
        <v>5</v>
      </c>
      <c r="Q2208" s="14">
        <v>46296</v>
      </c>
      <c r="R2208" s="15">
        <v>215</v>
      </c>
    </row>
    <row r="2209" spans="2:18" x14ac:dyDescent="0.35">
      <c r="B2209" s="9">
        <v>245</v>
      </c>
      <c r="C2209" s="9" t="str">
        <v>출고재고</v>
      </c>
      <c r="D2209" s="9" t="str">
        <v/>
      </c>
      <c r="E2209" s="9" t="str">
        <v/>
      </c>
      <c r="F2209" s="9" t="str">
        <v/>
      </c>
      <c r="G2209" s="9" t="str">
        <v/>
      </c>
      <c r="H2209" s="9" t="str">
        <v>RA-08M-0620</v>
      </c>
      <c r="I2209" s="11" t="str">
        <v>RA-08M-0620]PLT CEPH _4HEAD</v>
      </c>
      <c r="J2209" s="9">
        <v>98</v>
      </c>
      <c r="K2209" s="9" t="str">
        <v/>
      </c>
      <c r="L2209" s="9" t="str">
        <v>E2-1</v>
      </c>
      <c r="M2209" s="12">
        <v>46232</v>
      </c>
      <c r="N2209" s="5" t="str">
        <v/>
      </c>
      <c r="O2209" s="5">
        <v>101320</v>
      </c>
      <c r="P2209" s="5">
        <v>5</v>
      </c>
      <c r="Q2209" s="14">
        <v>46296</v>
      </c>
      <c r="R2209" s="15">
        <v>93</v>
      </c>
    </row>
    <row r="2210" spans="2:18" x14ac:dyDescent="0.35">
      <c r="B2210" s="9">
        <v>246</v>
      </c>
      <c r="C2210" s="9" t="str">
        <v>출고재고</v>
      </c>
      <c r="D2210" s="9" t="str">
        <v/>
      </c>
      <c r="E2210" s="9" t="str">
        <v/>
      </c>
      <c r="F2210" s="9" t="str">
        <v/>
      </c>
      <c r="G2210" s="9" t="str">
        <v/>
      </c>
      <c r="H2210" s="9" t="str">
        <v>RA-08V-0621</v>
      </c>
      <c r="I2210" s="11" t="str">
        <v>RA-08V-0621]PLT WASHER FIX</v>
      </c>
      <c r="J2210" s="9">
        <v>26</v>
      </c>
      <c r="K2210" s="9" t="str">
        <v/>
      </c>
      <c r="L2210" s="9" t="str">
        <v>E1-3</v>
      </c>
      <c r="M2210" s="12">
        <v>46232</v>
      </c>
      <c r="N2210" s="5" t="str">
        <v/>
      </c>
      <c r="O2210" s="5">
        <v>101320</v>
      </c>
      <c r="P2210" s="5">
        <v>5</v>
      </c>
      <c r="Q2210" s="14">
        <v>46296</v>
      </c>
      <c r="R2210" s="15">
        <v>21</v>
      </c>
    </row>
    <row r="2211" spans="2:18" x14ac:dyDescent="0.35">
      <c r="B2211" s="9">
        <v>277</v>
      </c>
      <c r="C2211" s="9" t="str">
        <v>출고재고</v>
      </c>
      <c r="D2211" s="9" t="str">
        <v/>
      </c>
      <c r="E2211" s="9" t="str">
        <v/>
      </c>
      <c r="F2211" s="9" t="str">
        <v/>
      </c>
      <c r="G2211" s="9" t="str">
        <v/>
      </c>
      <c r="H2211" s="9" t="str">
        <v>RA-08T-0632</v>
      </c>
      <c r="I2211" s="11" t="str">
        <v>RA-08T-0632]CAS CEPH _4HEAD BAR</v>
      </c>
      <c r="J2211" s="9">
        <v>307</v>
      </c>
      <c r="K2211" s="9" t="str">
        <v/>
      </c>
      <c r="L2211" s="9" t="str">
        <v>S</v>
      </c>
      <c r="M2211" s="12">
        <v>46232</v>
      </c>
      <c r="N2211" s="5" t="str">
        <v/>
      </c>
      <c r="O2211" s="5">
        <v>101320</v>
      </c>
      <c r="P2211" s="5">
        <v>5</v>
      </c>
      <c r="Q2211" s="14">
        <v>46296</v>
      </c>
      <c r="R2211" s="15">
        <v>302</v>
      </c>
    </row>
    <row r="2212" spans="2:18" x14ac:dyDescent="0.35">
      <c r="B2212" s="9">
        <v>290</v>
      </c>
      <c r="C2212" s="9" t="str">
        <v>출고재고</v>
      </c>
      <c r="D2212" s="9" t="str">
        <v/>
      </c>
      <c r="E2212" s="9" t="str">
        <v/>
      </c>
      <c r="F2212" s="9" t="str">
        <v/>
      </c>
      <c r="G2212" s="9" t="str">
        <v/>
      </c>
      <c r="H2212" s="9" t="str">
        <v>RA-08M-0976</v>
      </c>
      <c r="I2212" s="11" t="str">
        <v>RA-08M-0976]CEPH SCALE BAR</v>
      </c>
      <c r="J2212" s="9">
        <v>247</v>
      </c>
      <c r="K2212" s="9" t="str">
        <v/>
      </c>
      <c r="L2212" s="9" t="str">
        <v>E1-1</v>
      </c>
      <c r="M2212" s="12">
        <v>46232</v>
      </c>
      <c r="N2212" s="5" t="str">
        <v/>
      </c>
      <c r="O2212" s="5">
        <v>101320</v>
      </c>
      <c r="P2212" s="5">
        <v>5</v>
      </c>
      <c r="Q2212" s="14">
        <v>46296</v>
      </c>
      <c r="R2212" s="15">
        <v>242</v>
      </c>
    </row>
    <row r="2213" spans="2:18" x14ac:dyDescent="0.35">
      <c r="B2213" s="9">
        <v>285</v>
      </c>
      <c r="C2213" s="9" t="str">
        <v>출고재고</v>
      </c>
      <c r="D2213" s="9" t="str">
        <v/>
      </c>
      <c r="E2213" s="9" t="str">
        <v/>
      </c>
      <c r="F2213" s="9" t="str">
        <v/>
      </c>
      <c r="G2213" s="9" t="str">
        <v/>
      </c>
      <c r="H2213" s="9" t="str">
        <v>RA-08M-0624</v>
      </c>
      <c r="I2213" s="11" t="str">
        <v>RA-08M-0624]BLK CEPH _4HEAD</v>
      </c>
      <c r="J2213" s="9">
        <v>299</v>
      </c>
      <c r="K2213" s="9" t="str">
        <v/>
      </c>
      <c r="L2213" s="9" t="str">
        <v>E2-1</v>
      </c>
      <c r="M2213" s="12">
        <v>46232</v>
      </c>
      <c r="N2213" s="5" t="str">
        <v/>
      </c>
      <c r="O2213" s="5">
        <v>101320</v>
      </c>
      <c r="P2213" s="5">
        <v>5</v>
      </c>
      <c r="Q2213" s="14">
        <v>46296</v>
      </c>
      <c r="R2213" s="15">
        <v>294</v>
      </c>
    </row>
    <row r="2214" spans="2:18" x14ac:dyDescent="0.35">
      <c r="B2214" s="9">
        <v>286</v>
      </c>
      <c r="C2214" s="9" t="str">
        <v>출고재고</v>
      </c>
      <c r="D2214" s="9" t="str">
        <v/>
      </c>
      <c r="E2214" s="9" t="str">
        <v/>
      </c>
      <c r="F2214" s="9" t="str">
        <v/>
      </c>
      <c r="G2214" s="9" t="str">
        <v/>
      </c>
      <c r="H2214" s="9" t="str">
        <v>RA-08M-0625</v>
      </c>
      <c r="I2214" s="11" t="str">
        <v>RA-08M-0625]_4M CEPH _4HEAD</v>
      </c>
      <c r="J2214" s="9">
        <v>1017</v>
      </c>
      <c r="K2214" s="9" t="str">
        <v/>
      </c>
      <c r="L2214" s="9" t="str">
        <v>E2-1</v>
      </c>
      <c r="M2214" s="12">
        <v>46232</v>
      </c>
      <c r="N2214" s="5" t="str">
        <v/>
      </c>
      <c r="O2214" s="5">
        <v>101320</v>
      </c>
      <c r="P2214" s="5">
        <v>5</v>
      </c>
      <c r="Q2214" s="14">
        <v>46296</v>
      </c>
      <c r="R2214" s="15">
        <v>1012</v>
      </c>
    </row>
    <row r="2215" spans="2:18" x14ac:dyDescent="0.35">
      <c r="B2215" s="9">
        <v>295</v>
      </c>
      <c r="C2215" s="9" t="str">
        <v>출고재고</v>
      </c>
      <c r="D2215" s="9" t="str">
        <v/>
      </c>
      <c r="E2215" s="9" t="str">
        <v/>
      </c>
      <c r="F2215" s="9" t="str">
        <v/>
      </c>
      <c r="G2215" s="9" t="str">
        <v/>
      </c>
      <c r="H2215" s="9" t="str">
        <v>RA-08M-0622</v>
      </c>
      <c r="I2215" s="11" t="str">
        <v>RA-08M-0622]WASHER SCAN CEPH</v>
      </c>
      <c r="J2215" s="9">
        <v>230</v>
      </c>
      <c r="K2215" s="9" t="str">
        <v/>
      </c>
      <c r="L2215" s="9" t="str">
        <v>E2-1</v>
      </c>
      <c r="M2215" s="12">
        <v>46232</v>
      </c>
      <c r="N2215" s="5" t="str">
        <v/>
      </c>
      <c r="O2215" s="5">
        <v>101320</v>
      </c>
      <c r="P2215" s="5">
        <v>10</v>
      </c>
      <c r="Q2215" s="14">
        <v>46296</v>
      </c>
      <c r="R2215" s="15">
        <v>220</v>
      </c>
    </row>
    <row r="2216" spans="2:18" x14ac:dyDescent="0.35">
      <c r="B2216" s="9">
        <v>1691</v>
      </c>
      <c r="C2216" s="9" t="str">
        <v>출고재고</v>
      </c>
      <c r="D2216" s="9" t="str">
        <v/>
      </c>
      <c r="E2216" s="9" t="str">
        <v/>
      </c>
      <c r="F2216" s="9" t="str">
        <v/>
      </c>
      <c r="G2216" s="9" t="str">
        <v/>
      </c>
      <c r="H2216" s="9" t="str">
        <v>RA-10-2</v>
      </c>
      <c r="I2216" s="11" t="str">
        <v>RA-10-2]PRIME CABLE ASS’Y</v>
      </c>
      <c r="J2216" s="9">
        <v>56</v>
      </c>
      <c r="K2216" s="9" t="str">
        <v/>
      </c>
      <c r="L2216" s="9" t="str">
        <v>G4</v>
      </c>
      <c r="M2216" s="12">
        <v>46279</v>
      </c>
      <c r="N2216" s="5" t="str">
        <v/>
      </c>
      <c r="O2216" s="5">
        <v>101321</v>
      </c>
      <c r="P2216" s="5">
        <v>26</v>
      </c>
      <c r="Q2216" s="14">
        <v>46293</v>
      </c>
      <c r="R2216" s="15">
        <v>30</v>
      </c>
    </row>
    <row r="2217" spans="2:18" x14ac:dyDescent="0.35">
      <c r="B2217" s="9">
        <v>2125</v>
      </c>
      <c r="C2217" s="9" t="str">
        <v>출고재고</v>
      </c>
      <c r="D2217" s="9" t="str">
        <v/>
      </c>
      <c r="E2217" s="9" t="str">
        <v/>
      </c>
      <c r="F2217" s="9" t="str">
        <v/>
      </c>
      <c r="G2217" s="9" t="str">
        <v/>
      </c>
      <c r="H2217" s="9" t="str">
        <v>RA-07A-6048</v>
      </c>
      <c r="I2217" s="11" t="str">
        <v>RA-07A-6048]Bd ASSY'-ADET POWER-3D NEW</v>
      </c>
      <c r="J2217" s="9">
        <v>40</v>
      </c>
      <c r="K2217" s="9" t="str">
        <v/>
      </c>
      <c r="L2217" s="9" t="str">
        <v>A1-3</v>
      </c>
      <c r="M2217" s="12">
        <v>46288</v>
      </c>
      <c r="N2217" s="5" t="str">
        <v/>
      </c>
      <c r="O2217" s="5">
        <v>101322</v>
      </c>
      <c r="P2217" s="5">
        <v>4</v>
      </c>
      <c r="Q2217" s="14">
        <v>46294</v>
      </c>
      <c r="R2217" s="15">
        <v>36</v>
      </c>
    </row>
    <row r="2218" spans="2:18" x14ac:dyDescent="0.35">
      <c r="B2218" s="9">
        <v>1618</v>
      </c>
      <c r="C2218" s="9" t="str">
        <v>출고재고</v>
      </c>
      <c r="D2218" s="9" t="str">
        <v/>
      </c>
      <c r="E2218" s="9" t="str">
        <v/>
      </c>
      <c r="F2218" s="9" t="str">
        <v/>
      </c>
      <c r="G2218" s="9" t="str">
        <v/>
      </c>
      <c r="H2218" s="9" t="str">
        <v>RA-09A-1940</v>
      </c>
      <c r="I2218" s="11" t="str">
        <v>RA-09A-1940]ASM REMOTE(α)</v>
      </c>
      <c r="J2218" s="9">
        <v>77</v>
      </c>
      <c r="K2218" s="9" t="str">
        <v/>
      </c>
      <c r="L2218" s="9" t="str">
        <v>A13-1</v>
      </c>
      <c r="M2218" s="12">
        <v>46280</v>
      </c>
      <c r="N2218" s="5" t="str">
        <v/>
      </c>
      <c r="O2218" s="5">
        <v>101322</v>
      </c>
      <c r="P2218" s="5">
        <v>12</v>
      </c>
      <c r="Q2218" s="14">
        <v>46294</v>
      </c>
      <c r="R2218" s="15">
        <v>65</v>
      </c>
    </row>
    <row r="2219" spans="2:18" x14ac:dyDescent="0.35">
      <c r="B2219" s="9">
        <v>2120</v>
      </c>
      <c r="C2219" s="9" t="str">
        <v>출고재고</v>
      </c>
      <c r="D2219" s="9" t="str">
        <v/>
      </c>
      <c r="E2219" s="9" t="str">
        <v/>
      </c>
      <c r="F2219" s="9" t="str">
        <v/>
      </c>
      <c r="G2219" s="9" t="str">
        <v/>
      </c>
      <c r="H2219" s="9" t="str">
        <v>RA-10-2</v>
      </c>
      <c r="I2219" s="11" t="str">
        <v>RA-10-2]PRIME CABLE ASS’Y</v>
      </c>
      <c r="J2219" s="9">
        <v>20</v>
      </c>
      <c r="K2219" s="9" t="str">
        <v/>
      </c>
      <c r="L2219" s="9" t="str">
        <v>G4</v>
      </c>
      <c r="M2219" s="12">
        <v>46282</v>
      </c>
      <c r="N2219" s="5" t="str">
        <v/>
      </c>
      <c r="O2219" s="5">
        <v>101323</v>
      </c>
      <c r="P2219" s="5">
        <v>20</v>
      </c>
      <c r="Q2219" s="14">
        <v>46293</v>
      </c>
      <c r="R2219" s="15">
        <v>0</v>
      </c>
    </row>
    <row r="2220" spans="2:18" x14ac:dyDescent="0.35">
      <c r="B2220" s="9">
        <v>926</v>
      </c>
      <c r="C2220" s="9" t="str">
        <v>출고재고</v>
      </c>
      <c r="D2220" s="9" t="str">
        <v/>
      </c>
      <c r="E2220" s="9" t="str">
        <v>기초</v>
      </c>
      <c r="F2220" s="9" t="str">
        <v/>
      </c>
      <c r="G2220" s="9" t="str">
        <v/>
      </c>
      <c r="H2220" s="9" t="str">
        <v>C16-635ZZ</v>
      </c>
      <c r="I2220" s="11" t="str">
        <v>C16-635ZZ]BALL B-Ring</v>
      </c>
      <c r="J2220" s="9">
        <v>34</v>
      </c>
      <c r="K2220" s="9" t="str">
        <v/>
      </c>
      <c r="L2220" s="9" t="str">
        <v>C1-1</v>
      </c>
      <c r="M2220" s="12">
        <v>46276</v>
      </c>
      <c r="N2220" s="5" t="str">
        <v/>
      </c>
      <c r="O2220" s="5">
        <v>101323</v>
      </c>
      <c r="P2220" s="5">
        <v>34</v>
      </c>
      <c r="Q2220" s="14">
        <v>46293</v>
      </c>
      <c r="R2220" s="15">
        <v>0</v>
      </c>
    </row>
    <row r="2221" spans="2:18" x14ac:dyDescent="0.35">
      <c r="B2221" s="9">
        <v>928</v>
      </c>
      <c r="C2221" s="9" t="str">
        <v>출고재고</v>
      </c>
      <c r="D2221" s="9" t="str">
        <v/>
      </c>
      <c r="E2221" s="9" t="str">
        <v>기초</v>
      </c>
      <c r="F2221" s="9" t="str">
        <v/>
      </c>
      <c r="G2221" s="9" t="str">
        <v/>
      </c>
      <c r="H2221" s="9" t="str">
        <v>RA-02S-2005</v>
      </c>
      <c r="I2221" s="11" t="str">
        <v>RA-02S-2005]LM SET (MGW9C-2-204)</v>
      </c>
      <c r="J2221" s="9">
        <v>37</v>
      </c>
      <c r="K2221" s="9" t="str">
        <v/>
      </c>
      <c r="L2221" s="9" t="str">
        <v>D3-3</v>
      </c>
      <c r="M2221" s="12">
        <v>46276</v>
      </c>
      <c r="N2221" s="5" t="str">
        <v/>
      </c>
      <c r="O2221" s="5">
        <v>101323</v>
      </c>
      <c r="P2221" s="5">
        <v>37</v>
      </c>
      <c r="Q2221" s="14">
        <v>46293</v>
      </c>
      <c r="R2221" s="15">
        <v>0</v>
      </c>
    </row>
    <row r="2222" spans="2:18" x14ac:dyDescent="0.35">
      <c r="B2222" s="9">
        <v>958</v>
      </c>
      <c r="C2222" s="9" t="str">
        <v>출고재고</v>
      </c>
      <c r="D2222" s="9" t="str">
        <v/>
      </c>
      <c r="E2222" s="9" t="str">
        <v>기초</v>
      </c>
      <c r="F2222" s="9" t="str">
        <v/>
      </c>
      <c r="G2222" s="9" t="str">
        <v/>
      </c>
      <c r="H2222" s="9" t="str">
        <v>RA-02S-2003</v>
      </c>
      <c r="I2222" s="11" t="str">
        <v>RA-02S-2003]LM SET (MGW9C-2-295)</v>
      </c>
      <c r="J2222" s="9">
        <v>52</v>
      </c>
      <c r="K2222" s="9" t="str">
        <v/>
      </c>
      <c r="L2222" s="9" t="str">
        <v>D3-2</v>
      </c>
      <c r="M2222" s="12">
        <v>46276</v>
      </c>
      <c r="N2222" s="5" t="str">
        <v/>
      </c>
      <c r="O2222" s="5">
        <v>101323</v>
      </c>
      <c r="P2222" s="5">
        <v>40</v>
      </c>
      <c r="Q2222" s="14">
        <v>46293</v>
      </c>
      <c r="R2222" s="15">
        <v>12</v>
      </c>
    </row>
    <row r="2223" spans="2:18" x14ac:dyDescent="0.35">
      <c r="B2223" s="9">
        <v>998</v>
      </c>
      <c r="C2223" s="9" t="str">
        <v>출고재고</v>
      </c>
      <c r="D2223" s="9" t="str">
        <v/>
      </c>
      <c r="E2223" s="9" t="str">
        <v>기초</v>
      </c>
      <c r="F2223" s="9" t="str">
        <v/>
      </c>
      <c r="G2223" s="9" t="str">
        <v/>
      </c>
      <c r="H2223" s="9" t="str">
        <v>RA-02A-6002</v>
      </c>
      <c r="I2223" s="11" t="str">
        <v>RA-02A-6002]Bd ASSY'-Main MCU</v>
      </c>
      <c r="J2223" s="9">
        <v>105</v>
      </c>
      <c r="K2223" s="9" t="str">
        <v/>
      </c>
      <c r="L2223" s="9" t="str">
        <v>A2-3</v>
      </c>
      <c r="M2223" s="12">
        <v>46276</v>
      </c>
      <c r="N2223" s="5" t="str">
        <v/>
      </c>
      <c r="O2223" s="5">
        <v>101323</v>
      </c>
      <c r="P2223" s="5">
        <v>20</v>
      </c>
      <c r="Q2223" s="14">
        <v>46293</v>
      </c>
      <c r="R2223" s="15">
        <v>85</v>
      </c>
    </row>
    <row r="2224" spans="2:18" x14ac:dyDescent="0.35">
      <c r="B2224" s="9">
        <v>2122</v>
      </c>
      <c r="C2224" s="9" t="str">
        <v>출고재고</v>
      </c>
      <c r="D2224" s="9" t="str">
        <v/>
      </c>
      <c r="E2224" s="9" t="str">
        <v/>
      </c>
      <c r="F2224" s="9" t="str">
        <v/>
      </c>
      <c r="G2224" s="9" t="str">
        <v/>
      </c>
      <c r="H2224" s="9" t="str">
        <v>RA-02M-0395</v>
      </c>
      <c r="I2224" s="11" t="str">
        <v>RA-02M-0395]PIN VERT POSITION</v>
      </c>
      <c r="J2224" s="9">
        <v>106</v>
      </c>
      <c r="K2224" s="9" t="str">
        <v/>
      </c>
      <c r="L2224" s="9" t="str">
        <v>C3-1</v>
      </c>
      <c r="M2224" s="12">
        <v>46282</v>
      </c>
      <c r="N2224" s="5" t="str">
        <v/>
      </c>
      <c r="O2224" s="5">
        <v>101323</v>
      </c>
      <c r="P2224" s="5">
        <v>40</v>
      </c>
      <c r="Q2224" s="14">
        <v>46293</v>
      </c>
      <c r="R2224" s="15">
        <v>66</v>
      </c>
    </row>
    <row r="2225" spans="2:18" x14ac:dyDescent="0.35">
      <c r="B2225" s="9">
        <v>999</v>
      </c>
      <c r="C2225" s="9" t="str">
        <v>출고재고</v>
      </c>
      <c r="D2225" s="9" t="str">
        <v/>
      </c>
      <c r="E2225" s="9" t="str">
        <v>기초</v>
      </c>
      <c r="F2225" s="9" t="str">
        <v/>
      </c>
      <c r="G2225" s="9" t="str">
        <v/>
      </c>
      <c r="H2225" s="9" t="str">
        <v>RA-12-1</v>
      </c>
      <c r="I2225" s="11" t="str">
        <v>RA-12-1]SUB CABLE ASS’Y</v>
      </c>
      <c r="J2225" s="9">
        <v>113</v>
      </c>
      <c r="K2225" s="9" t="str">
        <v/>
      </c>
      <c r="L2225" s="9" t="str">
        <v>G4</v>
      </c>
      <c r="M2225" s="12">
        <v>46276</v>
      </c>
      <c r="N2225" s="5" t="str">
        <v/>
      </c>
      <c r="O2225" s="5">
        <v>101323</v>
      </c>
      <c r="P2225" s="5">
        <v>20</v>
      </c>
      <c r="Q2225" s="14">
        <v>46293</v>
      </c>
      <c r="R2225" s="15">
        <v>93</v>
      </c>
    </row>
    <row r="2226" spans="2:18" x14ac:dyDescent="0.35">
      <c r="B2226" s="9">
        <v>1006</v>
      </c>
      <c r="C2226" s="9" t="str">
        <v>출고재고</v>
      </c>
      <c r="D2226" s="9" t="str">
        <v/>
      </c>
      <c r="E2226" s="9" t="str">
        <v>기초</v>
      </c>
      <c r="F2226" s="9" t="str">
        <v/>
      </c>
      <c r="G2226" s="9" t="str">
        <v/>
      </c>
      <c r="H2226" s="9" t="str">
        <v>RA-02A-6003</v>
      </c>
      <c r="I2226" s="11" t="str">
        <v>RA-02A-6003]Bd ASSY'-Step Driver</v>
      </c>
      <c r="J2226" s="9">
        <v>125</v>
      </c>
      <c r="K2226" s="9" t="str">
        <v/>
      </c>
      <c r="L2226" s="9" t="str">
        <v>A1-3</v>
      </c>
      <c r="M2226" s="12">
        <v>46276</v>
      </c>
      <c r="N2226" s="5" t="str">
        <v/>
      </c>
      <c r="O2226" s="5">
        <v>101323</v>
      </c>
      <c r="P2226" s="5">
        <v>20</v>
      </c>
      <c r="Q2226" s="14">
        <v>46293</v>
      </c>
      <c r="R2226" s="15">
        <v>105</v>
      </c>
    </row>
    <row r="2227" spans="2:18" x14ac:dyDescent="0.35">
      <c r="B2227" s="9">
        <v>1009</v>
      </c>
      <c r="C2227" s="9" t="str">
        <v>출고재고</v>
      </c>
      <c r="D2227" s="9" t="str">
        <v/>
      </c>
      <c r="E2227" s="9" t="str">
        <v>기초</v>
      </c>
      <c r="F2227" s="9" t="str">
        <v/>
      </c>
      <c r="G2227" s="9" t="str">
        <v/>
      </c>
      <c r="H2227" s="9" t="str">
        <v>RA-02A-2020</v>
      </c>
      <c r="I2227" s="11" t="str">
        <v>RA-02A-2020]ASM SCREW X-AXIS (A+)</v>
      </c>
      <c r="J2227" s="9">
        <v>127</v>
      </c>
      <c r="K2227" s="9" t="str">
        <v/>
      </c>
      <c r="L2227" s="9" t="str">
        <v>C2-1</v>
      </c>
      <c r="M2227" s="12">
        <v>46276</v>
      </c>
      <c r="N2227" s="5" t="str">
        <v/>
      </c>
      <c r="O2227" s="5">
        <v>101323</v>
      </c>
      <c r="P2227" s="5">
        <v>20</v>
      </c>
      <c r="Q2227" s="14">
        <v>46293</v>
      </c>
      <c r="R2227" s="15">
        <v>107</v>
      </c>
    </row>
    <row r="2228" spans="2:18" x14ac:dyDescent="0.35">
      <c r="B2228" s="9">
        <v>1011</v>
      </c>
      <c r="C2228" s="9" t="str">
        <v>출고재고</v>
      </c>
      <c r="D2228" s="9" t="str">
        <v/>
      </c>
      <c r="E2228" s="9" t="str">
        <v>기초</v>
      </c>
      <c r="F2228" s="9" t="str">
        <v/>
      </c>
      <c r="G2228" s="9" t="str">
        <v/>
      </c>
      <c r="H2228" s="9" t="str">
        <v>RA-02A-2711</v>
      </c>
      <c r="I2228" s="11" t="str">
        <v>RA-02A-2711]ASM GUIDE Y-AXIS SCREW B</v>
      </c>
      <c r="J2228" s="9">
        <v>128</v>
      </c>
      <c r="K2228" s="9" t="str">
        <v/>
      </c>
      <c r="L2228" s="9" t="str">
        <v>C2-2</v>
      </c>
      <c r="M2228" s="12">
        <v>46276</v>
      </c>
      <c r="N2228" s="5" t="str">
        <v/>
      </c>
      <c r="O2228" s="5">
        <v>101323</v>
      </c>
      <c r="P2228" s="5">
        <v>20</v>
      </c>
      <c r="Q2228" s="14">
        <v>46293</v>
      </c>
      <c r="R2228" s="15">
        <v>108</v>
      </c>
    </row>
    <row r="2229" spans="2:18" x14ac:dyDescent="0.35">
      <c r="B2229" s="9">
        <v>1017</v>
      </c>
      <c r="C2229" s="9" t="str">
        <v>출고재고</v>
      </c>
      <c r="D2229" s="9" t="str">
        <v/>
      </c>
      <c r="E2229" s="9" t="str">
        <v>기초</v>
      </c>
      <c r="F2229" s="9" t="str">
        <v/>
      </c>
      <c r="G2229" s="9" t="str">
        <v/>
      </c>
      <c r="H2229" s="9" t="str">
        <v>RA-02A-2031</v>
      </c>
      <c r="I2229" s="11" t="str">
        <v>RA-02A-2031]ASM MAIN PULLEY MOT (A+)</v>
      </c>
      <c r="J2229" s="9">
        <v>137</v>
      </c>
      <c r="K2229" s="9" t="str">
        <v/>
      </c>
      <c r="L2229" s="9" t="str">
        <v>K8</v>
      </c>
      <c r="M2229" s="12">
        <v>46276</v>
      </c>
      <c r="N2229" s="5" t="str">
        <v/>
      </c>
      <c r="O2229" s="5">
        <v>101323</v>
      </c>
      <c r="P2229" s="5">
        <v>20</v>
      </c>
      <c r="Q2229" s="14">
        <v>46293</v>
      </c>
      <c r="R2229" s="15">
        <v>117</v>
      </c>
    </row>
    <row r="2230" spans="2:18" x14ac:dyDescent="0.35">
      <c r="B2230" s="9">
        <v>1018</v>
      </c>
      <c r="C2230" s="9" t="str">
        <v>출고재고</v>
      </c>
      <c r="D2230" s="9" t="str">
        <v/>
      </c>
      <c r="E2230" s="9" t="str">
        <v>기초</v>
      </c>
      <c r="F2230" s="9" t="str">
        <v/>
      </c>
      <c r="G2230" s="9" t="str">
        <v/>
      </c>
      <c r="H2230" s="9" t="str">
        <v>RA-02A-2712</v>
      </c>
      <c r="I2230" s="11" t="str">
        <v>RA-02A-2712]ASM Y-AXIS MOT</v>
      </c>
      <c r="J2230" s="9">
        <v>138</v>
      </c>
      <c r="K2230" s="9" t="str">
        <v/>
      </c>
      <c r="L2230" s="9" t="str">
        <v>C2-2</v>
      </c>
      <c r="M2230" s="12">
        <v>46276</v>
      </c>
      <c r="N2230" s="5" t="str">
        <v/>
      </c>
      <c r="O2230" s="5">
        <v>101323</v>
      </c>
      <c r="P2230" s="5">
        <v>20</v>
      </c>
      <c r="Q2230" s="14">
        <v>46293</v>
      </c>
      <c r="R2230" s="15">
        <v>118</v>
      </c>
    </row>
    <row r="2231" spans="2:18" x14ac:dyDescent="0.35">
      <c r="B2231" s="9">
        <v>1019</v>
      </c>
      <c r="C2231" s="9" t="str">
        <v>출고재고</v>
      </c>
      <c r="D2231" s="9" t="str">
        <v/>
      </c>
      <c r="E2231" s="9" t="str">
        <v>기초</v>
      </c>
      <c r="F2231" s="9" t="str">
        <v/>
      </c>
      <c r="G2231" s="9" t="str">
        <v/>
      </c>
      <c r="H2231" s="9" t="str">
        <v>RA-02A-2303</v>
      </c>
      <c r="I2231" s="11" t="str">
        <v>RA-02A-2303]ASM IDLER B-Ring (A+)</v>
      </c>
      <c r="J2231" s="9">
        <v>139</v>
      </c>
      <c r="K2231" s="9" t="str">
        <v/>
      </c>
      <c r="L2231" s="9" t="str">
        <v>C1-1</v>
      </c>
      <c r="M2231" s="12">
        <v>46276</v>
      </c>
      <c r="N2231" s="5" t="str">
        <v/>
      </c>
      <c r="O2231" s="5">
        <v>101323</v>
      </c>
      <c r="P2231" s="5">
        <v>20</v>
      </c>
      <c r="Q2231" s="14">
        <v>46293</v>
      </c>
      <c r="R2231" s="15">
        <v>119</v>
      </c>
    </row>
    <row r="2232" spans="2:18" x14ac:dyDescent="0.35">
      <c r="B2232" s="9">
        <v>1026</v>
      </c>
      <c r="C2232" s="9" t="str">
        <v>출고재고</v>
      </c>
      <c r="D2232" s="9" t="str">
        <v/>
      </c>
      <c r="E2232" s="9" t="str">
        <v>기초</v>
      </c>
      <c r="F2232" s="9" t="str">
        <v/>
      </c>
      <c r="G2232" s="9" t="str">
        <v/>
      </c>
      <c r="H2232" s="9" t="str">
        <v>RA-06S-5167</v>
      </c>
      <c r="I2232" s="11" t="str">
        <v>RA-06S-5167]STEP MOT-KH4238-90102</v>
      </c>
      <c r="J2232" s="9">
        <v>174</v>
      </c>
      <c r="K2232" s="9" t="str">
        <v/>
      </c>
      <c r="L2232" s="9" t="str">
        <v>Q</v>
      </c>
      <c r="M2232" s="12">
        <v>46276</v>
      </c>
      <c r="N2232" s="5" t="str">
        <v/>
      </c>
      <c r="O2232" s="5">
        <v>101323</v>
      </c>
      <c r="P2232" s="5">
        <v>20</v>
      </c>
      <c r="Q2232" s="14">
        <v>46293</v>
      </c>
      <c r="R2232" s="15">
        <v>154</v>
      </c>
    </row>
    <row r="2233" spans="2:18" x14ac:dyDescent="0.35">
      <c r="B2233" s="9">
        <v>1028</v>
      </c>
      <c r="C2233" s="9" t="str">
        <v>출고재고</v>
      </c>
      <c r="D2233" s="9" t="str">
        <v/>
      </c>
      <c r="E2233" s="9" t="str">
        <v>기초</v>
      </c>
      <c r="F2233" s="9" t="str">
        <v/>
      </c>
      <c r="G2233" s="9" t="str">
        <v/>
      </c>
      <c r="H2233" s="9" t="str">
        <v>RA-02M-2522</v>
      </c>
      <c r="I2233" s="11" t="str">
        <v>RA-02M-2522]PULLEY ROT MAIN (A+)</v>
      </c>
      <c r="J2233" s="9">
        <v>176</v>
      </c>
      <c r="K2233" s="9" t="str">
        <v/>
      </c>
      <c r="L2233" s="9" t="str">
        <v>C3-5</v>
      </c>
      <c r="M2233" s="12">
        <v>46276</v>
      </c>
      <c r="N2233" s="5" t="str">
        <v/>
      </c>
      <c r="O2233" s="5">
        <v>101323</v>
      </c>
      <c r="P2233" s="5">
        <v>20</v>
      </c>
      <c r="Q2233" s="14">
        <v>46293</v>
      </c>
      <c r="R2233" s="15">
        <v>156</v>
      </c>
    </row>
    <row r="2234" spans="2:18" x14ac:dyDescent="0.35">
      <c r="B2234" s="9">
        <v>1031</v>
      </c>
      <c r="C2234" s="9" t="str">
        <v>출고재고</v>
      </c>
      <c r="D2234" s="9" t="str">
        <v/>
      </c>
      <c r="E2234" s="9" t="str">
        <v>기초</v>
      </c>
      <c r="F2234" s="9" t="str">
        <v/>
      </c>
      <c r="G2234" s="9" t="str">
        <v/>
      </c>
      <c r="H2234" s="9" t="str">
        <v>RA-7-2</v>
      </c>
      <c r="I2234" s="11" t="str">
        <v>RA-7-2]LAN GIGA</v>
      </c>
      <c r="J2234" s="9">
        <v>182</v>
      </c>
      <c r="K2234" s="9" t="str">
        <v/>
      </c>
      <c r="L2234" s="9" t="str">
        <v>G2-2</v>
      </c>
      <c r="M2234" s="12">
        <v>46276</v>
      </c>
      <c r="N2234" s="5" t="str">
        <v/>
      </c>
      <c r="O2234" s="5">
        <v>101323</v>
      </c>
      <c r="P2234" s="5">
        <v>20</v>
      </c>
      <c r="Q2234" s="14">
        <v>46293</v>
      </c>
      <c r="R2234" s="15">
        <v>162</v>
      </c>
    </row>
    <row r="2235" spans="2:18" x14ac:dyDescent="0.35">
      <c r="B2235" s="9">
        <v>1040</v>
      </c>
      <c r="C2235" s="9" t="str">
        <v>출고재고</v>
      </c>
      <c r="D2235" s="9" t="str">
        <v/>
      </c>
      <c r="E2235" s="9" t="str">
        <v>기초</v>
      </c>
      <c r="F2235" s="9" t="str">
        <v/>
      </c>
      <c r="G2235" s="9" t="str">
        <v/>
      </c>
      <c r="H2235" s="9" t="str">
        <v>RA-02A-2280</v>
      </c>
      <c r="I2235" s="11" t="str">
        <v>RA-02A-2280]ASM SHAFT IDLER A (A+)</v>
      </c>
      <c r="J2235" s="9">
        <v>237</v>
      </c>
      <c r="K2235" s="9" t="str">
        <v/>
      </c>
      <c r="L2235" s="9" t="str">
        <v>C2-1</v>
      </c>
      <c r="M2235" s="12">
        <v>46276</v>
      </c>
      <c r="N2235" s="5" t="str">
        <v/>
      </c>
      <c r="O2235" s="5">
        <v>101323</v>
      </c>
      <c r="P2235" s="5">
        <v>20</v>
      </c>
      <c r="Q2235" s="14">
        <v>46293</v>
      </c>
      <c r="R2235" s="15">
        <v>217</v>
      </c>
    </row>
    <row r="2236" spans="2:18" x14ac:dyDescent="0.35">
      <c r="B2236" s="9">
        <v>1041</v>
      </c>
      <c r="C2236" s="9" t="str">
        <v>출고재고</v>
      </c>
      <c r="D2236" s="9" t="str">
        <v/>
      </c>
      <c r="E2236" s="9" t="str">
        <v>기초</v>
      </c>
      <c r="F2236" s="9" t="str">
        <v/>
      </c>
      <c r="G2236" s="9" t="str">
        <v/>
      </c>
      <c r="H2236" s="9" t="str">
        <v>RA-02S-0042</v>
      </c>
      <c r="I2236" s="11" t="str">
        <v>RA-02S-0042]COUPLING DISK</v>
      </c>
      <c r="J2236" s="9">
        <v>245</v>
      </c>
      <c r="K2236" s="9" t="str">
        <v/>
      </c>
      <c r="L2236" s="9" t="str">
        <v>C3-1</v>
      </c>
      <c r="M2236" s="12">
        <v>46276</v>
      </c>
      <c r="N2236" s="5" t="str">
        <v/>
      </c>
      <c r="O2236" s="5">
        <v>101323</v>
      </c>
      <c r="P2236" s="5">
        <v>20</v>
      </c>
      <c r="Q2236" s="14">
        <v>46293</v>
      </c>
      <c r="R2236" s="15">
        <v>225</v>
      </c>
    </row>
    <row r="2237" spans="2:18" x14ac:dyDescent="0.35">
      <c r="B2237" s="9">
        <v>1042</v>
      </c>
      <c r="C2237" s="9" t="str">
        <v>출고재고</v>
      </c>
      <c r="D2237" s="9" t="str">
        <v/>
      </c>
      <c r="E2237" s="9" t="str">
        <v>기초</v>
      </c>
      <c r="F2237" s="9" t="str">
        <v/>
      </c>
      <c r="G2237" s="9" t="str">
        <v/>
      </c>
      <c r="H2237" s="9" t="str">
        <v>RA-02V-2283</v>
      </c>
      <c r="I2237" s="11" t="str">
        <v>RA-02V-2283]PLT VERT MAIN MCU (A+)</v>
      </c>
      <c r="J2237" s="9">
        <v>250</v>
      </c>
      <c r="K2237" s="9" t="str">
        <v/>
      </c>
      <c r="L2237" s="9" t="str">
        <v>D2-1</v>
      </c>
      <c r="M2237" s="12">
        <v>46276</v>
      </c>
      <c r="N2237" s="5" t="str">
        <v/>
      </c>
      <c r="O2237" s="5">
        <v>101323</v>
      </c>
      <c r="P2237" s="5">
        <v>20</v>
      </c>
      <c r="Q2237" s="14">
        <v>46293</v>
      </c>
      <c r="R2237" s="15">
        <v>230</v>
      </c>
    </row>
    <row r="2238" spans="2:18" x14ac:dyDescent="0.35">
      <c r="B2238" s="9">
        <v>1044</v>
      </c>
      <c r="C2238" s="9" t="str">
        <v>출고재고</v>
      </c>
      <c r="D2238" s="9" t="str">
        <v/>
      </c>
      <c r="E2238" s="9" t="str">
        <v>기초</v>
      </c>
      <c r="F2238" s="9" t="str">
        <v/>
      </c>
      <c r="G2238" s="9" t="str">
        <v/>
      </c>
      <c r="H2238" s="9" t="str">
        <v>RA-02S-2026</v>
      </c>
      <c r="I2238" s="11" t="str">
        <v>RA-02S-2026]COUPLING</v>
      </c>
      <c r="J2238" s="9">
        <v>260</v>
      </c>
      <c r="K2238" s="9" t="str">
        <v/>
      </c>
      <c r="L2238" s="9" t="str">
        <v>C3-1</v>
      </c>
      <c r="M2238" s="12">
        <v>46276</v>
      </c>
      <c r="N2238" s="5" t="str">
        <v/>
      </c>
      <c r="O2238" s="5">
        <v>101323</v>
      </c>
      <c r="P2238" s="5">
        <v>20</v>
      </c>
      <c r="Q2238" s="14">
        <v>46293</v>
      </c>
      <c r="R2238" s="15">
        <v>240</v>
      </c>
    </row>
    <row r="2239" spans="2:18" x14ac:dyDescent="0.35">
      <c r="B2239" s="9">
        <v>1045</v>
      </c>
      <c r="C2239" s="9" t="str">
        <v>출고재고</v>
      </c>
      <c r="D2239" s="9" t="str">
        <v/>
      </c>
      <c r="E2239" s="9" t="str">
        <v>기초</v>
      </c>
      <c r="F2239" s="9" t="str">
        <v/>
      </c>
      <c r="G2239" s="9" t="str">
        <v/>
      </c>
      <c r="H2239" s="9" t="str">
        <v>RA-02V-2049</v>
      </c>
      <c r="I2239" s="11" t="str">
        <v>RA-02V-2049]PLT PHOt SNSR Y-AXIS (A+)</v>
      </c>
      <c r="J2239" s="9">
        <v>264</v>
      </c>
      <c r="K2239" s="9" t="str">
        <v/>
      </c>
      <c r="L2239" s="9" t="str">
        <v>C3-4</v>
      </c>
      <c r="M2239" s="12">
        <v>46276</v>
      </c>
      <c r="N2239" s="5" t="str">
        <v/>
      </c>
      <c r="O2239" s="5">
        <v>101323</v>
      </c>
      <c r="P2239" s="5">
        <v>20</v>
      </c>
      <c r="Q2239" s="14">
        <v>46293</v>
      </c>
      <c r="R2239" s="15">
        <v>244</v>
      </c>
    </row>
    <row r="2240" spans="2:18" x14ac:dyDescent="0.35">
      <c r="B2240" s="9">
        <v>1046</v>
      </c>
      <c r="C2240" s="9" t="str">
        <v>출고재고</v>
      </c>
      <c r="D2240" s="9" t="str">
        <v/>
      </c>
      <c r="E2240" s="9" t="str">
        <v>기초</v>
      </c>
      <c r="F2240" s="9" t="str">
        <v/>
      </c>
      <c r="G2240" s="9" t="str">
        <v/>
      </c>
      <c r="H2240" s="9" t="str">
        <v>RA-02S-2278</v>
      </c>
      <c r="I2240" s="11" t="str">
        <v>RA-02S-2278]TIMMING BELT</v>
      </c>
      <c r="J2240" s="9">
        <v>275</v>
      </c>
      <c r="K2240" s="9" t="str">
        <v/>
      </c>
      <c r="L2240" s="9" t="str">
        <v>C3-1</v>
      </c>
      <c r="M2240" s="12">
        <v>46276</v>
      </c>
      <c r="N2240" s="5" t="str">
        <v/>
      </c>
      <c r="O2240" s="5">
        <v>101323</v>
      </c>
      <c r="P2240" s="5">
        <v>20</v>
      </c>
      <c r="Q2240" s="14">
        <v>46293</v>
      </c>
      <c r="R2240" s="15">
        <v>255</v>
      </c>
    </row>
    <row r="2241" spans="2:18" x14ac:dyDescent="0.35">
      <c r="B2241" s="9">
        <v>1047</v>
      </c>
      <c r="C2241" s="9" t="str">
        <v>출고재고</v>
      </c>
      <c r="D2241" s="9" t="str">
        <v/>
      </c>
      <c r="E2241" s="9" t="str">
        <v>기초</v>
      </c>
      <c r="F2241" s="9" t="str">
        <v/>
      </c>
      <c r="G2241" s="9" t="str">
        <v/>
      </c>
      <c r="H2241" s="9" t="str">
        <v>RA-02V-2019</v>
      </c>
      <c r="I2241" s="11" t="str">
        <v>RA-02V-2019]HLDR STOPPER ROT PLT (A+)</v>
      </c>
      <c r="J2241" s="9">
        <v>281</v>
      </c>
      <c r="K2241" s="9" t="str">
        <v/>
      </c>
      <c r="L2241" s="9" t="str">
        <v>C3-3</v>
      </c>
      <c r="M2241" s="12">
        <v>46276</v>
      </c>
      <c r="N2241" s="5" t="str">
        <v/>
      </c>
      <c r="O2241" s="5">
        <v>101323</v>
      </c>
      <c r="P2241" s="5">
        <v>20</v>
      </c>
      <c r="Q2241" s="14">
        <v>46293</v>
      </c>
      <c r="R2241" s="15">
        <v>261</v>
      </c>
    </row>
    <row r="2242" spans="2:18" x14ac:dyDescent="0.35">
      <c r="B2242" s="9">
        <v>1048</v>
      </c>
      <c r="C2242" s="9" t="str">
        <v>출고재고</v>
      </c>
      <c r="D2242" s="9" t="str">
        <v/>
      </c>
      <c r="E2242" s="9" t="str">
        <v>기초</v>
      </c>
      <c r="F2242" s="9" t="str">
        <v/>
      </c>
      <c r="G2242" s="9" t="str">
        <v/>
      </c>
      <c r="H2242" s="9" t="str">
        <v>RA-02M-2004</v>
      </c>
      <c r="I2242" s="11" t="str">
        <v>RA-02M-2004]BLK MOVING LWR (A+)</v>
      </c>
      <c r="J2242" s="9">
        <v>285</v>
      </c>
      <c r="K2242" s="9" t="str">
        <v/>
      </c>
      <c r="L2242" s="9" t="str">
        <v>O3</v>
      </c>
      <c r="M2242" s="12">
        <v>46276</v>
      </c>
      <c r="N2242" s="5" t="str">
        <v/>
      </c>
      <c r="O2242" s="5">
        <v>101323</v>
      </c>
      <c r="P2242" s="5">
        <v>20</v>
      </c>
      <c r="Q2242" s="14">
        <v>46293</v>
      </c>
      <c r="R2242" s="15">
        <v>265</v>
      </c>
    </row>
    <row r="2243" spans="2:18" x14ac:dyDescent="0.35">
      <c r="B2243" s="9">
        <v>1052</v>
      </c>
      <c r="C2243" s="9" t="str">
        <v>출고재고</v>
      </c>
      <c r="D2243" s="9" t="str">
        <v/>
      </c>
      <c r="E2243" s="9" t="str">
        <v>기초</v>
      </c>
      <c r="F2243" s="9" t="str">
        <v/>
      </c>
      <c r="G2243" s="9" t="str">
        <v/>
      </c>
      <c r="H2243" s="9" t="str">
        <v>RA-02A-2622</v>
      </c>
      <c r="I2243" s="11" t="str">
        <v>RA-02A-2622]ASM SCREW MOVING Y-AXIS (A+)</v>
      </c>
      <c r="J2243" s="9">
        <v>343</v>
      </c>
      <c r="K2243" s="9" t="str">
        <v/>
      </c>
      <c r="L2243" s="9" t="str">
        <v>C3-5</v>
      </c>
      <c r="M2243" s="12">
        <v>46276</v>
      </c>
      <c r="N2243" s="5" t="str">
        <v/>
      </c>
      <c r="O2243" s="5">
        <v>101323</v>
      </c>
      <c r="P2243" s="5">
        <v>20</v>
      </c>
      <c r="Q2243" s="14">
        <v>46293</v>
      </c>
      <c r="R2243" s="15">
        <v>323</v>
      </c>
    </row>
    <row r="2244" spans="2:18" x14ac:dyDescent="0.35">
      <c r="B2244" s="9">
        <v>1053</v>
      </c>
      <c r="C2244" s="9" t="str">
        <v>출고재고</v>
      </c>
      <c r="D2244" s="9" t="str">
        <v/>
      </c>
      <c r="E2244" s="9" t="str">
        <v>기초</v>
      </c>
      <c r="F2244" s="9" t="str">
        <v/>
      </c>
      <c r="G2244" s="9" t="str">
        <v/>
      </c>
      <c r="H2244" s="9" t="str">
        <v>RA-11-13</v>
      </c>
      <c r="I2244" s="11" t="str">
        <v>RA-11-13_3]PRIME MOT LINEAR Left-Right</v>
      </c>
      <c r="J2244" s="9">
        <v>351</v>
      </c>
      <c r="K2244" s="9" t="str">
        <v/>
      </c>
      <c r="L2244" s="9" t="str">
        <v>G3-5</v>
      </c>
      <c r="M2244" s="12">
        <v>46276</v>
      </c>
      <c r="N2244" s="5" t="str">
        <v/>
      </c>
      <c r="O2244" s="5">
        <v>101323</v>
      </c>
      <c r="P2244" s="5">
        <v>20</v>
      </c>
      <c r="Q2244" s="14">
        <v>46293</v>
      </c>
      <c r="R2244" s="15">
        <v>331</v>
      </c>
    </row>
    <row r="2245" spans="2:18" x14ac:dyDescent="0.35">
      <c r="B2245" s="9">
        <v>1059</v>
      </c>
      <c r="C2245" s="9" t="str">
        <v>출고재고</v>
      </c>
      <c r="D2245" s="9" t="str">
        <v/>
      </c>
      <c r="E2245" s="9" t="str">
        <v>기초</v>
      </c>
      <c r="F2245" s="9" t="str">
        <v/>
      </c>
      <c r="G2245" s="9" t="str">
        <v/>
      </c>
      <c r="H2245" s="9" t="str">
        <v>RA-11-4</v>
      </c>
      <c r="I2245" s="11" t="str">
        <v>RA-11-4]MainMCU to STEP DRV</v>
      </c>
      <c r="J2245" s="9">
        <v>360</v>
      </c>
      <c r="K2245" s="9" t="str">
        <v/>
      </c>
      <c r="L2245" s="9" t="str">
        <v>G1-4</v>
      </c>
      <c r="M2245" s="12">
        <v>46276</v>
      </c>
      <c r="N2245" s="5" t="str">
        <v/>
      </c>
      <c r="O2245" s="5">
        <v>101323</v>
      </c>
      <c r="P2245" s="5">
        <v>20</v>
      </c>
      <c r="Q2245" s="14">
        <v>46293</v>
      </c>
      <c r="R2245" s="15">
        <v>340</v>
      </c>
    </row>
    <row r="2246" spans="2:18" x14ac:dyDescent="0.35">
      <c r="B2246" s="9">
        <v>1062</v>
      </c>
      <c r="C2246" s="9" t="str">
        <v>출고재고</v>
      </c>
      <c r="D2246" s="9" t="str">
        <v/>
      </c>
      <c r="E2246" s="9" t="str">
        <v>기초</v>
      </c>
      <c r="F2246" s="9" t="str">
        <v/>
      </c>
      <c r="G2246" s="9" t="str">
        <v/>
      </c>
      <c r="H2246" s="9" t="str">
        <v>RA-02M-2007</v>
      </c>
      <c r="I2246" s="11" t="str">
        <v>RA-02M-2007]BLK MOVING UPPER (A+)</v>
      </c>
      <c r="J2246" s="9">
        <v>410</v>
      </c>
      <c r="K2246" s="9" t="str">
        <v/>
      </c>
      <c r="L2246" s="9" t="str">
        <v>O3</v>
      </c>
      <c r="M2246" s="12">
        <v>46276</v>
      </c>
      <c r="N2246" s="5" t="str">
        <v/>
      </c>
      <c r="O2246" s="5">
        <v>101323</v>
      </c>
      <c r="P2246" s="5">
        <v>20</v>
      </c>
      <c r="Q2246" s="14">
        <v>46293</v>
      </c>
      <c r="R2246" s="15">
        <v>390</v>
      </c>
    </row>
    <row r="2247" spans="2:18" x14ac:dyDescent="0.35">
      <c r="B2247" s="9">
        <v>1063</v>
      </c>
      <c r="C2247" s="9" t="str">
        <v>출고재고</v>
      </c>
      <c r="D2247" s="9" t="str">
        <v/>
      </c>
      <c r="E2247" s="9" t="str">
        <v>기초</v>
      </c>
      <c r="F2247" s="9" t="str">
        <v/>
      </c>
      <c r="G2247" s="9" t="str">
        <v/>
      </c>
      <c r="H2247" s="9" t="str">
        <v>RA-02V-2016</v>
      </c>
      <c r="I2247" s="11" t="str">
        <v>RA-02V-2016]SLIDER ROT WASHER (A+)</v>
      </c>
      <c r="J2247" s="9">
        <v>412</v>
      </c>
      <c r="K2247" s="9" t="str">
        <v/>
      </c>
      <c r="L2247" s="9" t="str">
        <v>C3-3</v>
      </c>
      <c r="M2247" s="12">
        <v>46276</v>
      </c>
      <c r="N2247" s="5" t="str">
        <v/>
      </c>
      <c r="O2247" s="5">
        <v>101323</v>
      </c>
      <c r="P2247" s="5">
        <v>20</v>
      </c>
      <c r="Q2247" s="14">
        <v>46293</v>
      </c>
      <c r="R2247" s="15">
        <v>392</v>
      </c>
    </row>
    <row r="2248" spans="2:18" x14ac:dyDescent="0.35">
      <c r="B2248" s="9">
        <v>1064</v>
      </c>
      <c r="C2248" s="9" t="str">
        <v>출고재고</v>
      </c>
      <c r="D2248" s="9" t="str">
        <v/>
      </c>
      <c r="E2248" s="9" t="str">
        <v>기초</v>
      </c>
      <c r="F2248" s="9" t="str">
        <v/>
      </c>
      <c r="G2248" s="9" t="str">
        <v/>
      </c>
      <c r="H2248" s="9" t="str">
        <v>RA-02V-2028</v>
      </c>
      <c r="I2248" s="11" t="str">
        <v>RA-02V-2028]SUP ROT PHOt SNSR (A+)</v>
      </c>
      <c r="J2248" s="9">
        <v>413</v>
      </c>
      <c r="K2248" s="9" t="str">
        <v/>
      </c>
      <c r="L2248" s="9" t="str">
        <v>C3-3</v>
      </c>
      <c r="M2248" s="12">
        <v>46276</v>
      </c>
      <c r="N2248" s="5" t="str">
        <v/>
      </c>
      <c r="O2248" s="5">
        <v>101323</v>
      </c>
      <c r="P2248" s="5">
        <v>20</v>
      </c>
      <c r="Q2248" s="14">
        <v>46293</v>
      </c>
      <c r="R2248" s="15">
        <v>393</v>
      </c>
    </row>
    <row r="2249" spans="2:18" x14ac:dyDescent="0.35">
      <c r="B2249" s="9">
        <v>1066</v>
      </c>
      <c r="C2249" s="9" t="str">
        <v>출고재고</v>
      </c>
      <c r="D2249" s="9" t="str">
        <v/>
      </c>
      <c r="E2249" s="9" t="str">
        <v>기초</v>
      </c>
      <c r="F2249" s="9" t="str">
        <v/>
      </c>
      <c r="G2249" s="9" t="str">
        <v/>
      </c>
      <c r="H2249" s="9" t="str">
        <v>RA-11-12</v>
      </c>
      <c r="I2249" s="11" t="str">
        <v>RA-11-12_3]PRIME MOT LINEAR Front-Rear</v>
      </c>
      <c r="J2249" s="9">
        <v>419</v>
      </c>
      <c r="K2249" s="9" t="str">
        <v/>
      </c>
      <c r="L2249" s="9" t="str">
        <v>G3-5</v>
      </c>
      <c r="M2249" s="12">
        <v>46276</v>
      </c>
      <c r="N2249" s="5" t="str">
        <v/>
      </c>
      <c r="O2249" s="5">
        <v>101323</v>
      </c>
      <c r="P2249" s="5">
        <v>20</v>
      </c>
      <c r="Q2249" s="14">
        <v>46293</v>
      </c>
      <c r="R2249" s="15">
        <v>399</v>
      </c>
    </row>
    <row r="2250" spans="2:18" x14ac:dyDescent="0.35">
      <c r="B2250" s="9">
        <v>1067</v>
      </c>
      <c r="C2250" s="9" t="str">
        <v>출고재고</v>
      </c>
      <c r="D2250" s="9" t="str">
        <v/>
      </c>
      <c r="E2250" s="9" t="str">
        <v>기초</v>
      </c>
      <c r="F2250" s="9" t="str">
        <v/>
      </c>
      <c r="G2250" s="9" t="str">
        <v/>
      </c>
      <c r="H2250" s="9" t="str">
        <v>RA-02V-2043</v>
      </c>
      <c r="I2250" s="11" t="str">
        <v>RA-02V-2043]PLT PHOt SNSR X-AXIS (A+)</v>
      </c>
      <c r="J2250" s="9">
        <v>423</v>
      </c>
      <c r="K2250" s="9" t="str">
        <v/>
      </c>
      <c r="L2250" s="9" t="str">
        <v>C3-4</v>
      </c>
      <c r="M2250" s="12">
        <v>46276</v>
      </c>
      <c r="N2250" s="5" t="str">
        <v/>
      </c>
      <c r="O2250" s="5">
        <v>101323</v>
      </c>
      <c r="P2250" s="5">
        <v>20</v>
      </c>
      <c r="Q2250" s="14">
        <v>46293</v>
      </c>
      <c r="R2250" s="15">
        <v>403</v>
      </c>
    </row>
    <row r="2251" spans="2:18" x14ac:dyDescent="0.35">
      <c r="B2251" s="9">
        <v>1068</v>
      </c>
      <c r="C2251" s="9" t="str">
        <v>출고재고</v>
      </c>
      <c r="D2251" s="9" t="str">
        <v/>
      </c>
      <c r="E2251" s="9" t="str">
        <v>기초</v>
      </c>
      <c r="F2251" s="9" t="str">
        <v/>
      </c>
      <c r="G2251" s="9" t="str">
        <v/>
      </c>
      <c r="H2251" s="9" t="str">
        <v>RA-02A-2008</v>
      </c>
      <c r="I2251" s="11" t="str">
        <v>RA-02A-2008]ASM B-Ring ROT Mdl (A+)</v>
      </c>
      <c r="J2251" s="9">
        <v>426</v>
      </c>
      <c r="K2251" s="9" t="str">
        <v/>
      </c>
      <c r="L2251" s="9" t="str">
        <v>O3</v>
      </c>
      <c r="M2251" s="12">
        <v>46276</v>
      </c>
      <c r="N2251" s="5" t="str">
        <v/>
      </c>
      <c r="O2251" s="5">
        <v>101323</v>
      </c>
      <c r="P2251" s="5">
        <v>20</v>
      </c>
      <c r="Q2251" s="14">
        <v>46293</v>
      </c>
      <c r="R2251" s="15">
        <v>406</v>
      </c>
    </row>
    <row r="2252" spans="2:18" x14ac:dyDescent="0.35">
      <c r="B2252" s="9">
        <v>1069</v>
      </c>
      <c r="C2252" s="9" t="str">
        <v>출고재고</v>
      </c>
      <c r="D2252" s="9" t="str">
        <v/>
      </c>
      <c r="E2252" s="9" t="str">
        <v>기초</v>
      </c>
      <c r="F2252" s="9" t="str">
        <v/>
      </c>
      <c r="G2252" s="9" t="str">
        <v/>
      </c>
      <c r="H2252" s="9" t="str">
        <v>RA-02V-2281</v>
      </c>
      <c r="I2252" s="11" t="str">
        <v>RA-02V-2281]BRK PHOt SNSR Y (A+)</v>
      </c>
      <c r="J2252" s="9">
        <v>430</v>
      </c>
      <c r="K2252" s="9" t="str">
        <v/>
      </c>
      <c r="L2252" s="9" t="str">
        <v>C3-4</v>
      </c>
      <c r="M2252" s="12">
        <v>46276</v>
      </c>
      <c r="N2252" s="5" t="str">
        <v/>
      </c>
      <c r="O2252" s="5">
        <v>101323</v>
      </c>
      <c r="P2252" s="5">
        <v>20</v>
      </c>
      <c r="Q2252" s="14">
        <v>46293</v>
      </c>
      <c r="R2252" s="15">
        <v>410</v>
      </c>
    </row>
    <row r="2253" spans="2:18" x14ac:dyDescent="0.35">
      <c r="B2253" s="9">
        <v>1070</v>
      </c>
      <c r="C2253" s="9" t="str">
        <v>출고재고</v>
      </c>
      <c r="D2253" s="9" t="str">
        <v/>
      </c>
      <c r="E2253" s="9" t="str">
        <v>기초</v>
      </c>
      <c r="F2253" s="9" t="str">
        <v/>
      </c>
      <c r="G2253" s="9" t="str">
        <v/>
      </c>
      <c r="H2253" s="9" t="str">
        <v>RA-02M-2029</v>
      </c>
      <c r="I2253" s="11" t="str">
        <v>RA-02M-2029]STOPPER ROT LIMIT (A+)</v>
      </c>
      <c r="J2253" s="9">
        <v>432</v>
      </c>
      <c r="K2253" s="9" t="str">
        <v/>
      </c>
      <c r="L2253" s="9" t="str">
        <v>C3-2</v>
      </c>
      <c r="M2253" s="12">
        <v>46276</v>
      </c>
      <c r="N2253" s="5" t="str">
        <v/>
      </c>
      <c r="O2253" s="5">
        <v>101323</v>
      </c>
      <c r="P2253" s="5">
        <v>20</v>
      </c>
      <c r="Q2253" s="14">
        <v>46293</v>
      </c>
      <c r="R2253" s="15">
        <v>412</v>
      </c>
    </row>
    <row r="2254" spans="2:18" x14ac:dyDescent="0.35">
      <c r="B2254" s="9">
        <v>1071</v>
      </c>
      <c r="C2254" s="9" t="str">
        <v>출고재고</v>
      </c>
      <c r="D2254" s="9" t="str">
        <v/>
      </c>
      <c r="E2254" s="9" t="str">
        <v>기초</v>
      </c>
      <c r="F2254" s="9" t="str">
        <v/>
      </c>
      <c r="G2254" s="9" t="str">
        <v/>
      </c>
      <c r="H2254" s="9" t="str">
        <v>RA-02V-2056</v>
      </c>
      <c r="I2254" s="11" t="str">
        <v>RA-02V-2056]BRK CABLE PROTOR (A+)</v>
      </c>
      <c r="J2254" s="9">
        <v>433</v>
      </c>
      <c r="K2254" s="9" t="str">
        <v/>
      </c>
      <c r="L2254" s="9" t="str">
        <v>C2-3</v>
      </c>
      <c r="M2254" s="12">
        <v>46276</v>
      </c>
      <c r="N2254" s="5" t="str">
        <v/>
      </c>
      <c r="O2254" s="5">
        <v>101323</v>
      </c>
      <c r="P2254" s="5">
        <v>20</v>
      </c>
      <c r="Q2254" s="14">
        <v>46293</v>
      </c>
      <c r="R2254" s="15">
        <v>413</v>
      </c>
    </row>
    <row r="2255" spans="2:18" x14ac:dyDescent="0.35">
      <c r="B2255" s="9">
        <v>1164</v>
      </c>
      <c r="C2255" s="9" t="str">
        <v>출고재고</v>
      </c>
      <c r="D2255" s="9" t="str">
        <v/>
      </c>
      <c r="E2255" s="9" t="str">
        <v/>
      </c>
      <c r="F2255" s="9" t="str">
        <v/>
      </c>
      <c r="G2255" s="9" t="str">
        <v/>
      </c>
      <c r="H2255" s="9" t="str">
        <v>RA-02V-2286</v>
      </c>
      <c r="I2255" s="11" t="str">
        <v>RA-02V-2286]BRK ROTATION FIX AXIS (A+)</v>
      </c>
      <c r="J2255" s="9">
        <v>454</v>
      </c>
      <c r="K2255" s="9" t="str">
        <v/>
      </c>
      <c r="L2255" s="9" t="str">
        <v>L1-3</v>
      </c>
      <c r="M2255" s="12">
        <v>46281</v>
      </c>
      <c r="N2255" s="5" t="str">
        <v/>
      </c>
      <c r="O2255" s="5">
        <v>101323</v>
      </c>
      <c r="P2255" s="5">
        <v>20</v>
      </c>
      <c r="Q2255" s="14">
        <v>46293</v>
      </c>
      <c r="R2255" s="15">
        <v>434</v>
      </c>
    </row>
    <row r="2256" spans="2:18" x14ac:dyDescent="0.35">
      <c r="B2256" s="9">
        <v>1075</v>
      </c>
      <c r="C2256" s="9" t="str">
        <v>출고재고</v>
      </c>
      <c r="D2256" s="9" t="str">
        <v/>
      </c>
      <c r="E2256" s="9" t="str">
        <v>기초</v>
      </c>
      <c r="F2256" s="9" t="str">
        <v/>
      </c>
      <c r="G2256" s="9" t="str">
        <v/>
      </c>
      <c r="H2256" s="9" t="str">
        <v>RA-02V-2018</v>
      </c>
      <c r="I2256" s="11" t="str">
        <v>RA-02V-2018]PLT ROT POSITION LWR (A+)</v>
      </c>
      <c r="J2256" s="9">
        <v>476</v>
      </c>
      <c r="K2256" s="9" t="str">
        <v/>
      </c>
      <c r="L2256" s="9" t="str">
        <v>C3-3</v>
      </c>
      <c r="M2256" s="12">
        <v>46276</v>
      </c>
      <c r="N2256" s="5" t="str">
        <v/>
      </c>
      <c r="O2256" s="5">
        <v>101323</v>
      </c>
      <c r="P2256" s="5">
        <v>20</v>
      </c>
      <c r="Q2256" s="14">
        <v>46293</v>
      </c>
      <c r="R2256" s="15">
        <v>456</v>
      </c>
    </row>
    <row r="2257" spans="2:18" x14ac:dyDescent="0.35">
      <c r="B2257" s="9">
        <v>1076</v>
      </c>
      <c r="C2257" s="9" t="str">
        <v>출고재고</v>
      </c>
      <c r="D2257" s="9" t="str">
        <v/>
      </c>
      <c r="E2257" s="9" t="str">
        <v>기초</v>
      </c>
      <c r="F2257" s="9" t="str">
        <v/>
      </c>
      <c r="G2257" s="9" t="str">
        <v/>
      </c>
      <c r="H2257" s="9" t="str">
        <v>RA-02V-2284</v>
      </c>
      <c r="I2257" s="11" t="str">
        <v>RA-02V-2284]BRK CABLE GUIDE VERT (A+)</v>
      </c>
      <c r="J2257" s="9">
        <v>477</v>
      </c>
      <c r="K2257" s="9" t="str">
        <v/>
      </c>
      <c r="L2257" s="9" t="str">
        <v>D2-2</v>
      </c>
      <c r="M2257" s="12">
        <v>46276</v>
      </c>
      <c r="N2257" s="5" t="str">
        <v/>
      </c>
      <c r="O2257" s="5">
        <v>101323</v>
      </c>
      <c r="P2257" s="5">
        <v>20</v>
      </c>
      <c r="Q2257" s="14">
        <v>46293</v>
      </c>
      <c r="R2257" s="15">
        <v>457</v>
      </c>
    </row>
    <row r="2258" spans="2:18" x14ac:dyDescent="0.35">
      <c r="B2258" s="9">
        <v>1077</v>
      </c>
      <c r="C2258" s="9" t="str">
        <v>출고재고</v>
      </c>
      <c r="D2258" s="9" t="str">
        <v/>
      </c>
      <c r="E2258" s="9" t="str">
        <v>기초</v>
      </c>
      <c r="F2258" s="9" t="str">
        <v/>
      </c>
      <c r="G2258" s="9" t="str">
        <v/>
      </c>
      <c r="H2258" s="9" t="str">
        <v>RA-02M-2015</v>
      </c>
      <c r="I2258" s="11" t="str">
        <v>RA-02M-2015]PIN PULLEY STOPPER (A+)</v>
      </c>
      <c r="J2258" s="9">
        <v>479</v>
      </c>
      <c r="K2258" s="9" t="str">
        <v/>
      </c>
      <c r="L2258" s="9" t="str">
        <v>C3-1</v>
      </c>
      <c r="M2258" s="12">
        <v>46276</v>
      </c>
      <c r="N2258" s="5" t="str">
        <v/>
      </c>
      <c r="O2258" s="5">
        <v>101323</v>
      </c>
      <c r="P2258" s="5">
        <v>20</v>
      </c>
      <c r="Q2258" s="14">
        <v>46293</v>
      </c>
      <c r="R2258" s="15">
        <v>459</v>
      </c>
    </row>
    <row r="2259" spans="2:18" x14ac:dyDescent="0.35">
      <c r="B2259" s="9">
        <v>1080</v>
      </c>
      <c r="C2259" s="9" t="str">
        <v>출고재고</v>
      </c>
      <c r="D2259" s="9" t="str">
        <v/>
      </c>
      <c r="E2259" s="9" t="str">
        <v>기초</v>
      </c>
      <c r="F2259" s="9" t="str">
        <v/>
      </c>
      <c r="G2259" s="9" t="str">
        <v/>
      </c>
      <c r="H2259" s="9" t="str">
        <v>RA-02V-2017</v>
      </c>
      <c r="I2259" s="11" t="str">
        <v>RA-02V-2017]PLT ROT STOPPER (A+)</v>
      </c>
      <c r="J2259" s="9">
        <v>494</v>
      </c>
      <c r="K2259" s="9" t="str">
        <v/>
      </c>
      <c r="L2259" s="9" t="str">
        <v>D2-2</v>
      </c>
      <c r="M2259" s="12">
        <v>46276</v>
      </c>
      <c r="N2259" s="5" t="str">
        <v/>
      </c>
      <c r="O2259" s="5">
        <v>101323</v>
      </c>
      <c r="P2259" s="5">
        <v>20</v>
      </c>
      <c r="Q2259" s="14">
        <v>46293</v>
      </c>
      <c r="R2259" s="15">
        <v>474</v>
      </c>
    </row>
    <row r="2260" spans="2:18" x14ac:dyDescent="0.35">
      <c r="B2260" s="9">
        <v>1085</v>
      </c>
      <c r="C2260" s="9" t="str">
        <v>출고재고</v>
      </c>
      <c r="D2260" s="9" t="str">
        <v/>
      </c>
      <c r="E2260" s="9" t="str">
        <v>기초</v>
      </c>
      <c r="F2260" s="9" t="str">
        <v/>
      </c>
      <c r="G2260" s="9" t="str">
        <v/>
      </c>
      <c r="H2260" s="9" t="str">
        <v>RA-02V-2042</v>
      </c>
      <c r="I2260" s="11" t="str">
        <v>RA-02V-2042]SUP X-AXIS PHOt SNSR (A+)</v>
      </c>
      <c r="J2260" s="9">
        <v>520</v>
      </c>
      <c r="K2260" s="9" t="str">
        <v/>
      </c>
      <c r="L2260" s="9" t="str">
        <v>C3-4</v>
      </c>
      <c r="M2260" s="12">
        <v>46276</v>
      </c>
      <c r="N2260" s="5" t="str">
        <v/>
      </c>
      <c r="O2260" s="5">
        <v>101323</v>
      </c>
      <c r="P2260" s="5">
        <v>20</v>
      </c>
      <c r="Q2260" s="14">
        <v>46293</v>
      </c>
      <c r="R2260" s="15">
        <v>500</v>
      </c>
    </row>
    <row r="2261" spans="2:18" x14ac:dyDescent="0.35">
      <c r="B2261" s="9">
        <v>1086</v>
      </c>
      <c r="C2261" s="9" t="str">
        <v>출고재고</v>
      </c>
      <c r="D2261" s="9" t="str">
        <v/>
      </c>
      <c r="E2261" s="9" t="str">
        <v>기초</v>
      </c>
      <c r="F2261" s="9" t="str">
        <v/>
      </c>
      <c r="G2261" s="9" t="str">
        <v/>
      </c>
      <c r="H2261" s="9" t="str">
        <v>RA-02M-2307</v>
      </c>
      <c r="I2261" s="11" t="str">
        <v>RA-02M-2307]GUIDE Y-AXIS SCREW A (A+)</v>
      </c>
      <c r="J2261" s="9">
        <v>533</v>
      </c>
      <c r="K2261" s="9" t="str">
        <v/>
      </c>
      <c r="L2261" s="9" t="str">
        <v>D3-1</v>
      </c>
      <c r="M2261" s="12">
        <v>46276</v>
      </c>
      <c r="N2261" s="5" t="str">
        <v/>
      </c>
      <c r="O2261" s="5">
        <v>101323</v>
      </c>
      <c r="P2261" s="5">
        <v>20</v>
      </c>
      <c r="Q2261" s="14">
        <v>46293</v>
      </c>
      <c r="R2261" s="15">
        <v>513</v>
      </c>
    </row>
    <row r="2262" spans="2:18" x14ac:dyDescent="0.35">
      <c r="B2262" s="9">
        <v>1088</v>
      </c>
      <c r="C2262" s="9" t="str">
        <v>출고재고</v>
      </c>
      <c r="D2262" s="9" t="str">
        <v/>
      </c>
      <c r="E2262" s="9" t="str">
        <v>기초</v>
      </c>
      <c r="F2262" s="9" t="str">
        <v/>
      </c>
      <c r="G2262" s="9" t="str">
        <v/>
      </c>
      <c r="H2262" s="9" t="str">
        <v>RA-02V-2014</v>
      </c>
      <c r="I2262" s="11" t="str">
        <v>RA-02V-2014]PLT ROT POSITION UPPER (A+)</v>
      </c>
      <c r="J2262" s="9">
        <v>599</v>
      </c>
      <c r="K2262" s="9" t="str">
        <v/>
      </c>
      <c r="L2262" s="9" t="str">
        <v>C3-3</v>
      </c>
      <c r="M2262" s="12">
        <v>46276</v>
      </c>
      <c r="N2262" s="5" t="str">
        <v/>
      </c>
      <c r="O2262" s="5">
        <v>101323</v>
      </c>
      <c r="P2262" s="5">
        <v>20</v>
      </c>
      <c r="Q2262" s="14">
        <v>46293</v>
      </c>
      <c r="R2262" s="15">
        <v>579</v>
      </c>
    </row>
    <row r="2263" spans="2:18" x14ac:dyDescent="0.35">
      <c r="B2263" s="9">
        <v>1091</v>
      </c>
      <c r="C2263" s="9" t="str">
        <v>출고재고</v>
      </c>
      <c r="D2263" s="9" t="str">
        <v/>
      </c>
      <c r="E2263" s="9" t="str">
        <v>기초</v>
      </c>
      <c r="F2263" s="9" t="str">
        <v/>
      </c>
      <c r="G2263" s="9" t="str">
        <v/>
      </c>
      <c r="H2263" s="9" t="str">
        <v>RA-02M-2048</v>
      </c>
      <c r="I2263" s="11" t="str">
        <v>RA-02M-2048]PLT LINK Y-AXIS (A+)</v>
      </c>
      <c r="J2263" s="9">
        <v>700</v>
      </c>
      <c r="K2263" s="9" t="str">
        <v/>
      </c>
      <c r="L2263" s="9" t="str">
        <v>C3-2</v>
      </c>
      <c r="M2263" s="12">
        <v>46276</v>
      </c>
      <c r="N2263" s="5" t="str">
        <v/>
      </c>
      <c r="O2263" s="5">
        <v>101323</v>
      </c>
      <c r="P2263" s="5">
        <v>20</v>
      </c>
      <c r="Q2263" s="14">
        <v>46293</v>
      </c>
      <c r="R2263" s="15">
        <v>680</v>
      </c>
    </row>
    <row r="2264" spans="2:18" x14ac:dyDescent="0.35">
      <c r="B2264" s="9">
        <v>1093</v>
      </c>
      <c r="C2264" s="9" t="str">
        <v>출고재고</v>
      </c>
      <c r="D2264" s="9" t="str">
        <v/>
      </c>
      <c r="E2264" s="9" t="str">
        <v>기초</v>
      </c>
      <c r="F2264" s="9" t="str">
        <v/>
      </c>
      <c r="G2264" s="9" t="str">
        <v/>
      </c>
      <c r="H2264" s="9" t="str">
        <v>RA-02M-2027</v>
      </c>
      <c r="I2264" s="11" t="str">
        <v>RA-02M-2027]BLK X-AXIS MOT (A+)</v>
      </c>
      <c r="J2264" s="9">
        <v>756</v>
      </c>
      <c r="K2264" s="9" t="str">
        <v/>
      </c>
      <c r="L2264" s="9" t="str">
        <v>C1-2</v>
      </c>
      <c r="M2264" s="12">
        <v>46276</v>
      </c>
      <c r="N2264" s="5" t="str">
        <v/>
      </c>
      <c r="O2264" s="5">
        <v>101323</v>
      </c>
      <c r="P2264" s="5">
        <v>20</v>
      </c>
      <c r="Q2264" s="14">
        <v>46293</v>
      </c>
      <c r="R2264" s="15">
        <v>736</v>
      </c>
    </row>
    <row r="2265" spans="2:18" x14ac:dyDescent="0.35">
      <c r="B2265" s="9">
        <v>1095</v>
      </c>
      <c r="C2265" s="9" t="str">
        <v>출고재고</v>
      </c>
      <c r="D2265" s="9" t="str">
        <v/>
      </c>
      <c r="E2265" s="9" t="str">
        <v>기초</v>
      </c>
      <c r="F2265" s="9" t="str">
        <v/>
      </c>
      <c r="G2265" s="9" t="str">
        <v/>
      </c>
      <c r="H2265" s="9" t="str">
        <v>RA-6-2</v>
      </c>
      <c r="I2265" s="11" t="str">
        <v>RA-6-2_3]PRIME MOT ROT</v>
      </c>
      <c r="J2265" s="9">
        <v>761</v>
      </c>
      <c r="K2265" s="9" t="str">
        <v/>
      </c>
      <c r="L2265" s="9" t="str">
        <v>G4</v>
      </c>
      <c r="M2265" s="12">
        <v>46276</v>
      </c>
      <c r="N2265" s="5" t="str">
        <v/>
      </c>
      <c r="O2265" s="5">
        <v>101323</v>
      </c>
      <c r="P2265" s="5">
        <v>20</v>
      </c>
      <c r="Q2265" s="14">
        <v>46293</v>
      </c>
      <c r="R2265" s="15">
        <v>741</v>
      </c>
    </row>
    <row r="2266" spans="2:18" x14ac:dyDescent="0.35">
      <c r="B2266" s="9">
        <v>1097</v>
      </c>
      <c r="C2266" s="9" t="str">
        <v>출고재고</v>
      </c>
      <c r="D2266" s="9" t="str">
        <v/>
      </c>
      <c r="E2266" s="9" t="str">
        <v>기초</v>
      </c>
      <c r="F2266" s="9" t="str">
        <v/>
      </c>
      <c r="G2266" s="9" t="str">
        <v/>
      </c>
      <c r="H2266" s="9" t="str">
        <v>RA-02S-5021</v>
      </c>
      <c r="I2266" s="11" t="str">
        <v>RA-02S-5021]PHOtSNSR-EE-SX672A</v>
      </c>
      <c r="J2266" s="9">
        <v>877</v>
      </c>
      <c r="K2266" s="9" t="str">
        <v/>
      </c>
      <c r="L2266" s="9" t="str">
        <v>A12-3</v>
      </c>
      <c r="M2266" s="12">
        <v>46276</v>
      </c>
      <c r="N2266" s="5" t="str">
        <v/>
      </c>
      <c r="O2266" s="5">
        <v>101323</v>
      </c>
      <c r="P2266" s="5">
        <v>80</v>
      </c>
      <c r="Q2266" s="14">
        <v>46293</v>
      </c>
      <c r="R2266" s="15">
        <v>797</v>
      </c>
    </row>
    <row r="2267" spans="2:18" x14ac:dyDescent="0.35">
      <c r="B2267" s="9">
        <v>1099</v>
      </c>
      <c r="C2267" s="9" t="str">
        <v>출고재고</v>
      </c>
      <c r="D2267" s="9" t="str">
        <v/>
      </c>
      <c r="E2267" s="9" t="str">
        <v>기초</v>
      </c>
      <c r="F2267" s="9" t="str">
        <v/>
      </c>
      <c r="G2267" s="9" t="str">
        <v/>
      </c>
      <c r="H2267" s="9" t="str">
        <v>RA-02M-2047</v>
      </c>
      <c r="I2267" s="11" t="str">
        <v>RA-02M-2047]BLK LINK Y-AXIS (A+)</v>
      </c>
      <c r="J2267" s="9">
        <v>1443</v>
      </c>
      <c r="K2267" s="9" t="str">
        <v/>
      </c>
      <c r="L2267" s="9" t="str">
        <v>D3-1</v>
      </c>
      <c r="M2267" s="12">
        <v>46276</v>
      </c>
      <c r="N2267" s="5" t="str">
        <v/>
      </c>
      <c r="O2267" s="5">
        <v>101323</v>
      </c>
      <c r="P2267" s="5">
        <v>20</v>
      </c>
      <c r="Q2267" s="14">
        <v>46293</v>
      </c>
      <c r="R2267" s="15">
        <v>1423</v>
      </c>
    </row>
    <row r="2268" spans="2:18" x14ac:dyDescent="0.35">
      <c r="B2268" s="9">
        <v>1804</v>
      </c>
      <c r="C2268" s="9" t="str">
        <v>출고재고</v>
      </c>
      <c r="D2268" s="9" t="str">
        <v/>
      </c>
      <c r="E2268" s="9" t="str">
        <v/>
      </c>
      <c r="F2268" s="9" t="str">
        <v/>
      </c>
      <c r="G2268" s="9" t="str">
        <v/>
      </c>
      <c r="H2268" s="9" t="str">
        <v>RA-04A-1926</v>
      </c>
      <c r="I2268" s="11" t="str">
        <v>RA-04A-1926]ASM CHINREST SUB</v>
      </c>
      <c r="J2268" s="9">
        <v>15</v>
      </c>
      <c r="K2268" s="9" t="str">
        <v/>
      </c>
      <c r="L2268" s="9" t="str">
        <v>O2</v>
      </c>
      <c r="M2268" s="12">
        <v>46294</v>
      </c>
      <c r="N2268" s="5" t="str">
        <v/>
      </c>
      <c r="O2268" s="5">
        <v>101324</v>
      </c>
      <c r="P2268" s="5">
        <v>15</v>
      </c>
      <c r="Q2268" s="14">
        <v>46294</v>
      </c>
      <c r="R2268" s="15">
        <v>0</v>
      </c>
    </row>
    <row r="2269" spans="2:18" x14ac:dyDescent="0.35">
      <c r="B2269" s="9">
        <v>1808</v>
      </c>
      <c r="C2269" s="9" t="str">
        <v>출고재고</v>
      </c>
      <c r="D2269" s="9" t="str">
        <v/>
      </c>
      <c r="E2269" s="9" t="str">
        <v/>
      </c>
      <c r="F2269" s="9" t="str">
        <v/>
      </c>
      <c r="G2269" s="9" t="str">
        <v/>
      </c>
      <c r="H2269" s="9" t="str">
        <v>RA-04V-1708</v>
      </c>
      <c r="I2269" s="11" t="str">
        <v>RA-04V-1708]CVR THU Bd</v>
      </c>
      <c r="J2269" s="9">
        <v>18</v>
      </c>
      <c r="K2269" s="9" t="str">
        <v/>
      </c>
      <c r="L2269" s="9" t="str">
        <v>B3-3</v>
      </c>
      <c r="M2269" s="12">
        <v>46294</v>
      </c>
      <c r="N2269" s="5" t="str">
        <v/>
      </c>
      <c r="O2269" s="5">
        <v>101324</v>
      </c>
      <c r="P2269" s="5">
        <v>12</v>
      </c>
      <c r="Q2269" s="14">
        <v>46294</v>
      </c>
      <c r="R2269" s="15">
        <v>6</v>
      </c>
    </row>
    <row r="2270" spans="2:18" x14ac:dyDescent="0.35">
      <c r="B2270" s="9">
        <v>2513</v>
      </c>
      <c r="C2270" s="9" t="str">
        <v>출고재고</v>
      </c>
      <c r="D2270" s="9" t="str">
        <v/>
      </c>
      <c r="E2270" s="9" t="str">
        <v/>
      </c>
      <c r="F2270" s="9" t="str">
        <v/>
      </c>
      <c r="G2270" s="9" t="str">
        <v/>
      </c>
      <c r="H2270" s="9" t="str">
        <v>RA-04A-6035</v>
      </c>
      <c r="I2270" s="11" t="str">
        <v>RA-04A-6035_4]Bd ASSY'-THU Bd</v>
      </c>
      <c r="J2270" s="9">
        <v>77</v>
      </c>
      <c r="K2270" s="9" t="str">
        <v/>
      </c>
      <c r="L2270" s="9" t="str">
        <v>A1-1</v>
      </c>
      <c r="M2270" s="12">
        <v>46296</v>
      </c>
      <c r="N2270" s="5" t="str">
        <v/>
      </c>
      <c r="O2270" s="5">
        <v>101324</v>
      </c>
      <c r="P2270" s="5">
        <v>12</v>
      </c>
      <c r="Q2270" s="14">
        <v>46296</v>
      </c>
      <c r="R2270" s="15">
        <v>65</v>
      </c>
    </row>
    <row r="2271" spans="2:18" x14ac:dyDescent="0.35">
      <c r="B2271" s="9">
        <v>1815</v>
      </c>
      <c r="C2271" s="9" t="str">
        <v>출고재고</v>
      </c>
      <c r="D2271" s="9" t="str">
        <v/>
      </c>
      <c r="E2271" s="9" t="str">
        <v/>
      </c>
      <c r="F2271" s="9" t="str">
        <v/>
      </c>
      <c r="G2271" s="9" t="str">
        <v/>
      </c>
      <c r="H2271" s="9" t="str">
        <v>RA-04S-5174</v>
      </c>
      <c r="I2271" s="11" t="str">
        <v>RA-04S-5174]THU Cable Ass'y</v>
      </c>
      <c r="J2271" s="9">
        <v>89</v>
      </c>
      <c r="K2271" s="9" t="str">
        <v/>
      </c>
      <c r="L2271" s="9" t="str">
        <v>B2-2</v>
      </c>
      <c r="M2271" s="12">
        <v>46294</v>
      </c>
      <c r="N2271" s="5" t="str">
        <v/>
      </c>
      <c r="O2271" s="5">
        <v>101324</v>
      </c>
      <c r="P2271" s="5">
        <v>12</v>
      </c>
      <c r="Q2271" s="14">
        <v>46294</v>
      </c>
      <c r="R2271" s="15">
        <v>77</v>
      </c>
    </row>
    <row r="2272" spans="2:18" x14ac:dyDescent="0.35">
      <c r="B2272" s="9">
        <v>1817</v>
      </c>
      <c r="C2272" s="9" t="str">
        <v>출고재고</v>
      </c>
      <c r="D2272" s="9" t="str">
        <v/>
      </c>
      <c r="E2272" s="9" t="str">
        <v/>
      </c>
      <c r="F2272" s="9" t="str">
        <v/>
      </c>
      <c r="G2272" s="9" t="str">
        <v/>
      </c>
      <c r="H2272" s="9" t="str">
        <v>RA-04V-1709</v>
      </c>
      <c r="I2272" s="11" t="str">
        <v>RA-04V-1709]BRK THU Bd</v>
      </c>
      <c r="J2272" s="9">
        <v>95</v>
      </c>
      <c r="K2272" s="9" t="str">
        <v/>
      </c>
      <c r="L2272" s="9" t="str">
        <v>B3-1</v>
      </c>
      <c r="M2272" s="12">
        <v>46294</v>
      </c>
      <c r="N2272" s="5" t="str">
        <v/>
      </c>
      <c r="O2272" s="5">
        <v>101324</v>
      </c>
      <c r="P2272" s="5">
        <v>12</v>
      </c>
      <c r="Q2272" s="14">
        <v>46294</v>
      </c>
      <c r="R2272" s="15">
        <v>83</v>
      </c>
    </row>
    <row r="2273" spans="2:18" x14ac:dyDescent="0.35">
      <c r="B2273" s="9">
        <v>2205</v>
      </c>
      <c r="C2273" s="9" t="str">
        <v>출고재고</v>
      </c>
      <c r="D2273" s="9" t="str">
        <v/>
      </c>
      <c r="E2273" s="9" t="str">
        <v>입고</v>
      </c>
      <c r="F2273" s="9" t="str">
        <v>BACHTUNG</v>
      </c>
      <c r="G2273" s="9" t="str">
        <v>유영국</v>
      </c>
      <c r="H2273" s="9" t="str">
        <v>RA-04A-1926</v>
      </c>
      <c r="I2273" s="11" t="str">
        <v>RA-04A-1926]ASM CHINREST SUB</v>
      </c>
      <c r="J2273" s="9">
        <v>100</v>
      </c>
      <c r="K2273" s="9" t="str">
        <v/>
      </c>
      <c r="L2273" s="9" t="str">
        <v>O2</v>
      </c>
      <c r="M2273" s="12">
        <v>46288</v>
      </c>
      <c r="N2273" s="5" t="str">
        <v/>
      </c>
      <c r="O2273" s="5">
        <v>101324</v>
      </c>
      <c r="P2273" s="5">
        <v>4</v>
      </c>
      <c r="Q2273" s="14">
        <v>46294</v>
      </c>
      <c r="R2273" s="15">
        <v>96</v>
      </c>
    </row>
    <row r="2274" spans="2:18" x14ac:dyDescent="0.35">
      <c r="B2274" s="9">
        <v>1821</v>
      </c>
      <c r="C2274" s="9" t="str">
        <v>출고재고</v>
      </c>
      <c r="D2274" s="9" t="str">
        <v/>
      </c>
      <c r="E2274" s="9" t="str">
        <v/>
      </c>
      <c r="F2274" s="9" t="str">
        <v/>
      </c>
      <c r="G2274" s="9" t="str">
        <v/>
      </c>
      <c r="H2274" s="9" t="str">
        <v>RA-04M-1339</v>
      </c>
      <c r="I2274" s="11" t="str">
        <v>RA-04M-1339]BLK HEADREST FIX BAR-R</v>
      </c>
      <c r="J2274" s="9">
        <v>120</v>
      </c>
      <c r="K2274" s="9" t="str">
        <v/>
      </c>
      <c r="L2274" s="9" t="str">
        <v>B1-5</v>
      </c>
      <c r="M2274" s="12">
        <v>46294</v>
      </c>
      <c r="N2274" s="5" t="str">
        <v/>
      </c>
      <c r="O2274" s="5">
        <v>101324</v>
      </c>
      <c r="P2274" s="5">
        <v>19</v>
      </c>
      <c r="Q2274" s="14">
        <v>46294</v>
      </c>
      <c r="R2274" s="15">
        <v>101</v>
      </c>
    </row>
    <row r="2275" spans="2:18" x14ac:dyDescent="0.35">
      <c r="B2275" s="9">
        <v>2000</v>
      </c>
      <c r="C2275" s="9" t="str">
        <v>출고재고</v>
      </c>
      <c r="D2275" s="9" t="str">
        <v/>
      </c>
      <c r="E2275" s="9" t="str">
        <v/>
      </c>
      <c r="F2275" s="9" t="str">
        <v/>
      </c>
      <c r="G2275" s="9" t="str">
        <v/>
      </c>
      <c r="H2275" s="9" t="str">
        <v>RA-04A-0899</v>
      </c>
      <c r="I2275" s="11" t="str">
        <v>RA-04A-0899]ASM LCD M101NWT2 R1</v>
      </c>
      <c r="J2275" s="9">
        <v>148</v>
      </c>
      <c r="K2275" s="9" t="str">
        <v/>
      </c>
      <c r="L2275" s="9" t="str">
        <v>A16</v>
      </c>
      <c r="M2275" s="12">
        <v>46294</v>
      </c>
      <c r="N2275" s="5" t="str">
        <v/>
      </c>
      <c r="O2275" s="5">
        <v>101324</v>
      </c>
      <c r="P2275" s="5">
        <v>12</v>
      </c>
      <c r="Q2275" s="14">
        <v>46294</v>
      </c>
      <c r="R2275" s="15">
        <v>136</v>
      </c>
    </row>
    <row r="2276" spans="2:18" x14ac:dyDescent="0.35">
      <c r="B2276" s="9">
        <v>1824</v>
      </c>
      <c r="C2276" s="9" t="str">
        <v>출고재고</v>
      </c>
      <c r="D2276" s="9" t="str">
        <v/>
      </c>
      <c r="E2276" s="9" t="str">
        <v/>
      </c>
      <c r="F2276" s="9" t="str">
        <v/>
      </c>
      <c r="G2276" s="9" t="str">
        <v/>
      </c>
      <c r="H2276" s="9" t="str">
        <v>RA-04M-1338</v>
      </c>
      <c r="I2276" s="11" t="str">
        <v>RA-04M-1338]BLK HEADREST FIX BAR-L</v>
      </c>
      <c r="J2276" s="9">
        <v>170</v>
      </c>
      <c r="K2276" s="9" t="str">
        <v/>
      </c>
      <c r="L2276" s="9" t="str">
        <v>B1-5</v>
      </c>
      <c r="M2276" s="12">
        <v>46294</v>
      </c>
      <c r="N2276" s="5" t="str">
        <v/>
      </c>
      <c r="O2276" s="5">
        <v>101324</v>
      </c>
      <c r="P2276" s="5">
        <v>19</v>
      </c>
      <c r="Q2276" s="14">
        <v>46294</v>
      </c>
      <c r="R2276" s="15">
        <v>151</v>
      </c>
    </row>
    <row r="2277" spans="2:18" x14ac:dyDescent="0.35">
      <c r="B2277" s="9">
        <v>1825</v>
      </c>
      <c r="C2277" s="9" t="str">
        <v>출고재고</v>
      </c>
      <c r="D2277" s="9" t="str">
        <v/>
      </c>
      <c r="E2277" s="9" t="str">
        <v/>
      </c>
      <c r="F2277" s="9" t="str">
        <v/>
      </c>
      <c r="G2277" s="9" t="str">
        <v/>
      </c>
      <c r="H2277" s="9" t="str">
        <v>RA-04S-0121</v>
      </c>
      <c r="I2277" s="11" t="str">
        <v>RA-04S-0121]HINGE SET</v>
      </c>
      <c r="J2277" s="9">
        <v>199</v>
      </c>
      <c r="K2277" s="9" t="str">
        <v/>
      </c>
      <c r="L2277" s="9" t="str">
        <v>B1-4</v>
      </c>
      <c r="M2277" s="12">
        <v>46294</v>
      </c>
      <c r="N2277" s="5" t="str">
        <v/>
      </c>
      <c r="O2277" s="5">
        <v>101324</v>
      </c>
      <c r="P2277" s="5">
        <v>24</v>
      </c>
      <c r="Q2277" s="14">
        <v>46294</v>
      </c>
      <c r="R2277" s="15">
        <v>175</v>
      </c>
    </row>
    <row r="2278" spans="2:18" x14ac:dyDescent="0.35">
      <c r="B2278" s="9">
        <v>1809</v>
      </c>
      <c r="C2278" s="9" t="str">
        <v>출고재고</v>
      </c>
      <c r="D2278" s="9" t="str">
        <v/>
      </c>
      <c r="E2278" s="9" t="str">
        <v/>
      </c>
      <c r="F2278" s="9" t="str">
        <v/>
      </c>
      <c r="G2278" s="9" t="str">
        <v/>
      </c>
      <c r="H2278" s="9" t="str">
        <v>RA-04V-0118</v>
      </c>
      <c r="I2278" s="11" t="str">
        <v>RA-04V-0118]BRK MONITOR HINGE</v>
      </c>
      <c r="J2278" s="9">
        <v>210</v>
      </c>
      <c r="K2278" s="9" t="str">
        <v/>
      </c>
      <c r="L2278" s="9" t="str">
        <v>B2-3</v>
      </c>
      <c r="M2278" s="12">
        <v>46294</v>
      </c>
      <c r="N2278" s="5" t="str">
        <v/>
      </c>
      <c r="O2278" s="5">
        <v>101324</v>
      </c>
      <c r="P2278" s="5">
        <v>24</v>
      </c>
      <c r="Q2278" s="14">
        <v>46294</v>
      </c>
      <c r="R2278" s="15">
        <v>186</v>
      </c>
    </row>
    <row r="2279" spans="2:18" x14ac:dyDescent="0.35">
      <c r="B2279" s="9">
        <v>2090</v>
      </c>
      <c r="C2279" s="9" t="str">
        <v>출고재고</v>
      </c>
      <c r="D2279" s="9" t="str">
        <v/>
      </c>
      <c r="E2279" s="9" t="str">
        <v/>
      </c>
      <c r="F2279" s="9" t="str">
        <v/>
      </c>
      <c r="G2279" s="9" t="str">
        <v/>
      </c>
      <c r="H2279" s="9" t="str">
        <v>RA-04T-1707</v>
      </c>
      <c r="I2279" s="11" t="str">
        <v>RA-04T-1707]CAS MONITOR DECO</v>
      </c>
      <c r="J2279" s="9">
        <v>258</v>
      </c>
      <c r="K2279" s="9" t="str">
        <v/>
      </c>
      <c r="L2279" s="9" t="str">
        <v>R</v>
      </c>
      <c r="M2279" s="12">
        <v>46283</v>
      </c>
      <c r="N2279" s="5" t="str">
        <v/>
      </c>
      <c r="O2279" s="5">
        <v>101324</v>
      </c>
      <c r="P2279" s="5">
        <v>12</v>
      </c>
      <c r="Q2279" s="14">
        <v>46294</v>
      </c>
      <c r="R2279" s="15">
        <v>246</v>
      </c>
    </row>
    <row r="2280" spans="2:18" x14ac:dyDescent="0.35">
      <c r="B2280" s="9">
        <v>1830</v>
      </c>
      <c r="C2280" s="9" t="str">
        <v>출고재고</v>
      </c>
      <c r="D2280" s="9" t="str">
        <v/>
      </c>
      <c r="E2280" s="9" t="str">
        <v/>
      </c>
      <c r="F2280" s="9" t="str">
        <v/>
      </c>
      <c r="G2280" s="9" t="str">
        <v/>
      </c>
      <c r="H2280" s="9" t="str">
        <v>RA-04M-2399</v>
      </c>
      <c r="I2280" s="11" t="str">
        <v>RA-04M-2399]GUIDE BITE BLK A (A+)</v>
      </c>
      <c r="J2280" s="9">
        <v>287</v>
      </c>
      <c r="K2280" s="9" t="str">
        <v/>
      </c>
      <c r="L2280" s="9" t="str">
        <v>B1-6</v>
      </c>
      <c r="M2280" s="12">
        <v>46294</v>
      </c>
      <c r="N2280" s="5" t="str">
        <v/>
      </c>
      <c r="O2280" s="5">
        <v>101324</v>
      </c>
      <c r="P2280" s="5">
        <v>19</v>
      </c>
      <c r="Q2280" s="14">
        <v>46294</v>
      </c>
      <c r="R2280" s="15">
        <v>268</v>
      </c>
    </row>
    <row r="2281" spans="2:18" x14ac:dyDescent="0.35">
      <c r="B2281" s="9">
        <v>1784</v>
      </c>
      <c r="C2281" s="9" t="str">
        <v>출고재고</v>
      </c>
      <c r="D2281" s="9" t="str">
        <v/>
      </c>
      <c r="E2281" s="9" t="str">
        <v/>
      </c>
      <c r="F2281" s="9" t="str">
        <v/>
      </c>
      <c r="G2281" s="9" t="str">
        <v/>
      </c>
      <c r="H2281" s="9" t="str">
        <v>RA-06A-2761</v>
      </c>
      <c r="I2281" s="11" t="str">
        <v>RA-06A-2761]ASM COL MOVING (A+) (VN)</v>
      </c>
      <c r="J2281" s="9">
        <v>5</v>
      </c>
      <c r="K2281" s="9" t="str">
        <v/>
      </c>
      <c r="L2281" s="9" t="str">
        <v>U</v>
      </c>
      <c r="M2281" s="12">
        <v>46294</v>
      </c>
      <c r="N2281" s="5" t="str">
        <v/>
      </c>
      <c r="O2281" s="5">
        <v>101325</v>
      </c>
      <c r="P2281" s="5">
        <v>2</v>
      </c>
      <c r="Q2281" s="14">
        <v>46295</v>
      </c>
      <c r="R2281" s="15">
        <v>3</v>
      </c>
    </row>
    <row r="2282" spans="2:18" x14ac:dyDescent="0.35">
      <c r="B2282" s="9">
        <v>1789</v>
      </c>
      <c r="C2282" s="9" t="str">
        <v>출고재고</v>
      </c>
      <c r="D2282" s="9" t="str">
        <v/>
      </c>
      <c r="E2282" s="9" t="str">
        <v/>
      </c>
      <c r="F2282" s="9" t="str">
        <v/>
      </c>
      <c r="G2282" s="9" t="str">
        <v/>
      </c>
      <c r="H2282" s="9" t="str">
        <v>RA-11-22</v>
      </c>
      <c r="I2282" s="11" t="str">
        <v>RA-11-22]Fcol MOT Cable C</v>
      </c>
      <c r="J2282" s="9">
        <v>20</v>
      </c>
      <c r="K2282" s="9" t="str">
        <v/>
      </c>
      <c r="L2282" s="9" t="str">
        <v>G1-5</v>
      </c>
      <c r="M2282" s="12">
        <v>46294</v>
      </c>
      <c r="N2282" s="5" t="str">
        <v/>
      </c>
      <c r="O2282" s="5">
        <v>101325</v>
      </c>
      <c r="P2282" s="5">
        <v>2</v>
      </c>
      <c r="Q2282" s="14">
        <v>46295</v>
      </c>
      <c r="R2282" s="15">
        <v>18</v>
      </c>
    </row>
    <row r="2283" spans="2:18" x14ac:dyDescent="0.35">
      <c r="B2283" s="9">
        <v>1741</v>
      </c>
      <c r="C2283" s="9" t="str">
        <v>출고재고</v>
      </c>
      <c r="D2283" s="9" t="str">
        <v/>
      </c>
      <c r="E2283" s="9" t="str">
        <v/>
      </c>
      <c r="F2283" s="9" t="str">
        <v/>
      </c>
      <c r="G2283" s="9" t="str">
        <v/>
      </c>
      <c r="H2283" s="9" t="str">
        <v>RA-11-21</v>
      </c>
      <c r="I2283" s="11" t="str">
        <v>RA-11-21]Fcol MOT Cable B</v>
      </c>
      <c r="J2283" s="9">
        <v>22</v>
      </c>
      <c r="K2283" s="9" t="str">
        <v/>
      </c>
      <c r="L2283" s="9" t="str">
        <v>G2-5</v>
      </c>
      <c r="M2283" s="12">
        <v>46294</v>
      </c>
      <c r="N2283" s="5" t="str">
        <v/>
      </c>
      <c r="O2283" s="5">
        <v>101325</v>
      </c>
      <c r="P2283" s="5">
        <v>2</v>
      </c>
      <c r="Q2283" s="14">
        <v>46295</v>
      </c>
      <c r="R2283" s="15">
        <v>20</v>
      </c>
    </row>
    <row r="2284" spans="2:18" x14ac:dyDescent="0.35">
      <c r="B2284" s="9">
        <v>1742</v>
      </c>
      <c r="C2284" s="9" t="str">
        <v>출고재고</v>
      </c>
      <c r="D2284" s="9" t="str">
        <v/>
      </c>
      <c r="E2284" s="9" t="str">
        <v/>
      </c>
      <c r="F2284" s="9" t="str">
        <v/>
      </c>
      <c r="G2284" s="9" t="str">
        <v/>
      </c>
      <c r="H2284" s="9" t="str">
        <v>RA-11-19</v>
      </c>
      <c r="I2284" s="11" t="str">
        <v>RA-11-19]LED Power Cable</v>
      </c>
      <c r="J2284" s="9">
        <v>45</v>
      </c>
      <c r="K2284" s="9" t="str">
        <v/>
      </c>
      <c r="L2284" s="9" t="str">
        <v>G2-5</v>
      </c>
      <c r="M2284" s="12">
        <v>46294</v>
      </c>
      <c r="N2284" s="5" t="str">
        <v/>
      </c>
      <c r="O2284" s="5">
        <v>101325</v>
      </c>
      <c r="P2284" s="5">
        <v>2</v>
      </c>
      <c r="Q2284" s="14">
        <v>46295</v>
      </c>
      <c r="R2284" s="15">
        <v>43</v>
      </c>
    </row>
    <row r="2285" spans="2:18" x14ac:dyDescent="0.35">
      <c r="B2285" s="9">
        <v>1908</v>
      </c>
      <c r="C2285" s="9" t="str">
        <v>출고재고</v>
      </c>
      <c r="D2285" s="9" t="str">
        <v/>
      </c>
      <c r="E2285" s="9" t="str">
        <v/>
      </c>
      <c r="F2285" s="9" t="str">
        <v/>
      </c>
      <c r="G2285" s="9" t="str">
        <v/>
      </c>
      <c r="H2285" s="9" t="str">
        <v>RA-11-23</v>
      </c>
      <c r="I2285" s="11" t="str">
        <v>RA-11-23]Fcol MOT Cable D</v>
      </c>
      <c r="J2285" s="9">
        <v>55</v>
      </c>
      <c r="K2285" s="9" t="str">
        <v/>
      </c>
      <c r="L2285" s="9" t="str">
        <v>G1-5</v>
      </c>
      <c r="M2285" s="12">
        <v>46295</v>
      </c>
      <c r="N2285" s="5" t="str">
        <v/>
      </c>
      <c r="O2285" s="5">
        <v>101325</v>
      </c>
      <c r="P2285" s="5">
        <v>2</v>
      </c>
      <c r="Q2285" s="14">
        <v>46295</v>
      </c>
      <c r="R2285" s="15">
        <v>53</v>
      </c>
    </row>
    <row r="2286" spans="2:18" x14ac:dyDescent="0.35">
      <c r="B2286" s="9">
        <v>1912</v>
      </c>
      <c r="C2286" s="9" t="str">
        <v>출고재고</v>
      </c>
      <c r="D2286" s="9" t="str">
        <v/>
      </c>
      <c r="E2286" s="9" t="str">
        <v/>
      </c>
      <c r="F2286" s="9" t="str">
        <v/>
      </c>
      <c r="G2286" s="9" t="str">
        <v/>
      </c>
      <c r="H2286" s="9" t="str">
        <v>RA-11-20</v>
      </c>
      <c r="I2286" s="11" t="str">
        <v>RA-11-20]Fcol MOT Cable A</v>
      </c>
      <c r="J2286" s="9">
        <v>67</v>
      </c>
      <c r="K2286" s="9" t="str">
        <v/>
      </c>
      <c r="L2286" s="9" t="str">
        <v>G2-5</v>
      </c>
      <c r="M2286" s="12">
        <v>46295</v>
      </c>
      <c r="N2286" s="5" t="str">
        <v/>
      </c>
      <c r="O2286" s="5">
        <v>101325</v>
      </c>
      <c r="P2286" s="5">
        <v>2</v>
      </c>
      <c r="Q2286" s="14">
        <v>46295</v>
      </c>
      <c r="R2286" s="15">
        <v>65</v>
      </c>
    </row>
    <row r="2287" spans="2:18" x14ac:dyDescent="0.35">
      <c r="B2287" s="9">
        <v>1920</v>
      </c>
      <c r="C2287" s="9" t="str">
        <v>출고재고</v>
      </c>
      <c r="D2287" s="9" t="str">
        <v/>
      </c>
      <c r="E2287" s="9" t="str">
        <v/>
      </c>
      <c r="F2287" s="9" t="str">
        <v/>
      </c>
      <c r="G2287" s="9" t="str">
        <v/>
      </c>
      <c r="H2287" s="9" t="str">
        <v>RA-03S-6009A</v>
      </c>
      <c r="I2287" s="11" t="str">
        <v>RA-03S-6009A]A2K_LBM01-370</v>
      </c>
      <c r="J2287" s="9">
        <v>161</v>
      </c>
      <c r="K2287" s="9" t="str">
        <v/>
      </c>
      <c r="L2287" s="9" t="str">
        <v>L1-2</v>
      </c>
      <c r="M2287" s="12">
        <v>46295</v>
      </c>
      <c r="N2287" s="5" t="str">
        <v/>
      </c>
      <c r="O2287" s="5">
        <v>101325</v>
      </c>
      <c r="P2287" s="5">
        <v>2</v>
      </c>
      <c r="Q2287" s="14">
        <v>46295</v>
      </c>
      <c r="R2287" s="15">
        <v>159</v>
      </c>
    </row>
    <row r="2288" spans="2:18" x14ac:dyDescent="0.35">
      <c r="B2288" s="9">
        <v>1786</v>
      </c>
      <c r="C2288" s="9" t="str">
        <v>출고재고</v>
      </c>
      <c r="D2288" s="9" t="str">
        <v/>
      </c>
      <c r="E2288" s="9" t="str">
        <v/>
      </c>
      <c r="F2288" s="9" t="str">
        <v/>
      </c>
      <c r="G2288" s="9" t="str">
        <v/>
      </c>
      <c r="H2288" s="9" t="str">
        <v>RA-06V-2138</v>
      </c>
      <c r="I2288" s="11" t="str">
        <v>RA-06V-2138]BRK COL Bd (A+)</v>
      </c>
      <c r="J2288" s="9">
        <v>184</v>
      </c>
      <c r="K2288" s="9" t="str">
        <v/>
      </c>
      <c r="L2288" s="9" t="str">
        <v>I2-3</v>
      </c>
      <c r="M2288" s="12">
        <v>46294</v>
      </c>
      <c r="N2288" s="5" t="str">
        <v/>
      </c>
      <c r="O2288" s="5">
        <v>101325</v>
      </c>
      <c r="P2288" s="5">
        <v>2</v>
      </c>
      <c r="Q2288" s="14">
        <v>46295</v>
      </c>
      <c r="R2288" s="15">
        <v>182</v>
      </c>
    </row>
    <row r="2289" spans="2:18" x14ac:dyDescent="0.35">
      <c r="B2289" s="9">
        <v>1923</v>
      </c>
      <c r="C2289" s="9" t="str">
        <v>출고재고</v>
      </c>
      <c r="D2289" s="9" t="str">
        <v/>
      </c>
      <c r="E2289" s="9" t="str">
        <v/>
      </c>
      <c r="F2289" s="9" t="str">
        <v/>
      </c>
      <c r="G2289" s="9" t="str">
        <v/>
      </c>
      <c r="H2289" s="9" t="str">
        <v>RA-06A-6006</v>
      </c>
      <c r="I2289" s="11" t="str">
        <v>RA-06A-6006]Bd ASSY'-Fcol MCU</v>
      </c>
      <c r="J2289" s="9">
        <v>298</v>
      </c>
      <c r="K2289" s="9" t="str">
        <v/>
      </c>
      <c r="L2289" s="9" t="str">
        <v>A2-1</v>
      </c>
      <c r="M2289" s="12">
        <v>46295</v>
      </c>
      <c r="N2289" s="5" t="str">
        <v/>
      </c>
      <c r="O2289" s="5">
        <v>101325</v>
      </c>
      <c r="P2289" s="5">
        <v>2</v>
      </c>
      <c r="Q2289" s="14">
        <v>46295</v>
      </c>
      <c r="R2289" s="15">
        <v>296</v>
      </c>
    </row>
    <row r="2290" spans="2:18" x14ac:dyDescent="0.35">
      <c r="B2290" s="9">
        <v>1013</v>
      </c>
      <c r="C2290" s="9" t="str">
        <v>출고재고</v>
      </c>
      <c r="D2290" s="9" t="str">
        <v/>
      </c>
      <c r="E2290" s="9" t="str">
        <v>기초</v>
      </c>
      <c r="F2290" s="9" t="str">
        <v/>
      </c>
      <c r="G2290" s="9" t="str">
        <v/>
      </c>
      <c r="H2290" s="9" t="str">
        <v>RA-02M-2001</v>
      </c>
      <c r="I2290" s="11" t="str">
        <v>RA-02M-2001] FRAME VERTICAL BASE (A+)</v>
      </c>
      <c r="J2290" s="9">
        <v>132</v>
      </c>
      <c r="K2290" s="9" t="str">
        <v/>
      </c>
      <c r="L2290" s="9" t="str">
        <v>T</v>
      </c>
      <c r="M2290" s="12">
        <v>46276</v>
      </c>
      <c r="N2290" s="5" t="str">
        <v/>
      </c>
      <c r="O2290" s="5">
        <v>101333</v>
      </c>
      <c r="P2290" s="5">
        <v>20</v>
      </c>
      <c r="Q2290" s="14">
        <v>46293</v>
      </c>
      <c r="R2290" s="15">
        <v>112</v>
      </c>
    </row>
    <row r="2291" spans="2:18" x14ac:dyDescent="0.35">
      <c r="B2291" s="9">
        <v>1793</v>
      </c>
      <c r="C2291" s="9" t="str">
        <v>출고재고</v>
      </c>
      <c r="D2291" s="9" t="str">
        <v/>
      </c>
      <c r="E2291" s="9" t="str">
        <v/>
      </c>
      <c r="F2291" s="9" t="str">
        <v/>
      </c>
      <c r="G2291" s="9" t="str">
        <v/>
      </c>
      <c r="H2291" s="9" t="str">
        <v>RA-5-4</v>
      </c>
      <c r="I2291" s="11" t="str">
        <v>RA-5-4]EARTH ROT TO TUBE</v>
      </c>
      <c r="J2291" s="9">
        <v>46</v>
      </c>
      <c r="K2291" s="9" t="str">
        <v/>
      </c>
      <c r="L2291" s="9" t="str">
        <v>G3-2</v>
      </c>
      <c r="M2291" s="12">
        <v>46294</v>
      </c>
      <c r="N2291" s="5" t="str">
        <v/>
      </c>
      <c r="O2291" s="5">
        <v>102584</v>
      </c>
      <c r="P2291" s="5">
        <v>15</v>
      </c>
      <c r="Q2291" s="14">
        <v>46295</v>
      </c>
      <c r="R2291" s="15">
        <v>31</v>
      </c>
    </row>
    <row r="2292" spans="2:18" x14ac:dyDescent="0.35">
      <c r="B2292" s="9">
        <v>1768</v>
      </c>
      <c r="C2292" s="9" t="str">
        <v>출고재고</v>
      </c>
      <c r="D2292" s="9" t="str">
        <v/>
      </c>
      <c r="E2292" s="9" t="str">
        <v/>
      </c>
      <c r="F2292" s="9" t="str">
        <v/>
      </c>
      <c r="G2292" s="9" t="str">
        <v/>
      </c>
      <c r="H2292" s="9" t="str">
        <v>RA-06M-0520</v>
      </c>
      <c r="I2292" s="11" t="str">
        <v>RA-06M-0520]HEATSINK</v>
      </c>
      <c r="J2292" s="9">
        <v>60</v>
      </c>
      <c r="K2292" s="9" t="str">
        <v/>
      </c>
      <c r="L2292" s="9" t="str">
        <v>M1</v>
      </c>
      <c r="M2292" s="12">
        <v>46294</v>
      </c>
      <c r="N2292" s="5" t="str">
        <v/>
      </c>
      <c r="O2292" s="5">
        <v>102584</v>
      </c>
      <c r="P2292" s="5">
        <v>15</v>
      </c>
      <c r="Q2292" s="14">
        <v>46295</v>
      </c>
      <c r="R2292" s="15">
        <v>45</v>
      </c>
    </row>
    <row r="2293" spans="2:18" x14ac:dyDescent="0.35">
      <c r="B2293" s="9">
        <v>1670</v>
      </c>
      <c r="C2293" s="9" t="str">
        <v>출고재고</v>
      </c>
      <c r="D2293" s="9" t="str">
        <v/>
      </c>
      <c r="E2293" s="9" t="str">
        <v/>
      </c>
      <c r="F2293" s="9" t="str">
        <v/>
      </c>
      <c r="G2293" s="9" t="str">
        <v/>
      </c>
      <c r="H2293" s="9" t="str">
        <v>RA-06V-0230</v>
      </c>
      <c r="I2293" s="11" t="str">
        <v>RA-06V-0230]BRK FAN SUP</v>
      </c>
      <c r="J2293" s="9">
        <v>73</v>
      </c>
      <c r="K2293" s="9" t="str">
        <v/>
      </c>
      <c r="L2293" s="9" t="str">
        <v>I3-3</v>
      </c>
      <c r="M2293" s="12">
        <v>46280</v>
      </c>
      <c r="N2293" s="5" t="str">
        <v/>
      </c>
      <c r="O2293" s="5">
        <v>102584</v>
      </c>
      <c r="P2293" s="5">
        <v>15</v>
      </c>
      <c r="Q2293" s="14">
        <v>46295</v>
      </c>
      <c r="R2293" s="15">
        <v>58</v>
      </c>
    </row>
    <row r="2294" spans="2:18" x14ac:dyDescent="0.35">
      <c r="B2294" s="9">
        <v>1662</v>
      </c>
      <c r="C2294" s="9" t="str">
        <v>출고재고</v>
      </c>
      <c r="D2294" s="9" t="str">
        <v/>
      </c>
      <c r="E2294" s="9" t="str">
        <v/>
      </c>
      <c r="F2294" s="9" t="str">
        <v/>
      </c>
      <c r="G2294" s="9" t="str">
        <v/>
      </c>
      <c r="H2294" s="9" t="str">
        <v>RA-06A-1063</v>
      </c>
      <c r="I2294" s="11" t="str">
        <v>RA-06A-1063]ASM TUBE TNK SUP</v>
      </c>
      <c r="J2294" s="9">
        <v>102</v>
      </c>
      <c r="K2294" s="9" t="str">
        <v/>
      </c>
      <c r="L2294" s="9" t="str">
        <v>O1</v>
      </c>
      <c r="M2294" s="12">
        <v>46280</v>
      </c>
      <c r="N2294" s="5" t="str">
        <v/>
      </c>
      <c r="O2294" s="5">
        <v>102584</v>
      </c>
      <c r="P2294" s="5">
        <v>15</v>
      </c>
      <c r="Q2294" s="14">
        <v>46295</v>
      </c>
      <c r="R2294" s="15">
        <v>87</v>
      </c>
    </row>
    <row r="2295" spans="2:18" x14ac:dyDescent="0.35">
      <c r="B2295" s="9">
        <v>1661</v>
      </c>
      <c r="C2295" s="9" t="str">
        <v>출고재고</v>
      </c>
      <c r="D2295" s="9" t="str">
        <v/>
      </c>
      <c r="E2295" s="9" t="str">
        <v/>
      </c>
      <c r="F2295" s="9" t="str">
        <v/>
      </c>
      <c r="G2295" s="9" t="str">
        <v/>
      </c>
      <c r="H2295" s="9" t="str">
        <v>RA-03S-5181A</v>
      </c>
      <c r="I2295" s="11" t="str">
        <v>RA-03S-5181A]A2K_LBM01-970</v>
      </c>
      <c r="J2295" s="9">
        <v>109</v>
      </c>
      <c r="K2295" s="9" t="str">
        <v/>
      </c>
      <c r="L2295" s="9" t="str">
        <v>H2-1</v>
      </c>
      <c r="M2295" s="12">
        <v>46280</v>
      </c>
      <c r="N2295" s="5" t="str">
        <v/>
      </c>
      <c r="O2295" s="5">
        <v>102584</v>
      </c>
      <c r="P2295" s="5">
        <v>15</v>
      </c>
      <c r="Q2295" s="14">
        <v>46295</v>
      </c>
      <c r="R2295" s="15">
        <v>94</v>
      </c>
    </row>
    <row r="2296" spans="2:18" x14ac:dyDescent="0.35">
      <c r="B2296" s="9">
        <v>1676</v>
      </c>
      <c r="C2296" s="9" t="str">
        <v>출고재고</v>
      </c>
      <c r="D2296" s="9" t="str">
        <v/>
      </c>
      <c r="E2296" s="9" t="str">
        <v/>
      </c>
      <c r="F2296" s="9" t="str">
        <v/>
      </c>
      <c r="G2296" s="9" t="str">
        <v/>
      </c>
      <c r="H2296" s="9" t="str">
        <v>RA-06V-1678</v>
      </c>
      <c r="I2296" s="11" t="str">
        <v>RA-06V-1678]BRK CANINE TOOTH LASER BEAM</v>
      </c>
      <c r="J2296" s="9">
        <v>121</v>
      </c>
      <c r="K2296" s="9" t="str">
        <v/>
      </c>
      <c r="L2296" s="9" t="str">
        <v>H3-4</v>
      </c>
      <c r="M2296" s="12">
        <v>46280</v>
      </c>
      <c r="N2296" s="5" t="str">
        <v/>
      </c>
      <c r="O2296" s="5">
        <v>102584</v>
      </c>
      <c r="P2296" s="5">
        <v>15</v>
      </c>
      <c r="Q2296" s="14">
        <v>46295</v>
      </c>
      <c r="R2296" s="15">
        <v>106</v>
      </c>
    </row>
    <row r="2297" spans="2:18" x14ac:dyDescent="0.35">
      <c r="B2297" s="9">
        <v>1665</v>
      </c>
      <c r="C2297" s="9" t="str">
        <v>출고재고</v>
      </c>
      <c r="D2297" s="9" t="str">
        <v/>
      </c>
      <c r="E2297" s="9" t="str">
        <v/>
      </c>
      <c r="F2297" s="9" t="str">
        <v/>
      </c>
      <c r="G2297" s="9" t="str">
        <v/>
      </c>
      <c r="H2297" s="9" t="str">
        <v>RA-06A-2747</v>
      </c>
      <c r="I2297" s="11" t="str">
        <v>RA-06A-2747]ASM EXTRUSION COL (VN)</v>
      </c>
      <c r="J2297" s="9">
        <v>133</v>
      </c>
      <c r="K2297" s="9" t="str">
        <v/>
      </c>
      <c r="L2297" s="9" t="str">
        <v>O1</v>
      </c>
      <c r="M2297" s="12">
        <v>46280</v>
      </c>
      <c r="N2297" s="5" t="str">
        <v/>
      </c>
      <c r="O2297" s="5">
        <v>102584</v>
      </c>
      <c r="P2297" s="5">
        <v>15</v>
      </c>
      <c r="Q2297" s="14">
        <v>46295</v>
      </c>
      <c r="R2297" s="15">
        <v>118</v>
      </c>
    </row>
    <row r="2298" spans="2:18" x14ac:dyDescent="0.35">
      <c r="B2298" s="9">
        <v>1671</v>
      </c>
      <c r="C2298" s="9" t="str">
        <v>출고재고</v>
      </c>
      <c r="D2298" s="9" t="str">
        <v/>
      </c>
      <c r="E2298" s="9" t="str">
        <v/>
      </c>
      <c r="F2298" s="9" t="str">
        <v/>
      </c>
      <c r="G2298" s="9" t="str">
        <v/>
      </c>
      <c r="H2298" s="9" t="str">
        <v>RA-06V-0793</v>
      </c>
      <c r="I2298" s="11" t="str">
        <v>RA-06V-0793]BRK TUBE FIX A</v>
      </c>
      <c r="J2298" s="9">
        <v>149</v>
      </c>
      <c r="K2298" s="9" t="str">
        <v/>
      </c>
      <c r="L2298" s="9" t="str">
        <v>H3-3</v>
      </c>
      <c r="M2298" s="12">
        <v>46280</v>
      </c>
      <c r="N2298" s="5" t="str">
        <v/>
      </c>
      <c r="O2298" s="5">
        <v>102584</v>
      </c>
      <c r="P2298" s="5">
        <v>15</v>
      </c>
      <c r="Q2298" s="14">
        <v>46295</v>
      </c>
      <c r="R2298" s="15">
        <v>134</v>
      </c>
    </row>
    <row r="2299" spans="2:18" x14ac:dyDescent="0.35">
      <c r="B2299" s="9">
        <v>1674</v>
      </c>
      <c r="C2299" s="9" t="str">
        <v>출고재고</v>
      </c>
      <c r="D2299" s="9" t="str">
        <v/>
      </c>
      <c r="E2299" s="9" t="str">
        <v/>
      </c>
      <c r="F2299" s="9" t="str">
        <v/>
      </c>
      <c r="G2299" s="9" t="str">
        <v/>
      </c>
      <c r="H2299" s="9" t="str">
        <v>RA-06V-1384</v>
      </c>
      <c r="I2299" s="11" t="str">
        <v>RA-06V-1384]BRK XTRUSION PB COL SC</v>
      </c>
      <c r="J2299" s="9">
        <v>158</v>
      </c>
      <c r="K2299" s="9" t="str">
        <v/>
      </c>
      <c r="L2299" s="9" t="str">
        <v>H4-4</v>
      </c>
      <c r="M2299" s="12">
        <v>46280</v>
      </c>
      <c r="N2299" s="5" t="str">
        <v/>
      </c>
      <c r="O2299" s="5">
        <v>102584</v>
      </c>
      <c r="P2299" s="5">
        <v>15</v>
      </c>
      <c r="Q2299" s="14">
        <v>46295</v>
      </c>
      <c r="R2299" s="15">
        <v>143</v>
      </c>
    </row>
    <row r="2300" spans="2:18" x14ac:dyDescent="0.35">
      <c r="B2300" s="9">
        <v>1673</v>
      </c>
      <c r="C2300" s="9" t="str">
        <v>출고재고</v>
      </c>
      <c r="D2300" s="9" t="str">
        <v/>
      </c>
      <c r="E2300" s="9" t="str">
        <v/>
      </c>
      <c r="F2300" s="9" t="str">
        <v/>
      </c>
      <c r="G2300" s="9" t="str">
        <v/>
      </c>
      <c r="H2300" s="9" t="str">
        <v>RA-06V-0795</v>
      </c>
      <c r="I2300" s="11" t="str">
        <v>RA-06V-0795]BRK TUBE FIX C</v>
      </c>
      <c r="J2300" s="9">
        <v>197</v>
      </c>
      <c r="K2300" s="9" t="str">
        <v/>
      </c>
      <c r="L2300" s="9" t="str">
        <v>H3-3</v>
      </c>
      <c r="M2300" s="12">
        <v>46280</v>
      </c>
      <c r="N2300" s="5" t="str">
        <v/>
      </c>
      <c r="O2300" s="5">
        <v>102584</v>
      </c>
      <c r="P2300" s="5">
        <v>15</v>
      </c>
      <c r="Q2300" s="14">
        <v>46295</v>
      </c>
      <c r="R2300" s="15">
        <v>182</v>
      </c>
    </row>
    <row r="2301" spans="2:18" x14ac:dyDescent="0.35">
      <c r="B2301" s="9">
        <v>1672</v>
      </c>
      <c r="C2301" s="9" t="str">
        <v>출고재고</v>
      </c>
      <c r="D2301" s="9" t="str">
        <v/>
      </c>
      <c r="E2301" s="9" t="str">
        <v/>
      </c>
      <c r="F2301" s="9" t="str">
        <v/>
      </c>
      <c r="G2301" s="9" t="str">
        <v/>
      </c>
      <c r="H2301" s="9" t="str">
        <v>RA-06V-0794</v>
      </c>
      <c r="I2301" s="11" t="str">
        <v>RA-06V-0794]BRK TUBE FIX B</v>
      </c>
      <c r="J2301" s="9">
        <v>292</v>
      </c>
      <c r="K2301" s="9" t="str">
        <v/>
      </c>
      <c r="L2301" s="9" t="str">
        <v>H3-3</v>
      </c>
      <c r="M2301" s="12">
        <v>46280</v>
      </c>
      <c r="N2301" s="5" t="str">
        <v/>
      </c>
      <c r="O2301" s="5">
        <v>102584</v>
      </c>
      <c r="P2301" s="5">
        <v>15</v>
      </c>
      <c r="Q2301" s="14">
        <v>46295</v>
      </c>
      <c r="R2301" s="15">
        <v>277</v>
      </c>
    </row>
    <row r="2302" spans="2:18" x14ac:dyDescent="0.35">
      <c r="B2302" s="9">
        <v>1641</v>
      </c>
      <c r="C2302" s="9" t="str">
        <v>출고재고</v>
      </c>
      <c r="D2302" s="9" t="str">
        <v/>
      </c>
      <c r="E2302" s="9" t="str">
        <v/>
      </c>
      <c r="F2302" s="9" t="str">
        <v/>
      </c>
      <c r="G2302" s="9" t="str">
        <v/>
      </c>
      <c r="H2302" s="9" t="str">
        <v>RA-05V-0199</v>
      </c>
      <c r="I2302" s="11" t="str">
        <v>RA-05V-0199]BRK PXD-200CT DRV PCB R</v>
      </c>
      <c r="J2302" s="9">
        <v>304</v>
      </c>
      <c r="K2302" s="9" t="str">
        <v/>
      </c>
      <c r="L2302" s="9" t="str">
        <v>H2-2</v>
      </c>
      <c r="M2302" s="12">
        <v>46280</v>
      </c>
      <c r="N2302" s="5" t="str">
        <v/>
      </c>
      <c r="O2302" s="5">
        <v>102584</v>
      </c>
      <c r="P2302" s="5">
        <v>15</v>
      </c>
      <c r="Q2302" s="14">
        <v>46295</v>
      </c>
      <c r="R2302" s="15">
        <v>289</v>
      </c>
    </row>
    <row r="2303" spans="2:18" x14ac:dyDescent="0.35">
      <c r="B2303" s="9">
        <v>1640</v>
      </c>
      <c r="C2303" s="9" t="str">
        <v>출고재고</v>
      </c>
      <c r="D2303" s="9" t="str">
        <v/>
      </c>
      <c r="E2303" s="9" t="str">
        <v/>
      </c>
      <c r="F2303" s="9" t="str">
        <v/>
      </c>
      <c r="G2303" s="9" t="str">
        <v/>
      </c>
      <c r="H2303" s="9" t="str">
        <v>RA-05V-0297</v>
      </c>
      <c r="I2303" s="11" t="str">
        <v>RA-05V-0297]BRK PXD-200CT DRV PCB L</v>
      </c>
      <c r="J2303" s="9">
        <v>309</v>
      </c>
      <c r="K2303" s="9" t="str">
        <v/>
      </c>
      <c r="L2303" s="9" t="str">
        <v>H2-2</v>
      </c>
      <c r="M2303" s="12">
        <v>46280</v>
      </c>
      <c r="N2303" s="5" t="str">
        <v/>
      </c>
      <c r="O2303" s="5">
        <v>102584</v>
      </c>
      <c r="P2303" s="5">
        <v>15</v>
      </c>
      <c r="Q2303" s="14">
        <v>46295</v>
      </c>
      <c r="R2303" s="15">
        <v>294</v>
      </c>
    </row>
    <row r="2304" spans="2:18" x14ac:dyDescent="0.35">
      <c r="B2304" s="9">
        <v>1666</v>
      </c>
      <c r="C2304" s="9" t="str">
        <v>출고재고</v>
      </c>
      <c r="D2304" s="9" t="str">
        <v/>
      </c>
      <c r="E2304" s="9" t="str">
        <v/>
      </c>
      <c r="F2304" s="9" t="str">
        <v/>
      </c>
      <c r="G2304" s="9" t="str">
        <v/>
      </c>
      <c r="H2304" s="9" t="str">
        <v>RA-06M-0220</v>
      </c>
      <c r="I2304" s="11" t="str">
        <v>RA-06M-0220]BLOCK CANINE TOOTH LASER B</v>
      </c>
      <c r="J2304" s="9">
        <v>359</v>
      </c>
      <c r="K2304" s="9" t="str">
        <v/>
      </c>
      <c r="L2304" s="9" t="str">
        <v>H4-1</v>
      </c>
      <c r="M2304" s="12">
        <v>46280</v>
      </c>
      <c r="N2304" s="5" t="str">
        <v/>
      </c>
      <c r="O2304" s="5">
        <v>102584</v>
      </c>
      <c r="P2304" s="5">
        <v>15</v>
      </c>
      <c r="Q2304" s="14">
        <v>46295</v>
      </c>
      <c r="R2304" s="15">
        <v>344</v>
      </c>
    </row>
    <row r="2305" spans="2:18" x14ac:dyDescent="0.35">
      <c r="B2305" s="9">
        <v>1792</v>
      </c>
      <c r="C2305" s="9" t="str">
        <v>출고재고</v>
      </c>
      <c r="D2305" s="9" t="str">
        <v/>
      </c>
      <c r="E2305" s="9" t="str">
        <v/>
      </c>
      <c r="F2305" s="9" t="str">
        <v/>
      </c>
      <c r="G2305" s="9" t="str">
        <v/>
      </c>
      <c r="H2305" s="9" t="str">
        <v>RA-1-8B</v>
      </c>
      <c r="I2305" s="11" t="str">
        <v>RA-1-8B]AC POWER PFC CONNECT</v>
      </c>
      <c r="J2305" s="9">
        <v>367</v>
      </c>
      <c r="K2305" s="9" t="str">
        <v/>
      </c>
      <c r="L2305" s="9" t="str">
        <v>G3-1</v>
      </c>
      <c r="M2305" s="12">
        <v>46294</v>
      </c>
      <c r="N2305" s="5" t="str">
        <v/>
      </c>
      <c r="O2305" s="5">
        <v>102584</v>
      </c>
      <c r="P2305" s="5">
        <v>15</v>
      </c>
      <c r="Q2305" s="14">
        <v>46295</v>
      </c>
      <c r="R2305" s="15">
        <v>352</v>
      </c>
    </row>
    <row r="2306" spans="2:18" x14ac:dyDescent="0.35">
      <c r="B2306" s="9">
        <v>1794</v>
      </c>
      <c r="C2306" s="9" t="str">
        <v>출고재고</v>
      </c>
      <c r="D2306" s="9" t="str">
        <v/>
      </c>
      <c r="E2306" s="9" t="str">
        <v/>
      </c>
      <c r="F2306" s="9" t="str">
        <v/>
      </c>
      <c r="G2306" s="9" t="str">
        <v/>
      </c>
      <c r="H2306" s="9" t="str">
        <v>RA-5-5</v>
      </c>
      <c r="I2306" s="11" t="str">
        <v>RA-5-5]EARTH ROT TO PFC</v>
      </c>
      <c r="J2306" s="9">
        <v>501</v>
      </c>
      <c r="K2306" s="9" t="str">
        <v/>
      </c>
      <c r="L2306" s="9" t="str">
        <v>G3-2</v>
      </c>
      <c r="M2306" s="12">
        <v>46294</v>
      </c>
      <c r="N2306" s="5" t="str">
        <v/>
      </c>
      <c r="O2306" s="5">
        <v>102584</v>
      </c>
      <c r="P2306" s="5">
        <v>15</v>
      </c>
      <c r="Q2306" s="14">
        <v>46295</v>
      </c>
      <c r="R2306" s="15">
        <v>486</v>
      </c>
    </row>
    <row r="2307" spans="2:18" x14ac:dyDescent="0.35">
      <c r="B2307" s="9">
        <v>1681</v>
      </c>
      <c r="C2307" s="9" t="str">
        <v>출고재고</v>
      </c>
      <c r="D2307" s="9" t="str">
        <v/>
      </c>
      <c r="E2307" s="9" t="str">
        <v/>
      </c>
      <c r="F2307" s="9" t="str">
        <v/>
      </c>
      <c r="G2307" s="9" t="str">
        <v/>
      </c>
      <c r="H2307" s="9" t="str">
        <v>RA-10-4</v>
      </c>
      <c r="I2307" s="11" t="str">
        <v>RA-10-4]FAN ASS'Y</v>
      </c>
      <c r="J2307" s="9">
        <v>568</v>
      </c>
      <c r="K2307" s="9" t="str">
        <v/>
      </c>
      <c r="L2307" s="9" t="str">
        <v>G4</v>
      </c>
      <c r="M2307" s="12">
        <v>46280</v>
      </c>
      <c r="N2307" s="5" t="str">
        <v/>
      </c>
      <c r="O2307" s="5">
        <v>102584</v>
      </c>
      <c r="P2307" s="5">
        <v>15</v>
      </c>
      <c r="Q2307" s="14">
        <v>46295</v>
      </c>
      <c r="R2307" s="15">
        <v>553</v>
      </c>
    </row>
    <row r="2308" spans="2:18" x14ac:dyDescent="0.35">
      <c r="B2308" s="9">
        <v>1686</v>
      </c>
      <c r="C2308" s="9" t="str">
        <v>출고재고</v>
      </c>
      <c r="D2308" s="9" t="str">
        <v/>
      </c>
      <c r="E2308" s="9" t="str">
        <v/>
      </c>
      <c r="F2308" s="9" t="str">
        <v/>
      </c>
      <c r="G2308" s="9" t="str">
        <v/>
      </c>
      <c r="H2308" s="9" t="str">
        <v>RA-6-3</v>
      </c>
      <c r="I2308" s="11" t="str">
        <v>RA-6-3]SUB MOT TUBE</v>
      </c>
      <c r="J2308" s="9">
        <v>895</v>
      </c>
      <c r="K2308" s="9" t="str">
        <v/>
      </c>
      <c r="L2308" s="9" t="str">
        <v>G4</v>
      </c>
      <c r="M2308" s="12">
        <v>46280</v>
      </c>
      <c r="N2308" s="5" t="str">
        <v/>
      </c>
      <c r="O2308" s="5">
        <v>102584</v>
      </c>
      <c r="P2308" s="5">
        <v>15</v>
      </c>
      <c r="Q2308" s="14">
        <v>46295</v>
      </c>
      <c r="R2308" s="15">
        <v>880</v>
      </c>
    </row>
    <row r="2309" spans="2:18" x14ac:dyDescent="0.35">
      <c r="B2309" s="9">
        <v>1669</v>
      </c>
      <c r="C2309" s="9" t="str">
        <v>출고재고</v>
      </c>
      <c r="D2309" s="9" t="str">
        <v/>
      </c>
      <c r="E2309" s="9" t="str">
        <v/>
      </c>
      <c r="F2309" s="9" t="str">
        <v/>
      </c>
      <c r="G2309" s="9" t="str">
        <v/>
      </c>
      <c r="H2309" s="9" t="str">
        <v>RA-06T-0296</v>
      </c>
      <c r="I2309" s="11" t="str">
        <v>RA-06T-0296]CAS TUBE TNK FAN</v>
      </c>
      <c r="J2309" s="9">
        <v>925</v>
      </c>
      <c r="K2309" s="9" t="str">
        <v/>
      </c>
      <c r="L2309" s="9" t="str">
        <v>S</v>
      </c>
      <c r="M2309" s="12">
        <v>46280</v>
      </c>
      <c r="N2309" s="5" t="str">
        <v/>
      </c>
      <c r="O2309" s="5">
        <v>102584</v>
      </c>
      <c r="P2309" s="5">
        <v>15</v>
      </c>
      <c r="Q2309" s="14">
        <v>46295</v>
      </c>
      <c r="R2309" s="15">
        <v>910</v>
      </c>
    </row>
    <row r="2310" spans="2:18" x14ac:dyDescent="0.35">
      <c r="B2310" s="9">
        <v>2652</v>
      </c>
      <c r="C2310" s="9" t="str">
        <v>출고재고</v>
      </c>
      <c r="D2310" s="9" t="str">
        <v/>
      </c>
      <c r="E2310" s="9" t="str">
        <v>입고</v>
      </c>
      <c r="F2310" s="9" t="str">
        <v>BACH TUNG</v>
      </c>
      <c r="G2310" s="9" t="str">
        <v>유영국</v>
      </c>
      <c r="H2310" s="9" t="str">
        <v>RA-05A-2721</v>
      </c>
      <c r="I2310" s="11" t="str">
        <v>ASM ROTATOR</v>
      </c>
      <c r="J2310" s="9">
        <v>10</v>
      </c>
      <c r="K2310" s="9" t="str">
        <v/>
      </c>
      <c r="L2310" s="9" t="str">
        <v>T</v>
      </c>
      <c r="M2310" s="12">
        <v>46280</v>
      </c>
      <c r="N2310" s="5" t="str">
        <v/>
      </c>
      <c r="O2310" s="5">
        <v>102595</v>
      </c>
      <c r="P2310" s="5">
        <v>10</v>
      </c>
      <c r="Q2310" s="14">
        <v>46296</v>
      </c>
      <c r="R2310" s="15">
        <v>0</v>
      </c>
    </row>
    <row r="2311" spans="2:18" x14ac:dyDescent="0.35">
      <c r="B2311" s="9">
        <v>2653</v>
      </c>
      <c r="C2311" s="9" t="str">
        <v>출고재고</v>
      </c>
      <c r="D2311" s="9" t="str">
        <v/>
      </c>
      <c r="E2311" s="9" t="str">
        <v>입고</v>
      </c>
      <c r="F2311" s="9" t="str">
        <v>A&amp;T</v>
      </c>
      <c r="G2311" s="9" t="str">
        <v>장동은</v>
      </c>
      <c r="H2311" s="9" t="str">
        <v>RA-05A-2721</v>
      </c>
      <c r="I2311" s="11" t="str">
        <v>ASM ROTATOR</v>
      </c>
      <c r="J2311" s="9">
        <v>119</v>
      </c>
      <c r="K2311" s="9" t="str">
        <v/>
      </c>
      <c r="L2311" s="9" t="str">
        <v>T</v>
      </c>
      <c r="M2311" s="12">
        <v>46307</v>
      </c>
      <c r="N2311" s="5" t="str">
        <v/>
      </c>
      <c r="O2311" s="5">
        <v>102595</v>
      </c>
      <c r="P2311" s="5">
        <v>29</v>
      </c>
      <c r="Q2311" s="14">
        <v>46296</v>
      </c>
      <c r="R2311" s="15">
        <v>90</v>
      </c>
    </row>
    <row r="2312" spans="2:18" x14ac:dyDescent="0.35">
      <c r="B2312" s="9">
        <v>1939</v>
      </c>
      <c r="C2312" s="9" t="str">
        <v>출고재고</v>
      </c>
      <c r="D2312" s="9" t="str">
        <v/>
      </c>
      <c r="E2312" s="9" t="str">
        <v>입고</v>
      </c>
      <c r="F2312" s="9" t="str">
        <v>다유</v>
      </c>
      <c r="G2312" s="9" t="str">
        <v>유영국</v>
      </c>
      <c r="H2312" s="9" t="str">
        <v>RA-03A-2713</v>
      </c>
      <c r="I2312" s="11" t="str">
        <v>ASM COLUMN BODY</v>
      </c>
      <c r="J2312" s="9">
        <v>22</v>
      </c>
      <c r="K2312" s="9" t="str">
        <v/>
      </c>
      <c r="L2312" s="9" t="str">
        <v>Q</v>
      </c>
      <c r="M2312" s="12">
        <v>46296</v>
      </c>
      <c r="N2312" s="5" t="str">
        <v/>
      </c>
      <c r="O2312" s="5">
        <v>102902</v>
      </c>
      <c r="P2312" s="5">
        <v>22</v>
      </c>
      <c r="Q2312" s="14">
        <v>46296</v>
      </c>
      <c r="R2312" s="15">
        <v>0</v>
      </c>
    </row>
    <row r="2313" spans="2:18" x14ac:dyDescent="0.35">
      <c r="B2313" s="9">
        <v>2094</v>
      </c>
      <c r="C2313" s="9" t="str">
        <v>출고재고</v>
      </c>
      <c r="D2313" s="9" t="str">
        <v/>
      </c>
      <c r="E2313" s="9" t="str">
        <v/>
      </c>
      <c r="F2313" s="9" t="str">
        <v/>
      </c>
      <c r="G2313" s="9" t="str">
        <v/>
      </c>
      <c r="H2313" s="9" t="str">
        <v>RA-8-9</v>
      </c>
      <c r="I2313" s="11" t="str">
        <v>RA-8-9]AC POWER CABLE(IEC)</v>
      </c>
      <c r="J2313" s="9">
        <v>430</v>
      </c>
      <c r="K2313" s="9" t="str">
        <v/>
      </c>
      <c r="L2313" s="9" t="str">
        <v>G4</v>
      </c>
      <c r="M2313" s="12">
        <v>46281</v>
      </c>
      <c r="N2313" s="5" t="str">
        <v/>
      </c>
      <c r="O2313" s="5">
        <v>102902</v>
      </c>
      <c r="P2313" s="5">
        <v>50</v>
      </c>
      <c r="Q2313" s="14">
        <v>46296</v>
      </c>
      <c r="R2313" s="15">
        <v>380</v>
      </c>
    </row>
    <row r="2314" spans="2:18" x14ac:dyDescent="0.35">
      <c r="B2314" s="9">
        <v>1142</v>
      </c>
      <c r="C2314" s="9" t="str">
        <v>출고재고</v>
      </c>
      <c r="D2314" s="9" t="str">
        <v/>
      </c>
      <c r="E2314" s="9" t="str">
        <v/>
      </c>
      <c r="F2314" s="9" t="str">
        <v/>
      </c>
      <c r="G2314" s="9" t="str">
        <v/>
      </c>
      <c r="H2314" s="9" t="str">
        <v>RA-04A-6035</v>
      </c>
      <c r="I2314" s="11" t="str">
        <v>RA-04A-6035_4]Bd ASSY'-THU Bd</v>
      </c>
      <c r="J2314" s="9">
        <v>25</v>
      </c>
      <c r="K2314" s="9" t="str">
        <v/>
      </c>
      <c r="L2314" s="9" t="str">
        <v>A1-1</v>
      </c>
      <c r="M2314" s="12">
        <v>46276</v>
      </c>
      <c r="N2314" s="5" t="str">
        <v/>
      </c>
      <c r="O2314" s="5">
        <v>102914</v>
      </c>
      <c r="P2314" s="5">
        <v>9</v>
      </c>
      <c r="Q2314" s="14">
        <v>46301</v>
      </c>
      <c r="R2314" s="15">
        <v>16</v>
      </c>
    </row>
    <row r="2315" spans="2:18" x14ac:dyDescent="0.35">
      <c r="B2315" s="9">
        <v>2223</v>
      </c>
      <c r="C2315" s="9" t="str">
        <v>출고재고</v>
      </c>
      <c r="D2315" s="9" t="str">
        <v/>
      </c>
      <c r="E2315" s="9" t="str">
        <v/>
      </c>
      <c r="F2315" s="9" t="str">
        <v/>
      </c>
      <c r="G2315" s="9" t="str">
        <v/>
      </c>
      <c r="H2315" s="9" t="str">
        <v>RA-03V-1639</v>
      </c>
      <c r="I2315" s="11" t="str">
        <v>RA-03V-1639]PLT ELECT COMPONENT (VA)</v>
      </c>
      <c r="J2315" s="9">
        <v>38</v>
      </c>
      <c r="K2315" s="9" t="str">
        <v/>
      </c>
      <c r="L2315" s="9" t="str">
        <v>M2</v>
      </c>
      <c r="M2315" s="12">
        <v>46295</v>
      </c>
      <c r="N2315" s="5" t="str">
        <v/>
      </c>
      <c r="O2315" s="5">
        <v>102914</v>
      </c>
      <c r="P2315" s="5">
        <v>10</v>
      </c>
      <c r="Q2315" s="14">
        <v>46301</v>
      </c>
      <c r="R2315" s="15">
        <v>28</v>
      </c>
    </row>
    <row r="2316" spans="2:18" x14ac:dyDescent="0.35">
      <c r="B2316" s="9">
        <v>2231</v>
      </c>
      <c r="C2316" s="9" t="str">
        <v>출고재고</v>
      </c>
      <c r="D2316" s="9" t="str">
        <v/>
      </c>
      <c r="E2316" s="9" t="str">
        <v/>
      </c>
      <c r="F2316" s="9" t="str">
        <v/>
      </c>
      <c r="G2316" s="9" t="str">
        <v/>
      </c>
      <c r="H2316" s="9" t="str">
        <v>RA-5-1</v>
      </c>
      <c r="I2316" s="11" t="str">
        <v>RA-5-1]EARTH NF</v>
      </c>
      <c r="J2316" s="9">
        <v>40</v>
      </c>
      <c r="K2316" s="9" t="str">
        <v/>
      </c>
      <c r="L2316" s="9" t="str">
        <v>G3-2</v>
      </c>
      <c r="M2316" s="12">
        <v>46295</v>
      </c>
      <c r="N2316" s="5" t="str">
        <v/>
      </c>
      <c r="O2316" s="5">
        <v>102914</v>
      </c>
      <c r="P2316" s="5">
        <v>20</v>
      </c>
      <c r="Q2316" s="14">
        <v>46301</v>
      </c>
      <c r="R2316" s="15">
        <v>20</v>
      </c>
    </row>
    <row r="2317" spans="2:18" x14ac:dyDescent="0.35">
      <c r="B2317" s="9">
        <v>2232</v>
      </c>
      <c r="C2317" s="9" t="str">
        <v>출고재고</v>
      </c>
      <c r="D2317" s="9" t="str">
        <v/>
      </c>
      <c r="E2317" s="9" t="str">
        <v/>
      </c>
      <c r="F2317" s="9" t="str">
        <v/>
      </c>
      <c r="G2317" s="9" t="str">
        <v/>
      </c>
      <c r="H2317" s="9" t="str">
        <v>RA-04V-0117</v>
      </c>
      <c r="I2317" s="11" t="str">
        <v>RA-04V-0117] ARM MONITOR</v>
      </c>
      <c r="J2317" s="9">
        <v>62</v>
      </c>
      <c r="K2317" s="9" t="str">
        <v/>
      </c>
      <c r="L2317" s="9" t="str">
        <v>H1</v>
      </c>
      <c r="M2317" s="12">
        <v>46295</v>
      </c>
      <c r="N2317" s="5" t="str">
        <v/>
      </c>
      <c r="O2317" s="5">
        <v>102914</v>
      </c>
      <c r="P2317" s="5">
        <v>20</v>
      </c>
      <c r="Q2317" s="14">
        <v>46301</v>
      </c>
      <c r="R2317" s="15">
        <v>42</v>
      </c>
    </row>
    <row r="2318" spans="2:18" x14ac:dyDescent="0.35">
      <c r="B2318" s="9">
        <v>2225</v>
      </c>
      <c r="C2318" s="9" t="str">
        <v>출고재고</v>
      </c>
      <c r="D2318" s="9" t="str">
        <v/>
      </c>
      <c r="E2318" s="9" t="str">
        <v/>
      </c>
      <c r="F2318" s="9" t="str">
        <v/>
      </c>
      <c r="G2318" s="9" t="str">
        <v/>
      </c>
      <c r="H2318" s="9" t="str">
        <v>RA-03S-6045</v>
      </c>
      <c r="I2318" s="11" t="str">
        <v>RA-03S-6045]SMPS-RPS-200-24V</v>
      </c>
      <c r="J2318" s="9">
        <v>65</v>
      </c>
      <c r="K2318" s="9" t="str">
        <v/>
      </c>
      <c r="L2318" s="9" t="str">
        <v>A12-4</v>
      </c>
      <c r="M2318" s="12">
        <v>46295</v>
      </c>
      <c r="N2318" s="5" t="str">
        <v/>
      </c>
      <c r="O2318" s="5">
        <v>102914</v>
      </c>
      <c r="P2318" s="5">
        <v>20</v>
      </c>
      <c r="Q2318" s="14">
        <v>46301</v>
      </c>
      <c r="R2318" s="15">
        <v>45</v>
      </c>
    </row>
    <row r="2319" spans="2:18" x14ac:dyDescent="0.35">
      <c r="B2319" s="9">
        <v>2226</v>
      </c>
      <c r="C2319" s="9" t="str">
        <v>출고재고</v>
      </c>
      <c r="D2319" s="9" t="str">
        <v/>
      </c>
      <c r="E2319" s="9" t="str">
        <v/>
      </c>
      <c r="F2319" s="9" t="str">
        <v/>
      </c>
      <c r="G2319" s="9" t="str">
        <v/>
      </c>
      <c r="H2319" s="9" t="str">
        <v>RA-04S-5174</v>
      </c>
      <c r="I2319" s="11" t="str">
        <v>RA-04S-5174]THU Cable Ass'y</v>
      </c>
      <c r="J2319" s="9">
        <v>67</v>
      </c>
      <c r="K2319" s="9" t="str">
        <v/>
      </c>
      <c r="L2319" s="9" t="str">
        <v>B2-2</v>
      </c>
      <c r="M2319" s="12">
        <v>46295</v>
      </c>
      <c r="N2319" s="5" t="str">
        <v/>
      </c>
      <c r="O2319" s="5">
        <v>102914</v>
      </c>
      <c r="P2319" s="5">
        <v>20</v>
      </c>
      <c r="Q2319" s="14">
        <v>46301</v>
      </c>
      <c r="R2319" s="15">
        <v>47</v>
      </c>
    </row>
    <row r="2320" spans="2:18" x14ac:dyDescent="0.35">
      <c r="B2320" s="9">
        <v>2227</v>
      </c>
      <c r="C2320" s="9" t="str">
        <v>출고재고</v>
      </c>
      <c r="D2320" s="9" t="str">
        <v/>
      </c>
      <c r="E2320" s="9" t="str">
        <v/>
      </c>
      <c r="F2320" s="9" t="str">
        <v/>
      </c>
      <c r="G2320" s="9" t="str">
        <v/>
      </c>
      <c r="H2320" s="9" t="str">
        <v>RA-04V-1709</v>
      </c>
      <c r="I2320" s="11" t="str">
        <v>RA-04V-1709]BRK THU Bd</v>
      </c>
      <c r="J2320" s="9">
        <v>73</v>
      </c>
      <c r="K2320" s="9" t="str">
        <v/>
      </c>
      <c r="L2320" s="9" t="str">
        <v>B3-1</v>
      </c>
      <c r="M2320" s="12">
        <v>46295</v>
      </c>
      <c r="N2320" s="5" t="str">
        <v/>
      </c>
      <c r="O2320" s="5">
        <v>102914</v>
      </c>
      <c r="P2320" s="5">
        <v>20</v>
      </c>
      <c r="Q2320" s="14">
        <v>46301</v>
      </c>
      <c r="R2320" s="15">
        <v>53</v>
      </c>
    </row>
    <row r="2321" spans="2:18" x14ac:dyDescent="0.35">
      <c r="B2321" s="9">
        <v>2236</v>
      </c>
      <c r="C2321" s="9" t="str">
        <v>출고재고</v>
      </c>
      <c r="D2321" s="9" t="str">
        <v/>
      </c>
      <c r="E2321" s="9" t="str">
        <v/>
      </c>
      <c r="F2321" s="9" t="str">
        <v/>
      </c>
      <c r="G2321" s="9" t="str">
        <v/>
      </c>
      <c r="H2321" s="9" t="str">
        <v>RA-03S-5176</v>
      </c>
      <c r="I2321" s="11" t="str">
        <v>RA-03S-5176]NOISE FILTER RSHN2016</v>
      </c>
      <c r="J2321" s="9">
        <v>75</v>
      </c>
      <c r="K2321" s="9" t="str">
        <v/>
      </c>
      <c r="L2321" s="9" t="str">
        <v>A12-4</v>
      </c>
      <c r="M2321" s="12">
        <v>46295</v>
      </c>
      <c r="N2321" s="5" t="str">
        <v/>
      </c>
      <c r="O2321" s="5">
        <v>102914</v>
      </c>
      <c r="P2321" s="5">
        <v>20</v>
      </c>
      <c r="Q2321" s="14">
        <v>46301</v>
      </c>
      <c r="R2321" s="15">
        <v>55</v>
      </c>
    </row>
    <row r="2322" spans="2:18" x14ac:dyDescent="0.35">
      <c r="B2322" s="9">
        <v>2233</v>
      </c>
      <c r="C2322" s="9" t="str">
        <v>출고재고</v>
      </c>
      <c r="D2322" s="9" t="str">
        <v/>
      </c>
      <c r="E2322" s="9" t="str">
        <v/>
      </c>
      <c r="F2322" s="9" t="str">
        <v/>
      </c>
      <c r="G2322" s="9" t="str">
        <v/>
      </c>
      <c r="H2322" s="9" t="str">
        <v>RA-03S-5013</v>
      </c>
      <c r="I2322" s="11" t="str">
        <v>RA-03S-5013]Mgnet CONTECTOR-LP1K0910BD</v>
      </c>
      <c r="J2322" s="9">
        <v>77</v>
      </c>
      <c r="K2322" s="9" t="str">
        <v/>
      </c>
      <c r="L2322" s="9" t="str">
        <v>A13-4</v>
      </c>
      <c r="M2322" s="12">
        <v>46295</v>
      </c>
      <c r="N2322" s="5" t="str">
        <v/>
      </c>
      <c r="O2322" s="5">
        <v>102914</v>
      </c>
      <c r="P2322" s="5">
        <v>20</v>
      </c>
      <c r="Q2322" s="14">
        <v>46301</v>
      </c>
      <c r="R2322" s="15">
        <v>57</v>
      </c>
    </row>
    <row r="2323" spans="2:18" x14ac:dyDescent="0.35">
      <c r="B2323" s="9">
        <v>2220</v>
      </c>
      <c r="C2323" s="9" t="str">
        <v>출고재고</v>
      </c>
      <c r="D2323" s="9" t="str">
        <v/>
      </c>
      <c r="E2323" s="9" t="str">
        <v/>
      </c>
      <c r="F2323" s="9" t="str">
        <v/>
      </c>
      <c r="G2323" s="9" t="str">
        <v/>
      </c>
      <c r="H2323" s="9" t="str">
        <v>RA-04A-1926</v>
      </c>
      <c r="I2323" s="11" t="str">
        <v>RA-04A-1926]ASM CHINREST SUB</v>
      </c>
      <c r="J2323" s="9">
        <v>86</v>
      </c>
      <c r="K2323" s="9" t="str">
        <v/>
      </c>
      <c r="L2323" s="9" t="str">
        <v>O2</v>
      </c>
      <c r="M2323" s="12">
        <v>46295</v>
      </c>
      <c r="N2323" s="5" t="str">
        <v/>
      </c>
      <c r="O2323" s="5">
        <v>102914</v>
      </c>
      <c r="P2323" s="5">
        <v>20</v>
      </c>
      <c r="Q2323" s="14">
        <v>46301</v>
      </c>
      <c r="R2323" s="15">
        <v>66</v>
      </c>
    </row>
    <row r="2324" spans="2:18" x14ac:dyDescent="0.35">
      <c r="B2324" s="9">
        <v>2229</v>
      </c>
      <c r="C2324" s="9" t="str">
        <v>출고재고</v>
      </c>
      <c r="D2324" s="9" t="str">
        <v/>
      </c>
      <c r="E2324" s="9" t="str">
        <v/>
      </c>
      <c r="F2324" s="9" t="str">
        <v/>
      </c>
      <c r="G2324" s="9" t="str">
        <v/>
      </c>
      <c r="H2324" s="9" t="str">
        <v>RA-04M-1339</v>
      </c>
      <c r="I2324" s="11" t="str">
        <v>RA-04M-1339]BLK HEADREST FIX BAR-R</v>
      </c>
      <c r="J2324" s="9">
        <v>91</v>
      </c>
      <c r="K2324" s="9" t="str">
        <v/>
      </c>
      <c r="L2324" s="9" t="str">
        <v>B1-5</v>
      </c>
      <c r="M2324" s="12">
        <v>46295</v>
      </c>
      <c r="N2324" s="5" t="str">
        <v/>
      </c>
      <c r="O2324" s="5">
        <v>102914</v>
      </c>
      <c r="P2324" s="5">
        <v>20</v>
      </c>
      <c r="Q2324" s="14">
        <v>46301</v>
      </c>
      <c r="R2324" s="15">
        <v>71</v>
      </c>
    </row>
    <row r="2325" spans="2:18" x14ac:dyDescent="0.35">
      <c r="B2325" s="9">
        <v>2238</v>
      </c>
      <c r="C2325" s="9" t="str">
        <v>출고재고</v>
      </c>
      <c r="D2325" s="9" t="str">
        <v/>
      </c>
      <c r="E2325" s="9" t="str">
        <v/>
      </c>
      <c r="F2325" s="9" t="str">
        <v/>
      </c>
      <c r="G2325" s="9" t="str">
        <v/>
      </c>
      <c r="H2325" s="9" t="str">
        <v>RA-03S-5180A</v>
      </c>
      <c r="I2325" s="11" t="str">
        <v>RA-03S-5180A]A2K_LBM01-570</v>
      </c>
      <c r="J2325" s="9">
        <v>106</v>
      </c>
      <c r="K2325" s="9" t="str">
        <v/>
      </c>
      <c r="L2325" s="9" t="str">
        <v>B1-1</v>
      </c>
      <c r="M2325" s="12">
        <v>46295</v>
      </c>
      <c r="N2325" s="5" t="str">
        <v/>
      </c>
      <c r="O2325" s="5">
        <v>102914</v>
      </c>
      <c r="P2325" s="5">
        <v>20</v>
      </c>
      <c r="Q2325" s="14">
        <v>46301</v>
      </c>
      <c r="R2325" s="15">
        <v>86</v>
      </c>
    </row>
    <row r="2326" spans="2:18" x14ac:dyDescent="0.35">
      <c r="B2326" s="9">
        <v>2234</v>
      </c>
      <c r="C2326" s="9" t="str">
        <v>출고재고</v>
      </c>
      <c r="D2326" s="9" t="str">
        <v/>
      </c>
      <c r="E2326" s="9" t="str">
        <v/>
      </c>
      <c r="F2326" s="9" t="str">
        <v/>
      </c>
      <c r="G2326" s="9" t="str">
        <v/>
      </c>
      <c r="H2326" s="9" t="str">
        <v>RA-03S-6025</v>
      </c>
      <c r="I2326" s="11" t="str">
        <v>RA-03S-6025]LBM-RAY01</v>
      </c>
      <c r="J2326" s="9">
        <v>106</v>
      </c>
      <c r="K2326" s="9" t="str">
        <v/>
      </c>
      <c r="L2326" s="9" t="str">
        <v>B1-1</v>
      </c>
      <c r="M2326" s="12">
        <v>46295</v>
      </c>
      <c r="N2326" s="5" t="str">
        <v/>
      </c>
      <c r="O2326" s="5">
        <v>102914</v>
      </c>
      <c r="P2326" s="5">
        <v>20</v>
      </c>
      <c r="Q2326" s="14">
        <v>46301</v>
      </c>
      <c r="R2326" s="15">
        <v>86</v>
      </c>
    </row>
    <row r="2327" spans="2:18" x14ac:dyDescent="0.35">
      <c r="B2327" s="9">
        <v>2230</v>
      </c>
      <c r="C2327" s="9" t="str">
        <v>출고재고</v>
      </c>
      <c r="D2327" s="9" t="str">
        <v/>
      </c>
      <c r="E2327" s="9" t="str">
        <v/>
      </c>
      <c r="F2327" s="9" t="str">
        <v/>
      </c>
      <c r="G2327" s="9" t="str">
        <v/>
      </c>
      <c r="H2327" s="9" t="str">
        <v>RA-04A-0899</v>
      </c>
      <c r="I2327" s="11" t="str">
        <v>RA-04A-0899]ASM LCD M101NWT2 R1</v>
      </c>
      <c r="J2327" s="9">
        <v>126</v>
      </c>
      <c r="K2327" s="9" t="str">
        <v/>
      </c>
      <c r="L2327" s="9" t="str">
        <v>A16</v>
      </c>
      <c r="M2327" s="12">
        <v>46295</v>
      </c>
      <c r="N2327" s="5" t="str">
        <v/>
      </c>
      <c r="O2327" s="5">
        <v>102914</v>
      </c>
      <c r="P2327" s="5">
        <v>20</v>
      </c>
      <c r="Q2327" s="14">
        <v>46301</v>
      </c>
      <c r="R2327" s="15">
        <v>106</v>
      </c>
    </row>
    <row r="2328" spans="2:18" x14ac:dyDescent="0.35">
      <c r="B2328" s="9">
        <v>2241</v>
      </c>
      <c r="C2328" s="9" t="str">
        <v>출고재고</v>
      </c>
      <c r="D2328" s="9" t="str">
        <v/>
      </c>
      <c r="E2328" s="9" t="str">
        <v/>
      </c>
      <c r="F2328" s="9" t="str">
        <v/>
      </c>
      <c r="G2328" s="9" t="str">
        <v/>
      </c>
      <c r="H2328" s="9" t="str">
        <v>RA-03V-1991</v>
      </c>
      <c r="I2328" s="11" t="str">
        <v>RA-03V-1991]BRK CENTER LASERBEAM (A+)</v>
      </c>
      <c r="J2328" s="9">
        <v>135</v>
      </c>
      <c r="K2328" s="9" t="str">
        <v/>
      </c>
      <c r="L2328" s="9" t="str">
        <v>B1-3</v>
      </c>
      <c r="M2328" s="12">
        <v>46295</v>
      </c>
      <c r="N2328" s="5" t="str">
        <v/>
      </c>
      <c r="O2328" s="5">
        <v>102914</v>
      </c>
      <c r="P2328" s="5">
        <v>20</v>
      </c>
      <c r="Q2328" s="14">
        <v>46301</v>
      </c>
      <c r="R2328" s="15">
        <v>115</v>
      </c>
    </row>
    <row r="2329" spans="2:18" x14ac:dyDescent="0.35">
      <c r="B2329" s="9">
        <v>2242</v>
      </c>
      <c r="C2329" s="9" t="str">
        <v>출고재고</v>
      </c>
      <c r="D2329" s="9" t="str">
        <v/>
      </c>
      <c r="E2329" s="9" t="str">
        <v/>
      </c>
      <c r="F2329" s="9" t="str">
        <v/>
      </c>
      <c r="G2329" s="9" t="str">
        <v/>
      </c>
      <c r="H2329" s="9" t="str">
        <v>RA-03M-2193</v>
      </c>
      <c r="I2329" s="11" t="str">
        <v>RA-03M-2193]CVR PROT (A+)</v>
      </c>
      <c r="J2329" s="9">
        <v>136</v>
      </c>
      <c r="K2329" s="9" t="str">
        <v/>
      </c>
      <c r="L2329" s="9" t="str">
        <v>B1-1</v>
      </c>
      <c r="M2329" s="12">
        <v>46295</v>
      </c>
      <c r="N2329" s="5" t="str">
        <v/>
      </c>
      <c r="O2329" s="5">
        <v>102914</v>
      </c>
      <c r="P2329" s="5">
        <v>20</v>
      </c>
      <c r="Q2329" s="14">
        <v>46301</v>
      </c>
      <c r="R2329" s="15">
        <v>116</v>
      </c>
    </row>
    <row r="2330" spans="2:18" x14ac:dyDescent="0.35">
      <c r="B2330" s="9">
        <v>2235</v>
      </c>
      <c r="C2330" s="9" t="str">
        <v>출고재고</v>
      </c>
      <c r="D2330" s="9" t="str">
        <v/>
      </c>
      <c r="E2330" s="9" t="str">
        <v/>
      </c>
      <c r="F2330" s="9" t="str">
        <v/>
      </c>
      <c r="G2330" s="9" t="str">
        <v/>
      </c>
      <c r="H2330" s="9" t="str">
        <v>RA-04M-1338</v>
      </c>
      <c r="I2330" s="11" t="str">
        <v>RA-04M-1338]BLK HEADREST FIX BAR-L</v>
      </c>
      <c r="J2330" s="9">
        <v>141</v>
      </c>
      <c r="K2330" s="9" t="str">
        <v/>
      </c>
      <c r="L2330" s="9" t="str">
        <v>B1-5</v>
      </c>
      <c r="M2330" s="12">
        <v>46295</v>
      </c>
      <c r="N2330" s="5" t="str">
        <v/>
      </c>
      <c r="O2330" s="5">
        <v>102914</v>
      </c>
      <c r="P2330" s="5">
        <v>20</v>
      </c>
      <c r="Q2330" s="14">
        <v>46301</v>
      </c>
      <c r="R2330" s="15">
        <v>121</v>
      </c>
    </row>
    <row r="2331" spans="2:18" x14ac:dyDescent="0.35">
      <c r="B2331" s="9">
        <v>2222</v>
      </c>
      <c r="C2331" s="9" t="str">
        <v>출고재고</v>
      </c>
      <c r="D2331" s="9" t="str">
        <v/>
      </c>
      <c r="E2331" s="9" t="str">
        <v/>
      </c>
      <c r="F2331" s="9" t="str">
        <v/>
      </c>
      <c r="G2331" s="9" t="str">
        <v/>
      </c>
      <c r="H2331" s="9" t="str">
        <v>RA-04V-1708</v>
      </c>
      <c r="I2331" s="11" t="str">
        <v>RA-04V-1708]CVR THU Bd</v>
      </c>
      <c r="J2331" s="9">
        <v>150</v>
      </c>
      <c r="K2331" s="9" t="str">
        <v/>
      </c>
      <c r="L2331" s="9" t="str">
        <v>B3-3</v>
      </c>
      <c r="M2331" s="12">
        <v>46295</v>
      </c>
      <c r="N2331" s="5" t="str">
        <v/>
      </c>
      <c r="O2331" s="5">
        <v>102914</v>
      </c>
      <c r="P2331" s="5">
        <v>20</v>
      </c>
      <c r="Q2331" s="14">
        <v>46301</v>
      </c>
      <c r="R2331" s="15">
        <v>130</v>
      </c>
    </row>
    <row r="2332" spans="2:18" x14ac:dyDescent="0.35">
      <c r="B2332" s="9">
        <v>2239</v>
      </c>
      <c r="C2332" s="9" t="str">
        <v>출고재고</v>
      </c>
      <c r="D2332" s="9" t="str">
        <v/>
      </c>
      <c r="E2332" s="9" t="str">
        <v/>
      </c>
      <c r="F2332" s="9" t="str">
        <v/>
      </c>
      <c r="G2332" s="9" t="str">
        <v/>
      </c>
      <c r="H2332" s="9" t="str">
        <v>RA-04S-0121</v>
      </c>
      <c r="I2332" s="11" t="str">
        <v>RA-04S-0121]HINGE SET</v>
      </c>
      <c r="J2332" s="9">
        <v>155</v>
      </c>
      <c r="K2332" s="9" t="str">
        <v/>
      </c>
      <c r="L2332" s="9" t="str">
        <v>B1-4</v>
      </c>
      <c r="M2332" s="12">
        <v>46295</v>
      </c>
      <c r="N2332" s="5" t="str">
        <v/>
      </c>
      <c r="O2332" s="5">
        <v>102914</v>
      </c>
      <c r="P2332" s="5">
        <v>40</v>
      </c>
      <c r="Q2332" s="14">
        <v>46301</v>
      </c>
      <c r="R2332" s="15">
        <v>115</v>
      </c>
    </row>
    <row r="2333" spans="2:18" x14ac:dyDescent="0.35">
      <c r="B2333" s="9">
        <v>2240</v>
      </c>
      <c r="C2333" s="9" t="str">
        <v>출고재고</v>
      </c>
      <c r="D2333" s="9" t="str">
        <v/>
      </c>
      <c r="E2333" s="9" t="str">
        <v/>
      </c>
      <c r="F2333" s="9" t="str">
        <v/>
      </c>
      <c r="G2333" s="9" t="str">
        <v/>
      </c>
      <c r="H2333" s="9" t="str">
        <v>RA-04V-0118</v>
      </c>
      <c r="I2333" s="11" t="str">
        <v>RA-04V-0118]BRK MONITOR HINGE</v>
      </c>
      <c r="J2333" s="9">
        <v>166</v>
      </c>
      <c r="K2333" s="9" t="str">
        <v/>
      </c>
      <c r="L2333" s="9" t="str">
        <v>B2-3</v>
      </c>
      <c r="M2333" s="12">
        <v>46295</v>
      </c>
      <c r="N2333" s="5" t="str">
        <v/>
      </c>
      <c r="O2333" s="5">
        <v>102914</v>
      </c>
      <c r="P2333" s="5">
        <v>40</v>
      </c>
      <c r="Q2333" s="14">
        <v>46301</v>
      </c>
      <c r="R2333" s="15">
        <v>126</v>
      </c>
    </row>
    <row r="2334" spans="2:18" x14ac:dyDescent="0.35">
      <c r="B2334" s="9">
        <v>2224</v>
      </c>
      <c r="C2334" s="9" t="str">
        <v>출고재고</v>
      </c>
      <c r="D2334" s="9" t="str">
        <v/>
      </c>
      <c r="E2334" s="9" t="str">
        <v/>
      </c>
      <c r="F2334" s="9" t="str">
        <v/>
      </c>
      <c r="G2334" s="9" t="str">
        <v/>
      </c>
      <c r="H2334" s="9" t="str">
        <v>RA-03A-6012</v>
      </c>
      <c r="I2334" s="11" t="str">
        <v>RA-03A-6012]Bd ASSY'-ACT Bd(A/A+)</v>
      </c>
      <c r="J2334" s="9">
        <v>170</v>
      </c>
      <c r="K2334" s="9" t="str">
        <v/>
      </c>
      <c r="L2334" s="9" t="str">
        <v>A7-3</v>
      </c>
      <c r="M2334" s="12">
        <v>46295</v>
      </c>
      <c r="N2334" s="5" t="str">
        <v/>
      </c>
      <c r="O2334" s="5">
        <v>102914</v>
      </c>
      <c r="P2334" s="5">
        <v>20</v>
      </c>
      <c r="Q2334" s="14">
        <v>46301</v>
      </c>
      <c r="R2334" s="15">
        <v>150</v>
      </c>
    </row>
    <row r="2335" spans="2:18" x14ac:dyDescent="0.35">
      <c r="B2335" s="9">
        <v>2244</v>
      </c>
      <c r="C2335" s="9" t="str">
        <v>출고재고</v>
      </c>
      <c r="D2335" s="9" t="str">
        <v/>
      </c>
      <c r="E2335" s="9" t="str">
        <v/>
      </c>
      <c r="F2335" s="9" t="str">
        <v/>
      </c>
      <c r="G2335" s="9" t="str">
        <v/>
      </c>
      <c r="H2335" s="9" t="str">
        <v>RA-03T-1992</v>
      </c>
      <c r="I2335" s="11" t="str">
        <v>RA-03T-1992]HLDR LASER BEAM V</v>
      </c>
      <c r="J2335" s="9">
        <v>215</v>
      </c>
      <c r="K2335" s="9" t="str">
        <v/>
      </c>
      <c r="L2335" s="9" t="str">
        <v>B1-1</v>
      </c>
      <c r="M2335" s="12">
        <v>46295</v>
      </c>
      <c r="N2335" s="5" t="str">
        <v/>
      </c>
      <c r="O2335" s="5">
        <v>102914</v>
      </c>
      <c r="P2335" s="5">
        <v>20</v>
      </c>
      <c r="Q2335" s="14">
        <v>46301</v>
      </c>
      <c r="R2335" s="15">
        <v>195</v>
      </c>
    </row>
    <row r="2336" spans="2:18" x14ac:dyDescent="0.35">
      <c r="B2336" s="9">
        <v>2245</v>
      </c>
      <c r="C2336" s="9" t="str">
        <v>출고재고</v>
      </c>
      <c r="D2336" s="9" t="str">
        <v/>
      </c>
      <c r="E2336" s="9" t="str">
        <v/>
      </c>
      <c r="F2336" s="9" t="str">
        <v/>
      </c>
      <c r="G2336" s="9" t="str">
        <v/>
      </c>
      <c r="H2336" s="9" t="str">
        <v>RA-03A-6016A</v>
      </c>
      <c r="I2336" s="11" t="str">
        <v>RA-03A-6016A]BD ASSY'-AC FUSE BLK</v>
      </c>
      <c r="J2336" s="9">
        <v>216</v>
      </c>
      <c r="K2336" s="9" t="str">
        <v/>
      </c>
      <c r="L2336" s="9" t="str">
        <v>A3-1</v>
      </c>
      <c r="M2336" s="12">
        <v>46295</v>
      </c>
      <c r="N2336" s="5" t="str">
        <v/>
      </c>
      <c r="O2336" s="5">
        <v>102914</v>
      </c>
      <c r="P2336" s="5">
        <v>20</v>
      </c>
      <c r="Q2336" s="14">
        <v>46301</v>
      </c>
      <c r="R2336" s="15">
        <v>196</v>
      </c>
    </row>
    <row r="2337" spans="2:18" x14ac:dyDescent="0.35">
      <c r="B2337" s="9">
        <v>2246</v>
      </c>
      <c r="C2337" s="9" t="str">
        <v>출고재고</v>
      </c>
      <c r="D2337" s="9" t="str">
        <v/>
      </c>
      <c r="E2337" s="9" t="str">
        <v/>
      </c>
      <c r="F2337" s="9" t="str">
        <v/>
      </c>
      <c r="G2337" s="9" t="str">
        <v/>
      </c>
      <c r="H2337" s="9" t="str">
        <v>RA-03A-0050</v>
      </c>
      <c r="I2337" s="11" t="str">
        <v>RA-03A-0050_I]ASM HORIZONTAL LASER BEAM</v>
      </c>
      <c r="J2337" s="9">
        <v>244</v>
      </c>
      <c r="K2337" s="9" t="str">
        <v/>
      </c>
      <c r="L2337" s="9" t="str">
        <v>O2</v>
      </c>
      <c r="M2337" s="12">
        <v>46295</v>
      </c>
      <c r="N2337" s="5" t="str">
        <v/>
      </c>
      <c r="O2337" s="5">
        <v>102914</v>
      </c>
      <c r="P2337" s="5">
        <v>20</v>
      </c>
      <c r="Q2337" s="14">
        <v>46301</v>
      </c>
      <c r="R2337" s="15">
        <v>224</v>
      </c>
    </row>
    <row r="2338" spans="2:18" x14ac:dyDescent="0.35">
      <c r="B2338" s="9">
        <v>2243</v>
      </c>
      <c r="C2338" s="9" t="str">
        <v>출고재고</v>
      </c>
      <c r="D2338" s="9" t="str">
        <v/>
      </c>
      <c r="E2338" s="9" t="str">
        <v/>
      </c>
      <c r="F2338" s="9" t="str">
        <v/>
      </c>
      <c r="G2338" s="9" t="str">
        <v/>
      </c>
      <c r="H2338" s="9" t="str">
        <v>RA-04M-2399</v>
      </c>
      <c r="I2338" s="11" t="str">
        <v>RA-04M-2399]GUIDE BITE BLK A (A+)</v>
      </c>
      <c r="J2338" s="9">
        <v>258</v>
      </c>
      <c r="K2338" s="9" t="str">
        <v/>
      </c>
      <c r="L2338" s="9" t="str">
        <v>B1-6</v>
      </c>
      <c r="M2338" s="12">
        <v>46295</v>
      </c>
      <c r="N2338" s="5" t="str">
        <v/>
      </c>
      <c r="O2338" s="5">
        <v>102914</v>
      </c>
      <c r="P2338" s="5">
        <v>20</v>
      </c>
      <c r="Q2338" s="14">
        <v>46301</v>
      </c>
      <c r="R2338" s="15">
        <v>238</v>
      </c>
    </row>
    <row r="2339" spans="2:18" x14ac:dyDescent="0.35">
      <c r="B2339" s="9">
        <v>2247</v>
      </c>
      <c r="C2339" s="9" t="str">
        <v>출고재고</v>
      </c>
      <c r="D2339" s="9" t="str">
        <v/>
      </c>
      <c r="E2339" s="9" t="str">
        <v/>
      </c>
      <c r="F2339" s="9" t="str">
        <v/>
      </c>
      <c r="G2339" s="9" t="str">
        <v/>
      </c>
      <c r="H2339" s="9" t="str">
        <v>RA-1-1</v>
      </c>
      <c r="I2339" s="11" t="str">
        <v>RA-1-1_2]AC POWER FUSE TO NF2</v>
      </c>
      <c r="J2339" s="9">
        <v>259</v>
      </c>
      <c r="K2339" s="9" t="str">
        <v/>
      </c>
      <c r="L2339" s="9" t="str">
        <v>G3-1</v>
      </c>
      <c r="M2339" s="12">
        <v>46295</v>
      </c>
      <c r="N2339" s="5" t="str">
        <v/>
      </c>
      <c r="O2339" s="5">
        <v>102914</v>
      </c>
      <c r="P2339" s="5">
        <v>20</v>
      </c>
      <c r="Q2339" s="14">
        <v>46301</v>
      </c>
      <c r="R2339" s="15">
        <v>239</v>
      </c>
    </row>
    <row r="2340" spans="2:18" x14ac:dyDescent="0.35">
      <c r="B2340" s="9">
        <v>2248</v>
      </c>
      <c r="C2340" s="9" t="str">
        <v>출고재고</v>
      </c>
      <c r="D2340" s="9" t="str">
        <v/>
      </c>
      <c r="E2340" s="9" t="str">
        <v/>
      </c>
      <c r="F2340" s="9" t="str">
        <v/>
      </c>
      <c r="G2340" s="9" t="str">
        <v/>
      </c>
      <c r="H2340" s="9" t="str">
        <v>RA-09A-2753</v>
      </c>
      <c r="I2340" s="11" t="str">
        <v>RA-09A-2753]ASM CT HEADREST FIX BAS(A+)</v>
      </c>
      <c r="J2340" s="9">
        <v>329</v>
      </c>
      <c r="K2340" s="9" t="str">
        <v/>
      </c>
      <c r="L2340" s="9" t="str">
        <v>B1-6</v>
      </c>
      <c r="M2340" s="12">
        <v>46295</v>
      </c>
      <c r="N2340" s="5" t="str">
        <v/>
      </c>
      <c r="O2340" s="5">
        <v>102914</v>
      </c>
      <c r="P2340" s="5">
        <v>20</v>
      </c>
      <c r="Q2340" s="14">
        <v>46301</v>
      </c>
      <c r="R2340" s="15">
        <v>309</v>
      </c>
    </row>
    <row r="2341" spans="2:18" x14ac:dyDescent="0.35">
      <c r="B2341" s="9">
        <v>2249</v>
      </c>
      <c r="C2341" s="9" t="str">
        <v>출고재고</v>
      </c>
      <c r="D2341" s="9" t="str">
        <v/>
      </c>
      <c r="E2341" s="9" t="str">
        <v/>
      </c>
      <c r="F2341" s="9" t="str">
        <v/>
      </c>
      <c r="G2341" s="9" t="str">
        <v/>
      </c>
      <c r="H2341" s="9" t="str">
        <v>RA-03A-6046</v>
      </c>
      <c r="I2341" s="11" t="str">
        <v>RA-03A-6046]SMPS CONN B/D</v>
      </c>
      <c r="J2341" s="9">
        <v>334</v>
      </c>
      <c r="K2341" s="9" t="str">
        <v/>
      </c>
      <c r="L2341" s="9" t="str">
        <v>A1-3</v>
      </c>
      <c r="M2341" s="12">
        <v>46295</v>
      </c>
      <c r="N2341" s="5" t="str">
        <v/>
      </c>
      <c r="O2341" s="5">
        <v>102914</v>
      </c>
      <c r="P2341" s="5">
        <v>20</v>
      </c>
      <c r="Q2341" s="14">
        <v>46301</v>
      </c>
      <c r="R2341" s="15">
        <v>314</v>
      </c>
    </row>
    <row r="2342" spans="2:18" x14ac:dyDescent="0.35">
      <c r="B2342" s="9">
        <v>2250</v>
      </c>
      <c r="C2342" s="9" t="str">
        <v>출고재고</v>
      </c>
      <c r="D2342" s="9" t="str">
        <v/>
      </c>
      <c r="E2342" s="9" t="str">
        <v/>
      </c>
      <c r="F2342" s="9" t="str">
        <v/>
      </c>
      <c r="G2342" s="9" t="str">
        <v/>
      </c>
      <c r="H2342" s="9" t="str">
        <v>RA-1-2</v>
      </c>
      <c r="I2342" s="11" t="str">
        <v>RA-1-2_2]AC POWER FUSE TO NF1</v>
      </c>
      <c r="J2342" s="9">
        <v>520</v>
      </c>
      <c r="K2342" s="9" t="str">
        <v/>
      </c>
      <c r="L2342" s="9" t="str">
        <v>G3-1</v>
      </c>
      <c r="M2342" s="12">
        <v>46295</v>
      </c>
      <c r="N2342" s="5" t="str">
        <v/>
      </c>
      <c r="O2342" s="5">
        <v>102914</v>
      </c>
      <c r="P2342" s="5">
        <v>20</v>
      </c>
      <c r="Q2342" s="14">
        <v>46301</v>
      </c>
      <c r="R2342" s="15">
        <v>500</v>
      </c>
    </row>
    <row r="2343" spans="2:18" x14ac:dyDescent="0.35">
      <c r="B2343" s="9">
        <v>2252</v>
      </c>
      <c r="C2343" s="9" t="str">
        <v>출고재고</v>
      </c>
      <c r="D2343" s="9" t="str">
        <v/>
      </c>
      <c r="E2343" s="9" t="str">
        <v/>
      </c>
      <c r="F2343" s="9" t="str">
        <v/>
      </c>
      <c r="G2343" s="9" t="str">
        <v/>
      </c>
      <c r="H2343" s="9" t="str">
        <v>RA-03V-2285</v>
      </c>
      <c r="I2343" s="11" t="str">
        <v>RA-03V-2285]BRK CABLE GUIDE CLMN (A+)</v>
      </c>
      <c r="J2343" s="9">
        <v>566</v>
      </c>
      <c r="K2343" s="9" t="str">
        <v/>
      </c>
      <c r="L2343" s="9" t="str">
        <v>B2-1</v>
      </c>
      <c r="M2343" s="12">
        <v>46295</v>
      </c>
      <c r="N2343" s="5" t="str">
        <v/>
      </c>
      <c r="O2343" s="5">
        <v>102914</v>
      </c>
      <c r="P2343" s="5">
        <v>40</v>
      </c>
      <c r="Q2343" s="14">
        <v>46301</v>
      </c>
      <c r="R2343" s="15">
        <v>526</v>
      </c>
    </row>
    <row r="2344" spans="2:18" x14ac:dyDescent="0.35">
      <c r="B2344" s="9">
        <v>2251</v>
      </c>
      <c r="C2344" s="9" t="str">
        <v>출고재고</v>
      </c>
      <c r="D2344" s="9" t="str">
        <v/>
      </c>
      <c r="E2344" s="9" t="str">
        <v/>
      </c>
      <c r="F2344" s="9" t="str">
        <v/>
      </c>
      <c r="G2344" s="9" t="str">
        <v/>
      </c>
      <c r="H2344" s="9" t="str">
        <v>RA-03M-2068</v>
      </c>
      <c r="I2344" s="11" t="str">
        <v>RA-03M-2068]BRK CLMN REAR CAS LWR (A+)</v>
      </c>
      <c r="J2344" s="9">
        <v>666</v>
      </c>
      <c r="K2344" s="9" t="str">
        <v/>
      </c>
      <c r="L2344" s="9" t="str">
        <v>B4-3</v>
      </c>
      <c r="M2344" s="12">
        <v>46295</v>
      </c>
      <c r="N2344" s="5" t="str">
        <v/>
      </c>
      <c r="O2344" s="5">
        <v>102914</v>
      </c>
      <c r="P2344" s="5">
        <v>20</v>
      </c>
      <c r="Q2344" s="14">
        <v>46301</v>
      </c>
      <c r="R2344" s="15">
        <v>646</v>
      </c>
    </row>
    <row r="2345" spans="2:18" x14ac:dyDescent="0.35">
      <c r="B2345" s="9">
        <v>2253</v>
      </c>
      <c r="C2345" s="9" t="str">
        <v>출고재고</v>
      </c>
      <c r="D2345" s="9" t="str">
        <v/>
      </c>
      <c r="E2345" s="9" t="str">
        <v/>
      </c>
      <c r="F2345" s="9" t="str">
        <v/>
      </c>
      <c r="G2345" s="9" t="str">
        <v/>
      </c>
      <c r="H2345" s="9" t="str">
        <v>RA-03M-0063</v>
      </c>
      <c r="I2345" s="11" t="str">
        <v>RA-03M-0063]GUIDE PIN 2</v>
      </c>
      <c r="J2345" s="9">
        <v>682</v>
      </c>
      <c r="K2345" s="9" t="str">
        <v/>
      </c>
      <c r="L2345" s="9" t="str">
        <v>B1-2</v>
      </c>
      <c r="M2345" s="12">
        <v>46295</v>
      </c>
      <c r="N2345" s="5" t="str">
        <v/>
      </c>
      <c r="O2345" s="5">
        <v>102914</v>
      </c>
      <c r="P2345" s="5">
        <v>40</v>
      </c>
      <c r="Q2345" s="14">
        <v>46301</v>
      </c>
      <c r="R2345" s="15">
        <v>642</v>
      </c>
    </row>
    <row r="2346" spans="2:18" x14ac:dyDescent="0.35">
      <c r="B2346" s="9">
        <v>1897</v>
      </c>
      <c r="C2346" s="9" t="str">
        <v>출고재고</v>
      </c>
      <c r="D2346" s="9" t="str">
        <v/>
      </c>
      <c r="E2346" s="9" t="str">
        <v/>
      </c>
      <c r="F2346" s="9" t="str">
        <v/>
      </c>
      <c r="G2346" s="9" t="str">
        <v/>
      </c>
      <c r="H2346" s="9" t="str">
        <v>RA-05A-6004</v>
      </c>
      <c r="I2346" s="11" t="str">
        <v>RA-05A-6004]Bd ASSY'-Aux MCU</v>
      </c>
      <c r="J2346" s="9">
        <v>6</v>
      </c>
      <c r="K2346" s="9" t="str">
        <v/>
      </c>
      <c r="L2346" s="9" t="str">
        <v>A2-2</v>
      </c>
      <c r="M2346" s="12">
        <v>46295</v>
      </c>
      <c r="N2346" s="5" t="str">
        <v/>
      </c>
      <c r="O2346" s="5">
        <v>102915</v>
      </c>
      <c r="P2346" s="5">
        <v>6</v>
      </c>
      <c r="Q2346" s="14">
        <v>46303</v>
      </c>
      <c r="R2346" s="15">
        <v>0</v>
      </c>
    </row>
    <row r="2347" spans="2:18" x14ac:dyDescent="0.35">
      <c r="B2347" s="9">
        <v>1572</v>
      </c>
      <c r="C2347" s="9" t="str">
        <v>출고재고</v>
      </c>
      <c r="D2347" s="9" t="str">
        <v/>
      </c>
      <c r="E2347" s="9" t="str">
        <v>입고</v>
      </c>
      <c r="F2347" s="9" t="str">
        <v>A&amp;T</v>
      </c>
      <c r="G2347" s="9" t="str">
        <v>조영우</v>
      </c>
      <c r="H2347" s="9" t="str">
        <v>RA-02A-2740</v>
      </c>
      <c r="I2347" s="11" t="str">
        <v>RA-02A-2740]ASM VERT TOTAL (A+) (VN)</v>
      </c>
      <c r="J2347" s="9">
        <v>15</v>
      </c>
      <c r="K2347" s="9" t="str">
        <v/>
      </c>
      <c r="L2347" s="9" t="str">
        <v>P</v>
      </c>
      <c r="M2347" s="12">
        <v>46294</v>
      </c>
      <c r="N2347" s="5" t="str">
        <v/>
      </c>
      <c r="O2347" s="5">
        <v>102915</v>
      </c>
      <c r="P2347" s="5">
        <v>15</v>
      </c>
      <c r="Q2347" s="14">
        <v>46303</v>
      </c>
      <c r="R2347" s="15">
        <v>0</v>
      </c>
    </row>
    <row r="2348" spans="2:18" x14ac:dyDescent="0.35">
      <c r="B2348" s="9">
        <v>2493</v>
      </c>
      <c r="C2348" s="9" t="str">
        <v>출고재고</v>
      </c>
      <c r="D2348" s="9" t="str">
        <v/>
      </c>
      <c r="E2348" s="9" t="str">
        <v>기초추가</v>
      </c>
      <c r="F2348" s="9" t="str">
        <v/>
      </c>
      <c r="G2348" s="9" t="str">
        <v/>
      </c>
      <c r="H2348" s="9" t="str">
        <v>RA-05V-0501</v>
      </c>
      <c r="I2348" s="11" t="str">
        <v>RA-05V-0501]BRK ROT CAS-A</v>
      </c>
      <c r="J2348" s="9">
        <v>21</v>
      </c>
      <c r="K2348" s="9" t="str">
        <v/>
      </c>
      <c r="L2348" s="9" t="str">
        <v>W</v>
      </c>
      <c r="M2348" s="12">
        <v>46303</v>
      </c>
      <c r="N2348" s="5" t="str">
        <v/>
      </c>
      <c r="O2348" s="5">
        <v>102915</v>
      </c>
      <c r="P2348" s="5">
        <v>21</v>
      </c>
      <c r="Q2348" s="14">
        <v>46303</v>
      </c>
      <c r="R2348" s="15">
        <v>0</v>
      </c>
    </row>
    <row r="2349" spans="2:18" x14ac:dyDescent="0.35">
      <c r="B2349" s="9">
        <v>2023</v>
      </c>
      <c r="C2349" s="9" t="str">
        <v>출고재고</v>
      </c>
      <c r="D2349" s="9" t="str">
        <v/>
      </c>
      <c r="E2349" s="9" t="str">
        <v>입고</v>
      </c>
      <c r="F2349" s="9" t="str">
        <v>대영하네스</v>
      </c>
      <c r="G2349" s="9" t="str">
        <v>유영국</v>
      </c>
      <c r="H2349" s="9" t="str">
        <v>RA-10-2</v>
      </c>
      <c r="I2349" s="11" t="str">
        <v>RA-10-2]PRIME CABLE ASS’Y</v>
      </c>
      <c r="J2349" s="9">
        <v>120</v>
      </c>
      <c r="K2349" s="9" t="str">
        <v/>
      </c>
      <c r="L2349" s="9" t="str">
        <v>G4</v>
      </c>
      <c r="M2349" s="12">
        <v>46296</v>
      </c>
      <c r="N2349" s="5" t="str">
        <v/>
      </c>
      <c r="O2349" s="5">
        <v>102915</v>
      </c>
      <c r="P2349" s="5">
        <v>20</v>
      </c>
      <c r="Q2349" s="14">
        <v>46303</v>
      </c>
      <c r="R2349" s="15">
        <v>100</v>
      </c>
    </row>
    <row r="2350" spans="2:18" x14ac:dyDescent="0.35">
      <c r="B2350" s="9">
        <v>2121</v>
      </c>
      <c r="C2350" s="9" t="str">
        <v>출고재고</v>
      </c>
      <c r="D2350" s="9" t="str">
        <v/>
      </c>
      <c r="E2350" s="9" t="str">
        <v/>
      </c>
      <c r="F2350" s="9" t="str">
        <v/>
      </c>
      <c r="G2350" s="9" t="str">
        <v/>
      </c>
      <c r="H2350" s="9" t="str">
        <v>RA-05V-0513</v>
      </c>
      <c r="I2350" s="11" t="str">
        <v>RA-05V-0513]BRK LED PCB</v>
      </c>
      <c r="J2350" s="9">
        <v>185</v>
      </c>
      <c r="K2350" s="9" t="str">
        <v/>
      </c>
      <c r="L2350" s="9" t="str">
        <v>J4-2</v>
      </c>
      <c r="M2350" s="12">
        <v>46282</v>
      </c>
      <c r="N2350" s="5" t="str">
        <v/>
      </c>
      <c r="O2350" s="5">
        <v>102915</v>
      </c>
      <c r="P2350" s="5">
        <v>20</v>
      </c>
      <c r="Q2350" s="14">
        <v>46303</v>
      </c>
      <c r="R2350" s="15">
        <v>165</v>
      </c>
    </row>
    <row r="2351" spans="2:18" x14ac:dyDescent="0.35">
      <c r="B2351" s="9">
        <v>1575</v>
      </c>
      <c r="C2351" s="9" t="str">
        <v>출고재고</v>
      </c>
      <c r="D2351" s="9" t="str">
        <v/>
      </c>
      <c r="E2351" s="9" t="str">
        <v/>
      </c>
      <c r="F2351" s="9" t="str">
        <v/>
      </c>
      <c r="G2351" s="9" t="str">
        <v/>
      </c>
      <c r="H2351" s="9" t="str">
        <v>RA-05A-6004</v>
      </c>
      <c r="I2351" s="11" t="str">
        <v>RA-05A-6004]Bd ASSY'-Aux MCU</v>
      </c>
      <c r="J2351" s="9">
        <v>206</v>
      </c>
      <c r="K2351" s="9" t="str">
        <v/>
      </c>
      <c r="L2351" s="9" t="str">
        <v>A2-2</v>
      </c>
      <c r="M2351" s="12">
        <v>46282</v>
      </c>
      <c r="N2351" s="5" t="str">
        <v/>
      </c>
      <c r="O2351" s="5">
        <v>102915</v>
      </c>
      <c r="P2351" s="5">
        <v>14</v>
      </c>
      <c r="Q2351" s="14">
        <v>46303</v>
      </c>
      <c r="R2351" s="15">
        <v>192</v>
      </c>
    </row>
    <row r="2352" spans="2:18" x14ac:dyDescent="0.35">
      <c r="B2352" s="9">
        <v>1634</v>
      </c>
      <c r="C2352" s="9" t="str">
        <v>출고재고</v>
      </c>
      <c r="D2352" s="9" t="str">
        <v/>
      </c>
      <c r="E2352" s="9" t="str">
        <v/>
      </c>
      <c r="F2352" s="9" t="str">
        <v/>
      </c>
      <c r="G2352" s="9" t="str">
        <v/>
      </c>
      <c r="H2352" s="9" t="str">
        <v>RA-11-34</v>
      </c>
      <c r="I2352" s="11" t="str">
        <v>RA-11-34_2]SUB MOT DET(V)</v>
      </c>
      <c r="J2352" s="9">
        <v>302</v>
      </c>
      <c r="K2352" s="9" t="str">
        <v/>
      </c>
      <c r="L2352" s="9" t="str">
        <v>G3-6</v>
      </c>
      <c r="M2352" s="12">
        <v>46280</v>
      </c>
      <c r="N2352" s="5" t="str">
        <v/>
      </c>
      <c r="O2352" s="5">
        <v>102915</v>
      </c>
      <c r="P2352" s="5">
        <v>20</v>
      </c>
      <c r="Q2352" s="14">
        <v>46303</v>
      </c>
      <c r="R2352" s="15">
        <v>282</v>
      </c>
    </row>
    <row r="2353" spans="2:18" x14ac:dyDescent="0.35">
      <c r="B2353" s="9">
        <v>2193</v>
      </c>
      <c r="C2353" s="9" t="str">
        <v>출고재고</v>
      </c>
      <c r="D2353" s="9" t="str">
        <v/>
      </c>
      <c r="E2353" s="9" t="str">
        <v/>
      </c>
      <c r="F2353" s="9" t="str">
        <v/>
      </c>
      <c r="G2353" s="9" t="str">
        <v/>
      </c>
      <c r="H2353" s="9" t="str">
        <v>RA-1-11</v>
      </c>
      <c r="I2353" s="11" t="str">
        <v>RA-1-11]DC POWER HUB</v>
      </c>
      <c r="J2353" s="9">
        <v>3</v>
      </c>
      <c r="K2353" s="9" t="str">
        <v/>
      </c>
      <c r="L2353" s="9" t="str">
        <v>G3-1</v>
      </c>
      <c r="M2353" s="12">
        <v>46294</v>
      </c>
      <c r="N2353" s="5" t="str">
        <v/>
      </c>
      <c r="O2353" s="5">
        <v>102916</v>
      </c>
      <c r="P2353" s="5">
        <v>3</v>
      </c>
      <c r="Q2353" s="14">
        <v>46302</v>
      </c>
      <c r="R2353" s="15">
        <v>0</v>
      </c>
    </row>
    <row r="2354" spans="2:18" x14ac:dyDescent="0.35">
      <c r="B2354" s="9">
        <v>2201</v>
      </c>
      <c r="C2354" s="9" t="str">
        <v>출고재고</v>
      </c>
      <c r="D2354" s="9" t="str">
        <v/>
      </c>
      <c r="E2354" s="9" t="str">
        <v/>
      </c>
      <c r="F2354" s="9" t="str">
        <v/>
      </c>
      <c r="G2354" s="9" t="str">
        <v/>
      </c>
      <c r="H2354" s="9" t="str">
        <v>RA-02M-0395</v>
      </c>
      <c r="I2354" s="11" t="str">
        <v>RA-02M-0395]PIN VERT POSITION</v>
      </c>
      <c r="J2354" s="9">
        <v>6</v>
      </c>
      <c r="K2354" s="9" t="str">
        <v/>
      </c>
      <c r="L2354" s="9" t="str">
        <v>C3-1</v>
      </c>
      <c r="M2354" s="12">
        <v>46294</v>
      </c>
      <c r="N2354" s="5" t="str">
        <v/>
      </c>
      <c r="O2354" s="5">
        <v>102916</v>
      </c>
      <c r="P2354" s="5">
        <v>6</v>
      </c>
      <c r="Q2354" s="14">
        <v>46302</v>
      </c>
      <c r="R2354" s="15">
        <v>0</v>
      </c>
    </row>
    <row r="2355" spans="2:18" x14ac:dyDescent="0.35">
      <c r="B2355" s="9">
        <v>2182</v>
      </c>
      <c r="C2355" s="9" t="str">
        <v>출고재고</v>
      </c>
      <c r="D2355" s="9" t="str">
        <v/>
      </c>
      <c r="E2355" s="9" t="str">
        <v/>
      </c>
      <c r="F2355" s="9" t="str">
        <v/>
      </c>
      <c r="G2355" s="9" t="str">
        <v/>
      </c>
      <c r="H2355" s="9" t="str">
        <v>RA-05V-2654</v>
      </c>
      <c r="I2355" s="11" t="str">
        <v>RA-05V-2654]BRK CAS ROT BOT</v>
      </c>
      <c r="J2355" s="9">
        <v>9</v>
      </c>
      <c r="K2355" s="9" t="str">
        <v/>
      </c>
      <c r="L2355" s="9" t="str">
        <v>J4-2</v>
      </c>
      <c r="M2355" s="12">
        <v>46294</v>
      </c>
      <c r="N2355" s="5" t="str">
        <v/>
      </c>
      <c r="O2355" s="5">
        <v>102916</v>
      </c>
      <c r="P2355" s="5">
        <v>9</v>
      </c>
      <c r="Q2355" s="14">
        <v>46302</v>
      </c>
      <c r="R2355" s="15">
        <v>0</v>
      </c>
    </row>
    <row r="2356" spans="2:18" x14ac:dyDescent="0.35">
      <c r="B2356" s="9">
        <v>2195</v>
      </c>
      <c r="C2356" s="9" t="str">
        <v>출고재고</v>
      </c>
      <c r="D2356" s="9" t="str">
        <v/>
      </c>
      <c r="E2356" s="9" t="str">
        <v/>
      </c>
      <c r="F2356" s="9" t="str">
        <v/>
      </c>
      <c r="G2356" s="9" t="str">
        <v/>
      </c>
      <c r="H2356" s="9" t="str">
        <v>RA-1-5</v>
      </c>
      <c r="I2356" s="11" t="str">
        <v>RA-1-5]AC POWER SMPS-1</v>
      </c>
      <c r="J2356" s="9">
        <v>10</v>
      </c>
      <c r="K2356" s="9" t="str">
        <v/>
      </c>
      <c r="L2356" s="9" t="str">
        <v>G3-1</v>
      </c>
      <c r="M2356" s="12">
        <v>46294</v>
      </c>
      <c r="N2356" s="5" t="str">
        <v/>
      </c>
      <c r="O2356" s="5">
        <v>102916</v>
      </c>
      <c r="P2356" s="5">
        <v>10</v>
      </c>
      <c r="Q2356" s="14">
        <v>46302</v>
      </c>
      <c r="R2356" s="15">
        <v>0</v>
      </c>
    </row>
    <row r="2357" spans="2:18" x14ac:dyDescent="0.35">
      <c r="B2357" s="9">
        <v>2178</v>
      </c>
      <c r="C2357" s="9" t="str">
        <v>출고재고</v>
      </c>
      <c r="D2357" s="9" t="str">
        <v/>
      </c>
      <c r="E2357" s="9" t="str">
        <v/>
      </c>
      <c r="F2357" s="9" t="str">
        <v/>
      </c>
      <c r="G2357" s="9" t="str">
        <v/>
      </c>
      <c r="H2357" s="9" t="str">
        <v>RA-11-9</v>
      </c>
      <c r="I2357" s="11" t="str">
        <v>RA-11-9]DC POWER MOT-A</v>
      </c>
      <c r="J2357" s="9">
        <v>42</v>
      </c>
      <c r="K2357" s="9" t="str">
        <v/>
      </c>
      <c r="L2357" s="9" t="str">
        <v>G4</v>
      </c>
      <c r="M2357" s="12">
        <v>46294</v>
      </c>
      <c r="N2357" s="5" t="str">
        <v/>
      </c>
      <c r="O2357" s="5">
        <v>102916</v>
      </c>
      <c r="P2357" s="5">
        <v>20</v>
      </c>
      <c r="Q2357" s="14">
        <v>46302</v>
      </c>
      <c r="R2357" s="15">
        <v>22</v>
      </c>
    </row>
    <row r="2358" spans="2:18" x14ac:dyDescent="0.35">
      <c r="B2358" s="9">
        <v>2202</v>
      </c>
      <c r="C2358" s="9" t="str">
        <v>출고재고</v>
      </c>
      <c r="D2358" s="9" t="str">
        <v/>
      </c>
      <c r="E2358" s="9" t="str">
        <v/>
      </c>
      <c r="F2358" s="9" t="str">
        <v/>
      </c>
      <c r="G2358" s="9" t="str">
        <v/>
      </c>
      <c r="H2358" s="9" t="str">
        <v>RA-07M-2786</v>
      </c>
      <c r="I2358" s="11" t="str">
        <v>RA-07M-2786]PLT DET SNSR (IR)</v>
      </c>
      <c r="J2358" s="9">
        <v>50</v>
      </c>
      <c r="K2358" s="9" t="str">
        <v/>
      </c>
      <c r="L2358" s="9" t="str">
        <v>J2-2</v>
      </c>
      <c r="M2358" s="12">
        <v>46294</v>
      </c>
      <c r="N2358" s="5" t="str">
        <v/>
      </c>
      <c r="O2358" s="5">
        <v>102916</v>
      </c>
      <c r="P2358" s="5">
        <v>40</v>
      </c>
      <c r="Q2358" s="14">
        <v>46302</v>
      </c>
      <c r="R2358" s="15">
        <v>10</v>
      </c>
    </row>
    <row r="2359" spans="2:18" x14ac:dyDescent="0.35">
      <c r="B2359" s="9">
        <v>2186</v>
      </c>
      <c r="C2359" s="9" t="str">
        <v>출고재고</v>
      </c>
      <c r="D2359" s="9" t="str">
        <v/>
      </c>
      <c r="E2359" s="9" t="str">
        <v/>
      </c>
      <c r="F2359" s="9" t="str">
        <v/>
      </c>
      <c r="G2359" s="9" t="str">
        <v/>
      </c>
      <c r="H2359" s="9" t="str">
        <v>RA-7-5</v>
      </c>
      <c r="I2359" s="11" t="str">
        <v>RA-7-5]LAN THU</v>
      </c>
      <c r="J2359" s="9">
        <v>66</v>
      </c>
      <c r="K2359" s="9" t="str">
        <v/>
      </c>
      <c r="L2359" s="9" t="str">
        <v>G2-2</v>
      </c>
      <c r="M2359" s="12">
        <v>46294</v>
      </c>
      <c r="N2359" s="5" t="str">
        <v/>
      </c>
      <c r="O2359" s="5">
        <v>102916</v>
      </c>
      <c r="P2359" s="5">
        <v>20</v>
      </c>
      <c r="Q2359" s="14">
        <v>46302</v>
      </c>
      <c r="R2359" s="15">
        <v>46</v>
      </c>
    </row>
    <row r="2360" spans="2:18" x14ac:dyDescent="0.35">
      <c r="B2360" s="9">
        <v>2187</v>
      </c>
      <c r="C2360" s="9" t="str">
        <v>출고재고</v>
      </c>
      <c r="D2360" s="9" t="str">
        <v/>
      </c>
      <c r="E2360" s="9" t="str">
        <v/>
      </c>
      <c r="F2360" s="9" t="str">
        <v/>
      </c>
      <c r="G2360" s="9" t="str">
        <v/>
      </c>
      <c r="H2360" s="9" t="str">
        <v>RA-04V-1109</v>
      </c>
      <c r="I2360" s="11" t="str">
        <v>RA-04V-1109]BRK ARM RIGID L</v>
      </c>
      <c r="J2360" s="9">
        <v>70</v>
      </c>
      <c r="K2360" s="9" t="str">
        <v/>
      </c>
      <c r="L2360" s="9" t="str">
        <v>B1-6</v>
      </c>
      <c r="M2360" s="12">
        <v>46294</v>
      </c>
      <c r="N2360" s="5" t="str">
        <v/>
      </c>
      <c r="O2360" s="5">
        <v>102916</v>
      </c>
      <c r="P2360" s="5">
        <v>20</v>
      </c>
      <c r="Q2360" s="14">
        <v>46302</v>
      </c>
      <c r="R2360" s="15">
        <v>50</v>
      </c>
    </row>
    <row r="2361" spans="2:18" x14ac:dyDescent="0.35">
      <c r="B2361" s="9">
        <v>2188</v>
      </c>
      <c r="C2361" s="9" t="str">
        <v>출고재고</v>
      </c>
      <c r="D2361" s="9" t="str">
        <v/>
      </c>
      <c r="E2361" s="9" t="str">
        <v/>
      </c>
      <c r="F2361" s="9" t="str">
        <v/>
      </c>
      <c r="G2361" s="9" t="str">
        <v/>
      </c>
      <c r="H2361" s="9" t="str">
        <v>RA-04V-1108</v>
      </c>
      <c r="I2361" s="11" t="str">
        <v>RA-04V-1108]BRK ARM RIGID R</v>
      </c>
      <c r="J2361" s="9">
        <v>70</v>
      </c>
      <c r="K2361" s="9" t="str">
        <v/>
      </c>
      <c r="L2361" s="9" t="str">
        <v>B1-6</v>
      </c>
      <c r="M2361" s="12">
        <v>46294</v>
      </c>
      <c r="N2361" s="5" t="str">
        <v/>
      </c>
      <c r="O2361" s="5">
        <v>102916</v>
      </c>
      <c r="P2361" s="5">
        <v>20</v>
      </c>
      <c r="Q2361" s="14">
        <v>46302</v>
      </c>
      <c r="R2361" s="15">
        <v>50</v>
      </c>
    </row>
    <row r="2362" spans="2:18" x14ac:dyDescent="0.35">
      <c r="B2362" s="9">
        <v>2180</v>
      </c>
      <c r="C2362" s="9" t="str">
        <v>출고재고</v>
      </c>
      <c r="D2362" s="9" t="str">
        <v/>
      </c>
      <c r="E2362" s="9" t="str">
        <v/>
      </c>
      <c r="F2362" s="9" t="str">
        <v/>
      </c>
      <c r="G2362" s="9" t="str">
        <v/>
      </c>
      <c r="H2362" s="9" t="str">
        <v>RA-3-5</v>
      </c>
      <c r="I2362" s="11" t="str">
        <v>RA-3-5]INDICATOR</v>
      </c>
      <c r="J2362" s="9">
        <v>75</v>
      </c>
      <c r="K2362" s="9" t="str">
        <v/>
      </c>
      <c r="L2362" s="9" t="str">
        <v>G1-1</v>
      </c>
      <c r="M2362" s="12">
        <v>46294</v>
      </c>
      <c r="N2362" s="5" t="str">
        <v/>
      </c>
      <c r="O2362" s="5">
        <v>102916</v>
      </c>
      <c r="P2362" s="5">
        <v>20</v>
      </c>
      <c r="Q2362" s="14">
        <v>46302</v>
      </c>
      <c r="R2362" s="15">
        <v>55</v>
      </c>
    </row>
    <row r="2363" spans="2:18" x14ac:dyDescent="0.35">
      <c r="B2363" s="9">
        <v>2194</v>
      </c>
      <c r="C2363" s="9" t="str">
        <v>출고재고</v>
      </c>
      <c r="D2363" s="9" t="str">
        <v/>
      </c>
      <c r="E2363" s="9" t="str">
        <v/>
      </c>
      <c r="F2363" s="9" t="str">
        <v/>
      </c>
      <c r="G2363" s="9" t="str">
        <v/>
      </c>
      <c r="H2363" s="9" t="str">
        <v>RA-9-8</v>
      </c>
      <c r="I2363" s="11" t="str">
        <v>RA-9-8]SERIAL POWER LS 1</v>
      </c>
      <c r="J2363" s="9">
        <v>84</v>
      </c>
      <c r="K2363" s="9" t="str">
        <v/>
      </c>
      <c r="L2363" s="9" t="str">
        <v>G1-3</v>
      </c>
      <c r="M2363" s="12">
        <v>46294</v>
      </c>
      <c r="N2363" s="5" t="str">
        <v/>
      </c>
      <c r="O2363" s="5">
        <v>102916</v>
      </c>
      <c r="P2363" s="5">
        <v>20</v>
      </c>
      <c r="Q2363" s="14">
        <v>46302</v>
      </c>
      <c r="R2363" s="15">
        <v>64</v>
      </c>
    </row>
    <row r="2364" spans="2:18" x14ac:dyDescent="0.35">
      <c r="B2364" s="9">
        <v>2200</v>
      </c>
      <c r="C2364" s="9" t="str">
        <v>출고재고</v>
      </c>
      <c r="D2364" s="9" t="str">
        <v/>
      </c>
      <c r="E2364" s="9" t="str">
        <v/>
      </c>
      <c r="F2364" s="9" t="str">
        <v/>
      </c>
      <c r="G2364" s="9" t="str">
        <v/>
      </c>
      <c r="H2364" s="9" t="str">
        <v>RA-06A-5004</v>
      </c>
      <c r="I2364" s="11" t="str">
        <v>RA-06A-5004]Bd ASSY'-Indicator Bd</v>
      </c>
      <c r="J2364" s="9">
        <v>96</v>
      </c>
      <c r="K2364" s="9" t="str">
        <v/>
      </c>
      <c r="L2364" s="9" t="str">
        <v>A1-5</v>
      </c>
      <c r="M2364" s="12">
        <v>46294</v>
      </c>
      <c r="N2364" s="5" t="str">
        <v/>
      </c>
      <c r="O2364" s="5">
        <v>102916</v>
      </c>
      <c r="P2364" s="5">
        <v>40</v>
      </c>
      <c r="Q2364" s="14">
        <v>46302</v>
      </c>
      <c r="R2364" s="15">
        <v>56</v>
      </c>
    </row>
    <row r="2365" spans="2:18" x14ac:dyDescent="0.35">
      <c r="B2365" s="9">
        <v>2105</v>
      </c>
      <c r="C2365" s="9" t="str">
        <v>출고재고</v>
      </c>
      <c r="D2365" s="9" t="str">
        <v/>
      </c>
      <c r="E2365" s="9" t="str">
        <v/>
      </c>
      <c r="F2365" s="9" t="str">
        <v/>
      </c>
      <c r="G2365" s="9" t="str">
        <v/>
      </c>
      <c r="H2365" s="9" t="str">
        <v>RA-02T-0045</v>
      </c>
      <c r="I2365" s="11" t="str">
        <v>RA-02T-0045]CAS VERT SUB BOT</v>
      </c>
      <c r="J2365" s="9">
        <v>100</v>
      </c>
      <c r="K2365" s="9" t="str">
        <v/>
      </c>
      <c r="L2365" s="9" t="str">
        <v>S</v>
      </c>
      <c r="M2365" s="12">
        <v>46283</v>
      </c>
      <c r="N2365" s="5" t="str">
        <v/>
      </c>
      <c r="O2365" s="5">
        <v>102916</v>
      </c>
      <c r="P2365" s="5">
        <v>20</v>
      </c>
      <c r="Q2365" s="14">
        <v>46302</v>
      </c>
      <c r="R2365" s="15">
        <v>80</v>
      </c>
    </row>
    <row r="2366" spans="2:18" x14ac:dyDescent="0.35">
      <c r="B2366" s="9">
        <v>2181</v>
      </c>
      <c r="C2366" s="9" t="str">
        <v>출고재고</v>
      </c>
      <c r="D2366" s="9" t="str">
        <v/>
      </c>
      <c r="E2366" s="9" t="str">
        <v/>
      </c>
      <c r="F2366" s="9" t="str">
        <v/>
      </c>
      <c r="G2366" s="9" t="str">
        <v/>
      </c>
      <c r="H2366" s="9" t="str">
        <v>RA-05T-0210</v>
      </c>
      <c r="I2366" s="11" t="str">
        <v>RA-05T-0210]CAS ROT TOP SUB</v>
      </c>
      <c r="J2366" s="9">
        <v>103</v>
      </c>
      <c r="K2366" s="9" t="str">
        <v/>
      </c>
      <c r="L2366" s="9" t="str">
        <v>S</v>
      </c>
      <c r="M2366" s="12">
        <v>46294</v>
      </c>
      <c r="N2366" s="5" t="str">
        <v/>
      </c>
      <c r="O2366" s="5">
        <v>102916</v>
      </c>
      <c r="P2366" s="5">
        <v>20</v>
      </c>
      <c r="Q2366" s="14">
        <v>46302</v>
      </c>
      <c r="R2366" s="15">
        <v>83</v>
      </c>
    </row>
    <row r="2367" spans="2:18" x14ac:dyDescent="0.35">
      <c r="B2367" s="9">
        <v>2196</v>
      </c>
      <c r="C2367" s="9" t="str">
        <v>출고재고</v>
      </c>
      <c r="D2367" s="9" t="str">
        <v/>
      </c>
      <c r="E2367" s="9" t="str">
        <v/>
      </c>
      <c r="F2367" s="9" t="str">
        <v/>
      </c>
      <c r="G2367" s="9" t="str">
        <v/>
      </c>
      <c r="H2367" s="9" t="str">
        <v>RA-3-3A</v>
      </c>
      <c r="I2367" s="11" t="str">
        <v>RA-3-3A]DCM CONTROL-A</v>
      </c>
      <c r="J2367" s="9">
        <v>147</v>
      </c>
      <c r="K2367" s="9" t="str">
        <v/>
      </c>
      <c r="L2367" s="9" t="str">
        <v>G4</v>
      </c>
      <c r="M2367" s="12">
        <v>46294</v>
      </c>
      <c r="N2367" s="5" t="str">
        <v/>
      </c>
      <c r="O2367" s="5">
        <v>102916</v>
      </c>
      <c r="P2367" s="5">
        <v>20</v>
      </c>
      <c r="Q2367" s="14">
        <v>46302</v>
      </c>
      <c r="R2367" s="15">
        <v>127</v>
      </c>
    </row>
    <row r="2368" spans="2:18" x14ac:dyDescent="0.35">
      <c r="B2368" s="9">
        <v>2190</v>
      </c>
      <c r="C2368" s="9" t="str">
        <v>출고재고</v>
      </c>
      <c r="D2368" s="9" t="str">
        <v/>
      </c>
      <c r="E2368" s="9" t="str">
        <v/>
      </c>
      <c r="F2368" s="9" t="str">
        <v/>
      </c>
      <c r="G2368" s="9" t="str">
        <v/>
      </c>
      <c r="H2368" s="9" t="str">
        <v>RA-1-12</v>
      </c>
      <c r="I2368" s="11" t="str">
        <v>RA-1-12]DC POWER SMPS CONN</v>
      </c>
      <c r="J2368" s="9">
        <v>150</v>
      </c>
      <c r="K2368" s="9" t="str">
        <v/>
      </c>
      <c r="L2368" s="9" t="str">
        <v>G2-1</v>
      </c>
      <c r="M2368" s="12">
        <v>46294</v>
      </c>
      <c r="N2368" s="5" t="str">
        <v/>
      </c>
      <c r="O2368" s="5">
        <v>102916</v>
      </c>
      <c r="P2368" s="5">
        <v>20</v>
      </c>
      <c r="Q2368" s="14">
        <v>46302</v>
      </c>
      <c r="R2368" s="15">
        <v>130</v>
      </c>
    </row>
    <row r="2369" spans="2:18" x14ac:dyDescent="0.35">
      <c r="B2369" s="9">
        <v>2192</v>
      </c>
      <c r="C2369" s="9" t="str">
        <v>출고재고</v>
      </c>
      <c r="D2369" s="9" t="str">
        <v/>
      </c>
      <c r="E2369" s="9" t="str">
        <v/>
      </c>
      <c r="F2369" s="9" t="str">
        <v/>
      </c>
      <c r="G2369" s="9" t="str">
        <v/>
      </c>
      <c r="H2369" s="9" t="str">
        <v>RA-2-9</v>
      </c>
      <c r="I2369" s="11" t="str">
        <v>RA-2-9]ACT 2nd LIMIT</v>
      </c>
      <c r="J2369" s="9">
        <v>152</v>
      </c>
      <c r="K2369" s="9" t="str">
        <v/>
      </c>
      <c r="L2369" s="9" t="str">
        <v>G2-1</v>
      </c>
      <c r="M2369" s="12">
        <v>46294</v>
      </c>
      <c r="N2369" s="5" t="str">
        <v/>
      </c>
      <c r="O2369" s="5">
        <v>102916</v>
      </c>
      <c r="P2369" s="5">
        <v>20</v>
      </c>
      <c r="Q2369" s="14">
        <v>46302</v>
      </c>
      <c r="R2369" s="15">
        <v>132</v>
      </c>
    </row>
    <row r="2370" spans="2:18" x14ac:dyDescent="0.35">
      <c r="B2370" s="9">
        <v>2191</v>
      </c>
      <c r="C2370" s="9" t="str">
        <v>출고재고</v>
      </c>
      <c r="D2370" s="9" t="str">
        <v/>
      </c>
      <c r="E2370" s="9" t="str">
        <v/>
      </c>
      <c r="F2370" s="9" t="str">
        <v/>
      </c>
      <c r="G2370" s="9" t="str">
        <v/>
      </c>
      <c r="H2370" s="9" t="str">
        <v>RA-8-4</v>
      </c>
      <c r="I2370" s="11" t="str">
        <v>RA-8-4]AC POWER CEPH</v>
      </c>
      <c r="J2370" s="9">
        <v>155</v>
      </c>
      <c r="K2370" s="9" t="str">
        <v/>
      </c>
      <c r="L2370" s="9" t="str">
        <v>G4</v>
      </c>
      <c r="M2370" s="12">
        <v>46294</v>
      </c>
      <c r="N2370" s="5" t="str">
        <v/>
      </c>
      <c r="O2370" s="5">
        <v>102916</v>
      </c>
      <c r="P2370" s="5">
        <v>20</v>
      </c>
      <c r="Q2370" s="14">
        <v>46302</v>
      </c>
      <c r="R2370" s="15">
        <v>135</v>
      </c>
    </row>
    <row r="2371" spans="2:18" x14ac:dyDescent="0.35">
      <c r="B2371" s="9">
        <v>2197</v>
      </c>
      <c r="C2371" s="9" t="str">
        <v>출고재고</v>
      </c>
      <c r="D2371" s="9" t="str">
        <v/>
      </c>
      <c r="E2371" s="9" t="str">
        <v/>
      </c>
      <c r="F2371" s="9" t="str">
        <v/>
      </c>
      <c r="G2371" s="9" t="str">
        <v/>
      </c>
      <c r="H2371" s="9" t="str">
        <v>RA-5-8</v>
      </c>
      <c r="I2371" s="11" t="str">
        <v>RA-5-8]EARTH CTRL SMPS</v>
      </c>
      <c r="J2371" s="9">
        <v>166</v>
      </c>
      <c r="K2371" s="9" t="str">
        <v/>
      </c>
      <c r="L2371" s="9" t="str">
        <v>G3-2</v>
      </c>
      <c r="M2371" s="12">
        <v>46294</v>
      </c>
      <c r="N2371" s="5" t="str">
        <v/>
      </c>
      <c r="O2371" s="5">
        <v>102916</v>
      </c>
      <c r="P2371" s="5">
        <v>20</v>
      </c>
      <c r="Q2371" s="14">
        <v>46302</v>
      </c>
      <c r="R2371" s="15">
        <v>146</v>
      </c>
    </row>
    <row r="2372" spans="2:18" x14ac:dyDescent="0.35">
      <c r="B2372" s="9">
        <v>2198</v>
      </c>
      <c r="C2372" s="9" t="str">
        <v>출고재고</v>
      </c>
      <c r="D2372" s="9" t="str">
        <v/>
      </c>
      <c r="E2372" s="9" t="str">
        <v/>
      </c>
      <c r="F2372" s="9" t="str">
        <v/>
      </c>
      <c r="G2372" s="9" t="str">
        <v/>
      </c>
      <c r="H2372" s="9" t="str">
        <v>RA-2-4</v>
      </c>
      <c r="I2372" s="11" t="str">
        <v>RA-2-4]SERIAL POWER THU</v>
      </c>
      <c r="J2372" s="9">
        <v>174</v>
      </c>
      <c r="K2372" s="9" t="str">
        <v/>
      </c>
      <c r="L2372" s="9" t="str">
        <v>G2-1</v>
      </c>
      <c r="M2372" s="12">
        <v>46294</v>
      </c>
      <c r="N2372" s="5" t="str">
        <v/>
      </c>
      <c r="O2372" s="5">
        <v>102916</v>
      </c>
      <c r="P2372" s="5">
        <v>20</v>
      </c>
      <c r="Q2372" s="14">
        <v>46302</v>
      </c>
      <c r="R2372" s="15">
        <v>154</v>
      </c>
    </row>
    <row r="2373" spans="2:18" x14ac:dyDescent="0.35">
      <c r="B2373" s="9">
        <v>2184</v>
      </c>
      <c r="C2373" s="9" t="str">
        <v>출고재고</v>
      </c>
      <c r="D2373" s="9" t="str">
        <v/>
      </c>
      <c r="E2373" s="9" t="str">
        <v/>
      </c>
      <c r="F2373" s="9" t="str">
        <v/>
      </c>
      <c r="G2373" s="9" t="str">
        <v/>
      </c>
      <c r="H2373" s="9" t="str">
        <v>RA-05V-0199</v>
      </c>
      <c r="I2373" s="11" t="str">
        <v>RA-05V-0199]BRK PXD-200CT DRV PCB R</v>
      </c>
      <c r="J2373" s="9">
        <v>249</v>
      </c>
      <c r="K2373" s="9" t="str">
        <v/>
      </c>
      <c r="L2373" s="9" t="str">
        <v>H2-2</v>
      </c>
      <c r="M2373" s="12">
        <v>46294</v>
      </c>
      <c r="N2373" s="5" t="str">
        <v/>
      </c>
      <c r="O2373" s="5">
        <v>102916</v>
      </c>
      <c r="P2373" s="5">
        <v>20</v>
      </c>
      <c r="Q2373" s="14">
        <v>46302</v>
      </c>
      <c r="R2373" s="15">
        <v>229</v>
      </c>
    </row>
    <row r="2374" spans="2:18" x14ac:dyDescent="0.35">
      <c r="B2374" s="9">
        <v>2183</v>
      </c>
      <c r="C2374" s="9" t="str">
        <v>출고재고</v>
      </c>
      <c r="D2374" s="9" t="str">
        <v/>
      </c>
      <c r="E2374" s="9" t="str">
        <v/>
      </c>
      <c r="F2374" s="9" t="str">
        <v/>
      </c>
      <c r="G2374" s="9" t="str">
        <v/>
      </c>
      <c r="H2374" s="9" t="str">
        <v>RA-05V-0297</v>
      </c>
      <c r="I2374" s="11" t="str">
        <v>RA-05V-0297]BRK PXD-200CT DRV PCB L</v>
      </c>
      <c r="J2374" s="9">
        <v>254</v>
      </c>
      <c r="K2374" s="9" t="str">
        <v/>
      </c>
      <c r="L2374" s="9" t="str">
        <v>H2-2</v>
      </c>
      <c r="M2374" s="12">
        <v>46294</v>
      </c>
      <c r="N2374" s="5" t="str">
        <v/>
      </c>
      <c r="O2374" s="5">
        <v>102916</v>
      </c>
      <c r="P2374" s="5">
        <v>20</v>
      </c>
      <c r="Q2374" s="14">
        <v>46302</v>
      </c>
      <c r="R2374" s="15">
        <v>234</v>
      </c>
    </row>
    <row r="2375" spans="2:18" x14ac:dyDescent="0.35">
      <c r="B2375" s="9">
        <v>2185</v>
      </c>
      <c r="C2375" s="9" t="str">
        <v>출고재고</v>
      </c>
      <c r="D2375" s="9" t="str">
        <v/>
      </c>
      <c r="E2375" s="9" t="str">
        <v/>
      </c>
      <c r="F2375" s="9" t="str">
        <v/>
      </c>
      <c r="G2375" s="9" t="str">
        <v/>
      </c>
      <c r="H2375" s="9" t="str">
        <v>RA-5-10</v>
      </c>
      <c r="I2375" s="11" t="str">
        <v>RA-5-10]EARTH MOT SMPS(RPS)</v>
      </c>
      <c r="J2375" s="9">
        <v>275</v>
      </c>
      <c r="K2375" s="9" t="str">
        <v/>
      </c>
      <c r="L2375" s="9" t="str">
        <v>G3-2</v>
      </c>
      <c r="M2375" s="12">
        <v>46294</v>
      </c>
      <c r="N2375" s="5" t="str">
        <v/>
      </c>
      <c r="O2375" s="5">
        <v>102916</v>
      </c>
      <c r="P2375" s="5">
        <v>20</v>
      </c>
      <c r="Q2375" s="14">
        <v>46302</v>
      </c>
      <c r="R2375" s="15">
        <v>255</v>
      </c>
    </row>
    <row r="2376" spans="2:18" x14ac:dyDescent="0.35">
      <c r="B2376" s="9">
        <v>2020</v>
      </c>
      <c r="C2376" s="9" t="str">
        <v>출고재고</v>
      </c>
      <c r="D2376" s="9" t="str">
        <v/>
      </c>
      <c r="E2376" s="9" t="str">
        <v>입고</v>
      </c>
      <c r="F2376" s="9" t="str">
        <v>대영하네스</v>
      </c>
      <c r="G2376" s="9" t="str">
        <v>유영국</v>
      </c>
      <c r="H2376" s="9" t="str">
        <v>RA-10-1</v>
      </c>
      <c r="I2376" s="11" t="str">
        <v>RA-10-1]AC CABLE ASS’Y</v>
      </c>
      <c r="J2376" s="9">
        <v>300</v>
      </c>
      <c r="K2376" s="9" t="str">
        <v/>
      </c>
      <c r="L2376" s="9" t="str">
        <v>G4</v>
      </c>
      <c r="M2376" s="12">
        <v>46296</v>
      </c>
      <c r="N2376" s="5" t="str">
        <v/>
      </c>
      <c r="O2376" s="5">
        <v>102916</v>
      </c>
      <c r="P2376" s="5">
        <v>20</v>
      </c>
      <c r="Q2376" s="14">
        <v>46302</v>
      </c>
      <c r="R2376" s="15">
        <v>280</v>
      </c>
    </row>
    <row r="2377" spans="2:18" x14ac:dyDescent="0.35">
      <c r="B2377" s="9">
        <v>2033</v>
      </c>
      <c r="C2377" s="9" t="str">
        <v>출고재고</v>
      </c>
      <c r="D2377" s="9" t="str">
        <v/>
      </c>
      <c r="E2377" s="9" t="str">
        <v>입고</v>
      </c>
      <c r="F2377" s="9" t="str">
        <v>대영하네스</v>
      </c>
      <c r="G2377" s="9" t="str">
        <v>유영국</v>
      </c>
      <c r="H2377" s="9" t="str">
        <v>RA-1-5</v>
      </c>
      <c r="I2377" s="11" t="str">
        <v>RA-1-5]AC POWER SMPS-1</v>
      </c>
      <c r="J2377" s="9">
        <v>350</v>
      </c>
      <c r="K2377" s="9" t="str">
        <v/>
      </c>
      <c r="L2377" s="9" t="str">
        <v>G3-1</v>
      </c>
      <c r="M2377" s="12">
        <v>46296</v>
      </c>
      <c r="N2377" s="5" t="str">
        <v/>
      </c>
      <c r="O2377" s="5">
        <v>102916</v>
      </c>
      <c r="P2377" s="5">
        <v>10</v>
      </c>
      <c r="Q2377" s="14">
        <v>46302</v>
      </c>
      <c r="R2377" s="15">
        <v>340</v>
      </c>
    </row>
    <row r="2378" spans="2:18" x14ac:dyDescent="0.35">
      <c r="B2378" s="9">
        <v>2031</v>
      </c>
      <c r="C2378" s="9" t="str">
        <v>출고재고</v>
      </c>
      <c r="D2378" s="9" t="str">
        <v/>
      </c>
      <c r="E2378" s="9" t="str">
        <v>입고</v>
      </c>
      <c r="F2378" s="9" t="str">
        <v>대영하네스</v>
      </c>
      <c r="G2378" s="9" t="str">
        <v>유영국</v>
      </c>
      <c r="H2378" s="9" t="str">
        <v>RA-3-6</v>
      </c>
      <c r="I2378" s="11" t="str">
        <v>RA-3-6]INDICATOR CONTROL</v>
      </c>
      <c r="J2378" s="9">
        <v>400</v>
      </c>
      <c r="K2378" s="9" t="str">
        <v/>
      </c>
      <c r="L2378" s="9" t="str">
        <v>G1-1</v>
      </c>
      <c r="M2378" s="12">
        <v>46296</v>
      </c>
      <c r="N2378" s="5" t="str">
        <v/>
      </c>
      <c r="O2378" s="5">
        <v>102916</v>
      </c>
      <c r="P2378" s="5">
        <v>20</v>
      </c>
      <c r="Q2378" s="14">
        <v>46302</v>
      </c>
      <c r="R2378" s="15">
        <v>380</v>
      </c>
    </row>
    <row r="2379" spans="2:18" x14ac:dyDescent="0.35">
      <c r="B2379" s="9">
        <v>2189</v>
      </c>
      <c r="C2379" s="9" t="str">
        <v>출고재고</v>
      </c>
      <c r="D2379" s="9" t="str">
        <v/>
      </c>
      <c r="E2379" s="9" t="str">
        <v/>
      </c>
      <c r="F2379" s="9" t="str">
        <v/>
      </c>
      <c r="G2379" s="9" t="str">
        <v/>
      </c>
      <c r="H2379" s="9" t="str">
        <v>RA-04T-2524</v>
      </c>
      <c r="I2379" s="11" t="str">
        <v>RA-04T-2524]CAS CHINREST UPPER (A+)</v>
      </c>
      <c r="J2379" s="9">
        <v>474</v>
      </c>
      <c r="K2379" s="9" t="str">
        <v/>
      </c>
      <c r="L2379" s="9" t="str">
        <v>S</v>
      </c>
      <c r="M2379" s="12">
        <v>46294</v>
      </c>
      <c r="N2379" s="5" t="str">
        <v/>
      </c>
      <c r="O2379" s="5">
        <v>102916</v>
      </c>
      <c r="P2379" s="5">
        <v>20</v>
      </c>
      <c r="Q2379" s="14">
        <v>46302</v>
      </c>
      <c r="R2379" s="15">
        <v>454</v>
      </c>
    </row>
    <row r="2380" spans="2:18" x14ac:dyDescent="0.35">
      <c r="B2380" s="9">
        <v>739</v>
      </c>
      <c r="C2380" s="9" t="str">
        <v>출고재고</v>
      </c>
      <c r="D2380" s="9" t="str">
        <v/>
      </c>
      <c r="E2380" s="9" t="str">
        <v/>
      </c>
      <c r="F2380" s="9" t="str">
        <v/>
      </c>
      <c r="G2380" s="9" t="str">
        <v/>
      </c>
      <c r="H2380" s="9" t="str">
        <v>RA-9-12</v>
      </c>
      <c r="I2380" s="11" t="str">
        <v>RA-9-12]SCEPH LAN</v>
      </c>
      <c r="J2380" s="9">
        <v>26</v>
      </c>
      <c r="K2380" s="9" t="str">
        <v/>
      </c>
      <c r="L2380" s="9" t="str">
        <v>G3-4</v>
      </c>
      <c r="M2380" s="12">
        <v>46275</v>
      </c>
      <c r="N2380" s="5" t="str">
        <v/>
      </c>
      <c r="O2380" s="5">
        <v>102919</v>
      </c>
      <c r="P2380" s="5">
        <v>26</v>
      </c>
      <c r="Q2380" s="14">
        <v>46301</v>
      </c>
      <c r="R2380" s="15">
        <v>0</v>
      </c>
    </row>
    <row r="2381" spans="2:18" x14ac:dyDescent="0.35">
      <c r="B2381" s="9">
        <v>737</v>
      </c>
      <c r="C2381" s="9" t="str">
        <v>출고재고</v>
      </c>
      <c r="D2381" s="9" t="str">
        <v/>
      </c>
      <c r="E2381" s="9" t="str">
        <v>입고</v>
      </c>
      <c r="F2381" s="9" t="str">
        <v/>
      </c>
      <c r="G2381" s="9" t="str">
        <v/>
      </c>
      <c r="H2381" s="9" t="str">
        <v>RA-9-12</v>
      </c>
      <c r="I2381" s="11" t="str">
        <v>RA-9-12]SCEPH LAN</v>
      </c>
      <c r="J2381" s="9">
        <v>50</v>
      </c>
      <c r="K2381" s="9" t="str">
        <v/>
      </c>
      <c r="L2381" s="9" t="str">
        <v>G3-4</v>
      </c>
      <c r="M2381" s="12">
        <v>46268</v>
      </c>
      <c r="N2381" s="5" t="str">
        <v/>
      </c>
      <c r="O2381" s="5">
        <v>102919</v>
      </c>
      <c r="P2381" s="5">
        <v>4</v>
      </c>
      <c r="Q2381" s="14">
        <v>46301</v>
      </c>
      <c r="R2381" s="15">
        <v>46</v>
      </c>
    </row>
    <row r="2382" spans="2:18" x14ac:dyDescent="0.35">
      <c r="B2382" s="9">
        <v>1375</v>
      </c>
      <c r="C2382" s="9" t="str">
        <v>출고재고</v>
      </c>
      <c r="D2382" s="9" t="str">
        <v/>
      </c>
      <c r="E2382" s="9" t="str">
        <v/>
      </c>
      <c r="F2382" s="9" t="str">
        <v/>
      </c>
      <c r="G2382" s="9" t="str">
        <v/>
      </c>
      <c r="H2382" s="9" t="str">
        <v>RA-5-2</v>
      </c>
      <c r="I2382" s="11" t="str">
        <v>RA-5-2_2]EARTH CEPH</v>
      </c>
      <c r="J2382" s="9">
        <v>121</v>
      </c>
      <c r="K2382" s="9" t="str">
        <v/>
      </c>
      <c r="L2382" s="9" t="str">
        <v>G4</v>
      </c>
      <c r="M2382" s="12">
        <v>46279</v>
      </c>
      <c r="N2382" s="5" t="str">
        <v/>
      </c>
      <c r="O2382" s="5">
        <v>102919</v>
      </c>
      <c r="P2382" s="5">
        <v>30</v>
      </c>
      <c r="Q2382" s="14">
        <v>46301</v>
      </c>
      <c r="R2382" s="15">
        <v>91</v>
      </c>
    </row>
    <row r="2383" spans="2:18" x14ac:dyDescent="0.35">
      <c r="B2383" s="9">
        <v>2002</v>
      </c>
      <c r="C2383" s="9" t="str">
        <v>출고재고</v>
      </c>
      <c r="D2383" s="9" t="str">
        <v/>
      </c>
      <c r="E2383" s="9" t="str">
        <v/>
      </c>
      <c r="F2383" s="9" t="str">
        <v/>
      </c>
      <c r="G2383" s="9" t="str">
        <v/>
      </c>
      <c r="H2383" s="9" t="str">
        <v>RA-08M-0708</v>
      </c>
      <c r="I2383" s="11" t="str">
        <v>RA-08M-0708]RING EARLOD</v>
      </c>
      <c r="J2383" s="9">
        <v>592</v>
      </c>
      <c r="K2383" s="9" t="str">
        <v/>
      </c>
      <c r="L2383" s="9" t="str">
        <v>E1-1</v>
      </c>
      <c r="M2383" s="12">
        <v>46294</v>
      </c>
      <c r="N2383" s="5" t="str">
        <v/>
      </c>
      <c r="O2383" s="5">
        <v>102919</v>
      </c>
      <c r="P2383" s="5">
        <v>30</v>
      </c>
      <c r="Q2383" s="14">
        <v>46301</v>
      </c>
      <c r="R2383" s="15">
        <v>562</v>
      </c>
    </row>
    <row r="2384" spans="2:18" x14ac:dyDescent="0.35">
      <c r="B2384" s="9">
        <v>2001</v>
      </c>
      <c r="C2384" s="9" t="str">
        <v>출고재고</v>
      </c>
      <c r="D2384" s="9" t="str">
        <v/>
      </c>
      <c r="E2384" s="9" t="str">
        <v/>
      </c>
      <c r="F2384" s="9" t="str">
        <v/>
      </c>
      <c r="G2384" s="9" t="str">
        <v/>
      </c>
      <c r="H2384" s="9" t="str">
        <v>RA-08M-0707</v>
      </c>
      <c r="I2384" s="11" t="str">
        <v>RA-08M-0707]CAP EARLOD</v>
      </c>
      <c r="J2384" s="9">
        <v>708</v>
      </c>
      <c r="K2384" s="9" t="str">
        <v/>
      </c>
      <c r="L2384" s="9" t="str">
        <v>E1-1</v>
      </c>
      <c r="M2384" s="12">
        <v>46294</v>
      </c>
      <c r="N2384" s="5" t="str">
        <v/>
      </c>
      <c r="O2384" s="5">
        <v>102919</v>
      </c>
      <c r="P2384" s="5">
        <v>30</v>
      </c>
      <c r="Q2384" s="14">
        <v>46301</v>
      </c>
      <c r="R2384" s="15">
        <v>678</v>
      </c>
    </row>
    <row r="2385" spans="2:18" x14ac:dyDescent="0.35">
      <c r="B2385" s="9">
        <v>2003</v>
      </c>
      <c r="C2385" s="9" t="str">
        <v>출고재고</v>
      </c>
      <c r="D2385" s="9" t="str">
        <v/>
      </c>
      <c r="E2385" s="9" t="str">
        <v/>
      </c>
      <c r="F2385" s="9" t="str">
        <v/>
      </c>
      <c r="G2385" s="9" t="str">
        <v/>
      </c>
      <c r="H2385" s="9" t="str">
        <v>RA-08T-1466</v>
      </c>
      <c r="I2385" s="11" t="str">
        <v>RA-08T-1466]CAS CEPH EAR-ROD</v>
      </c>
      <c r="J2385" s="9">
        <v>325</v>
      </c>
      <c r="K2385" s="9" t="str">
        <v/>
      </c>
      <c r="L2385" s="9" t="str">
        <v>S</v>
      </c>
      <c r="M2385" s="12">
        <v>46294</v>
      </c>
      <c r="N2385" s="5" t="str">
        <v/>
      </c>
      <c r="O2385" s="5">
        <v>102919</v>
      </c>
      <c r="P2385" s="5">
        <v>60</v>
      </c>
      <c r="Q2385" s="14">
        <v>46301</v>
      </c>
      <c r="R2385" s="15">
        <v>265</v>
      </c>
    </row>
    <row r="2386" spans="2:18" x14ac:dyDescent="0.35">
      <c r="B2386" s="9">
        <v>1989</v>
      </c>
      <c r="C2386" s="9" t="str">
        <v>출고재고</v>
      </c>
      <c r="D2386" s="9" t="str">
        <v/>
      </c>
      <c r="E2386" s="9" t="str">
        <v/>
      </c>
      <c r="F2386" s="9" t="str">
        <v/>
      </c>
      <c r="G2386" s="9" t="str">
        <v/>
      </c>
      <c r="H2386" s="9" t="str">
        <v>RA-06A-2761</v>
      </c>
      <c r="I2386" s="11" t="str">
        <v>RA-06A-2761]ASM COL MOVING (A+) (VN)</v>
      </c>
      <c r="J2386" s="9">
        <v>3</v>
      </c>
      <c r="K2386" s="9" t="str">
        <v/>
      </c>
      <c r="L2386" s="9" t="str">
        <v>U</v>
      </c>
      <c r="M2386" s="12">
        <v>46295</v>
      </c>
      <c r="N2386" s="5" t="str">
        <v/>
      </c>
      <c r="O2386" s="5">
        <v>102925</v>
      </c>
      <c r="P2386" s="5">
        <v>3</v>
      </c>
      <c r="Q2386" s="14">
        <v>46301</v>
      </c>
      <c r="R2386" s="15">
        <v>0</v>
      </c>
    </row>
    <row r="2387" spans="2:18" x14ac:dyDescent="0.35">
      <c r="B2387" s="9">
        <v>2394</v>
      </c>
      <c r="C2387" s="9" t="str">
        <v>출고재고</v>
      </c>
      <c r="D2387" s="9" t="str">
        <v/>
      </c>
      <c r="E2387" s="9" t="str">
        <v>기초추가</v>
      </c>
      <c r="F2387" s="9" t="str">
        <v/>
      </c>
      <c r="G2387" s="9" t="str">
        <v/>
      </c>
      <c r="H2387" s="9" t="str">
        <v>RA-07V-2788</v>
      </c>
      <c r="I2387" s="11" t="str">
        <v>RA-07V-2788]BRK CAS DET LWR (IR)</v>
      </c>
      <c r="J2387" s="9">
        <v>7</v>
      </c>
      <c r="K2387" s="9" t="str">
        <v/>
      </c>
      <c r="L2387" s="9" t="str">
        <v>J2-3</v>
      </c>
      <c r="M2387" s="12">
        <v>46276</v>
      </c>
      <c r="N2387" s="5" t="str">
        <v/>
      </c>
      <c r="O2387" s="5">
        <v>102925</v>
      </c>
      <c r="P2387" s="5">
        <v>7</v>
      </c>
      <c r="Q2387" s="14">
        <v>46301</v>
      </c>
      <c r="R2387" s="15">
        <v>0</v>
      </c>
    </row>
    <row r="2388" spans="2:18" x14ac:dyDescent="0.35">
      <c r="B2388" s="9">
        <v>1762</v>
      </c>
      <c r="C2388" s="9" t="str">
        <v>출고재고</v>
      </c>
      <c r="D2388" s="9" t="str">
        <v/>
      </c>
      <c r="E2388" s="9" t="str">
        <v/>
      </c>
      <c r="F2388" s="9" t="str">
        <v/>
      </c>
      <c r="G2388" s="9" t="str">
        <v/>
      </c>
      <c r="H2388" s="9" t="str">
        <v>RA-07V-2788</v>
      </c>
      <c r="I2388" s="11" t="str">
        <v>RA-07V-2788]BRK CAS DET LWR (IR)</v>
      </c>
      <c r="J2388" s="9">
        <v>13</v>
      </c>
      <c r="K2388" s="9" t="str">
        <v/>
      </c>
      <c r="L2388" s="9" t="str">
        <v>J2-3</v>
      </c>
      <c r="M2388" s="12">
        <v>46294</v>
      </c>
      <c r="N2388" s="5" t="str">
        <v/>
      </c>
      <c r="O2388" s="5">
        <v>102925</v>
      </c>
      <c r="P2388" s="5">
        <v>13</v>
      </c>
      <c r="Q2388" s="14">
        <v>46301</v>
      </c>
      <c r="R2388" s="15">
        <v>0</v>
      </c>
    </row>
    <row r="2389" spans="2:18" x14ac:dyDescent="0.35">
      <c r="B2389" s="9">
        <v>1995</v>
      </c>
      <c r="C2389" s="9" t="str">
        <v>출고재고</v>
      </c>
      <c r="D2389" s="9" t="str">
        <v/>
      </c>
      <c r="E2389" s="9" t="str">
        <v/>
      </c>
      <c r="F2389" s="9" t="str">
        <v/>
      </c>
      <c r="G2389" s="9" t="str">
        <v/>
      </c>
      <c r="H2389" s="9" t="str">
        <v>RA-11-22</v>
      </c>
      <c r="I2389" s="11" t="str">
        <v>RA-11-22]Fcol MOT Cable C</v>
      </c>
      <c r="J2389" s="9">
        <v>18</v>
      </c>
      <c r="K2389" s="9" t="str">
        <v/>
      </c>
      <c r="L2389" s="9" t="str">
        <v>G1-5</v>
      </c>
      <c r="M2389" s="12">
        <v>46295</v>
      </c>
      <c r="N2389" s="5" t="str">
        <v/>
      </c>
      <c r="O2389" s="5">
        <v>102925</v>
      </c>
      <c r="P2389" s="5">
        <v>18</v>
      </c>
      <c r="Q2389" s="14">
        <v>46301</v>
      </c>
      <c r="R2389" s="15">
        <v>0</v>
      </c>
    </row>
    <row r="2390" spans="2:18" x14ac:dyDescent="0.35">
      <c r="B2390" s="9">
        <v>1994</v>
      </c>
      <c r="C2390" s="9" t="str">
        <v>출고재고</v>
      </c>
      <c r="D2390" s="9" t="str">
        <v/>
      </c>
      <c r="E2390" s="9" t="str">
        <v/>
      </c>
      <c r="F2390" s="9" t="str">
        <v/>
      </c>
      <c r="G2390" s="9" t="str">
        <v/>
      </c>
      <c r="H2390" s="9" t="str">
        <v>RA-11-21</v>
      </c>
      <c r="I2390" s="11" t="str">
        <v>RA-11-21]Fcol MOT Cable B</v>
      </c>
      <c r="J2390" s="9">
        <v>20</v>
      </c>
      <c r="K2390" s="9" t="str">
        <v/>
      </c>
      <c r="L2390" s="9" t="str">
        <v>G2-5</v>
      </c>
      <c r="M2390" s="12">
        <v>46295</v>
      </c>
      <c r="N2390" s="5" t="str">
        <v/>
      </c>
      <c r="O2390" s="5">
        <v>102925</v>
      </c>
      <c r="P2390" s="5">
        <v>20</v>
      </c>
      <c r="Q2390" s="14">
        <v>46301</v>
      </c>
      <c r="R2390" s="15">
        <v>0</v>
      </c>
    </row>
    <row r="2391" spans="2:18" x14ac:dyDescent="0.35">
      <c r="B2391" s="9">
        <v>1915</v>
      </c>
      <c r="C2391" s="9" t="str">
        <v>출고재고</v>
      </c>
      <c r="D2391" s="9" t="str">
        <v/>
      </c>
      <c r="E2391" s="9" t="str">
        <v/>
      </c>
      <c r="F2391" s="9" t="str">
        <v/>
      </c>
      <c r="G2391" s="9" t="str">
        <v/>
      </c>
      <c r="H2391" s="9" t="str">
        <v>RA-5-4</v>
      </c>
      <c r="I2391" s="11" t="str">
        <v>RA-5-4]EARTH ROT TO TUBE</v>
      </c>
      <c r="J2391" s="9">
        <v>21</v>
      </c>
      <c r="K2391" s="9" t="str">
        <v/>
      </c>
      <c r="L2391" s="9" t="str">
        <v>G3-2</v>
      </c>
      <c r="M2391" s="12">
        <v>46295</v>
      </c>
      <c r="N2391" s="5" t="str">
        <v/>
      </c>
      <c r="O2391" s="5">
        <v>102925</v>
      </c>
      <c r="P2391" s="5">
        <v>20</v>
      </c>
      <c r="Q2391" s="14">
        <v>46301</v>
      </c>
      <c r="R2391" s="15">
        <v>1</v>
      </c>
    </row>
    <row r="2392" spans="2:18" x14ac:dyDescent="0.35">
      <c r="B2392" s="9">
        <v>2013</v>
      </c>
      <c r="C2392" s="9" t="str">
        <v>출고재고</v>
      </c>
      <c r="D2392" s="9" t="str">
        <v/>
      </c>
      <c r="E2392" s="9" t="str">
        <v>입고</v>
      </c>
      <c r="F2392" s="9" t="str">
        <v>Bach tung</v>
      </c>
      <c r="G2392" s="9" t="str">
        <v>유영국</v>
      </c>
      <c r="H2392" s="9" t="str">
        <v>RA-06A-2761</v>
      </c>
      <c r="I2392" s="11" t="str">
        <v>RA-06A-2761]ASM COL MOVING (A+) (VN)</v>
      </c>
      <c r="J2392" s="9">
        <v>24</v>
      </c>
      <c r="K2392" s="9" t="str">
        <v/>
      </c>
      <c r="L2392" s="9" t="str">
        <v>U</v>
      </c>
      <c r="M2392" s="12">
        <v>46296</v>
      </c>
      <c r="N2392" s="5" t="str">
        <v/>
      </c>
      <c r="O2392" s="5">
        <v>102925</v>
      </c>
      <c r="P2392" s="5">
        <v>17</v>
      </c>
      <c r="Q2392" s="14">
        <v>46301</v>
      </c>
      <c r="R2392" s="15">
        <v>7</v>
      </c>
    </row>
    <row r="2393" spans="2:18" x14ac:dyDescent="0.35">
      <c r="B2393" s="9">
        <v>2255</v>
      </c>
      <c r="C2393" s="9" t="str">
        <v>출고재고</v>
      </c>
      <c r="D2393" s="9" t="str">
        <v/>
      </c>
      <c r="E2393" s="9" t="str">
        <v/>
      </c>
      <c r="F2393" s="9" t="str">
        <v/>
      </c>
      <c r="G2393" s="9" t="str">
        <v/>
      </c>
      <c r="H2393" s="9" t="str">
        <v>RA-06M-0520</v>
      </c>
      <c r="I2393" s="11" t="str">
        <v>RA-06M-0520]HEATSINK</v>
      </c>
      <c r="J2393" s="9">
        <v>28</v>
      </c>
      <c r="K2393" s="9" t="str">
        <v/>
      </c>
      <c r="L2393" s="9" t="str">
        <v>M1</v>
      </c>
      <c r="M2393" s="12">
        <v>46303</v>
      </c>
      <c r="N2393" s="5" t="str">
        <v/>
      </c>
      <c r="O2393" s="5">
        <v>102925</v>
      </c>
      <c r="P2393" s="5">
        <v>20</v>
      </c>
      <c r="Q2393" s="14">
        <v>46301</v>
      </c>
      <c r="R2393" s="15">
        <v>8</v>
      </c>
    </row>
    <row r="2394" spans="2:18" x14ac:dyDescent="0.35">
      <c r="B2394" s="9">
        <v>1763</v>
      </c>
      <c r="C2394" s="9" t="str">
        <v>출고재고</v>
      </c>
      <c r="D2394" s="9" t="str">
        <v/>
      </c>
      <c r="E2394" s="9" t="str">
        <v/>
      </c>
      <c r="F2394" s="9" t="str">
        <v/>
      </c>
      <c r="G2394" s="9" t="str">
        <v/>
      </c>
      <c r="H2394" s="9" t="str">
        <v>RA-07V-2789</v>
      </c>
      <c r="I2394" s="11" t="str">
        <v>RA-07V-2789]PLT WEIGHT DET (IR)</v>
      </c>
      <c r="J2394" s="9">
        <v>33</v>
      </c>
      <c r="K2394" s="9" t="str">
        <v/>
      </c>
      <c r="L2394" s="9" t="str">
        <v>O4</v>
      </c>
      <c r="M2394" s="12">
        <v>46294</v>
      </c>
      <c r="N2394" s="5" t="str">
        <v/>
      </c>
      <c r="O2394" s="5">
        <v>102925</v>
      </c>
      <c r="P2394" s="5">
        <v>20</v>
      </c>
      <c r="Q2394" s="14">
        <v>46301</v>
      </c>
      <c r="R2394" s="15">
        <v>13</v>
      </c>
    </row>
    <row r="2395" spans="2:18" x14ac:dyDescent="0.35">
      <c r="B2395" s="9">
        <v>1997</v>
      </c>
      <c r="C2395" s="9" t="str">
        <v>출고재고</v>
      </c>
      <c r="D2395" s="9" t="str">
        <v/>
      </c>
      <c r="E2395" s="9" t="str">
        <v/>
      </c>
      <c r="F2395" s="9" t="str">
        <v/>
      </c>
      <c r="G2395" s="9" t="str">
        <v/>
      </c>
      <c r="H2395" s="9" t="str">
        <v>RA-11-19</v>
      </c>
      <c r="I2395" s="11" t="str">
        <v>RA-11-19]LED Power Cable</v>
      </c>
      <c r="J2395" s="9">
        <v>43</v>
      </c>
      <c r="K2395" s="9" t="str">
        <v/>
      </c>
      <c r="L2395" s="9" t="str">
        <v>G2-5</v>
      </c>
      <c r="M2395" s="12">
        <v>46295</v>
      </c>
      <c r="N2395" s="5" t="str">
        <v/>
      </c>
      <c r="O2395" s="5">
        <v>102925</v>
      </c>
      <c r="P2395" s="5">
        <v>20</v>
      </c>
      <c r="Q2395" s="14">
        <v>46301</v>
      </c>
      <c r="R2395" s="15">
        <v>23</v>
      </c>
    </row>
    <row r="2396" spans="2:18" x14ac:dyDescent="0.35">
      <c r="B2396" s="9">
        <v>1996</v>
      </c>
      <c r="C2396" s="9" t="str">
        <v>출고재고</v>
      </c>
      <c r="D2396" s="9" t="str">
        <v/>
      </c>
      <c r="E2396" s="9" t="str">
        <v/>
      </c>
      <c r="F2396" s="9" t="str">
        <v/>
      </c>
      <c r="G2396" s="9" t="str">
        <v/>
      </c>
      <c r="H2396" s="9" t="str">
        <v>RA-11-23</v>
      </c>
      <c r="I2396" s="11" t="str">
        <v>RA-11-23]Fcol MOT Cable D</v>
      </c>
      <c r="J2396" s="9">
        <v>53</v>
      </c>
      <c r="K2396" s="9" t="str">
        <v/>
      </c>
      <c r="L2396" s="9" t="str">
        <v>G1-5</v>
      </c>
      <c r="M2396" s="12">
        <v>46295</v>
      </c>
      <c r="N2396" s="5" t="str">
        <v/>
      </c>
      <c r="O2396" s="5">
        <v>102925</v>
      </c>
      <c r="P2396" s="5">
        <v>20</v>
      </c>
      <c r="Q2396" s="14">
        <v>46301</v>
      </c>
      <c r="R2396" s="15">
        <v>33</v>
      </c>
    </row>
    <row r="2397" spans="2:18" x14ac:dyDescent="0.35">
      <c r="B2397" s="9">
        <v>1765</v>
      </c>
      <c r="C2397" s="9" t="str">
        <v>출고재고</v>
      </c>
      <c r="D2397" s="9" t="str">
        <v/>
      </c>
      <c r="E2397" s="9" t="str">
        <v/>
      </c>
      <c r="F2397" s="9" t="str">
        <v/>
      </c>
      <c r="G2397" s="9" t="str">
        <v/>
      </c>
      <c r="H2397" s="9" t="str">
        <v>RA-07V-2781</v>
      </c>
      <c r="I2397" s="11" t="str">
        <v>RA-07V-2781]PLT Bas DET (IR)</v>
      </c>
      <c r="J2397" s="9">
        <v>55</v>
      </c>
      <c r="K2397" s="9" t="str">
        <v/>
      </c>
      <c r="L2397" s="9" t="str">
        <v>O3</v>
      </c>
      <c r="M2397" s="12">
        <v>46294</v>
      </c>
      <c r="N2397" s="5" t="str">
        <v/>
      </c>
      <c r="O2397" s="5">
        <v>102925</v>
      </c>
      <c r="P2397" s="5">
        <v>20</v>
      </c>
      <c r="Q2397" s="14">
        <v>46301</v>
      </c>
      <c r="R2397" s="15">
        <v>35</v>
      </c>
    </row>
    <row r="2398" spans="2:18" x14ac:dyDescent="0.35">
      <c r="B2398" s="9">
        <v>1909</v>
      </c>
      <c r="C2398" s="9" t="str">
        <v>출고재고</v>
      </c>
      <c r="D2398" s="9" t="str">
        <v/>
      </c>
      <c r="E2398" s="9" t="str">
        <v/>
      </c>
      <c r="F2398" s="9" t="str">
        <v/>
      </c>
      <c r="G2398" s="9" t="str">
        <v/>
      </c>
      <c r="H2398" s="9" t="str">
        <v>RA-11-2</v>
      </c>
      <c r="I2398" s="11" t="str">
        <v>RA-11-2]AUX MCU to FCOL</v>
      </c>
      <c r="J2398" s="9">
        <v>60</v>
      </c>
      <c r="K2398" s="9" t="str">
        <v/>
      </c>
      <c r="L2398" s="9" t="str">
        <v>G2-4</v>
      </c>
      <c r="M2398" s="12">
        <v>46295</v>
      </c>
      <c r="N2398" s="5" t="str">
        <v/>
      </c>
      <c r="O2398" s="5">
        <v>102925</v>
      </c>
      <c r="P2398" s="5">
        <v>20</v>
      </c>
      <c r="Q2398" s="14">
        <v>46301</v>
      </c>
      <c r="R2398" s="15">
        <v>40</v>
      </c>
    </row>
    <row r="2399" spans="2:18" x14ac:dyDescent="0.35">
      <c r="B2399" s="9">
        <v>1993</v>
      </c>
      <c r="C2399" s="9" t="str">
        <v>출고재고</v>
      </c>
      <c r="D2399" s="9" t="str">
        <v/>
      </c>
      <c r="E2399" s="9" t="str">
        <v/>
      </c>
      <c r="F2399" s="9" t="str">
        <v/>
      </c>
      <c r="G2399" s="9" t="str">
        <v/>
      </c>
      <c r="H2399" s="9" t="str">
        <v>RA-11-20</v>
      </c>
      <c r="I2399" s="11" t="str">
        <v>RA-11-20]Fcol MOT Cable A</v>
      </c>
      <c r="J2399" s="9">
        <v>65</v>
      </c>
      <c r="K2399" s="9" t="str">
        <v/>
      </c>
      <c r="L2399" s="9" t="str">
        <v>G2-5</v>
      </c>
      <c r="M2399" s="12">
        <v>46295</v>
      </c>
      <c r="N2399" s="5" t="str">
        <v/>
      </c>
      <c r="O2399" s="5">
        <v>102925</v>
      </c>
      <c r="P2399" s="5">
        <v>20</v>
      </c>
      <c r="Q2399" s="14">
        <v>46301</v>
      </c>
      <c r="R2399" s="15">
        <v>45</v>
      </c>
    </row>
    <row r="2400" spans="2:18" x14ac:dyDescent="0.35">
      <c r="B2400" s="9">
        <v>1775</v>
      </c>
      <c r="C2400" s="9" t="str">
        <v>출고재고</v>
      </c>
      <c r="D2400" s="9" t="str">
        <v/>
      </c>
      <c r="E2400" s="9" t="str">
        <v/>
      </c>
      <c r="F2400" s="9" t="str">
        <v/>
      </c>
      <c r="G2400" s="9" t="str">
        <v/>
      </c>
      <c r="H2400" s="9" t="str">
        <v>RA-06A-2139</v>
      </c>
      <c r="I2400" s="11" t="str">
        <v>RA-06A-2139]ASM BRK FAN SUP (A+)</v>
      </c>
      <c r="J2400" s="9">
        <v>67</v>
      </c>
      <c r="K2400" s="9" t="str">
        <v/>
      </c>
      <c r="L2400" s="9" t="str">
        <v>N5</v>
      </c>
      <c r="M2400" s="12">
        <v>46294</v>
      </c>
      <c r="N2400" s="5" t="str">
        <v/>
      </c>
      <c r="O2400" s="5">
        <v>102925</v>
      </c>
      <c r="P2400" s="5">
        <v>20</v>
      </c>
      <c r="Q2400" s="14">
        <v>46301</v>
      </c>
      <c r="R2400" s="15">
        <v>47</v>
      </c>
    </row>
    <row r="2401" spans="2:18" x14ac:dyDescent="0.35">
      <c r="B2401" s="9">
        <v>1750</v>
      </c>
      <c r="C2401" s="9" t="str">
        <v>출고재고</v>
      </c>
      <c r="D2401" s="9" t="str">
        <v/>
      </c>
      <c r="E2401" s="9" t="str">
        <v/>
      </c>
      <c r="F2401" s="9" t="str">
        <v/>
      </c>
      <c r="G2401" s="9" t="str">
        <v/>
      </c>
      <c r="H2401" s="9" t="str">
        <v>RA-07S-1653</v>
      </c>
      <c r="I2401" s="11" t="str">
        <v>RA-07S-1653]LM SET(MGN9C-2-240) (VA)</v>
      </c>
      <c r="J2401" s="9">
        <v>70</v>
      </c>
      <c r="K2401" s="9" t="str">
        <v/>
      </c>
      <c r="L2401" s="9" t="str">
        <v>J3-1</v>
      </c>
      <c r="M2401" s="12">
        <v>46294</v>
      </c>
      <c r="N2401" s="5" t="str">
        <v/>
      </c>
      <c r="O2401" s="5">
        <v>102925</v>
      </c>
      <c r="P2401" s="5">
        <v>20</v>
      </c>
      <c r="Q2401" s="14">
        <v>46301</v>
      </c>
      <c r="R2401" s="15">
        <v>50</v>
      </c>
    </row>
    <row r="2402" spans="2:18" x14ac:dyDescent="0.35">
      <c r="B2402" s="9">
        <v>1752</v>
      </c>
      <c r="C2402" s="9" t="str">
        <v>출고재고</v>
      </c>
      <c r="D2402" s="9" t="str">
        <v/>
      </c>
      <c r="E2402" s="9" t="str">
        <v/>
      </c>
      <c r="F2402" s="9" t="str">
        <v/>
      </c>
      <c r="G2402" s="9" t="str">
        <v/>
      </c>
      <c r="H2402" s="9" t="str">
        <v>RA-07V-1661</v>
      </c>
      <c r="I2402" s="11" t="str">
        <v>RA-07V-1661]BRK PHOtSNSR (VA)</v>
      </c>
      <c r="J2402" s="9">
        <v>86</v>
      </c>
      <c r="K2402" s="9" t="str">
        <v/>
      </c>
      <c r="L2402" s="9" t="str">
        <v>J2-3</v>
      </c>
      <c r="M2402" s="12">
        <v>46294</v>
      </c>
      <c r="N2402" s="5" t="str">
        <v/>
      </c>
      <c r="O2402" s="5">
        <v>102925</v>
      </c>
      <c r="P2402" s="5">
        <v>20</v>
      </c>
      <c r="Q2402" s="14">
        <v>46301</v>
      </c>
      <c r="R2402" s="15">
        <v>66</v>
      </c>
    </row>
    <row r="2403" spans="2:18" x14ac:dyDescent="0.35">
      <c r="B2403" s="9">
        <v>1776</v>
      </c>
      <c r="C2403" s="9" t="str">
        <v>출고재고</v>
      </c>
      <c r="D2403" s="9" t="str">
        <v/>
      </c>
      <c r="E2403" s="9" t="str">
        <v/>
      </c>
      <c r="F2403" s="9" t="str">
        <v/>
      </c>
      <c r="G2403" s="9" t="str">
        <v/>
      </c>
      <c r="H2403" s="9" t="str">
        <v>RA-06A-2143</v>
      </c>
      <c r="I2403" s="11" t="str">
        <v>RA-06A-2143]ASM TUBE TNK SUP (A+)</v>
      </c>
      <c r="J2403" s="9">
        <v>112</v>
      </c>
      <c r="K2403" s="9" t="str">
        <v/>
      </c>
      <c r="L2403" s="9" t="str">
        <v>O1</v>
      </c>
      <c r="M2403" s="12">
        <v>46294</v>
      </c>
      <c r="N2403" s="5" t="str">
        <v/>
      </c>
      <c r="O2403" s="5">
        <v>102925</v>
      </c>
      <c r="P2403" s="5">
        <v>20</v>
      </c>
      <c r="Q2403" s="14">
        <v>46301</v>
      </c>
      <c r="R2403" s="15">
        <v>92</v>
      </c>
    </row>
    <row r="2404" spans="2:18" x14ac:dyDescent="0.35">
      <c r="B2404" s="9">
        <v>1916</v>
      </c>
      <c r="C2404" s="9" t="str">
        <v>출고재고</v>
      </c>
      <c r="D2404" s="9" t="str">
        <v/>
      </c>
      <c r="E2404" s="9" t="str">
        <v/>
      </c>
      <c r="F2404" s="9" t="str">
        <v/>
      </c>
      <c r="G2404" s="9" t="str">
        <v/>
      </c>
      <c r="H2404" s="9" t="str">
        <v>RA-11-11</v>
      </c>
      <c r="I2404" s="11" t="str">
        <v>RA-11-11]DC POWER MOT-C</v>
      </c>
      <c r="J2404" s="9">
        <v>115</v>
      </c>
      <c r="K2404" s="9" t="str">
        <v/>
      </c>
      <c r="L2404" s="9" t="str">
        <v>G3-5</v>
      </c>
      <c r="M2404" s="12">
        <v>46295</v>
      </c>
      <c r="N2404" s="5" t="str">
        <v/>
      </c>
      <c r="O2404" s="5">
        <v>102925</v>
      </c>
      <c r="P2404" s="5">
        <v>20</v>
      </c>
      <c r="Q2404" s="14">
        <v>46301</v>
      </c>
      <c r="R2404" s="15">
        <v>95</v>
      </c>
    </row>
    <row r="2405" spans="2:18" x14ac:dyDescent="0.35">
      <c r="B2405" s="9">
        <v>1774</v>
      </c>
      <c r="C2405" s="9" t="str">
        <v>출고재고</v>
      </c>
      <c r="D2405" s="9" t="str">
        <v/>
      </c>
      <c r="E2405" s="9" t="str">
        <v/>
      </c>
      <c r="F2405" s="9" t="str">
        <v/>
      </c>
      <c r="G2405" s="9" t="str">
        <v/>
      </c>
      <c r="H2405" s="9" t="str">
        <v>RA-06V-2142</v>
      </c>
      <c r="I2405" s="11" t="str">
        <v>RA-06V-2142]BRK TUBE CAS (A+)</v>
      </c>
      <c r="J2405" s="9">
        <v>118</v>
      </c>
      <c r="K2405" s="9" t="str">
        <v/>
      </c>
      <c r="L2405" s="9" t="str">
        <v>I3-3</v>
      </c>
      <c r="M2405" s="12">
        <v>46294</v>
      </c>
      <c r="N2405" s="5" t="str">
        <v/>
      </c>
      <c r="O2405" s="5">
        <v>102925</v>
      </c>
      <c r="P2405" s="5">
        <v>20</v>
      </c>
      <c r="Q2405" s="14">
        <v>46301</v>
      </c>
      <c r="R2405" s="15">
        <v>98</v>
      </c>
    </row>
    <row r="2406" spans="2:18" x14ac:dyDescent="0.35">
      <c r="B2406" s="9">
        <v>1918</v>
      </c>
      <c r="C2406" s="9" t="str">
        <v>출고재고</v>
      </c>
      <c r="D2406" s="9" t="str">
        <v/>
      </c>
      <c r="E2406" s="9" t="str">
        <v/>
      </c>
      <c r="F2406" s="9" t="str">
        <v/>
      </c>
      <c r="G2406" s="9" t="str">
        <v/>
      </c>
      <c r="H2406" s="9" t="str">
        <v>RA-07S-1668</v>
      </c>
      <c r="I2406" s="11" t="str">
        <v>RA-07S-1668]MICROMTR HEAD (VA)</v>
      </c>
      <c r="J2406" s="9">
        <v>120</v>
      </c>
      <c r="K2406" s="9" t="str">
        <v/>
      </c>
      <c r="L2406" s="9" t="str">
        <v>J3-1</v>
      </c>
      <c r="M2406" s="12">
        <v>46295</v>
      </c>
      <c r="N2406" s="5" t="str">
        <v/>
      </c>
      <c r="O2406" s="5">
        <v>102925</v>
      </c>
      <c r="P2406" s="5">
        <v>20</v>
      </c>
      <c r="Q2406" s="14">
        <v>46301</v>
      </c>
      <c r="R2406" s="15">
        <v>100</v>
      </c>
    </row>
    <row r="2407" spans="2:18" x14ac:dyDescent="0.35">
      <c r="B2407" s="9">
        <v>1759</v>
      </c>
      <c r="C2407" s="9" t="str">
        <v>출고재고</v>
      </c>
      <c r="D2407" s="9" t="str">
        <v/>
      </c>
      <c r="E2407" s="9" t="str">
        <v/>
      </c>
      <c r="F2407" s="9" t="str">
        <v/>
      </c>
      <c r="G2407" s="9" t="str">
        <v/>
      </c>
      <c r="H2407" s="9" t="str">
        <v>RA-07V-2791</v>
      </c>
      <c r="I2407" s="11" t="str">
        <v>RA-07V-2791]CVR DET PCB (IR)</v>
      </c>
      <c r="J2407" s="9">
        <v>120</v>
      </c>
      <c r="K2407" s="9" t="str">
        <v/>
      </c>
      <c r="L2407" s="9" t="str">
        <v>J2-4</v>
      </c>
      <c r="M2407" s="12">
        <v>46294</v>
      </c>
      <c r="N2407" s="5" t="str">
        <v/>
      </c>
      <c r="O2407" s="5">
        <v>102925</v>
      </c>
      <c r="P2407" s="5">
        <v>20</v>
      </c>
      <c r="Q2407" s="14">
        <v>46301</v>
      </c>
      <c r="R2407" s="15">
        <v>100</v>
      </c>
    </row>
    <row r="2408" spans="2:18" x14ac:dyDescent="0.35">
      <c r="B2408" s="9">
        <v>1764</v>
      </c>
      <c r="C2408" s="9" t="str">
        <v>출고재고</v>
      </c>
      <c r="D2408" s="9" t="str">
        <v/>
      </c>
      <c r="E2408" s="9" t="str">
        <v/>
      </c>
      <c r="F2408" s="9" t="str">
        <v/>
      </c>
      <c r="G2408" s="9" t="str">
        <v/>
      </c>
      <c r="H2408" s="9" t="str">
        <v>RA-07V-2790</v>
      </c>
      <c r="I2408" s="11" t="str">
        <v>RA-07V-2790]PLT SPACER DET (IR)</v>
      </c>
      <c r="J2408" s="9">
        <v>120</v>
      </c>
      <c r="K2408" s="9" t="str">
        <v/>
      </c>
      <c r="L2408" s="9" t="str">
        <v>J2-4</v>
      </c>
      <c r="M2408" s="12">
        <v>46294</v>
      </c>
      <c r="N2408" s="5" t="str">
        <v/>
      </c>
      <c r="O2408" s="5">
        <v>102925</v>
      </c>
      <c r="P2408" s="5">
        <v>20</v>
      </c>
      <c r="Q2408" s="14">
        <v>46301</v>
      </c>
      <c r="R2408" s="15">
        <v>100</v>
      </c>
    </row>
    <row r="2409" spans="2:18" x14ac:dyDescent="0.35">
      <c r="B2409" s="9">
        <v>2096</v>
      </c>
      <c r="C2409" s="9" t="str">
        <v>출고재고</v>
      </c>
      <c r="D2409" s="9" t="str">
        <v/>
      </c>
      <c r="E2409" s="9" t="str">
        <v/>
      </c>
      <c r="F2409" s="9" t="str">
        <v/>
      </c>
      <c r="G2409" s="9" t="str">
        <v/>
      </c>
      <c r="H2409" s="9" t="str">
        <v>RA-07A-1777</v>
      </c>
      <c r="I2409" s="11" t="str">
        <v>RA-07A-1777]ASM SCREW MOVING DET (VA)</v>
      </c>
      <c r="J2409" s="9">
        <v>125</v>
      </c>
      <c r="K2409" s="9" t="str">
        <v/>
      </c>
      <c r="L2409" s="9" t="str">
        <v>J2-2</v>
      </c>
      <c r="M2409" s="12">
        <v>46287</v>
      </c>
      <c r="N2409" s="5" t="str">
        <v/>
      </c>
      <c r="O2409" s="5">
        <v>102925</v>
      </c>
      <c r="P2409" s="5">
        <v>20</v>
      </c>
      <c r="Q2409" s="14">
        <v>46301</v>
      </c>
      <c r="R2409" s="15">
        <v>105</v>
      </c>
    </row>
    <row r="2410" spans="2:18" x14ac:dyDescent="0.35">
      <c r="B2410" s="9">
        <v>1988</v>
      </c>
      <c r="C2410" s="9" t="str">
        <v>출고재고</v>
      </c>
      <c r="D2410" s="9" t="str">
        <v/>
      </c>
      <c r="E2410" s="9" t="str">
        <v/>
      </c>
      <c r="F2410" s="9" t="str">
        <v/>
      </c>
      <c r="G2410" s="9" t="str">
        <v/>
      </c>
      <c r="H2410" s="9" t="str">
        <v>RA-06M-0243</v>
      </c>
      <c r="I2410" s="11" t="str">
        <v>RA-06M-0243]BLK TUBE TILT LIMIT</v>
      </c>
      <c r="J2410" s="9">
        <v>126</v>
      </c>
      <c r="K2410" s="9" t="str">
        <v/>
      </c>
      <c r="L2410" s="9" t="str">
        <v>I3-3</v>
      </c>
      <c r="M2410" s="12">
        <v>46295</v>
      </c>
      <c r="N2410" s="5" t="str">
        <v/>
      </c>
      <c r="O2410" s="5">
        <v>102925</v>
      </c>
      <c r="P2410" s="5">
        <v>14</v>
      </c>
      <c r="Q2410" s="14">
        <v>46301</v>
      </c>
      <c r="R2410" s="15">
        <v>112</v>
      </c>
    </row>
    <row r="2411" spans="2:18" x14ac:dyDescent="0.35">
      <c r="B2411" s="9">
        <v>2021</v>
      </c>
      <c r="C2411" s="9" t="str">
        <v>출고재고</v>
      </c>
      <c r="D2411" s="9" t="str">
        <v/>
      </c>
      <c r="E2411" s="9" t="str">
        <v>입고</v>
      </c>
      <c r="F2411" s="9" t="str">
        <v>대영하네스</v>
      </c>
      <c r="G2411" s="9" t="str">
        <v>유영국</v>
      </c>
      <c r="H2411" s="9" t="str">
        <v>RA-11-22</v>
      </c>
      <c r="I2411" s="11" t="str">
        <v>RA-11-22]Fcol MOT Cable C</v>
      </c>
      <c r="J2411" s="9">
        <v>129</v>
      </c>
      <c r="K2411" s="9" t="str">
        <v/>
      </c>
      <c r="L2411" s="9" t="str">
        <v>G1-5</v>
      </c>
      <c r="M2411" s="12">
        <v>46296</v>
      </c>
      <c r="N2411" s="5" t="str">
        <v/>
      </c>
      <c r="O2411" s="5">
        <v>102925</v>
      </c>
      <c r="P2411" s="5">
        <v>2</v>
      </c>
      <c r="Q2411" s="14">
        <v>46301</v>
      </c>
      <c r="R2411" s="15">
        <v>127</v>
      </c>
    </row>
    <row r="2412" spans="2:18" x14ac:dyDescent="0.35">
      <c r="B2412" s="9">
        <v>1755</v>
      </c>
      <c r="C2412" s="9" t="str">
        <v>출고재고</v>
      </c>
      <c r="D2412" s="9" t="str">
        <v/>
      </c>
      <c r="E2412" s="9" t="str">
        <v/>
      </c>
      <c r="F2412" s="9" t="str">
        <v/>
      </c>
      <c r="G2412" s="9" t="str">
        <v/>
      </c>
      <c r="H2412" s="9" t="str">
        <v>RA-07M-1666</v>
      </c>
      <c r="I2412" s="11" t="str">
        <v>RA-07M-1666]BLK STOPPER MICROMTR HEAD(VA</v>
      </c>
      <c r="J2412" s="9">
        <v>134</v>
      </c>
      <c r="K2412" s="9" t="str">
        <v/>
      </c>
      <c r="L2412" s="9" t="str">
        <v>J2-1</v>
      </c>
      <c r="M2412" s="12">
        <v>46294</v>
      </c>
      <c r="N2412" s="5" t="str">
        <v/>
      </c>
      <c r="O2412" s="5">
        <v>102925</v>
      </c>
      <c r="P2412" s="5">
        <v>20</v>
      </c>
      <c r="Q2412" s="14">
        <v>46301</v>
      </c>
      <c r="R2412" s="15">
        <v>114</v>
      </c>
    </row>
    <row r="2413" spans="2:18" x14ac:dyDescent="0.35">
      <c r="B2413" s="9">
        <v>1745</v>
      </c>
      <c r="C2413" s="9" t="str">
        <v>출고재고</v>
      </c>
      <c r="D2413" s="9" t="str">
        <v/>
      </c>
      <c r="E2413" s="9" t="str">
        <v/>
      </c>
      <c r="F2413" s="9" t="str">
        <v/>
      </c>
      <c r="G2413" s="9" t="str">
        <v/>
      </c>
      <c r="H2413" s="9" t="str">
        <v>RA-07V-2782</v>
      </c>
      <c r="I2413" s="11" t="str">
        <v>RA-07V-2782]CVR DET MOT LINKER (IR)</v>
      </c>
      <c r="J2413" s="9">
        <v>135</v>
      </c>
      <c r="K2413" s="9" t="str">
        <v/>
      </c>
      <c r="L2413" s="9" t="str">
        <v>J2-3</v>
      </c>
      <c r="M2413" s="12">
        <v>46294</v>
      </c>
      <c r="N2413" s="5" t="str">
        <v/>
      </c>
      <c r="O2413" s="5">
        <v>102925</v>
      </c>
      <c r="P2413" s="5">
        <v>20</v>
      </c>
      <c r="Q2413" s="14">
        <v>46301</v>
      </c>
      <c r="R2413" s="15">
        <v>115</v>
      </c>
    </row>
    <row r="2414" spans="2:18" x14ac:dyDescent="0.35">
      <c r="B2414" s="9">
        <v>1771</v>
      </c>
      <c r="C2414" s="9" t="str">
        <v>출고재고</v>
      </c>
      <c r="D2414" s="9" t="str">
        <v/>
      </c>
      <c r="E2414" s="9" t="str">
        <v/>
      </c>
      <c r="F2414" s="9" t="str">
        <v/>
      </c>
      <c r="G2414" s="9" t="str">
        <v/>
      </c>
      <c r="H2414" s="9" t="str">
        <v>RA-06M-2085</v>
      </c>
      <c r="I2414" s="11" t="str">
        <v>RA-06M-2085]BLK FIX COL LWR(A+)</v>
      </c>
      <c r="J2414" s="9">
        <v>139</v>
      </c>
      <c r="K2414" s="9" t="str">
        <v/>
      </c>
      <c r="L2414" s="9" t="str">
        <v>I2-1</v>
      </c>
      <c r="M2414" s="12">
        <v>46294</v>
      </c>
      <c r="N2414" s="5" t="str">
        <v/>
      </c>
      <c r="O2414" s="5">
        <v>102925</v>
      </c>
      <c r="P2414" s="5">
        <v>20</v>
      </c>
      <c r="Q2414" s="14">
        <v>46301</v>
      </c>
      <c r="R2414" s="15">
        <v>119</v>
      </c>
    </row>
    <row r="2415" spans="2:18" x14ac:dyDescent="0.35">
      <c r="B2415" s="9">
        <v>1795</v>
      </c>
      <c r="C2415" s="9" t="str">
        <v>출고재고</v>
      </c>
      <c r="D2415" s="9" t="str">
        <v/>
      </c>
      <c r="E2415" s="9" t="str">
        <v/>
      </c>
      <c r="F2415" s="9" t="str">
        <v/>
      </c>
      <c r="G2415" s="9" t="str">
        <v/>
      </c>
      <c r="H2415" s="9" t="str">
        <v>RA-07M-1655</v>
      </c>
      <c r="I2415" s="11" t="str">
        <v>RA-07M-1655]COL B-Ring GUIDE (VA)</v>
      </c>
      <c r="J2415" s="9">
        <v>140</v>
      </c>
      <c r="K2415" s="9" t="str">
        <v/>
      </c>
      <c r="L2415" s="9" t="str">
        <v>J2-1</v>
      </c>
      <c r="M2415" s="12">
        <v>46294</v>
      </c>
      <c r="N2415" s="5" t="str">
        <v/>
      </c>
      <c r="O2415" s="5">
        <v>102925</v>
      </c>
      <c r="P2415" s="5">
        <v>40</v>
      </c>
      <c r="Q2415" s="14">
        <v>46301</v>
      </c>
      <c r="R2415" s="15">
        <v>100</v>
      </c>
    </row>
    <row r="2416" spans="2:18" x14ac:dyDescent="0.35">
      <c r="B2416" s="9">
        <v>1990</v>
      </c>
      <c r="C2416" s="9" t="str">
        <v>출고재고</v>
      </c>
      <c r="D2416" s="9" t="str">
        <v/>
      </c>
      <c r="E2416" s="9" t="str">
        <v/>
      </c>
      <c r="F2416" s="9" t="str">
        <v/>
      </c>
      <c r="G2416" s="9" t="str">
        <v/>
      </c>
      <c r="H2416" s="9" t="str">
        <v>RA-03S-6009A</v>
      </c>
      <c r="I2416" s="11" t="str">
        <v>RA-03S-6009A]A2K_LBM01-370</v>
      </c>
      <c r="J2416" s="9">
        <v>159</v>
      </c>
      <c r="K2416" s="9" t="str">
        <v/>
      </c>
      <c r="L2416" s="9" t="str">
        <v>L1-2</v>
      </c>
      <c r="M2416" s="12">
        <v>46295</v>
      </c>
      <c r="N2416" s="5" t="str">
        <v/>
      </c>
      <c r="O2416" s="5">
        <v>102925</v>
      </c>
      <c r="P2416" s="5">
        <v>20</v>
      </c>
      <c r="Q2416" s="14">
        <v>46301</v>
      </c>
      <c r="R2416" s="15">
        <v>139</v>
      </c>
    </row>
    <row r="2417" spans="2:18" x14ac:dyDescent="0.35">
      <c r="B2417" s="9">
        <v>1758</v>
      </c>
      <c r="C2417" s="9" t="str">
        <v>출고재고</v>
      </c>
      <c r="D2417" s="9" t="str">
        <v/>
      </c>
      <c r="E2417" s="9" t="str">
        <v/>
      </c>
      <c r="F2417" s="9" t="str">
        <v/>
      </c>
      <c r="G2417" s="9" t="str">
        <v/>
      </c>
      <c r="H2417" s="9" t="str">
        <v>RA-07V-2787</v>
      </c>
      <c r="I2417" s="11" t="str">
        <v>RA-07V-2787]BRK DET PCB (IR)</v>
      </c>
      <c r="J2417" s="9">
        <v>170</v>
      </c>
      <c r="K2417" s="9" t="str">
        <v/>
      </c>
      <c r="L2417" s="9" t="str">
        <v>J2-3</v>
      </c>
      <c r="M2417" s="12">
        <v>46294</v>
      </c>
      <c r="N2417" s="5" t="str">
        <v/>
      </c>
      <c r="O2417" s="5">
        <v>102925</v>
      </c>
      <c r="P2417" s="5">
        <v>20</v>
      </c>
      <c r="Q2417" s="14">
        <v>46301</v>
      </c>
      <c r="R2417" s="15">
        <v>150</v>
      </c>
    </row>
    <row r="2418" spans="2:18" x14ac:dyDescent="0.35">
      <c r="B2418" s="9">
        <v>1761</v>
      </c>
      <c r="C2418" s="9" t="str">
        <v>출고재고</v>
      </c>
      <c r="D2418" s="9" t="str">
        <v/>
      </c>
      <c r="E2418" s="9" t="str">
        <v/>
      </c>
      <c r="F2418" s="9" t="str">
        <v/>
      </c>
      <c r="G2418" s="9" t="str">
        <v/>
      </c>
      <c r="H2418" s="9" t="str">
        <v>RS-02S-5135</v>
      </c>
      <c r="I2418" s="11" t="str">
        <v>RS-02S-5135]PHOtSNSR-EE-SX671A</v>
      </c>
      <c r="J2418" s="9">
        <v>170</v>
      </c>
      <c r="K2418" s="9" t="str">
        <v/>
      </c>
      <c r="L2418" s="9" t="str">
        <v>A12-3</v>
      </c>
      <c r="M2418" s="12">
        <v>46294</v>
      </c>
      <c r="N2418" s="5" t="str">
        <v/>
      </c>
      <c r="O2418" s="5">
        <v>102925</v>
      </c>
      <c r="P2418" s="5">
        <v>20</v>
      </c>
      <c r="Q2418" s="14">
        <v>46301</v>
      </c>
      <c r="R2418" s="15">
        <v>150</v>
      </c>
    </row>
    <row r="2419" spans="2:18" x14ac:dyDescent="0.35">
      <c r="B2419" s="9">
        <v>1749</v>
      </c>
      <c r="C2419" s="9" t="str">
        <v>출고재고</v>
      </c>
      <c r="D2419" s="9" t="str">
        <v/>
      </c>
      <c r="E2419" s="9" t="str">
        <v/>
      </c>
      <c r="F2419" s="9" t="str">
        <v/>
      </c>
      <c r="G2419" s="9" t="str">
        <v/>
      </c>
      <c r="H2419" s="9" t="str">
        <v>RA-07S-1654</v>
      </c>
      <c r="I2419" s="11" t="str">
        <v>RA-07S-1654]LM RAIL SET (MGN9C-125L (VA)</v>
      </c>
      <c r="J2419" s="9">
        <v>181</v>
      </c>
      <c r="K2419" s="9" t="str">
        <v/>
      </c>
      <c r="L2419" s="9" t="str">
        <v>J2-2</v>
      </c>
      <c r="M2419" s="12">
        <v>46294</v>
      </c>
      <c r="N2419" s="5" t="str">
        <v/>
      </c>
      <c r="O2419" s="5">
        <v>102925</v>
      </c>
      <c r="P2419" s="5">
        <v>20</v>
      </c>
      <c r="Q2419" s="14">
        <v>46301</v>
      </c>
      <c r="R2419" s="15">
        <v>161</v>
      </c>
    </row>
    <row r="2420" spans="2:18" x14ac:dyDescent="0.35">
      <c r="B2420" s="9">
        <v>1991</v>
      </c>
      <c r="C2420" s="9" t="str">
        <v>출고재고</v>
      </c>
      <c r="D2420" s="9" t="str">
        <v/>
      </c>
      <c r="E2420" s="9" t="str">
        <v/>
      </c>
      <c r="F2420" s="9" t="str">
        <v/>
      </c>
      <c r="G2420" s="9" t="str">
        <v/>
      </c>
      <c r="H2420" s="9" t="str">
        <v>RA-06V-2138</v>
      </c>
      <c r="I2420" s="11" t="str">
        <v>RA-06V-2138]BRK COL Bd (A+)</v>
      </c>
      <c r="J2420" s="9">
        <v>182</v>
      </c>
      <c r="K2420" s="9" t="str">
        <v/>
      </c>
      <c r="L2420" s="9" t="str">
        <v>I2-3</v>
      </c>
      <c r="M2420" s="12">
        <v>46295</v>
      </c>
      <c r="N2420" s="5" t="str">
        <v/>
      </c>
      <c r="O2420" s="5">
        <v>102925</v>
      </c>
      <c r="P2420" s="5">
        <v>20</v>
      </c>
      <c r="Q2420" s="14">
        <v>46301</v>
      </c>
      <c r="R2420" s="15">
        <v>162</v>
      </c>
    </row>
    <row r="2421" spans="2:18" x14ac:dyDescent="0.35">
      <c r="B2421" s="9">
        <v>1770</v>
      </c>
      <c r="C2421" s="9" t="str">
        <v>출고재고</v>
      </c>
      <c r="D2421" s="9" t="str">
        <v/>
      </c>
      <c r="E2421" s="9" t="str">
        <v/>
      </c>
      <c r="F2421" s="9" t="str">
        <v/>
      </c>
      <c r="G2421" s="9" t="str">
        <v/>
      </c>
      <c r="H2421" s="9" t="str">
        <v>RA-06M-2084</v>
      </c>
      <c r="I2421" s="11" t="str">
        <v>RA-06M-2084]BLK FIX COL UPPER(A+)</v>
      </c>
      <c r="J2421" s="9">
        <v>184</v>
      </c>
      <c r="K2421" s="9" t="str">
        <v/>
      </c>
      <c r="L2421" s="9" t="str">
        <v>I2-1</v>
      </c>
      <c r="M2421" s="12">
        <v>46294</v>
      </c>
      <c r="N2421" s="5" t="str">
        <v/>
      </c>
      <c r="O2421" s="5">
        <v>102925</v>
      </c>
      <c r="P2421" s="5">
        <v>20</v>
      </c>
      <c r="Q2421" s="14">
        <v>46301</v>
      </c>
      <c r="R2421" s="15">
        <v>164</v>
      </c>
    </row>
    <row r="2422" spans="2:18" x14ac:dyDescent="0.35">
      <c r="B2422" s="9">
        <v>1772</v>
      </c>
      <c r="C2422" s="9" t="str">
        <v>출고재고</v>
      </c>
      <c r="D2422" s="9" t="str">
        <v/>
      </c>
      <c r="E2422" s="9" t="str">
        <v/>
      </c>
      <c r="F2422" s="9" t="str">
        <v/>
      </c>
      <c r="G2422" s="9" t="str">
        <v/>
      </c>
      <c r="H2422" s="9" t="str">
        <v>RA-06V-2140</v>
      </c>
      <c r="I2422" s="11" t="str">
        <v>RA-06V-2140]BRK TUBE CAS FRONT (A+)</v>
      </c>
      <c r="J2422" s="9">
        <v>197</v>
      </c>
      <c r="K2422" s="9" t="str">
        <v/>
      </c>
      <c r="L2422" s="9" t="str">
        <v>H3-4</v>
      </c>
      <c r="M2422" s="12">
        <v>46294</v>
      </c>
      <c r="N2422" s="5" t="str">
        <v/>
      </c>
      <c r="O2422" s="5">
        <v>102925</v>
      </c>
      <c r="P2422" s="5">
        <v>20</v>
      </c>
      <c r="Q2422" s="14">
        <v>46301</v>
      </c>
      <c r="R2422" s="15">
        <v>177</v>
      </c>
    </row>
    <row r="2423" spans="2:18" x14ac:dyDescent="0.35">
      <c r="B2423" s="9">
        <v>1751</v>
      </c>
      <c r="C2423" s="9" t="str">
        <v>출고재고</v>
      </c>
      <c r="D2423" s="9" t="str">
        <v/>
      </c>
      <c r="E2423" s="9" t="str">
        <v/>
      </c>
      <c r="F2423" s="9" t="str">
        <v/>
      </c>
      <c r="G2423" s="9" t="str">
        <v/>
      </c>
      <c r="H2423" s="9" t="str">
        <v>RA-07V-2784</v>
      </c>
      <c r="I2423" s="11" t="str">
        <v>RA-07V-2784]PLT FIX DET (IR)</v>
      </c>
      <c r="J2423" s="9">
        <v>213</v>
      </c>
      <c r="K2423" s="9" t="str">
        <v/>
      </c>
      <c r="L2423" s="9" t="str">
        <v>O4</v>
      </c>
      <c r="M2423" s="12">
        <v>46294</v>
      </c>
      <c r="N2423" s="5" t="str">
        <v/>
      </c>
      <c r="O2423" s="5">
        <v>102925</v>
      </c>
      <c r="P2423" s="5">
        <v>20</v>
      </c>
      <c r="Q2423" s="14">
        <v>46301</v>
      </c>
      <c r="R2423" s="15">
        <v>193</v>
      </c>
    </row>
    <row r="2424" spans="2:18" x14ac:dyDescent="0.35">
      <c r="B2424" s="9">
        <v>1746</v>
      </c>
      <c r="C2424" s="9" t="str">
        <v>출고재고</v>
      </c>
      <c r="D2424" s="9" t="str">
        <v/>
      </c>
      <c r="E2424" s="9" t="str">
        <v/>
      </c>
      <c r="F2424" s="9" t="str">
        <v/>
      </c>
      <c r="G2424" s="9" t="str">
        <v/>
      </c>
      <c r="H2424" s="9" t="str">
        <v>RA-06S-0214</v>
      </c>
      <c r="I2424" s="11" t="str">
        <v>RA-06S-0214]COUPLING DISK</v>
      </c>
      <c r="J2424" s="9">
        <v>221</v>
      </c>
      <c r="K2424" s="9" t="str">
        <v/>
      </c>
      <c r="L2424" s="9" t="str">
        <v>H3-7</v>
      </c>
      <c r="M2424" s="12">
        <v>46294</v>
      </c>
      <c r="N2424" s="5" t="str">
        <v/>
      </c>
      <c r="O2424" s="5">
        <v>102925</v>
      </c>
      <c r="P2424" s="5">
        <v>20</v>
      </c>
      <c r="Q2424" s="14">
        <v>46301</v>
      </c>
      <c r="R2424" s="15">
        <v>201</v>
      </c>
    </row>
    <row r="2425" spans="2:18" x14ac:dyDescent="0.35">
      <c r="B2425" s="9">
        <v>1773</v>
      </c>
      <c r="C2425" s="9" t="str">
        <v>출고재고</v>
      </c>
      <c r="D2425" s="9" t="str">
        <v/>
      </c>
      <c r="E2425" s="9" t="str">
        <v/>
      </c>
      <c r="F2425" s="9" t="str">
        <v/>
      </c>
      <c r="G2425" s="9" t="str">
        <v/>
      </c>
      <c r="H2425" s="9" t="str">
        <v>RA-06V-2141</v>
      </c>
      <c r="I2425" s="11" t="str">
        <v>RA-06V-2141]BRK TUBE CAS REAR (A+)</v>
      </c>
      <c r="J2425" s="9">
        <v>240</v>
      </c>
      <c r="K2425" s="9" t="str">
        <v/>
      </c>
      <c r="L2425" s="9" t="str">
        <v>H3-4</v>
      </c>
      <c r="M2425" s="12">
        <v>46294</v>
      </c>
      <c r="N2425" s="5" t="str">
        <v/>
      </c>
      <c r="O2425" s="5">
        <v>102925</v>
      </c>
      <c r="P2425" s="5">
        <v>20</v>
      </c>
      <c r="Q2425" s="14">
        <v>46301</v>
      </c>
      <c r="R2425" s="15">
        <v>220</v>
      </c>
    </row>
    <row r="2426" spans="2:18" x14ac:dyDescent="0.35">
      <c r="B2426" s="9">
        <v>1922</v>
      </c>
      <c r="C2426" s="9" t="str">
        <v>출고재고</v>
      </c>
      <c r="D2426" s="9" t="str">
        <v/>
      </c>
      <c r="E2426" s="9" t="str">
        <v/>
      </c>
      <c r="F2426" s="9" t="str">
        <v/>
      </c>
      <c r="G2426" s="9" t="str">
        <v/>
      </c>
      <c r="H2426" s="9" t="str">
        <v>RA-07M-3434</v>
      </c>
      <c r="I2426" s="11" t="str">
        <v>RA-07M-3434]BLK MICROMTR HEAD (ST)</v>
      </c>
      <c r="J2426" s="9">
        <v>241</v>
      </c>
      <c r="K2426" s="9" t="str">
        <v/>
      </c>
      <c r="L2426" s="9" t="str">
        <v>J3-2</v>
      </c>
      <c r="M2426" s="12">
        <v>46295</v>
      </c>
      <c r="N2426" s="5" t="str">
        <v/>
      </c>
      <c r="O2426" s="5">
        <v>102925</v>
      </c>
      <c r="P2426" s="5">
        <v>20</v>
      </c>
      <c r="Q2426" s="14">
        <v>46301</v>
      </c>
      <c r="R2426" s="15">
        <v>221</v>
      </c>
    </row>
    <row r="2427" spans="2:18" x14ac:dyDescent="0.35">
      <c r="B2427" s="9">
        <v>1753</v>
      </c>
      <c r="C2427" s="9" t="str">
        <v>출고재고</v>
      </c>
      <c r="D2427" s="9" t="str">
        <v/>
      </c>
      <c r="E2427" s="9" t="str">
        <v/>
      </c>
      <c r="F2427" s="9" t="str">
        <v/>
      </c>
      <c r="G2427" s="9" t="str">
        <v/>
      </c>
      <c r="H2427" s="9" t="str">
        <v>RA-07V-2785</v>
      </c>
      <c r="I2427" s="11" t="str">
        <v>RA-07V-2785]PLT ADJUST DET (IR)</v>
      </c>
      <c r="J2427" s="9">
        <v>243</v>
      </c>
      <c r="K2427" s="9" t="str">
        <v/>
      </c>
      <c r="L2427" s="9" t="str">
        <v>O4</v>
      </c>
      <c r="M2427" s="12">
        <v>46294</v>
      </c>
      <c r="N2427" s="5" t="str">
        <v/>
      </c>
      <c r="O2427" s="5">
        <v>102925</v>
      </c>
      <c r="P2427" s="5">
        <v>20</v>
      </c>
      <c r="Q2427" s="14">
        <v>46301</v>
      </c>
      <c r="R2427" s="15">
        <v>223</v>
      </c>
    </row>
    <row r="2428" spans="2:18" x14ac:dyDescent="0.35">
      <c r="B2428" s="9">
        <v>1769</v>
      </c>
      <c r="C2428" s="9" t="str">
        <v>출고재고</v>
      </c>
      <c r="D2428" s="9" t="str">
        <v/>
      </c>
      <c r="E2428" s="9" t="str">
        <v/>
      </c>
      <c r="F2428" s="9" t="str">
        <v/>
      </c>
      <c r="G2428" s="9" t="str">
        <v/>
      </c>
      <c r="H2428" s="9" t="str">
        <v>RA-06A-2745</v>
      </c>
      <c r="I2428" s="11" t="str">
        <v>RA-06A-2745]SHAFT BRASS COL (A+) (VN)</v>
      </c>
      <c r="J2428" s="9">
        <v>244</v>
      </c>
      <c r="K2428" s="9" t="str">
        <v/>
      </c>
      <c r="L2428" s="9" t="str">
        <v>H1</v>
      </c>
      <c r="M2428" s="12">
        <v>46294</v>
      </c>
      <c r="N2428" s="5" t="str">
        <v/>
      </c>
      <c r="O2428" s="5">
        <v>102925</v>
      </c>
      <c r="P2428" s="5">
        <v>20</v>
      </c>
      <c r="Q2428" s="14">
        <v>46301</v>
      </c>
      <c r="R2428" s="15">
        <v>224</v>
      </c>
    </row>
    <row r="2429" spans="2:18" x14ac:dyDescent="0.35">
      <c r="B2429" s="9">
        <v>2108</v>
      </c>
      <c r="C2429" s="9" t="str">
        <v>출고재고</v>
      </c>
      <c r="D2429" s="9" t="str">
        <v/>
      </c>
      <c r="E2429" s="9" t="str">
        <v/>
      </c>
      <c r="F2429" s="9" t="str">
        <v/>
      </c>
      <c r="G2429" s="9" t="str">
        <v/>
      </c>
      <c r="H2429" s="9" t="str">
        <v>RA-06S-5018</v>
      </c>
      <c r="I2429" s="11" t="str">
        <v>RA-06S-5018]MICRO SWITCH</v>
      </c>
      <c r="J2429" s="9">
        <v>260</v>
      </c>
      <c r="K2429" s="9" t="str">
        <v/>
      </c>
      <c r="L2429" s="9" t="str">
        <v>A12-3</v>
      </c>
      <c r="M2429" s="12">
        <v>46286</v>
      </c>
      <c r="N2429" s="5" t="str">
        <v/>
      </c>
      <c r="O2429" s="5">
        <v>102925</v>
      </c>
      <c r="P2429" s="5">
        <v>40</v>
      </c>
      <c r="Q2429" s="14">
        <v>46301</v>
      </c>
      <c r="R2429" s="15">
        <v>220</v>
      </c>
    </row>
    <row r="2430" spans="2:18" x14ac:dyDescent="0.35">
      <c r="B2430" s="9">
        <v>1747</v>
      </c>
      <c r="C2430" s="9" t="str">
        <v>출고재고</v>
      </c>
      <c r="D2430" s="9" t="str">
        <v/>
      </c>
      <c r="E2430" s="9" t="str">
        <v/>
      </c>
      <c r="F2430" s="9" t="str">
        <v/>
      </c>
      <c r="G2430" s="9" t="str">
        <v/>
      </c>
      <c r="H2430" s="9" t="str">
        <v>RA-07M-2783</v>
      </c>
      <c r="I2430" s="11" t="str">
        <v>RA-07M-2783]BLK MOT HOUSING (IR)</v>
      </c>
      <c r="J2430" s="9">
        <v>267</v>
      </c>
      <c r="K2430" s="9" t="str">
        <v/>
      </c>
      <c r="L2430" s="9" t="str">
        <v>J2-1</v>
      </c>
      <c r="M2430" s="12">
        <v>46294</v>
      </c>
      <c r="N2430" s="5" t="str">
        <v/>
      </c>
      <c r="O2430" s="5">
        <v>102925</v>
      </c>
      <c r="P2430" s="5">
        <v>20</v>
      </c>
      <c r="Q2430" s="14">
        <v>46301</v>
      </c>
      <c r="R2430" s="15">
        <v>247</v>
      </c>
    </row>
    <row r="2431" spans="2:18" x14ac:dyDescent="0.35">
      <c r="B2431" s="9">
        <v>2279</v>
      </c>
      <c r="C2431" s="9" t="str">
        <v>출고재고</v>
      </c>
      <c r="D2431" s="9" t="str">
        <v/>
      </c>
      <c r="E2431" s="9" t="str">
        <v/>
      </c>
      <c r="F2431" s="9" t="str">
        <v/>
      </c>
      <c r="G2431" s="9" t="str">
        <v/>
      </c>
      <c r="H2431" s="9" t="str">
        <v>RA-1-8B</v>
      </c>
      <c r="I2431" s="11" t="str">
        <v>RA-1-8B]AC POWER PFC CONNECT</v>
      </c>
      <c r="J2431" s="9">
        <v>272</v>
      </c>
      <c r="K2431" s="9" t="str">
        <v/>
      </c>
      <c r="L2431" s="9" t="str">
        <v>G3-1</v>
      </c>
      <c r="M2431" s="12">
        <v>46303</v>
      </c>
      <c r="N2431" s="5" t="str">
        <v/>
      </c>
      <c r="O2431" s="5">
        <v>102925</v>
      </c>
      <c r="P2431" s="5">
        <v>20</v>
      </c>
      <c r="Q2431" s="14">
        <v>46301</v>
      </c>
      <c r="R2431" s="15">
        <v>252</v>
      </c>
    </row>
    <row r="2432" spans="2:18" x14ac:dyDescent="0.35">
      <c r="B2432" s="9">
        <v>2107</v>
      </c>
      <c r="C2432" s="9" t="str">
        <v>출고재고</v>
      </c>
      <c r="D2432" s="9" t="str">
        <v/>
      </c>
      <c r="E2432" s="9" t="str">
        <v/>
      </c>
      <c r="F2432" s="9" t="str">
        <v/>
      </c>
      <c r="G2432" s="9" t="str">
        <v/>
      </c>
      <c r="H2432" s="9" t="str">
        <v>RA-06M-0432</v>
      </c>
      <c r="I2432" s="11" t="str">
        <v>RA-06M-0432]FLANGE TUBE TILT SHAFT B</v>
      </c>
      <c r="J2432" s="9">
        <v>279</v>
      </c>
      <c r="K2432" s="9" t="str">
        <v/>
      </c>
      <c r="L2432" s="9" t="str">
        <v>H4-1</v>
      </c>
      <c r="M2432" s="12">
        <v>46286</v>
      </c>
      <c r="N2432" s="5" t="str">
        <v/>
      </c>
      <c r="O2432" s="5">
        <v>102925</v>
      </c>
      <c r="P2432" s="5">
        <v>20</v>
      </c>
      <c r="Q2432" s="14">
        <v>46301</v>
      </c>
      <c r="R2432" s="15">
        <v>259</v>
      </c>
    </row>
    <row r="2433" spans="2:18" x14ac:dyDescent="0.35">
      <c r="B2433" s="9">
        <v>1760</v>
      </c>
      <c r="C2433" s="9" t="str">
        <v>출고재고</v>
      </c>
      <c r="D2433" s="9" t="str">
        <v/>
      </c>
      <c r="E2433" s="9" t="str">
        <v/>
      </c>
      <c r="F2433" s="9" t="str">
        <v/>
      </c>
      <c r="G2433" s="9" t="str">
        <v/>
      </c>
      <c r="H2433" s="9" t="str">
        <v>RA-07V-1669</v>
      </c>
      <c r="I2433" s="11" t="str">
        <v>RA-07V-1669]PLT PHOTSNSR (VA)</v>
      </c>
      <c r="J2433" s="9">
        <v>283</v>
      </c>
      <c r="K2433" s="9" t="str">
        <v/>
      </c>
      <c r="L2433" s="9" t="str">
        <v>J2-3</v>
      </c>
      <c r="M2433" s="12">
        <v>46294</v>
      </c>
      <c r="N2433" s="5" t="str">
        <v/>
      </c>
      <c r="O2433" s="5">
        <v>102925</v>
      </c>
      <c r="P2433" s="5">
        <v>20</v>
      </c>
      <c r="Q2433" s="14">
        <v>46301</v>
      </c>
      <c r="R2433" s="15">
        <v>263</v>
      </c>
    </row>
    <row r="2434" spans="2:18" x14ac:dyDescent="0.35">
      <c r="B2434" s="9">
        <v>1992</v>
      </c>
      <c r="C2434" s="9" t="str">
        <v>출고재고</v>
      </c>
      <c r="D2434" s="9" t="str">
        <v/>
      </c>
      <c r="E2434" s="9" t="str">
        <v/>
      </c>
      <c r="F2434" s="9" t="str">
        <v/>
      </c>
      <c r="G2434" s="9" t="str">
        <v/>
      </c>
      <c r="H2434" s="9" t="str">
        <v>RA-06A-6006</v>
      </c>
      <c r="I2434" s="11" t="str">
        <v>RA-06A-6006]Bd ASSY'-Fcol MCU</v>
      </c>
      <c r="J2434" s="9">
        <v>296</v>
      </c>
      <c r="K2434" s="9" t="str">
        <v/>
      </c>
      <c r="L2434" s="9" t="str">
        <v>A2-1</v>
      </c>
      <c r="M2434" s="12">
        <v>46295</v>
      </c>
      <c r="N2434" s="5" t="str">
        <v/>
      </c>
      <c r="O2434" s="5">
        <v>102925</v>
      </c>
      <c r="P2434" s="5">
        <v>20</v>
      </c>
      <c r="Q2434" s="14">
        <v>46301</v>
      </c>
      <c r="R2434" s="15">
        <v>276</v>
      </c>
    </row>
    <row r="2435" spans="2:18" x14ac:dyDescent="0.35">
      <c r="B2435" s="9">
        <v>1925</v>
      </c>
      <c r="C2435" s="9" t="str">
        <v>출고재고</v>
      </c>
      <c r="D2435" s="9" t="str">
        <v/>
      </c>
      <c r="E2435" s="9" t="str">
        <v/>
      </c>
      <c r="F2435" s="9" t="str">
        <v/>
      </c>
      <c r="G2435" s="9" t="str">
        <v/>
      </c>
      <c r="H2435" s="9" t="str">
        <v>RA-04S-0977</v>
      </c>
      <c r="I2435" s="11" t="str">
        <v>RA-04S-0977]SPRING CEPH AND ARM</v>
      </c>
      <c r="J2435" s="9">
        <v>299</v>
      </c>
      <c r="K2435" s="9" t="str">
        <v/>
      </c>
      <c r="L2435" s="9" t="str">
        <v>B2-2</v>
      </c>
      <c r="M2435" s="12">
        <v>46295</v>
      </c>
      <c r="N2435" s="5" t="str">
        <v/>
      </c>
      <c r="O2435" s="5">
        <v>102925</v>
      </c>
      <c r="P2435" s="5">
        <v>20</v>
      </c>
      <c r="Q2435" s="14">
        <v>46301</v>
      </c>
      <c r="R2435" s="15">
        <v>279</v>
      </c>
    </row>
    <row r="2436" spans="2:18" x14ac:dyDescent="0.35">
      <c r="B2436" s="9">
        <v>2117</v>
      </c>
      <c r="C2436" s="9" t="str">
        <v>출고재고</v>
      </c>
      <c r="D2436" s="9" t="str">
        <v/>
      </c>
      <c r="E2436" s="9" t="str">
        <v/>
      </c>
      <c r="F2436" s="9" t="str">
        <v/>
      </c>
      <c r="G2436" s="9" t="str">
        <v/>
      </c>
      <c r="H2436" s="9" t="str">
        <v>RA-06V-0242</v>
      </c>
      <c r="I2436" s="11" t="str">
        <v>RA-06V-0242]BRK TUBE TILT MICRO SW</v>
      </c>
      <c r="J2436" s="9">
        <v>337</v>
      </c>
      <c r="K2436" s="9" t="str">
        <v/>
      </c>
      <c r="L2436" s="9" t="str">
        <v>H3-3</v>
      </c>
      <c r="M2436" s="12">
        <v>46286</v>
      </c>
      <c r="N2436" s="5" t="str">
        <v/>
      </c>
      <c r="O2436" s="5">
        <v>102925</v>
      </c>
      <c r="P2436" s="5">
        <v>20</v>
      </c>
      <c r="Q2436" s="14">
        <v>46301</v>
      </c>
      <c r="R2436" s="15">
        <v>317</v>
      </c>
    </row>
    <row r="2437" spans="2:18" x14ac:dyDescent="0.35">
      <c r="B2437" s="9">
        <v>2118</v>
      </c>
      <c r="C2437" s="9" t="str">
        <v>출고재고</v>
      </c>
      <c r="D2437" s="9" t="str">
        <v/>
      </c>
      <c r="E2437" s="9" t="str">
        <v/>
      </c>
      <c r="F2437" s="9" t="str">
        <v/>
      </c>
      <c r="G2437" s="9" t="str">
        <v/>
      </c>
      <c r="H2437" s="9" t="str">
        <v>RA-06S-5091</v>
      </c>
      <c r="I2437" s="11" t="str">
        <v>RA-06S-5091] DC motor(HDSG56-3448C-615)</v>
      </c>
      <c r="J2437" s="9">
        <v>344</v>
      </c>
      <c r="K2437" s="9" t="str">
        <v/>
      </c>
      <c r="L2437" s="9" t="str">
        <v>Q</v>
      </c>
      <c r="M2437" s="12">
        <v>46286</v>
      </c>
      <c r="N2437" s="5" t="str">
        <v/>
      </c>
      <c r="O2437" s="5">
        <v>102925</v>
      </c>
      <c r="P2437" s="5">
        <v>20</v>
      </c>
      <c r="Q2437" s="14">
        <v>46301</v>
      </c>
      <c r="R2437" s="15">
        <v>324</v>
      </c>
    </row>
    <row r="2438" spans="2:18" x14ac:dyDescent="0.35">
      <c r="B2438" s="9">
        <v>2112</v>
      </c>
      <c r="C2438" s="9" t="str">
        <v>출고재고</v>
      </c>
      <c r="D2438" s="9" t="str">
        <v/>
      </c>
      <c r="E2438" s="9" t="str">
        <v/>
      </c>
      <c r="F2438" s="9" t="str">
        <v/>
      </c>
      <c r="G2438" s="9" t="str">
        <v/>
      </c>
      <c r="H2438" s="9" t="str">
        <v>RA-06M-0244</v>
      </c>
      <c r="I2438" s="11" t="str">
        <v>RA-06M-0244]PIN TUBE TILT LIMIT</v>
      </c>
      <c r="J2438" s="9">
        <v>374</v>
      </c>
      <c r="K2438" s="9" t="str">
        <v/>
      </c>
      <c r="L2438" s="9" t="str">
        <v>I3-3</v>
      </c>
      <c r="M2438" s="12">
        <v>46286</v>
      </c>
      <c r="N2438" s="5" t="str">
        <v/>
      </c>
      <c r="O2438" s="5">
        <v>102925</v>
      </c>
      <c r="P2438" s="5">
        <v>40</v>
      </c>
      <c r="Q2438" s="14">
        <v>46301</v>
      </c>
      <c r="R2438" s="15">
        <v>334</v>
      </c>
    </row>
    <row r="2439" spans="2:18" x14ac:dyDescent="0.35">
      <c r="B2439" s="9">
        <v>2111</v>
      </c>
      <c r="C2439" s="9" t="str">
        <v>출고재고</v>
      </c>
      <c r="D2439" s="9" t="str">
        <v/>
      </c>
      <c r="E2439" s="9" t="str">
        <v/>
      </c>
      <c r="F2439" s="9" t="str">
        <v/>
      </c>
      <c r="G2439" s="9" t="str">
        <v/>
      </c>
      <c r="H2439" s="9" t="str">
        <v>RA-06V-3253</v>
      </c>
      <c r="I2439" s="11" t="str">
        <v>RA-06V-3253]HLDR DC GEARED MOT (M+)</v>
      </c>
      <c r="J2439" s="9">
        <v>389</v>
      </c>
      <c r="K2439" s="9" t="str">
        <v/>
      </c>
      <c r="L2439" s="9" t="str">
        <v>I2-1</v>
      </c>
      <c r="M2439" s="12">
        <v>46286</v>
      </c>
      <c r="N2439" s="5" t="str">
        <v/>
      </c>
      <c r="O2439" s="5">
        <v>102925</v>
      </c>
      <c r="P2439" s="5">
        <v>20</v>
      </c>
      <c r="Q2439" s="14">
        <v>46301</v>
      </c>
      <c r="R2439" s="15">
        <v>369</v>
      </c>
    </row>
    <row r="2440" spans="2:18" x14ac:dyDescent="0.35">
      <c r="B2440" s="9">
        <v>2280</v>
      </c>
      <c r="C2440" s="9" t="str">
        <v>출고재고</v>
      </c>
      <c r="D2440" s="9" t="str">
        <v/>
      </c>
      <c r="E2440" s="9" t="str">
        <v/>
      </c>
      <c r="F2440" s="9" t="str">
        <v/>
      </c>
      <c r="G2440" s="9" t="str">
        <v/>
      </c>
      <c r="H2440" s="9" t="str">
        <v>RA-5-5</v>
      </c>
      <c r="I2440" s="11" t="str">
        <v>RA-5-5]EARTH ROT TO PFC</v>
      </c>
      <c r="J2440" s="9">
        <v>406</v>
      </c>
      <c r="K2440" s="9" t="str">
        <v/>
      </c>
      <c r="L2440" s="9" t="str">
        <v>G3-2</v>
      </c>
      <c r="M2440" s="12">
        <v>46303</v>
      </c>
      <c r="N2440" s="5" t="str">
        <v/>
      </c>
      <c r="O2440" s="5">
        <v>102925</v>
      </c>
      <c r="P2440" s="5">
        <v>20</v>
      </c>
      <c r="Q2440" s="14">
        <v>46301</v>
      </c>
      <c r="R2440" s="15">
        <v>386</v>
      </c>
    </row>
    <row r="2441" spans="2:18" x14ac:dyDescent="0.35">
      <c r="B2441" s="9">
        <v>2113</v>
      </c>
      <c r="C2441" s="9" t="str">
        <v>출고재고</v>
      </c>
      <c r="D2441" s="9" t="str">
        <v/>
      </c>
      <c r="E2441" s="9" t="str">
        <v/>
      </c>
      <c r="F2441" s="9" t="str">
        <v/>
      </c>
      <c r="G2441" s="9" t="str">
        <v/>
      </c>
      <c r="H2441" s="9" t="str">
        <v>RA-3-3B</v>
      </c>
      <c r="I2441" s="11" t="str">
        <v>RA-3-3B]DCM CONTROL-B</v>
      </c>
      <c r="J2441" s="9">
        <v>432</v>
      </c>
      <c r="K2441" s="9" t="str">
        <v/>
      </c>
      <c r="L2441" s="9" t="str">
        <v>G2-1</v>
      </c>
      <c r="M2441" s="12">
        <v>46286</v>
      </c>
      <c r="N2441" s="5" t="str">
        <v/>
      </c>
      <c r="O2441" s="5">
        <v>102925</v>
      </c>
      <c r="P2441" s="5">
        <v>20</v>
      </c>
      <c r="Q2441" s="14">
        <v>46301</v>
      </c>
      <c r="R2441" s="15">
        <v>412</v>
      </c>
    </row>
    <row r="2442" spans="2:18" x14ac:dyDescent="0.35">
      <c r="B2442" s="9">
        <v>1748</v>
      </c>
      <c r="C2442" s="9" t="str">
        <v>출고재고</v>
      </c>
      <c r="D2442" s="9" t="str">
        <v/>
      </c>
      <c r="E2442" s="9" t="str">
        <v/>
      </c>
      <c r="F2442" s="9" t="str">
        <v/>
      </c>
      <c r="G2442" s="9" t="str">
        <v/>
      </c>
      <c r="H2442" s="9" t="str">
        <v>RA-07S-5019</v>
      </c>
      <c r="I2442" s="11" t="str">
        <v>RA-07S-5019]STEP MOT-KH42KM2-901</v>
      </c>
      <c r="J2442" s="9">
        <v>439</v>
      </c>
      <c r="K2442" s="9" t="str">
        <v/>
      </c>
      <c r="L2442" s="9" t="str">
        <v>Q</v>
      </c>
      <c r="M2442" s="12">
        <v>46294</v>
      </c>
      <c r="N2442" s="5" t="str">
        <v/>
      </c>
      <c r="O2442" s="5">
        <v>102925</v>
      </c>
      <c r="P2442" s="5">
        <v>20</v>
      </c>
      <c r="Q2442" s="14">
        <v>46301</v>
      </c>
      <c r="R2442" s="15">
        <v>419</v>
      </c>
    </row>
    <row r="2443" spans="2:18" x14ac:dyDescent="0.35">
      <c r="B2443" s="9">
        <v>2114</v>
      </c>
      <c r="C2443" s="9" t="str">
        <v>출고재고</v>
      </c>
      <c r="D2443" s="9" t="str">
        <v/>
      </c>
      <c r="E2443" s="9" t="str">
        <v/>
      </c>
      <c r="F2443" s="9" t="str">
        <v/>
      </c>
      <c r="G2443" s="9" t="str">
        <v/>
      </c>
      <c r="H2443" s="9" t="str">
        <v>RA-06V-0241</v>
      </c>
      <c r="I2443" s="11" t="str">
        <v>RA-06V-0241]GUIDE TUBE TILT MICRO SW</v>
      </c>
      <c r="J2443" s="9">
        <v>521</v>
      </c>
      <c r="K2443" s="9" t="str">
        <v/>
      </c>
      <c r="L2443" s="9" t="str">
        <v>H4-3</v>
      </c>
      <c r="M2443" s="12">
        <v>46286</v>
      </c>
      <c r="N2443" s="5" t="str">
        <v/>
      </c>
      <c r="O2443" s="5">
        <v>102925</v>
      </c>
      <c r="P2443" s="5">
        <v>20</v>
      </c>
      <c r="Q2443" s="14">
        <v>46301</v>
      </c>
      <c r="R2443" s="15">
        <v>501</v>
      </c>
    </row>
    <row r="2444" spans="2:18" x14ac:dyDescent="0.35">
      <c r="B2444" s="9">
        <v>1744</v>
      </c>
      <c r="C2444" s="9" t="str">
        <v>출고재고</v>
      </c>
      <c r="D2444" s="9" t="str">
        <v/>
      </c>
      <c r="E2444" s="9" t="str">
        <v/>
      </c>
      <c r="F2444" s="9" t="str">
        <v/>
      </c>
      <c r="G2444" s="9" t="str">
        <v/>
      </c>
      <c r="H2444" s="9" t="str">
        <v>RA-07M-1658</v>
      </c>
      <c r="I2444" s="11" t="str">
        <v>RA-07M-1658]BLK DET MOT LINKER (VA)</v>
      </c>
      <c r="J2444" s="9">
        <v>550</v>
      </c>
      <c r="K2444" s="9" t="str">
        <v/>
      </c>
      <c r="L2444" s="9" t="str">
        <v>J2-1</v>
      </c>
      <c r="M2444" s="12">
        <v>46294</v>
      </c>
      <c r="N2444" s="5" t="str">
        <v/>
      </c>
      <c r="O2444" s="5">
        <v>102925</v>
      </c>
      <c r="P2444" s="5">
        <v>20</v>
      </c>
      <c r="Q2444" s="14">
        <v>46301</v>
      </c>
      <c r="R2444" s="15">
        <v>530</v>
      </c>
    </row>
    <row r="2445" spans="2:18" x14ac:dyDescent="0.35">
      <c r="B2445" s="9">
        <v>2119</v>
      </c>
      <c r="C2445" s="9" t="str">
        <v>출고재고</v>
      </c>
      <c r="D2445" s="9" t="str">
        <v/>
      </c>
      <c r="E2445" s="9" t="str">
        <v/>
      </c>
      <c r="F2445" s="9" t="str">
        <v/>
      </c>
      <c r="G2445" s="9" t="str">
        <v/>
      </c>
      <c r="H2445" s="9" t="str">
        <v>RA-06V-0866</v>
      </c>
      <c r="I2445" s="11" t="str">
        <v>RA-06V-0866]BRK TUBE TILT MICRO SW</v>
      </c>
      <c r="J2445" s="9">
        <v>631</v>
      </c>
      <c r="K2445" s="9" t="str">
        <v/>
      </c>
      <c r="L2445" s="9" t="str">
        <v>H3-3</v>
      </c>
      <c r="M2445" s="12">
        <v>46286</v>
      </c>
      <c r="N2445" s="5" t="str">
        <v/>
      </c>
      <c r="O2445" s="5">
        <v>102925</v>
      </c>
      <c r="P2445" s="5">
        <v>20</v>
      </c>
      <c r="Q2445" s="14">
        <v>46301</v>
      </c>
      <c r="R2445" s="15">
        <v>611</v>
      </c>
    </row>
    <row r="2446" spans="2:18" x14ac:dyDescent="0.35">
      <c r="B2446" s="9">
        <v>2116</v>
      </c>
      <c r="C2446" s="9" t="str">
        <v>출고재고</v>
      </c>
      <c r="D2446" s="9" t="str">
        <v/>
      </c>
      <c r="E2446" s="9" t="str">
        <v/>
      </c>
      <c r="F2446" s="9" t="str">
        <v/>
      </c>
      <c r="G2446" s="9" t="str">
        <v/>
      </c>
      <c r="H2446" s="9" t="str">
        <v>RA-06A-5005</v>
      </c>
      <c r="I2446" s="11" t="str">
        <v>RA-06A-5005]Bd ASSY'-DC MOT Bd</v>
      </c>
      <c r="J2446" s="9">
        <v>684</v>
      </c>
      <c r="K2446" s="9" t="str">
        <v/>
      </c>
      <c r="L2446" s="9" t="str">
        <v>A3-2, A3-3</v>
      </c>
      <c r="M2446" s="12">
        <v>46286</v>
      </c>
      <c r="N2446" s="5" t="str">
        <v/>
      </c>
      <c r="O2446" s="5">
        <v>102925</v>
      </c>
      <c r="P2446" s="5">
        <v>20</v>
      </c>
      <c r="Q2446" s="14">
        <v>46301</v>
      </c>
      <c r="R2446" s="15">
        <v>664</v>
      </c>
    </row>
    <row r="2447" spans="2:18" x14ac:dyDescent="0.35">
      <c r="B2447" s="9">
        <v>1937</v>
      </c>
      <c r="C2447" s="9" t="str">
        <v>출고재고</v>
      </c>
      <c r="D2447" s="9" t="str">
        <v/>
      </c>
      <c r="E2447" s="9" t="str">
        <v/>
      </c>
      <c r="F2447" s="9" t="str">
        <v/>
      </c>
      <c r="G2447" s="9" t="str">
        <v/>
      </c>
      <c r="H2447" s="9" t="str">
        <v>RA-05V-0186</v>
      </c>
      <c r="I2447" s="11" t="str">
        <v>RA-05V-0186]BRK CAS ROT TOP</v>
      </c>
      <c r="J2447" s="9">
        <v>41</v>
      </c>
      <c r="K2447" s="9" t="str">
        <v/>
      </c>
      <c r="L2447" s="9" t="str">
        <v>W</v>
      </c>
      <c r="M2447" s="12">
        <v>46288</v>
      </c>
      <c r="N2447" s="5" t="str">
        <v/>
      </c>
      <c r="O2447" s="5">
        <v>102926</v>
      </c>
      <c r="P2447" s="5">
        <v>17</v>
      </c>
      <c r="Q2447" s="14">
        <v>46302</v>
      </c>
      <c r="R2447" s="15">
        <v>24</v>
      </c>
    </row>
    <row r="2448" spans="2:18" x14ac:dyDescent="0.35">
      <c r="B2448" s="9">
        <v>1881</v>
      </c>
      <c r="C2448" s="9" t="str">
        <v>출고재고</v>
      </c>
      <c r="D2448" s="9" t="str">
        <v/>
      </c>
      <c r="E2448" s="9" t="str">
        <v/>
      </c>
      <c r="F2448" s="9" t="str">
        <v/>
      </c>
      <c r="G2448" s="9" t="str">
        <v/>
      </c>
      <c r="H2448" s="9" t="str">
        <v>RA-03A-0287</v>
      </c>
      <c r="I2448" s="11" t="str">
        <v>RA-03A-0287]ASM LEVER HORIZONTAL LASER</v>
      </c>
      <c r="J2448" s="9">
        <v>58</v>
      </c>
      <c r="K2448" s="9" t="str">
        <v/>
      </c>
      <c r="L2448" s="9" t="str">
        <v>B1-4</v>
      </c>
      <c r="M2448" s="12">
        <v>46295</v>
      </c>
      <c r="N2448" s="5" t="str">
        <v/>
      </c>
      <c r="O2448" s="5">
        <v>102926</v>
      </c>
      <c r="P2448" s="5">
        <v>20</v>
      </c>
      <c r="Q2448" s="14">
        <v>46302</v>
      </c>
      <c r="R2448" s="15">
        <v>38</v>
      </c>
    </row>
    <row r="2449" spans="2:18" x14ac:dyDescent="0.35">
      <c r="B2449" s="9">
        <v>1887</v>
      </c>
      <c r="C2449" s="9" t="str">
        <v>출고재고</v>
      </c>
      <c r="D2449" s="9" t="str">
        <v/>
      </c>
      <c r="E2449" s="9" t="str">
        <v/>
      </c>
      <c r="F2449" s="9" t="str">
        <v/>
      </c>
      <c r="G2449" s="9" t="str">
        <v/>
      </c>
      <c r="H2449" s="9" t="str">
        <v>RA-09V-2419</v>
      </c>
      <c r="I2449" s="11" t="str">
        <v>RA-09V-2419]PLT PHNT (VA+)</v>
      </c>
      <c r="J2449" s="9">
        <v>61</v>
      </c>
      <c r="K2449" s="9" t="str">
        <v/>
      </c>
      <c r="L2449" s="9" t="str">
        <v>H2-1</v>
      </c>
      <c r="M2449" s="12">
        <v>46295</v>
      </c>
      <c r="N2449" s="5" t="str">
        <v/>
      </c>
      <c r="O2449" s="5">
        <v>102926</v>
      </c>
      <c r="P2449" s="5">
        <v>20</v>
      </c>
      <c r="Q2449" s="14">
        <v>46302</v>
      </c>
      <c r="R2449" s="15">
        <v>41</v>
      </c>
    </row>
    <row r="2450" spans="2:18" x14ac:dyDescent="0.35">
      <c r="B2450" s="9">
        <v>1621</v>
      </c>
      <c r="C2450" s="9" t="str">
        <v>출고재고</v>
      </c>
      <c r="D2450" s="9" t="str">
        <v/>
      </c>
      <c r="E2450" s="9" t="str">
        <v>입고</v>
      </c>
      <c r="F2450" s="9" t="str">
        <v>MTS</v>
      </c>
      <c r="G2450" s="9" t="str">
        <v>유영국</v>
      </c>
      <c r="H2450" s="9" t="str">
        <v>RA-05V-2559</v>
      </c>
      <c r="I2450" s="11" t="str">
        <v>RA-05V-2559]CVR SUB MCU</v>
      </c>
      <c r="J2450" s="9">
        <v>80</v>
      </c>
      <c r="K2450" s="9" t="str">
        <v/>
      </c>
      <c r="L2450" s="9" t="str">
        <v>K5-3</v>
      </c>
      <c r="M2450" s="12">
        <v>46280</v>
      </c>
      <c r="N2450" s="5" t="str">
        <v/>
      </c>
      <c r="O2450" s="5">
        <v>102926</v>
      </c>
      <c r="P2450" s="5">
        <v>20</v>
      </c>
      <c r="Q2450" s="14">
        <v>46302</v>
      </c>
      <c r="R2450" s="15">
        <v>60</v>
      </c>
    </row>
    <row r="2451" spans="2:18" x14ac:dyDescent="0.35">
      <c r="B2451" s="9">
        <v>1884</v>
      </c>
      <c r="C2451" s="9" t="str">
        <v>출고재고</v>
      </c>
      <c r="D2451" s="9" t="str">
        <v/>
      </c>
      <c r="E2451" s="9" t="str">
        <v/>
      </c>
      <c r="F2451" s="9" t="str">
        <v/>
      </c>
      <c r="G2451" s="9" t="str">
        <v/>
      </c>
      <c r="H2451" s="9" t="str">
        <v>RA-07M-2497</v>
      </c>
      <c r="I2451" s="11" t="str">
        <v>RA-07M-2497]CVR CT DET FRONT (A+ ODD)</v>
      </c>
      <c r="J2451" s="9">
        <v>94</v>
      </c>
      <c r="K2451" s="9" t="str">
        <v/>
      </c>
      <c r="L2451" s="9" t="str">
        <v>L2-3</v>
      </c>
      <c r="M2451" s="12">
        <v>46295</v>
      </c>
      <c r="N2451" s="5" t="str">
        <v/>
      </c>
      <c r="O2451" s="5">
        <v>102926</v>
      </c>
      <c r="P2451" s="5">
        <v>20</v>
      </c>
      <c r="Q2451" s="14">
        <v>46302</v>
      </c>
      <c r="R2451" s="15">
        <v>74</v>
      </c>
    </row>
    <row r="2452" spans="2:18" x14ac:dyDescent="0.35">
      <c r="B2452" s="9">
        <v>1886</v>
      </c>
      <c r="C2452" s="9" t="str">
        <v>출고재고</v>
      </c>
      <c r="D2452" s="9" t="str">
        <v/>
      </c>
      <c r="E2452" s="9" t="str">
        <v/>
      </c>
      <c r="F2452" s="9" t="str">
        <v/>
      </c>
      <c r="G2452" s="9" t="str">
        <v/>
      </c>
      <c r="H2452" s="9" t="str">
        <v>RA-7-3</v>
      </c>
      <c r="I2452" s="11" t="str">
        <v>RA-7-3]LAN PC</v>
      </c>
      <c r="J2452" s="9">
        <v>141</v>
      </c>
      <c r="K2452" s="9" t="str">
        <v/>
      </c>
      <c r="L2452" s="9" t="str">
        <v>G4</v>
      </c>
      <c r="M2452" s="12">
        <v>46295</v>
      </c>
      <c r="N2452" s="5" t="str">
        <v/>
      </c>
      <c r="O2452" s="5">
        <v>102926</v>
      </c>
      <c r="P2452" s="5">
        <v>20</v>
      </c>
      <c r="Q2452" s="14">
        <v>46302</v>
      </c>
      <c r="R2452" s="15">
        <v>121</v>
      </c>
    </row>
    <row r="2453" spans="2:18" x14ac:dyDescent="0.35">
      <c r="B2453" s="9">
        <v>1891</v>
      </c>
      <c r="C2453" s="9" t="str">
        <v>출고재고</v>
      </c>
      <c r="D2453" s="9" t="str">
        <v/>
      </c>
      <c r="E2453" s="9" t="str">
        <v/>
      </c>
      <c r="F2453" s="9" t="str">
        <v/>
      </c>
      <c r="G2453" s="9" t="str">
        <v/>
      </c>
      <c r="H2453" s="9" t="str">
        <v>RA-06T-2144</v>
      </c>
      <c r="I2453" s="11" t="str">
        <v>RA-06T-2144]DECO WINDOW COL</v>
      </c>
      <c r="J2453" s="9">
        <v>148</v>
      </c>
      <c r="K2453" s="9" t="str">
        <v/>
      </c>
      <c r="L2453" s="9" t="str">
        <v>L2-2</v>
      </c>
      <c r="M2453" s="12">
        <v>46295</v>
      </c>
      <c r="N2453" s="5" t="str">
        <v/>
      </c>
      <c r="O2453" s="5">
        <v>102926</v>
      </c>
      <c r="P2453" s="5">
        <v>20</v>
      </c>
      <c r="Q2453" s="14">
        <v>46302</v>
      </c>
      <c r="R2453" s="15">
        <v>128</v>
      </c>
    </row>
    <row r="2454" spans="2:18" x14ac:dyDescent="0.35">
      <c r="B2454" s="9">
        <v>1882</v>
      </c>
      <c r="C2454" s="9" t="str">
        <v>출고재고</v>
      </c>
      <c r="D2454" s="9" t="str">
        <v/>
      </c>
      <c r="E2454" s="9" t="str">
        <v/>
      </c>
      <c r="F2454" s="9" t="str">
        <v/>
      </c>
      <c r="G2454" s="9" t="str">
        <v/>
      </c>
      <c r="H2454" s="9" t="str">
        <v>RA-03M-2064</v>
      </c>
      <c r="I2454" s="11" t="str">
        <v>RA-03M-2064]PLT MIRROR (A+)</v>
      </c>
      <c r="J2454" s="9">
        <v>154</v>
      </c>
      <c r="K2454" s="9" t="str">
        <v/>
      </c>
      <c r="L2454" s="9" t="str">
        <v>L2-1</v>
      </c>
      <c r="M2454" s="12">
        <v>46295</v>
      </c>
      <c r="N2454" s="5" t="str">
        <v/>
      </c>
      <c r="O2454" s="5">
        <v>102926</v>
      </c>
      <c r="P2454" s="5">
        <v>20</v>
      </c>
      <c r="Q2454" s="14">
        <v>46302</v>
      </c>
      <c r="R2454" s="15">
        <v>134</v>
      </c>
    </row>
    <row r="2455" spans="2:18" x14ac:dyDescent="0.35">
      <c r="B2455" s="9">
        <v>1880</v>
      </c>
      <c r="C2455" s="9" t="str">
        <v>출고재고</v>
      </c>
      <c r="D2455" s="9" t="str">
        <v/>
      </c>
      <c r="E2455" s="9" t="str">
        <v/>
      </c>
      <c r="F2455" s="9" t="str">
        <v/>
      </c>
      <c r="G2455" s="9" t="str">
        <v/>
      </c>
      <c r="H2455" s="9" t="str">
        <v>RA-04T-0144</v>
      </c>
      <c r="I2455" s="11" t="str">
        <v>RA-04T-0144]CAS CHINREST BOT</v>
      </c>
      <c r="J2455" s="9">
        <v>236</v>
      </c>
      <c r="K2455" s="9" t="str">
        <v/>
      </c>
      <c r="L2455" s="9" t="str">
        <v>S</v>
      </c>
      <c r="M2455" s="12">
        <v>46295</v>
      </c>
      <c r="N2455" s="5" t="str">
        <v/>
      </c>
      <c r="O2455" s="5">
        <v>102926</v>
      </c>
      <c r="P2455" s="5">
        <v>20</v>
      </c>
      <c r="Q2455" s="14">
        <v>46302</v>
      </c>
      <c r="R2455" s="15">
        <v>216</v>
      </c>
    </row>
    <row r="2456" spans="2:18" x14ac:dyDescent="0.35">
      <c r="B2456" s="9">
        <v>2097</v>
      </c>
      <c r="C2456" s="9" t="str">
        <v>출고재고</v>
      </c>
      <c r="D2456" s="9" t="str">
        <v/>
      </c>
      <c r="E2456" s="9" t="str">
        <v/>
      </c>
      <c r="F2456" s="9" t="str">
        <v/>
      </c>
      <c r="G2456" s="9" t="str">
        <v/>
      </c>
      <c r="H2456" s="9" t="str">
        <v>RA-09M-2269</v>
      </c>
      <c r="I2456" s="11" t="str">
        <v>RA-09M-2269]SCREW FIX PHNT (A+)</v>
      </c>
      <c r="J2456" s="9">
        <v>280</v>
      </c>
      <c r="K2456" s="9" t="str">
        <v/>
      </c>
      <c r="L2456" s="9" t="str">
        <v>W</v>
      </c>
      <c r="M2456" s="12">
        <v>46287</v>
      </c>
      <c r="N2456" s="5" t="str">
        <v/>
      </c>
      <c r="O2456" s="5">
        <v>102926</v>
      </c>
      <c r="P2456" s="5">
        <v>80</v>
      </c>
      <c r="Q2456" s="14">
        <v>46302</v>
      </c>
      <c r="R2456" s="15">
        <v>200</v>
      </c>
    </row>
    <row r="2457" spans="2:18" x14ac:dyDescent="0.35">
      <c r="B2457" s="9">
        <v>1890</v>
      </c>
      <c r="C2457" s="9" t="str">
        <v>출고재고</v>
      </c>
      <c r="D2457" s="9" t="str">
        <v/>
      </c>
      <c r="E2457" s="9" t="str">
        <v/>
      </c>
      <c r="F2457" s="9" t="str">
        <v/>
      </c>
      <c r="G2457" s="9" t="str">
        <v/>
      </c>
      <c r="H2457" s="9" t="str">
        <v>RA-06M-2299</v>
      </c>
      <c r="I2457" s="11" t="str">
        <v>RA-06M-2299]PLT MIRROR TUBE CAS R (A+)</v>
      </c>
      <c r="J2457" s="9">
        <v>294</v>
      </c>
      <c r="K2457" s="9" t="str">
        <v/>
      </c>
      <c r="L2457" s="9" t="str">
        <v>L2-2</v>
      </c>
      <c r="M2457" s="12">
        <v>46295</v>
      </c>
      <c r="N2457" s="5" t="str">
        <v/>
      </c>
      <c r="O2457" s="5">
        <v>102926</v>
      </c>
      <c r="P2457" s="5">
        <v>20</v>
      </c>
      <c r="Q2457" s="14">
        <v>46302</v>
      </c>
      <c r="R2457" s="15">
        <v>274</v>
      </c>
    </row>
    <row r="2458" spans="2:18" x14ac:dyDescent="0.35">
      <c r="B2458" s="9">
        <v>1889</v>
      </c>
      <c r="C2458" s="9" t="str">
        <v>출고재고</v>
      </c>
      <c r="D2458" s="9" t="str">
        <v/>
      </c>
      <c r="E2458" s="9" t="str">
        <v/>
      </c>
      <c r="F2458" s="9" t="str">
        <v/>
      </c>
      <c r="G2458" s="9" t="str">
        <v/>
      </c>
      <c r="H2458" s="9" t="str">
        <v>RA-06M-2298</v>
      </c>
      <c r="I2458" s="11" t="str">
        <v>RA-06M-2298]PLT MIRROR TUBE CAS L (A+)</v>
      </c>
      <c r="J2458" s="9">
        <v>378</v>
      </c>
      <c r="K2458" s="9" t="str">
        <v/>
      </c>
      <c r="L2458" s="9" t="str">
        <v>L2-2</v>
      </c>
      <c r="M2458" s="12">
        <v>46295</v>
      </c>
      <c r="N2458" s="5" t="str">
        <v/>
      </c>
      <c r="O2458" s="5">
        <v>102926</v>
      </c>
      <c r="P2458" s="5">
        <v>20</v>
      </c>
      <c r="Q2458" s="14">
        <v>46302</v>
      </c>
      <c r="R2458" s="15">
        <v>358</v>
      </c>
    </row>
    <row r="2459" spans="2:18" x14ac:dyDescent="0.35">
      <c r="B2459" s="9">
        <v>1885</v>
      </c>
      <c r="C2459" s="9" t="str">
        <v>출고재고</v>
      </c>
      <c r="D2459" s="9" t="str">
        <v/>
      </c>
      <c r="E2459" s="9" t="str">
        <v/>
      </c>
      <c r="F2459" s="9" t="str">
        <v/>
      </c>
      <c r="G2459" s="9" t="str">
        <v/>
      </c>
      <c r="H2459" s="9" t="str">
        <v>RA-05T-0207</v>
      </c>
      <c r="I2459" s="11" t="str">
        <v>RA-05T-0207]CAS ROT BOT DECO</v>
      </c>
      <c r="J2459" s="9">
        <v>388</v>
      </c>
      <c r="K2459" s="9" t="str">
        <v/>
      </c>
      <c r="L2459" s="9" t="str">
        <v>R</v>
      </c>
      <c r="M2459" s="12">
        <v>46295</v>
      </c>
      <c r="N2459" s="5" t="str">
        <v/>
      </c>
      <c r="O2459" s="5">
        <v>102926</v>
      </c>
      <c r="P2459" s="5">
        <v>20</v>
      </c>
      <c r="Q2459" s="14">
        <v>46302</v>
      </c>
      <c r="R2459" s="15">
        <v>368</v>
      </c>
    </row>
    <row r="2460" spans="2:18" x14ac:dyDescent="0.35">
      <c r="B2460" s="9">
        <v>1892</v>
      </c>
      <c r="C2460" s="9" t="str">
        <v>출고재고</v>
      </c>
      <c r="D2460" s="9" t="str">
        <v/>
      </c>
      <c r="E2460" s="9" t="str">
        <v/>
      </c>
      <c r="F2460" s="9" t="str">
        <v/>
      </c>
      <c r="G2460" s="9" t="str">
        <v/>
      </c>
      <c r="H2460" s="9" t="str">
        <v>RA-06V-0249</v>
      </c>
      <c r="I2460" s="11" t="str">
        <v>RA-06V-0249]HLDR CAS TUBE TNK REAR</v>
      </c>
      <c r="J2460" s="9">
        <v>450</v>
      </c>
      <c r="K2460" s="9" t="str">
        <v/>
      </c>
      <c r="L2460" s="9" t="str">
        <v>W</v>
      </c>
      <c r="M2460" s="12">
        <v>46295</v>
      </c>
      <c r="N2460" s="5" t="str">
        <v/>
      </c>
      <c r="O2460" s="5">
        <v>102926</v>
      </c>
      <c r="P2460" s="5">
        <v>40</v>
      </c>
      <c r="Q2460" s="14">
        <v>46302</v>
      </c>
      <c r="R2460" s="15">
        <v>410</v>
      </c>
    </row>
    <row r="2461" spans="2:18" x14ac:dyDescent="0.35">
      <c r="B2461" s="9">
        <v>1605</v>
      </c>
      <c r="C2461" s="9" t="str">
        <v>출고재고</v>
      </c>
      <c r="D2461" s="9" t="str">
        <v/>
      </c>
      <c r="E2461" s="9" t="str">
        <v/>
      </c>
      <c r="F2461" s="9" t="str">
        <v/>
      </c>
      <c r="G2461" s="9" t="str">
        <v/>
      </c>
      <c r="H2461" s="9" t="str">
        <v>RA-03V-0054</v>
      </c>
      <c r="I2461" s="11" t="str">
        <v>RA-03V-0054]HLDR CAS CLMN BODY LWR 1</v>
      </c>
      <c r="J2461" s="9">
        <v>5</v>
      </c>
      <c r="K2461" s="9" t="str">
        <v/>
      </c>
      <c r="L2461" s="9" t="str">
        <v>L1-2</v>
      </c>
      <c r="M2461" s="12">
        <v>46282</v>
      </c>
      <c r="N2461" s="5" t="str">
        <v/>
      </c>
      <c r="O2461" s="5">
        <v>102928</v>
      </c>
      <c r="P2461" s="5">
        <v>5</v>
      </c>
      <c r="Q2461" s="14">
        <v>46302</v>
      </c>
      <c r="R2461" s="15">
        <v>0</v>
      </c>
    </row>
    <row r="2462" spans="2:18" x14ac:dyDescent="0.35">
      <c r="B2462" s="9">
        <v>1592</v>
      </c>
      <c r="C2462" s="9" t="str">
        <v>출고재고</v>
      </c>
      <c r="D2462" s="9" t="str">
        <v/>
      </c>
      <c r="E2462" s="9" t="str">
        <v/>
      </c>
      <c r="F2462" s="9" t="str">
        <v/>
      </c>
      <c r="G2462" s="9" t="str">
        <v/>
      </c>
      <c r="H2462" s="9" t="str">
        <v>RA-02T-2182</v>
      </c>
      <c r="I2462" s="11" t="str">
        <v>RA-02T-2182]CAS VERT UPPER (A+)</v>
      </c>
      <c r="J2462" s="9">
        <v>8</v>
      </c>
      <c r="K2462" s="9" t="str">
        <v/>
      </c>
      <c r="L2462" s="9" t="str">
        <v>V</v>
      </c>
      <c r="M2462" s="12">
        <v>46282</v>
      </c>
      <c r="N2462" s="5" t="str">
        <v/>
      </c>
      <c r="O2462" s="5">
        <v>102928</v>
      </c>
      <c r="P2462" s="5">
        <v>8</v>
      </c>
      <c r="Q2462" s="14">
        <v>46302</v>
      </c>
      <c r="R2462" s="15">
        <v>0</v>
      </c>
    </row>
    <row r="2463" spans="2:18" x14ac:dyDescent="0.35">
      <c r="B2463" s="9">
        <v>1593</v>
      </c>
      <c r="C2463" s="9" t="str">
        <v>출고재고</v>
      </c>
      <c r="D2463" s="9" t="str">
        <v/>
      </c>
      <c r="E2463" s="9" t="str">
        <v/>
      </c>
      <c r="F2463" s="9" t="str">
        <v/>
      </c>
      <c r="G2463" s="9" t="str">
        <v/>
      </c>
      <c r="H2463" s="9" t="str">
        <v>RA-04A-2296</v>
      </c>
      <c r="I2463" s="11" t="str">
        <v>RA-04A-2296]ASM HANDLE (A+)</v>
      </c>
      <c r="J2463" s="9">
        <v>31</v>
      </c>
      <c r="K2463" s="9" t="str">
        <v/>
      </c>
      <c r="L2463" s="9" t="str">
        <v>M1</v>
      </c>
      <c r="M2463" s="12">
        <v>46282</v>
      </c>
      <c r="N2463" s="5" t="str">
        <v/>
      </c>
      <c r="O2463" s="5">
        <v>102928</v>
      </c>
      <c r="P2463" s="5">
        <v>20</v>
      </c>
      <c r="Q2463" s="14">
        <v>46302</v>
      </c>
      <c r="R2463" s="15">
        <v>11</v>
      </c>
    </row>
    <row r="2464" spans="2:18" x14ac:dyDescent="0.35">
      <c r="B2464" s="9">
        <v>1714</v>
      </c>
      <c r="C2464" s="9" t="str">
        <v>출고재고</v>
      </c>
      <c r="D2464" s="9" t="str">
        <v/>
      </c>
      <c r="E2464" s="9" t="str">
        <v/>
      </c>
      <c r="F2464" s="9" t="str">
        <v/>
      </c>
      <c r="G2464" s="9" t="str">
        <v/>
      </c>
      <c r="H2464" s="9" t="str">
        <v>RA-09A-0967</v>
      </c>
      <c r="I2464" s="11" t="str">
        <v>RA-09A-0967]ASM EXPOSURE SW</v>
      </c>
      <c r="J2464" s="9">
        <v>50</v>
      </c>
      <c r="K2464" s="9" t="str">
        <v/>
      </c>
      <c r="L2464" s="9" t="str">
        <v>J1-3</v>
      </c>
      <c r="M2464" s="12">
        <v>46288</v>
      </c>
      <c r="N2464" s="5" t="str">
        <v/>
      </c>
      <c r="O2464" s="5">
        <v>102928</v>
      </c>
      <c r="P2464" s="5">
        <v>20</v>
      </c>
      <c r="Q2464" s="14">
        <v>46302</v>
      </c>
      <c r="R2464" s="15">
        <v>30</v>
      </c>
    </row>
    <row r="2465" spans="2:18" x14ac:dyDescent="0.35">
      <c r="B2465" s="9">
        <v>1604</v>
      </c>
      <c r="C2465" s="9" t="str">
        <v>출고재고</v>
      </c>
      <c r="D2465" s="9" t="str">
        <v/>
      </c>
      <c r="E2465" s="9" t="str">
        <v/>
      </c>
      <c r="F2465" s="9" t="str">
        <v/>
      </c>
      <c r="G2465" s="9" t="str">
        <v/>
      </c>
      <c r="H2465" s="9" t="str">
        <v>RA-03V-0055</v>
      </c>
      <c r="I2465" s="11" t="str">
        <v>RA-03V-0055]HLDR CAS CLMN BODY LWR 2</v>
      </c>
      <c r="J2465" s="9">
        <v>58</v>
      </c>
      <c r="K2465" s="9" t="str">
        <v/>
      </c>
      <c r="L2465" s="9" t="str">
        <v>L1-2</v>
      </c>
      <c r="M2465" s="12">
        <v>46282</v>
      </c>
      <c r="N2465" s="5" t="str">
        <v/>
      </c>
      <c r="O2465" s="5">
        <v>102928</v>
      </c>
      <c r="P2465" s="5">
        <v>20</v>
      </c>
      <c r="Q2465" s="14">
        <v>46302</v>
      </c>
      <c r="R2465" s="15">
        <v>38</v>
      </c>
    </row>
    <row r="2466" spans="2:18" x14ac:dyDescent="0.35">
      <c r="B2466" s="9">
        <v>1608</v>
      </c>
      <c r="C2466" s="9" t="str">
        <v>출고재고</v>
      </c>
      <c r="D2466" s="9" t="str">
        <v/>
      </c>
      <c r="E2466" s="9" t="str">
        <v/>
      </c>
      <c r="F2466" s="9" t="str">
        <v/>
      </c>
      <c r="G2466" s="9" t="str">
        <v/>
      </c>
      <c r="H2466" s="9" t="str">
        <v>RA-09M-1133</v>
      </c>
      <c r="I2466" s="11" t="str">
        <v>RA-09M-1133]PIN GUIDE BITE</v>
      </c>
      <c r="J2466" s="9">
        <v>60</v>
      </c>
      <c r="K2466" s="9" t="str">
        <v/>
      </c>
      <c r="L2466" s="9" t="str">
        <v>L1-1</v>
      </c>
      <c r="M2466" s="12">
        <v>46282</v>
      </c>
      <c r="N2466" s="5" t="str">
        <v/>
      </c>
      <c r="O2466" s="5">
        <v>102928</v>
      </c>
      <c r="P2466" s="5">
        <v>40</v>
      </c>
      <c r="Q2466" s="14">
        <v>46302</v>
      </c>
      <c r="R2466" s="15">
        <v>20</v>
      </c>
    </row>
    <row r="2467" spans="2:18" x14ac:dyDescent="0.35">
      <c r="B2467" s="9">
        <v>1603</v>
      </c>
      <c r="C2467" s="9" t="str">
        <v>출고재고</v>
      </c>
      <c r="D2467" s="9" t="str">
        <v/>
      </c>
      <c r="E2467" s="9" t="str">
        <v/>
      </c>
      <c r="F2467" s="9" t="str">
        <v/>
      </c>
      <c r="G2467" s="9" t="str">
        <v/>
      </c>
      <c r="H2467" s="9" t="str">
        <v>RA-03A-0314</v>
      </c>
      <c r="I2467" s="11" t="str">
        <v>RA-03A-0314]ASM CAS CLMN LWR (R)</v>
      </c>
      <c r="J2467" s="9">
        <v>67</v>
      </c>
      <c r="K2467" s="9" t="str">
        <v/>
      </c>
      <c r="L2467" s="9" t="str">
        <v>V</v>
      </c>
      <c r="M2467" s="12">
        <v>46282</v>
      </c>
      <c r="N2467" s="5" t="str">
        <v/>
      </c>
      <c r="O2467" s="5">
        <v>102928</v>
      </c>
      <c r="P2467" s="5">
        <v>20</v>
      </c>
      <c r="Q2467" s="14">
        <v>46302</v>
      </c>
      <c r="R2467" s="15">
        <v>47</v>
      </c>
    </row>
    <row r="2468" spans="2:18" x14ac:dyDescent="0.35">
      <c r="B2468" s="9">
        <v>1490</v>
      </c>
      <c r="C2468" s="9" t="str">
        <v>출고재고</v>
      </c>
      <c r="D2468" s="9" t="str">
        <v/>
      </c>
      <c r="E2468" s="9" t="str">
        <v/>
      </c>
      <c r="F2468" s="9" t="str">
        <v/>
      </c>
      <c r="G2468" s="9" t="str">
        <v/>
      </c>
      <c r="H2468" s="9" t="str">
        <v>RA-09T-2534</v>
      </c>
      <c r="I2468" s="11" t="str">
        <v>RA-09T-2534]CAS CT HEADREST (A+)</v>
      </c>
      <c r="J2468" s="9">
        <v>71</v>
      </c>
      <c r="K2468" s="9" t="str">
        <v/>
      </c>
      <c r="L2468" s="9" t="str">
        <v>S</v>
      </c>
      <c r="M2468" s="12">
        <v>46282</v>
      </c>
      <c r="N2468" s="5" t="str">
        <v/>
      </c>
      <c r="O2468" s="5">
        <v>102928</v>
      </c>
      <c r="P2468" s="5">
        <v>40</v>
      </c>
      <c r="Q2468" s="14">
        <v>46302</v>
      </c>
      <c r="R2468" s="15">
        <v>31</v>
      </c>
    </row>
    <row r="2469" spans="2:18" x14ac:dyDescent="0.35">
      <c r="B2469" s="9">
        <v>1591</v>
      </c>
      <c r="C2469" s="9" t="str">
        <v>출고재고</v>
      </c>
      <c r="D2469" s="9" t="str">
        <v/>
      </c>
      <c r="E2469" s="9" t="str">
        <v/>
      </c>
      <c r="F2469" s="9" t="str">
        <v/>
      </c>
      <c r="G2469" s="9" t="str">
        <v/>
      </c>
      <c r="H2469" s="9" t="str">
        <v>RA-09A-2729</v>
      </c>
      <c r="I2469" s="11" t="str">
        <v>RA-09A-2729]ASM COMPONENT SUB-1</v>
      </c>
      <c r="J2469" s="9">
        <v>75</v>
      </c>
      <c r="K2469" s="9" t="str">
        <v/>
      </c>
      <c r="L2469" s="9" t="str">
        <v>T</v>
      </c>
      <c r="M2469" s="12">
        <v>46282</v>
      </c>
      <c r="N2469" s="5" t="str">
        <v/>
      </c>
      <c r="O2469" s="5">
        <v>102928</v>
      </c>
      <c r="P2469" s="5">
        <v>20</v>
      </c>
      <c r="Q2469" s="14">
        <v>46302</v>
      </c>
      <c r="R2469" s="15">
        <v>55</v>
      </c>
    </row>
    <row r="2470" spans="2:18" x14ac:dyDescent="0.35">
      <c r="B2470" s="9">
        <v>2456</v>
      </c>
      <c r="C2470" s="9" t="str">
        <v>출고재고</v>
      </c>
      <c r="D2470" s="9" t="str">
        <v/>
      </c>
      <c r="E2470" s="9" t="str">
        <v>입고</v>
      </c>
      <c r="F2470" s="9" t="str">
        <v>MTS</v>
      </c>
      <c r="G2470" s="9" t="str">
        <v>유영국</v>
      </c>
      <c r="H2470" s="9" t="str">
        <v>RA-03V-0054</v>
      </c>
      <c r="I2470" s="11" t="str">
        <v>RA-03V-0054]HLDR CAS CLMN BODY LWR 1</v>
      </c>
      <c r="J2470" s="9">
        <v>100</v>
      </c>
      <c r="K2470" s="9" t="str">
        <v/>
      </c>
      <c r="L2470" s="9" t="str">
        <v>L1-2</v>
      </c>
      <c r="M2470" s="12">
        <v>46280</v>
      </c>
      <c r="N2470" s="5" t="str">
        <v/>
      </c>
      <c r="O2470" s="5">
        <v>102928</v>
      </c>
      <c r="P2470" s="5">
        <v>15</v>
      </c>
      <c r="Q2470" s="14">
        <v>46302</v>
      </c>
      <c r="R2470" s="15">
        <v>85</v>
      </c>
    </row>
    <row r="2471" spans="2:18" x14ac:dyDescent="0.35">
      <c r="B2471" s="9">
        <v>2457</v>
      </c>
      <c r="C2471" s="9" t="str">
        <v>출고재고</v>
      </c>
      <c r="D2471" s="9" t="str">
        <v/>
      </c>
      <c r="E2471" s="9" t="str">
        <v>입고</v>
      </c>
      <c r="F2471" s="9" t="str">
        <v>진광</v>
      </c>
      <c r="G2471" s="9" t="str">
        <v>장동은</v>
      </c>
      <c r="H2471" s="9" t="str">
        <v>RA-02T-2182</v>
      </c>
      <c r="I2471" s="11" t="str">
        <v>RA-02T-2182]CAS VERT UPPER (A+)</v>
      </c>
      <c r="J2471" s="9">
        <v>100</v>
      </c>
      <c r="K2471" s="9" t="str">
        <v/>
      </c>
      <c r="L2471" s="9" t="str">
        <v>V</v>
      </c>
      <c r="M2471" s="12">
        <v>46279</v>
      </c>
      <c r="N2471" s="5" t="str">
        <v/>
      </c>
      <c r="O2471" s="5">
        <v>102928</v>
      </c>
      <c r="P2471" s="5">
        <v>12</v>
      </c>
      <c r="Q2471" s="14">
        <v>46302</v>
      </c>
      <c r="R2471" s="15">
        <v>88</v>
      </c>
    </row>
    <row r="2472" spans="2:18" x14ac:dyDescent="0.35">
      <c r="B2472" s="9">
        <v>1492</v>
      </c>
      <c r="C2472" s="9" t="str">
        <v>출고재고</v>
      </c>
      <c r="D2472" s="9" t="str">
        <v/>
      </c>
      <c r="E2472" s="9" t="str">
        <v/>
      </c>
      <c r="F2472" s="9" t="str">
        <v/>
      </c>
      <c r="G2472" s="9" t="str">
        <v/>
      </c>
      <c r="H2472" s="9" t="str">
        <v>RA-09A-2754</v>
      </c>
      <c r="I2472" s="11" t="str">
        <v>RA-09A-2754]ASM CT HEADREST (A+) (VN)</v>
      </c>
      <c r="J2472" s="9">
        <v>114</v>
      </c>
      <c r="K2472" s="9" t="str">
        <v/>
      </c>
      <c r="L2472" s="9" t="str">
        <v>O3</v>
      </c>
      <c r="M2472" s="12">
        <v>46282</v>
      </c>
      <c r="N2472" s="5" t="str">
        <v/>
      </c>
      <c r="O2472" s="5">
        <v>102928</v>
      </c>
      <c r="P2472" s="5">
        <v>20</v>
      </c>
      <c r="Q2472" s="14">
        <v>46302</v>
      </c>
      <c r="R2472" s="15">
        <v>94</v>
      </c>
    </row>
    <row r="2473" spans="2:18" x14ac:dyDescent="0.35">
      <c r="B2473" s="9">
        <v>1599</v>
      </c>
      <c r="C2473" s="9" t="str">
        <v>출고재고</v>
      </c>
      <c r="D2473" s="9" t="str">
        <v/>
      </c>
      <c r="E2473" s="9" t="str">
        <v/>
      </c>
      <c r="F2473" s="9" t="str">
        <v/>
      </c>
      <c r="G2473" s="9" t="str">
        <v/>
      </c>
      <c r="H2473" s="9" t="str">
        <v>RA-09A-0345</v>
      </c>
      <c r="I2473" s="11" t="str">
        <v>RA-09A-0345]ASM REMOTE CONTROL</v>
      </c>
      <c r="J2473" s="9">
        <v>133</v>
      </c>
      <c r="K2473" s="9" t="str">
        <v/>
      </c>
      <c r="L2473" s="9" t="str">
        <v>L1-1</v>
      </c>
      <c r="M2473" s="12">
        <v>46282</v>
      </c>
      <c r="N2473" s="5" t="str">
        <v/>
      </c>
      <c r="O2473" s="5">
        <v>102928</v>
      </c>
      <c r="P2473" s="5">
        <v>20</v>
      </c>
      <c r="Q2473" s="14">
        <v>46302</v>
      </c>
      <c r="R2473" s="15">
        <v>113</v>
      </c>
    </row>
    <row r="2474" spans="2:18" x14ac:dyDescent="0.35">
      <c r="B2474" s="9">
        <v>1596</v>
      </c>
      <c r="C2474" s="9" t="str">
        <v>출고재고</v>
      </c>
      <c r="D2474" s="9" t="str">
        <v/>
      </c>
      <c r="E2474" s="9" t="str">
        <v/>
      </c>
      <c r="F2474" s="9" t="str">
        <v/>
      </c>
      <c r="G2474" s="9" t="str">
        <v/>
      </c>
      <c r="H2474" s="9" t="str">
        <v>RA-09A-2730</v>
      </c>
      <c r="I2474" s="11" t="str">
        <v>RA-09A-2730]ASM COMPONENT SUB-2</v>
      </c>
      <c r="J2474" s="9">
        <v>153</v>
      </c>
      <c r="K2474" s="9" t="str">
        <v/>
      </c>
      <c r="L2474" s="9" t="str">
        <v>T</v>
      </c>
      <c r="M2474" s="12">
        <v>46282</v>
      </c>
      <c r="N2474" s="5" t="str">
        <v/>
      </c>
      <c r="O2474" s="5">
        <v>102928</v>
      </c>
      <c r="P2474" s="5">
        <v>20</v>
      </c>
      <c r="Q2474" s="14">
        <v>46302</v>
      </c>
      <c r="R2474" s="15">
        <v>133</v>
      </c>
    </row>
    <row r="2475" spans="2:18" x14ac:dyDescent="0.35">
      <c r="B2475" s="9">
        <v>1602</v>
      </c>
      <c r="C2475" s="9" t="str">
        <v>출고재고</v>
      </c>
      <c r="D2475" s="9" t="str">
        <v/>
      </c>
      <c r="E2475" s="9" t="str">
        <v/>
      </c>
      <c r="F2475" s="9" t="str">
        <v/>
      </c>
      <c r="G2475" s="9" t="str">
        <v/>
      </c>
      <c r="H2475" s="9" t="str">
        <v>RA-03A-0315</v>
      </c>
      <c r="I2475" s="11" t="str">
        <v>RA-03A-0315]ASM CAS CLMN LWR (L)</v>
      </c>
      <c r="J2475" s="9">
        <v>179</v>
      </c>
      <c r="K2475" s="9" t="str">
        <v/>
      </c>
      <c r="L2475" s="9" t="str">
        <v>V</v>
      </c>
      <c r="M2475" s="12">
        <v>46282</v>
      </c>
      <c r="N2475" s="5" t="str">
        <v/>
      </c>
      <c r="O2475" s="5">
        <v>102928</v>
      </c>
      <c r="P2475" s="5">
        <v>20</v>
      </c>
      <c r="Q2475" s="14">
        <v>46302</v>
      </c>
      <c r="R2475" s="15">
        <v>159</v>
      </c>
    </row>
    <row r="2476" spans="2:18" x14ac:dyDescent="0.35">
      <c r="B2476" s="9">
        <v>1606</v>
      </c>
      <c r="C2476" s="9" t="str">
        <v>출고재고</v>
      </c>
      <c r="D2476" s="9" t="str">
        <v/>
      </c>
      <c r="E2476" s="9" t="str">
        <v/>
      </c>
      <c r="F2476" s="9" t="str">
        <v/>
      </c>
      <c r="G2476" s="9" t="str">
        <v/>
      </c>
      <c r="H2476" s="9" t="str">
        <v>RA-5-7</v>
      </c>
      <c r="I2476" s="11" t="str">
        <v>RA-5-7]EARTH SHAFT TO WALL</v>
      </c>
      <c r="J2476" s="9">
        <v>180</v>
      </c>
      <c r="K2476" s="9" t="str">
        <v/>
      </c>
      <c r="L2476" s="9" t="str">
        <v>G4</v>
      </c>
      <c r="M2476" s="12">
        <v>46282</v>
      </c>
      <c r="N2476" s="5" t="str">
        <v/>
      </c>
      <c r="O2476" s="5">
        <v>102928</v>
      </c>
      <c r="P2476" s="5">
        <v>20</v>
      </c>
      <c r="Q2476" s="14">
        <v>46302</v>
      </c>
      <c r="R2476" s="15">
        <v>160</v>
      </c>
    </row>
    <row r="2477" spans="2:18" x14ac:dyDescent="0.35">
      <c r="B2477" s="9">
        <v>1607</v>
      </c>
      <c r="C2477" s="9" t="str">
        <v>출고재고</v>
      </c>
      <c r="D2477" s="9" t="str">
        <v/>
      </c>
      <c r="E2477" s="9" t="str">
        <v/>
      </c>
      <c r="F2477" s="9" t="str">
        <v/>
      </c>
      <c r="G2477" s="9" t="str">
        <v/>
      </c>
      <c r="H2477" s="9" t="str">
        <v>RA-5-6</v>
      </c>
      <c r="I2477" s="11" t="str">
        <v>RA-5-6]EARTH SHAFT TO PC</v>
      </c>
      <c r="J2477" s="9">
        <v>189</v>
      </c>
      <c r="K2477" s="9" t="str">
        <v/>
      </c>
      <c r="L2477" s="9" t="str">
        <v>G4</v>
      </c>
      <c r="M2477" s="12">
        <v>46282</v>
      </c>
      <c r="N2477" s="5" t="str">
        <v/>
      </c>
      <c r="O2477" s="5">
        <v>102928</v>
      </c>
      <c r="P2477" s="5">
        <v>20</v>
      </c>
      <c r="Q2477" s="14">
        <v>46302</v>
      </c>
      <c r="R2477" s="15">
        <v>169</v>
      </c>
    </row>
    <row r="2478" spans="2:18" x14ac:dyDescent="0.35">
      <c r="B2478" s="9">
        <v>1496</v>
      </c>
      <c r="C2478" s="9" t="str">
        <v>출고재고</v>
      </c>
      <c r="D2478" s="9" t="str">
        <v/>
      </c>
      <c r="E2478" s="9" t="str">
        <v/>
      </c>
      <c r="F2478" s="9" t="str">
        <v/>
      </c>
      <c r="G2478" s="9" t="str">
        <v/>
      </c>
      <c r="H2478" s="9" t="str">
        <v>RA-09T-0344</v>
      </c>
      <c r="I2478" s="11" t="str">
        <v>RA-09T-0344]KNOB CEPH ADJUST</v>
      </c>
      <c r="J2478" s="9">
        <v>192</v>
      </c>
      <c r="K2478" s="9" t="str">
        <v/>
      </c>
      <c r="L2478" s="9" t="str">
        <v>R</v>
      </c>
      <c r="M2478" s="12">
        <v>46282</v>
      </c>
      <c r="N2478" s="5" t="str">
        <v/>
      </c>
      <c r="O2478" s="5">
        <v>102928</v>
      </c>
      <c r="P2478" s="5">
        <v>40</v>
      </c>
      <c r="Q2478" s="14">
        <v>46302</v>
      </c>
      <c r="R2478" s="15">
        <v>152</v>
      </c>
    </row>
    <row r="2479" spans="2:18" x14ac:dyDescent="0.35">
      <c r="B2479" s="9">
        <v>1594</v>
      </c>
      <c r="C2479" s="9" t="str">
        <v>출고재고</v>
      </c>
      <c r="D2479" s="9" t="str">
        <v/>
      </c>
      <c r="E2479" s="9" t="str">
        <v/>
      </c>
      <c r="F2479" s="9" t="str">
        <v/>
      </c>
      <c r="G2479" s="9" t="str">
        <v/>
      </c>
      <c r="H2479" s="9" t="str">
        <v>RA-09M-1134</v>
      </c>
      <c r="I2479" s="11" t="str">
        <v>RA-09M-1134]BLK GUIDE BITE</v>
      </c>
      <c r="J2479" s="9">
        <v>209</v>
      </c>
      <c r="K2479" s="9" t="str">
        <v/>
      </c>
      <c r="L2479" s="9" t="str">
        <v>L1-1</v>
      </c>
      <c r="M2479" s="12">
        <v>46282</v>
      </c>
      <c r="N2479" s="5" t="str">
        <v/>
      </c>
      <c r="O2479" s="5">
        <v>102928</v>
      </c>
      <c r="P2479" s="5">
        <v>20</v>
      </c>
      <c r="Q2479" s="14">
        <v>46302</v>
      </c>
      <c r="R2479" s="15">
        <v>189</v>
      </c>
    </row>
    <row r="2480" spans="2:18" x14ac:dyDescent="0.35">
      <c r="B2480" s="9">
        <v>2257</v>
      </c>
      <c r="C2480" s="9" t="str">
        <v>출고재고</v>
      </c>
      <c r="D2480" s="9" t="str">
        <v/>
      </c>
      <c r="E2480" s="9" t="str">
        <v/>
      </c>
      <c r="F2480" s="9" t="str">
        <v/>
      </c>
      <c r="G2480" s="9" t="str">
        <v/>
      </c>
      <c r="H2480" s="9" t="str">
        <v>RA-04T-1707</v>
      </c>
      <c r="I2480" s="11" t="str">
        <v>RA-04T-1707]CAS MONITOR DECO</v>
      </c>
      <c r="J2480" s="9">
        <v>216</v>
      </c>
      <c r="K2480" s="9" t="str">
        <v/>
      </c>
      <c r="L2480" s="9" t="str">
        <v>R</v>
      </c>
      <c r="M2480" s="12">
        <v>46302</v>
      </c>
      <c r="N2480" s="5" t="str">
        <v/>
      </c>
      <c r="O2480" s="5">
        <v>102928</v>
      </c>
      <c r="P2480" s="5">
        <v>20</v>
      </c>
      <c r="Q2480" s="14">
        <v>46302</v>
      </c>
      <c r="R2480" s="15">
        <v>196</v>
      </c>
    </row>
    <row r="2481" spans="2:18" x14ac:dyDescent="0.35">
      <c r="B2481" s="9">
        <v>1590</v>
      </c>
      <c r="C2481" s="9" t="str">
        <v>출고재고</v>
      </c>
      <c r="D2481" s="9" t="str">
        <v/>
      </c>
      <c r="E2481" s="9" t="str">
        <v>입고</v>
      </c>
      <c r="F2481" s="9" t="str">
        <v>진광</v>
      </c>
      <c r="G2481" s="9" t="str">
        <v>장동은</v>
      </c>
      <c r="H2481" s="9" t="str">
        <v>RA-01T-1790</v>
      </c>
      <c r="I2481" s="11" t="str">
        <v>RA-01T-1790]CAS MAIN Bas FRONT</v>
      </c>
      <c r="J2481" s="9">
        <v>250</v>
      </c>
      <c r="K2481" s="9" t="str">
        <v/>
      </c>
      <c r="L2481" s="9" t="str">
        <v>V</v>
      </c>
      <c r="M2481" s="12">
        <v>46293</v>
      </c>
      <c r="N2481" s="5" t="str">
        <v/>
      </c>
      <c r="O2481" s="5">
        <v>102928</v>
      </c>
      <c r="P2481" s="5">
        <v>20</v>
      </c>
      <c r="Q2481" s="14">
        <v>46302</v>
      </c>
      <c r="R2481" s="15">
        <v>230</v>
      </c>
    </row>
    <row r="2482" spans="2:18" x14ac:dyDescent="0.35">
      <c r="B2482" s="9">
        <v>1600</v>
      </c>
      <c r="C2482" s="9" t="str">
        <v>출고재고</v>
      </c>
      <c r="D2482" s="9" t="str">
        <v/>
      </c>
      <c r="E2482" s="9" t="str">
        <v/>
      </c>
      <c r="F2482" s="9" t="str">
        <v/>
      </c>
      <c r="G2482" s="9" t="str">
        <v/>
      </c>
      <c r="H2482" s="9" t="str">
        <v>RA-01T-1791</v>
      </c>
      <c r="I2482" s="11" t="str">
        <v>RA-01T-1791]CAS MAIN Bas REAR</v>
      </c>
      <c r="J2482" s="9">
        <v>378</v>
      </c>
      <c r="K2482" s="9" t="str">
        <v/>
      </c>
      <c r="L2482" s="9" t="str">
        <v>V</v>
      </c>
      <c r="M2482" s="12">
        <v>46282</v>
      </c>
      <c r="N2482" s="5" t="str">
        <v/>
      </c>
      <c r="O2482" s="5">
        <v>102928</v>
      </c>
      <c r="P2482" s="5">
        <v>20</v>
      </c>
      <c r="Q2482" s="14">
        <v>46302</v>
      </c>
      <c r="R2482" s="15">
        <v>358</v>
      </c>
    </row>
    <row r="2483" spans="2:18" x14ac:dyDescent="0.35">
      <c r="B2483" s="9">
        <v>1595</v>
      </c>
      <c r="C2483" s="9" t="str">
        <v>출고재고</v>
      </c>
      <c r="D2483" s="9" t="str">
        <v/>
      </c>
      <c r="E2483" s="9" t="str">
        <v/>
      </c>
      <c r="F2483" s="9" t="str">
        <v/>
      </c>
      <c r="G2483" s="9" t="str">
        <v/>
      </c>
      <c r="H2483" s="9" t="str">
        <v>RA-09T-1184</v>
      </c>
      <c r="I2483" s="11" t="str">
        <v>RA-09T-1184]CAS CHINREST</v>
      </c>
      <c r="J2483" s="9">
        <v>429</v>
      </c>
      <c r="K2483" s="9" t="str">
        <v/>
      </c>
      <c r="L2483" s="9" t="str">
        <v>S</v>
      </c>
      <c r="M2483" s="12">
        <v>46282</v>
      </c>
      <c r="N2483" s="5" t="str">
        <v/>
      </c>
      <c r="O2483" s="5">
        <v>102928</v>
      </c>
      <c r="P2483" s="5">
        <v>20</v>
      </c>
      <c r="Q2483" s="14">
        <v>46302</v>
      </c>
      <c r="R2483" s="15">
        <v>409</v>
      </c>
    </row>
    <row r="2484" spans="2:18" x14ac:dyDescent="0.35">
      <c r="B2484" s="9">
        <v>1601</v>
      </c>
      <c r="C2484" s="9" t="str">
        <v>출고재고</v>
      </c>
      <c r="D2484" s="9" t="str">
        <v/>
      </c>
      <c r="E2484" s="9" t="str">
        <v/>
      </c>
      <c r="F2484" s="9" t="str">
        <v/>
      </c>
      <c r="G2484" s="9" t="str">
        <v/>
      </c>
      <c r="H2484" s="9" t="str">
        <v>RA-03T-0072</v>
      </c>
      <c r="I2484" s="11" t="str">
        <v>RA-03T-0072]CAS CLMN BODY REAR</v>
      </c>
      <c r="J2484" s="9">
        <v>526</v>
      </c>
      <c r="K2484" s="9" t="str">
        <v/>
      </c>
      <c r="L2484" s="9" t="str">
        <v>V</v>
      </c>
      <c r="M2484" s="12">
        <v>46282</v>
      </c>
      <c r="N2484" s="5" t="str">
        <v/>
      </c>
      <c r="O2484" s="5">
        <v>102928</v>
      </c>
      <c r="P2484" s="5">
        <v>20</v>
      </c>
      <c r="Q2484" s="14">
        <v>46302</v>
      </c>
      <c r="R2484" s="15">
        <v>506</v>
      </c>
    </row>
    <row r="2485" spans="2:18" x14ac:dyDescent="0.35">
      <c r="B2485" s="9">
        <v>1713</v>
      </c>
      <c r="C2485" s="9" t="str">
        <v>출고재고</v>
      </c>
      <c r="D2485" s="9" t="str">
        <v/>
      </c>
      <c r="E2485" s="9" t="str">
        <v/>
      </c>
      <c r="F2485" s="9" t="str">
        <v/>
      </c>
      <c r="G2485" s="9" t="str">
        <v/>
      </c>
      <c r="H2485" s="9" t="str">
        <v>RA-09T-0733</v>
      </c>
      <c r="I2485" s="11" t="str">
        <v>RA-09T-0733]CAS S.W HLDR</v>
      </c>
      <c r="J2485" s="9">
        <v>627</v>
      </c>
      <c r="K2485" s="9" t="str">
        <v/>
      </c>
      <c r="L2485" s="9" t="str">
        <v>R</v>
      </c>
      <c r="M2485" s="12">
        <v>46288</v>
      </c>
      <c r="N2485" s="5" t="str">
        <v/>
      </c>
      <c r="O2485" s="5">
        <v>102928</v>
      </c>
      <c r="P2485" s="5">
        <v>20</v>
      </c>
      <c r="Q2485" s="14">
        <v>46302</v>
      </c>
      <c r="R2485" s="15">
        <v>607</v>
      </c>
    </row>
    <row r="2486" spans="2:18" x14ac:dyDescent="0.35">
      <c r="B2486" s="9">
        <v>1967</v>
      </c>
      <c r="C2486" s="9" t="str">
        <v>출고재고</v>
      </c>
      <c r="D2486" s="9" t="str">
        <v/>
      </c>
      <c r="E2486" s="9" t="str">
        <v>입고</v>
      </c>
      <c r="F2486" s="9" t="str">
        <v>A&amp;T</v>
      </c>
      <c r="G2486" s="9" t="str">
        <v>장동은</v>
      </c>
      <c r="H2486" s="9" t="str">
        <v>RE-03A-1030</v>
      </c>
      <c r="I2486" s="11" t="str">
        <v>RE-03A-1030]ASM COLUMN MODULE</v>
      </c>
      <c r="J2486" s="9">
        <v>18</v>
      </c>
      <c r="K2486" s="9" t="str">
        <v/>
      </c>
      <c r="L2486" s="9" t="str">
        <v>K8</v>
      </c>
      <c r="M2486" s="12">
        <v>46301</v>
      </c>
      <c r="N2486" s="5" t="str">
        <v/>
      </c>
      <c r="O2486" s="5">
        <v>102952</v>
      </c>
      <c r="P2486" s="5">
        <v>1</v>
      </c>
      <c r="Q2486" s="14">
        <v>46301</v>
      </c>
      <c r="R2486" s="15">
        <v>17</v>
      </c>
    </row>
    <row r="2487" spans="2:18" x14ac:dyDescent="0.35">
      <c r="B2487" s="9">
        <v>2601</v>
      </c>
      <c r="C2487" s="9" t="str">
        <v>출고재고</v>
      </c>
      <c r="D2487" s="9" t="str">
        <v/>
      </c>
      <c r="E2487" s="9" t="str">
        <v/>
      </c>
      <c r="F2487" s="9" t="str">
        <v/>
      </c>
      <c r="G2487" s="9" t="str">
        <v/>
      </c>
      <c r="H2487" s="9" t="str">
        <v>RE-03T-0307</v>
      </c>
      <c r="I2487" s="11" t="str">
        <v>RE-03T-0307]CAS CLMN REAR L</v>
      </c>
      <c r="J2487" s="9">
        <v>113</v>
      </c>
      <c r="K2487" s="9" t="str">
        <v/>
      </c>
      <c r="L2487" s="9" t="str">
        <v>3A-16</v>
      </c>
      <c r="M2487" s="12">
        <v>46307</v>
      </c>
      <c r="N2487" s="5" t="str">
        <v/>
      </c>
      <c r="O2487" s="5">
        <v>102956</v>
      </c>
      <c r="P2487" s="5">
        <v>7</v>
      </c>
      <c r="Q2487" s="14">
        <v>46297</v>
      </c>
      <c r="R2487" s="15">
        <v>106</v>
      </c>
    </row>
    <row r="2488" spans="2:18" x14ac:dyDescent="0.35">
      <c r="B2488" s="9">
        <v>2600</v>
      </c>
      <c r="C2488" s="9" t="str">
        <v>출고재고</v>
      </c>
      <c r="D2488" s="9" t="str">
        <v/>
      </c>
      <c r="E2488" s="9" t="str">
        <v/>
      </c>
      <c r="F2488" s="9" t="str">
        <v/>
      </c>
      <c r="G2488" s="9" t="str">
        <v/>
      </c>
      <c r="H2488" s="9" t="str">
        <v>RE-03T-0308</v>
      </c>
      <c r="I2488" s="11" t="str">
        <v>RE-03T-0308]CAS CLMN REAR R</v>
      </c>
      <c r="J2488" s="9">
        <v>27</v>
      </c>
      <c r="K2488" s="9" t="str">
        <v/>
      </c>
      <c r="L2488" s="9" t="str">
        <v>3A-16</v>
      </c>
      <c r="M2488" s="12">
        <v>46307</v>
      </c>
      <c r="N2488" s="5" t="str">
        <v/>
      </c>
      <c r="O2488" s="5">
        <v>102956</v>
      </c>
      <c r="P2488" s="5">
        <v>7</v>
      </c>
      <c r="Q2488" s="14">
        <v>46297</v>
      </c>
      <c r="R2488" s="15">
        <v>20</v>
      </c>
    </row>
    <row r="2489" spans="2:18" x14ac:dyDescent="0.35">
      <c r="B2489" s="9">
        <v>2043</v>
      </c>
      <c r="C2489" s="9" t="str">
        <v>출고재고</v>
      </c>
      <c r="D2489" s="9" t="str">
        <v/>
      </c>
      <c r="E2489" s="9" t="str">
        <v>입고</v>
      </c>
      <c r="F2489" s="9" t="str">
        <v>대영하네스</v>
      </c>
      <c r="G2489" s="9" t="str">
        <v>유영국</v>
      </c>
      <c r="H2489" s="9" t="str">
        <v>RA-5-8</v>
      </c>
      <c r="I2489" s="11" t="str">
        <v>RA-5-8]EARTH CTRL SMPS</v>
      </c>
      <c r="J2489" s="9">
        <v>300</v>
      </c>
      <c r="K2489" s="9" t="str">
        <v/>
      </c>
      <c r="L2489" s="9" t="str">
        <v>G3-2</v>
      </c>
      <c r="M2489" s="12">
        <v>46296</v>
      </c>
      <c r="N2489" s="5" t="str">
        <v/>
      </c>
      <c r="O2489" s="5">
        <v>103215</v>
      </c>
      <c r="P2489" s="5">
        <v>5</v>
      </c>
      <c r="Q2489" s="14">
        <v>46301</v>
      </c>
      <c r="R2489" s="15">
        <v>295</v>
      </c>
    </row>
    <row r="2490" spans="2:18" x14ac:dyDescent="0.35">
      <c r="B2490" s="9">
        <v>2259</v>
      </c>
      <c r="C2490" s="9" t="str">
        <v>출고재고</v>
      </c>
      <c r="D2490" s="9" t="str">
        <v/>
      </c>
      <c r="E2490" s="9" t="str">
        <v/>
      </c>
      <c r="F2490" s="9" t="str">
        <v/>
      </c>
      <c r="G2490" s="9" t="str">
        <v/>
      </c>
      <c r="H2490" s="9" t="str">
        <v>RA-02S-2278</v>
      </c>
      <c r="I2490" s="11" t="str">
        <v>RA-02S-2278]TIMMING BELT</v>
      </c>
      <c r="J2490" s="9">
        <v>225</v>
      </c>
      <c r="K2490" s="9" t="str">
        <v/>
      </c>
      <c r="L2490" s="9" t="str">
        <v>C3-1</v>
      </c>
      <c r="M2490" s="12">
        <v>46302</v>
      </c>
      <c r="N2490" s="5" t="str">
        <v/>
      </c>
      <c r="O2490" s="5">
        <v>103222</v>
      </c>
      <c r="P2490" s="5">
        <v>1</v>
      </c>
      <c r="Q2490" s="14">
        <v>46301</v>
      </c>
      <c r="R2490" s="15">
        <v>224</v>
      </c>
    </row>
    <row r="2491" spans="2:18" x14ac:dyDescent="0.35">
      <c r="B2491" s="9">
        <v>1314</v>
      </c>
      <c r="C2491" s="9" t="str">
        <v>출고재고</v>
      </c>
      <c r="D2491" s="9" t="str">
        <v/>
      </c>
      <c r="E2491" s="9" t="str">
        <v/>
      </c>
      <c r="F2491" s="9" t="str">
        <v/>
      </c>
      <c r="G2491" s="9" t="str">
        <v/>
      </c>
      <c r="H2491" s="9" t="str">
        <v>RF-01H-5054</v>
      </c>
      <c r="I2491" s="11" t="str">
        <v>RF-01H-5054]DLP Power harness</v>
      </c>
      <c r="J2491" s="9">
        <v>9</v>
      </c>
      <c r="K2491" s="9" t="str">
        <v/>
      </c>
      <c r="L2491" s="9" t="str">
        <v>3S3-4</v>
      </c>
      <c r="M2491" s="12">
        <v>46287</v>
      </c>
      <c r="N2491" s="5" t="str">
        <v/>
      </c>
      <c r="O2491" s="5">
        <v>103223</v>
      </c>
      <c r="P2491" s="5">
        <v>1</v>
      </c>
      <c r="Q2491" s="14">
        <v>46301</v>
      </c>
      <c r="R2491" s="15">
        <v>8</v>
      </c>
    </row>
    <row r="2492" spans="2:18" x14ac:dyDescent="0.35">
      <c r="B2492" s="9">
        <v>1268</v>
      </c>
      <c r="C2492" s="9" t="str">
        <v>출고재고</v>
      </c>
      <c r="D2492" s="9" t="str">
        <v/>
      </c>
      <c r="E2492" s="9" t="str">
        <v>반납</v>
      </c>
      <c r="F2492" s="9" t="str">
        <v/>
      </c>
      <c r="G2492" s="9" t="str">
        <v/>
      </c>
      <c r="H2492" s="9" t="str">
        <v>RD-00S-5201</v>
      </c>
      <c r="I2492" s="11" t="str">
        <v>RD-00S-5201]USB A to B Cable</v>
      </c>
      <c r="J2492" s="9">
        <v>11</v>
      </c>
      <c r="K2492" s="9" t="str">
        <v/>
      </c>
      <c r="L2492" s="9" t="str">
        <v>3S3-2</v>
      </c>
      <c r="M2492" s="12">
        <v>46287</v>
      </c>
      <c r="N2492" s="5" t="str">
        <v/>
      </c>
      <c r="O2492" s="5">
        <v>103223</v>
      </c>
      <c r="P2492" s="5">
        <v>2</v>
      </c>
      <c r="Q2492" s="14">
        <v>46301</v>
      </c>
      <c r="R2492" s="15">
        <v>9</v>
      </c>
    </row>
    <row r="2493" spans="2:18" x14ac:dyDescent="0.35">
      <c r="B2493" s="9">
        <v>1246</v>
      </c>
      <c r="C2493" s="9" t="str">
        <v>출고재고</v>
      </c>
      <c r="D2493" s="9" t="str">
        <v/>
      </c>
      <c r="E2493" s="9" t="str">
        <v>반납</v>
      </c>
      <c r="F2493" s="9" t="str">
        <v/>
      </c>
      <c r="G2493" s="9" t="str">
        <v/>
      </c>
      <c r="H2493" s="9" t="str">
        <v>RF-01T-0353</v>
      </c>
      <c r="I2493" s="11" t="str">
        <v>RF-01T-0353]WINDOW LED</v>
      </c>
      <c r="J2493" s="9">
        <v>13</v>
      </c>
      <c r="K2493" s="9" t="str">
        <v/>
      </c>
      <c r="L2493" s="9" t="str">
        <v>3E9</v>
      </c>
      <c r="M2493" s="12">
        <v>46287</v>
      </c>
      <c r="N2493" s="5" t="str">
        <v/>
      </c>
      <c r="O2493" s="5">
        <v>103223</v>
      </c>
      <c r="P2493" s="5">
        <v>1</v>
      </c>
      <c r="Q2493" s="14">
        <v>46301</v>
      </c>
      <c r="R2493" s="15">
        <v>12</v>
      </c>
    </row>
    <row r="2494" spans="2:18" x14ac:dyDescent="0.35">
      <c r="B2494" s="9">
        <v>1251</v>
      </c>
      <c r="C2494" s="9" t="str">
        <v>출고재고</v>
      </c>
      <c r="D2494" s="9" t="str">
        <v/>
      </c>
      <c r="E2494" s="9" t="str">
        <v>반납</v>
      </c>
      <c r="F2494" s="9" t="str">
        <v/>
      </c>
      <c r="G2494" s="9" t="str">
        <v/>
      </c>
      <c r="H2494" s="9" t="str">
        <v>RF-01T-0241</v>
      </c>
      <c r="I2494" s="11" t="str">
        <v>RF-01T-0241]CAL Bas UPPER</v>
      </c>
      <c r="J2494" s="9">
        <v>18</v>
      </c>
      <c r="K2494" s="9" t="str">
        <v/>
      </c>
      <c r="L2494" s="9" t="str">
        <v>3E5</v>
      </c>
      <c r="M2494" s="12">
        <v>46287</v>
      </c>
      <c r="N2494" s="5" t="str">
        <v/>
      </c>
      <c r="O2494" s="5">
        <v>103223</v>
      </c>
      <c r="P2494" s="5">
        <v>1</v>
      </c>
      <c r="Q2494" s="14">
        <v>46301</v>
      </c>
      <c r="R2494" s="15">
        <v>17</v>
      </c>
    </row>
    <row r="2495" spans="2:18" x14ac:dyDescent="0.35">
      <c r="B2495" s="9">
        <v>1293</v>
      </c>
      <c r="C2495" s="9" t="str">
        <v>출고재고</v>
      </c>
      <c r="D2495" s="9" t="str">
        <v/>
      </c>
      <c r="E2495" s="9" t="str">
        <v/>
      </c>
      <c r="F2495" s="9" t="str">
        <v/>
      </c>
      <c r="G2495" s="9" t="str">
        <v/>
      </c>
      <c r="H2495" s="9" t="str">
        <v>RF-01M-0200</v>
      </c>
      <c r="I2495" s="11" t="str">
        <v>RF-01M-0200]MIRROR PLT</v>
      </c>
      <c r="J2495" s="9">
        <v>19</v>
      </c>
      <c r="K2495" s="9" t="str">
        <v/>
      </c>
      <c r="L2495" s="9" t="str">
        <v>3L4-3</v>
      </c>
      <c r="M2495" s="12">
        <v>46287</v>
      </c>
      <c r="N2495" s="5" t="str">
        <v/>
      </c>
      <c r="O2495" s="5">
        <v>103223</v>
      </c>
      <c r="P2495" s="5">
        <v>1</v>
      </c>
      <c r="Q2495" s="14">
        <v>46301</v>
      </c>
      <c r="R2495" s="15">
        <v>18</v>
      </c>
    </row>
    <row r="2496" spans="2:18" x14ac:dyDescent="0.35">
      <c r="B2496" s="9">
        <v>1324</v>
      </c>
      <c r="C2496" s="9" t="str">
        <v>출고재고</v>
      </c>
      <c r="D2496" s="9" t="str">
        <v/>
      </c>
      <c r="E2496" s="9" t="str">
        <v/>
      </c>
      <c r="F2496" s="9" t="str">
        <v/>
      </c>
      <c r="G2496" s="9" t="str">
        <v/>
      </c>
      <c r="H2496" s="9" t="str">
        <v>RF-01S-5086</v>
      </c>
      <c r="I2496" s="11" t="str">
        <v>RF-01S-5086]TEETH CAM</v>
      </c>
      <c r="J2496" s="9">
        <v>26</v>
      </c>
      <c r="K2496" s="9" t="str">
        <v/>
      </c>
      <c r="L2496" s="9" t="str">
        <v>3F10</v>
      </c>
      <c r="M2496" s="12">
        <v>46287</v>
      </c>
      <c r="N2496" s="5" t="str">
        <v/>
      </c>
      <c r="O2496" s="5">
        <v>103223</v>
      </c>
      <c r="P2496" s="5">
        <v>1</v>
      </c>
      <c r="Q2496" s="14">
        <v>46301</v>
      </c>
      <c r="R2496" s="15">
        <v>25</v>
      </c>
    </row>
    <row r="2497" spans="2:18" x14ac:dyDescent="0.35">
      <c r="B2497" s="9">
        <v>2266</v>
      </c>
      <c r="C2497" s="9" t="str">
        <v>출고재고</v>
      </c>
      <c r="D2497" s="9" t="str">
        <v/>
      </c>
      <c r="E2497" s="9" t="str">
        <v>입고</v>
      </c>
      <c r="F2497" s="9" t="str">
        <v>하이크로봇</v>
      </c>
      <c r="G2497" s="9" t="str">
        <v>장동은</v>
      </c>
      <c r="H2497" s="9" t="str">
        <v>RF-01S-5093</v>
      </c>
      <c r="I2497" s="11" t="str">
        <v>RF-01S-5093]CAM Cable_TEETH_R</v>
      </c>
      <c r="J2497" s="9">
        <v>50</v>
      </c>
      <c r="K2497" s="9" t="str">
        <v/>
      </c>
      <c r="L2497" s="9" t="str">
        <v>3F10</v>
      </c>
      <c r="M2497" s="12">
        <v>46293</v>
      </c>
      <c r="N2497" s="5" t="str">
        <v/>
      </c>
      <c r="O2497" s="5">
        <v>103223</v>
      </c>
      <c r="P2497" s="5">
        <v>1</v>
      </c>
      <c r="Q2497" s="14">
        <v>46301</v>
      </c>
      <c r="R2497" s="15">
        <v>49</v>
      </c>
    </row>
    <row r="2498" spans="2:18" x14ac:dyDescent="0.35">
      <c r="B2498" s="9">
        <v>1362</v>
      </c>
      <c r="C2498" s="9" t="str">
        <v>출고재고</v>
      </c>
      <c r="D2498" s="9" t="str">
        <v/>
      </c>
      <c r="E2498" s="9" t="str">
        <v/>
      </c>
      <c r="F2498" s="9" t="str">
        <v/>
      </c>
      <c r="G2498" s="9" t="str">
        <v/>
      </c>
      <c r="H2498" s="9" t="str">
        <v>RF-01T-0351</v>
      </c>
      <c r="I2498" s="11" t="str">
        <v>RF-01T-0351]WINDOW LED B</v>
      </c>
      <c r="J2498" s="9">
        <v>185</v>
      </c>
      <c r="K2498" s="9" t="str">
        <v/>
      </c>
      <c r="L2498" s="9" t="str">
        <v>3E9</v>
      </c>
      <c r="M2498" s="12">
        <v>46287</v>
      </c>
      <c r="N2498" s="5" t="str">
        <v/>
      </c>
      <c r="O2498" s="5">
        <v>103223</v>
      </c>
      <c r="P2498" s="5">
        <v>1</v>
      </c>
      <c r="Q2498" s="14">
        <v>46301</v>
      </c>
      <c r="R2498" s="15">
        <v>184</v>
      </c>
    </row>
    <row r="2499" spans="2:18" x14ac:dyDescent="0.35">
      <c r="B2499" s="9">
        <v>2301</v>
      </c>
      <c r="C2499" s="9" t="str">
        <v>출고재고</v>
      </c>
      <c r="D2499" s="9" t="str">
        <v/>
      </c>
      <c r="E2499" s="9" t="str">
        <v>입고</v>
      </c>
      <c r="F2499" s="9" t="str">
        <v>A&amp;T</v>
      </c>
      <c r="G2499" s="9" t="str">
        <v>장동은</v>
      </c>
      <c r="H2499" s="9" t="str">
        <v>RE-02A-1020</v>
      </c>
      <c r="I2499" s="11" t="str">
        <v>RE-02A-1020]ASM VERTICAL MODULE</v>
      </c>
      <c r="J2499" s="9">
        <v>1</v>
      </c>
      <c r="K2499" s="9" t="str">
        <v/>
      </c>
      <c r="L2499" s="9" t="str">
        <v>K8</v>
      </c>
      <c r="M2499" s="12">
        <v>46281</v>
      </c>
      <c r="N2499" s="5" t="str">
        <v/>
      </c>
      <c r="O2499" s="5">
        <v>103227</v>
      </c>
      <c r="P2499" s="5">
        <v>1</v>
      </c>
      <c r="Q2499" s="14">
        <v>46302</v>
      </c>
      <c r="R2499" s="15">
        <v>0</v>
      </c>
    </row>
    <row r="2500" spans="2:18" x14ac:dyDescent="0.35">
      <c r="B2500" s="9">
        <v>1971</v>
      </c>
      <c r="C2500" s="9" t="str">
        <v>출고재고</v>
      </c>
      <c r="D2500" s="9" t="str">
        <v/>
      </c>
      <c r="E2500" s="9" t="str">
        <v>입고</v>
      </c>
      <c r="F2500" s="9" t="str">
        <v>A&amp;T</v>
      </c>
      <c r="G2500" s="9" t="str">
        <v>장동은</v>
      </c>
      <c r="H2500" s="9" t="str">
        <v>RE-05A-1050</v>
      </c>
      <c r="I2500" s="11" t="str">
        <v>RE-05A-1050]ASM ROTATOR MODULE</v>
      </c>
      <c r="J2500" s="9">
        <v>6</v>
      </c>
      <c r="K2500" s="9" t="str">
        <v/>
      </c>
      <c r="L2500" s="9" t="str">
        <v>K8</v>
      </c>
      <c r="M2500" s="12">
        <v>46301</v>
      </c>
      <c r="N2500" s="5" t="str">
        <v/>
      </c>
      <c r="O2500" s="5">
        <v>103227</v>
      </c>
      <c r="P2500" s="5">
        <v>6</v>
      </c>
      <c r="Q2500" s="14">
        <v>46302</v>
      </c>
      <c r="R2500" s="15">
        <v>0</v>
      </c>
    </row>
    <row r="2501" spans="2:18" x14ac:dyDescent="0.35">
      <c r="B2501" s="9">
        <v>2303</v>
      </c>
      <c r="C2501" s="9" t="str">
        <v>출고재고</v>
      </c>
      <c r="D2501" s="9" t="str">
        <v/>
      </c>
      <c r="E2501" s="9" t="str">
        <v>입고</v>
      </c>
      <c r="F2501" s="9" t="str">
        <v>A&amp;T</v>
      </c>
      <c r="G2501" s="9" t="str">
        <v>장동은</v>
      </c>
      <c r="H2501" s="9" t="str">
        <v>RE-05A-1050</v>
      </c>
      <c r="I2501" s="11" t="str">
        <v>RE-05A-1050]ASM ROTATOR MODULE</v>
      </c>
      <c r="J2501" s="9">
        <v>6</v>
      </c>
      <c r="K2501" s="9" t="str">
        <v/>
      </c>
      <c r="L2501" s="9" t="str">
        <v>K8</v>
      </c>
      <c r="M2501" s="12">
        <v>46279</v>
      </c>
      <c r="N2501" s="5" t="str">
        <v/>
      </c>
      <c r="O2501" s="5">
        <v>103227</v>
      </c>
      <c r="P2501" s="5">
        <v>6</v>
      </c>
      <c r="Q2501" s="14">
        <v>46302</v>
      </c>
      <c r="R2501" s="15">
        <v>0</v>
      </c>
    </row>
    <row r="2502" spans="2:18" x14ac:dyDescent="0.35">
      <c r="B2502" s="9">
        <v>1704</v>
      </c>
      <c r="C2502" s="9" t="str">
        <v>출고재고</v>
      </c>
      <c r="D2502" s="9" t="str">
        <v/>
      </c>
      <c r="E2502" s="9" t="str">
        <v/>
      </c>
      <c r="F2502" s="9" t="str">
        <v/>
      </c>
      <c r="G2502" s="9" t="str">
        <v/>
      </c>
      <c r="H2502" s="9" t="str">
        <v>RE-05A-1050</v>
      </c>
      <c r="I2502" s="11" t="str">
        <v>RE-05A-1050]ASM ROTATOR MODULE</v>
      </c>
      <c r="J2502" s="9">
        <v>7</v>
      </c>
      <c r="K2502" s="9" t="str">
        <v/>
      </c>
      <c r="L2502" s="9" t="str">
        <v>K8</v>
      </c>
      <c r="M2502" s="12">
        <v>46287</v>
      </c>
      <c r="N2502" s="5" t="str">
        <v/>
      </c>
      <c r="O2502" s="5">
        <v>103227</v>
      </c>
      <c r="P2502" s="5">
        <v>7</v>
      </c>
      <c r="Q2502" s="14">
        <v>46302</v>
      </c>
      <c r="R2502" s="15">
        <v>0</v>
      </c>
    </row>
    <row r="2503" spans="2:18" x14ac:dyDescent="0.35">
      <c r="B2503" s="9">
        <v>2300</v>
      </c>
      <c r="C2503" s="9" t="str">
        <v>출고재고</v>
      </c>
      <c r="D2503" s="9" t="str">
        <v/>
      </c>
      <c r="E2503" s="9" t="str">
        <v>입고</v>
      </c>
      <c r="F2503" s="9" t="str">
        <v>A&amp;T</v>
      </c>
      <c r="G2503" s="9" t="str">
        <v>장동은</v>
      </c>
      <c r="H2503" s="9" t="str">
        <v>RE-02A-1020</v>
      </c>
      <c r="I2503" s="11" t="str">
        <v>RE-02A-1020]ASM VERTICAL MODULE</v>
      </c>
      <c r="J2503" s="9">
        <v>14</v>
      </c>
      <c r="K2503" s="9" t="str">
        <v/>
      </c>
      <c r="L2503" s="9" t="str">
        <v>K8</v>
      </c>
      <c r="M2503" s="12">
        <v>46281</v>
      </c>
      <c r="N2503" s="5" t="str">
        <v/>
      </c>
      <c r="O2503" s="5">
        <v>103227</v>
      </c>
      <c r="P2503" s="5">
        <v>14</v>
      </c>
      <c r="Q2503" s="14">
        <v>46302</v>
      </c>
      <c r="R2503" s="15">
        <v>0</v>
      </c>
    </row>
    <row r="2504" spans="2:18" x14ac:dyDescent="0.35">
      <c r="B2504" s="9">
        <v>2304</v>
      </c>
      <c r="C2504" s="9" t="str">
        <v>출고재고</v>
      </c>
      <c r="D2504" s="9" t="str">
        <v/>
      </c>
      <c r="E2504" s="9" t="str">
        <v>입고</v>
      </c>
      <c r="F2504" s="9" t="str">
        <v>A&amp;T</v>
      </c>
      <c r="G2504" s="9" t="str">
        <v>장동은</v>
      </c>
      <c r="H2504" s="9" t="str">
        <v>RE-05A-1050</v>
      </c>
      <c r="I2504" s="11" t="str">
        <v>RE-05A-1050]ASM ROTATOR MODULE</v>
      </c>
      <c r="J2504" s="9">
        <v>14</v>
      </c>
      <c r="K2504" s="9" t="str">
        <v/>
      </c>
      <c r="L2504" s="9" t="str">
        <v>K8</v>
      </c>
      <c r="M2504" s="12">
        <v>46281</v>
      </c>
      <c r="N2504" s="5" t="str">
        <v/>
      </c>
      <c r="O2504" s="5">
        <v>103227</v>
      </c>
      <c r="P2504" s="5">
        <v>14</v>
      </c>
      <c r="Q2504" s="14">
        <v>46302</v>
      </c>
      <c r="R2504" s="15">
        <v>0</v>
      </c>
    </row>
    <row r="2505" spans="2:18" x14ac:dyDescent="0.35">
      <c r="B2505" s="9">
        <v>1949</v>
      </c>
      <c r="C2505" s="9" t="str">
        <v>출고재고</v>
      </c>
      <c r="D2505" s="9" t="str">
        <v/>
      </c>
      <c r="E2505" s="9" t="str">
        <v>입고</v>
      </c>
      <c r="F2505" s="9" t="str">
        <v>A&amp;T</v>
      </c>
      <c r="G2505" s="9" t="str">
        <v>장동은</v>
      </c>
      <c r="H2505" s="9" t="str">
        <v>RE-05A-1050</v>
      </c>
      <c r="I2505" s="11" t="str">
        <v>RE-05A-1050]ASM ROTATOR MODULE</v>
      </c>
      <c r="J2505" s="9">
        <v>24</v>
      </c>
      <c r="K2505" s="9" t="str">
        <v/>
      </c>
      <c r="L2505" s="9" t="str">
        <v>K8</v>
      </c>
      <c r="M2505" s="12">
        <v>46296</v>
      </c>
      <c r="N2505" s="5" t="str">
        <v/>
      </c>
      <c r="O2505" s="5">
        <v>103227</v>
      </c>
      <c r="P2505" s="5">
        <v>7</v>
      </c>
      <c r="Q2505" s="14">
        <v>46302</v>
      </c>
      <c r="R2505" s="15">
        <v>17</v>
      </c>
    </row>
    <row r="2506" spans="2:18" x14ac:dyDescent="0.35">
      <c r="B2506" s="9">
        <v>2302</v>
      </c>
      <c r="C2506" s="9" t="str">
        <v>출고재고</v>
      </c>
      <c r="D2506" s="9" t="str">
        <v/>
      </c>
      <c r="E2506" s="9" t="str">
        <v>입고</v>
      </c>
      <c r="F2506" s="9" t="str">
        <v>A&amp;T</v>
      </c>
      <c r="G2506" s="9" t="str">
        <v>장동은</v>
      </c>
      <c r="H2506" s="9" t="str">
        <v>RE-02A-1020</v>
      </c>
      <c r="I2506" s="11" t="str">
        <v>RE-02A-1020]ASM VERTICAL MODULE</v>
      </c>
      <c r="J2506" s="9">
        <v>30</v>
      </c>
      <c r="K2506" s="9" t="str">
        <v/>
      </c>
      <c r="L2506" s="9" t="str">
        <v>K8</v>
      </c>
      <c r="M2506" s="12">
        <v>46302</v>
      </c>
      <c r="N2506" s="5" t="str">
        <v/>
      </c>
      <c r="O2506" s="5">
        <v>103227</v>
      </c>
      <c r="P2506" s="5">
        <v>15</v>
      </c>
      <c r="Q2506" s="14">
        <v>46302</v>
      </c>
      <c r="R2506" s="15">
        <v>15</v>
      </c>
    </row>
    <row r="2507" spans="2:18" x14ac:dyDescent="0.35">
      <c r="B2507" s="9">
        <v>2305</v>
      </c>
      <c r="C2507" s="9" t="str">
        <v>출고재고</v>
      </c>
      <c r="D2507" s="9" t="str">
        <v/>
      </c>
      <c r="E2507" s="9" t="str">
        <v>입고</v>
      </c>
      <c r="F2507" s="9" t="str">
        <v>아이온세미</v>
      </c>
      <c r="G2507" s="9" t="str">
        <v>장동은</v>
      </c>
      <c r="H2507" s="9" t="str">
        <v>RE-05B-5101</v>
      </c>
      <c r="I2507" s="11" t="str">
        <v>RE-05B-5101]eSUB Bd</v>
      </c>
      <c r="J2507" s="9">
        <v>50</v>
      </c>
      <c r="K2507" s="9" t="str">
        <v/>
      </c>
      <c r="L2507" s="9" t="str">
        <v>K6-4</v>
      </c>
      <c r="M2507" s="12">
        <v>46295</v>
      </c>
      <c r="N2507" s="5" t="str">
        <v/>
      </c>
      <c r="O2507" s="5">
        <v>103227</v>
      </c>
      <c r="P2507" s="5">
        <v>40</v>
      </c>
      <c r="Q2507" s="14">
        <v>46302</v>
      </c>
      <c r="R2507" s="15">
        <v>10</v>
      </c>
    </row>
    <row r="2508" spans="2:18" x14ac:dyDescent="0.35">
      <c r="B2508" s="9">
        <v>1973</v>
      </c>
      <c r="C2508" s="9" t="str">
        <v>출고재고</v>
      </c>
      <c r="D2508" s="9" t="str">
        <v/>
      </c>
      <c r="E2508" s="9" t="str">
        <v>입고</v>
      </c>
      <c r="F2508" s="9" t="str">
        <v>A&amp;T</v>
      </c>
      <c r="G2508" s="9" t="str">
        <v>장동은</v>
      </c>
      <c r="H2508" s="9" t="str">
        <v>RE-07A-1070</v>
      </c>
      <c r="I2508" s="11" t="str">
        <v>RE-07A-1070]ASM DETECTOR MODULE</v>
      </c>
      <c r="J2508" s="9">
        <v>3</v>
      </c>
      <c r="K2508" s="9" t="str">
        <v/>
      </c>
      <c r="L2508" s="9" t="str">
        <v>K8</v>
      </c>
      <c r="M2508" s="12">
        <v>46301</v>
      </c>
      <c r="N2508" s="5" t="str">
        <v/>
      </c>
      <c r="O2508" s="5">
        <v>103228</v>
      </c>
      <c r="P2508" s="5">
        <v>3</v>
      </c>
      <c r="Q2508" s="14">
        <v>46303</v>
      </c>
      <c r="R2508" s="15">
        <v>0</v>
      </c>
    </row>
    <row r="2509" spans="2:18" x14ac:dyDescent="0.35">
      <c r="B2509" s="9">
        <v>1953</v>
      </c>
      <c r="C2509" s="9" t="str">
        <v>출고재고</v>
      </c>
      <c r="D2509" s="9" t="str">
        <v/>
      </c>
      <c r="E2509" s="9" t="str">
        <v>입고</v>
      </c>
      <c r="F2509" s="9" t="str">
        <v>A&amp;T</v>
      </c>
      <c r="G2509" s="9" t="str">
        <v>장동은</v>
      </c>
      <c r="H2509" s="9" t="str">
        <v>RE-07A-1070</v>
      </c>
      <c r="I2509" s="11" t="str">
        <v>RE-07A-1070]ASM DETECTOR MODULE</v>
      </c>
      <c r="J2509" s="9">
        <v>6</v>
      </c>
      <c r="K2509" s="9" t="str">
        <v/>
      </c>
      <c r="L2509" s="9" t="str">
        <v>K8</v>
      </c>
      <c r="M2509" s="12">
        <v>46296</v>
      </c>
      <c r="N2509" s="5" t="str">
        <v/>
      </c>
      <c r="O2509" s="5">
        <v>103228</v>
      </c>
      <c r="P2509" s="5">
        <v>6</v>
      </c>
      <c r="Q2509" s="14">
        <v>46303</v>
      </c>
      <c r="R2509" s="15">
        <v>0</v>
      </c>
    </row>
    <row r="2510" spans="2:18" x14ac:dyDescent="0.35">
      <c r="B2510" s="9">
        <v>2286</v>
      </c>
      <c r="C2510" s="9" t="str">
        <v>출고재고</v>
      </c>
      <c r="D2510" s="9" t="str">
        <v/>
      </c>
      <c r="E2510" s="9" t="str">
        <v>입고</v>
      </c>
      <c r="F2510" s="9" t="str">
        <v>A&amp;T</v>
      </c>
      <c r="G2510" s="9" t="str">
        <v>장동은</v>
      </c>
      <c r="H2510" s="9" t="str">
        <v>RE-07A-1070</v>
      </c>
      <c r="I2510" s="11" t="str">
        <v>RE-07A-1070]ASM DETECTOR MODULE</v>
      </c>
      <c r="J2510" s="9">
        <v>6</v>
      </c>
      <c r="K2510" s="9" t="str">
        <v/>
      </c>
      <c r="L2510" s="9" t="str">
        <v>K8</v>
      </c>
      <c r="M2510" s="12">
        <v>46295</v>
      </c>
      <c r="N2510" s="5" t="str">
        <v/>
      </c>
      <c r="O2510" s="5">
        <v>103228</v>
      </c>
      <c r="P2510" s="5">
        <v>6</v>
      </c>
      <c r="Q2510" s="14">
        <v>46303</v>
      </c>
      <c r="R2510" s="15">
        <v>0</v>
      </c>
    </row>
    <row r="2511" spans="2:18" x14ac:dyDescent="0.35">
      <c r="B2511" s="9">
        <v>1958</v>
      </c>
      <c r="C2511" s="9" t="str">
        <v>출고재고</v>
      </c>
      <c r="D2511" s="9" t="str">
        <v/>
      </c>
      <c r="E2511" s="9" t="str">
        <v>입고</v>
      </c>
      <c r="F2511" s="9" t="str">
        <v>A&amp;T</v>
      </c>
      <c r="G2511" s="9" t="str">
        <v>장동은</v>
      </c>
      <c r="H2511" s="9" t="str">
        <v>RE-06A-0601</v>
      </c>
      <c r="I2511" s="11" t="str">
        <v>RE-06A-0601]ASM COLLIMATOR MODULE</v>
      </c>
      <c r="J2511" s="9">
        <v>10</v>
      </c>
      <c r="K2511" s="9" t="str">
        <v/>
      </c>
      <c r="L2511" s="9" t="str">
        <v>K8</v>
      </c>
      <c r="M2511" s="12">
        <v>46296</v>
      </c>
      <c r="N2511" s="5" t="str">
        <v/>
      </c>
      <c r="O2511" s="5">
        <v>103228</v>
      </c>
      <c r="P2511" s="5">
        <v>2</v>
      </c>
      <c r="Q2511" s="14">
        <v>46303</v>
      </c>
      <c r="R2511" s="15">
        <v>8</v>
      </c>
    </row>
    <row r="2512" spans="2:18" x14ac:dyDescent="0.35">
      <c r="B2512" s="9">
        <v>2086</v>
      </c>
      <c r="C2512" s="9" t="str">
        <v>출고재고</v>
      </c>
      <c r="D2512" s="9" t="str">
        <v/>
      </c>
      <c r="E2512" s="9" t="str">
        <v/>
      </c>
      <c r="F2512" s="9" t="str">
        <v/>
      </c>
      <c r="G2512" s="9" t="str">
        <v/>
      </c>
      <c r="H2512" s="9" t="str">
        <v>RE-06A-0625</v>
      </c>
      <c r="I2512" s="11" t="str">
        <v>RE-06A-0625]ASM TUBE FAN</v>
      </c>
      <c r="J2512" s="9">
        <v>10</v>
      </c>
      <c r="K2512" s="9" t="str">
        <v/>
      </c>
      <c r="L2512" s="9" t="str">
        <v>K6-1</v>
      </c>
      <c r="M2512" s="12">
        <v>46287</v>
      </c>
      <c r="N2512" s="5" t="str">
        <v/>
      </c>
      <c r="O2512" s="5">
        <v>103228</v>
      </c>
      <c r="P2512" s="5">
        <v>10</v>
      </c>
      <c r="Q2512" s="14">
        <v>46303</v>
      </c>
      <c r="R2512" s="15">
        <v>0</v>
      </c>
    </row>
    <row r="2513" spans="2:18" x14ac:dyDescent="0.35">
      <c r="B2513" s="9">
        <v>2287</v>
      </c>
      <c r="C2513" s="9" t="str">
        <v>출고재고</v>
      </c>
      <c r="D2513" s="9" t="str">
        <v/>
      </c>
      <c r="E2513" s="9" t="str">
        <v>입고</v>
      </c>
      <c r="F2513" s="9" t="str">
        <v>A&amp;T</v>
      </c>
      <c r="G2513" s="9" t="str">
        <v>장동은</v>
      </c>
      <c r="H2513" s="9" t="str">
        <v>RE-07A-1070</v>
      </c>
      <c r="I2513" s="11" t="str">
        <v>RE-07A-1070]ASM DETECTOR MODULE</v>
      </c>
      <c r="J2513" s="9">
        <v>24</v>
      </c>
      <c r="K2513" s="9" t="str">
        <v/>
      </c>
      <c r="L2513" s="9" t="str">
        <v>K8</v>
      </c>
      <c r="M2513" s="12">
        <v>46295</v>
      </c>
      <c r="N2513" s="5" t="str">
        <v/>
      </c>
      <c r="O2513" s="5">
        <v>103228</v>
      </c>
      <c r="P2513" s="5">
        <v>24</v>
      </c>
      <c r="Q2513" s="14">
        <v>46303</v>
      </c>
      <c r="R2513" s="15">
        <v>0</v>
      </c>
    </row>
    <row r="2514" spans="2:18" x14ac:dyDescent="0.35">
      <c r="B2514" s="9">
        <v>2082</v>
      </c>
      <c r="C2514" s="9" t="str">
        <v>출고재고</v>
      </c>
      <c r="D2514" s="9" t="str">
        <v/>
      </c>
      <c r="E2514" s="9" t="str">
        <v/>
      </c>
      <c r="F2514" s="9" t="str">
        <v/>
      </c>
      <c r="G2514" s="9" t="str">
        <v/>
      </c>
      <c r="H2514" s="9" t="str">
        <v>RE-06V-0608</v>
      </c>
      <c r="I2514" s="11" t="str">
        <v>RE-06V-0608]BRK COL LWR</v>
      </c>
      <c r="J2514" s="9">
        <v>30</v>
      </c>
      <c r="K2514" s="9" t="str">
        <v/>
      </c>
      <c r="L2514" s="9" t="str">
        <v>K1-4</v>
      </c>
      <c r="M2514" s="12">
        <v>46287</v>
      </c>
      <c r="N2514" s="5" t="str">
        <v/>
      </c>
      <c r="O2514" s="5">
        <v>103228</v>
      </c>
      <c r="P2514" s="5">
        <v>30</v>
      </c>
      <c r="Q2514" s="14">
        <v>46303</v>
      </c>
      <c r="R2514" s="15">
        <v>0</v>
      </c>
    </row>
    <row r="2515" spans="2:18" x14ac:dyDescent="0.35">
      <c r="B2515" s="9">
        <v>2084</v>
      </c>
      <c r="C2515" s="9" t="str">
        <v>출고재고</v>
      </c>
      <c r="D2515" s="9" t="str">
        <v/>
      </c>
      <c r="E2515" s="9" t="str">
        <v/>
      </c>
      <c r="F2515" s="9" t="str">
        <v/>
      </c>
      <c r="G2515" s="9" t="str">
        <v/>
      </c>
      <c r="H2515" s="9" t="str">
        <v>RE-06A-0601</v>
      </c>
      <c r="I2515" s="11" t="str">
        <v>RE-06A-0601]ASM COLLIMATOR MODULE</v>
      </c>
      <c r="J2515" s="9">
        <v>38</v>
      </c>
      <c r="K2515" s="9" t="str">
        <v/>
      </c>
      <c r="L2515" s="9" t="str">
        <v>K8</v>
      </c>
      <c r="M2515" s="12">
        <v>46287</v>
      </c>
      <c r="N2515" s="5" t="str">
        <v/>
      </c>
      <c r="O2515" s="5">
        <v>103228</v>
      </c>
      <c r="P2515" s="5">
        <v>38</v>
      </c>
      <c r="Q2515" s="14">
        <v>46303</v>
      </c>
      <c r="R2515" s="15">
        <v>0</v>
      </c>
    </row>
    <row r="2516" spans="2:18" x14ac:dyDescent="0.35">
      <c r="B2516" s="9">
        <v>2083</v>
      </c>
      <c r="C2516" s="9" t="str">
        <v>출고재고</v>
      </c>
      <c r="D2516" s="9" t="str">
        <v/>
      </c>
      <c r="E2516" s="9" t="str">
        <v/>
      </c>
      <c r="F2516" s="9" t="str">
        <v/>
      </c>
      <c r="G2516" s="9" t="str">
        <v/>
      </c>
      <c r="H2516" s="9" t="str">
        <v>RE-06A-0630</v>
      </c>
      <c r="I2516" s="11" t="str">
        <v>RE-06A-0630]ASM TUBE SHAFT BRASS</v>
      </c>
      <c r="J2516" s="9">
        <v>49</v>
      </c>
      <c r="K2516" s="9" t="str">
        <v/>
      </c>
      <c r="L2516" s="9" t="str">
        <v>K7-2</v>
      </c>
      <c r="M2516" s="12">
        <v>46287</v>
      </c>
      <c r="N2516" s="5" t="str">
        <v/>
      </c>
      <c r="O2516" s="5">
        <v>103228</v>
      </c>
      <c r="P2516" s="5">
        <v>40</v>
      </c>
      <c r="Q2516" s="14">
        <v>46303</v>
      </c>
      <c r="R2516" s="15">
        <v>9</v>
      </c>
    </row>
    <row r="2517" spans="2:18" x14ac:dyDescent="0.35">
      <c r="B2517" s="9">
        <v>2085</v>
      </c>
      <c r="C2517" s="9" t="str">
        <v>출고재고</v>
      </c>
      <c r="D2517" s="9" t="str">
        <v/>
      </c>
      <c r="E2517" s="9" t="str">
        <v/>
      </c>
      <c r="F2517" s="9" t="str">
        <v/>
      </c>
      <c r="G2517" s="9" t="str">
        <v/>
      </c>
      <c r="H2517" s="9" t="str">
        <v>RE-06H-5048</v>
      </c>
      <c r="I2517" s="11" t="str">
        <v>RE-06H-5048]LASER H [LBM01-300]</v>
      </c>
      <c r="J2517" s="9">
        <v>49</v>
      </c>
      <c r="K2517" s="9" t="str">
        <v/>
      </c>
      <c r="L2517" s="9" t="str">
        <v>F3-2</v>
      </c>
      <c r="M2517" s="12">
        <v>46287</v>
      </c>
      <c r="N2517" s="5" t="str">
        <v/>
      </c>
      <c r="O2517" s="5">
        <v>103228</v>
      </c>
      <c r="P2517" s="5">
        <v>40</v>
      </c>
      <c r="Q2517" s="14">
        <v>46303</v>
      </c>
      <c r="R2517" s="15">
        <v>9</v>
      </c>
    </row>
    <row r="2518" spans="2:18" x14ac:dyDescent="0.35">
      <c r="B2518" s="9">
        <v>2288</v>
      </c>
      <c r="C2518" s="9" t="str">
        <v>출고재고</v>
      </c>
      <c r="D2518" s="9" t="str">
        <v/>
      </c>
      <c r="E2518" s="9" t="str">
        <v>입고</v>
      </c>
      <c r="F2518" s="9" t="str">
        <v>우주정공</v>
      </c>
      <c r="G2518" s="9" t="str">
        <v>조영우</v>
      </c>
      <c r="H2518" s="9" t="str">
        <v>RE-06V-0608</v>
      </c>
      <c r="I2518" s="11" t="str">
        <v>RE-06V-0608]BRK COL LWR</v>
      </c>
      <c r="J2518" s="9">
        <v>100</v>
      </c>
      <c r="K2518" s="9" t="str">
        <v/>
      </c>
      <c r="L2518" s="9" t="str">
        <v>K1-4</v>
      </c>
      <c r="M2518" s="12">
        <v>46293</v>
      </c>
      <c r="N2518" s="5" t="str">
        <v/>
      </c>
      <c r="O2518" s="5">
        <v>103228</v>
      </c>
      <c r="P2518" s="5">
        <v>10</v>
      </c>
      <c r="Q2518" s="14">
        <v>46303</v>
      </c>
      <c r="R2518" s="15">
        <v>90</v>
      </c>
    </row>
    <row r="2519" spans="2:18" x14ac:dyDescent="0.35">
      <c r="B2519" s="9">
        <v>2518</v>
      </c>
      <c r="C2519" s="9" t="str">
        <v>출고재고</v>
      </c>
      <c r="D2519" s="9" t="str">
        <v/>
      </c>
      <c r="E2519" s="9" t="str">
        <v/>
      </c>
      <c r="F2519" s="9" t="str">
        <v/>
      </c>
      <c r="G2519" s="9" t="str">
        <v/>
      </c>
      <c r="H2519" s="9" t="str">
        <v>RE-05H-5065</v>
      </c>
      <c r="I2519" s="11" t="str">
        <v>RE-05H-5065_1]Earth ROT to TNK</v>
      </c>
      <c r="J2519" s="9">
        <v>97</v>
      </c>
      <c r="K2519" s="9" t="str">
        <v/>
      </c>
      <c r="L2519" s="9" t="str">
        <v>F2-5</v>
      </c>
      <c r="M2519" s="12">
        <v>46307</v>
      </c>
      <c r="N2519" s="5" t="str">
        <v/>
      </c>
      <c r="O2519" s="5">
        <v>103229</v>
      </c>
      <c r="P2519" s="5">
        <v>40</v>
      </c>
      <c r="Q2519" s="14">
        <v>46307</v>
      </c>
      <c r="R2519" s="15">
        <v>57</v>
      </c>
    </row>
    <row r="2520" spans="2:18" x14ac:dyDescent="0.35">
      <c r="B2520" s="9">
        <v>2254</v>
      </c>
      <c r="C2520" s="9" t="str">
        <v>출고재고</v>
      </c>
      <c r="D2520" s="9" t="str">
        <v/>
      </c>
      <c r="E2520" s="9" t="str">
        <v/>
      </c>
      <c r="F2520" s="9" t="str">
        <v/>
      </c>
      <c r="G2520" s="9" t="str">
        <v/>
      </c>
      <c r="H2520" s="9" t="str">
        <v>RE-02B-5105</v>
      </c>
      <c r="I2520" s="11" t="str">
        <v>RE-02B-5105]eINDICATOR Bd</v>
      </c>
      <c r="J2520" s="9">
        <v>62</v>
      </c>
      <c r="K2520" s="9" t="str">
        <v/>
      </c>
      <c r="L2520" s="9" t="str">
        <v>K6-3</v>
      </c>
      <c r="M2520" s="12">
        <v>46303</v>
      </c>
      <c r="N2520" s="5" t="str">
        <v/>
      </c>
      <c r="O2520" s="5">
        <v>103229</v>
      </c>
      <c r="P2520" s="5">
        <v>40</v>
      </c>
      <c r="Q2520" s="14">
        <v>46307</v>
      </c>
      <c r="R2520" s="15">
        <v>22</v>
      </c>
    </row>
    <row r="2521" spans="2:18" x14ac:dyDescent="0.35">
      <c r="B2521" s="9">
        <v>1368</v>
      </c>
      <c r="C2521" s="9" t="str">
        <v>출고재고</v>
      </c>
      <c r="D2521" s="9" t="str">
        <v/>
      </c>
      <c r="E2521" s="9" t="str">
        <v/>
      </c>
      <c r="F2521" s="9" t="str">
        <v/>
      </c>
      <c r="G2521" s="9" t="str">
        <v/>
      </c>
      <c r="H2521" s="9" t="str">
        <v>RE-02T-0246</v>
      </c>
      <c r="I2521" s="11" t="str">
        <v>RE-02T-0246]CAS LED</v>
      </c>
      <c r="J2521" s="9">
        <v>24</v>
      </c>
      <c r="K2521" s="9" t="str">
        <v/>
      </c>
      <c r="L2521" s="9" t="str">
        <v>3A-19</v>
      </c>
      <c r="M2521" s="12">
        <v>46287</v>
      </c>
      <c r="N2521" s="5" t="str">
        <v/>
      </c>
      <c r="O2521" s="5">
        <v>103229</v>
      </c>
      <c r="P2521" s="5">
        <v>24</v>
      </c>
      <c r="Q2521" s="14">
        <v>46307</v>
      </c>
      <c r="R2521" s="15">
        <v>0</v>
      </c>
    </row>
    <row r="2522" spans="2:18" x14ac:dyDescent="0.35">
      <c r="B2522" s="9">
        <v>2612</v>
      </c>
      <c r="C2522" s="9" t="str">
        <v>출고재고</v>
      </c>
      <c r="D2522" s="9" t="str">
        <v/>
      </c>
      <c r="E2522" s="9" t="str">
        <v>입고</v>
      </c>
      <c r="F2522" s="9" t="str">
        <v>진광</v>
      </c>
      <c r="G2522" s="9" t="str">
        <v>장동은</v>
      </c>
      <c r="H2522" s="9" t="str">
        <v>RE-02T-0246</v>
      </c>
      <c r="I2522" s="11" t="str">
        <v>RE-02T-0246]CAS LED</v>
      </c>
      <c r="J2522" s="9">
        <v>200</v>
      </c>
      <c r="K2522" s="9" t="str">
        <v/>
      </c>
      <c r="L2522" s="9" t="str">
        <v>3A-19</v>
      </c>
      <c r="M2522" s="12">
        <v>46288</v>
      </c>
      <c r="N2522" s="5" t="str">
        <v/>
      </c>
      <c r="O2522" s="5">
        <v>103229</v>
      </c>
      <c r="P2522" s="5">
        <v>16</v>
      </c>
      <c r="Q2522" s="14">
        <v>46307</v>
      </c>
      <c r="R2522" s="15">
        <v>184</v>
      </c>
    </row>
    <row r="2523" spans="2:18" x14ac:dyDescent="0.35">
      <c r="B2523" s="9">
        <v>2610</v>
      </c>
      <c r="C2523" s="9" t="str">
        <v>출고재고</v>
      </c>
      <c r="D2523" s="9" t="str">
        <v/>
      </c>
      <c r="E2523" s="9" t="str">
        <v>입고</v>
      </c>
      <c r="F2523" s="9" t="str">
        <v>정호기공</v>
      </c>
      <c r="G2523" s="9" t="str">
        <v>유영국</v>
      </c>
      <c r="H2523" s="9" t="str">
        <v>RA-02M-0395</v>
      </c>
      <c r="I2523" s="11" t="str">
        <v>RA-02M-0395]PIN VERT POSITION</v>
      </c>
      <c r="J2523" s="9">
        <v>150</v>
      </c>
      <c r="K2523" s="9" t="str">
        <v/>
      </c>
      <c r="L2523" s="9" t="str">
        <v>C3-1</v>
      </c>
      <c r="M2523" s="12">
        <v>46302</v>
      </c>
      <c r="N2523" s="5" t="str">
        <v/>
      </c>
      <c r="O2523" s="5">
        <v>103229</v>
      </c>
      <c r="P2523" s="5">
        <v>40</v>
      </c>
      <c r="Q2523" s="14">
        <v>46307</v>
      </c>
      <c r="R2523" s="15">
        <v>110</v>
      </c>
    </row>
    <row r="2524" spans="2:18" x14ac:dyDescent="0.35">
      <c r="B2524" s="9">
        <v>1370</v>
      </c>
      <c r="C2524" s="9" t="str">
        <v>출고재고</v>
      </c>
      <c r="D2524" s="9" t="str">
        <v/>
      </c>
      <c r="E2524" s="9" t="str">
        <v/>
      </c>
      <c r="F2524" s="9" t="str">
        <v/>
      </c>
      <c r="G2524" s="9" t="str">
        <v/>
      </c>
      <c r="H2524" s="9" t="str">
        <v>RE-04T-0436</v>
      </c>
      <c r="I2524" s="11" t="str">
        <v>RE-04T-0436]CAS CHINREST BOT</v>
      </c>
      <c r="J2524" s="9">
        <v>47</v>
      </c>
      <c r="K2524" s="9" t="str">
        <v/>
      </c>
      <c r="L2524" s="9" t="str">
        <v>3A-22</v>
      </c>
      <c r="M2524" s="12">
        <v>46287</v>
      </c>
      <c r="N2524" s="5" t="str">
        <v/>
      </c>
      <c r="O2524" s="5">
        <v>103229</v>
      </c>
      <c r="P2524" s="5">
        <v>40</v>
      </c>
      <c r="Q2524" s="14">
        <v>46307</v>
      </c>
      <c r="R2524" s="15">
        <v>7</v>
      </c>
    </row>
    <row r="2525" spans="2:18" x14ac:dyDescent="0.35">
      <c r="B2525" s="9">
        <v>1371</v>
      </c>
      <c r="C2525" s="9" t="str">
        <v>출고재고</v>
      </c>
      <c r="D2525" s="9" t="str">
        <v/>
      </c>
      <c r="E2525" s="9" t="str">
        <v/>
      </c>
      <c r="F2525" s="9" t="str">
        <v/>
      </c>
      <c r="G2525" s="9" t="str">
        <v/>
      </c>
      <c r="H2525" s="9" t="str">
        <v>RE-05A-0512</v>
      </c>
      <c r="I2525" s="11" t="str">
        <v>RE-05A-0512]ASM ROTATOR WEIGH</v>
      </c>
      <c r="J2525" s="9">
        <v>60</v>
      </c>
      <c r="K2525" s="9" t="str">
        <v/>
      </c>
      <c r="L2525" s="9" t="str">
        <v xml:space="preserve">4F  </v>
      </c>
      <c r="M2525" s="12">
        <v>46287</v>
      </c>
      <c r="N2525" s="5" t="str">
        <v/>
      </c>
      <c r="O2525" s="5">
        <v>103229</v>
      </c>
      <c r="P2525" s="5">
        <v>40</v>
      </c>
      <c r="Q2525" s="14">
        <v>46307</v>
      </c>
      <c r="R2525" s="15">
        <v>20</v>
      </c>
    </row>
    <row r="2526" spans="2:18" x14ac:dyDescent="0.35">
      <c r="B2526" s="9">
        <v>2284</v>
      </c>
      <c r="C2526" s="9" t="str">
        <v>출고재고</v>
      </c>
      <c r="D2526" s="9" t="str">
        <v/>
      </c>
      <c r="E2526" s="9" t="str">
        <v/>
      </c>
      <c r="F2526" s="9" t="str">
        <v/>
      </c>
      <c r="G2526" s="9" t="str">
        <v/>
      </c>
      <c r="H2526" s="9" t="str">
        <v>RE-05H-5049</v>
      </c>
      <c r="I2526" s="11" t="str">
        <v>RE-05H-5049_1]LASER_H Extend</v>
      </c>
      <c r="J2526" s="9">
        <v>106</v>
      </c>
      <c r="K2526" s="9" t="str">
        <v/>
      </c>
      <c r="L2526" s="9" t="str">
        <v>F2-4</v>
      </c>
      <c r="M2526" s="12">
        <v>46303</v>
      </c>
      <c r="N2526" s="5" t="str">
        <v/>
      </c>
      <c r="O2526" s="5">
        <v>103229</v>
      </c>
      <c r="P2526" s="5">
        <v>40</v>
      </c>
      <c r="Q2526" s="14">
        <v>46307</v>
      </c>
      <c r="R2526" s="15">
        <v>66</v>
      </c>
    </row>
    <row r="2527" spans="2:18" x14ac:dyDescent="0.35">
      <c r="B2527" s="9">
        <v>2611</v>
      </c>
      <c r="C2527" s="9" t="str">
        <v>출고재고</v>
      </c>
      <c r="D2527" s="9" t="str">
        <v/>
      </c>
      <c r="E2527" s="9" t="str">
        <v>입고</v>
      </c>
      <c r="F2527" s="9" t="str">
        <v>에이투케이</v>
      </c>
      <c r="G2527" s="9" t="str">
        <v>유영국</v>
      </c>
      <c r="H2527" s="9" t="str">
        <v>RE-05H-5030</v>
      </c>
      <c r="I2527" s="11" t="str">
        <v>RE-05H-5030_1]TILT SIGNAL</v>
      </c>
      <c r="J2527" s="9">
        <v>150</v>
      </c>
      <c r="K2527" s="9" t="str">
        <v/>
      </c>
      <c r="L2527" s="9" t="str">
        <v>F2-2</v>
      </c>
      <c r="M2527" s="12">
        <v>46307</v>
      </c>
      <c r="N2527" s="5" t="str">
        <v/>
      </c>
      <c r="O2527" s="5">
        <v>103229</v>
      </c>
      <c r="P2527" s="5">
        <v>40</v>
      </c>
      <c r="Q2527" s="14">
        <v>46307</v>
      </c>
      <c r="R2527" s="15">
        <v>110</v>
      </c>
    </row>
    <row r="2528" spans="2:18" x14ac:dyDescent="0.35">
      <c r="B2528" s="9">
        <v>2613</v>
      </c>
      <c r="C2528" s="9" t="str">
        <v>출고재고</v>
      </c>
      <c r="D2528" s="9" t="str">
        <v/>
      </c>
      <c r="E2528" s="9" t="str">
        <v>입고</v>
      </c>
      <c r="F2528" s="9" t="str">
        <v>진광</v>
      </c>
      <c r="G2528" s="9" t="str">
        <v>장동은</v>
      </c>
      <c r="H2528" s="9" t="str">
        <v>RE-04T-0434</v>
      </c>
      <c r="I2528" s="11" t="str">
        <v>RE-04T-0434]CAS ARM BOT</v>
      </c>
      <c r="J2528" s="9">
        <v>200</v>
      </c>
      <c r="K2528" s="9" t="str">
        <v/>
      </c>
      <c r="L2528" s="9" t="str">
        <v>3A-12</v>
      </c>
      <c r="M2528" s="12">
        <v>46293</v>
      </c>
      <c r="N2528" s="5" t="str">
        <v/>
      </c>
      <c r="O2528" s="5">
        <v>103229</v>
      </c>
      <c r="P2528" s="5">
        <v>30</v>
      </c>
      <c r="Q2528" s="14">
        <v>46307</v>
      </c>
      <c r="R2528" s="15">
        <v>170</v>
      </c>
    </row>
    <row r="2529" spans="2:18" x14ac:dyDescent="0.35">
      <c r="B2529" s="9">
        <v>1372</v>
      </c>
      <c r="C2529" s="9" t="str">
        <v>출고재고</v>
      </c>
      <c r="D2529" s="9" t="str">
        <v/>
      </c>
      <c r="E2529" s="9" t="str">
        <v/>
      </c>
      <c r="F2529" s="9" t="str">
        <v/>
      </c>
      <c r="G2529" s="9" t="str">
        <v/>
      </c>
      <c r="H2529" s="9" t="str">
        <v>RE-04T-0434</v>
      </c>
      <c r="I2529" s="11" t="str">
        <v>RE-04T-0434]CAS ARM BOT</v>
      </c>
      <c r="J2529" s="9">
        <v>10</v>
      </c>
      <c r="K2529" s="9" t="str">
        <v/>
      </c>
      <c r="L2529" s="9" t="str">
        <v>3A-12</v>
      </c>
      <c r="M2529" s="12">
        <v>46287</v>
      </c>
      <c r="N2529" s="5" t="str">
        <v/>
      </c>
      <c r="O2529" s="5">
        <v>103229</v>
      </c>
      <c r="P2529" s="5">
        <v>10</v>
      </c>
      <c r="Q2529" s="14">
        <v>46307</v>
      </c>
      <c r="R2529" s="15">
        <v>0</v>
      </c>
    </row>
    <row r="2530" spans="2:18" x14ac:dyDescent="0.35">
      <c r="B2530" s="9">
        <v>1373</v>
      </c>
      <c r="C2530" s="9" t="str">
        <v>출고재고</v>
      </c>
      <c r="D2530" s="9" t="str">
        <v/>
      </c>
      <c r="E2530" s="9" t="str">
        <v/>
      </c>
      <c r="F2530" s="9" t="str">
        <v/>
      </c>
      <c r="G2530" s="9" t="str">
        <v/>
      </c>
      <c r="H2530" s="9" t="str">
        <v>RE-07M-0711</v>
      </c>
      <c r="I2530" s="11" t="str">
        <v>RE-07M-0711_B]PLT DET SNSR (IR)</v>
      </c>
      <c r="J2530" s="9">
        <v>79</v>
      </c>
      <c r="K2530" s="9" t="str">
        <v/>
      </c>
      <c r="L2530" s="9" t="str">
        <v>K1-6</v>
      </c>
      <c r="M2530" s="12">
        <v>46287</v>
      </c>
      <c r="N2530" s="5" t="str">
        <v/>
      </c>
      <c r="O2530" s="5">
        <v>103229</v>
      </c>
      <c r="P2530" s="5">
        <v>79</v>
      </c>
      <c r="Q2530" s="14">
        <v>46307</v>
      </c>
      <c r="R2530" s="15">
        <v>0</v>
      </c>
    </row>
    <row r="2531" spans="2:18" x14ac:dyDescent="0.35">
      <c r="B2531" s="9">
        <v>1581</v>
      </c>
      <c r="C2531" s="9" t="str">
        <v>출고재고</v>
      </c>
      <c r="D2531" s="9" t="str">
        <v/>
      </c>
      <c r="E2531" s="9" t="str">
        <v/>
      </c>
      <c r="F2531" s="9" t="str">
        <v/>
      </c>
      <c r="G2531" s="9" t="str">
        <v/>
      </c>
      <c r="H2531" s="9" t="str">
        <v>RE-01T-0104</v>
      </c>
      <c r="I2531" s="11" t="str">
        <v>RE-01T-0104]RUBBER CAP DECO</v>
      </c>
      <c r="J2531" s="9">
        <v>1600</v>
      </c>
      <c r="K2531" s="9" t="str">
        <v/>
      </c>
      <c r="L2531" s="9" t="str">
        <v>W</v>
      </c>
      <c r="M2531" s="12">
        <v>46287</v>
      </c>
      <c r="N2531" s="5" t="str">
        <v/>
      </c>
      <c r="O2531" s="5">
        <v>103230</v>
      </c>
      <c r="P2531" s="5">
        <v>880</v>
      </c>
      <c r="Q2531" s="14">
        <v>46307</v>
      </c>
      <c r="R2531" s="15">
        <v>720</v>
      </c>
    </row>
    <row r="2532" spans="2:18" x14ac:dyDescent="0.35">
      <c r="B2532" s="9">
        <v>1582</v>
      </c>
      <c r="C2532" s="9" t="str">
        <v>출고재고</v>
      </c>
      <c r="D2532" s="9" t="str">
        <v/>
      </c>
      <c r="E2532" s="9" t="str">
        <v/>
      </c>
      <c r="F2532" s="9" t="str">
        <v/>
      </c>
      <c r="G2532" s="9" t="str">
        <v/>
      </c>
      <c r="H2532" s="9" t="str">
        <v>RE-07M-0717</v>
      </c>
      <c r="I2532" s="11" t="str">
        <v>RE-07M-0717]CVR DET FRONT</v>
      </c>
      <c r="J2532" s="9">
        <v>32</v>
      </c>
      <c r="K2532" s="9" t="str">
        <v/>
      </c>
      <c r="L2532" s="9" t="str">
        <v>K2-6</v>
      </c>
      <c r="M2532" s="12">
        <v>46287</v>
      </c>
      <c r="N2532" s="5" t="str">
        <v/>
      </c>
      <c r="O2532" s="5">
        <v>103230</v>
      </c>
      <c r="P2532" s="5">
        <v>32</v>
      </c>
      <c r="Q2532" s="14">
        <v>46307</v>
      </c>
      <c r="R2532" s="15">
        <v>0</v>
      </c>
    </row>
    <row r="2533" spans="2:18" x14ac:dyDescent="0.35">
      <c r="B2533" s="9">
        <v>1615</v>
      </c>
      <c r="C2533" s="9" t="str">
        <v>출고재고</v>
      </c>
      <c r="D2533" s="9" t="str">
        <v/>
      </c>
      <c r="E2533" s="9" t="str">
        <v/>
      </c>
      <c r="F2533" s="9" t="str">
        <v/>
      </c>
      <c r="G2533" s="9" t="str">
        <v/>
      </c>
      <c r="H2533" s="9" t="str">
        <v>RA-06M-1105</v>
      </c>
      <c r="I2533" s="11" t="str">
        <v>RA-06M-1105]DECO WINDOW COL</v>
      </c>
      <c r="J2533" s="9">
        <v>3</v>
      </c>
      <c r="K2533" s="9" t="str">
        <v/>
      </c>
      <c r="L2533" s="9" t="str">
        <v>L2-2</v>
      </c>
      <c r="M2533" s="12">
        <v>46280</v>
      </c>
      <c r="N2533" s="5" t="str">
        <v/>
      </c>
      <c r="O2533" s="5">
        <v>103230</v>
      </c>
      <c r="P2533" s="5">
        <v>3</v>
      </c>
      <c r="Q2533" s="14">
        <v>46307</v>
      </c>
      <c r="R2533" s="15">
        <v>0</v>
      </c>
    </row>
    <row r="2534" spans="2:18" x14ac:dyDescent="0.35">
      <c r="B2534" s="9">
        <v>1584</v>
      </c>
      <c r="C2534" s="9" t="str">
        <v>출고재고</v>
      </c>
      <c r="D2534" s="9" t="str">
        <v/>
      </c>
      <c r="E2534" s="9" t="str">
        <v/>
      </c>
      <c r="F2534" s="9" t="str">
        <v/>
      </c>
      <c r="G2534" s="9" t="str">
        <v/>
      </c>
      <c r="H2534" s="9" t="str">
        <v>RE-06M-0636</v>
      </c>
      <c r="I2534" s="11" t="str">
        <v>RE-06M-0636]DECO HORIZONTAL LASER</v>
      </c>
      <c r="J2534" s="9">
        <v>29</v>
      </c>
      <c r="K2534" s="9" t="str">
        <v/>
      </c>
      <c r="L2534" s="9" t="str">
        <v>K3-4</v>
      </c>
      <c r="M2534" s="12">
        <v>46287</v>
      </c>
      <c r="N2534" s="5" t="str">
        <v/>
      </c>
      <c r="O2534" s="5">
        <v>103230</v>
      </c>
      <c r="P2534" s="5">
        <v>29</v>
      </c>
      <c r="Q2534" s="14">
        <v>46307</v>
      </c>
      <c r="R2534" s="15">
        <v>0</v>
      </c>
    </row>
    <row r="2535" spans="2:18" x14ac:dyDescent="0.35">
      <c r="B2535" s="9">
        <v>2363</v>
      </c>
      <c r="C2535" s="9" t="str">
        <v>출고재고</v>
      </c>
      <c r="D2535" s="9" t="str">
        <v/>
      </c>
      <c r="E2535" s="9" t="str">
        <v/>
      </c>
      <c r="F2535" s="9" t="str">
        <v/>
      </c>
      <c r="G2535" s="9" t="str">
        <v/>
      </c>
      <c r="H2535" s="9" t="str">
        <v>RA-7-3</v>
      </c>
      <c r="I2535" s="11" t="str">
        <v>RA-7-3]LAN PC</v>
      </c>
      <c r="J2535" s="9">
        <v>121</v>
      </c>
      <c r="K2535" s="9" t="str">
        <v/>
      </c>
      <c r="L2535" s="9" t="str">
        <v>G4</v>
      </c>
      <c r="M2535" s="12">
        <v>46302</v>
      </c>
      <c r="N2535" s="5" t="str">
        <v/>
      </c>
      <c r="O2535" s="5">
        <v>103230</v>
      </c>
      <c r="P2535" s="5">
        <v>40</v>
      </c>
      <c r="Q2535" s="14">
        <v>46307</v>
      </c>
      <c r="R2535" s="15">
        <v>81</v>
      </c>
    </row>
    <row r="2536" spans="2:18" x14ac:dyDescent="0.35">
      <c r="B2536" s="9">
        <v>1586</v>
      </c>
      <c r="C2536" s="9" t="str">
        <v>출고재고</v>
      </c>
      <c r="D2536" s="9" t="str">
        <v/>
      </c>
      <c r="E2536" s="9" t="str">
        <v/>
      </c>
      <c r="F2536" s="9" t="str">
        <v/>
      </c>
      <c r="G2536" s="9" t="str">
        <v/>
      </c>
      <c r="H2536" s="9" t="str">
        <v>RE-04M-0438</v>
      </c>
      <c r="I2536" s="11" t="str">
        <v>RE-04M-0438]DECO CANINE WINDOW</v>
      </c>
      <c r="J2536" s="9">
        <v>93</v>
      </c>
      <c r="K2536" s="9" t="str">
        <v/>
      </c>
      <c r="L2536" s="9" t="str">
        <v>K3-3</v>
      </c>
      <c r="M2536" s="12">
        <v>46287</v>
      </c>
      <c r="N2536" s="5" t="str">
        <v/>
      </c>
      <c r="O2536" s="5">
        <v>103230</v>
      </c>
      <c r="P2536" s="5">
        <v>40</v>
      </c>
      <c r="Q2536" s="14">
        <v>46307</v>
      </c>
      <c r="R2536" s="15">
        <v>53</v>
      </c>
    </row>
    <row r="2537" spans="2:18" x14ac:dyDescent="0.35">
      <c r="B2537" s="9">
        <v>1720</v>
      </c>
      <c r="C2537" s="9" t="str">
        <v>출고재고</v>
      </c>
      <c r="D2537" s="9" t="str">
        <v/>
      </c>
      <c r="E2537" s="9" t="str">
        <v/>
      </c>
      <c r="F2537" s="9" t="str">
        <v/>
      </c>
      <c r="G2537" s="9" t="str">
        <v/>
      </c>
      <c r="H2537" s="9" t="str">
        <v>RE-03T-0320</v>
      </c>
      <c r="I2537" s="11" t="str">
        <v/>
      </c>
      <c r="J2537" s="9">
        <v>13</v>
      </c>
      <c r="K2537" s="9" t="str">
        <v/>
      </c>
      <c r="L2537" s="9" t="str">
        <v>3A-14</v>
      </c>
      <c r="M2537" s="12">
        <v>46288</v>
      </c>
      <c r="N2537" s="5" t="str">
        <v/>
      </c>
      <c r="O2537" s="5">
        <v>103231</v>
      </c>
      <c r="P2537" s="5">
        <v>13</v>
      </c>
      <c r="Q2537" s="14">
        <v>46307</v>
      </c>
      <c r="R2537" s="15">
        <v>0</v>
      </c>
    </row>
    <row r="2538" spans="2:18" x14ac:dyDescent="0.35">
      <c r="B2538" s="9">
        <v>1711</v>
      </c>
      <c r="C2538" s="9" t="str">
        <v>출고재고</v>
      </c>
      <c r="D2538" s="9" t="str">
        <v/>
      </c>
      <c r="E2538" s="9" t="str">
        <v/>
      </c>
      <c r="F2538" s="9" t="str">
        <v/>
      </c>
      <c r="G2538" s="9" t="str">
        <v/>
      </c>
      <c r="H2538" s="9" t="str">
        <v>RE-09S-0909</v>
      </c>
      <c r="I2538" s="11" t="str">
        <v>RE-09S-0909]STK FOOT</v>
      </c>
      <c r="J2538" s="9">
        <v>14</v>
      </c>
      <c r="K2538" s="9" t="str">
        <v/>
      </c>
      <c r="L2538" s="9" t="str">
        <v>K7-3</v>
      </c>
      <c r="M2538" s="12">
        <v>46288</v>
      </c>
      <c r="N2538" s="5" t="str">
        <v/>
      </c>
      <c r="O2538" s="5">
        <v>103231</v>
      </c>
      <c r="P2538" s="5">
        <v>6</v>
      </c>
      <c r="Q2538" s="14">
        <v>46307</v>
      </c>
      <c r="R2538" s="15">
        <v>8</v>
      </c>
    </row>
    <row r="2539" spans="2:18" x14ac:dyDescent="0.35">
      <c r="B2539" s="9">
        <v>2076</v>
      </c>
      <c r="C2539" s="9" t="str">
        <v>출고재고</v>
      </c>
      <c r="D2539" s="9" t="str">
        <v/>
      </c>
      <c r="E2539" s="9" t="str">
        <v/>
      </c>
      <c r="F2539" s="9" t="str">
        <v/>
      </c>
      <c r="G2539" s="9" t="str">
        <v/>
      </c>
      <c r="H2539" s="9" t="str">
        <v>RE-03T-0307</v>
      </c>
      <c r="I2539" s="11" t="str">
        <v>RE-03T-0307]CAS CLMN REAR L</v>
      </c>
      <c r="J2539" s="9">
        <v>20</v>
      </c>
      <c r="K2539" s="9" t="str">
        <v/>
      </c>
      <c r="L2539" s="9" t="str">
        <v>3A-16</v>
      </c>
      <c r="M2539" s="12">
        <v>46293</v>
      </c>
      <c r="N2539" s="5" t="str">
        <v/>
      </c>
      <c r="O2539" s="5">
        <v>103231</v>
      </c>
      <c r="P2539" s="5">
        <v>20</v>
      </c>
      <c r="Q2539" s="14">
        <v>46307</v>
      </c>
      <c r="R2539" s="15">
        <v>0</v>
      </c>
    </row>
    <row r="2540" spans="2:18" x14ac:dyDescent="0.35">
      <c r="B2540" s="9">
        <v>1736</v>
      </c>
      <c r="C2540" s="9" t="str">
        <v>출고재고</v>
      </c>
      <c r="D2540" s="9" t="str">
        <v/>
      </c>
      <c r="E2540" s="9" t="str">
        <v/>
      </c>
      <c r="F2540" s="9" t="str">
        <v/>
      </c>
      <c r="G2540" s="9" t="str">
        <v/>
      </c>
      <c r="H2540" s="9" t="str">
        <v>RE-04T-0453</v>
      </c>
      <c r="I2540" s="11" t="str">
        <v>RE-04T-0453]CAP HANDLE B</v>
      </c>
      <c r="J2540" s="9">
        <v>25</v>
      </c>
      <c r="K2540" s="9" t="str">
        <v/>
      </c>
      <c r="L2540" s="9" t="str">
        <v>3L14-2</v>
      </c>
      <c r="M2540" s="12">
        <v>46288</v>
      </c>
      <c r="N2540" s="5" t="str">
        <v/>
      </c>
      <c r="O2540" s="5">
        <v>103231</v>
      </c>
      <c r="P2540" s="5">
        <v>25</v>
      </c>
      <c r="Q2540" s="14">
        <v>46307</v>
      </c>
      <c r="R2540" s="15">
        <v>0</v>
      </c>
    </row>
    <row r="2541" spans="2:18" x14ac:dyDescent="0.35">
      <c r="B2541" s="9">
        <v>1721</v>
      </c>
      <c r="C2541" s="9" t="str">
        <v>출고재고</v>
      </c>
      <c r="D2541" s="9" t="str">
        <v/>
      </c>
      <c r="E2541" s="9" t="str">
        <v/>
      </c>
      <c r="F2541" s="9" t="str">
        <v/>
      </c>
      <c r="G2541" s="9" t="str">
        <v/>
      </c>
      <c r="H2541" s="9" t="str">
        <v>RE-03T-0306</v>
      </c>
      <c r="I2541" s="11" t="str">
        <v>RE-03T-0306]CAS CLMN FRONT</v>
      </c>
      <c r="J2541" s="9">
        <v>29</v>
      </c>
      <c r="K2541" s="9" t="str">
        <v/>
      </c>
      <c r="L2541" s="9" t="str">
        <v>3A-11</v>
      </c>
      <c r="M2541" s="12">
        <v>46288</v>
      </c>
      <c r="N2541" s="5" t="str">
        <v/>
      </c>
      <c r="O2541" s="5">
        <v>103231</v>
      </c>
      <c r="P2541" s="5">
        <v>19</v>
      </c>
      <c r="Q2541" s="14">
        <v>46307</v>
      </c>
      <c r="R2541" s="15">
        <v>10</v>
      </c>
    </row>
    <row r="2542" spans="2:18" x14ac:dyDescent="0.35">
      <c r="B2542" s="9">
        <v>2375</v>
      </c>
      <c r="C2542" s="9" t="str">
        <v>출고재고</v>
      </c>
      <c r="D2542" s="9" t="str">
        <v/>
      </c>
      <c r="E2542" s="9" t="str">
        <v/>
      </c>
      <c r="F2542" s="9" t="str">
        <v/>
      </c>
      <c r="G2542" s="9" t="str">
        <v/>
      </c>
      <c r="H2542" s="9" t="str">
        <v>RA-09A-0967</v>
      </c>
      <c r="I2542" s="11" t="str">
        <v>RA-09A-0967]ASM EXPOSURE SW</v>
      </c>
      <c r="J2542" s="9">
        <v>30</v>
      </c>
      <c r="K2542" s="9" t="str">
        <v/>
      </c>
      <c r="L2542" s="9" t="str">
        <v>J1-3</v>
      </c>
      <c r="M2542" s="12">
        <v>46302</v>
      </c>
      <c r="N2542" s="5" t="str">
        <v/>
      </c>
      <c r="O2542" s="5">
        <v>103231</v>
      </c>
      <c r="P2542" s="5">
        <v>30</v>
      </c>
      <c r="Q2542" s="14">
        <v>46307</v>
      </c>
      <c r="R2542" s="15">
        <v>0</v>
      </c>
    </row>
    <row r="2543" spans="2:18" x14ac:dyDescent="0.35">
      <c r="B2543" s="9">
        <v>1719</v>
      </c>
      <c r="C2543" s="9" t="str">
        <v>출고재고</v>
      </c>
      <c r="D2543" s="9" t="str">
        <v/>
      </c>
      <c r="E2543" s="9" t="str">
        <v/>
      </c>
      <c r="F2543" s="9" t="str">
        <v/>
      </c>
      <c r="G2543" s="9" t="str">
        <v/>
      </c>
      <c r="H2543" s="9" t="str">
        <v>RE-01T-0103</v>
      </c>
      <c r="I2543" s="11" t="str">
        <v>RE-01T-0103]CAS MAIN Bas R</v>
      </c>
      <c r="J2543" s="9">
        <v>31</v>
      </c>
      <c r="K2543" s="9" t="str">
        <v/>
      </c>
      <c r="L2543" s="9" t="str">
        <v>3A-6,3A-7</v>
      </c>
      <c r="M2543" s="12">
        <v>46288</v>
      </c>
      <c r="N2543" s="5" t="str">
        <v/>
      </c>
      <c r="O2543" s="5">
        <v>103231</v>
      </c>
      <c r="P2543" s="5">
        <v>11</v>
      </c>
      <c r="Q2543" s="14">
        <v>46307</v>
      </c>
      <c r="R2543" s="15">
        <v>20</v>
      </c>
    </row>
    <row r="2544" spans="2:18" x14ac:dyDescent="0.35">
      <c r="B2544" s="9">
        <v>1718</v>
      </c>
      <c r="C2544" s="9" t="str">
        <v>출고재고</v>
      </c>
      <c r="D2544" s="9" t="str">
        <v/>
      </c>
      <c r="E2544" s="9" t="str">
        <v/>
      </c>
      <c r="F2544" s="9" t="str">
        <v/>
      </c>
      <c r="G2544" s="9" t="str">
        <v/>
      </c>
      <c r="H2544" s="9" t="str">
        <v>RE-01T-0102</v>
      </c>
      <c r="I2544" s="11" t="str">
        <v>RE-01T-0102]CAS MAIN Bas L</v>
      </c>
      <c r="J2544" s="9">
        <v>33</v>
      </c>
      <c r="K2544" s="9" t="str">
        <v/>
      </c>
      <c r="L2544" s="9" t="str">
        <v>3A-4,3A-5</v>
      </c>
      <c r="M2544" s="12">
        <v>46288</v>
      </c>
      <c r="N2544" s="5" t="str">
        <v/>
      </c>
      <c r="O2544" s="5">
        <v>103231</v>
      </c>
      <c r="P2544" s="5">
        <v>13</v>
      </c>
      <c r="Q2544" s="14">
        <v>46307</v>
      </c>
      <c r="R2544" s="15">
        <v>20</v>
      </c>
    </row>
    <row r="2545" spans="2:18" x14ac:dyDescent="0.35">
      <c r="B2545" s="9">
        <v>1712</v>
      </c>
      <c r="C2545" s="9" t="str">
        <v>출고재고</v>
      </c>
      <c r="D2545" s="9" t="str">
        <v/>
      </c>
      <c r="E2545" s="9" t="str">
        <v/>
      </c>
      <c r="F2545" s="9" t="str">
        <v/>
      </c>
      <c r="G2545" s="9" t="str">
        <v/>
      </c>
      <c r="H2545" s="9" t="str">
        <v>RE-09S-0908</v>
      </c>
      <c r="I2545" s="11" t="str">
        <v>RE-09S-0908]FOOT STK JIG</v>
      </c>
      <c r="J2545" s="9">
        <v>36</v>
      </c>
      <c r="K2545" s="9" t="str">
        <v/>
      </c>
      <c r="L2545" s="9" t="str">
        <v>K7-3</v>
      </c>
      <c r="M2545" s="12">
        <v>46288</v>
      </c>
      <c r="N2545" s="5" t="str">
        <v/>
      </c>
      <c r="O2545" s="5">
        <v>103231</v>
      </c>
      <c r="P2545" s="5">
        <v>28</v>
      </c>
      <c r="Q2545" s="14">
        <v>46307</v>
      </c>
      <c r="R2545" s="15">
        <v>8</v>
      </c>
    </row>
    <row r="2546" spans="2:18" x14ac:dyDescent="0.35">
      <c r="B2546" s="9">
        <v>1717</v>
      </c>
      <c r="C2546" s="9" t="str">
        <v>출고재고</v>
      </c>
      <c r="D2546" s="9" t="str">
        <v/>
      </c>
      <c r="E2546" s="9" t="str">
        <v/>
      </c>
      <c r="F2546" s="9" t="str">
        <v/>
      </c>
      <c r="G2546" s="9" t="str">
        <v/>
      </c>
      <c r="H2546" s="9" t="str">
        <v>RE-02T-0247</v>
      </c>
      <c r="I2546" s="11" t="str">
        <v>RE-02T-0247]CAS VERT TOP</v>
      </c>
      <c r="J2546" s="9">
        <v>36</v>
      </c>
      <c r="K2546" s="9" t="str">
        <v/>
      </c>
      <c r="L2546" s="9" t="str">
        <v>3A-14</v>
      </c>
      <c r="M2546" s="12">
        <v>46288</v>
      </c>
      <c r="N2546" s="5" t="str">
        <v/>
      </c>
      <c r="O2546" s="5">
        <v>103231</v>
      </c>
      <c r="P2546" s="5">
        <v>36</v>
      </c>
      <c r="Q2546" s="14">
        <v>46307</v>
      </c>
      <c r="R2546" s="15">
        <v>0</v>
      </c>
    </row>
    <row r="2547" spans="2:18" x14ac:dyDescent="0.35">
      <c r="B2547" s="9">
        <v>2075</v>
      </c>
      <c r="C2547" s="9" t="str">
        <v>출고재고</v>
      </c>
      <c r="D2547" s="9" t="str">
        <v/>
      </c>
      <c r="E2547" s="9" t="str">
        <v/>
      </c>
      <c r="F2547" s="9" t="str">
        <v/>
      </c>
      <c r="G2547" s="9" t="str">
        <v/>
      </c>
      <c r="H2547" s="9" t="str">
        <v>RE-03T-0308</v>
      </c>
      <c r="I2547" s="11" t="str">
        <v>RE-03T-0308]CAS CLMN REAR R</v>
      </c>
      <c r="J2547" s="9">
        <v>43</v>
      </c>
      <c r="K2547" s="9" t="str">
        <v/>
      </c>
      <c r="L2547" s="9" t="str">
        <v>3A-16</v>
      </c>
      <c r="M2547" s="12">
        <v>46293</v>
      </c>
      <c r="N2547" s="5" t="str">
        <v/>
      </c>
      <c r="O2547" s="5">
        <v>103231</v>
      </c>
      <c r="P2547" s="5">
        <v>40</v>
      </c>
      <c r="Q2547" s="14">
        <v>46307</v>
      </c>
      <c r="R2547" s="15">
        <v>3</v>
      </c>
    </row>
    <row r="2548" spans="2:18" x14ac:dyDescent="0.35">
      <c r="B2548" s="9">
        <v>1940</v>
      </c>
      <c r="C2548" s="9" t="str">
        <v>출고재고</v>
      </c>
      <c r="D2548" s="9" t="str">
        <v/>
      </c>
      <c r="E2548" s="9" t="str">
        <v>입고</v>
      </c>
      <c r="F2548" s="9" t="str">
        <v>진광</v>
      </c>
      <c r="G2548" s="9" t="str">
        <v>장동은</v>
      </c>
      <c r="H2548" s="9" t="str">
        <v>RE-02T-0247</v>
      </c>
      <c r="I2548" s="11" t="str">
        <v>RE-02T-0247]CAS VERT TOP</v>
      </c>
      <c r="J2548" s="9">
        <v>52</v>
      </c>
      <c r="K2548" s="9" t="str">
        <v/>
      </c>
      <c r="L2548" s="9" t="str">
        <v>3A-14</v>
      </c>
      <c r="M2548" s="12">
        <v>46296</v>
      </c>
      <c r="N2548" s="5" t="str">
        <v/>
      </c>
      <c r="O2548" s="5">
        <v>103231</v>
      </c>
      <c r="P2548" s="5">
        <v>4</v>
      </c>
      <c r="Q2548" s="14">
        <v>46307</v>
      </c>
      <c r="R2548" s="15">
        <v>48</v>
      </c>
    </row>
    <row r="2549" spans="2:18" x14ac:dyDescent="0.35">
      <c r="B2549" s="9">
        <v>1716</v>
      </c>
      <c r="C2549" s="9" t="str">
        <v>출고재고</v>
      </c>
      <c r="D2549" s="9" t="str">
        <v/>
      </c>
      <c r="E2549" s="9" t="str">
        <v/>
      </c>
      <c r="F2549" s="9" t="str">
        <v/>
      </c>
      <c r="G2549" s="9" t="str">
        <v/>
      </c>
      <c r="H2549" s="9" t="str">
        <v>RE-09T-0904</v>
      </c>
      <c r="I2549" s="11" t="str">
        <v>RE-09T-0904]CAS TMJREST</v>
      </c>
      <c r="J2549" s="9">
        <v>55</v>
      </c>
      <c r="K2549" s="9" t="str">
        <v/>
      </c>
      <c r="L2549" s="9" t="str">
        <v>3A-22</v>
      </c>
      <c r="M2549" s="12">
        <v>46288</v>
      </c>
      <c r="N2549" s="5" t="str">
        <v/>
      </c>
      <c r="O2549" s="5">
        <v>103231</v>
      </c>
      <c r="P2549" s="5">
        <v>40</v>
      </c>
      <c r="Q2549" s="14">
        <v>46307</v>
      </c>
      <c r="R2549" s="15">
        <v>15</v>
      </c>
    </row>
    <row r="2550" spans="2:18" x14ac:dyDescent="0.35">
      <c r="B2550" s="9">
        <v>1734</v>
      </c>
      <c r="C2550" s="9" t="str">
        <v>출고재고</v>
      </c>
      <c r="D2550" s="9" t="str">
        <v/>
      </c>
      <c r="E2550" s="9" t="str">
        <v/>
      </c>
      <c r="F2550" s="9" t="str">
        <v/>
      </c>
      <c r="G2550" s="9" t="str">
        <v/>
      </c>
      <c r="H2550" s="9" t="str">
        <v>RE-09T-0901</v>
      </c>
      <c r="I2550" s="11" t="str">
        <v>RE-09T-0901]CAS CHINREST</v>
      </c>
      <c r="J2550" s="9">
        <v>81</v>
      </c>
      <c r="K2550" s="9" t="str">
        <v/>
      </c>
      <c r="L2550" s="9" t="str">
        <v>3A-22</v>
      </c>
      <c r="M2550" s="12">
        <v>46288</v>
      </c>
      <c r="N2550" s="5" t="str">
        <v/>
      </c>
      <c r="O2550" s="5">
        <v>103231</v>
      </c>
      <c r="P2550" s="5">
        <v>40</v>
      </c>
      <c r="Q2550" s="14">
        <v>46307</v>
      </c>
      <c r="R2550" s="15">
        <v>41</v>
      </c>
    </row>
    <row r="2551" spans="2:18" x14ac:dyDescent="0.35">
      <c r="B2551" s="9">
        <v>2077</v>
      </c>
      <c r="C2551" s="9" t="str">
        <v>출고재고</v>
      </c>
      <c r="D2551" s="9" t="str">
        <v/>
      </c>
      <c r="E2551" s="9" t="str">
        <v/>
      </c>
      <c r="F2551" s="9" t="str">
        <v/>
      </c>
      <c r="G2551" s="9" t="str">
        <v/>
      </c>
      <c r="H2551" s="9" t="str">
        <v>RE-04T-0452</v>
      </c>
      <c r="I2551" s="11" t="str">
        <v>RE-04T-0452]CAP HANDLE A</v>
      </c>
      <c r="J2551" s="9">
        <v>87</v>
      </c>
      <c r="K2551" s="9" t="str">
        <v/>
      </c>
      <c r="L2551" s="9" t="str">
        <v>3L14-2</v>
      </c>
      <c r="M2551" s="12">
        <v>46293</v>
      </c>
      <c r="N2551" s="5" t="str">
        <v/>
      </c>
      <c r="O2551" s="5">
        <v>103231</v>
      </c>
      <c r="P2551" s="5">
        <v>87</v>
      </c>
      <c r="Q2551" s="14">
        <v>46307</v>
      </c>
      <c r="R2551" s="15">
        <v>0</v>
      </c>
    </row>
    <row r="2552" spans="2:18" x14ac:dyDescent="0.35">
      <c r="B2552" s="9">
        <v>1733</v>
      </c>
      <c r="C2552" s="9" t="str">
        <v>출고재고</v>
      </c>
      <c r="D2552" s="9" t="str">
        <v/>
      </c>
      <c r="E2552" s="9" t="str">
        <v/>
      </c>
      <c r="F2552" s="9" t="str">
        <v/>
      </c>
      <c r="G2552" s="9" t="str">
        <v/>
      </c>
      <c r="H2552" s="9" t="str">
        <v>RE-09T-0902</v>
      </c>
      <c r="I2552" s="11" t="str">
        <v>RE-09T-0902]CAS CHINREST LOW</v>
      </c>
      <c r="J2552" s="9">
        <v>88</v>
      </c>
      <c r="K2552" s="9" t="str">
        <v/>
      </c>
      <c r="L2552" s="9" t="str">
        <v>3A-22</v>
      </c>
      <c r="M2552" s="12">
        <v>46288</v>
      </c>
      <c r="N2552" s="5" t="str">
        <v/>
      </c>
      <c r="O2552" s="5">
        <v>103231</v>
      </c>
      <c r="P2552" s="5">
        <v>40</v>
      </c>
      <c r="Q2552" s="14">
        <v>46307</v>
      </c>
      <c r="R2552" s="15">
        <v>48</v>
      </c>
    </row>
    <row r="2553" spans="2:18" x14ac:dyDescent="0.35">
      <c r="B2553" s="9">
        <v>1715</v>
      </c>
      <c r="C2553" s="9" t="str">
        <v>출고재고</v>
      </c>
      <c r="D2553" s="9" t="str">
        <v/>
      </c>
      <c r="E2553" s="9" t="str">
        <v/>
      </c>
      <c r="F2553" s="9" t="str">
        <v/>
      </c>
      <c r="G2553" s="9" t="str">
        <v/>
      </c>
      <c r="H2553" s="9" t="str">
        <v>RA-09S-0389</v>
      </c>
      <c r="I2553" s="11" t="str">
        <v>RA-09S-0389]CVR BITE BLK VINYL CVR</v>
      </c>
      <c r="J2553" s="9">
        <v>92</v>
      </c>
      <c r="K2553" s="9" t="str">
        <v/>
      </c>
      <c r="L2553" s="9" t="str">
        <v>L1-1</v>
      </c>
      <c r="M2553" s="12">
        <v>46288</v>
      </c>
      <c r="N2553" s="5" t="str">
        <v/>
      </c>
      <c r="O2553" s="5">
        <v>103231</v>
      </c>
      <c r="P2553" s="5">
        <v>40</v>
      </c>
      <c r="Q2553" s="14">
        <v>46307</v>
      </c>
      <c r="R2553" s="15">
        <v>52</v>
      </c>
    </row>
    <row r="2554" spans="2:18" x14ac:dyDescent="0.35">
      <c r="B2554" s="9">
        <v>2547</v>
      </c>
      <c r="C2554" s="9" t="str">
        <v>출고재고</v>
      </c>
      <c r="D2554" s="9" t="str">
        <v/>
      </c>
      <c r="E2554" s="9" t="str">
        <v>입고</v>
      </c>
      <c r="F2554" s="9" t="str">
        <v>진광</v>
      </c>
      <c r="G2554" s="9" t="str">
        <v>장동은</v>
      </c>
      <c r="H2554" s="9" t="str">
        <v>RE-03T-0320</v>
      </c>
      <c r="I2554" s="11" t="str">
        <v/>
      </c>
      <c r="J2554" s="9">
        <v>100</v>
      </c>
      <c r="K2554" s="9" t="str">
        <v/>
      </c>
      <c r="L2554" s="9" t="str">
        <v>3A-14</v>
      </c>
      <c r="M2554" s="12">
        <v>46279</v>
      </c>
      <c r="N2554" s="5" t="str">
        <v/>
      </c>
      <c r="O2554" s="5">
        <v>103231</v>
      </c>
      <c r="P2554" s="5">
        <v>27</v>
      </c>
      <c r="Q2554" s="14">
        <v>46307</v>
      </c>
      <c r="R2554" s="15">
        <v>73</v>
      </c>
    </row>
    <row r="2555" spans="2:18" x14ac:dyDescent="0.35">
      <c r="B2555" s="9">
        <v>2074</v>
      </c>
      <c r="C2555" s="9" t="str">
        <v>출고재고</v>
      </c>
      <c r="D2555" s="9" t="str">
        <v/>
      </c>
      <c r="E2555" s="9" t="str">
        <v>입고</v>
      </c>
      <c r="F2555" s="9" t="str">
        <v>진광</v>
      </c>
      <c r="G2555" s="9" t="str">
        <v>장동은</v>
      </c>
      <c r="H2555" s="9" t="str">
        <v>RE-03T-0307</v>
      </c>
      <c r="I2555" s="11" t="str">
        <v>RE-03T-0307]CAS CLMN REAR L</v>
      </c>
      <c r="J2555" s="9">
        <v>156</v>
      </c>
      <c r="K2555" s="9" t="str">
        <v/>
      </c>
      <c r="L2555" s="9" t="str">
        <v>3A-16</v>
      </c>
      <c r="M2555" s="12">
        <v>46288</v>
      </c>
      <c r="N2555" s="5" t="str">
        <v/>
      </c>
      <c r="O2555" s="5">
        <v>103231</v>
      </c>
      <c r="P2555" s="5">
        <v>20</v>
      </c>
      <c r="Q2555" s="14">
        <v>46307</v>
      </c>
      <c r="R2555" s="15">
        <v>136</v>
      </c>
    </row>
    <row r="2556" spans="2:18" x14ac:dyDescent="0.35">
      <c r="B2556" s="9">
        <v>1732</v>
      </c>
      <c r="C2556" s="9" t="str">
        <v>출고재고</v>
      </c>
      <c r="D2556" s="9" t="str">
        <v/>
      </c>
      <c r="E2556" s="9" t="str">
        <v/>
      </c>
      <c r="F2556" s="9" t="str">
        <v/>
      </c>
      <c r="G2556" s="9" t="str">
        <v/>
      </c>
      <c r="H2556" s="9" t="str">
        <v>RA-09T-1132</v>
      </c>
      <c r="I2556" s="11" t="str">
        <v>RA-09T-1132]CAS EDENTULOUS GUIDE</v>
      </c>
      <c r="J2556" s="9">
        <v>246</v>
      </c>
      <c r="K2556" s="9" t="str">
        <v/>
      </c>
      <c r="L2556" s="9" t="str">
        <v>3I4</v>
      </c>
      <c r="M2556" s="12">
        <v>46288</v>
      </c>
      <c r="N2556" s="5" t="str">
        <v/>
      </c>
      <c r="O2556" s="5">
        <v>103231</v>
      </c>
      <c r="P2556" s="5">
        <v>40</v>
      </c>
      <c r="Q2556" s="14">
        <v>46307</v>
      </c>
      <c r="R2556" s="15">
        <v>206</v>
      </c>
    </row>
    <row r="2557" spans="2:18" x14ac:dyDescent="0.35">
      <c r="B2557" s="9">
        <v>2016</v>
      </c>
      <c r="C2557" s="9" t="str">
        <v>출고재고</v>
      </c>
      <c r="D2557" s="9" t="str">
        <v/>
      </c>
      <c r="E2557" s="9" t="str">
        <v>입고</v>
      </c>
      <c r="F2557" s="9" t="str">
        <v>Bach tung</v>
      </c>
      <c r="G2557" s="9" t="str">
        <v>유영국</v>
      </c>
      <c r="H2557" s="9" t="str">
        <v>RA-09A-0967</v>
      </c>
      <c r="I2557" s="11" t="str">
        <v>RA-09A-0967]ASM EXPOSURE SW</v>
      </c>
      <c r="J2557" s="9">
        <v>250</v>
      </c>
      <c r="K2557" s="9" t="str">
        <v/>
      </c>
      <c r="L2557" s="9" t="str">
        <v>J1-3</v>
      </c>
      <c r="M2557" s="12">
        <v>46296</v>
      </c>
      <c r="N2557" s="5" t="str">
        <v/>
      </c>
      <c r="O2557" s="5">
        <v>103231</v>
      </c>
      <c r="P2557" s="5">
        <v>10</v>
      </c>
      <c r="Q2557" s="14">
        <v>46307</v>
      </c>
      <c r="R2557" s="15">
        <v>240</v>
      </c>
    </row>
    <row r="2558" spans="2:18" x14ac:dyDescent="0.35">
      <c r="B2558" s="9">
        <v>1722</v>
      </c>
      <c r="C2558" s="9" t="str">
        <v>출고재고</v>
      </c>
      <c r="D2558" s="9" t="str">
        <v/>
      </c>
      <c r="E2558" s="9" t="str">
        <v/>
      </c>
      <c r="F2558" s="9" t="str">
        <v/>
      </c>
      <c r="G2558" s="9" t="str">
        <v/>
      </c>
      <c r="H2558" s="9" t="str">
        <v>RE-04T-0440</v>
      </c>
      <c r="I2558" s="11" t="str">
        <v>RE-04T-0440]CAP HEADREST KNOB</v>
      </c>
      <c r="J2558" s="9">
        <v>286</v>
      </c>
      <c r="K2558" s="9" t="str">
        <v/>
      </c>
      <c r="L2558" s="9" t="str">
        <v>3L14-2</v>
      </c>
      <c r="M2558" s="12">
        <v>46288</v>
      </c>
      <c r="N2558" s="5" t="str">
        <v/>
      </c>
      <c r="O2558" s="5">
        <v>103231</v>
      </c>
      <c r="P2558" s="5">
        <v>40</v>
      </c>
      <c r="Q2558" s="14">
        <v>46307</v>
      </c>
      <c r="R2558" s="15">
        <v>246</v>
      </c>
    </row>
    <row r="2559" spans="2:18" x14ac:dyDescent="0.35">
      <c r="B2559" s="9">
        <v>1356</v>
      </c>
      <c r="C2559" s="9" t="str">
        <v>출고재고</v>
      </c>
      <c r="D2559" s="9" t="str">
        <v/>
      </c>
      <c r="E2559" s="9" t="str">
        <v>입고</v>
      </c>
      <c r="F2559" s="9" t="str">
        <v>진광</v>
      </c>
      <c r="G2559" s="9" t="str">
        <v>장동은</v>
      </c>
      <c r="H2559" s="9" t="str">
        <v>RE-04T-0452</v>
      </c>
      <c r="I2559" s="11" t="str">
        <v>RE-04T-0452]CAP HANDLE A</v>
      </c>
      <c r="J2559" s="9">
        <v>310</v>
      </c>
      <c r="K2559" s="9" t="str">
        <v/>
      </c>
      <c r="L2559" s="9" t="str">
        <v>3L14-2</v>
      </c>
      <c r="M2559" s="12">
        <v>46286</v>
      </c>
      <c r="N2559" s="5" t="str">
        <v/>
      </c>
      <c r="O2559" s="5">
        <v>103231</v>
      </c>
      <c r="P2559" s="5">
        <v>113</v>
      </c>
      <c r="Q2559" s="14">
        <v>46307</v>
      </c>
      <c r="R2559" s="15">
        <v>197</v>
      </c>
    </row>
    <row r="2560" spans="2:18" x14ac:dyDescent="0.35">
      <c r="B2560" s="9">
        <v>1737</v>
      </c>
      <c r="C2560" s="9" t="str">
        <v>출고재고</v>
      </c>
      <c r="D2560" s="9" t="str">
        <v/>
      </c>
      <c r="E2560" s="9" t="str">
        <v/>
      </c>
      <c r="F2560" s="9" t="str">
        <v/>
      </c>
      <c r="G2560" s="9" t="str">
        <v/>
      </c>
      <c r="H2560" s="9" t="str">
        <v>RA-09T-1183</v>
      </c>
      <c r="I2560" s="11" t="str">
        <v>RA-09T-1183]BLK BITE</v>
      </c>
      <c r="J2560" s="9">
        <v>329</v>
      </c>
      <c r="K2560" s="9" t="str">
        <v/>
      </c>
      <c r="L2560" s="9" t="str">
        <v>3I4</v>
      </c>
      <c r="M2560" s="12">
        <v>46288</v>
      </c>
      <c r="N2560" s="5" t="str">
        <v/>
      </c>
      <c r="O2560" s="5">
        <v>103231</v>
      </c>
      <c r="P2560" s="5">
        <v>200</v>
      </c>
      <c r="Q2560" s="14">
        <v>46307</v>
      </c>
      <c r="R2560" s="15">
        <v>129</v>
      </c>
    </row>
    <row r="2561" spans="2:18" x14ac:dyDescent="0.35">
      <c r="B2561" s="9">
        <v>2376</v>
      </c>
      <c r="C2561" s="9" t="str">
        <v>출고재고</v>
      </c>
      <c r="D2561" s="9" t="str">
        <v/>
      </c>
      <c r="E2561" s="9" t="str">
        <v/>
      </c>
      <c r="F2561" s="9" t="str">
        <v/>
      </c>
      <c r="G2561" s="9" t="str">
        <v/>
      </c>
      <c r="H2561" s="9" t="str">
        <v>RA-09T-0733</v>
      </c>
      <c r="I2561" s="11" t="str">
        <v>RA-09T-0733]CAS S.W HLDR</v>
      </c>
      <c r="J2561" s="9">
        <v>607</v>
      </c>
      <c r="K2561" s="9" t="str">
        <v/>
      </c>
      <c r="L2561" s="9" t="str">
        <v>R</v>
      </c>
      <c r="M2561" s="12">
        <v>46302</v>
      </c>
      <c r="N2561" s="5" t="str">
        <v/>
      </c>
      <c r="O2561" s="5">
        <v>103231</v>
      </c>
      <c r="P2561" s="5">
        <v>40</v>
      </c>
      <c r="Q2561" s="14">
        <v>46307</v>
      </c>
      <c r="R2561" s="15">
        <v>567</v>
      </c>
    </row>
    <row r="2562" spans="2:18" x14ac:dyDescent="0.35">
      <c r="B2562" s="9">
        <v>1361</v>
      </c>
      <c r="C2562" s="9" t="str">
        <v>출고재고</v>
      </c>
      <c r="D2562" s="9" t="str">
        <v/>
      </c>
      <c r="E2562" s="9" t="str">
        <v>입고</v>
      </c>
      <c r="F2562" s="9" t="str">
        <v>진광</v>
      </c>
      <c r="G2562" s="9" t="str">
        <v>장동은</v>
      </c>
      <c r="H2562" s="9" t="str">
        <v>RE-04T-0453</v>
      </c>
      <c r="I2562" s="11" t="str">
        <v>RE-04T-0453]CAP HANDLE B</v>
      </c>
      <c r="J2562" s="9">
        <v>620</v>
      </c>
      <c r="K2562" s="9" t="str">
        <v/>
      </c>
      <c r="L2562" s="9" t="str">
        <v>3L14-2</v>
      </c>
      <c r="M2562" s="12">
        <v>46286</v>
      </c>
      <c r="N2562" s="5" t="str">
        <v/>
      </c>
      <c r="O2562" s="5">
        <v>103231</v>
      </c>
      <c r="P2562" s="5">
        <v>95</v>
      </c>
      <c r="Q2562" s="14">
        <v>46307</v>
      </c>
      <c r="R2562" s="15">
        <v>525</v>
      </c>
    </row>
    <row r="2563" spans="2:18" x14ac:dyDescent="0.35">
      <c r="B2563" s="9">
        <v>2462</v>
      </c>
      <c r="C2563" s="9" t="str">
        <v>출고재고</v>
      </c>
      <c r="D2563" s="9" t="str">
        <v/>
      </c>
      <c r="E2563" s="9" t="str">
        <v/>
      </c>
      <c r="F2563" s="9" t="str">
        <v/>
      </c>
      <c r="G2563" s="9" t="str">
        <v/>
      </c>
      <c r="H2563" s="9" t="str">
        <v>RA-03V-1639</v>
      </c>
      <c r="I2563" s="11" t="str">
        <v>RA-03V-1639]PLT ELECT COMPONENT (VA)</v>
      </c>
      <c r="J2563" s="9">
        <v>28</v>
      </c>
      <c r="K2563" s="9" t="str">
        <v/>
      </c>
      <c r="L2563" s="9" t="str">
        <v>M2</v>
      </c>
      <c r="M2563" s="12">
        <v>46301</v>
      </c>
      <c r="N2563" s="5" t="str">
        <v/>
      </c>
      <c r="O2563" s="5">
        <v>103233</v>
      </c>
      <c r="P2563" s="5">
        <v>10</v>
      </c>
      <c r="Q2563" s="14">
        <v>46308</v>
      </c>
      <c r="R2563" s="15">
        <v>18</v>
      </c>
    </row>
    <row r="2564" spans="2:18" x14ac:dyDescent="0.35">
      <c r="B2564" s="9">
        <v>2228</v>
      </c>
      <c r="C2564" s="9" t="str">
        <v>출고재고</v>
      </c>
      <c r="D2564" s="9" t="str">
        <v/>
      </c>
      <c r="E2564" s="9" t="str">
        <v/>
      </c>
      <c r="F2564" s="9" t="str">
        <v/>
      </c>
      <c r="G2564" s="9" t="str">
        <v/>
      </c>
      <c r="H2564" s="9" t="str">
        <v>RA-04A-2748</v>
      </c>
      <c r="I2564" s="11" t="str">
        <v>RA-04A-2748]ASM ARM SUB (A+) (VN)</v>
      </c>
      <c r="J2564" s="9">
        <v>37</v>
      </c>
      <c r="K2564" s="9" t="str">
        <v/>
      </c>
      <c r="L2564" s="9" t="str">
        <v>T</v>
      </c>
      <c r="M2564" s="12">
        <v>46295</v>
      </c>
      <c r="N2564" s="5" t="str">
        <v/>
      </c>
      <c r="O2564" s="5">
        <v>103233</v>
      </c>
      <c r="P2564" s="5">
        <v>10</v>
      </c>
      <c r="Q2564" s="14">
        <v>46308</v>
      </c>
      <c r="R2564" s="15">
        <v>27</v>
      </c>
    </row>
    <row r="2565" spans="2:18" x14ac:dyDescent="0.35">
      <c r="B2565" s="9">
        <v>2469</v>
      </c>
      <c r="C2565" s="9" t="str">
        <v>출고재고</v>
      </c>
      <c r="D2565" s="9" t="str">
        <v/>
      </c>
      <c r="E2565" s="9" t="str">
        <v/>
      </c>
      <c r="F2565" s="9" t="str">
        <v/>
      </c>
      <c r="G2565" s="9" t="str">
        <v/>
      </c>
      <c r="H2565" s="9" t="str">
        <v>RA-04V-0117</v>
      </c>
      <c r="I2565" s="11" t="str">
        <v>RA-04V-0117] ARM MONITOR</v>
      </c>
      <c r="J2565" s="9">
        <v>42</v>
      </c>
      <c r="K2565" s="9" t="str">
        <v/>
      </c>
      <c r="L2565" s="9" t="str">
        <v>H1</v>
      </c>
      <c r="M2565" s="12">
        <v>46301</v>
      </c>
      <c r="N2565" s="5" t="str">
        <v/>
      </c>
      <c r="O2565" s="5">
        <v>103233</v>
      </c>
      <c r="P2565" s="5">
        <v>10</v>
      </c>
      <c r="Q2565" s="14">
        <v>46308</v>
      </c>
      <c r="R2565" s="15">
        <v>32</v>
      </c>
    </row>
    <row r="2566" spans="2:18" x14ac:dyDescent="0.35">
      <c r="B2566" s="9">
        <v>2483</v>
      </c>
      <c r="C2566" s="9" t="str">
        <v>출고재고</v>
      </c>
      <c r="D2566" s="9" t="str">
        <v/>
      </c>
      <c r="E2566" s="9" t="str">
        <v/>
      </c>
      <c r="F2566" s="9" t="str">
        <v/>
      </c>
      <c r="G2566" s="9" t="str">
        <v/>
      </c>
      <c r="H2566" s="9" t="str">
        <v>RA-03S-6045</v>
      </c>
      <c r="I2566" s="11" t="str">
        <v>RA-03S-6045]SMPS-RPS-200-24V</v>
      </c>
      <c r="J2566" s="9">
        <v>45</v>
      </c>
      <c r="K2566" s="9" t="str">
        <v/>
      </c>
      <c r="L2566" s="9" t="str">
        <v>A12-4</v>
      </c>
      <c r="M2566" s="12">
        <v>46301</v>
      </c>
      <c r="N2566" s="5" t="str">
        <v/>
      </c>
      <c r="O2566" s="5">
        <v>103233</v>
      </c>
      <c r="P2566" s="5">
        <v>10</v>
      </c>
      <c r="Q2566" s="14">
        <v>46308</v>
      </c>
      <c r="R2566" s="15">
        <v>35</v>
      </c>
    </row>
    <row r="2567" spans="2:18" x14ac:dyDescent="0.35">
      <c r="B2567" s="9">
        <v>2471</v>
      </c>
      <c r="C2567" s="9" t="str">
        <v>출고재고</v>
      </c>
      <c r="D2567" s="9" t="str">
        <v/>
      </c>
      <c r="E2567" s="9" t="str">
        <v/>
      </c>
      <c r="F2567" s="9" t="str">
        <v/>
      </c>
      <c r="G2567" s="9" t="str">
        <v/>
      </c>
      <c r="H2567" s="9" t="str">
        <v>RA-04S-5174</v>
      </c>
      <c r="I2567" s="11" t="str">
        <v>RA-04S-5174]THU Cable Ass'y</v>
      </c>
      <c r="J2567" s="9">
        <v>47</v>
      </c>
      <c r="K2567" s="9" t="str">
        <v/>
      </c>
      <c r="L2567" s="9" t="str">
        <v>B2-2</v>
      </c>
      <c r="M2567" s="12">
        <v>46301</v>
      </c>
      <c r="N2567" s="5" t="str">
        <v/>
      </c>
      <c r="O2567" s="5">
        <v>103233</v>
      </c>
      <c r="P2567" s="5">
        <v>7</v>
      </c>
      <c r="Q2567" s="14">
        <v>46308</v>
      </c>
      <c r="R2567" s="15">
        <v>40</v>
      </c>
    </row>
    <row r="2568" spans="2:18" x14ac:dyDescent="0.35">
      <c r="B2568" s="9">
        <v>2470</v>
      </c>
      <c r="C2568" s="9" t="str">
        <v>출고재고</v>
      </c>
      <c r="D2568" s="9" t="str">
        <v/>
      </c>
      <c r="E2568" s="9" t="str">
        <v/>
      </c>
      <c r="F2568" s="9" t="str">
        <v/>
      </c>
      <c r="G2568" s="9" t="str">
        <v/>
      </c>
      <c r="H2568" s="9" t="str">
        <v>RA-04V-1709</v>
      </c>
      <c r="I2568" s="11" t="str">
        <v>RA-04V-1709]BRK THU Bd</v>
      </c>
      <c r="J2568" s="9">
        <v>53</v>
      </c>
      <c r="K2568" s="9" t="str">
        <v/>
      </c>
      <c r="L2568" s="9" t="str">
        <v>B3-1</v>
      </c>
      <c r="M2568" s="12">
        <v>46301</v>
      </c>
      <c r="N2568" s="5" t="str">
        <v/>
      </c>
      <c r="O2568" s="5">
        <v>103233</v>
      </c>
      <c r="P2568" s="5">
        <v>10</v>
      </c>
      <c r="Q2568" s="14">
        <v>46308</v>
      </c>
      <c r="R2568" s="15">
        <v>43</v>
      </c>
    </row>
    <row r="2569" spans="2:18" x14ac:dyDescent="0.35">
      <c r="B2569" s="9">
        <v>2486</v>
      </c>
      <c r="C2569" s="9" t="str">
        <v>출고재고</v>
      </c>
      <c r="D2569" s="9" t="str">
        <v/>
      </c>
      <c r="E2569" s="9" t="str">
        <v/>
      </c>
      <c r="F2569" s="9" t="str">
        <v/>
      </c>
      <c r="G2569" s="9" t="str">
        <v/>
      </c>
      <c r="H2569" s="9" t="str">
        <v>RA-03S-5176</v>
      </c>
      <c r="I2569" s="11" t="str">
        <v>RA-03S-5176]NOISE FILTER RSHN2016</v>
      </c>
      <c r="J2569" s="9">
        <v>55</v>
      </c>
      <c r="K2569" s="9" t="str">
        <v/>
      </c>
      <c r="L2569" s="9" t="str">
        <v>A12-4</v>
      </c>
      <c r="M2569" s="12">
        <v>46301</v>
      </c>
      <c r="N2569" s="5" t="str">
        <v/>
      </c>
      <c r="O2569" s="5">
        <v>103233</v>
      </c>
      <c r="P2569" s="5">
        <v>10</v>
      </c>
      <c r="Q2569" s="14">
        <v>46308</v>
      </c>
      <c r="R2569" s="15">
        <v>45</v>
      </c>
    </row>
    <row r="2570" spans="2:18" x14ac:dyDescent="0.35">
      <c r="B2570" s="9">
        <v>2485</v>
      </c>
      <c r="C2570" s="9" t="str">
        <v>출고재고</v>
      </c>
      <c r="D2570" s="9" t="str">
        <v/>
      </c>
      <c r="E2570" s="9" t="str">
        <v/>
      </c>
      <c r="F2570" s="9" t="str">
        <v/>
      </c>
      <c r="G2570" s="9" t="str">
        <v/>
      </c>
      <c r="H2570" s="9" t="str">
        <v>RA-03S-5013</v>
      </c>
      <c r="I2570" s="11" t="str">
        <v>RA-03S-5013]Mgnet CONTECTOR-LP1K0910BD</v>
      </c>
      <c r="J2570" s="9">
        <v>57</v>
      </c>
      <c r="K2570" s="9" t="str">
        <v/>
      </c>
      <c r="L2570" s="9" t="str">
        <v>A13-4</v>
      </c>
      <c r="M2570" s="12">
        <v>46301</v>
      </c>
      <c r="N2570" s="5" t="str">
        <v/>
      </c>
      <c r="O2570" s="5">
        <v>103233</v>
      </c>
      <c r="P2570" s="5">
        <v>10</v>
      </c>
      <c r="Q2570" s="14">
        <v>46308</v>
      </c>
      <c r="R2570" s="15">
        <v>47</v>
      </c>
    </row>
    <row r="2571" spans="2:18" x14ac:dyDescent="0.35">
      <c r="B2571" s="9">
        <v>2468</v>
      </c>
      <c r="C2571" s="9" t="str">
        <v>출고재고</v>
      </c>
      <c r="D2571" s="9" t="str">
        <v/>
      </c>
      <c r="E2571" s="9" t="str">
        <v/>
      </c>
      <c r="F2571" s="9" t="str">
        <v/>
      </c>
      <c r="G2571" s="9" t="str">
        <v/>
      </c>
      <c r="H2571" s="9" t="str">
        <v>RA-04A-1926</v>
      </c>
      <c r="I2571" s="11" t="str">
        <v>RA-04A-1926]ASM CHINREST SUB</v>
      </c>
      <c r="J2571" s="9">
        <v>66</v>
      </c>
      <c r="K2571" s="9" t="str">
        <v/>
      </c>
      <c r="L2571" s="9" t="str">
        <v>O2</v>
      </c>
      <c r="M2571" s="12">
        <v>46301</v>
      </c>
      <c r="N2571" s="5" t="str">
        <v/>
      </c>
      <c r="O2571" s="5">
        <v>103233</v>
      </c>
      <c r="P2571" s="5">
        <v>10</v>
      </c>
      <c r="Q2571" s="14">
        <v>46308</v>
      </c>
      <c r="R2571" s="15">
        <v>56</v>
      </c>
    </row>
    <row r="2572" spans="2:18" x14ac:dyDescent="0.35">
      <c r="B2572" s="9">
        <v>2465</v>
      </c>
      <c r="C2572" s="9" t="str">
        <v>출고재고</v>
      </c>
      <c r="D2572" s="9" t="str">
        <v/>
      </c>
      <c r="E2572" s="9" t="str">
        <v/>
      </c>
      <c r="F2572" s="9" t="str">
        <v/>
      </c>
      <c r="G2572" s="9" t="str">
        <v/>
      </c>
      <c r="H2572" s="9" t="str">
        <v>RA-04M-1339</v>
      </c>
      <c r="I2572" s="11" t="str">
        <v>RA-04M-1339]BLK HEADREST FIX BAR-R</v>
      </c>
      <c r="J2572" s="9">
        <v>71</v>
      </c>
      <c r="K2572" s="9" t="str">
        <v/>
      </c>
      <c r="L2572" s="9" t="str">
        <v>B1-5</v>
      </c>
      <c r="M2572" s="12">
        <v>46301</v>
      </c>
      <c r="N2572" s="5" t="str">
        <v/>
      </c>
      <c r="O2572" s="5">
        <v>103233</v>
      </c>
      <c r="P2572" s="5">
        <v>10</v>
      </c>
      <c r="Q2572" s="14">
        <v>46308</v>
      </c>
      <c r="R2572" s="15">
        <v>61</v>
      </c>
    </row>
    <row r="2573" spans="2:18" x14ac:dyDescent="0.35">
      <c r="B2573" s="9">
        <v>2464</v>
      </c>
      <c r="C2573" s="9" t="str">
        <v>출고재고</v>
      </c>
      <c r="D2573" s="9" t="str">
        <v/>
      </c>
      <c r="E2573" s="9" t="str">
        <v/>
      </c>
      <c r="F2573" s="9" t="str">
        <v/>
      </c>
      <c r="G2573" s="9" t="str">
        <v/>
      </c>
      <c r="H2573" s="9" t="str">
        <v>RA-03S-5180A</v>
      </c>
      <c r="I2573" s="11" t="str">
        <v>RA-03S-5180A]A2K_LBM01-570</v>
      </c>
      <c r="J2573" s="9">
        <v>86</v>
      </c>
      <c r="K2573" s="9" t="str">
        <v/>
      </c>
      <c r="L2573" s="9" t="str">
        <v>B1-1</v>
      </c>
      <c r="M2573" s="12">
        <v>46301</v>
      </c>
      <c r="N2573" s="5" t="str">
        <v/>
      </c>
      <c r="O2573" s="5">
        <v>103233</v>
      </c>
      <c r="P2573" s="5">
        <v>10</v>
      </c>
      <c r="Q2573" s="14">
        <v>46308</v>
      </c>
      <c r="R2573" s="15">
        <v>76</v>
      </c>
    </row>
    <row r="2574" spans="2:18" x14ac:dyDescent="0.35">
      <c r="B2574" s="9">
        <v>2478</v>
      </c>
      <c r="C2574" s="9" t="str">
        <v>출고재고</v>
      </c>
      <c r="D2574" s="9" t="str">
        <v/>
      </c>
      <c r="E2574" s="9" t="str">
        <v/>
      </c>
      <c r="F2574" s="9" t="str">
        <v/>
      </c>
      <c r="G2574" s="9" t="str">
        <v/>
      </c>
      <c r="H2574" s="9" t="str">
        <v>RA-03S-6025</v>
      </c>
      <c r="I2574" s="11" t="str">
        <v>RA-03S-6025]LBM-RAY01</v>
      </c>
      <c r="J2574" s="9">
        <v>86</v>
      </c>
      <c r="K2574" s="9" t="str">
        <v/>
      </c>
      <c r="L2574" s="9" t="str">
        <v>B1-1</v>
      </c>
      <c r="M2574" s="12">
        <v>46301</v>
      </c>
      <c r="N2574" s="5" t="str">
        <v/>
      </c>
      <c r="O2574" s="5">
        <v>103233</v>
      </c>
      <c r="P2574" s="5">
        <v>10</v>
      </c>
      <c r="Q2574" s="14">
        <v>46308</v>
      </c>
      <c r="R2574" s="15">
        <v>76</v>
      </c>
    </row>
    <row r="2575" spans="2:18" x14ac:dyDescent="0.35">
      <c r="B2575" s="9">
        <v>2473</v>
      </c>
      <c r="C2575" s="9" t="str">
        <v>출고재고</v>
      </c>
      <c r="D2575" s="9" t="str">
        <v/>
      </c>
      <c r="E2575" s="9" t="str">
        <v/>
      </c>
      <c r="F2575" s="9" t="str">
        <v/>
      </c>
      <c r="G2575" s="9" t="str">
        <v/>
      </c>
      <c r="H2575" s="9" t="str">
        <v>RA-04A-0899</v>
      </c>
      <c r="I2575" s="11" t="str">
        <v>RA-04A-0899]ASM LCD M101NWT2 R1</v>
      </c>
      <c r="J2575" s="9">
        <v>106</v>
      </c>
      <c r="K2575" s="9" t="str">
        <v/>
      </c>
      <c r="L2575" s="9" t="str">
        <v>A16</v>
      </c>
      <c r="M2575" s="12">
        <v>46301</v>
      </c>
      <c r="N2575" s="5" t="str">
        <v/>
      </c>
      <c r="O2575" s="5">
        <v>103233</v>
      </c>
      <c r="P2575" s="5">
        <v>10</v>
      </c>
      <c r="Q2575" s="14">
        <v>46308</v>
      </c>
      <c r="R2575" s="15">
        <v>96</v>
      </c>
    </row>
    <row r="2576" spans="2:18" x14ac:dyDescent="0.35">
      <c r="B2576" s="9">
        <v>2490</v>
      </c>
      <c r="C2576" s="9" t="str">
        <v>출고재고</v>
      </c>
      <c r="D2576" s="9" t="str">
        <v/>
      </c>
      <c r="E2576" s="9" t="str">
        <v/>
      </c>
      <c r="F2576" s="9" t="str">
        <v/>
      </c>
      <c r="G2576" s="9" t="str">
        <v/>
      </c>
      <c r="H2576" s="9" t="str">
        <v>RA-04S-0121</v>
      </c>
      <c r="I2576" s="11" t="str">
        <v>RA-04S-0121]HINGE SET</v>
      </c>
      <c r="J2576" s="9">
        <v>115</v>
      </c>
      <c r="K2576" s="9" t="str">
        <v/>
      </c>
      <c r="L2576" s="9" t="str">
        <v>B1-4</v>
      </c>
      <c r="M2576" s="12">
        <v>46301</v>
      </c>
      <c r="N2576" s="5" t="str">
        <v/>
      </c>
      <c r="O2576" s="5">
        <v>103233</v>
      </c>
      <c r="P2576" s="5">
        <v>20</v>
      </c>
      <c r="Q2576" s="14">
        <v>46308</v>
      </c>
      <c r="R2576" s="15">
        <v>95</v>
      </c>
    </row>
    <row r="2577" spans="2:18" x14ac:dyDescent="0.35">
      <c r="B2577" s="9">
        <v>2463</v>
      </c>
      <c r="C2577" s="9" t="str">
        <v>출고재고</v>
      </c>
      <c r="D2577" s="9" t="str">
        <v/>
      </c>
      <c r="E2577" s="9" t="str">
        <v/>
      </c>
      <c r="F2577" s="9" t="str">
        <v/>
      </c>
      <c r="G2577" s="9" t="str">
        <v/>
      </c>
      <c r="H2577" s="9" t="str">
        <v>RA-03M-2193</v>
      </c>
      <c r="I2577" s="11" t="str">
        <v>RA-03M-2193]CVR PROT (A+)</v>
      </c>
      <c r="J2577" s="9">
        <v>116</v>
      </c>
      <c r="K2577" s="9" t="str">
        <v/>
      </c>
      <c r="L2577" s="9" t="str">
        <v>B1-1</v>
      </c>
      <c r="M2577" s="12">
        <v>46301</v>
      </c>
      <c r="N2577" s="5" t="str">
        <v/>
      </c>
      <c r="O2577" s="5">
        <v>103233</v>
      </c>
      <c r="P2577" s="5">
        <v>10</v>
      </c>
      <c r="Q2577" s="14">
        <v>46308</v>
      </c>
      <c r="R2577" s="15">
        <v>106</v>
      </c>
    </row>
    <row r="2578" spans="2:18" x14ac:dyDescent="0.35">
      <c r="B2578" s="9">
        <v>2466</v>
      </c>
      <c r="C2578" s="9" t="str">
        <v>출고재고</v>
      </c>
      <c r="D2578" s="9" t="str">
        <v/>
      </c>
      <c r="E2578" s="9" t="str">
        <v/>
      </c>
      <c r="F2578" s="9" t="str">
        <v/>
      </c>
      <c r="G2578" s="9" t="str">
        <v/>
      </c>
      <c r="H2578" s="9" t="str">
        <v>RA-04M-1338</v>
      </c>
      <c r="I2578" s="11" t="str">
        <v>RA-04M-1338]BLK HEADREST FIX BAR-L</v>
      </c>
      <c r="J2578" s="9">
        <v>121</v>
      </c>
      <c r="K2578" s="9" t="str">
        <v/>
      </c>
      <c r="L2578" s="9" t="str">
        <v>B1-5</v>
      </c>
      <c r="M2578" s="12">
        <v>46301</v>
      </c>
      <c r="N2578" s="5" t="str">
        <v/>
      </c>
      <c r="O2578" s="5">
        <v>103233</v>
      </c>
      <c r="P2578" s="5">
        <v>10</v>
      </c>
      <c r="Q2578" s="14">
        <v>46308</v>
      </c>
      <c r="R2578" s="15">
        <v>111</v>
      </c>
    </row>
    <row r="2579" spans="2:18" x14ac:dyDescent="0.35">
      <c r="B2579" s="9">
        <v>2489</v>
      </c>
      <c r="C2579" s="9" t="str">
        <v>출고재고</v>
      </c>
      <c r="D2579" s="9" t="str">
        <v/>
      </c>
      <c r="E2579" s="9" t="str">
        <v/>
      </c>
      <c r="F2579" s="9" t="str">
        <v/>
      </c>
      <c r="G2579" s="9" t="str">
        <v/>
      </c>
      <c r="H2579" s="9" t="str">
        <v>RA-04V-0118</v>
      </c>
      <c r="I2579" s="11" t="str">
        <v>RA-04V-0118]BRK MONITOR HINGE</v>
      </c>
      <c r="J2579" s="9">
        <v>126</v>
      </c>
      <c r="K2579" s="9" t="str">
        <v/>
      </c>
      <c r="L2579" s="9" t="str">
        <v>B2-3</v>
      </c>
      <c r="M2579" s="12">
        <v>46301</v>
      </c>
      <c r="N2579" s="5" t="str">
        <v/>
      </c>
      <c r="O2579" s="5">
        <v>103233</v>
      </c>
      <c r="P2579" s="5">
        <v>20</v>
      </c>
      <c r="Q2579" s="14">
        <v>46308</v>
      </c>
      <c r="R2579" s="15">
        <v>106</v>
      </c>
    </row>
    <row r="2580" spans="2:18" x14ac:dyDescent="0.35">
      <c r="B2580" s="9">
        <v>2472</v>
      </c>
      <c r="C2580" s="9" t="str">
        <v>출고재고</v>
      </c>
      <c r="D2580" s="9" t="str">
        <v/>
      </c>
      <c r="E2580" s="9" t="str">
        <v/>
      </c>
      <c r="F2580" s="9" t="str">
        <v/>
      </c>
      <c r="G2580" s="9" t="str">
        <v/>
      </c>
      <c r="H2580" s="9" t="str">
        <v>RA-04V-1708</v>
      </c>
      <c r="I2580" s="11" t="str">
        <v>RA-04V-1708]CVR THU Bd</v>
      </c>
      <c r="J2580" s="9">
        <v>130</v>
      </c>
      <c r="K2580" s="9" t="str">
        <v/>
      </c>
      <c r="L2580" s="9" t="str">
        <v>B3-3</v>
      </c>
      <c r="M2580" s="12">
        <v>46301</v>
      </c>
      <c r="N2580" s="5" t="str">
        <v/>
      </c>
      <c r="O2580" s="5">
        <v>103233</v>
      </c>
      <c r="P2580" s="5">
        <v>10</v>
      </c>
      <c r="Q2580" s="14">
        <v>46308</v>
      </c>
      <c r="R2580" s="15">
        <v>120</v>
      </c>
    </row>
    <row r="2581" spans="2:18" x14ac:dyDescent="0.35">
      <c r="B2581" s="9">
        <v>2481</v>
      </c>
      <c r="C2581" s="9" t="str">
        <v>출고재고</v>
      </c>
      <c r="D2581" s="9" t="str">
        <v/>
      </c>
      <c r="E2581" s="9" t="str">
        <v/>
      </c>
      <c r="F2581" s="9" t="str">
        <v/>
      </c>
      <c r="G2581" s="9" t="str">
        <v/>
      </c>
      <c r="H2581" s="9" t="str">
        <v>RA-03A-6012</v>
      </c>
      <c r="I2581" s="11" t="str">
        <v>RA-03A-6012]Bd ASSY'-ACT Bd(A/A+)</v>
      </c>
      <c r="J2581" s="9">
        <v>150</v>
      </c>
      <c r="K2581" s="9" t="str">
        <v/>
      </c>
      <c r="L2581" s="9" t="str">
        <v>A7-3</v>
      </c>
      <c r="M2581" s="12">
        <v>46301</v>
      </c>
      <c r="N2581" s="5" t="str">
        <v/>
      </c>
      <c r="O2581" s="5">
        <v>103233</v>
      </c>
      <c r="P2581" s="5">
        <v>10</v>
      </c>
      <c r="Q2581" s="14">
        <v>46308</v>
      </c>
      <c r="R2581" s="15">
        <v>140</v>
      </c>
    </row>
    <row r="2582" spans="2:18" x14ac:dyDescent="0.35">
      <c r="B2582" s="9">
        <v>2479</v>
      </c>
      <c r="C2582" s="9" t="str">
        <v>출고재고</v>
      </c>
      <c r="D2582" s="9" t="str">
        <v/>
      </c>
      <c r="E2582" s="9" t="str">
        <v/>
      </c>
      <c r="F2582" s="9" t="str">
        <v/>
      </c>
      <c r="G2582" s="9" t="str">
        <v/>
      </c>
      <c r="H2582" s="9" t="str">
        <v>RA-03T-1992</v>
      </c>
      <c r="I2582" s="11" t="str">
        <v>RA-03T-1992]HLDR LASER BEAM V</v>
      </c>
      <c r="J2582" s="9">
        <v>195</v>
      </c>
      <c r="K2582" s="9" t="str">
        <v/>
      </c>
      <c r="L2582" s="9" t="str">
        <v>B1-1</v>
      </c>
      <c r="M2582" s="12">
        <v>46301</v>
      </c>
      <c r="N2582" s="5" t="str">
        <v/>
      </c>
      <c r="O2582" s="5">
        <v>103233</v>
      </c>
      <c r="P2582" s="5">
        <v>10</v>
      </c>
      <c r="Q2582" s="14">
        <v>46308</v>
      </c>
      <c r="R2582" s="15">
        <v>185</v>
      </c>
    </row>
    <row r="2583" spans="2:18" x14ac:dyDescent="0.35">
      <c r="B2583" s="9">
        <v>2482</v>
      </c>
      <c r="C2583" s="9" t="str">
        <v>출고재고</v>
      </c>
      <c r="D2583" s="9" t="str">
        <v/>
      </c>
      <c r="E2583" s="9" t="str">
        <v/>
      </c>
      <c r="F2583" s="9" t="str">
        <v/>
      </c>
      <c r="G2583" s="9" t="str">
        <v/>
      </c>
      <c r="H2583" s="9" t="str">
        <v>RA-03A-6016A</v>
      </c>
      <c r="I2583" s="11" t="str">
        <v>RA-03A-6016A]BD ASSY'-AC FUSE BLK</v>
      </c>
      <c r="J2583" s="9">
        <v>196</v>
      </c>
      <c r="K2583" s="9" t="str">
        <v/>
      </c>
      <c r="L2583" s="9" t="str">
        <v>A3-1</v>
      </c>
      <c r="M2583" s="12">
        <v>46301</v>
      </c>
      <c r="N2583" s="5" t="str">
        <v/>
      </c>
      <c r="O2583" s="5">
        <v>103233</v>
      </c>
      <c r="P2583" s="5">
        <v>10</v>
      </c>
      <c r="Q2583" s="14">
        <v>46308</v>
      </c>
      <c r="R2583" s="15">
        <v>186</v>
      </c>
    </row>
    <row r="2584" spans="2:18" x14ac:dyDescent="0.35">
      <c r="B2584" s="9">
        <v>2477</v>
      </c>
      <c r="C2584" s="9" t="str">
        <v>출고재고</v>
      </c>
      <c r="D2584" s="9" t="str">
        <v/>
      </c>
      <c r="E2584" s="9" t="str">
        <v/>
      </c>
      <c r="F2584" s="9" t="str">
        <v/>
      </c>
      <c r="G2584" s="9" t="str">
        <v/>
      </c>
      <c r="H2584" s="9" t="str">
        <v>RA-03A-0050</v>
      </c>
      <c r="I2584" s="11" t="str">
        <v>RA-03A-0050_I]ASM HORIZONTAL LASER BEAM</v>
      </c>
      <c r="J2584" s="9">
        <v>224</v>
      </c>
      <c r="K2584" s="9" t="str">
        <v/>
      </c>
      <c r="L2584" s="9" t="str">
        <v>O2</v>
      </c>
      <c r="M2584" s="12">
        <v>46301</v>
      </c>
      <c r="N2584" s="5" t="str">
        <v/>
      </c>
      <c r="O2584" s="5">
        <v>103233</v>
      </c>
      <c r="P2584" s="5">
        <v>10</v>
      </c>
      <c r="Q2584" s="14">
        <v>46308</v>
      </c>
      <c r="R2584" s="15">
        <v>214</v>
      </c>
    </row>
    <row r="2585" spans="2:18" x14ac:dyDescent="0.35">
      <c r="B2585" s="9">
        <v>2467</v>
      </c>
      <c r="C2585" s="9" t="str">
        <v>출고재고</v>
      </c>
      <c r="D2585" s="9" t="str">
        <v/>
      </c>
      <c r="E2585" s="9" t="str">
        <v/>
      </c>
      <c r="F2585" s="9" t="str">
        <v/>
      </c>
      <c r="G2585" s="9" t="str">
        <v/>
      </c>
      <c r="H2585" s="9" t="str">
        <v>RA-04M-2399</v>
      </c>
      <c r="I2585" s="11" t="str">
        <v>RA-04M-2399]GUIDE BITE BLK A (A+)</v>
      </c>
      <c r="J2585" s="9">
        <v>238</v>
      </c>
      <c r="K2585" s="9" t="str">
        <v/>
      </c>
      <c r="L2585" s="9" t="str">
        <v>B1-6</v>
      </c>
      <c r="M2585" s="12">
        <v>46301</v>
      </c>
      <c r="N2585" s="5" t="str">
        <v/>
      </c>
      <c r="O2585" s="5">
        <v>103233</v>
      </c>
      <c r="P2585" s="5">
        <v>10</v>
      </c>
      <c r="Q2585" s="14">
        <v>46308</v>
      </c>
      <c r="R2585" s="15">
        <v>228</v>
      </c>
    </row>
    <row r="2586" spans="2:18" x14ac:dyDescent="0.35">
      <c r="B2586" s="9">
        <v>2475</v>
      </c>
      <c r="C2586" s="9" t="str">
        <v>출고재고</v>
      </c>
      <c r="D2586" s="9" t="str">
        <v/>
      </c>
      <c r="E2586" s="9" t="str">
        <v/>
      </c>
      <c r="F2586" s="9" t="str">
        <v/>
      </c>
      <c r="G2586" s="9" t="str">
        <v/>
      </c>
      <c r="H2586" s="9" t="str">
        <v>RA-1-1</v>
      </c>
      <c r="I2586" s="11" t="str">
        <v>RA-1-1_2]AC POWER FUSE TO NF2</v>
      </c>
      <c r="J2586" s="9">
        <v>239</v>
      </c>
      <c r="K2586" s="9" t="str">
        <v/>
      </c>
      <c r="L2586" s="9" t="str">
        <v>G3-1</v>
      </c>
      <c r="M2586" s="12">
        <v>46301</v>
      </c>
      <c r="N2586" s="5" t="str">
        <v/>
      </c>
      <c r="O2586" s="5">
        <v>103233</v>
      </c>
      <c r="P2586" s="5">
        <v>10</v>
      </c>
      <c r="Q2586" s="14">
        <v>46308</v>
      </c>
      <c r="R2586" s="15">
        <v>229</v>
      </c>
    </row>
    <row r="2587" spans="2:18" x14ac:dyDescent="0.35">
      <c r="B2587" s="9">
        <v>2484</v>
      </c>
      <c r="C2587" s="9" t="str">
        <v>출고재고</v>
      </c>
      <c r="D2587" s="9" t="str">
        <v/>
      </c>
      <c r="E2587" s="9" t="str">
        <v/>
      </c>
      <c r="F2587" s="9" t="str">
        <v/>
      </c>
      <c r="G2587" s="9" t="str">
        <v/>
      </c>
      <c r="H2587" s="9" t="str">
        <v>RA-03A-6046</v>
      </c>
      <c r="I2587" s="11" t="str">
        <v>RA-03A-6046]SMPS CONN B/D</v>
      </c>
      <c r="J2587" s="9">
        <v>314</v>
      </c>
      <c r="K2587" s="9" t="str">
        <v/>
      </c>
      <c r="L2587" s="9" t="str">
        <v>A1-3</v>
      </c>
      <c r="M2587" s="12">
        <v>46301</v>
      </c>
      <c r="N2587" s="5" t="str">
        <v/>
      </c>
      <c r="O2587" s="5">
        <v>103233</v>
      </c>
      <c r="P2587" s="5">
        <v>10</v>
      </c>
      <c r="Q2587" s="14">
        <v>46308</v>
      </c>
      <c r="R2587" s="15">
        <v>304</v>
      </c>
    </row>
    <row r="2588" spans="2:18" x14ac:dyDescent="0.35">
      <c r="B2588" s="9">
        <v>2488</v>
      </c>
      <c r="C2588" s="9" t="str">
        <v>출고재고</v>
      </c>
      <c r="D2588" s="9" t="str">
        <v/>
      </c>
      <c r="E2588" s="9" t="str">
        <v/>
      </c>
      <c r="F2588" s="9" t="str">
        <v/>
      </c>
      <c r="G2588" s="9" t="str">
        <v/>
      </c>
      <c r="H2588" s="9" t="str">
        <v>RA-1-2</v>
      </c>
      <c r="I2588" s="11" t="str">
        <v>RA-1-2_2]AC POWER FUSE TO NF1</v>
      </c>
      <c r="J2588" s="9">
        <v>500</v>
      </c>
      <c r="K2588" s="9" t="str">
        <v/>
      </c>
      <c r="L2588" s="9" t="str">
        <v>G3-1</v>
      </c>
      <c r="M2588" s="12">
        <v>46301</v>
      </c>
      <c r="N2588" s="5" t="str">
        <v/>
      </c>
      <c r="O2588" s="5">
        <v>103233</v>
      </c>
      <c r="P2588" s="5">
        <v>10</v>
      </c>
      <c r="Q2588" s="14">
        <v>46308</v>
      </c>
      <c r="R2588" s="15">
        <v>490</v>
      </c>
    </row>
    <row r="2589" spans="2:18" x14ac:dyDescent="0.35">
      <c r="B2589" s="9">
        <v>2491</v>
      </c>
      <c r="C2589" s="9" t="str">
        <v>출고재고</v>
      </c>
      <c r="D2589" s="9" t="str">
        <v/>
      </c>
      <c r="E2589" s="9" t="str">
        <v/>
      </c>
      <c r="F2589" s="9" t="str">
        <v/>
      </c>
      <c r="G2589" s="9" t="str">
        <v/>
      </c>
      <c r="H2589" s="9" t="str">
        <v>RA-03M-0063</v>
      </c>
      <c r="I2589" s="11" t="str">
        <v>RA-03M-0063]GUIDE PIN 2</v>
      </c>
      <c r="J2589" s="9">
        <v>642</v>
      </c>
      <c r="K2589" s="9" t="str">
        <v/>
      </c>
      <c r="L2589" s="9" t="str">
        <v>B1-2</v>
      </c>
      <c r="M2589" s="12">
        <v>46301</v>
      </c>
      <c r="N2589" s="5" t="str">
        <v/>
      </c>
      <c r="O2589" s="5">
        <v>103233</v>
      </c>
      <c r="P2589" s="5">
        <v>20</v>
      </c>
      <c r="Q2589" s="14">
        <v>46308</v>
      </c>
      <c r="R2589" s="15">
        <v>622</v>
      </c>
    </row>
    <row r="2590" spans="2:18" x14ac:dyDescent="0.35">
      <c r="B2590" s="9">
        <v>2203</v>
      </c>
      <c r="C2590" s="9" t="str">
        <v>출고재고</v>
      </c>
      <c r="D2590" s="9" t="str">
        <v/>
      </c>
      <c r="E2590" s="9" t="str">
        <v/>
      </c>
      <c r="F2590" s="9" t="str">
        <v/>
      </c>
      <c r="G2590" s="9" t="str">
        <v/>
      </c>
      <c r="H2590" s="9" t="str">
        <v>RA-09A-1940</v>
      </c>
      <c r="I2590" s="11" t="str">
        <v>RA-09A-1940]ASM REMOTE(α)</v>
      </c>
      <c r="J2590" s="9">
        <v>65</v>
      </c>
      <c r="K2590" s="9" t="str">
        <v/>
      </c>
      <c r="L2590" s="9" t="str">
        <v>A13-1</v>
      </c>
      <c r="M2590" s="12">
        <v>46294</v>
      </c>
      <c r="N2590" s="5" t="str">
        <v/>
      </c>
      <c r="O2590" s="5">
        <v>103699</v>
      </c>
      <c r="P2590" s="5">
        <v>5</v>
      </c>
      <c r="Q2590" s="14">
        <v>46303</v>
      </c>
      <c r="R2590" s="15">
        <v>60</v>
      </c>
    </row>
    <row r="2591" spans="2:18" x14ac:dyDescent="0.35">
      <c r="B2591" s="9">
        <v>2217</v>
      </c>
      <c r="C2591" s="9" t="str">
        <v>출고재고</v>
      </c>
      <c r="D2591" s="9" t="str">
        <v/>
      </c>
      <c r="E2591" s="9" t="str">
        <v/>
      </c>
      <c r="F2591" s="9" t="str">
        <v/>
      </c>
      <c r="G2591" s="9" t="str">
        <v/>
      </c>
      <c r="H2591" s="9" t="str">
        <v>RA-04T-1707</v>
      </c>
      <c r="I2591" s="11" t="str">
        <v>RA-04T-1707]CAS MONITOR DECO</v>
      </c>
      <c r="J2591" s="9">
        <v>246</v>
      </c>
      <c r="K2591" s="9" t="str">
        <v/>
      </c>
      <c r="L2591" s="9" t="str">
        <v>R</v>
      </c>
      <c r="M2591" s="12">
        <v>46294</v>
      </c>
      <c r="N2591" s="5" t="str">
        <v/>
      </c>
      <c r="O2591" s="5">
        <v>103703</v>
      </c>
      <c r="P2591" s="5">
        <v>30</v>
      </c>
      <c r="Q2591" s="14">
        <v>46302</v>
      </c>
      <c r="R2591" s="15">
        <v>216</v>
      </c>
    </row>
    <row r="2592" spans="2:18" x14ac:dyDescent="0.35">
      <c r="B2592" s="9">
        <v>1944</v>
      </c>
      <c r="C2592" s="9" t="str">
        <v>출고재고</v>
      </c>
      <c r="D2592" s="9" t="str">
        <v/>
      </c>
      <c r="E2592" s="9" t="str">
        <v>입고</v>
      </c>
      <c r="F2592" s="9" t="str">
        <v>하이크로봇</v>
      </c>
      <c r="G2592" s="9" t="str">
        <v>장동은</v>
      </c>
      <c r="H2592" s="9" t="str">
        <v>RF-01S-5085</v>
      </c>
      <c r="I2592" s="11" t="str">
        <v>RF-01S-5085]FACE CAM</v>
      </c>
      <c r="J2592" s="9">
        <v>12</v>
      </c>
      <c r="K2592" s="9" t="str">
        <v/>
      </c>
      <c r="L2592" s="9" t="str">
        <v>3F9</v>
      </c>
      <c r="M2592" s="12">
        <v>46301</v>
      </c>
      <c r="N2592" s="5" t="str">
        <v/>
      </c>
      <c r="O2592" s="5">
        <v>103708</v>
      </c>
      <c r="P2592" s="5">
        <v>10</v>
      </c>
      <c r="Q2592" s="14">
        <v>46302</v>
      </c>
      <c r="R2592" s="15">
        <v>2</v>
      </c>
    </row>
    <row r="2593" spans="2:18" x14ac:dyDescent="0.35">
      <c r="B2593" s="9">
        <v>2149</v>
      </c>
      <c r="C2593" s="9" t="str">
        <v>출고재고</v>
      </c>
      <c r="D2593" s="9" t="str">
        <v/>
      </c>
      <c r="E2593" s="9" t="str">
        <v/>
      </c>
      <c r="F2593" s="9" t="str">
        <v/>
      </c>
      <c r="G2593" s="9" t="str">
        <v/>
      </c>
      <c r="H2593" s="9" t="str">
        <v>RA-02S-2278</v>
      </c>
      <c r="I2593" s="11" t="str">
        <v>RA-02S-2278]TIMMING BELT</v>
      </c>
      <c r="J2593" s="9">
        <v>255</v>
      </c>
      <c r="K2593" s="9" t="str">
        <v/>
      </c>
      <c r="L2593" s="9" t="str">
        <v>C3-1</v>
      </c>
      <c r="M2593" s="12">
        <v>46293</v>
      </c>
      <c r="N2593" s="5" t="str">
        <v/>
      </c>
      <c r="O2593" s="5">
        <v>103708</v>
      </c>
      <c r="P2593" s="5">
        <v>30</v>
      </c>
      <c r="Q2593" s="14">
        <v>46302</v>
      </c>
      <c r="R2593" s="15">
        <v>225</v>
      </c>
    </row>
    <row r="2594" spans="2:18" x14ac:dyDescent="0.35">
      <c r="B2594" s="9">
        <v>1930</v>
      </c>
      <c r="C2594" s="9" t="str">
        <v>출고재고</v>
      </c>
      <c r="D2594" s="9" t="str">
        <v/>
      </c>
      <c r="E2594" s="9" t="str">
        <v/>
      </c>
      <c r="F2594" s="9" t="str">
        <v/>
      </c>
      <c r="G2594" s="9" t="str">
        <v/>
      </c>
      <c r="H2594" s="9" t="str">
        <v>RA-1-8B</v>
      </c>
      <c r="I2594" s="11" t="str">
        <v>RA-1-8B]AC POWER PFC CONNECT</v>
      </c>
      <c r="J2594" s="9">
        <v>342</v>
      </c>
      <c r="K2594" s="9" t="str">
        <v/>
      </c>
      <c r="L2594" s="9" t="str">
        <v>G3-1</v>
      </c>
      <c r="M2594" s="12">
        <v>46295</v>
      </c>
      <c r="N2594" s="5" t="str">
        <v/>
      </c>
      <c r="O2594" s="5">
        <v>103712</v>
      </c>
      <c r="P2594" s="5">
        <v>70</v>
      </c>
      <c r="Q2594" s="14">
        <v>46303</v>
      </c>
      <c r="R2594" s="15">
        <v>272</v>
      </c>
    </row>
    <row r="2595" spans="2:18" x14ac:dyDescent="0.35">
      <c r="B2595" s="9">
        <v>1933</v>
      </c>
      <c r="C2595" s="9" t="str">
        <v>출고재고</v>
      </c>
      <c r="D2595" s="9" t="str">
        <v/>
      </c>
      <c r="E2595" s="9" t="str">
        <v/>
      </c>
      <c r="F2595" s="9" t="str">
        <v/>
      </c>
      <c r="G2595" s="9" t="str">
        <v/>
      </c>
      <c r="H2595" s="9" t="str">
        <v>RA-5-5</v>
      </c>
      <c r="I2595" s="11" t="str">
        <v>RA-5-5]EARTH ROT TO PFC</v>
      </c>
      <c r="J2595" s="9">
        <v>476</v>
      </c>
      <c r="K2595" s="9" t="str">
        <v/>
      </c>
      <c r="L2595" s="9" t="str">
        <v>G3-2</v>
      </c>
      <c r="M2595" s="12">
        <v>46295</v>
      </c>
      <c r="N2595" s="5" t="str">
        <v/>
      </c>
      <c r="O2595" s="5">
        <v>103712</v>
      </c>
      <c r="P2595" s="5">
        <v>70</v>
      </c>
      <c r="Q2595" s="14">
        <v>46303</v>
      </c>
      <c r="R2595" s="15">
        <v>406</v>
      </c>
    </row>
    <row r="2596" spans="2:18" x14ac:dyDescent="0.35">
      <c r="B2596" s="9">
        <v>2285</v>
      </c>
      <c r="C2596" s="9" t="str">
        <v>출고재고</v>
      </c>
      <c r="D2596" s="9" t="str">
        <v/>
      </c>
      <c r="E2596" s="9" t="str">
        <v>입고</v>
      </c>
      <c r="F2596" s="9" t="str">
        <v>다유</v>
      </c>
      <c r="G2596" s="9" t="str">
        <v>유영국</v>
      </c>
      <c r="H2596" s="9" t="str">
        <v>RA-03V-0062</v>
      </c>
      <c r="I2596" s="11" t="str">
        <v>RA-03V-0062]PLT CLMN BODY (LWR)</v>
      </c>
      <c r="J2596" s="9">
        <v>50</v>
      </c>
      <c r="K2596" s="9" t="str">
        <v/>
      </c>
      <c r="L2596" s="9" t="str">
        <v>3G</v>
      </c>
      <c r="M2596" s="12">
        <v>46287</v>
      </c>
      <c r="N2596" s="5" t="str">
        <v/>
      </c>
      <c r="O2596" s="5">
        <v>103718</v>
      </c>
      <c r="P2596" s="5">
        <v>50</v>
      </c>
      <c r="Q2596" s="14">
        <v>46302</v>
      </c>
      <c r="R2596" s="15">
        <v>0</v>
      </c>
    </row>
    <row r="2597" spans="2:18" x14ac:dyDescent="0.35">
      <c r="B2597" s="9">
        <v>1838</v>
      </c>
      <c r="C2597" s="9" t="str">
        <v>출고재고</v>
      </c>
      <c r="D2597" s="9" t="str">
        <v/>
      </c>
      <c r="E2597" s="9" t="str">
        <v/>
      </c>
      <c r="F2597" s="9" t="str">
        <v/>
      </c>
      <c r="G2597" s="9" t="str">
        <v/>
      </c>
      <c r="H2597" s="9" t="str">
        <v>RA-06M-0520</v>
      </c>
      <c r="I2597" s="11" t="str">
        <v>RA-06M-0520]HEATSINK</v>
      </c>
      <c r="J2597" s="9">
        <v>45</v>
      </c>
      <c r="K2597" s="9" t="str">
        <v/>
      </c>
      <c r="L2597" s="9" t="str">
        <v>M1</v>
      </c>
      <c r="M2597" s="12">
        <v>46295</v>
      </c>
      <c r="N2597" s="5" t="str">
        <v/>
      </c>
      <c r="O2597" s="5">
        <v>103724</v>
      </c>
      <c r="P2597" s="5">
        <v>17</v>
      </c>
      <c r="Q2597" s="14">
        <v>46303</v>
      </c>
      <c r="R2597" s="15">
        <v>28</v>
      </c>
    </row>
    <row r="2598" spans="2:18" x14ac:dyDescent="0.35">
      <c r="B2598" s="9">
        <v>2126</v>
      </c>
      <c r="C2598" s="9" t="str">
        <v>출고재고</v>
      </c>
      <c r="D2598" s="9" t="str">
        <v/>
      </c>
      <c r="E2598" s="9" t="str">
        <v/>
      </c>
      <c r="F2598" s="9" t="str">
        <v/>
      </c>
      <c r="G2598" s="9" t="str">
        <v/>
      </c>
      <c r="H2598" s="9" t="str">
        <v>RA-02A-2008</v>
      </c>
      <c r="I2598" s="11" t="str">
        <v>RA-02A-2008]ASM B-Ring ROT Mdl (A+)</v>
      </c>
      <c r="J2598" s="9">
        <v>406</v>
      </c>
      <c r="K2598" s="9" t="str">
        <v/>
      </c>
      <c r="L2598" s="9" t="str">
        <v>O3</v>
      </c>
      <c r="M2598" s="12">
        <v>46293</v>
      </c>
      <c r="N2598" s="5" t="str">
        <v/>
      </c>
      <c r="O2598" s="5">
        <v>103965</v>
      </c>
      <c r="P2598" s="5">
        <v>10</v>
      </c>
      <c r="Q2598" s="14">
        <v>46303</v>
      </c>
      <c r="R2598" s="15">
        <v>396</v>
      </c>
    </row>
    <row r="2599" spans="2:18" x14ac:dyDescent="0.35">
      <c r="B2599" s="9">
        <v>2106</v>
      </c>
      <c r="C2599" s="9" t="str">
        <v>출고재고</v>
      </c>
      <c r="D2599" s="9" t="str">
        <v/>
      </c>
      <c r="E2599" s="9" t="str">
        <v/>
      </c>
      <c r="F2599" s="9" t="str">
        <v/>
      </c>
      <c r="G2599" s="9" t="str">
        <v/>
      </c>
      <c r="H2599" s="9" t="str">
        <v>RE-02B-5105</v>
      </c>
      <c r="I2599" s="11" t="str">
        <v>RE-02B-5105]eINDICATOR Bd</v>
      </c>
      <c r="J2599" s="9">
        <v>66</v>
      </c>
      <c r="K2599" s="9" t="str">
        <v/>
      </c>
      <c r="L2599" s="9" t="str">
        <v>K6-3</v>
      </c>
      <c r="M2599" s="12">
        <v>46283</v>
      </c>
      <c r="N2599" s="5" t="str">
        <v/>
      </c>
      <c r="O2599" s="5">
        <v>103971</v>
      </c>
      <c r="P2599" s="5">
        <v>4</v>
      </c>
      <c r="Q2599" s="14">
        <v>46303</v>
      </c>
      <c r="R2599" s="15">
        <v>62</v>
      </c>
    </row>
    <row r="2600" spans="2:18" x14ac:dyDescent="0.35">
      <c r="B2600" s="9">
        <v>1956</v>
      </c>
      <c r="C2600" s="9" t="str">
        <v>출고재고</v>
      </c>
      <c r="D2600" s="9" t="str">
        <v/>
      </c>
      <c r="E2600" s="9" t="str">
        <v>입고</v>
      </c>
      <c r="F2600" s="9" t="str">
        <v>A&amp;T</v>
      </c>
      <c r="G2600" s="9" t="str">
        <v>장동은</v>
      </c>
      <c r="H2600" s="9" t="str">
        <v>RA-05A-2721</v>
      </c>
      <c r="I2600" s="11" t="str">
        <v>ASM ROTATOR</v>
      </c>
      <c r="J2600" s="9">
        <v>18</v>
      </c>
      <c r="K2600" s="9" t="str">
        <v/>
      </c>
      <c r="L2600" s="9" t="str">
        <v>T</v>
      </c>
      <c r="M2600" s="12">
        <v>46296</v>
      </c>
      <c r="N2600" s="5" t="str">
        <v/>
      </c>
      <c r="O2600" s="5">
        <v>104212</v>
      </c>
      <c r="P2600" s="5">
        <v>18</v>
      </c>
      <c r="Q2600" s="14">
        <v>46303</v>
      </c>
      <c r="R2600" s="15">
        <v>0</v>
      </c>
    </row>
    <row r="2601" spans="2:18" x14ac:dyDescent="0.35">
      <c r="B2601" s="9">
        <v>1976</v>
      </c>
      <c r="C2601" s="9" t="str">
        <v>출고재고</v>
      </c>
      <c r="D2601" s="9" t="str">
        <v/>
      </c>
      <c r="E2601" s="9" t="str">
        <v>입고</v>
      </c>
      <c r="F2601" s="9" t="str">
        <v>A&amp;T</v>
      </c>
      <c r="G2601" s="9" t="str">
        <v>장동은</v>
      </c>
      <c r="H2601" s="9" t="str">
        <v>RA-05A-2721</v>
      </c>
      <c r="I2601" s="11" t="str">
        <v>ASM ROTATOR</v>
      </c>
      <c r="J2601" s="9">
        <v>58</v>
      </c>
      <c r="K2601" s="9" t="str">
        <v/>
      </c>
      <c r="L2601" s="9" t="str">
        <v>T</v>
      </c>
      <c r="M2601" s="12">
        <v>46301</v>
      </c>
      <c r="N2601" s="5" t="str">
        <v/>
      </c>
      <c r="O2601" s="5">
        <v>104212</v>
      </c>
      <c r="P2601" s="5">
        <v>58</v>
      </c>
      <c r="Q2601" s="14">
        <v>46303</v>
      </c>
      <c r="R2601" s="15">
        <v>0</v>
      </c>
    </row>
    <row r="2602" spans="2:18" x14ac:dyDescent="0.35">
      <c r="B2602" s="9">
        <v>2615</v>
      </c>
      <c r="C2602" s="9" t="str">
        <v>출고재고</v>
      </c>
      <c r="D2602" s="9" t="str">
        <v/>
      </c>
      <c r="E2602" s="9" t="str">
        <v/>
      </c>
      <c r="F2602" s="9" t="str">
        <v/>
      </c>
      <c r="G2602" s="9" t="str">
        <v/>
      </c>
      <c r="H2602" s="9" t="str">
        <v>RE-02B-5105</v>
      </c>
      <c r="I2602" s="11" t="str">
        <v>RE-02B-5105]eINDICATOR Bd</v>
      </c>
      <c r="J2602" s="9">
        <v>22</v>
      </c>
      <c r="K2602" s="9" t="str">
        <v/>
      </c>
      <c r="L2602" s="9" t="str">
        <v>K6-3</v>
      </c>
      <c r="M2602" s="12">
        <v>46307</v>
      </c>
      <c r="N2602" s="5" t="str">
        <v/>
      </c>
      <c r="O2602" s="5">
        <v>104224</v>
      </c>
      <c r="P2602" s="5">
        <v>2</v>
      </c>
      <c r="Q2602" s="14">
        <v>46307</v>
      </c>
      <c r="R2602" s="15">
        <v>20</v>
      </c>
    </row>
    <row r="2603" spans="2:18" x14ac:dyDescent="0.35">
      <c r="B2603" s="9">
        <v>2565</v>
      </c>
      <c r="C2603" s="9" t="str">
        <v>출고재고</v>
      </c>
      <c r="D2603" s="9" t="str">
        <v/>
      </c>
      <c r="E2603" s="9" t="str">
        <v/>
      </c>
      <c r="F2603" s="9" t="str">
        <v/>
      </c>
      <c r="G2603" s="9" t="str">
        <v/>
      </c>
      <c r="H2603" s="9" t="str">
        <v>RE-04T-0440</v>
      </c>
      <c r="I2603" s="11" t="str">
        <v>RE-04T-0440]CAP HEADREST KNOB</v>
      </c>
      <c r="J2603" s="9">
        <v>246</v>
      </c>
      <c r="K2603" s="9" t="str">
        <v/>
      </c>
      <c r="L2603" s="9" t="str">
        <v>3L14-2</v>
      </c>
      <c r="M2603" s="12">
        <v>46307</v>
      </c>
      <c r="N2603" s="5" t="str">
        <v/>
      </c>
      <c r="O2603" s="5">
        <v>104753</v>
      </c>
      <c r="P2603" s="5">
        <v>4</v>
      </c>
      <c r="Q2603" s="14">
        <v>46307</v>
      </c>
      <c r="R2603" s="15">
        <v>242</v>
      </c>
    </row>
    <row r="2604" spans="2:18" x14ac:dyDescent="0.35">
      <c r="B2604" s="9">
        <v>2567</v>
      </c>
      <c r="C2604" s="9" t="str">
        <v>출고재고</v>
      </c>
      <c r="D2604" s="9" t="str">
        <v/>
      </c>
      <c r="E2604" s="9" t="str">
        <v/>
      </c>
      <c r="F2604" s="9" t="str">
        <v/>
      </c>
      <c r="G2604" s="9" t="str">
        <v/>
      </c>
      <c r="H2604" s="9" t="str">
        <v>RE-09T-0902</v>
      </c>
      <c r="I2604" s="11" t="str">
        <v>RE-09T-0902]CAS CHINREST LOW</v>
      </c>
      <c r="J2604" s="9">
        <v>48</v>
      </c>
      <c r="K2604" s="9" t="str">
        <v/>
      </c>
      <c r="L2604" s="9" t="str">
        <v>3A-22</v>
      </c>
      <c r="M2604" s="12">
        <v>46307</v>
      </c>
      <c r="N2604" s="5" t="str">
        <v/>
      </c>
      <c r="O2604" s="5">
        <v>104753</v>
      </c>
      <c r="P2604" s="5">
        <v>4</v>
      </c>
      <c r="Q2604" s="14">
        <v>46307</v>
      </c>
      <c r="R2604" s="15">
        <v>44</v>
      </c>
    </row>
    <row r="2605" spans="2:18" x14ac:dyDescent="0.35">
      <c r="B2605" s="9">
        <v>2557</v>
      </c>
      <c r="C2605" s="9" t="str">
        <v>출고재고</v>
      </c>
      <c r="D2605" s="9" t="str">
        <v/>
      </c>
      <c r="E2605" s="9" t="str">
        <v/>
      </c>
      <c r="F2605" s="9" t="str">
        <v/>
      </c>
      <c r="G2605" s="9" t="str">
        <v/>
      </c>
      <c r="H2605" s="9" t="str">
        <v>RE-09T-0904</v>
      </c>
      <c r="I2605" s="11" t="str">
        <v>RE-09T-0904]CAS TMJREST</v>
      </c>
      <c r="J2605" s="9">
        <v>15</v>
      </c>
      <c r="K2605" s="9" t="str">
        <v/>
      </c>
      <c r="L2605" s="9" t="str">
        <v>3A-22</v>
      </c>
      <c r="M2605" s="12">
        <v>46307</v>
      </c>
      <c r="N2605" s="5" t="str">
        <v/>
      </c>
      <c r="O2605" s="5">
        <v>104753</v>
      </c>
      <c r="P2605" s="5">
        <v>6</v>
      </c>
      <c r="Q2605" s="14">
        <v>46307</v>
      </c>
      <c r="R2605" s="15">
        <v>9</v>
      </c>
    </row>
    <row r="2606" spans="2:18" x14ac:dyDescent="0.35">
      <c r="B2606" s="9">
        <v>1727</v>
      </c>
      <c r="C2606" s="9" t="str">
        <v>출고재고</v>
      </c>
      <c r="D2606" s="9" t="str">
        <v/>
      </c>
      <c r="E2606" s="9" t="str">
        <v/>
      </c>
      <c r="F2606" s="9" t="str">
        <v/>
      </c>
      <c r="G2606" s="9" t="str">
        <v/>
      </c>
      <c r="H2606" s="9" t="str">
        <v>RE-04T-0419</v>
      </c>
      <c r="I2606" s="11" t="str">
        <v>RE-04T-0419]CAS HANDLE REAR</v>
      </c>
      <c r="J2606" s="9">
        <v>34</v>
      </c>
      <c r="K2606" s="9" t="str">
        <v/>
      </c>
      <c r="L2606" s="9" t="str">
        <v>3A-20</v>
      </c>
      <c r="M2606" s="12">
        <v>46288</v>
      </c>
      <c r="N2606" s="5" t="str">
        <v/>
      </c>
      <c r="O2606" s="5">
        <v>104753</v>
      </c>
      <c r="P2606" s="5">
        <v>6</v>
      </c>
      <c r="Q2606" s="14">
        <v>46307</v>
      </c>
      <c r="R2606" s="15">
        <v>28</v>
      </c>
    </row>
    <row r="2607" spans="2:18" x14ac:dyDescent="0.35">
      <c r="B2607" s="9">
        <v>1726</v>
      </c>
      <c r="C2607" s="9" t="str">
        <v>출고재고</v>
      </c>
      <c r="D2607" s="9" t="str">
        <v/>
      </c>
      <c r="E2607" s="9" t="str">
        <v/>
      </c>
      <c r="F2607" s="9" t="str">
        <v/>
      </c>
      <c r="G2607" s="9" t="str">
        <v/>
      </c>
      <c r="H2607" s="9" t="str">
        <v>RE-04T-0416</v>
      </c>
      <c r="I2607" s="11" t="str">
        <v>RE-04T-0416]CAS HANDLE FRONT</v>
      </c>
      <c r="J2607" s="9">
        <v>34</v>
      </c>
      <c r="K2607" s="9" t="str">
        <v/>
      </c>
      <c r="L2607" s="9" t="str">
        <v>3A-20</v>
      </c>
      <c r="M2607" s="12">
        <v>46288</v>
      </c>
      <c r="N2607" s="5" t="str">
        <v/>
      </c>
      <c r="O2607" s="5">
        <v>104753</v>
      </c>
      <c r="P2607" s="5">
        <v>6</v>
      </c>
      <c r="Q2607" s="14">
        <v>46307</v>
      </c>
      <c r="R2607" s="15">
        <v>28</v>
      </c>
    </row>
    <row r="2608" spans="2:18" x14ac:dyDescent="0.35">
      <c r="B2608" s="9">
        <v>1725</v>
      </c>
      <c r="C2608" s="9" t="str">
        <v>출고재고</v>
      </c>
      <c r="D2608" s="9" t="str">
        <v/>
      </c>
      <c r="E2608" s="9" t="str">
        <v/>
      </c>
      <c r="F2608" s="9" t="str">
        <v/>
      </c>
      <c r="G2608" s="9" t="str">
        <v/>
      </c>
      <c r="H2608" s="9" t="str">
        <v>RE-04V-0418</v>
      </c>
      <c r="I2608" s="11" t="str">
        <v>RE-04V-0418]PLT HANDLE REAR</v>
      </c>
      <c r="J2608" s="9">
        <v>198</v>
      </c>
      <c r="K2608" s="9" t="str">
        <v/>
      </c>
      <c r="L2608" s="9" t="str">
        <v xml:space="preserve">4F  </v>
      </c>
      <c r="M2608" s="12">
        <v>46288</v>
      </c>
      <c r="N2608" s="5" t="str">
        <v/>
      </c>
      <c r="O2608" s="5">
        <v>104753</v>
      </c>
      <c r="P2608" s="5">
        <v>6</v>
      </c>
      <c r="Q2608" s="14">
        <v>46307</v>
      </c>
      <c r="R2608" s="15">
        <v>192</v>
      </c>
    </row>
    <row r="2609" spans="2:18" x14ac:dyDescent="0.35">
      <c r="B2609" s="9">
        <v>1724</v>
      </c>
      <c r="C2609" s="9" t="str">
        <v>출고재고</v>
      </c>
      <c r="D2609" s="9" t="str">
        <v/>
      </c>
      <c r="E2609" s="9" t="str">
        <v/>
      </c>
      <c r="F2609" s="9" t="str">
        <v/>
      </c>
      <c r="G2609" s="9" t="str">
        <v/>
      </c>
      <c r="H2609" s="9" t="str">
        <v>RE-04V-0417</v>
      </c>
      <c r="I2609" s="11" t="str">
        <v>RE-04V-0417]PLT HANDLE FRONT</v>
      </c>
      <c r="J2609" s="9">
        <v>198</v>
      </c>
      <c r="K2609" s="9" t="str">
        <v/>
      </c>
      <c r="L2609" s="9" t="str">
        <v xml:space="preserve">4F  </v>
      </c>
      <c r="M2609" s="12">
        <v>46288</v>
      </c>
      <c r="N2609" s="5" t="str">
        <v/>
      </c>
      <c r="O2609" s="5">
        <v>104753</v>
      </c>
      <c r="P2609" s="5">
        <v>6</v>
      </c>
      <c r="Q2609" s="14">
        <v>46307</v>
      </c>
      <c r="R2609" s="15">
        <v>192</v>
      </c>
    </row>
    <row r="2610" spans="2:18" x14ac:dyDescent="0.35">
      <c r="B2610" s="9">
        <v>1723</v>
      </c>
      <c r="C2610" s="9" t="str">
        <v>출고재고</v>
      </c>
      <c r="D2610" s="9" t="str">
        <v/>
      </c>
      <c r="E2610" s="9" t="str">
        <v/>
      </c>
      <c r="F2610" s="9" t="str">
        <v/>
      </c>
      <c r="G2610" s="9" t="str">
        <v/>
      </c>
      <c r="H2610" s="9" t="str">
        <v>RE-03T-0309</v>
      </c>
      <c r="I2610" s="11" t="str">
        <v>RE-03T-0309]CAS CLMN DECO</v>
      </c>
      <c r="J2610" s="9">
        <v>6</v>
      </c>
      <c r="K2610" s="9" t="str">
        <v/>
      </c>
      <c r="L2610" s="9" t="str">
        <v>3A-21</v>
      </c>
      <c r="M2610" s="12">
        <v>46288</v>
      </c>
      <c r="N2610" s="5" t="str">
        <v/>
      </c>
      <c r="O2610" s="5">
        <v>104753</v>
      </c>
      <c r="P2610" s="5">
        <v>6</v>
      </c>
      <c r="Q2610" s="14">
        <v>46307</v>
      </c>
      <c r="R2610" s="15">
        <v>0</v>
      </c>
    </row>
    <row r="2611" spans="2:18" x14ac:dyDescent="0.35">
      <c r="B2611" s="9">
        <v>2568</v>
      </c>
      <c r="C2611" s="9" t="str">
        <v>출고재고</v>
      </c>
      <c r="D2611" s="9" t="str">
        <v/>
      </c>
      <c r="E2611" s="9" t="str">
        <v/>
      </c>
      <c r="F2611" s="9" t="str">
        <v/>
      </c>
      <c r="G2611" s="9" t="str">
        <v/>
      </c>
      <c r="H2611" s="9" t="str">
        <v>RE-09T-0901</v>
      </c>
      <c r="I2611" s="11" t="str">
        <v>RE-09T-0901]CAS CHINREST</v>
      </c>
      <c r="J2611" s="9">
        <v>41</v>
      </c>
      <c r="K2611" s="9" t="str">
        <v/>
      </c>
      <c r="L2611" s="9" t="str">
        <v>3A-22</v>
      </c>
      <c r="M2611" s="12">
        <v>46307</v>
      </c>
      <c r="N2611" s="5" t="str">
        <v/>
      </c>
      <c r="O2611" s="5">
        <v>104753</v>
      </c>
      <c r="P2611" s="5">
        <v>6</v>
      </c>
      <c r="Q2611" s="14">
        <v>46307</v>
      </c>
      <c r="R2611" s="15">
        <v>35</v>
      </c>
    </row>
    <row r="2612" spans="2:18" x14ac:dyDescent="0.35">
      <c r="B2612" s="9">
        <v>2556</v>
      </c>
      <c r="C2612" s="9" t="str">
        <v>출고재고</v>
      </c>
      <c r="D2612" s="9" t="str">
        <v/>
      </c>
      <c r="E2612" s="9" t="str">
        <v/>
      </c>
      <c r="F2612" s="9" t="str">
        <v/>
      </c>
      <c r="G2612" s="9" t="str">
        <v/>
      </c>
      <c r="H2612" s="9" t="str">
        <v>RA-09S-0389</v>
      </c>
      <c r="I2612" s="11" t="str">
        <v>RA-09S-0389]CVR BITE BLK VINYL CVR</v>
      </c>
      <c r="J2612" s="9">
        <v>52</v>
      </c>
      <c r="K2612" s="9" t="str">
        <v/>
      </c>
      <c r="L2612" s="9" t="str">
        <v>L1-1</v>
      </c>
      <c r="M2612" s="12">
        <v>46307</v>
      </c>
      <c r="N2612" s="5" t="str">
        <v/>
      </c>
      <c r="O2612" s="5">
        <v>104753</v>
      </c>
      <c r="P2612" s="5">
        <v>8</v>
      </c>
      <c r="Q2612" s="14">
        <v>46307</v>
      </c>
      <c r="R2612" s="15">
        <v>44</v>
      </c>
    </row>
    <row r="2613" spans="2:18" x14ac:dyDescent="0.35">
      <c r="B2613" s="9">
        <v>2079</v>
      </c>
      <c r="C2613" s="9" t="str">
        <v>출고재고</v>
      </c>
      <c r="D2613" s="9" t="str">
        <v/>
      </c>
      <c r="E2613" s="9" t="str">
        <v/>
      </c>
      <c r="F2613" s="9" t="str">
        <v/>
      </c>
      <c r="G2613" s="9" t="str">
        <v/>
      </c>
      <c r="H2613" s="9" t="str">
        <v>RE-09S-0921</v>
      </c>
      <c r="I2613" s="11" t="str">
        <v>RE-09S-0921]STK MAGNET RED</v>
      </c>
      <c r="J2613" s="9">
        <v>155</v>
      </c>
      <c r="K2613" s="9" t="str">
        <v/>
      </c>
      <c r="L2613" s="9" t="str">
        <v>K7-3</v>
      </c>
      <c r="M2613" s="12">
        <v>46288</v>
      </c>
      <c r="N2613" s="5" t="str">
        <v/>
      </c>
      <c r="O2613" s="5">
        <v>104753</v>
      </c>
      <c r="P2613" s="5">
        <v>8</v>
      </c>
      <c r="Q2613" s="14">
        <v>46307</v>
      </c>
      <c r="R2613" s="15">
        <v>147</v>
      </c>
    </row>
    <row r="2614" spans="2:18" x14ac:dyDescent="0.35">
      <c r="B2614" s="9">
        <v>1728</v>
      </c>
      <c r="C2614" s="9" t="str">
        <v>출고재고</v>
      </c>
      <c r="D2614" s="9" t="str">
        <v/>
      </c>
      <c r="E2614" s="9" t="str">
        <v/>
      </c>
      <c r="F2614" s="9" t="str">
        <v/>
      </c>
      <c r="G2614" s="9" t="str">
        <v/>
      </c>
      <c r="H2614" s="9" t="str">
        <v>RE-09T-0905</v>
      </c>
      <c r="I2614" s="11" t="str">
        <v>RE-09T-0905]CAS TEMPLE SUP L</v>
      </c>
      <c r="J2614" s="9">
        <v>46</v>
      </c>
      <c r="K2614" s="9" t="str">
        <v/>
      </c>
      <c r="L2614" s="9" t="str">
        <v>3A-22</v>
      </c>
      <c r="M2614" s="12">
        <v>46288</v>
      </c>
      <c r="N2614" s="5" t="str">
        <v/>
      </c>
      <c r="O2614" s="5">
        <v>104753</v>
      </c>
      <c r="P2614" s="5">
        <v>8</v>
      </c>
      <c r="Q2614" s="14">
        <v>46307</v>
      </c>
      <c r="R2614" s="15">
        <v>38</v>
      </c>
    </row>
    <row r="2615" spans="2:18" x14ac:dyDescent="0.35">
      <c r="B2615" s="9">
        <v>2080</v>
      </c>
      <c r="C2615" s="9" t="str">
        <v>출고재고</v>
      </c>
      <c r="D2615" s="9" t="str">
        <v/>
      </c>
      <c r="E2615" s="9" t="str">
        <v/>
      </c>
      <c r="F2615" s="9" t="str">
        <v/>
      </c>
      <c r="G2615" s="9" t="str">
        <v/>
      </c>
      <c r="H2615" s="9" t="str">
        <v>RE-09S-0922</v>
      </c>
      <c r="I2615" s="11" t="str">
        <v>RE-09S-0922]STK MAGNET BLUE</v>
      </c>
      <c r="J2615" s="9">
        <v>150</v>
      </c>
      <c r="K2615" s="9" t="str">
        <v/>
      </c>
      <c r="L2615" s="9" t="str">
        <v>K7-3</v>
      </c>
      <c r="M2615" s="12">
        <v>46288</v>
      </c>
      <c r="N2615" s="5" t="str">
        <v/>
      </c>
      <c r="O2615" s="5">
        <v>104753</v>
      </c>
      <c r="P2615" s="5">
        <v>8</v>
      </c>
      <c r="Q2615" s="14">
        <v>46307</v>
      </c>
      <c r="R2615" s="15">
        <v>142</v>
      </c>
    </row>
    <row r="2616" spans="2:18" x14ac:dyDescent="0.35">
      <c r="B2616" s="9">
        <v>1730</v>
      </c>
      <c r="C2616" s="9" t="str">
        <v>출고재고</v>
      </c>
      <c r="D2616" s="9" t="str">
        <v/>
      </c>
      <c r="E2616" s="9" t="str">
        <v/>
      </c>
      <c r="F2616" s="9" t="str">
        <v/>
      </c>
      <c r="G2616" s="9" t="str">
        <v/>
      </c>
      <c r="H2616" s="9" t="str">
        <v>RE-09T-0906</v>
      </c>
      <c r="I2616" s="11" t="str">
        <v>RE-09T-0906]CAS TEMPLE SUP R</v>
      </c>
      <c r="J2616" s="9">
        <v>45</v>
      </c>
      <c r="K2616" s="9" t="str">
        <v/>
      </c>
      <c r="L2616" s="9" t="str">
        <v>3A-22</v>
      </c>
      <c r="M2616" s="12">
        <v>46288</v>
      </c>
      <c r="N2616" s="5" t="str">
        <v/>
      </c>
      <c r="O2616" s="5">
        <v>104753</v>
      </c>
      <c r="P2616" s="5">
        <v>8</v>
      </c>
      <c r="Q2616" s="14">
        <v>46307</v>
      </c>
      <c r="R2616" s="15">
        <v>37</v>
      </c>
    </row>
    <row r="2617" spans="2:18" x14ac:dyDescent="0.35">
      <c r="B2617" s="9">
        <v>2548</v>
      </c>
      <c r="C2617" s="9" t="str">
        <v>출고재고</v>
      </c>
      <c r="D2617" s="9" t="str">
        <v/>
      </c>
      <c r="E2617" s="9" t="str">
        <v/>
      </c>
      <c r="F2617" s="9" t="str">
        <v/>
      </c>
      <c r="G2617" s="9" t="str">
        <v/>
      </c>
      <c r="H2617" s="9" t="str">
        <v>RE-09S-0909</v>
      </c>
      <c r="I2617" s="11" t="str">
        <v>RE-09S-0909]STK FOOT</v>
      </c>
      <c r="J2617" s="9">
        <v>8</v>
      </c>
      <c r="K2617" s="9" t="str">
        <v/>
      </c>
      <c r="L2617" s="9" t="str">
        <v>K7-3</v>
      </c>
      <c r="M2617" s="12">
        <v>46307</v>
      </c>
      <c r="N2617" s="5" t="str">
        <v/>
      </c>
      <c r="O2617" s="5">
        <v>104753</v>
      </c>
      <c r="P2617" s="5">
        <v>8</v>
      </c>
      <c r="Q2617" s="14">
        <v>46307</v>
      </c>
      <c r="R2617" s="15">
        <v>0</v>
      </c>
    </row>
    <row r="2618" spans="2:18" x14ac:dyDescent="0.35">
      <c r="B2618" s="9">
        <v>2552</v>
      </c>
      <c r="C2618" s="9" t="str">
        <v>출고재고</v>
      </c>
      <c r="D2618" s="9" t="str">
        <v/>
      </c>
      <c r="E2618" s="9" t="str">
        <v/>
      </c>
      <c r="F2618" s="9" t="str">
        <v/>
      </c>
      <c r="G2618" s="9" t="str">
        <v/>
      </c>
      <c r="H2618" s="9" t="str">
        <v>RE-09S-0908</v>
      </c>
      <c r="I2618" s="11" t="str">
        <v>RE-09S-0908]FOOT STK JIG</v>
      </c>
      <c r="J2618" s="9">
        <v>8</v>
      </c>
      <c r="K2618" s="9" t="str">
        <v/>
      </c>
      <c r="L2618" s="9" t="str">
        <v>K7-3</v>
      </c>
      <c r="M2618" s="12">
        <v>46307</v>
      </c>
      <c r="N2618" s="5" t="str">
        <v/>
      </c>
      <c r="O2618" s="5">
        <v>104753</v>
      </c>
      <c r="P2618" s="5">
        <v>8</v>
      </c>
      <c r="Q2618" s="14">
        <v>46307</v>
      </c>
      <c r="R2618" s="15">
        <v>0</v>
      </c>
    </row>
    <row r="2619" spans="2:18" x14ac:dyDescent="0.35">
      <c r="B2619" s="9">
        <v>2561</v>
      </c>
      <c r="C2619" s="9" t="str">
        <v>출고재고</v>
      </c>
      <c r="D2619" s="9" t="str">
        <v/>
      </c>
      <c r="E2619" s="9" t="str">
        <v/>
      </c>
      <c r="F2619" s="9" t="str">
        <v/>
      </c>
      <c r="G2619" s="9" t="str">
        <v/>
      </c>
      <c r="H2619" s="9" t="str">
        <v>RE-03T-0320</v>
      </c>
      <c r="I2619" s="11" t="str">
        <v/>
      </c>
      <c r="J2619" s="9">
        <v>73</v>
      </c>
      <c r="K2619" s="9" t="str">
        <v/>
      </c>
      <c r="L2619" s="9" t="str">
        <v>3A-14</v>
      </c>
      <c r="M2619" s="12">
        <v>46307</v>
      </c>
      <c r="N2619" s="5" t="str">
        <v/>
      </c>
      <c r="O2619" s="5">
        <v>104753</v>
      </c>
      <c r="P2619" s="5">
        <v>8</v>
      </c>
      <c r="Q2619" s="14">
        <v>46307</v>
      </c>
      <c r="R2619" s="15">
        <v>65</v>
      </c>
    </row>
    <row r="2620" spans="2:18" x14ac:dyDescent="0.35">
      <c r="B2620" s="9">
        <v>2566</v>
      </c>
      <c r="C2620" s="9" t="str">
        <v>출고재고</v>
      </c>
      <c r="D2620" s="9" t="str">
        <v/>
      </c>
      <c r="E2620" s="9" t="str">
        <v/>
      </c>
      <c r="F2620" s="9" t="str">
        <v/>
      </c>
      <c r="G2620" s="9" t="str">
        <v/>
      </c>
      <c r="H2620" s="9" t="str">
        <v>RA-09T-1132</v>
      </c>
      <c r="I2620" s="11" t="str">
        <v>RA-09T-1132]CAS EDENTULOUS GUIDE</v>
      </c>
      <c r="J2620" s="9">
        <v>206</v>
      </c>
      <c r="K2620" s="9" t="str">
        <v/>
      </c>
      <c r="L2620" s="9" t="str">
        <v>3I4</v>
      </c>
      <c r="M2620" s="12">
        <v>46307</v>
      </c>
      <c r="N2620" s="5" t="str">
        <v/>
      </c>
      <c r="O2620" s="5">
        <v>104753</v>
      </c>
      <c r="P2620" s="5">
        <v>8</v>
      </c>
      <c r="Q2620" s="14">
        <v>46307</v>
      </c>
      <c r="R2620" s="15">
        <v>198</v>
      </c>
    </row>
    <row r="2621" spans="2:18" x14ac:dyDescent="0.35">
      <c r="B2621" s="9">
        <v>2551</v>
      </c>
      <c r="C2621" s="9" t="str">
        <v>출고재고</v>
      </c>
      <c r="D2621" s="9" t="str">
        <v/>
      </c>
      <c r="E2621" s="9" t="str">
        <v/>
      </c>
      <c r="F2621" s="9" t="str">
        <v/>
      </c>
      <c r="G2621" s="9" t="str">
        <v/>
      </c>
      <c r="H2621" s="9" t="str">
        <v>RE-03T-0306</v>
      </c>
      <c r="I2621" s="11" t="str">
        <v>RE-03T-0306]CAS CLMN FRONT</v>
      </c>
      <c r="J2621" s="9">
        <v>10</v>
      </c>
      <c r="K2621" s="9" t="str">
        <v/>
      </c>
      <c r="L2621" s="9" t="str">
        <v>3A-11</v>
      </c>
      <c r="M2621" s="12">
        <v>46307</v>
      </c>
      <c r="N2621" s="5" t="str">
        <v/>
      </c>
      <c r="O2621" s="5">
        <v>104753</v>
      </c>
      <c r="P2621" s="5">
        <v>10</v>
      </c>
      <c r="Q2621" s="14">
        <v>46307</v>
      </c>
      <c r="R2621" s="15">
        <v>0</v>
      </c>
    </row>
    <row r="2622" spans="2:18" x14ac:dyDescent="0.35">
      <c r="B2622" s="9">
        <v>2559</v>
      </c>
      <c r="C2622" s="9" t="str">
        <v>출고재고</v>
      </c>
      <c r="D2622" s="9" t="str">
        <v/>
      </c>
      <c r="E2622" s="9" t="str">
        <v/>
      </c>
      <c r="F2622" s="9" t="str">
        <v/>
      </c>
      <c r="G2622" s="9" t="str">
        <v/>
      </c>
      <c r="H2622" s="9" t="str">
        <v>RE-02T-0247</v>
      </c>
      <c r="I2622" s="11" t="str">
        <v>RE-02T-0247]CAS VERT TOP</v>
      </c>
      <c r="J2622" s="9">
        <v>48</v>
      </c>
      <c r="K2622" s="9" t="str">
        <v/>
      </c>
      <c r="L2622" s="9" t="str">
        <v>3A-14</v>
      </c>
      <c r="M2622" s="12">
        <v>46307</v>
      </c>
      <c r="N2622" s="5" t="str">
        <v/>
      </c>
      <c r="O2622" s="5">
        <v>104753</v>
      </c>
      <c r="P2622" s="5">
        <v>10</v>
      </c>
      <c r="Q2622" s="14">
        <v>46307</v>
      </c>
      <c r="R2622" s="15">
        <v>38</v>
      </c>
    </row>
    <row r="2623" spans="2:18" x14ac:dyDescent="0.35">
      <c r="B2623" s="9">
        <v>1735</v>
      </c>
      <c r="C2623" s="9" t="str">
        <v>출고재고</v>
      </c>
      <c r="D2623" s="9" t="str">
        <v/>
      </c>
      <c r="E2623" s="9" t="str">
        <v/>
      </c>
      <c r="F2623" s="9" t="str">
        <v/>
      </c>
      <c r="G2623" s="9" t="str">
        <v/>
      </c>
      <c r="H2623" s="9" t="str">
        <v>RE-09S-0907</v>
      </c>
      <c r="I2623" s="11" t="str">
        <v>RE-09S-0907]MAGNET TEMPLE SUP 15_8</v>
      </c>
      <c r="J2623" s="9">
        <v>10</v>
      </c>
      <c r="K2623" s="9" t="str">
        <v/>
      </c>
      <c r="L2623" s="9" t="str">
        <v>K3-5</v>
      </c>
      <c r="M2623" s="12">
        <v>46288</v>
      </c>
      <c r="N2623" s="5" t="str">
        <v/>
      </c>
      <c r="O2623" s="5">
        <v>104753</v>
      </c>
      <c r="P2623" s="5">
        <v>10</v>
      </c>
      <c r="Q2623" s="14">
        <v>46307</v>
      </c>
      <c r="R2623" s="15">
        <v>0</v>
      </c>
    </row>
    <row r="2624" spans="2:18" x14ac:dyDescent="0.35">
      <c r="B2624" s="9">
        <v>2056</v>
      </c>
      <c r="C2624" s="9" t="str">
        <v>출고재고</v>
      </c>
      <c r="D2624" s="9" t="str">
        <v/>
      </c>
      <c r="E2624" s="9" t="str">
        <v>입고</v>
      </c>
      <c r="F2624" s="9" t="str">
        <v>플랜피뎀</v>
      </c>
      <c r="G2624" s="9" t="str">
        <v>유영국</v>
      </c>
      <c r="H2624" s="9" t="str">
        <v>RE-09S-0907</v>
      </c>
      <c r="I2624" s="11" t="str">
        <v>RE-09S-0907]MAGNET TEMPLE SUP 15_8</v>
      </c>
      <c r="J2624" s="9">
        <v>100</v>
      </c>
      <c r="K2624" s="9" t="str">
        <v/>
      </c>
      <c r="L2624" s="9" t="str">
        <v>K3-5</v>
      </c>
      <c r="M2624" s="12">
        <v>46297</v>
      </c>
      <c r="N2624" s="5" t="str">
        <v/>
      </c>
      <c r="O2624" s="5">
        <v>104753</v>
      </c>
      <c r="P2624" s="5">
        <v>6</v>
      </c>
      <c r="Q2624" s="14">
        <v>46307</v>
      </c>
      <c r="R2624" s="15">
        <v>94</v>
      </c>
    </row>
    <row r="2625" spans="2:18" x14ac:dyDescent="0.35">
      <c r="B2625" s="9">
        <v>2569</v>
      </c>
      <c r="C2625" s="9" t="str">
        <v>출고재고</v>
      </c>
      <c r="D2625" s="9" t="str">
        <v/>
      </c>
      <c r="E2625" s="9" t="str">
        <v/>
      </c>
      <c r="F2625" s="9" t="str">
        <v/>
      </c>
      <c r="G2625" s="9" t="str">
        <v/>
      </c>
      <c r="H2625" s="9" t="str">
        <v>RE-04T-0453</v>
      </c>
      <c r="I2625" s="11" t="str">
        <v>RE-04T-0453]CAP HANDLE B</v>
      </c>
      <c r="J2625" s="9">
        <v>525</v>
      </c>
      <c r="K2625" s="9" t="str">
        <v/>
      </c>
      <c r="L2625" s="9" t="str">
        <v>3L14-2</v>
      </c>
      <c r="M2625" s="12">
        <v>46307</v>
      </c>
      <c r="N2625" s="5" t="str">
        <v/>
      </c>
      <c r="O2625" s="5">
        <v>104753</v>
      </c>
      <c r="P2625" s="5">
        <v>18</v>
      </c>
      <c r="Q2625" s="14">
        <v>46307</v>
      </c>
      <c r="R2625" s="15">
        <v>507</v>
      </c>
    </row>
    <row r="2626" spans="2:18" x14ac:dyDescent="0.35">
      <c r="B2626" s="9">
        <v>2549</v>
      </c>
      <c r="C2626" s="9" t="str">
        <v>출고재고</v>
      </c>
      <c r="D2626" s="9" t="str">
        <v/>
      </c>
      <c r="E2626" s="9" t="str">
        <v/>
      </c>
      <c r="F2626" s="9" t="str">
        <v/>
      </c>
      <c r="G2626" s="9" t="str">
        <v/>
      </c>
      <c r="H2626" s="9" t="str">
        <v>RE-01T-0103</v>
      </c>
      <c r="I2626" s="11" t="str">
        <v>RE-01T-0103]CAS MAIN Bas R</v>
      </c>
      <c r="J2626" s="9">
        <v>20</v>
      </c>
      <c r="K2626" s="9" t="str">
        <v/>
      </c>
      <c r="L2626" s="9" t="str">
        <v>3A-6,3A-7</v>
      </c>
      <c r="M2626" s="12">
        <v>46307</v>
      </c>
      <c r="N2626" s="5" t="str">
        <v/>
      </c>
      <c r="O2626" s="5">
        <v>104753</v>
      </c>
      <c r="P2626" s="5">
        <v>20</v>
      </c>
      <c r="Q2626" s="14">
        <v>46307</v>
      </c>
      <c r="R2626" s="15">
        <v>0</v>
      </c>
    </row>
    <row r="2627" spans="2:18" x14ac:dyDescent="0.35">
      <c r="B2627" s="9">
        <v>2550</v>
      </c>
      <c r="C2627" s="9" t="str">
        <v>출고재고</v>
      </c>
      <c r="D2627" s="9" t="str">
        <v/>
      </c>
      <c r="E2627" s="9" t="str">
        <v/>
      </c>
      <c r="F2627" s="9" t="str">
        <v/>
      </c>
      <c r="G2627" s="9" t="str">
        <v/>
      </c>
      <c r="H2627" s="9" t="str">
        <v>RE-01T-0102</v>
      </c>
      <c r="I2627" s="11" t="str">
        <v>RE-01T-0102]CAS MAIN Bas L</v>
      </c>
      <c r="J2627" s="9">
        <v>20</v>
      </c>
      <c r="K2627" s="9" t="str">
        <v/>
      </c>
      <c r="L2627" s="9" t="str">
        <v>3A-4,3A-5</v>
      </c>
      <c r="M2627" s="12">
        <v>46307</v>
      </c>
      <c r="N2627" s="5" t="str">
        <v/>
      </c>
      <c r="O2627" s="5">
        <v>104753</v>
      </c>
      <c r="P2627" s="5">
        <v>20</v>
      </c>
      <c r="Q2627" s="14">
        <v>46307</v>
      </c>
      <c r="R2627" s="15">
        <v>0</v>
      </c>
    </row>
    <row r="2628" spans="2:18" x14ac:dyDescent="0.35">
      <c r="B2628" s="9">
        <v>2562</v>
      </c>
      <c r="C2628" s="9" t="str">
        <v>출고재고</v>
      </c>
      <c r="D2628" s="9" t="str">
        <v/>
      </c>
      <c r="E2628" s="9" t="str">
        <v/>
      </c>
      <c r="F2628" s="9" t="str">
        <v/>
      </c>
      <c r="G2628" s="9" t="str">
        <v/>
      </c>
      <c r="H2628" s="9" t="str">
        <v>RE-03T-0308</v>
      </c>
      <c r="I2628" s="11" t="str">
        <v>RE-03T-0308]CAS CLMN REAR R</v>
      </c>
      <c r="J2628" s="9">
        <v>3</v>
      </c>
      <c r="K2628" s="9" t="str">
        <v/>
      </c>
      <c r="L2628" s="9" t="str">
        <v>3A-16</v>
      </c>
      <c r="M2628" s="12">
        <v>46307</v>
      </c>
      <c r="N2628" s="5" t="str">
        <v/>
      </c>
      <c r="O2628" s="5">
        <v>104753</v>
      </c>
      <c r="P2628" s="5">
        <v>3</v>
      </c>
      <c r="Q2628" s="14">
        <v>46307</v>
      </c>
      <c r="R2628" s="15">
        <v>0</v>
      </c>
    </row>
    <row r="2629" spans="2:18" x14ac:dyDescent="0.35">
      <c r="B2629" s="9">
        <v>2071</v>
      </c>
      <c r="C2629" s="9" t="str">
        <v>출고재고</v>
      </c>
      <c r="D2629" s="9" t="str">
        <v/>
      </c>
      <c r="E2629" s="9" t="str">
        <v>입고</v>
      </c>
      <c r="F2629" s="9" t="str">
        <v>진광</v>
      </c>
      <c r="G2629" s="9" t="str">
        <v>장동은</v>
      </c>
      <c r="H2629" s="9" t="str">
        <v>RE-03T-0308</v>
      </c>
      <c r="I2629" s="11" t="str">
        <v>RE-03T-0308]CAS CLMN REAR R</v>
      </c>
      <c r="J2629" s="9">
        <v>50</v>
      </c>
      <c r="K2629" s="9" t="str">
        <v/>
      </c>
      <c r="L2629" s="9" t="str">
        <v>3A-16</v>
      </c>
      <c r="M2629" s="12">
        <v>46288</v>
      </c>
      <c r="N2629" s="5" t="str">
        <v/>
      </c>
      <c r="O2629" s="5">
        <v>104753</v>
      </c>
      <c r="P2629" s="5">
        <v>23</v>
      </c>
      <c r="Q2629" s="14">
        <v>46307</v>
      </c>
      <c r="R2629" s="15">
        <v>27</v>
      </c>
    </row>
    <row r="2630" spans="2:18" x14ac:dyDescent="0.35">
      <c r="B2630" s="9">
        <v>2563</v>
      </c>
      <c r="C2630" s="9" t="str">
        <v>출고재고</v>
      </c>
      <c r="D2630" s="9" t="str">
        <v/>
      </c>
      <c r="E2630" s="9" t="str">
        <v/>
      </c>
      <c r="F2630" s="9" t="str">
        <v/>
      </c>
      <c r="G2630" s="9" t="str">
        <v/>
      </c>
      <c r="H2630" s="9" t="str">
        <v>RE-03T-0307</v>
      </c>
      <c r="I2630" s="11" t="str">
        <v>RE-03T-0307]CAS CLMN REAR L</v>
      </c>
      <c r="J2630" s="9">
        <v>136</v>
      </c>
      <c r="K2630" s="9" t="str">
        <v/>
      </c>
      <c r="L2630" s="9" t="str">
        <v>3A-16</v>
      </c>
      <c r="M2630" s="12">
        <v>46307</v>
      </c>
      <c r="N2630" s="5" t="str">
        <v/>
      </c>
      <c r="O2630" s="5">
        <v>104753</v>
      </c>
      <c r="P2630" s="5">
        <v>23</v>
      </c>
      <c r="Q2630" s="14">
        <v>46307</v>
      </c>
      <c r="R2630" s="15">
        <v>113</v>
      </c>
    </row>
    <row r="2631" spans="2:18" x14ac:dyDescent="0.35">
      <c r="B2631" s="9">
        <v>2571</v>
      </c>
      <c r="C2631" s="9" t="str">
        <v>출고재고</v>
      </c>
      <c r="D2631" s="9" t="str">
        <v/>
      </c>
      <c r="E2631" s="9" t="str">
        <v/>
      </c>
      <c r="F2631" s="9" t="str">
        <v/>
      </c>
      <c r="G2631" s="9" t="str">
        <v/>
      </c>
      <c r="H2631" s="9" t="str">
        <v>RA-09T-1183</v>
      </c>
      <c r="I2631" s="11" t="str">
        <v>RA-09T-1183]BLK BITE</v>
      </c>
      <c r="J2631" s="9">
        <v>129</v>
      </c>
      <c r="K2631" s="9" t="str">
        <v/>
      </c>
      <c r="L2631" s="9" t="str">
        <v>3I4</v>
      </c>
      <c r="M2631" s="12">
        <v>46307</v>
      </c>
      <c r="N2631" s="5" t="str">
        <v/>
      </c>
      <c r="O2631" s="5">
        <v>104753</v>
      </c>
      <c r="P2631" s="5">
        <v>30</v>
      </c>
      <c r="Q2631" s="14">
        <v>46307</v>
      </c>
      <c r="R2631" s="15">
        <v>99</v>
      </c>
    </row>
    <row r="2632" spans="2:18" x14ac:dyDescent="0.35">
      <c r="B2632" s="9">
        <v>2554</v>
      </c>
      <c r="C2632" s="9" t="str">
        <v>출고재고</v>
      </c>
      <c r="D2632" s="9" t="str">
        <v/>
      </c>
      <c r="E2632" s="9" t="str">
        <v/>
      </c>
      <c r="F2632" s="9" t="str">
        <v/>
      </c>
      <c r="G2632" s="9" t="str">
        <v/>
      </c>
      <c r="H2632" s="9" t="str">
        <v>RA-09A-0967</v>
      </c>
      <c r="I2632" s="11" t="str">
        <v>RA-09A-0967]ASM EXPOSURE SW</v>
      </c>
      <c r="J2632" s="9">
        <v>240</v>
      </c>
      <c r="K2632" s="9" t="str">
        <v/>
      </c>
      <c r="L2632" s="9" t="str">
        <v>J1-3</v>
      </c>
      <c r="M2632" s="12">
        <v>46307</v>
      </c>
      <c r="N2632" s="5" t="str">
        <v/>
      </c>
      <c r="O2632" s="5">
        <v>104753</v>
      </c>
      <c r="P2632" s="5">
        <v>30</v>
      </c>
      <c r="Q2632" s="14">
        <v>46307</v>
      </c>
      <c r="R2632" s="15">
        <v>210</v>
      </c>
    </row>
    <row r="2633" spans="2:18" x14ac:dyDescent="0.35">
      <c r="B2633" s="9">
        <v>1893</v>
      </c>
      <c r="C2633" s="9" t="str">
        <v>출고재고</v>
      </c>
      <c r="D2633" s="9" t="str">
        <v/>
      </c>
      <c r="E2633" s="9" t="str">
        <v/>
      </c>
      <c r="F2633" s="9" t="str">
        <v/>
      </c>
      <c r="G2633" s="9" t="str">
        <v/>
      </c>
      <c r="H2633" s="9" t="str">
        <v>RA-05V-0186</v>
      </c>
      <c r="I2633" s="11" t="str">
        <v>RA-05V-0186]BRK CAS ROT TOP</v>
      </c>
      <c r="J2633" s="9">
        <v>141</v>
      </c>
      <c r="K2633" s="9" t="str">
        <v/>
      </c>
      <c r="L2633" s="9" t="str">
        <v>W</v>
      </c>
      <c r="M2633" s="12">
        <v>46295</v>
      </c>
      <c r="N2633" s="5" t="str">
        <v/>
      </c>
      <c r="O2633" s="5" t="str">
        <v>사급</v>
      </c>
      <c r="P2633" s="5">
        <v>100</v>
      </c>
      <c r="Q2633" s="14">
        <v>46288</v>
      </c>
      <c r="R2633" s="15">
        <v>41</v>
      </c>
    </row>
    <row r="2634" spans="2:18" x14ac:dyDescent="0.35">
      <c r="B2634" s="9">
        <v>353</v>
      </c>
      <c r="C2634" s="9" t="str">
        <v>출고재고</v>
      </c>
      <c r="D2634" s="9" t="str">
        <v/>
      </c>
      <c r="E2634" s="9" t="str">
        <v>입고</v>
      </c>
      <c r="F2634" s="9" t="str">
        <v/>
      </c>
      <c r="G2634" s="9" t="str">
        <v/>
      </c>
      <c r="H2634" s="9" t="str">
        <v>RF-01T-0160</v>
      </c>
      <c r="I2634" s="11" t="str">
        <v>RF-01T-0160_C]Bas BOT LWR</v>
      </c>
      <c r="J2634" s="9">
        <v>200</v>
      </c>
      <c r="K2634" s="9" t="str">
        <v/>
      </c>
      <c r="L2634" s="9" t="str">
        <v>3B6</v>
      </c>
      <c r="M2634" s="12">
        <v>46234</v>
      </c>
      <c r="N2634" s="5" t="str">
        <v/>
      </c>
      <c r="O2634" s="5" t="str">
        <v>사급</v>
      </c>
      <c r="P2634" s="5">
        <v>200</v>
      </c>
      <c r="Q2634" s="14">
        <v>46234</v>
      </c>
      <c r="R2634" s="15">
        <v>0</v>
      </c>
    </row>
    <row r="2635" spans="2:18" x14ac:dyDescent="0.35">
      <c r="B2635" s="9">
        <v>354</v>
      </c>
      <c r="C2635" s="9" t="str">
        <v>출고재고</v>
      </c>
      <c r="D2635" s="9" t="str">
        <v/>
      </c>
      <c r="E2635" s="9" t="str">
        <v>입고</v>
      </c>
      <c r="F2635" s="9" t="str">
        <v/>
      </c>
      <c r="G2635" s="9" t="str">
        <v/>
      </c>
      <c r="H2635" s="9" t="str">
        <v>RF-01T-0161</v>
      </c>
      <c r="I2635" s="11" t="str">
        <v>RF-01T-0161]Bas BOT UPPER</v>
      </c>
      <c r="J2635" s="9">
        <v>200</v>
      </c>
      <c r="K2635" s="9" t="str">
        <v/>
      </c>
      <c r="L2635" s="9" t="str">
        <v>3B11</v>
      </c>
      <c r="M2635" s="12">
        <v>46234</v>
      </c>
      <c r="N2635" s="5" t="str">
        <v/>
      </c>
      <c r="O2635" s="5" t="str">
        <v>사급</v>
      </c>
      <c r="P2635" s="5">
        <v>200</v>
      </c>
      <c r="Q2635" s="14">
        <v>46234</v>
      </c>
      <c r="R2635" s="15">
        <v>0</v>
      </c>
    </row>
    <row r="2636" spans="2:18" x14ac:dyDescent="0.35">
      <c r="B2636" s="9">
        <v>1098</v>
      </c>
      <c r="C2636" s="9" t="str">
        <v>출고재고</v>
      </c>
      <c r="D2636" s="9" t="str">
        <v/>
      </c>
      <c r="E2636" s="9" t="str">
        <v>기초</v>
      </c>
      <c r="F2636" s="9" t="str">
        <v/>
      </c>
      <c r="G2636" s="9" t="str">
        <v/>
      </c>
      <c r="H2636" s="9" t="str">
        <v>RA-04V-0110</v>
      </c>
      <c r="I2636" s="11" t="str">
        <v>RA-04V-0110]BRK CAS ARM BOT (REAR)</v>
      </c>
      <c r="J2636" s="9">
        <v>2071</v>
      </c>
      <c r="K2636" s="9" t="str">
        <v/>
      </c>
      <c r="L2636" s="9" t="str">
        <v>W</v>
      </c>
      <c r="M2636" s="12">
        <v>46276</v>
      </c>
      <c r="N2636" s="5" t="str">
        <v/>
      </c>
      <c r="O2636" s="5" t="str">
        <v>사급</v>
      </c>
      <c r="P2636" s="5">
        <v>1000</v>
      </c>
      <c r="Q2636" s="14">
        <v>46288</v>
      </c>
      <c r="R2636" s="15">
        <v>1071</v>
      </c>
    </row>
    <row r="2637" spans="2:18" x14ac:dyDescent="0.35">
      <c r="B2637" s="9">
        <v>2686</v>
      </c>
      <c r="C2637" s="9" t="str">
        <v>가용재고</v>
      </c>
      <c r="D2637" s="9" t="str">
        <v/>
      </c>
      <c r="E2637" s="9" t="str">
        <v/>
      </c>
      <c r="F2637" s="9" t="str">
        <v/>
      </c>
      <c r="G2637" s="9" t="str">
        <v/>
      </c>
      <c r="H2637" s="9" t="str">
        <v>RA-3-3B</v>
      </c>
      <c r="I2637" s="11" t="str">
        <v>RA-3-3B]DCM CONTROL-B</v>
      </c>
      <c r="J2637" s="9">
        <v>382</v>
      </c>
      <c r="K2637" s="9" t="str">
        <v/>
      </c>
      <c r="L2637" s="9" t="str">
        <v>G2-1</v>
      </c>
      <c r="M2637" s="12">
        <v>46297</v>
      </c>
      <c r="N2637" s="5" t="str">
        <v/>
      </c>
      <c r="O2637" s="5" t="str">
        <v/>
      </c>
      <c r="P2637" s="5" t="str">
        <v/>
      </c>
      <c r="Q2637" s="14" t="str">
        <v/>
      </c>
      <c r="R2637" s="15">
        <v>382</v>
      </c>
    </row>
    <row r="2638" spans="2:18" x14ac:dyDescent="0.35">
      <c r="B2638" s="9">
        <v>2687</v>
      </c>
      <c r="C2638" s="9" t="str">
        <v>가용재고</v>
      </c>
      <c r="D2638" s="9" t="str">
        <v/>
      </c>
      <c r="E2638" s="9" t="str">
        <v/>
      </c>
      <c r="F2638" s="9" t="str">
        <v/>
      </c>
      <c r="G2638" s="9" t="str">
        <v/>
      </c>
      <c r="H2638" s="9" t="str">
        <v>RA-06M-0432</v>
      </c>
      <c r="I2638" s="11" t="str">
        <v>RA-06M-0432]FLANGE TUBE TILT SHAFT B</v>
      </c>
      <c r="J2638" s="9">
        <v>229</v>
      </c>
      <c r="K2638" s="9" t="str">
        <v/>
      </c>
      <c r="L2638" s="9" t="str">
        <v>H4-1</v>
      </c>
      <c r="M2638" s="12">
        <v>46297</v>
      </c>
      <c r="N2638" s="5" t="str">
        <v/>
      </c>
      <c r="O2638" s="5" t="str">
        <v/>
      </c>
      <c r="P2638" s="5" t="str">
        <v/>
      </c>
      <c r="Q2638" s="14" t="str">
        <v/>
      </c>
      <c r="R2638" s="15">
        <v>229</v>
      </c>
    </row>
    <row r="2639" spans="2:18" x14ac:dyDescent="0.35">
      <c r="B2639" s="9">
        <v>2688</v>
      </c>
      <c r="C2639" s="9" t="str">
        <v>가용재고</v>
      </c>
      <c r="D2639" s="9" t="str">
        <v/>
      </c>
      <c r="E2639" s="9" t="str">
        <v/>
      </c>
      <c r="F2639" s="9" t="str">
        <v/>
      </c>
      <c r="G2639" s="9" t="str">
        <v/>
      </c>
      <c r="H2639" s="9" t="str">
        <v>RA-06V-0241</v>
      </c>
      <c r="I2639" s="11" t="str">
        <v>RA-06V-0241]GUIDE TUBE TILT MICRO SW</v>
      </c>
      <c r="J2639" s="9">
        <v>471</v>
      </c>
      <c r="K2639" s="9" t="str">
        <v/>
      </c>
      <c r="L2639" s="9" t="str">
        <v>H4-3</v>
      </c>
      <c r="M2639" s="12">
        <v>46297</v>
      </c>
      <c r="N2639" s="5" t="str">
        <v/>
      </c>
      <c r="O2639" s="5" t="str">
        <v/>
      </c>
      <c r="P2639" s="5" t="str">
        <v/>
      </c>
      <c r="Q2639" s="14" t="str">
        <v/>
      </c>
      <c r="R2639" s="15">
        <v>471</v>
      </c>
    </row>
    <row r="2640" spans="2:18" x14ac:dyDescent="0.35">
      <c r="B2640" s="9">
        <v>2689</v>
      </c>
      <c r="C2640" s="9" t="str">
        <v>가용재고</v>
      </c>
      <c r="D2640" s="9" t="str">
        <v/>
      </c>
      <c r="E2640" s="9" t="str">
        <v/>
      </c>
      <c r="F2640" s="9" t="str">
        <v/>
      </c>
      <c r="G2640" s="9" t="str">
        <v/>
      </c>
      <c r="H2640" s="9" t="str">
        <v>RA-06V-0242</v>
      </c>
      <c r="I2640" s="11" t="str">
        <v>RA-06V-0242]BRK TUBE TILT MICRO SW</v>
      </c>
      <c r="J2640" s="9">
        <v>287</v>
      </c>
      <c r="K2640" s="9" t="str">
        <v/>
      </c>
      <c r="L2640" s="9" t="str">
        <v>H3-3</v>
      </c>
      <c r="M2640" s="12">
        <v>46297</v>
      </c>
      <c r="N2640" s="5" t="str">
        <v/>
      </c>
      <c r="O2640" s="5" t="str">
        <v/>
      </c>
      <c r="P2640" s="5" t="str">
        <v/>
      </c>
      <c r="Q2640" s="14" t="str">
        <v/>
      </c>
      <c r="R2640" s="15">
        <v>287</v>
      </c>
    </row>
    <row r="2641" spans="2:18" x14ac:dyDescent="0.35">
      <c r="B2641" s="9">
        <v>2690</v>
      </c>
      <c r="C2641" s="9" t="str">
        <v>가용재고</v>
      </c>
      <c r="D2641" s="9" t="str">
        <v/>
      </c>
      <c r="E2641" s="9" t="str">
        <v/>
      </c>
      <c r="F2641" s="9" t="str">
        <v/>
      </c>
      <c r="G2641" s="9" t="str">
        <v/>
      </c>
      <c r="H2641" s="9" t="str">
        <v>RA-06V-0866</v>
      </c>
      <c r="I2641" s="11" t="str">
        <v>RA-06V-0866]BRK TUBE TILT MICRO SW</v>
      </c>
      <c r="J2641" s="9">
        <v>581</v>
      </c>
      <c r="K2641" s="9" t="str">
        <v/>
      </c>
      <c r="L2641" s="9" t="str">
        <v>H3-3</v>
      </c>
      <c r="M2641" s="12">
        <v>46297</v>
      </c>
      <c r="N2641" s="5" t="str">
        <v/>
      </c>
      <c r="O2641" s="5" t="str">
        <v/>
      </c>
      <c r="P2641" s="5" t="str">
        <v/>
      </c>
      <c r="Q2641" s="14" t="str">
        <v/>
      </c>
      <c r="R2641" s="15">
        <v>581</v>
      </c>
    </row>
    <row r="2642" spans="2:18" x14ac:dyDescent="0.35">
      <c r="B2642" s="9">
        <v>2691</v>
      </c>
      <c r="C2642" s="9" t="str">
        <v>가용재고</v>
      </c>
      <c r="D2642" s="9" t="str">
        <v/>
      </c>
      <c r="E2642" s="9" t="str">
        <v/>
      </c>
      <c r="F2642" s="9" t="str">
        <v/>
      </c>
      <c r="G2642" s="9" t="str">
        <v/>
      </c>
      <c r="H2642" s="9" t="str">
        <v>RA-06V-3253</v>
      </c>
      <c r="I2642" s="11" t="str">
        <v>RA-06V-3253]HLDR DC GEARED MOT (M+)</v>
      </c>
      <c r="J2642" s="9">
        <v>339</v>
      </c>
      <c r="K2642" s="9" t="str">
        <v/>
      </c>
      <c r="L2642" s="9" t="str">
        <v>I2-1</v>
      </c>
      <c r="M2642" s="12">
        <v>46297</v>
      </c>
      <c r="N2642" s="5" t="str">
        <v/>
      </c>
      <c r="O2642" s="5" t="str">
        <v/>
      </c>
      <c r="P2642" s="5" t="str">
        <v/>
      </c>
      <c r="Q2642" s="14" t="str">
        <v/>
      </c>
      <c r="R2642" s="15">
        <v>339</v>
      </c>
    </row>
    <row r="2643" spans="2:18" x14ac:dyDescent="0.35">
      <c r="B2643" s="9">
        <v>2692</v>
      </c>
      <c r="C2643" s="9" t="str">
        <v>가용재고</v>
      </c>
      <c r="D2643" s="9" t="str">
        <v/>
      </c>
      <c r="E2643" s="9" t="str">
        <v/>
      </c>
      <c r="F2643" s="9" t="str">
        <v/>
      </c>
      <c r="G2643" s="9" t="str">
        <v/>
      </c>
      <c r="H2643" s="9" t="str">
        <v>RA-06A-5005</v>
      </c>
      <c r="I2643" s="11" t="str">
        <v>RA-06A-5005]Bd ASSY'-DC MOT Bd</v>
      </c>
      <c r="J2643" s="9">
        <v>634</v>
      </c>
      <c r="K2643" s="9" t="str">
        <v/>
      </c>
      <c r="L2643" s="9" t="str">
        <v>A3-2, A3-3</v>
      </c>
      <c r="M2643" s="12">
        <v>46297</v>
      </c>
      <c r="N2643" s="5" t="str">
        <v/>
      </c>
      <c r="O2643" s="5" t="str">
        <v/>
      </c>
      <c r="P2643" s="5" t="str">
        <v/>
      </c>
      <c r="Q2643" s="14" t="str">
        <v/>
      </c>
      <c r="R2643" s="15">
        <v>634</v>
      </c>
    </row>
    <row r="2644" spans="2:18" x14ac:dyDescent="0.35">
      <c r="B2644" s="9">
        <v>2693</v>
      </c>
      <c r="C2644" s="9" t="str">
        <v>가용재고</v>
      </c>
      <c r="D2644" s="9" t="str">
        <v/>
      </c>
      <c r="E2644" s="9" t="str">
        <v/>
      </c>
      <c r="F2644" s="9" t="str">
        <v/>
      </c>
      <c r="G2644" s="9" t="str">
        <v/>
      </c>
      <c r="H2644" s="9" t="str">
        <v>RA-06S-5091</v>
      </c>
      <c r="I2644" s="11" t="str">
        <v>RA-06S-5091] DC motor(HDSG56-3448C-615)</v>
      </c>
      <c r="J2644" s="9">
        <v>294</v>
      </c>
      <c r="K2644" s="9" t="str">
        <v/>
      </c>
      <c r="L2644" s="9" t="str">
        <v>Q</v>
      </c>
      <c r="M2644" s="12">
        <v>46297</v>
      </c>
      <c r="N2644" s="5" t="str">
        <v/>
      </c>
      <c r="O2644" s="5" t="str">
        <v/>
      </c>
      <c r="P2644" s="5" t="str">
        <v/>
      </c>
      <c r="Q2644" s="14" t="str">
        <v/>
      </c>
      <c r="R2644" s="15">
        <v>294</v>
      </c>
    </row>
    <row r="2645" spans="2:18" x14ac:dyDescent="0.35">
      <c r="B2645" s="9">
        <v>2694</v>
      </c>
      <c r="C2645" s="9" t="str">
        <v>가용재고</v>
      </c>
      <c r="D2645" s="9" t="str">
        <v/>
      </c>
      <c r="E2645" s="9" t="str">
        <v/>
      </c>
      <c r="F2645" s="9" t="str">
        <v/>
      </c>
      <c r="G2645" s="9" t="str">
        <v/>
      </c>
      <c r="H2645" s="9" t="str">
        <v>RA-06M-0243</v>
      </c>
      <c r="I2645" s="11" t="str">
        <v>RA-06M-0243]BLK TUBE TILT LIMIT</v>
      </c>
      <c r="J2645" s="9">
        <v>52</v>
      </c>
      <c r="K2645" s="9" t="str">
        <v/>
      </c>
      <c r="L2645" s="9" t="str">
        <v>I3-3</v>
      </c>
      <c r="M2645" s="12">
        <v>46297</v>
      </c>
      <c r="N2645" s="5" t="str">
        <v/>
      </c>
      <c r="O2645" s="5" t="str">
        <v/>
      </c>
      <c r="P2645" s="5" t="str">
        <v/>
      </c>
      <c r="Q2645" s="14" t="str">
        <v/>
      </c>
      <c r="R2645" s="15">
        <v>52</v>
      </c>
    </row>
    <row r="2646" spans="2:18" x14ac:dyDescent="0.35">
      <c r="B2646" s="9">
        <v>2695</v>
      </c>
      <c r="C2646" s="9" t="str">
        <v>가용재고</v>
      </c>
      <c r="D2646" s="9" t="str">
        <v/>
      </c>
      <c r="E2646" s="9" t="str">
        <v/>
      </c>
      <c r="F2646" s="9" t="str">
        <v/>
      </c>
      <c r="G2646" s="9" t="str">
        <v/>
      </c>
      <c r="H2646" s="9" t="str">
        <v>RA-06M-0244</v>
      </c>
      <c r="I2646" s="11" t="str">
        <v>RA-06M-0244]PIN TUBE TILT LIMIT</v>
      </c>
      <c r="J2646" s="9">
        <v>274</v>
      </c>
      <c r="K2646" s="9" t="str">
        <v/>
      </c>
      <c r="L2646" s="9" t="str">
        <v>I3-3</v>
      </c>
      <c r="M2646" s="12">
        <v>46297</v>
      </c>
      <c r="N2646" s="5" t="str">
        <v/>
      </c>
      <c r="O2646" s="5" t="str">
        <v/>
      </c>
      <c r="P2646" s="5" t="str">
        <v/>
      </c>
      <c r="Q2646" s="14" t="str">
        <v/>
      </c>
      <c r="R2646" s="15">
        <v>274</v>
      </c>
    </row>
    <row r="2647" spans="2:18" x14ac:dyDescent="0.35">
      <c r="B2647" s="9">
        <v>2696</v>
      </c>
      <c r="C2647" s="9" t="str">
        <v>가용재고</v>
      </c>
      <c r="D2647" s="9" t="str">
        <v/>
      </c>
      <c r="E2647" s="9" t="str">
        <v/>
      </c>
      <c r="F2647" s="9" t="str">
        <v/>
      </c>
      <c r="G2647" s="9" t="str">
        <v/>
      </c>
      <c r="H2647" s="9" t="str">
        <v>RA-06S-5018</v>
      </c>
      <c r="I2647" s="11" t="str">
        <v>RA-06S-5018]MICRO SWITCH</v>
      </c>
      <c r="J2647" s="9">
        <v>160</v>
      </c>
      <c r="K2647" s="9" t="str">
        <v/>
      </c>
      <c r="L2647" s="9" t="str">
        <v>A12-3</v>
      </c>
      <c r="M2647" s="12">
        <v>46297</v>
      </c>
      <c r="N2647" s="5" t="str">
        <v/>
      </c>
      <c r="O2647" s="5" t="str">
        <v/>
      </c>
      <c r="P2647" s="5" t="str">
        <v/>
      </c>
      <c r="Q2647" s="14" t="str">
        <v/>
      </c>
      <c r="R2647" s="15">
        <v>160</v>
      </c>
    </row>
    <row r="2648" spans="2:18" x14ac:dyDescent="0.35">
      <c r="B2648" s="9">
        <v>2697</v>
      </c>
      <c r="C2648" s="9" t="str">
        <v/>
      </c>
      <c r="D2648" s="9" t="str">
        <v/>
      </c>
      <c r="E2648" s="9" t="str">
        <v/>
      </c>
      <c r="F2648" s="9" t="str">
        <v/>
      </c>
      <c r="G2648" s="9" t="str">
        <v/>
      </c>
      <c r="H2648" s="9" t="str">
        <v/>
      </c>
      <c r="I2648" s="11" t="str">
        <v/>
      </c>
      <c r="J2648" s="9">
        <v>0</v>
      </c>
      <c r="K2648" s="9" t="str">
        <v/>
      </c>
      <c r="L2648" s="9" t="str">
        <v/>
      </c>
      <c r="M2648" s="12" t="str">
        <v/>
      </c>
      <c r="N2648" s="5" t="str">
        <v/>
      </c>
      <c r="O2648" s="5" t="str">
        <v/>
      </c>
      <c r="P2648" s="5" t="str">
        <v/>
      </c>
      <c r="Q2648" s="14" t="str">
        <v/>
      </c>
      <c r="R2648" s="15">
        <v>0</v>
      </c>
    </row>
    <row r="2649" spans="2:18" x14ac:dyDescent="0.35">
      <c r="B2649" s="9">
        <v>2698</v>
      </c>
      <c r="C2649" s="9" t="str">
        <v/>
      </c>
      <c r="D2649" s="9" t="str">
        <v/>
      </c>
      <c r="E2649" s="9" t="str">
        <v/>
      </c>
      <c r="F2649" s="9" t="str">
        <v/>
      </c>
      <c r="G2649" s="9" t="str">
        <v/>
      </c>
      <c r="H2649" s="9" t="str">
        <v/>
      </c>
      <c r="I2649" s="11" t="str">
        <v/>
      </c>
      <c r="J2649" s="9">
        <v>0</v>
      </c>
      <c r="K2649" s="9" t="str">
        <v/>
      </c>
      <c r="L2649" s="9" t="str">
        <v/>
      </c>
      <c r="M2649" s="12" t="str">
        <v/>
      </c>
      <c r="N2649" s="5" t="str">
        <v/>
      </c>
      <c r="O2649" s="5" t="str">
        <v/>
      </c>
      <c r="P2649" s="5" t="str">
        <v/>
      </c>
      <c r="Q2649" s="14" t="str">
        <v/>
      </c>
      <c r="R2649" s="15">
        <v>0</v>
      </c>
    </row>
    <row r="2650" spans="2:18" x14ac:dyDescent="0.35">
      <c r="B2650" s="9">
        <v>2699</v>
      </c>
      <c r="C2650" s="9" t="str">
        <v/>
      </c>
      <c r="D2650" s="9" t="str">
        <v/>
      </c>
      <c r="E2650" s="9" t="str">
        <v/>
      </c>
      <c r="F2650" s="9" t="str">
        <v/>
      </c>
      <c r="G2650" s="9" t="str">
        <v/>
      </c>
      <c r="H2650" s="9" t="str">
        <v/>
      </c>
      <c r="I2650" s="11" t="str">
        <v/>
      </c>
      <c r="J2650" s="9">
        <v>0</v>
      </c>
      <c r="K2650" s="9" t="str">
        <v/>
      </c>
      <c r="L2650" s="9" t="str">
        <v/>
      </c>
      <c r="M2650" s="12" t="str">
        <v/>
      </c>
      <c r="N2650" s="5" t="str">
        <v/>
      </c>
      <c r="O2650" s="5" t="str">
        <v/>
      </c>
      <c r="P2650" s="5" t="str">
        <v/>
      </c>
      <c r="Q2650" s="14" t="str">
        <v/>
      </c>
      <c r="R2650" s="15">
        <v>0</v>
      </c>
    </row>
    <row r="2651" spans="2:18" x14ac:dyDescent="0.35">
      <c r="B2651" s="9">
        <v>2700</v>
      </c>
      <c r="C2651" s="9" t="str">
        <v/>
      </c>
      <c r="D2651" s="9" t="str">
        <v/>
      </c>
      <c r="E2651" s="9" t="str">
        <v/>
      </c>
      <c r="F2651" s="9" t="str">
        <v/>
      </c>
      <c r="G2651" s="9" t="str">
        <v/>
      </c>
      <c r="H2651" s="9" t="str">
        <v/>
      </c>
      <c r="I2651" s="11" t="str">
        <v/>
      </c>
      <c r="J2651" s="9">
        <v>0</v>
      </c>
      <c r="K2651" s="9" t="str">
        <v/>
      </c>
      <c r="L2651" s="9" t="str">
        <v/>
      </c>
      <c r="M2651" s="12" t="str">
        <v/>
      </c>
      <c r="N2651" s="5" t="str">
        <v/>
      </c>
      <c r="O2651" s="5" t="str">
        <v/>
      </c>
      <c r="P2651" s="5" t="str">
        <v/>
      </c>
      <c r="Q2651" s="14" t="str">
        <v/>
      </c>
      <c r="R2651" s="15">
        <v>0</v>
      </c>
    </row>
    <row r="2652" spans="2:18" x14ac:dyDescent="0.35">
      <c r="B2652" s="9">
        <v>2701</v>
      </c>
      <c r="C2652" s="9" t="str">
        <v/>
      </c>
      <c r="D2652" s="9" t="str">
        <v/>
      </c>
      <c r="E2652" s="9" t="str">
        <v/>
      </c>
      <c r="F2652" s="9" t="str">
        <v/>
      </c>
      <c r="G2652" s="9" t="str">
        <v/>
      </c>
      <c r="H2652" s="9" t="str">
        <v/>
      </c>
      <c r="I2652" s="11" t="str">
        <v/>
      </c>
      <c r="J2652" s="9">
        <v>0</v>
      </c>
      <c r="K2652" s="9" t="str">
        <v/>
      </c>
      <c r="L2652" s="9" t="str">
        <v/>
      </c>
      <c r="M2652" s="12" t="str">
        <v/>
      </c>
      <c r="N2652" s="5" t="str">
        <v/>
      </c>
      <c r="O2652" s="5" t="str">
        <v/>
      </c>
      <c r="P2652" s="5" t="str">
        <v/>
      </c>
      <c r="Q2652" s="14" t="str">
        <v/>
      </c>
      <c r="R2652" s="15">
        <v>0</v>
      </c>
    </row>
    <row r="2653" spans="2:18" x14ac:dyDescent="0.35">
      <c r="B2653" s="9">
        <v>2702</v>
      </c>
      <c r="C2653" s="9" t="str">
        <v/>
      </c>
      <c r="D2653" s="9" t="str">
        <v/>
      </c>
      <c r="E2653" s="9" t="str">
        <v/>
      </c>
      <c r="F2653" s="9" t="str">
        <v/>
      </c>
      <c r="G2653" s="9" t="str">
        <v/>
      </c>
      <c r="H2653" s="9" t="str">
        <v/>
      </c>
      <c r="I2653" s="11" t="str">
        <v/>
      </c>
      <c r="J2653" s="9">
        <v>0</v>
      </c>
      <c r="K2653" s="9" t="str">
        <v/>
      </c>
      <c r="L2653" s="9" t="str">
        <v/>
      </c>
      <c r="M2653" s="12" t="str">
        <v/>
      </c>
      <c r="N2653" s="5" t="str">
        <v/>
      </c>
      <c r="O2653" s="5" t="str">
        <v/>
      </c>
      <c r="P2653" s="5" t="str">
        <v/>
      </c>
      <c r="Q2653" s="14" t="str">
        <v/>
      </c>
      <c r="R2653" s="15">
        <v>0</v>
      </c>
    </row>
    <row r="2654" spans="2:18" x14ac:dyDescent="0.35">
      <c r="B2654" s="9">
        <v>2703</v>
      </c>
      <c r="C2654" s="9" t="str">
        <v/>
      </c>
      <c r="D2654" s="9" t="str">
        <v/>
      </c>
      <c r="E2654" s="9" t="str">
        <v/>
      </c>
      <c r="F2654" s="9" t="str">
        <v/>
      </c>
      <c r="G2654" s="9" t="str">
        <v/>
      </c>
      <c r="H2654" s="9" t="str">
        <v/>
      </c>
      <c r="I2654" s="11" t="str">
        <v/>
      </c>
      <c r="J2654" s="9">
        <v>0</v>
      </c>
      <c r="K2654" s="9" t="str">
        <v/>
      </c>
      <c r="L2654" s="9" t="str">
        <v/>
      </c>
      <c r="M2654" s="12" t="str">
        <v/>
      </c>
      <c r="N2654" s="5" t="str">
        <v/>
      </c>
      <c r="O2654" s="5" t="str">
        <v/>
      </c>
      <c r="P2654" s="5" t="str">
        <v/>
      </c>
      <c r="Q2654" s="14" t="str">
        <v/>
      </c>
      <c r="R2654" s="15">
        <v>0</v>
      </c>
    </row>
    <row r="2655" spans="2:18" x14ac:dyDescent="0.35">
      <c r="B2655" s="9">
        <v>2704</v>
      </c>
      <c r="C2655" s="9" t="str">
        <v/>
      </c>
      <c r="D2655" s="9" t="str">
        <v/>
      </c>
      <c r="E2655" s="9" t="str">
        <v/>
      </c>
      <c r="F2655" s="9" t="str">
        <v/>
      </c>
      <c r="G2655" s="9" t="str">
        <v/>
      </c>
      <c r="H2655" s="9" t="str">
        <v/>
      </c>
      <c r="I2655" s="11" t="str">
        <v/>
      </c>
      <c r="J2655" s="9">
        <v>0</v>
      </c>
      <c r="K2655" s="9" t="str">
        <v/>
      </c>
      <c r="L2655" s="9" t="str">
        <v/>
      </c>
      <c r="M2655" s="12" t="str">
        <v/>
      </c>
      <c r="N2655" s="5" t="str">
        <v/>
      </c>
      <c r="O2655" s="5" t="str">
        <v/>
      </c>
      <c r="P2655" s="5" t="str">
        <v/>
      </c>
      <c r="Q2655" s="14" t="str">
        <v/>
      </c>
      <c r="R2655" s="15">
        <v>0</v>
      </c>
    </row>
    <row r="2656" spans="2:18" x14ac:dyDescent="0.35">
      <c r="B2656" s="9">
        <v>2705</v>
      </c>
      <c r="C2656" s="9" t="str">
        <v/>
      </c>
      <c r="D2656" s="9" t="str">
        <v/>
      </c>
      <c r="E2656" s="9" t="str">
        <v/>
      </c>
      <c r="F2656" s="9" t="str">
        <v/>
      </c>
      <c r="G2656" s="9" t="str">
        <v/>
      </c>
      <c r="H2656" s="9" t="str">
        <v/>
      </c>
      <c r="I2656" s="11" t="str">
        <v/>
      </c>
      <c r="J2656" s="9">
        <v>0</v>
      </c>
      <c r="K2656" s="9" t="str">
        <v/>
      </c>
      <c r="L2656" s="9" t="str">
        <v/>
      </c>
      <c r="M2656" s="12" t="str">
        <v/>
      </c>
      <c r="N2656" s="5" t="str">
        <v/>
      </c>
      <c r="O2656" s="5" t="str">
        <v/>
      </c>
      <c r="P2656" s="5" t="str">
        <v/>
      </c>
      <c r="Q2656" s="14" t="str">
        <v/>
      </c>
      <c r="R2656" s="15">
        <v>0</v>
      </c>
    </row>
    <row r="2657" spans="2:18" x14ac:dyDescent="0.35">
      <c r="B2657" s="9">
        <v>2706</v>
      </c>
      <c r="C2657" s="9" t="str">
        <v/>
      </c>
      <c r="D2657" s="9" t="str">
        <v/>
      </c>
      <c r="E2657" s="9" t="str">
        <v/>
      </c>
      <c r="F2657" s="9" t="str">
        <v/>
      </c>
      <c r="G2657" s="9" t="str">
        <v/>
      </c>
      <c r="H2657" s="9" t="str">
        <v/>
      </c>
      <c r="I2657" s="11" t="str">
        <v/>
      </c>
      <c r="J2657" s="9">
        <v>0</v>
      </c>
      <c r="K2657" s="9" t="str">
        <v/>
      </c>
      <c r="L2657" s="9" t="str">
        <v/>
      </c>
      <c r="M2657" s="12" t="str">
        <v/>
      </c>
      <c r="N2657" s="5" t="str">
        <v/>
      </c>
      <c r="O2657" s="5" t="str">
        <v/>
      </c>
      <c r="P2657" s="5" t="str">
        <v/>
      </c>
      <c r="Q2657" s="14" t="str">
        <v/>
      </c>
      <c r="R2657" s="15">
        <v>0</v>
      </c>
    </row>
    <row r="2658" spans="2:18" x14ac:dyDescent="0.35">
      <c r="B2658" s="9">
        <v>2707</v>
      </c>
      <c r="C2658" s="9" t="str">
        <v/>
      </c>
      <c r="D2658" s="9" t="str">
        <v/>
      </c>
      <c r="E2658" s="9" t="str">
        <v/>
      </c>
      <c r="F2658" s="9" t="str">
        <v/>
      </c>
      <c r="G2658" s="9" t="str">
        <v/>
      </c>
      <c r="H2658" s="9" t="str">
        <v/>
      </c>
      <c r="I2658" s="11" t="str">
        <v/>
      </c>
      <c r="J2658" s="9">
        <v>0</v>
      </c>
      <c r="K2658" s="9" t="str">
        <v/>
      </c>
      <c r="L2658" s="9" t="str">
        <v/>
      </c>
      <c r="M2658" s="12" t="str">
        <v/>
      </c>
      <c r="N2658" s="5" t="str">
        <v/>
      </c>
      <c r="O2658" s="5" t="str">
        <v/>
      </c>
      <c r="P2658" s="5" t="str">
        <v/>
      </c>
      <c r="Q2658" s="14" t="str">
        <v/>
      </c>
      <c r="R2658" s="15">
        <v>0</v>
      </c>
    </row>
    <row r="2659" spans="2:18" x14ac:dyDescent="0.35">
      <c r="B2659" s="9">
        <v>2708</v>
      </c>
      <c r="C2659" s="9" t="str">
        <v/>
      </c>
      <c r="D2659" s="9" t="str">
        <v/>
      </c>
      <c r="E2659" s="9" t="str">
        <v/>
      </c>
      <c r="F2659" s="9" t="str">
        <v/>
      </c>
      <c r="G2659" s="9" t="str">
        <v/>
      </c>
      <c r="H2659" s="9" t="str">
        <v/>
      </c>
      <c r="I2659" s="11" t="str">
        <v/>
      </c>
      <c r="J2659" s="9">
        <v>0</v>
      </c>
      <c r="K2659" s="9" t="str">
        <v/>
      </c>
      <c r="L2659" s="9" t="str">
        <v/>
      </c>
      <c r="M2659" s="12" t="str">
        <v/>
      </c>
      <c r="N2659" s="5" t="str">
        <v/>
      </c>
      <c r="O2659" s="5" t="str">
        <v/>
      </c>
      <c r="P2659" s="5" t="str">
        <v/>
      </c>
      <c r="Q2659" s="14" t="str">
        <v/>
      </c>
      <c r="R2659" s="15">
        <v>0</v>
      </c>
    </row>
    <row r="2660" spans="2:18" x14ac:dyDescent="0.35">
      <c r="B2660" s="9">
        <v>2709</v>
      </c>
      <c r="C2660" s="9" t="str">
        <v/>
      </c>
      <c r="D2660" s="9" t="str">
        <v/>
      </c>
      <c r="E2660" s="9" t="str">
        <v/>
      </c>
      <c r="F2660" s="9" t="str">
        <v/>
      </c>
      <c r="G2660" s="9" t="str">
        <v/>
      </c>
      <c r="H2660" s="9" t="str">
        <v/>
      </c>
      <c r="I2660" s="11" t="str">
        <v/>
      </c>
      <c r="J2660" s="9">
        <v>0</v>
      </c>
      <c r="K2660" s="9" t="str">
        <v/>
      </c>
      <c r="L2660" s="9" t="str">
        <v/>
      </c>
      <c r="M2660" s="12" t="str">
        <v/>
      </c>
      <c r="N2660" s="5" t="str">
        <v/>
      </c>
      <c r="O2660" s="5" t="str">
        <v/>
      </c>
      <c r="P2660" s="5" t="str">
        <v/>
      </c>
      <c r="Q2660" s="14" t="str">
        <v/>
      </c>
      <c r="R2660" s="15">
        <v>0</v>
      </c>
    </row>
    <row r="2661" spans="2:18" x14ac:dyDescent="0.35">
      <c r="B2661" s="9">
        <v>2710</v>
      </c>
      <c r="C2661" s="9" t="str">
        <v/>
      </c>
      <c r="D2661" s="9" t="str">
        <v/>
      </c>
      <c r="E2661" s="9" t="str">
        <v/>
      </c>
      <c r="F2661" s="9" t="str">
        <v/>
      </c>
      <c r="G2661" s="9" t="str">
        <v/>
      </c>
      <c r="H2661" s="9" t="str">
        <v/>
      </c>
      <c r="I2661" s="11" t="str">
        <v/>
      </c>
      <c r="J2661" s="9">
        <v>0</v>
      </c>
      <c r="K2661" s="9" t="str">
        <v/>
      </c>
      <c r="L2661" s="9" t="str">
        <v/>
      </c>
      <c r="M2661" s="12" t="str">
        <v/>
      </c>
      <c r="N2661" s="5" t="str">
        <v/>
      </c>
      <c r="O2661" s="5" t="str">
        <v/>
      </c>
      <c r="P2661" s="5" t="str">
        <v/>
      </c>
      <c r="Q2661" s="14" t="str">
        <v/>
      </c>
      <c r="R2661" s="15">
        <v>0</v>
      </c>
    </row>
    <row r="2662" spans="2:18" x14ac:dyDescent="0.35">
      <c r="B2662" s="9">
        <v>2711</v>
      </c>
      <c r="C2662" s="9" t="str">
        <v/>
      </c>
      <c r="D2662" s="9" t="str">
        <v/>
      </c>
      <c r="E2662" s="9" t="str">
        <v/>
      </c>
      <c r="F2662" s="9" t="str">
        <v/>
      </c>
      <c r="G2662" s="9" t="str">
        <v/>
      </c>
      <c r="H2662" s="9" t="str">
        <v/>
      </c>
      <c r="I2662" s="11" t="str">
        <v/>
      </c>
      <c r="J2662" s="9">
        <v>0</v>
      </c>
      <c r="K2662" s="9" t="str">
        <v/>
      </c>
      <c r="L2662" s="9" t="str">
        <v/>
      </c>
      <c r="M2662" s="12" t="str">
        <v/>
      </c>
      <c r="N2662" s="5" t="str">
        <v/>
      </c>
      <c r="O2662" s="5" t="str">
        <v/>
      </c>
      <c r="P2662" s="5" t="str">
        <v/>
      </c>
      <c r="Q2662" s="14" t="str">
        <v/>
      </c>
      <c r="R2662" s="15">
        <v>0</v>
      </c>
    </row>
    <row r="2663" spans="2:18" x14ac:dyDescent="0.35">
      <c r="B2663" s="9">
        <v>2712</v>
      </c>
      <c r="C2663" s="9" t="str">
        <v/>
      </c>
      <c r="D2663" s="9" t="str">
        <v/>
      </c>
      <c r="E2663" s="9" t="str">
        <v/>
      </c>
      <c r="F2663" s="9" t="str">
        <v/>
      </c>
      <c r="G2663" s="9" t="str">
        <v/>
      </c>
      <c r="H2663" s="9" t="str">
        <v/>
      </c>
      <c r="I2663" s="11" t="str">
        <v/>
      </c>
      <c r="J2663" s="9">
        <v>0</v>
      </c>
      <c r="K2663" s="9" t="str">
        <v/>
      </c>
      <c r="L2663" s="9" t="str">
        <v/>
      </c>
      <c r="M2663" s="12" t="str">
        <v/>
      </c>
      <c r="N2663" s="5" t="str">
        <v/>
      </c>
      <c r="O2663" s="5" t="str">
        <v/>
      </c>
      <c r="P2663" s="5" t="str">
        <v/>
      </c>
      <c r="Q2663" s="14" t="str">
        <v/>
      </c>
      <c r="R2663" s="15">
        <v>0</v>
      </c>
    </row>
    <row r="2664" spans="2:18" x14ac:dyDescent="0.35">
      <c r="B2664" s="9">
        <v>2713</v>
      </c>
      <c r="C2664" s="9" t="str">
        <v/>
      </c>
      <c r="D2664" s="9" t="str">
        <v/>
      </c>
      <c r="E2664" s="9" t="str">
        <v/>
      </c>
      <c r="F2664" s="9" t="str">
        <v/>
      </c>
      <c r="G2664" s="9" t="str">
        <v/>
      </c>
      <c r="H2664" s="9" t="str">
        <v/>
      </c>
      <c r="I2664" s="11" t="str">
        <v/>
      </c>
      <c r="J2664" s="9">
        <v>0</v>
      </c>
      <c r="K2664" s="9" t="str">
        <v/>
      </c>
      <c r="L2664" s="9" t="str">
        <v/>
      </c>
      <c r="M2664" s="12" t="str">
        <v/>
      </c>
      <c r="N2664" s="5" t="str">
        <v/>
      </c>
      <c r="O2664" s="5" t="str">
        <v/>
      </c>
      <c r="P2664" s="5" t="str">
        <v/>
      </c>
      <c r="Q2664" s="14" t="str">
        <v/>
      </c>
      <c r="R2664" s="15">
        <v>0</v>
      </c>
    </row>
    <row r="2665" spans="2:18" x14ac:dyDescent="0.35">
      <c r="B2665" s="9">
        <v>2714</v>
      </c>
      <c r="C2665" s="9" t="str">
        <v/>
      </c>
      <c r="D2665" s="9" t="str">
        <v/>
      </c>
      <c r="E2665" s="9" t="str">
        <v/>
      </c>
      <c r="F2665" s="9" t="str">
        <v/>
      </c>
      <c r="G2665" s="9" t="str">
        <v/>
      </c>
      <c r="H2665" s="9" t="str">
        <v/>
      </c>
      <c r="I2665" s="11" t="str">
        <v/>
      </c>
      <c r="J2665" s="9">
        <v>0</v>
      </c>
      <c r="K2665" s="9" t="str">
        <v/>
      </c>
      <c r="L2665" s="9" t="str">
        <v/>
      </c>
      <c r="M2665" s="12" t="str">
        <v/>
      </c>
      <c r="N2665" s="5" t="str">
        <v/>
      </c>
      <c r="O2665" s="5" t="str">
        <v/>
      </c>
      <c r="P2665" s="5" t="str">
        <v/>
      </c>
      <c r="Q2665" s="14" t="str">
        <v/>
      </c>
      <c r="R2665" s="15">
        <v>0</v>
      </c>
    </row>
    <row r="2666" spans="2:18" x14ac:dyDescent="0.35">
      <c r="B2666" s="9">
        <v>2715</v>
      </c>
      <c r="C2666" s="9" t="str">
        <v/>
      </c>
      <c r="D2666" s="9" t="str">
        <v/>
      </c>
      <c r="E2666" s="9" t="str">
        <v/>
      </c>
      <c r="F2666" s="9" t="str">
        <v/>
      </c>
      <c r="G2666" s="9" t="str">
        <v/>
      </c>
      <c r="H2666" s="9" t="str">
        <v/>
      </c>
      <c r="I2666" s="11" t="str">
        <v/>
      </c>
      <c r="J2666" s="9">
        <v>0</v>
      </c>
      <c r="K2666" s="9" t="str">
        <v/>
      </c>
      <c r="L2666" s="9" t="str">
        <v/>
      </c>
      <c r="M2666" s="12" t="str">
        <v/>
      </c>
      <c r="N2666" s="5" t="str">
        <v/>
      </c>
      <c r="O2666" s="5" t="str">
        <v/>
      </c>
      <c r="P2666" s="5" t="str">
        <v/>
      </c>
      <c r="Q2666" s="14" t="str">
        <v/>
      </c>
      <c r="R2666" s="15">
        <v>0</v>
      </c>
    </row>
    <row r="2667" spans="2:18" x14ac:dyDescent="0.35">
      <c r="B2667" s="9">
        <v>2716</v>
      </c>
      <c r="C2667" s="9" t="str">
        <v/>
      </c>
      <c r="D2667" s="9" t="str">
        <v/>
      </c>
      <c r="E2667" s="9" t="str">
        <v/>
      </c>
      <c r="F2667" s="9" t="str">
        <v/>
      </c>
      <c r="G2667" s="9" t="str">
        <v/>
      </c>
      <c r="H2667" s="9" t="str">
        <v/>
      </c>
      <c r="I2667" s="11" t="str">
        <v/>
      </c>
      <c r="J2667" s="9">
        <v>0</v>
      </c>
      <c r="K2667" s="9" t="str">
        <v/>
      </c>
      <c r="L2667" s="9" t="str">
        <v/>
      </c>
      <c r="M2667" s="12" t="str">
        <v/>
      </c>
      <c r="N2667" s="5" t="str">
        <v/>
      </c>
      <c r="O2667" s="5" t="str">
        <v/>
      </c>
      <c r="P2667" s="5" t="str">
        <v/>
      </c>
      <c r="Q2667" s="14" t="str">
        <v/>
      </c>
      <c r="R2667" s="15">
        <v>0</v>
      </c>
    </row>
    <row r="2668" spans="2:18" x14ac:dyDescent="0.35">
      <c r="B2668" s="9">
        <v>2717</v>
      </c>
      <c r="C2668" s="9" t="str">
        <v/>
      </c>
      <c r="D2668" s="9" t="str">
        <v/>
      </c>
      <c r="E2668" s="9" t="str">
        <v/>
      </c>
      <c r="F2668" s="9" t="str">
        <v/>
      </c>
      <c r="G2668" s="9" t="str">
        <v/>
      </c>
      <c r="H2668" s="9" t="str">
        <v/>
      </c>
      <c r="I2668" s="11" t="str">
        <v/>
      </c>
      <c r="J2668" s="9">
        <v>0</v>
      </c>
      <c r="K2668" s="9" t="str">
        <v/>
      </c>
      <c r="L2668" s="9" t="str">
        <v/>
      </c>
      <c r="M2668" s="12" t="str">
        <v/>
      </c>
      <c r="N2668" s="5" t="str">
        <v/>
      </c>
      <c r="O2668" s="5" t="str">
        <v/>
      </c>
      <c r="P2668" s="5" t="str">
        <v/>
      </c>
      <c r="Q2668" s="14" t="str">
        <v/>
      </c>
      <c r="R2668" s="15">
        <v>0</v>
      </c>
    </row>
    <row r="2669" spans="2:18" x14ac:dyDescent="0.35">
      <c r="B2669" s="9">
        <v>2718</v>
      </c>
      <c r="C2669" s="9" t="str">
        <v/>
      </c>
      <c r="D2669" s="9" t="str">
        <v/>
      </c>
      <c r="E2669" s="9" t="str">
        <v/>
      </c>
      <c r="F2669" s="9" t="str">
        <v/>
      </c>
      <c r="G2669" s="9" t="str">
        <v/>
      </c>
      <c r="H2669" s="9" t="str">
        <v/>
      </c>
      <c r="I2669" s="11" t="str">
        <v/>
      </c>
      <c r="J2669" s="9">
        <v>0</v>
      </c>
      <c r="K2669" s="9" t="str">
        <v/>
      </c>
      <c r="L2669" s="9" t="str">
        <v/>
      </c>
      <c r="M2669" s="12" t="str">
        <v/>
      </c>
      <c r="N2669" s="5" t="str">
        <v/>
      </c>
      <c r="O2669" s="5" t="str">
        <v/>
      </c>
      <c r="P2669" s="5" t="str">
        <v/>
      </c>
      <c r="Q2669" s="14" t="str">
        <v/>
      </c>
      <c r="R2669" s="15">
        <v>0</v>
      </c>
    </row>
    <row r="2670" spans="2:18" x14ac:dyDescent="0.35">
      <c r="B2670" s="9">
        <v>2719</v>
      </c>
      <c r="C2670" s="9" t="str">
        <v/>
      </c>
      <c r="D2670" s="9" t="str">
        <v/>
      </c>
      <c r="E2670" s="9" t="str">
        <v/>
      </c>
      <c r="F2670" s="9" t="str">
        <v/>
      </c>
      <c r="G2670" s="9" t="str">
        <v/>
      </c>
      <c r="H2670" s="9" t="str">
        <v/>
      </c>
      <c r="I2670" s="11" t="str">
        <v/>
      </c>
      <c r="J2670" s="9">
        <v>0</v>
      </c>
      <c r="K2670" s="9" t="str">
        <v/>
      </c>
      <c r="L2670" s="9" t="str">
        <v/>
      </c>
      <c r="M2670" s="12" t="str">
        <v/>
      </c>
      <c r="N2670" s="5" t="str">
        <v/>
      </c>
      <c r="O2670" s="5" t="str">
        <v/>
      </c>
      <c r="P2670" s="5" t="str">
        <v/>
      </c>
      <c r="Q2670" s="14" t="str">
        <v/>
      </c>
      <c r="R2670" s="15">
        <v>0</v>
      </c>
    </row>
    <row r="2671" spans="2:18" x14ac:dyDescent="0.35">
      <c r="B2671" s="9">
        <v>2720</v>
      </c>
      <c r="C2671" s="9" t="str">
        <v/>
      </c>
      <c r="D2671" s="9" t="str">
        <v/>
      </c>
      <c r="E2671" s="9" t="str">
        <v/>
      </c>
      <c r="F2671" s="9" t="str">
        <v/>
      </c>
      <c r="G2671" s="9" t="str">
        <v/>
      </c>
      <c r="H2671" s="9" t="str">
        <v/>
      </c>
      <c r="I2671" s="11" t="str">
        <v/>
      </c>
      <c r="J2671" s="9">
        <v>0</v>
      </c>
      <c r="K2671" s="9" t="str">
        <v/>
      </c>
      <c r="L2671" s="9" t="str">
        <v/>
      </c>
      <c r="M2671" s="12" t="str">
        <v/>
      </c>
      <c r="N2671" s="5" t="str">
        <v/>
      </c>
      <c r="O2671" s="5" t="str">
        <v/>
      </c>
      <c r="P2671" s="5" t="str">
        <v/>
      </c>
      <c r="Q2671" s="14" t="str">
        <v/>
      </c>
      <c r="R2671" s="15">
        <v>0</v>
      </c>
    </row>
    <row r="2672" spans="2:18" x14ac:dyDescent="0.35">
      <c r="B2672" s="9">
        <v>2721</v>
      </c>
      <c r="C2672" s="9" t="str">
        <v/>
      </c>
      <c r="D2672" s="9" t="str">
        <v/>
      </c>
      <c r="E2672" s="9" t="str">
        <v/>
      </c>
      <c r="F2672" s="9" t="str">
        <v/>
      </c>
      <c r="G2672" s="9" t="str">
        <v/>
      </c>
      <c r="H2672" s="9" t="str">
        <v/>
      </c>
      <c r="I2672" s="11" t="str">
        <v/>
      </c>
      <c r="J2672" s="9">
        <v>0</v>
      </c>
      <c r="K2672" s="9" t="str">
        <v/>
      </c>
      <c r="L2672" s="9" t="str">
        <v/>
      </c>
      <c r="M2672" s="12" t="str">
        <v/>
      </c>
      <c r="N2672" s="5" t="str">
        <v/>
      </c>
      <c r="O2672" s="5" t="str">
        <v/>
      </c>
      <c r="P2672" s="5" t="str">
        <v/>
      </c>
      <c r="Q2672" s="14" t="str">
        <v/>
      </c>
      <c r="R2672" s="15">
        <v>0</v>
      </c>
    </row>
    <row r="2673" spans="2:18" x14ac:dyDescent="0.35">
      <c r="B2673" s="9">
        <v>2722</v>
      </c>
      <c r="C2673" s="9" t="str">
        <v/>
      </c>
      <c r="D2673" s="9" t="str">
        <v/>
      </c>
      <c r="E2673" s="9" t="str">
        <v/>
      </c>
      <c r="F2673" s="9" t="str">
        <v/>
      </c>
      <c r="G2673" s="9" t="str">
        <v/>
      </c>
      <c r="H2673" s="9" t="str">
        <v/>
      </c>
      <c r="I2673" s="11" t="str">
        <v/>
      </c>
      <c r="J2673" s="9">
        <v>0</v>
      </c>
      <c r="K2673" s="9" t="str">
        <v/>
      </c>
      <c r="L2673" s="9" t="str">
        <v/>
      </c>
      <c r="M2673" s="12" t="str">
        <v/>
      </c>
      <c r="N2673" s="5" t="str">
        <v/>
      </c>
      <c r="O2673" s="5" t="str">
        <v/>
      </c>
      <c r="P2673" s="5" t="str">
        <v/>
      </c>
      <c r="Q2673" s="14" t="str">
        <v/>
      </c>
      <c r="R2673" s="15">
        <v>0</v>
      </c>
    </row>
    <row r="2674" spans="2:18" x14ac:dyDescent="0.35">
      <c r="B2674" s="9">
        <v>2723</v>
      </c>
      <c r="C2674" s="9" t="str">
        <v/>
      </c>
      <c r="D2674" s="9" t="str">
        <v/>
      </c>
      <c r="E2674" s="9" t="str">
        <v/>
      </c>
      <c r="F2674" s="9" t="str">
        <v/>
      </c>
      <c r="G2674" s="9" t="str">
        <v/>
      </c>
      <c r="H2674" s="9" t="str">
        <v/>
      </c>
      <c r="I2674" s="11" t="str">
        <v/>
      </c>
      <c r="J2674" s="9">
        <v>0</v>
      </c>
      <c r="K2674" s="9" t="str">
        <v/>
      </c>
      <c r="L2674" s="9" t="str">
        <v/>
      </c>
      <c r="M2674" s="12" t="str">
        <v/>
      </c>
      <c r="N2674" s="5" t="str">
        <v/>
      </c>
      <c r="O2674" s="5" t="str">
        <v/>
      </c>
      <c r="P2674" s="5" t="str">
        <v/>
      </c>
      <c r="Q2674" s="14" t="str">
        <v/>
      </c>
      <c r="R2674" s="15">
        <v>0</v>
      </c>
    </row>
    <row r="2675" spans="2:18" x14ac:dyDescent="0.35">
      <c r="B2675" s="9">
        <v>2724</v>
      </c>
      <c r="C2675" s="9" t="str">
        <v/>
      </c>
      <c r="D2675" s="9" t="str">
        <v/>
      </c>
      <c r="E2675" s="9" t="str">
        <v/>
      </c>
      <c r="F2675" s="9" t="str">
        <v/>
      </c>
      <c r="G2675" s="9" t="str">
        <v/>
      </c>
      <c r="H2675" s="9" t="str">
        <v/>
      </c>
      <c r="I2675" s="11" t="str">
        <v/>
      </c>
      <c r="J2675" s="9">
        <v>0</v>
      </c>
      <c r="K2675" s="9" t="str">
        <v/>
      </c>
      <c r="L2675" s="9" t="str">
        <v/>
      </c>
      <c r="M2675" s="12" t="str">
        <v/>
      </c>
      <c r="N2675" s="5" t="str">
        <v/>
      </c>
      <c r="O2675" s="5" t="str">
        <v/>
      </c>
      <c r="P2675" s="5" t="str">
        <v/>
      </c>
      <c r="Q2675" s="14" t="str">
        <v/>
      </c>
      <c r="R2675" s="15">
        <v>0</v>
      </c>
    </row>
    <row r="2676" spans="2:18" x14ac:dyDescent="0.35">
      <c r="B2676" s="9">
        <v>2725</v>
      </c>
      <c r="C2676" s="9" t="str">
        <v/>
      </c>
      <c r="D2676" s="9" t="str">
        <v/>
      </c>
      <c r="E2676" s="9" t="str">
        <v/>
      </c>
      <c r="F2676" s="9" t="str">
        <v/>
      </c>
      <c r="G2676" s="9" t="str">
        <v/>
      </c>
      <c r="H2676" s="9" t="str">
        <v/>
      </c>
      <c r="I2676" s="11" t="str">
        <v/>
      </c>
      <c r="J2676" s="9">
        <v>0</v>
      </c>
      <c r="K2676" s="9" t="str">
        <v/>
      </c>
      <c r="L2676" s="9" t="str">
        <v/>
      </c>
      <c r="M2676" s="12" t="str">
        <v/>
      </c>
      <c r="N2676" s="5" t="str">
        <v/>
      </c>
      <c r="O2676" s="5" t="str">
        <v/>
      </c>
      <c r="P2676" s="5" t="str">
        <v/>
      </c>
      <c r="Q2676" s="14" t="str">
        <v/>
      </c>
      <c r="R2676" s="15">
        <v>0</v>
      </c>
    </row>
    <row r="2677" spans="2:18" x14ac:dyDescent="0.35">
      <c r="B2677" s="9">
        <v>2726</v>
      </c>
      <c r="C2677" s="9" t="str">
        <v/>
      </c>
      <c r="D2677" s="9" t="str">
        <v/>
      </c>
      <c r="E2677" s="9" t="str">
        <v/>
      </c>
      <c r="F2677" s="9" t="str">
        <v/>
      </c>
      <c r="G2677" s="9" t="str">
        <v/>
      </c>
      <c r="H2677" s="9" t="str">
        <v/>
      </c>
      <c r="I2677" s="11" t="str">
        <v/>
      </c>
      <c r="J2677" s="9">
        <v>0</v>
      </c>
      <c r="K2677" s="9" t="str">
        <v/>
      </c>
      <c r="L2677" s="9" t="str">
        <v/>
      </c>
      <c r="M2677" s="12" t="str">
        <v/>
      </c>
      <c r="N2677" s="5" t="str">
        <v/>
      </c>
      <c r="O2677" s="5" t="str">
        <v/>
      </c>
      <c r="P2677" s="5" t="str">
        <v/>
      </c>
      <c r="Q2677" s="14" t="str">
        <v/>
      </c>
      <c r="R2677" s="15">
        <v>0</v>
      </c>
    </row>
    <row r="2678" spans="2:18" x14ac:dyDescent="0.35">
      <c r="B2678" s="9">
        <v>2727</v>
      </c>
      <c r="C2678" s="9" t="str">
        <v/>
      </c>
      <c r="D2678" s="9" t="str">
        <v/>
      </c>
      <c r="E2678" s="9" t="str">
        <v/>
      </c>
      <c r="F2678" s="9" t="str">
        <v/>
      </c>
      <c r="G2678" s="9" t="str">
        <v/>
      </c>
      <c r="H2678" s="9" t="str">
        <v/>
      </c>
      <c r="I2678" s="11" t="str">
        <v/>
      </c>
      <c r="J2678" s="9">
        <v>0</v>
      </c>
      <c r="K2678" s="9" t="str">
        <v/>
      </c>
      <c r="L2678" s="9" t="str">
        <v/>
      </c>
      <c r="M2678" s="12" t="str">
        <v/>
      </c>
      <c r="N2678" s="5" t="str">
        <v/>
      </c>
      <c r="O2678" s="5" t="str">
        <v/>
      </c>
      <c r="P2678" s="5" t="str">
        <v/>
      </c>
      <c r="Q2678" s="14" t="str">
        <v/>
      </c>
      <c r="R2678" s="15">
        <v>0</v>
      </c>
    </row>
    <row r="2679" spans="2:18" x14ac:dyDescent="0.35">
      <c r="B2679" s="9">
        <v>2728</v>
      </c>
      <c r="C2679" s="9" t="str">
        <v/>
      </c>
      <c r="D2679" s="9" t="str">
        <v/>
      </c>
      <c r="E2679" s="9" t="str">
        <v/>
      </c>
      <c r="F2679" s="9" t="str">
        <v/>
      </c>
      <c r="G2679" s="9" t="str">
        <v/>
      </c>
      <c r="H2679" s="9" t="str">
        <v/>
      </c>
      <c r="I2679" s="11" t="str">
        <v/>
      </c>
      <c r="J2679" s="9">
        <v>0</v>
      </c>
      <c r="K2679" s="9" t="str">
        <v/>
      </c>
      <c r="L2679" s="9" t="str">
        <v/>
      </c>
      <c r="M2679" s="12" t="str">
        <v/>
      </c>
      <c r="N2679" s="5" t="str">
        <v/>
      </c>
      <c r="O2679" s="5" t="str">
        <v/>
      </c>
      <c r="P2679" s="5" t="str">
        <v/>
      </c>
      <c r="Q2679" s="14" t="str">
        <v/>
      </c>
      <c r="R2679" s="15">
        <v>0</v>
      </c>
    </row>
    <row r="2680" spans="2:18" x14ac:dyDescent="0.35">
      <c r="B2680" s="9">
        <v>2729</v>
      </c>
      <c r="C2680" s="9" t="str">
        <v/>
      </c>
      <c r="D2680" s="9" t="str">
        <v/>
      </c>
      <c r="E2680" s="9" t="str">
        <v/>
      </c>
      <c r="F2680" s="9" t="str">
        <v/>
      </c>
      <c r="G2680" s="9" t="str">
        <v/>
      </c>
      <c r="H2680" s="9" t="str">
        <v/>
      </c>
      <c r="I2680" s="11" t="str">
        <v/>
      </c>
      <c r="J2680" s="9">
        <v>0</v>
      </c>
      <c r="K2680" s="9" t="str">
        <v/>
      </c>
      <c r="L2680" s="9" t="str">
        <v/>
      </c>
      <c r="M2680" s="12" t="str">
        <v/>
      </c>
      <c r="N2680" s="5" t="str">
        <v/>
      </c>
      <c r="O2680" s="5" t="str">
        <v/>
      </c>
      <c r="P2680" s="5" t="str">
        <v/>
      </c>
      <c r="Q2680" s="14" t="str">
        <v/>
      </c>
      <c r="R2680" s="15">
        <v>0</v>
      </c>
    </row>
    <row r="2681" spans="2:18" x14ac:dyDescent="0.35">
      <c r="B2681" s="9">
        <v>2730</v>
      </c>
      <c r="C2681" s="9" t="str">
        <v/>
      </c>
      <c r="D2681" s="9" t="str">
        <v/>
      </c>
      <c r="E2681" s="9" t="str">
        <v/>
      </c>
      <c r="F2681" s="9" t="str">
        <v/>
      </c>
      <c r="G2681" s="9" t="str">
        <v/>
      </c>
      <c r="H2681" s="9" t="str">
        <v/>
      </c>
      <c r="I2681" s="11" t="str">
        <v/>
      </c>
      <c r="J2681" s="9">
        <v>0</v>
      </c>
      <c r="K2681" s="9" t="str">
        <v/>
      </c>
      <c r="L2681" s="9" t="str">
        <v/>
      </c>
      <c r="M2681" s="12" t="str">
        <v/>
      </c>
      <c r="N2681" s="5" t="str">
        <v/>
      </c>
      <c r="O2681" s="5" t="str">
        <v/>
      </c>
      <c r="P2681" s="5" t="str">
        <v/>
      </c>
      <c r="Q2681" s="14" t="str">
        <v/>
      </c>
      <c r="R2681" s="15">
        <v>0</v>
      </c>
    </row>
    <row r="2682" spans="2:18" x14ac:dyDescent="0.35">
      <c r="B2682" s="9">
        <v>2731</v>
      </c>
      <c r="C2682" s="9" t="str">
        <v/>
      </c>
      <c r="D2682" s="9" t="str">
        <v/>
      </c>
      <c r="E2682" s="9" t="str">
        <v/>
      </c>
      <c r="F2682" s="9" t="str">
        <v/>
      </c>
      <c r="G2682" s="9" t="str">
        <v/>
      </c>
      <c r="H2682" s="9" t="str">
        <v/>
      </c>
      <c r="I2682" s="11" t="str">
        <v/>
      </c>
      <c r="J2682" s="9">
        <v>0</v>
      </c>
      <c r="K2682" s="9" t="str">
        <v/>
      </c>
      <c r="L2682" s="9" t="str">
        <v/>
      </c>
      <c r="M2682" s="12" t="str">
        <v/>
      </c>
      <c r="N2682" s="5" t="str">
        <v/>
      </c>
      <c r="O2682" s="5" t="str">
        <v/>
      </c>
      <c r="P2682" s="5" t="str">
        <v/>
      </c>
      <c r="Q2682" s="14" t="str">
        <v/>
      </c>
      <c r="R2682" s="15">
        <v>0</v>
      </c>
    </row>
    <row r="2683" spans="2:18" x14ac:dyDescent="0.35">
      <c r="B2683" s="9">
        <v>2732</v>
      </c>
      <c r="C2683" s="9" t="str">
        <v/>
      </c>
      <c r="D2683" s="9" t="str">
        <v/>
      </c>
      <c r="E2683" s="9" t="str">
        <v/>
      </c>
      <c r="F2683" s="9" t="str">
        <v/>
      </c>
      <c r="G2683" s="9" t="str">
        <v/>
      </c>
      <c r="H2683" s="9" t="str">
        <v/>
      </c>
      <c r="I2683" s="11" t="str">
        <v/>
      </c>
      <c r="J2683" s="9">
        <v>0</v>
      </c>
      <c r="K2683" s="9" t="str">
        <v/>
      </c>
      <c r="L2683" s="9" t="str">
        <v/>
      </c>
      <c r="M2683" s="12" t="str">
        <v/>
      </c>
      <c r="N2683" s="5" t="str">
        <v/>
      </c>
      <c r="O2683" s="5" t="str">
        <v/>
      </c>
      <c r="P2683" s="5" t="str">
        <v/>
      </c>
      <c r="Q2683" s="14" t="str">
        <v/>
      </c>
      <c r="R2683" s="15">
        <v>0</v>
      </c>
    </row>
    <row r="2684" spans="2:18" x14ac:dyDescent="0.35">
      <c r="B2684" s="9">
        <v>2733</v>
      </c>
      <c r="C2684" s="9" t="str">
        <v/>
      </c>
      <c r="D2684" s="9" t="str">
        <v/>
      </c>
      <c r="E2684" s="9" t="str">
        <v/>
      </c>
      <c r="F2684" s="9" t="str">
        <v/>
      </c>
      <c r="G2684" s="9" t="str">
        <v/>
      </c>
      <c r="H2684" s="9" t="str">
        <v/>
      </c>
      <c r="I2684" s="11" t="str">
        <v/>
      </c>
      <c r="J2684" s="9">
        <v>0</v>
      </c>
      <c r="K2684" s="9" t="str">
        <v/>
      </c>
      <c r="L2684" s="9" t="str">
        <v/>
      </c>
      <c r="M2684" s="12" t="str">
        <v/>
      </c>
      <c r="N2684" s="5" t="str">
        <v/>
      </c>
      <c r="O2684" s="5" t="str">
        <v/>
      </c>
      <c r="P2684" s="5" t="str">
        <v/>
      </c>
      <c r="Q2684" s="14" t="str">
        <v/>
      </c>
      <c r="R2684" s="15">
        <v>0</v>
      </c>
    </row>
    <row r="2685" spans="2:18" x14ac:dyDescent="0.35">
      <c r="B2685" s="9">
        <v>2734</v>
      </c>
      <c r="C2685" s="9" t="str">
        <v/>
      </c>
      <c r="D2685" s="9" t="str">
        <v/>
      </c>
      <c r="E2685" s="9" t="str">
        <v/>
      </c>
      <c r="F2685" s="9" t="str">
        <v/>
      </c>
      <c r="G2685" s="9" t="str">
        <v/>
      </c>
      <c r="H2685" s="9" t="str">
        <v/>
      </c>
      <c r="I2685" s="11" t="str">
        <v/>
      </c>
      <c r="J2685" s="9">
        <v>0</v>
      </c>
      <c r="K2685" s="9" t="str">
        <v/>
      </c>
      <c r="L2685" s="9" t="str">
        <v/>
      </c>
      <c r="M2685" s="12" t="str">
        <v/>
      </c>
      <c r="N2685" s="5" t="str">
        <v/>
      </c>
      <c r="O2685" s="5" t="str">
        <v/>
      </c>
      <c r="P2685" s="5" t="str">
        <v/>
      </c>
      <c r="Q2685" s="14" t="str">
        <v/>
      </c>
      <c r="R2685" s="15">
        <v>0</v>
      </c>
    </row>
    <row r="2686" spans="2:18" x14ac:dyDescent="0.35">
      <c r="B2686" s="9">
        <v>2735</v>
      </c>
      <c r="C2686" s="9" t="str">
        <v/>
      </c>
      <c r="D2686" s="9" t="str">
        <v/>
      </c>
      <c r="E2686" s="9" t="str">
        <v/>
      </c>
      <c r="F2686" s="9" t="str">
        <v/>
      </c>
      <c r="G2686" s="9" t="str">
        <v/>
      </c>
      <c r="H2686" s="9" t="str">
        <v/>
      </c>
      <c r="I2686" s="11" t="str">
        <v/>
      </c>
      <c r="J2686" s="9">
        <v>0</v>
      </c>
      <c r="K2686" s="9" t="str">
        <v/>
      </c>
      <c r="L2686" s="9" t="str">
        <v/>
      </c>
      <c r="M2686" s="12" t="str">
        <v/>
      </c>
      <c r="N2686" s="5" t="str">
        <v/>
      </c>
      <c r="O2686" s="5" t="str">
        <v/>
      </c>
      <c r="P2686" s="5" t="str">
        <v/>
      </c>
      <c r="Q2686" s="14" t="str">
        <v/>
      </c>
      <c r="R2686" s="15">
        <v>0</v>
      </c>
    </row>
    <row r="2687" spans="2:18" x14ac:dyDescent="0.35">
      <c r="B2687" s="9">
        <v>2736</v>
      </c>
      <c r="C2687" s="9" t="str">
        <v/>
      </c>
      <c r="D2687" s="9" t="str">
        <v/>
      </c>
      <c r="E2687" s="9" t="str">
        <v/>
      </c>
      <c r="F2687" s="9" t="str">
        <v/>
      </c>
      <c r="G2687" s="9" t="str">
        <v/>
      </c>
      <c r="H2687" s="9" t="str">
        <v/>
      </c>
      <c r="I2687" s="11" t="str">
        <v/>
      </c>
      <c r="J2687" s="9">
        <v>0</v>
      </c>
      <c r="K2687" s="9" t="str">
        <v/>
      </c>
      <c r="L2687" s="9" t="str">
        <v/>
      </c>
      <c r="M2687" s="12" t="str">
        <v/>
      </c>
      <c r="N2687" s="5" t="str">
        <v/>
      </c>
      <c r="O2687" s="5" t="str">
        <v/>
      </c>
      <c r="P2687" s="5" t="str">
        <v/>
      </c>
      <c r="Q2687" s="14" t="str">
        <v/>
      </c>
      <c r="R2687" s="15">
        <v>0</v>
      </c>
    </row>
    <row r="2688" spans="2:18" x14ac:dyDescent="0.35">
      <c r="B2688" s="9">
        <v>2737</v>
      </c>
      <c r="C2688" s="9" t="str">
        <v/>
      </c>
      <c r="D2688" s="9" t="str">
        <v/>
      </c>
      <c r="E2688" s="9" t="str">
        <v/>
      </c>
      <c r="F2688" s="9" t="str">
        <v/>
      </c>
      <c r="G2688" s="9" t="str">
        <v/>
      </c>
      <c r="H2688" s="9" t="str">
        <v/>
      </c>
      <c r="I2688" s="11" t="str">
        <v/>
      </c>
      <c r="J2688" s="9">
        <v>0</v>
      </c>
      <c r="K2688" s="9" t="str">
        <v/>
      </c>
      <c r="L2688" s="9" t="str">
        <v/>
      </c>
      <c r="M2688" s="12" t="str">
        <v/>
      </c>
      <c r="N2688" s="5" t="str">
        <v/>
      </c>
      <c r="O2688" s="5" t="str">
        <v/>
      </c>
      <c r="P2688" s="5" t="str">
        <v/>
      </c>
      <c r="Q2688" s="14" t="str">
        <v/>
      </c>
      <c r="R2688" s="15">
        <v>0</v>
      </c>
    </row>
    <row r="2689" spans="2:18" x14ac:dyDescent="0.35">
      <c r="B2689" s="9">
        <v>2738</v>
      </c>
      <c r="C2689" s="9" t="str">
        <v/>
      </c>
      <c r="D2689" s="9" t="str">
        <v/>
      </c>
      <c r="E2689" s="9" t="str">
        <v/>
      </c>
      <c r="F2689" s="9" t="str">
        <v/>
      </c>
      <c r="G2689" s="9" t="str">
        <v/>
      </c>
      <c r="H2689" s="9" t="str">
        <v/>
      </c>
      <c r="I2689" s="11" t="str">
        <v/>
      </c>
      <c r="J2689" s="9">
        <v>0</v>
      </c>
      <c r="K2689" s="9" t="str">
        <v/>
      </c>
      <c r="L2689" s="9" t="str">
        <v/>
      </c>
      <c r="M2689" s="12" t="str">
        <v/>
      </c>
      <c r="N2689" s="5" t="str">
        <v/>
      </c>
      <c r="O2689" s="5" t="str">
        <v/>
      </c>
      <c r="P2689" s="5" t="str">
        <v/>
      </c>
      <c r="Q2689" s="14" t="str">
        <v/>
      </c>
      <c r="R2689" s="15">
        <v>0</v>
      </c>
    </row>
    <row r="2690" spans="2:18" x14ac:dyDescent="0.35">
      <c r="B2690" s="9">
        <v>2739</v>
      </c>
      <c r="C2690" s="9" t="str">
        <v/>
      </c>
      <c r="D2690" s="9" t="str">
        <v/>
      </c>
      <c r="E2690" s="9" t="str">
        <v/>
      </c>
      <c r="F2690" s="9" t="str">
        <v/>
      </c>
      <c r="G2690" s="9" t="str">
        <v/>
      </c>
      <c r="H2690" s="9" t="str">
        <v/>
      </c>
      <c r="I2690" s="11" t="str">
        <v/>
      </c>
      <c r="J2690" s="9">
        <v>0</v>
      </c>
      <c r="K2690" s="9" t="str">
        <v/>
      </c>
      <c r="L2690" s="9" t="str">
        <v/>
      </c>
      <c r="M2690" s="12" t="str">
        <v/>
      </c>
      <c r="N2690" s="5" t="str">
        <v/>
      </c>
      <c r="O2690" s="5" t="str">
        <v/>
      </c>
      <c r="P2690" s="5" t="str">
        <v/>
      </c>
      <c r="Q2690" s="14" t="str">
        <v/>
      </c>
      <c r="R2690" s="15">
        <v>0</v>
      </c>
    </row>
    <row r="2691" spans="2:18" x14ac:dyDescent="0.35">
      <c r="B2691" s="9">
        <v>2740</v>
      </c>
      <c r="C2691" s="9" t="str">
        <v/>
      </c>
      <c r="D2691" s="9" t="str">
        <v/>
      </c>
      <c r="E2691" s="9" t="str">
        <v/>
      </c>
      <c r="F2691" s="9" t="str">
        <v/>
      </c>
      <c r="G2691" s="9" t="str">
        <v/>
      </c>
      <c r="H2691" s="9" t="str">
        <v/>
      </c>
      <c r="I2691" s="11" t="str">
        <v/>
      </c>
      <c r="J2691" s="9">
        <v>0</v>
      </c>
      <c r="K2691" s="9" t="str">
        <v/>
      </c>
      <c r="L2691" s="9" t="str">
        <v/>
      </c>
      <c r="M2691" s="12" t="str">
        <v/>
      </c>
      <c r="N2691" s="5" t="str">
        <v/>
      </c>
      <c r="O2691" s="5" t="str">
        <v/>
      </c>
      <c r="P2691" s="5" t="str">
        <v/>
      </c>
      <c r="Q2691" s="14" t="str">
        <v/>
      </c>
      <c r="R2691" s="15">
        <v>0</v>
      </c>
    </row>
    <row r="2692" spans="2:18" x14ac:dyDescent="0.35">
      <c r="B2692" s="9">
        <v>2741</v>
      </c>
      <c r="C2692" s="9" t="str">
        <v/>
      </c>
      <c r="D2692" s="9" t="str">
        <v/>
      </c>
      <c r="E2692" s="9" t="str">
        <v/>
      </c>
      <c r="F2692" s="9" t="str">
        <v/>
      </c>
      <c r="G2692" s="9" t="str">
        <v/>
      </c>
      <c r="H2692" s="9" t="str">
        <v/>
      </c>
      <c r="I2692" s="11" t="str">
        <v/>
      </c>
      <c r="J2692" s="9">
        <v>0</v>
      </c>
      <c r="K2692" s="9" t="str">
        <v/>
      </c>
      <c r="L2692" s="9" t="str">
        <v/>
      </c>
      <c r="M2692" s="12" t="str">
        <v/>
      </c>
      <c r="N2692" s="5" t="str">
        <v/>
      </c>
      <c r="O2692" s="5" t="str">
        <v/>
      </c>
      <c r="P2692" s="5" t="str">
        <v/>
      </c>
      <c r="Q2692" s="14" t="str">
        <v/>
      </c>
      <c r="R2692" s="15">
        <v>0</v>
      </c>
    </row>
    <row r="2693" spans="2:18" x14ac:dyDescent="0.35">
      <c r="B2693" s="9">
        <v>2742</v>
      </c>
      <c r="C2693" s="9" t="str">
        <v/>
      </c>
      <c r="D2693" s="9" t="str">
        <v/>
      </c>
      <c r="E2693" s="9" t="str">
        <v/>
      </c>
      <c r="F2693" s="9" t="str">
        <v/>
      </c>
      <c r="G2693" s="9" t="str">
        <v/>
      </c>
      <c r="H2693" s="9" t="str">
        <v/>
      </c>
      <c r="I2693" s="11" t="str">
        <v/>
      </c>
      <c r="J2693" s="9">
        <v>0</v>
      </c>
      <c r="K2693" s="9" t="str">
        <v/>
      </c>
      <c r="L2693" s="9" t="str">
        <v/>
      </c>
      <c r="M2693" s="12" t="str">
        <v/>
      </c>
      <c r="N2693" s="5" t="str">
        <v/>
      </c>
      <c r="O2693" s="5" t="str">
        <v/>
      </c>
      <c r="P2693" s="5" t="str">
        <v/>
      </c>
      <c r="Q2693" s="14" t="str">
        <v/>
      </c>
      <c r="R2693" s="15">
        <v>0</v>
      </c>
    </row>
    <row r="2694" spans="2:18" x14ac:dyDescent="0.35">
      <c r="B2694" s="9">
        <v>2743</v>
      </c>
      <c r="C2694" s="9" t="str">
        <v/>
      </c>
      <c r="D2694" s="9" t="str">
        <v/>
      </c>
      <c r="E2694" s="9" t="str">
        <v/>
      </c>
      <c r="F2694" s="9" t="str">
        <v/>
      </c>
      <c r="G2694" s="9" t="str">
        <v/>
      </c>
      <c r="H2694" s="9" t="str">
        <v/>
      </c>
      <c r="I2694" s="11" t="str">
        <v/>
      </c>
      <c r="J2694" s="9">
        <v>0</v>
      </c>
      <c r="K2694" s="9" t="str">
        <v/>
      </c>
      <c r="L2694" s="9" t="str">
        <v/>
      </c>
      <c r="M2694" s="12" t="str">
        <v/>
      </c>
      <c r="N2694" s="5" t="str">
        <v/>
      </c>
      <c r="O2694" s="5" t="str">
        <v/>
      </c>
      <c r="P2694" s="5" t="str">
        <v/>
      </c>
      <c r="Q2694" s="14" t="str">
        <v/>
      </c>
      <c r="R2694" s="15">
        <v>0</v>
      </c>
    </row>
    <row r="2695" spans="2:18" x14ac:dyDescent="0.35">
      <c r="B2695" s="9">
        <v>2744</v>
      </c>
      <c r="C2695" s="9" t="str">
        <v/>
      </c>
      <c r="D2695" s="9" t="str">
        <v/>
      </c>
      <c r="E2695" s="9" t="str">
        <v/>
      </c>
      <c r="F2695" s="9" t="str">
        <v/>
      </c>
      <c r="G2695" s="9" t="str">
        <v/>
      </c>
      <c r="H2695" s="9" t="str">
        <v/>
      </c>
      <c r="I2695" s="11" t="str">
        <v/>
      </c>
      <c r="J2695" s="9">
        <v>0</v>
      </c>
      <c r="K2695" s="9" t="str">
        <v/>
      </c>
      <c r="L2695" s="9" t="str">
        <v/>
      </c>
      <c r="M2695" s="12" t="str">
        <v/>
      </c>
      <c r="N2695" s="5" t="str">
        <v/>
      </c>
      <c r="O2695" s="5" t="str">
        <v/>
      </c>
      <c r="P2695" s="5" t="str">
        <v/>
      </c>
      <c r="Q2695" s="14" t="str">
        <v/>
      </c>
      <c r="R2695" s="15">
        <v>0</v>
      </c>
    </row>
    <row r="2696" spans="2:18" x14ac:dyDescent="0.35">
      <c r="B2696" s="9">
        <v>2745</v>
      </c>
      <c r="C2696" s="9" t="str">
        <v/>
      </c>
      <c r="D2696" s="9" t="str">
        <v/>
      </c>
      <c r="E2696" s="9" t="str">
        <v/>
      </c>
      <c r="F2696" s="9" t="str">
        <v/>
      </c>
      <c r="G2696" s="9" t="str">
        <v/>
      </c>
      <c r="H2696" s="9" t="str">
        <v/>
      </c>
      <c r="I2696" s="11" t="str">
        <v/>
      </c>
      <c r="J2696" s="9">
        <v>0</v>
      </c>
      <c r="K2696" s="9" t="str">
        <v/>
      </c>
      <c r="L2696" s="9" t="str">
        <v/>
      </c>
      <c r="M2696" s="12" t="str">
        <v/>
      </c>
      <c r="N2696" s="5" t="str">
        <v/>
      </c>
      <c r="O2696" s="5" t="str">
        <v/>
      </c>
      <c r="P2696" s="5" t="str">
        <v/>
      </c>
      <c r="Q2696" s="14" t="str">
        <v/>
      </c>
      <c r="R2696" s="15">
        <v>0</v>
      </c>
    </row>
    <row r="2697" spans="2:18" x14ac:dyDescent="0.35">
      <c r="B2697" s="9">
        <v>2746</v>
      </c>
      <c r="C2697" s="9" t="str">
        <v/>
      </c>
      <c r="D2697" s="9" t="str">
        <v/>
      </c>
      <c r="E2697" s="9" t="str">
        <v/>
      </c>
      <c r="F2697" s="9" t="str">
        <v/>
      </c>
      <c r="G2697" s="9" t="str">
        <v/>
      </c>
      <c r="H2697" s="9" t="str">
        <v/>
      </c>
      <c r="I2697" s="11" t="str">
        <v/>
      </c>
      <c r="J2697" s="9">
        <v>0</v>
      </c>
      <c r="K2697" s="9" t="str">
        <v/>
      </c>
      <c r="L2697" s="9" t="str">
        <v/>
      </c>
      <c r="M2697" s="12" t="str">
        <v/>
      </c>
      <c r="N2697" s="5" t="str">
        <v/>
      </c>
      <c r="O2697" s="5" t="str">
        <v/>
      </c>
      <c r="P2697" s="5" t="str">
        <v/>
      </c>
      <c r="Q2697" s="14" t="str">
        <v/>
      </c>
      <c r="R2697" s="15">
        <v>0</v>
      </c>
    </row>
    <row r="2698" spans="2:18" x14ac:dyDescent="0.35">
      <c r="B2698" s="9">
        <v>2747</v>
      </c>
      <c r="C2698" s="9" t="str">
        <v/>
      </c>
      <c r="D2698" s="9" t="str">
        <v/>
      </c>
      <c r="E2698" s="9" t="str">
        <v/>
      </c>
      <c r="F2698" s="9" t="str">
        <v/>
      </c>
      <c r="G2698" s="9" t="str">
        <v/>
      </c>
      <c r="H2698" s="9" t="str">
        <v/>
      </c>
      <c r="I2698" s="11" t="str">
        <v/>
      </c>
      <c r="J2698" s="9">
        <v>0</v>
      </c>
      <c r="K2698" s="9" t="str">
        <v/>
      </c>
      <c r="L2698" s="9" t="str">
        <v/>
      </c>
      <c r="M2698" s="12" t="str">
        <v/>
      </c>
      <c r="N2698" s="5" t="str">
        <v/>
      </c>
      <c r="O2698" s="5" t="str">
        <v/>
      </c>
      <c r="P2698" s="5" t="str">
        <v/>
      </c>
      <c r="Q2698" s="14" t="str">
        <v/>
      </c>
      <c r="R2698" s="15">
        <v>0</v>
      </c>
    </row>
    <row r="2699" spans="2:18" x14ac:dyDescent="0.35">
      <c r="B2699" s="9">
        <v>2748</v>
      </c>
      <c r="C2699" s="9" t="str">
        <v/>
      </c>
      <c r="D2699" s="9" t="str">
        <v/>
      </c>
      <c r="E2699" s="9" t="str">
        <v/>
      </c>
      <c r="F2699" s="9" t="str">
        <v/>
      </c>
      <c r="G2699" s="9" t="str">
        <v/>
      </c>
      <c r="H2699" s="9" t="str">
        <v/>
      </c>
      <c r="I2699" s="11" t="str">
        <v/>
      </c>
      <c r="J2699" s="9">
        <v>0</v>
      </c>
      <c r="K2699" s="9" t="str">
        <v/>
      </c>
      <c r="L2699" s="9" t="str">
        <v/>
      </c>
      <c r="M2699" s="12" t="str">
        <v/>
      </c>
      <c r="N2699" s="5" t="str">
        <v/>
      </c>
      <c r="O2699" s="5" t="str">
        <v/>
      </c>
      <c r="P2699" s="5" t="str">
        <v/>
      </c>
      <c r="Q2699" s="14" t="str">
        <v/>
      </c>
      <c r="R2699" s="15">
        <v>0</v>
      </c>
    </row>
    <row r="2700" spans="2:18" x14ac:dyDescent="0.35">
      <c r="B2700" s="9">
        <v>2749</v>
      </c>
      <c r="C2700" s="9" t="str">
        <v/>
      </c>
      <c r="D2700" s="9" t="str">
        <v/>
      </c>
      <c r="E2700" s="9" t="str">
        <v/>
      </c>
      <c r="F2700" s="9" t="str">
        <v/>
      </c>
      <c r="G2700" s="9" t="str">
        <v/>
      </c>
      <c r="H2700" s="9" t="str">
        <v/>
      </c>
      <c r="I2700" s="11" t="str">
        <v/>
      </c>
      <c r="J2700" s="9">
        <v>0</v>
      </c>
      <c r="K2700" s="9" t="str">
        <v/>
      </c>
      <c r="L2700" s="9" t="str">
        <v/>
      </c>
      <c r="M2700" s="12" t="str">
        <v/>
      </c>
      <c r="N2700" s="5" t="str">
        <v/>
      </c>
      <c r="O2700" s="5" t="str">
        <v/>
      </c>
      <c r="P2700" s="5" t="str">
        <v/>
      </c>
      <c r="Q2700" s="14" t="str">
        <v/>
      </c>
      <c r="R2700" s="15">
        <v>0</v>
      </c>
    </row>
    <row r="2701" spans="2:18" x14ac:dyDescent="0.35">
      <c r="B2701" s="9">
        <v>2750</v>
      </c>
      <c r="C2701" s="9" t="str">
        <v/>
      </c>
      <c r="D2701" s="9" t="str">
        <v/>
      </c>
      <c r="E2701" s="9" t="str">
        <v/>
      </c>
      <c r="F2701" s="9" t="str">
        <v/>
      </c>
      <c r="G2701" s="9" t="str">
        <v/>
      </c>
      <c r="H2701" s="9" t="str">
        <v/>
      </c>
      <c r="I2701" s="11" t="str">
        <v/>
      </c>
      <c r="J2701" s="9">
        <v>0</v>
      </c>
      <c r="K2701" s="9" t="str">
        <v/>
      </c>
      <c r="L2701" s="9" t="str">
        <v/>
      </c>
      <c r="M2701" s="12" t="str">
        <v/>
      </c>
      <c r="N2701" s="5" t="str">
        <v/>
      </c>
      <c r="O2701" s="5" t="str">
        <v/>
      </c>
      <c r="P2701" s="5" t="str">
        <v/>
      </c>
      <c r="Q2701" s="14" t="str">
        <v/>
      </c>
      <c r="R2701" s="15">
        <v>0</v>
      </c>
    </row>
    <row r="2702" spans="2:18" x14ac:dyDescent="0.35">
      <c r="B2702" s="9">
        <v>2751</v>
      </c>
      <c r="C2702" s="9" t="str">
        <v/>
      </c>
      <c r="D2702" s="9" t="str">
        <v/>
      </c>
      <c r="E2702" s="9" t="str">
        <v/>
      </c>
      <c r="F2702" s="9" t="str">
        <v/>
      </c>
      <c r="G2702" s="9" t="str">
        <v/>
      </c>
      <c r="H2702" s="9" t="str">
        <v/>
      </c>
      <c r="I2702" s="11" t="str">
        <v/>
      </c>
      <c r="J2702" s="9">
        <v>0</v>
      </c>
      <c r="K2702" s="9" t="str">
        <v/>
      </c>
      <c r="L2702" s="9" t="str">
        <v/>
      </c>
      <c r="M2702" s="12" t="str">
        <v/>
      </c>
      <c r="N2702" s="5" t="str">
        <v/>
      </c>
      <c r="O2702" s="5" t="str">
        <v/>
      </c>
      <c r="P2702" s="5" t="str">
        <v/>
      </c>
      <c r="Q2702" s="14" t="str">
        <v/>
      </c>
      <c r="R2702" s="15">
        <v>0</v>
      </c>
    </row>
    <row r="2703" spans="2:18" x14ac:dyDescent="0.35">
      <c r="B2703" s="9">
        <v>2752</v>
      </c>
      <c r="C2703" s="9" t="str">
        <v/>
      </c>
      <c r="D2703" s="9" t="str">
        <v/>
      </c>
      <c r="E2703" s="9" t="str">
        <v/>
      </c>
      <c r="F2703" s="9" t="str">
        <v/>
      </c>
      <c r="G2703" s="9" t="str">
        <v/>
      </c>
      <c r="H2703" s="9" t="str">
        <v/>
      </c>
      <c r="I2703" s="11" t="str">
        <v/>
      </c>
      <c r="J2703" s="9">
        <v>0</v>
      </c>
      <c r="K2703" s="9" t="str">
        <v/>
      </c>
      <c r="L2703" s="9" t="str">
        <v/>
      </c>
      <c r="M2703" s="12" t="str">
        <v/>
      </c>
      <c r="N2703" s="5" t="str">
        <v/>
      </c>
      <c r="O2703" s="5" t="str">
        <v/>
      </c>
      <c r="P2703" s="5" t="str">
        <v/>
      </c>
      <c r="Q2703" s="14" t="str">
        <v/>
      </c>
      <c r="R2703" s="15">
        <v>0</v>
      </c>
    </row>
    <row r="2704" spans="2:18" x14ac:dyDescent="0.35">
      <c r="B2704" s="9">
        <v>2753</v>
      </c>
      <c r="C2704" s="9" t="str">
        <v/>
      </c>
      <c r="D2704" s="9" t="str">
        <v/>
      </c>
      <c r="E2704" s="9" t="str">
        <v/>
      </c>
      <c r="F2704" s="9" t="str">
        <v/>
      </c>
      <c r="G2704" s="9" t="str">
        <v/>
      </c>
      <c r="H2704" s="9" t="str">
        <v/>
      </c>
      <c r="I2704" s="11" t="str">
        <v/>
      </c>
      <c r="J2704" s="9">
        <v>0</v>
      </c>
      <c r="K2704" s="9" t="str">
        <v/>
      </c>
      <c r="L2704" s="9" t="str">
        <v/>
      </c>
      <c r="M2704" s="12" t="str">
        <v/>
      </c>
      <c r="N2704" s="5" t="str">
        <v/>
      </c>
      <c r="O2704" s="5" t="str">
        <v/>
      </c>
      <c r="P2704" s="5" t="str">
        <v/>
      </c>
      <c r="Q2704" s="14" t="str">
        <v/>
      </c>
      <c r="R2704" s="15">
        <v>0</v>
      </c>
    </row>
    <row r="2705" spans="2:18" x14ac:dyDescent="0.35">
      <c r="B2705" s="9">
        <v>2754</v>
      </c>
      <c r="C2705" s="9" t="str">
        <v/>
      </c>
      <c r="D2705" s="9" t="str">
        <v/>
      </c>
      <c r="E2705" s="9" t="str">
        <v/>
      </c>
      <c r="F2705" s="9" t="str">
        <v/>
      </c>
      <c r="G2705" s="9" t="str">
        <v/>
      </c>
      <c r="H2705" s="9" t="str">
        <v/>
      </c>
      <c r="I2705" s="11" t="str">
        <v/>
      </c>
      <c r="J2705" s="9">
        <v>0</v>
      </c>
      <c r="K2705" s="9" t="str">
        <v/>
      </c>
      <c r="L2705" s="9" t="str">
        <v/>
      </c>
      <c r="M2705" s="12" t="str">
        <v/>
      </c>
      <c r="N2705" s="5" t="str">
        <v/>
      </c>
      <c r="O2705" s="5" t="str">
        <v/>
      </c>
      <c r="P2705" s="5" t="str">
        <v/>
      </c>
      <c r="Q2705" s="14" t="str">
        <v/>
      </c>
      <c r="R2705" s="15">
        <v>0</v>
      </c>
    </row>
    <row r="2706" spans="2:18" x14ac:dyDescent="0.35">
      <c r="B2706" s="9">
        <v>2755</v>
      </c>
      <c r="C2706" s="9" t="str">
        <v/>
      </c>
      <c r="D2706" s="9" t="str">
        <v/>
      </c>
      <c r="E2706" s="9" t="str">
        <v/>
      </c>
      <c r="F2706" s="9" t="str">
        <v/>
      </c>
      <c r="G2706" s="9" t="str">
        <v/>
      </c>
      <c r="H2706" s="9" t="str">
        <v/>
      </c>
      <c r="I2706" s="11" t="str">
        <v/>
      </c>
      <c r="J2706" s="9">
        <v>0</v>
      </c>
      <c r="K2706" s="9" t="str">
        <v/>
      </c>
      <c r="L2706" s="9" t="str">
        <v/>
      </c>
      <c r="M2706" s="12" t="str">
        <v/>
      </c>
      <c r="N2706" s="5" t="str">
        <v/>
      </c>
      <c r="O2706" s="5" t="str">
        <v/>
      </c>
      <c r="P2706" s="5" t="str">
        <v/>
      </c>
      <c r="Q2706" s="14" t="str">
        <v/>
      </c>
      <c r="R2706" s="15">
        <v>0</v>
      </c>
    </row>
    <row r="2707" spans="2:18" x14ac:dyDescent="0.35">
      <c r="B2707" s="9">
        <v>2756</v>
      </c>
      <c r="C2707" s="9" t="str">
        <v/>
      </c>
      <c r="D2707" s="9" t="str">
        <v/>
      </c>
      <c r="E2707" s="9" t="str">
        <v/>
      </c>
      <c r="F2707" s="9" t="str">
        <v/>
      </c>
      <c r="G2707" s="9" t="str">
        <v/>
      </c>
      <c r="H2707" s="9" t="str">
        <v/>
      </c>
      <c r="I2707" s="11" t="str">
        <v/>
      </c>
      <c r="J2707" s="9">
        <v>0</v>
      </c>
      <c r="K2707" s="9" t="str">
        <v/>
      </c>
      <c r="L2707" s="9" t="str">
        <v/>
      </c>
      <c r="M2707" s="12" t="str">
        <v/>
      </c>
      <c r="N2707" s="5" t="str">
        <v/>
      </c>
      <c r="O2707" s="5" t="str">
        <v/>
      </c>
      <c r="P2707" s="5" t="str">
        <v/>
      </c>
      <c r="Q2707" s="14" t="str">
        <v/>
      </c>
      <c r="R2707" s="15">
        <v>0</v>
      </c>
    </row>
    <row r="2708" spans="2:18" x14ac:dyDescent="0.35">
      <c r="B2708" s="9">
        <v>2757</v>
      </c>
      <c r="C2708" s="9" t="str">
        <v/>
      </c>
      <c r="D2708" s="9" t="str">
        <v/>
      </c>
      <c r="E2708" s="9" t="str">
        <v/>
      </c>
      <c r="F2708" s="9" t="str">
        <v/>
      </c>
      <c r="G2708" s="9" t="str">
        <v/>
      </c>
      <c r="H2708" s="9" t="str">
        <v/>
      </c>
      <c r="I2708" s="11" t="str">
        <v/>
      </c>
      <c r="J2708" s="9">
        <v>0</v>
      </c>
      <c r="K2708" s="9" t="str">
        <v/>
      </c>
      <c r="L2708" s="9" t="str">
        <v/>
      </c>
      <c r="M2708" s="12" t="str">
        <v/>
      </c>
      <c r="N2708" s="5" t="str">
        <v/>
      </c>
      <c r="O2708" s="5" t="str">
        <v/>
      </c>
      <c r="P2708" s="5" t="str">
        <v/>
      </c>
      <c r="Q2708" s="14" t="str">
        <v/>
      </c>
      <c r="R2708" s="15">
        <v>0</v>
      </c>
    </row>
    <row r="2709" spans="2:18" x14ac:dyDescent="0.35">
      <c r="B2709" s="9">
        <v>2758</v>
      </c>
      <c r="C2709" s="9" t="str">
        <v/>
      </c>
      <c r="D2709" s="9" t="str">
        <v/>
      </c>
      <c r="E2709" s="9" t="str">
        <v/>
      </c>
      <c r="F2709" s="9" t="str">
        <v/>
      </c>
      <c r="G2709" s="9" t="str">
        <v/>
      </c>
      <c r="H2709" s="9" t="str">
        <v/>
      </c>
      <c r="I2709" s="11" t="str">
        <v/>
      </c>
      <c r="J2709" s="9">
        <v>0</v>
      </c>
      <c r="K2709" s="9" t="str">
        <v/>
      </c>
      <c r="L2709" s="9" t="str">
        <v/>
      </c>
      <c r="M2709" s="12" t="str">
        <v/>
      </c>
      <c r="N2709" s="5" t="str">
        <v/>
      </c>
      <c r="O2709" s="5" t="str">
        <v/>
      </c>
      <c r="P2709" s="5" t="str">
        <v/>
      </c>
      <c r="Q2709" s="14" t="str">
        <v/>
      </c>
      <c r="R2709" s="15">
        <v>0</v>
      </c>
    </row>
    <row r="2710" spans="2:18" x14ac:dyDescent="0.35">
      <c r="B2710" s="9">
        <v>2759</v>
      </c>
      <c r="C2710" s="9" t="str">
        <v/>
      </c>
      <c r="D2710" s="9" t="str">
        <v/>
      </c>
      <c r="E2710" s="9" t="str">
        <v/>
      </c>
      <c r="F2710" s="9" t="str">
        <v/>
      </c>
      <c r="G2710" s="9" t="str">
        <v/>
      </c>
      <c r="H2710" s="9" t="str">
        <v/>
      </c>
      <c r="I2710" s="11" t="str">
        <v/>
      </c>
      <c r="J2710" s="9">
        <v>0</v>
      </c>
      <c r="K2710" s="9" t="str">
        <v/>
      </c>
      <c r="L2710" s="9" t="str">
        <v/>
      </c>
      <c r="M2710" s="12" t="str">
        <v/>
      </c>
      <c r="N2710" s="5" t="str">
        <v/>
      </c>
      <c r="O2710" s="5" t="str">
        <v/>
      </c>
      <c r="P2710" s="5" t="str">
        <v/>
      </c>
      <c r="Q2710" s="14" t="str">
        <v/>
      </c>
      <c r="R2710" s="15">
        <v>0</v>
      </c>
    </row>
    <row r="2711" spans="2:18" x14ac:dyDescent="0.35">
      <c r="B2711" s="9">
        <v>2760</v>
      </c>
      <c r="C2711" s="9" t="str">
        <v/>
      </c>
      <c r="D2711" s="9" t="str">
        <v/>
      </c>
      <c r="E2711" s="9" t="str">
        <v/>
      </c>
      <c r="F2711" s="9" t="str">
        <v/>
      </c>
      <c r="G2711" s="9" t="str">
        <v/>
      </c>
      <c r="H2711" s="9" t="str">
        <v/>
      </c>
      <c r="I2711" s="11" t="str">
        <v/>
      </c>
      <c r="J2711" s="9">
        <v>0</v>
      </c>
      <c r="K2711" s="9" t="str">
        <v/>
      </c>
      <c r="L2711" s="9" t="str">
        <v/>
      </c>
      <c r="M2711" s="12" t="str">
        <v/>
      </c>
      <c r="N2711" s="5" t="str">
        <v/>
      </c>
      <c r="O2711" s="5" t="str">
        <v/>
      </c>
      <c r="P2711" s="5" t="str">
        <v/>
      </c>
      <c r="Q2711" s="14" t="str">
        <v/>
      </c>
      <c r="R2711" s="15">
        <v>0</v>
      </c>
    </row>
    <row r="2712" spans="2:18" x14ac:dyDescent="0.35">
      <c r="B2712" s="9">
        <v>2761</v>
      </c>
      <c r="C2712" s="9" t="str">
        <v/>
      </c>
      <c r="D2712" s="9" t="str">
        <v/>
      </c>
      <c r="E2712" s="9" t="str">
        <v/>
      </c>
      <c r="F2712" s="9" t="str">
        <v/>
      </c>
      <c r="G2712" s="9" t="str">
        <v/>
      </c>
      <c r="H2712" s="9" t="str">
        <v/>
      </c>
      <c r="I2712" s="11" t="str">
        <v/>
      </c>
      <c r="J2712" s="9">
        <v>0</v>
      </c>
      <c r="K2712" s="9" t="str">
        <v/>
      </c>
      <c r="L2712" s="9" t="str">
        <v/>
      </c>
      <c r="M2712" s="12" t="str">
        <v/>
      </c>
      <c r="N2712" s="5" t="str">
        <v/>
      </c>
      <c r="O2712" s="5" t="str">
        <v/>
      </c>
      <c r="P2712" s="5" t="str">
        <v/>
      </c>
      <c r="Q2712" s="14" t="str">
        <v/>
      </c>
      <c r="R2712" s="15">
        <v>0</v>
      </c>
    </row>
    <row r="2713" spans="2:18" x14ac:dyDescent="0.35">
      <c r="B2713" s="9">
        <v>2762</v>
      </c>
      <c r="C2713" s="9" t="str">
        <v/>
      </c>
      <c r="D2713" s="9" t="str">
        <v/>
      </c>
      <c r="E2713" s="9" t="str">
        <v/>
      </c>
      <c r="F2713" s="9" t="str">
        <v/>
      </c>
      <c r="G2713" s="9" t="str">
        <v/>
      </c>
      <c r="H2713" s="9" t="str">
        <v/>
      </c>
      <c r="I2713" s="11" t="str">
        <v/>
      </c>
      <c r="J2713" s="9">
        <v>0</v>
      </c>
      <c r="K2713" s="9" t="str">
        <v/>
      </c>
      <c r="L2713" s="9" t="str">
        <v/>
      </c>
      <c r="M2713" s="12" t="str">
        <v/>
      </c>
      <c r="N2713" s="5" t="str">
        <v/>
      </c>
      <c r="O2713" s="5" t="str">
        <v/>
      </c>
      <c r="P2713" s="5" t="str">
        <v/>
      </c>
      <c r="Q2713" s="14" t="str">
        <v/>
      </c>
      <c r="R2713" s="15">
        <v>0</v>
      </c>
    </row>
    <row r="2714" spans="2:18" x14ac:dyDescent="0.35">
      <c r="B2714" s="9">
        <v>2763</v>
      </c>
      <c r="C2714" s="9" t="str">
        <v/>
      </c>
      <c r="D2714" s="9" t="str">
        <v/>
      </c>
      <c r="E2714" s="9" t="str">
        <v/>
      </c>
      <c r="F2714" s="9" t="str">
        <v/>
      </c>
      <c r="G2714" s="9" t="str">
        <v/>
      </c>
      <c r="H2714" s="9" t="str">
        <v/>
      </c>
      <c r="I2714" s="11" t="str">
        <v/>
      </c>
      <c r="J2714" s="9">
        <v>0</v>
      </c>
      <c r="K2714" s="9" t="str">
        <v/>
      </c>
      <c r="L2714" s="9" t="str">
        <v/>
      </c>
      <c r="M2714" s="12" t="str">
        <v/>
      </c>
      <c r="N2714" s="5" t="str">
        <v/>
      </c>
      <c r="O2714" s="5" t="str">
        <v/>
      </c>
      <c r="P2714" s="5" t="str">
        <v/>
      </c>
      <c r="Q2714" s="14" t="str">
        <v/>
      </c>
      <c r="R2714" s="15">
        <v>0</v>
      </c>
    </row>
    <row r="2715" spans="2:18" x14ac:dyDescent="0.35">
      <c r="B2715" s="9">
        <v>2764</v>
      </c>
      <c r="C2715" s="9" t="str">
        <v/>
      </c>
      <c r="D2715" s="9" t="str">
        <v/>
      </c>
      <c r="E2715" s="9" t="str">
        <v/>
      </c>
      <c r="F2715" s="9" t="str">
        <v/>
      </c>
      <c r="G2715" s="9" t="str">
        <v/>
      </c>
      <c r="H2715" s="9" t="str">
        <v/>
      </c>
      <c r="I2715" s="11" t="str">
        <v/>
      </c>
      <c r="J2715" s="9">
        <v>0</v>
      </c>
      <c r="K2715" s="9" t="str">
        <v/>
      </c>
      <c r="L2715" s="9" t="str">
        <v/>
      </c>
      <c r="M2715" s="12" t="str">
        <v/>
      </c>
      <c r="N2715" s="5" t="str">
        <v/>
      </c>
      <c r="O2715" s="5" t="str">
        <v/>
      </c>
      <c r="P2715" s="5" t="str">
        <v/>
      </c>
      <c r="Q2715" s="14" t="str">
        <v/>
      </c>
      <c r="R2715" s="15">
        <v>0</v>
      </c>
    </row>
    <row r="2716" spans="2:18" x14ac:dyDescent="0.35">
      <c r="B2716" s="9">
        <v>2765</v>
      </c>
      <c r="C2716" s="9" t="str">
        <v/>
      </c>
      <c r="D2716" s="9" t="str">
        <v/>
      </c>
      <c r="E2716" s="9" t="str">
        <v/>
      </c>
      <c r="F2716" s="9" t="str">
        <v/>
      </c>
      <c r="G2716" s="9" t="str">
        <v/>
      </c>
      <c r="H2716" s="9" t="str">
        <v/>
      </c>
      <c r="I2716" s="11" t="str">
        <v/>
      </c>
      <c r="J2716" s="9">
        <v>0</v>
      </c>
      <c r="K2716" s="9" t="str">
        <v/>
      </c>
      <c r="L2716" s="9" t="str">
        <v/>
      </c>
      <c r="M2716" s="12" t="str">
        <v/>
      </c>
      <c r="N2716" s="5" t="str">
        <v/>
      </c>
      <c r="O2716" s="5" t="str">
        <v/>
      </c>
      <c r="P2716" s="5" t="str">
        <v/>
      </c>
      <c r="Q2716" s="14" t="str">
        <v/>
      </c>
      <c r="R2716" s="15">
        <v>0</v>
      </c>
    </row>
    <row r="2717" spans="2:18" x14ac:dyDescent="0.35">
      <c r="B2717" s="9">
        <v>2766</v>
      </c>
      <c r="C2717" s="9" t="str">
        <v/>
      </c>
      <c r="D2717" s="9" t="str">
        <v/>
      </c>
      <c r="E2717" s="9" t="str">
        <v/>
      </c>
      <c r="F2717" s="9" t="str">
        <v/>
      </c>
      <c r="G2717" s="9" t="str">
        <v/>
      </c>
      <c r="H2717" s="9" t="str">
        <v/>
      </c>
      <c r="I2717" s="11" t="str">
        <v/>
      </c>
      <c r="J2717" s="9">
        <v>0</v>
      </c>
      <c r="K2717" s="9" t="str">
        <v/>
      </c>
      <c r="L2717" s="9" t="str">
        <v/>
      </c>
      <c r="M2717" s="12" t="str">
        <v/>
      </c>
      <c r="N2717" s="5" t="str">
        <v/>
      </c>
      <c r="O2717" s="5" t="str">
        <v/>
      </c>
      <c r="P2717" s="5" t="str">
        <v/>
      </c>
      <c r="Q2717" s="14" t="str">
        <v/>
      </c>
      <c r="R2717" s="15">
        <v>0</v>
      </c>
    </row>
    <row r="2718" spans="2:18" x14ac:dyDescent="0.35">
      <c r="B2718" s="9">
        <v>2767</v>
      </c>
      <c r="C2718" s="9" t="str">
        <v/>
      </c>
      <c r="D2718" s="9" t="str">
        <v/>
      </c>
      <c r="E2718" s="9" t="str">
        <v/>
      </c>
      <c r="F2718" s="9" t="str">
        <v/>
      </c>
      <c r="G2718" s="9" t="str">
        <v/>
      </c>
      <c r="H2718" s="9" t="str">
        <v/>
      </c>
      <c r="I2718" s="11" t="str">
        <v/>
      </c>
      <c r="J2718" s="9">
        <v>0</v>
      </c>
      <c r="K2718" s="9" t="str">
        <v/>
      </c>
      <c r="L2718" s="9" t="str">
        <v/>
      </c>
      <c r="M2718" s="12" t="str">
        <v/>
      </c>
      <c r="N2718" s="5" t="str">
        <v/>
      </c>
      <c r="O2718" s="5" t="str">
        <v/>
      </c>
      <c r="P2718" s="5" t="str">
        <v/>
      </c>
      <c r="Q2718" s="14" t="str">
        <v/>
      </c>
      <c r="R2718" s="15">
        <v>0</v>
      </c>
    </row>
    <row r="2719" spans="2:18" x14ac:dyDescent="0.35">
      <c r="B2719" s="9">
        <v>2768</v>
      </c>
      <c r="C2719" s="9" t="str">
        <v/>
      </c>
      <c r="D2719" s="9" t="str">
        <v/>
      </c>
      <c r="E2719" s="9" t="str">
        <v/>
      </c>
      <c r="F2719" s="9" t="str">
        <v/>
      </c>
      <c r="G2719" s="9" t="str">
        <v/>
      </c>
      <c r="H2719" s="9" t="str">
        <v/>
      </c>
      <c r="I2719" s="11" t="str">
        <v/>
      </c>
      <c r="J2719" s="9">
        <v>0</v>
      </c>
      <c r="K2719" s="9" t="str">
        <v/>
      </c>
      <c r="L2719" s="9" t="str">
        <v/>
      </c>
      <c r="M2719" s="12" t="str">
        <v/>
      </c>
      <c r="N2719" s="5" t="str">
        <v/>
      </c>
      <c r="O2719" s="5" t="str">
        <v/>
      </c>
      <c r="P2719" s="5" t="str">
        <v/>
      </c>
      <c r="Q2719" s="14" t="str">
        <v/>
      </c>
      <c r="R2719" s="15">
        <v>0</v>
      </c>
    </row>
    <row r="2720" spans="2:18" x14ac:dyDescent="0.35">
      <c r="B2720" s="9">
        <v>2769</v>
      </c>
      <c r="C2720" s="9" t="str">
        <v/>
      </c>
      <c r="D2720" s="9" t="str">
        <v/>
      </c>
      <c r="E2720" s="9" t="str">
        <v/>
      </c>
      <c r="F2720" s="9" t="str">
        <v/>
      </c>
      <c r="G2720" s="9" t="str">
        <v/>
      </c>
      <c r="H2720" s="9" t="str">
        <v/>
      </c>
      <c r="I2720" s="11" t="str">
        <v/>
      </c>
      <c r="J2720" s="9">
        <v>0</v>
      </c>
      <c r="K2720" s="9" t="str">
        <v/>
      </c>
      <c r="L2720" s="9" t="str">
        <v/>
      </c>
      <c r="M2720" s="12" t="str">
        <v/>
      </c>
      <c r="N2720" s="5" t="str">
        <v/>
      </c>
      <c r="O2720" s="5" t="str">
        <v/>
      </c>
      <c r="P2720" s="5" t="str">
        <v/>
      </c>
      <c r="Q2720" s="14" t="str">
        <v/>
      </c>
      <c r="R2720" s="15">
        <v>0</v>
      </c>
    </row>
    <row r="2721" spans="2:18" x14ac:dyDescent="0.35">
      <c r="B2721" s="9">
        <v>2770</v>
      </c>
      <c r="C2721" s="9" t="str">
        <v/>
      </c>
      <c r="D2721" s="9" t="str">
        <v/>
      </c>
      <c r="E2721" s="9" t="str">
        <v/>
      </c>
      <c r="F2721" s="9" t="str">
        <v/>
      </c>
      <c r="G2721" s="9" t="str">
        <v/>
      </c>
      <c r="H2721" s="9" t="str">
        <v/>
      </c>
      <c r="I2721" s="11" t="str">
        <v/>
      </c>
      <c r="J2721" s="9">
        <v>0</v>
      </c>
      <c r="K2721" s="9" t="str">
        <v/>
      </c>
      <c r="L2721" s="9" t="str">
        <v/>
      </c>
      <c r="M2721" s="12" t="str">
        <v/>
      </c>
      <c r="N2721" s="5" t="str">
        <v/>
      </c>
      <c r="O2721" s="5" t="str">
        <v/>
      </c>
      <c r="P2721" s="5" t="str">
        <v/>
      </c>
      <c r="Q2721" s="14" t="str">
        <v/>
      </c>
      <c r="R2721" s="15">
        <v>0</v>
      </c>
    </row>
    <row r="2722" spans="2:18" x14ac:dyDescent="0.35">
      <c r="B2722" s="9">
        <v>2771</v>
      </c>
      <c r="C2722" s="9" t="str">
        <v/>
      </c>
      <c r="D2722" s="9" t="str">
        <v/>
      </c>
      <c r="E2722" s="9" t="str">
        <v/>
      </c>
      <c r="F2722" s="9" t="str">
        <v/>
      </c>
      <c r="G2722" s="9" t="str">
        <v/>
      </c>
      <c r="H2722" s="9" t="str">
        <v/>
      </c>
      <c r="I2722" s="11" t="str">
        <v/>
      </c>
      <c r="J2722" s="9">
        <v>0</v>
      </c>
      <c r="K2722" s="9" t="str">
        <v/>
      </c>
      <c r="L2722" s="9" t="str">
        <v/>
      </c>
      <c r="M2722" s="12" t="str">
        <v/>
      </c>
      <c r="N2722" s="5" t="str">
        <v/>
      </c>
      <c r="O2722" s="5" t="str">
        <v/>
      </c>
      <c r="P2722" s="5" t="str">
        <v/>
      </c>
      <c r="Q2722" s="14" t="str">
        <v/>
      </c>
      <c r="R2722" s="15">
        <v>0</v>
      </c>
    </row>
    <row r="2723" spans="2:18" x14ac:dyDescent="0.35">
      <c r="B2723" s="9">
        <v>2772</v>
      </c>
      <c r="C2723" s="9" t="str">
        <v/>
      </c>
      <c r="D2723" s="9" t="str">
        <v/>
      </c>
      <c r="E2723" s="9" t="str">
        <v/>
      </c>
      <c r="F2723" s="9" t="str">
        <v/>
      </c>
      <c r="G2723" s="9" t="str">
        <v/>
      </c>
      <c r="H2723" s="9" t="str">
        <v/>
      </c>
      <c r="I2723" s="11" t="str">
        <v/>
      </c>
      <c r="J2723" s="9">
        <v>0</v>
      </c>
      <c r="K2723" s="9" t="str">
        <v/>
      </c>
      <c r="L2723" s="9" t="str">
        <v/>
      </c>
      <c r="M2723" s="12" t="str">
        <v/>
      </c>
      <c r="N2723" s="5" t="str">
        <v/>
      </c>
      <c r="O2723" s="5" t="str">
        <v/>
      </c>
      <c r="P2723" s="5" t="str">
        <v/>
      </c>
      <c r="Q2723" s="14" t="str">
        <v/>
      </c>
      <c r="R2723" s="15">
        <v>0</v>
      </c>
    </row>
    <row r="2724" spans="2:18" x14ac:dyDescent="0.35">
      <c r="B2724" s="9">
        <v>2773</v>
      </c>
      <c r="C2724" s="9" t="str">
        <v/>
      </c>
      <c r="D2724" s="9" t="str">
        <v/>
      </c>
      <c r="E2724" s="9" t="str">
        <v/>
      </c>
      <c r="F2724" s="9" t="str">
        <v/>
      </c>
      <c r="G2724" s="9" t="str">
        <v/>
      </c>
      <c r="H2724" s="9" t="str">
        <v/>
      </c>
      <c r="I2724" s="11" t="str">
        <v/>
      </c>
      <c r="J2724" s="9">
        <v>0</v>
      </c>
      <c r="K2724" s="9" t="str">
        <v/>
      </c>
      <c r="L2724" s="9" t="str">
        <v/>
      </c>
      <c r="M2724" s="12" t="str">
        <v/>
      </c>
      <c r="N2724" s="5" t="str">
        <v/>
      </c>
      <c r="O2724" s="5" t="str">
        <v/>
      </c>
      <c r="P2724" s="5" t="str">
        <v/>
      </c>
      <c r="Q2724" s="14" t="str">
        <v/>
      </c>
      <c r="R2724" s="15">
        <v>0</v>
      </c>
    </row>
    <row r="2725" spans="2:18" x14ac:dyDescent="0.35">
      <c r="B2725" s="9">
        <v>2774</v>
      </c>
      <c r="C2725" s="9" t="str">
        <v/>
      </c>
      <c r="D2725" s="9" t="str">
        <v/>
      </c>
      <c r="E2725" s="9" t="str">
        <v/>
      </c>
      <c r="F2725" s="9" t="str">
        <v/>
      </c>
      <c r="G2725" s="9" t="str">
        <v/>
      </c>
      <c r="H2725" s="9" t="str">
        <v/>
      </c>
      <c r="I2725" s="11" t="str">
        <v/>
      </c>
      <c r="J2725" s="9">
        <v>0</v>
      </c>
      <c r="K2725" s="9" t="str">
        <v/>
      </c>
      <c r="L2725" s="9" t="str">
        <v/>
      </c>
      <c r="M2725" s="12" t="str">
        <v/>
      </c>
      <c r="N2725" s="5" t="str">
        <v/>
      </c>
      <c r="O2725" s="5" t="str">
        <v/>
      </c>
      <c r="P2725" s="5" t="str">
        <v/>
      </c>
      <c r="Q2725" s="14" t="str">
        <v/>
      </c>
      <c r="R2725" s="15">
        <v>0</v>
      </c>
    </row>
    <row r="2726" spans="2:18" x14ac:dyDescent="0.35">
      <c r="B2726" s="9">
        <v>2775</v>
      </c>
      <c r="C2726" s="9" t="str">
        <v/>
      </c>
      <c r="D2726" s="9" t="str">
        <v/>
      </c>
      <c r="E2726" s="9" t="str">
        <v/>
      </c>
      <c r="F2726" s="9" t="str">
        <v/>
      </c>
      <c r="G2726" s="9" t="str">
        <v/>
      </c>
      <c r="H2726" s="9" t="str">
        <v/>
      </c>
      <c r="I2726" s="11" t="str">
        <v/>
      </c>
      <c r="J2726" s="9">
        <v>0</v>
      </c>
      <c r="K2726" s="9" t="str">
        <v/>
      </c>
      <c r="L2726" s="9" t="str">
        <v/>
      </c>
      <c r="M2726" s="12" t="str">
        <v/>
      </c>
      <c r="N2726" s="5" t="str">
        <v/>
      </c>
      <c r="O2726" s="5" t="str">
        <v/>
      </c>
      <c r="P2726" s="5" t="str">
        <v/>
      </c>
      <c r="Q2726" s="14" t="str">
        <v/>
      </c>
      <c r="R2726" s="15">
        <v>0</v>
      </c>
    </row>
    <row r="2727" spans="2:18" x14ac:dyDescent="0.35">
      <c r="B2727" s="9">
        <v>2776</v>
      </c>
      <c r="C2727" s="9" t="str">
        <v/>
      </c>
      <c r="D2727" s="9" t="str">
        <v/>
      </c>
      <c r="E2727" s="9" t="str">
        <v/>
      </c>
      <c r="F2727" s="9" t="str">
        <v/>
      </c>
      <c r="G2727" s="9" t="str">
        <v/>
      </c>
      <c r="H2727" s="9" t="str">
        <v/>
      </c>
      <c r="I2727" s="11" t="str">
        <v/>
      </c>
      <c r="J2727" s="9">
        <v>0</v>
      </c>
      <c r="K2727" s="9" t="str">
        <v/>
      </c>
      <c r="L2727" s="9" t="str">
        <v/>
      </c>
      <c r="M2727" s="12" t="str">
        <v/>
      </c>
      <c r="N2727" s="5" t="str">
        <v/>
      </c>
      <c r="O2727" s="5" t="str">
        <v/>
      </c>
      <c r="P2727" s="5" t="str">
        <v/>
      </c>
      <c r="Q2727" s="14" t="str">
        <v/>
      </c>
      <c r="R2727" s="15">
        <v>0</v>
      </c>
    </row>
    <row r="2728" spans="2:18" x14ac:dyDescent="0.35">
      <c r="B2728" s="9">
        <v>2777</v>
      </c>
      <c r="C2728" s="9" t="str">
        <v/>
      </c>
      <c r="D2728" s="9" t="str">
        <v/>
      </c>
      <c r="E2728" s="9" t="str">
        <v/>
      </c>
      <c r="F2728" s="9" t="str">
        <v/>
      </c>
      <c r="G2728" s="9" t="str">
        <v/>
      </c>
      <c r="H2728" s="9" t="str">
        <v/>
      </c>
      <c r="I2728" s="11" t="str">
        <v/>
      </c>
      <c r="J2728" s="9">
        <v>0</v>
      </c>
      <c r="K2728" s="9" t="str">
        <v/>
      </c>
      <c r="L2728" s="9" t="str">
        <v/>
      </c>
      <c r="M2728" s="12" t="str">
        <v/>
      </c>
      <c r="N2728" s="5" t="str">
        <v/>
      </c>
      <c r="O2728" s="5" t="str">
        <v/>
      </c>
      <c r="P2728" s="5" t="str">
        <v/>
      </c>
      <c r="Q2728" s="14" t="str">
        <v/>
      </c>
      <c r="R2728" s="15">
        <v>0</v>
      </c>
    </row>
    <row r="2729" spans="2:18" x14ac:dyDescent="0.35">
      <c r="B2729" s="9">
        <v>2778</v>
      </c>
      <c r="C2729" s="9" t="str">
        <v/>
      </c>
      <c r="D2729" s="9" t="str">
        <v/>
      </c>
      <c r="E2729" s="9" t="str">
        <v/>
      </c>
      <c r="F2729" s="9" t="str">
        <v/>
      </c>
      <c r="G2729" s="9" t="str">
        <v/>
      </c>
      <c r="H2729" s="9" t="str">
        <v/>
      </c>
      <c r="I2729" s="11" t="str">
        <v/>
      </c>
      <c r="J2729" s="9">
        <v>0</v>
      </c>
      <c r="K2729" s="9" t="str">
        <v/>
      </c>
      <c r="L2729" s="9" t="str">
        <v/>
      </c>
      <c r="M2729" s="12" t="str">
        <v/>
      </c>
      <c r="N2729" s="5" t="str">
        <v/>
      </c>
      <c r="O2729" s="5" t="str">
        <v/>
      </c>
      <c r="P2729" s="5" t="str">
        <v/>
      </c>
      <c r="Q2729" s="14" t="str">
        <v/>
      </c>
      <c r="R2729" s="15">
        <v>0</v>
      </c>
    </row>
    <row r="2730" spans="2:18" x14ac:dyDescent="0.35">
      <c r="B2730" s="9">
        <v>2779</v>
      </c>
      <c r="C2730" s="9" t="str">
        <v/>
      </c>
      <c r="D2730" s="9" t="str">
        <v/>
      </c>
      <c r="E2730" s="9" t="str">
        <v/>
      </c>
      <c r="F2730" s="9" t="str">
        <v/>
      </c>
      <c r="G2730" s="9" t="str">
        <v/>
      </c>
      <c r="H2730" s="9" t="str">
        <v/>
      </c>
      <c r="I2730" s="11" t="str">
        <v/>
      </c>
      <c r="J2730" s="9">
        <v>0</v>
      </c>
      <c r="K2730" s="9" t="str">
        <v/>
      </c>
      <c r="L2730" s="9" t="str">
        <v/>
      </c>
      <c r="M2730" s="12" t="str">
        <v/>
      </c>
      <c r="N2730" s="5" t="str">
        <v/>
      </c>
      <c r="O2730" s="5" t="str">
        <v/>
      </c>
      <c r="P2730" s="5" t="str">
        <v/>
      </c>
      <c r="Q2730" s="14" t="str">
        <v/>
      </c>
      <c r="R2730" s="15">
        <v>0</v>
      </c>
    </row>
    <row r="2731" spans="2:18" x14ac:dyDescent="0.35">
      <c r="B2731" s="9">
        <v>2780</v>
      </c>
      <c r="C2731" s="9" t="str">
        <v/>
      </c>
      <c r="D2731" s="9" t="str">
        <v/>
      </c>
      <c r="E2731" s="9" t="str">
        <v/>
      </c>
      <c r="F2731" s="9" t="str">
        <v/>
      </c>
      <c r="G2731" s="9" t="str">
        <v/>
      </c>
      <c r="H2731" s="9" t="str">
        <v/>
      </c>
      <c r="I2731" s="11" t="str">
        <v/>
      </c>
      <c r="J2731" s="9">
        <v>0</v>
      </c>
      <c r="K2731" s="9" t="str">
        <v/>
      </c>
      <c r="L2731" s="9" t="str">
        <v/>
      </c>
      <c r="M2731" s="12" t="str">
        <v/>
      </c>
      <c r="N2731" s="5" t="str">
        <v/>
      </c>
      <c r="O2731" s="5" t="str">
        <v/>
      </c>
      <c r="P2731" s="5" t="str">
        <v/>
      </c>
      <c r="Q2731" s="14" t="str">
        <v/>
      </c>
      <c r="R2731" s="15">
        <v>0</v>
      </c>
    </row>
    <row r="2732" spans="2:18" x14ac:dyDescent="0.35">
      <c r="B2732" s="9">
        <v>2781</v>
      </c>
      <c r="C2732" s="9" t="str">
        <v/>
      </c>
      <c r="D2732" s="9" t="str">
        <v/>
      </c>
      <c r="E2732" s="9" t="str">
        <v/>
      </c>
      <c r="F2732" s="9" t="str">
        <v/>
      </c>
      <c r="G2732" s="9" t="str">
        <v/>
      </c>
      <c r="H2732" s="9" t="str">
        <v/>
      </c>
      <c r="I2732" s="11" t="str">
        <v/>
      </c>
      <c r="J2732" s="9">
        <v>0</v>
      </c>
      <c r="K2732" s="9" t="str">
        <v/>
      </c>
      <c r="L2732" s="9" t="str">
        <v/>
      </c>
      <c r="M2732" s="12" t="str">
        <v/>
      </c>
      <c r="N2732" s="5" t="str">
        <v/>
      </c>
      <c r="O2732" s="5" t="str">
        <v/>
      </c>
      <c r="P2732" s="5" t="str">
        <v/>
      </c>
      <c r="Q2732" s="14" t="str">
        <v/>
      </c>
      <c r="R2732" s="15">
        <v>0</v>
      </c>
    </row>
    <row r="2733" spans="2:18" x14ac:dyDescent="0.35">
      <c r="B2733" s="9">
        <v>2782</v>
      </c>
      <c r="C2733" s="9" t="str">
        <v/>
      </c>
      <c r="D2733" s="9" t="str">
        <v/>
      </c>
      <c r="E2733" s="9" t="str">
        <v/>
      </c>
      <c r="F2733" s="9" t="str">
        <v/>
      </c>
      <c r="G2733" s="9" t="str">
        <v/>
      </c>
      <c r="H2733" s="9" t="str">
        <v/>
      </c>
      <c r="I2733" s="11" t="str">
        <v/>
      </c>
      <c r="J2733" s="9">
        <v>0</v>
      </c>
      <c r="K2733" s="9" t="str">
        <v/>
      </c>
      <c r="L2733" s="9" t="str">
        <v/>
      </c>
      <c r="M2733" s="12" t="str">
        <v/>
      </c>
      <c r="N2733" s="5" t="str">
        <v/>
      </c>
      <c r="O2733" s="5" t="str">
        <v/>
      </c>
      <c r="P2733" s="5" t="str">
        <v/>
      </c>
      <c r="Q2733" s="14" t="str">
        <v/>
      </c>
      <c r="R2733" s="15">
        <v>0</v>
      </c>
    </row>
    <row r="2734" spans="2:18" x14ac:dyDescent="0.35">
      <c r="B2734" s="9">
        <v>2783</v>
      </c>
      <c r="C2734" s="9" t="str">
        <v/>
      </c>
      <c r="D2734" s="9" t="str">
        <v/>
      </c>
      <c r="E2734" s="9" t="str">
        <v/>
      </c>
      <c r="F2734" s="9" t="str">
        <v/>
      </c>
      <c r="G2734" s="9" t="str">
        <v/>
      </c>
      <c r="H2734" s="9" t="str">
        <v/>
      </c>
      <c r="I2734" s="11" t="str">
        <v/>
      </c>
      <c r="J2734" s="9">
        <v>0</v>
      </c>
      <c r="K2734" s="9" t="str">
        <v/>
      </c>
      <c r="L2734" s="9" t="str">
        <v/>
      </c>
      <c r="M2734" s="12" t="str">
        <v/>
      </c>
      <c r="N2734" s="5" t="str">
        <v/>
      </c>
      <c r="O2734" s="5" t="str">
        <v/>
      </c>
      <c r="P2734" s="5" t="str">
        <v/>
      </c>
      <c r="Q2734" s="14" t="str">
        <v/>
      </c>
      <c r="R2734" s="15">
        <v>0</v>
      </c>
    </row>
    <row r="2735" spans="2:18" x14ac:dyDescent="0.35">
      <c r="B2735" s="9">
        <v>2784</v>
      </c>
      <c r="C2735" s="9" t="str">
        <v/>
      </c>
      <c r="D2735" s="9" t="str">
        <v/>
      </c>
      <c r="E2735" s="9" t="str">
        <v/>
      </c>
      <c r="F2735" s="9" t="str">
        <v/>
      </c>
      <c r="G2735" s="9" t="str">
        <v/>
      </c>
      <c r="H2735" s="9" t="str">
        <v/>
      </c>
      <c r="I2735" s="11" t="str">
        <v/>
      </c>
      <c r="J2735" s="9">
        <v>0</v>
      </c>
      <c r="K2735" s="9" t="str">
        <v/>
      </c>
      <c r="L2735" s="9" t="str">
        <v/>
      </c>
      <c r="M2735" s="12" t="str">
        <v/>
      </c>
      <c r="N2735" s="5" t="str">
        <v/>
      </c>
      <c r="O2735" s="5" t="str">
        <v/>
      </c>
      <c r="P2735" s="5" t="str">
        <v/>
      </c>
      <c r="Q2735" s="14" t="str">
        <v/>
      </c>
      <c r="R2735" s="15">
        <v>0</v>
      </c>
    </row>
    <row r="2736" spans="2:18" x14ac:dyDescent="0.35">
      <c r="B2736" s="9">
        <v>2785</v>
      </c>
      <c r="C2736" s="9" t="str">
        <v/>
      </c>
      <c r="D2736" s="9" t="str">
        <v/>
      </c>
      <c r="E2736" s="9" t="str">
        <v/>
      </c>
      <c r="F2736" s="9" t="str">
        <v/>
      </c>
      <c r="G2736" s="9" t="str">
        <v/>
      </c>
      <c r="H2736" s="9" t="str">
        <v/>
      </c>
      <c r="I2736" s="11" t="str">
        <v/>
      </c>
      <c r="J2736" s="9">
        <v>0</v>
      </c>
      <c r="K2736" s="9" t="str">
        <v/>
      </c>
      <c r="L2736" s="9" t="str">
        <v/>
      </c>
      <c r="M2736" s="12" t="str">
        <v/>
      </c>
      <c r="N2736" s="5" t="str">
        <v/>
      </c>
      <c r="O2736" s="5" t="str">
        <v/>
      </c>
      <c r="P2736" s="5" t="str">
        <v/>
      </c>
      <c r="Q2736" s="14" t="str">
        <v/>
      </c>
      <c r="R2736" s="15">
        <v>0</v>
      </c>
    </row>
    <row r="2737" spans="2:18" x14ac:dyDescent="0.35">
      <c r="B2737" s="9">
        <v>2786</v>
      </c>
      <c r="C2737" s="9" t="str">
        <v/>
      </c>
      <c r="D2737" s="9" t="str">
        <v/>
      </c>
      <c r="E2737" s="9" t="str">
        <v/>
      </c>
      <c r="F2737" s="9" t="str">
        <v/>
      </c>
      <c r="G2737" s="9" t="str">
        <v/>
      </c>
      <c r="H2737" s="9" t="str">
        <v/>
      </c>
      <c r="I2737" s="11" t="str">
        <v/>
      </c>
      <c r="J2737" s="9">
        <v>0</v>
      </c>
      <c r="K2737" s="9" t="str">
        <v/>
      </c>
      <c r="L2737" s="9" t="str">
        <v/>
      </c>
      <c r="M2737" s="12" t="str">
        <v/>
      </c>
      <c r="N2737" s="5" t="str">
        <v/>
      </c>
      <c r="O2737" s="5" t="str">
        <v/>
      </c>
      <c r="P2737" s="5" t="str">
        <v/>
      </c>
      <c r="Q2737" s="14" t="str">
        <v/>
      </c>
      <c r="R2737" s="15">
        <v>0</v>
      </c>
    </row>
    <row r="2738" spans="2:18" x14ac:dyDescent="0.35">
      <c r="B2738" s="9">
        <v>2787</v>
      </c>
      <c r="C2738" s="9" t="str">
        <v/>
      </c>
      <c r="D2738" s="9" t="str">
        <v/>
      </c>
      <c r="E2738" s="9" t="str">
        <v/>
      </c>
      <c r="F2738" s="9" t="str">
        <v/>
      </c>
      <c r="G2738" s="9" t="str">
        <v/>
      </c>
      <c r="H2738" s="9" t="str">
        <v/>
      </c>
      <c r="I2738" s="11" t="str">
        <v/>
      </c>
      <c r="J2738" s="9">
        <v>0</v>
      </c>
      <c r="K2738" s="9" t="str">
        <v/>
      </c>
      <c r="L2738" s="9" t="str">
        <v/>
      </c>
      <c r="M2738" s="12" t="str">
        <v/>
      </c>
      <c r="N2738" s="5" t="str">
        <v/>
      </c>
      <c r="O2738" s="5" t="str">
        <v/>
      </c>
      <c r="P2738" s="5" t="str">
        <v/>
      </c>
      <c r="Q2738" s="14" t="str">
        <v/>
      </c>
      <c r="R2738" s="15">
        <v>0</v>
      </c>
    </row>
    <row r="2739" spans="2:18" x14ac:dyDescent="0.35">
      <c r="B2739" s="9">
        <v>2788</v>
      </c>
      <c r="C2739" s="9" t="str">
        <v/>
      </c>
      <c r="D2739" s="9" t="str">
        <v/>
      </c>
      <c r="E2739" s="9" t="str">
        <v/>
      </c>
      <c r="F2739" s="9" t="str">
        <v/>
      </c>
      <c r="G2739" s="9" t="str">
        <v/>
      </c>
      <c r="H2739" s="9" t="str">
        <v/>
      </c>
      <c r="I2739" s="11" t="str">
        <v/>
      </c>
      <c r="J2739" s="9">
        <v>0</v>
      </c>
      <c r="K2739" s="9" t="str">
        <v/>
      </c>
      <c r="L2739" s="9" t="str">
        <v/>
      </c>
      <c r="M2739" s="12" t="str">
        <v/>
      </c>
      <c r="N2739" s="5" t="str">
        <v/>
      </c>
      <c r="O2739" s="5" t="str">
        <v/>
      </c>
      <c r="P2739" s="5" t="str">
        <v/>
      </c>
      <c r="Q2739" s="14" t="str">
        <v/>
      </c>
      <c r="R2739" s="15">
        <v>0</v>
      </c>
    </row>
    <row r="2740" spans="2:18" x14ac:dyDescent="0.35">
      <c r="B2740" s="9">
        <v>2789</v>
      </c>
      <c r="C2740" s="9" t="str">
        <v/>
      </c>
      <c r="D2740" s="9" t="str">
        <v/>
      </c>
      <c r="E2740" s="9" t="str">
        <v/>
      </c>
      <c r="F2740" s="9" t="str">
        <v/>
      </c>
      <c r="G2740" s="9" t="str">
        <v/>
      </c>
      <c r="H2740" s="9" t="str">
        <v/>
      </c>
      <c r="I2740" s="11" t="str">
        <v/>
      </c>
      <c r="J2740" s="9">
        <v>0</v>
      </c>
      <c r="K2740" s="9" t="str">
        <v/>
      </c>
      <c r="L2740" s="9" t="str">
        <v/>
      </c>
      <c r="M2740" s="12" t="str">
        <v/>
      </c>
      <c r="N2740" s="5" t="str">
        <v/>
      </c>
      <c r="O2740" s="5" t="str">
        <v/>
      </c>
      <c r="P2740" s="5" t="str">
        <v/>
      </c>
      <c r="Q2740" s="14" t="str">
        <v/>
      </c>
      <c r="R2740" s="15">
        <v>0</v>
      </c>
    </row>
    <row r="2741" spans="2:18" x14ac:dyDescent="0.35">
      <c r="B2741" s="9">
        <v>2790</v>
      </c>
      <c r="C2741" s="9" t="str">
        <v/>
      </c>
      <c r="D2741" s="9" t="str">
        <v/>
      </c>
      <c r="E2741" s="9" t="str">
        <v/>
      </c>
      <c r="F2741" s="9" t="str">
        <v/>
      </c>
      <c r="G2741" s="9" t="str">
        <v/>
      </c>
      <c r="H2741" s="9" t="str">
        <v/>
      </c>
      <c r="I2741" s="11" t="str">
        <v/>
      </c>
      <c r="J2741" s="9">
        <v>0</v>
      </c>
      <c r="K2741" s="9" t="str">
        <v/>
      </c>
      <c r="L2741" s="9" t="str">
        <v/>
      </c>
      <c r="M2741" s="12" t="str">
        <v/>
      </c>
      <c r="N2741" s="5" t="str">
        <v/>
      </c>
      <c r="O2741" s="5" t="str">
        <v/>
      </c>
      <c r="P2741" s="5" t="str">
        <v/>
      </c>
      <c r="Q2741" s="14" t="str">
        <v/>
      </c>
      <c r="R2741" s="15">
        <v>0</v>
      </c>
    </row>
    <row r="2742" spans="2:18" x14ac:dyDescent="0.35">
      <c r="B2742" s="9">
        <v>2791</v>
      </c>
      <c r="C2742" s="9" t="str">
        <v/>
      </c>
      <c r="D2742" s="9" t="str">
        <v/>
      </c>
      <c r="E2742" s="9" t="str">
        <v/>
      </c>
      <c r="F2742" s="9" t="str">
        <v/>
      </c>
      <c r="G2742" s="9" t="str">
        <v/>
      </c>
      <c r="H2742" s="9" t="str">
        <v/>
      </c>
      <c r="I2742" s="11" t="str">
        <v/>
      </c>
      <c r="J2742" s="9">
        <v>0</v>
      </c>
      <c r="K2742" s="9" t="str">
        <v/>
      </c>
      <c r="L2742" s="9" t="str">
        <v/>
      </c>
      <c r="M2742" s="12" t="str">
        <v/>
      </c>
      <c r="N2742" s="5" t="str">
        <v/>
      </c>
      <c r="O2742" s="5" t="str">
        <v/>
      </c>
      <c r="P2742" s="5" t="str">
        <v/>
      </c>
      <c r="Q2742" s="14" t="str">
        <v/>
      </c>
      <c r="R2742" s="15">
        <v>0</v>
      </c>
    </row>
    <row r="2743" spans="2:18" x14ac:dyDescent="0.35">
      <c r="B2743" s="9">
        <v>2792</v>
      </c>
      <c r="C2743" s="9" t="str">
        <v/>
      </c>
      <c r="D2743" s="9" t="str">
        <v/>
      </c>
      <c r="E2743" s="9" t="str">
        <v/>
      </c>
      <c r="F2743" s="9" t="str">
        <v/>
      </c>
      <c r="G2743" s="9" t="str">
        <v/>
      </c>
      <c r="H2743" s="9" t="str">
        <v/>
      </c>
      <c r="I2743" s="11" t="str">
        <v/>
      </c>
      <c r="J2743" s="9">
        <v>0</v>
      </c>
      <c r="K2743" s="9" t="str">
        <v/>
      </c>
      <c r="L2743" s="9" t="str">
        <v/>
      </c>
      <c r="M2743" s="12" t="str">
        <v/>
      </c>
      <c r="N2743" s="5" t="str">
        <v/>
      </c>
      <c r="O2743" s="5" t="str">
        <v/>
      </c>
      <c r="P2743" s="5" t="str">
        <v/>
      </c>
      <c r="Q2743" s="14" t="str">
        <v/>
      </c>
      <c r="R2743" s="15">
        <v>0</v>
      </c>
    </row>
    <row r="2744" spans="2:18" x14ac:dyDescent="0.35">
      <c r="B2744" s="9">
        <v>2793</v>
      </c>
      <c r="C2744" s="9" t="str">
        <v/>
      </c>
      <c r="D2744" s="9" t="str">
        <v/>
      </c>
      <c r="E2744" s="9" t="str">
        <v/>
      </c>
      <c r="F2744" s="9" t="str">
        <v/>
      </c>
      <c r="G2744" s="9" t="str">
        <v/>
      </c>
      <c r="H2744" s="9" t="str">
        <v/>
      </c>
      <c r="I2744" s="11" t="str">
        <v/>
      </c>
      <c r="J2744" s="9">
        <v>0</v>
      </c>
      <c r="K2744" s="9" t="str">
        <v/>
      </c>
      <c r="L2744" s="9" t="str">
        <v/>
      </c>
      <c r="M2744" s="12" t="str">
        <v/>
      </c>
      <c r="N2744" s="5" t="str">
        <v/>
      </c>
      <c r="O2744" s="5" t="str">
        <v/>
      </c>
      <c r="P2744" s="5" t="str">
        <v/>
      </c>
      <c r="Q2744" s="14" t="str">
        <v/>
      </c>
      <c r="R2744" s="15">
        <v>0</v>
      </c>
    </row>
    <row r="2745" spans="2:18" x14ac:dyDescent="0.35">
      <c r="B2745" s="9">
        <v>2794</v>
      </c>
      <c r="C2745" s="9" t="str">
        <v/>
      </c>
      <c r="D2745" s="9" t="str">
        <v/>
      </c>
      <c r="E2745" s="9" t="str">
        <v/>
      </c>
      <c r="F2745" s="9" t="str">
        <v/>
      </c>
      <c r="G2745" s="9" t="str">
        <v/>
      </c>
      <c r="H2745" s="9" t="str">
        <v/>
      </c>
      <c r="I2745" s="11" t="str">
        <v/>
      </c>
      <c r="J2745" s="9">
        <v>0</v>
      </c>
      <c r="K2745" s="9" t="str">
        <v/>
      </c>
      <c r="L2745" s="9" t="str">
        <v/>
      </c>
      <c r="M2745" s="12" t="str">
        <v/>
      </c>
      <c r="N2745" s="5" t="str">
        <v/>
      </c>
      <c r="O2745" s="5" t="str">
        <v/>
      </c>
      <c r="P2745" s="5" t="str">
        <v/>
      </c>
      <c r="Q2745" s="14" t="str">
        <v/>
      </c>
      <c r="R2745" s="15">
        <v>0</v>
      </c>
    </row>
    <row r="2746" spans="2:18" x14ac:dyDescent="0.35">
      <c r="B2746" s="9">
        <v>2795</v>
      </c>
      <c r="C2746" s="9" t="str">
        <v/>
      </c>
      <c r="D2746" s="9" t="str">
        <v/>
      </c>
      <c r="E2746" s="9" t="str">
        <v/>
      </c>
      <c r="F2746" s="9" t="str">
        <v/>
      </c>
      <c r="G2746" s="9" t="str">
        <v/>
      </c>
      <c r="H2746" s="9" t="str">
        <v/>
      </c>
      <c r="I2746" s="11" t="str">
        <v/>
      </c>
      <c r="J2746" s="9">
        <v>0</v>
      </c>
      <c r="K2746" s="9" t="str">
        <v/>
      </c>
      <c r="L2746" s="9" t="str">
        <v/>
      </c>
      <c r="M2746" s="12" t="str">
        <v/>
      </c>
      <c r="N2746" s="5" t="str">
        <v/>
      </c>
      <c r="O2746" s="5" t="str">
        <v/>
      </c>
      <c r="P2746" s="5" t="str">
        <v/>
      </c>
      <c r="Q2746" s="14" t="str">
        <v/>
      </c>
      <c r="R2746" s="15">
        <v>0</v>
      </c>
    </row>
    <row r="2747" spans="2:18" x14ac:dyDescent="0.35">
      <c r="B2747" s="9">
        <v>2796</v>
      </c>
      <c r="C2747" s="9" t="str">
        <v/>
      </c>
      <c r="D2747" s="9" t="str">
        <v/>
      </c>
      <c r="E2747" s="9" t="str">
        <v/>
      </c>
      <c r="F2747" s="9" t="str">
        <v/>
      </c>
      <c r="G2747" s="9" t="str">
        <v/>
      </c>
      <c r="H2747" s="9" t="str">
        <v/>
      </c>
      <c r="I2747" s="11" t="str">
        <v/>
      </c>
      <c r="J2747" s="9">
        <v>0</v>
      </c>
      <c r="K2747" s="9" t="str">
        <v/>
      </c>
      <c r="L2747" s="9" t="str">
        <v/>
      </c>
      <c r="M2747" s="12" t="str">
        <v/>
      </c>
      <c r="N2747" s="5" t="str">
        <v/>
      </c>
      <c r="O2747" s="5" t="str">
        <v/>
      </c>
      <c r="P2747" s="5" t="str">
        <v/>
      </c>
      <c r="Q2747" s="14" t="str">
        <v/>
      </c>
      <c r="R2747" s="15">
        <v>0</v>
      </c>
    </row>
    <row r="2748" spans="2:18" x14ac:dyDescent="0.35">
      <c r="B2748" s="9">
        <v>2797</v>
      </c>
      <c r="C2748" s="9" t="str">
        <v/>
      </c>
      <c r="D2748" s="9" t="str">
        <v/>
      </c>
      <c r="E2748" s="9" t="str">
        <v/>
      </c>
      <c r="F2748" s="9" t="str">
        <v/>
      </c>
      <c r="G2748" s="9" t="str">
        <v/>
      </c>
      <c r="H2748" s="9" t="str">
        <v/>
      </c>
      <c r="I2748" s="11" t="str">
        <v/>
      </c>
      <c r="J2748" s="9">
        <v>0</v>
      </c>
      <c r="K2748" s="9" t="str">
        <v/>
      </c>
      <c r="L2748" s="9" t="str">
        <v/>
      </c>
      <c r="M2748" s="12" t="str">
        <v/>
      </c>
      <c r="N2748" s="5" t="str">
        <v/>
      </c>
      <c r="O2748" s="5" t="str">
        <v/>
      </c>
      <c r="P2748" s="5" t="str">
        <v/>
      </c>
      <c r="Q2748" s="14" t="str">
        <v/>
      </c>
      <c r="R2748" s="15">
        <v>0</v>
      </c>
    </row>
    <row r="2749" spans="2:18" x14ac:dyDescent="0.35">
      <c r="B2749" s="9">
        <v>2798</v>
      </c>
      <c r="C2749" s="9" t="str">
        <v/>
      </c>
      <c r="D2749" s="9" t="str">
        <v/>
      </c>
      <c r="E2749" s="9" t="str">
        <v/>
      </c>
      <c r="F2749" s="9" t="str">
        <v/>
      </c>
      <c r="G2749" s="9" t="str">
        <v/>
      </c>
      <c r="H2749" s="9" t="str">
        <v/>
      </c>
      <c r="I2749" s="11" t="str">
        <v/>
      </c>
      <c r="J2749" s="9">
        <v>0</v>
      </c>
      <c r="K2749" s="9" t="str">
        <v/>
      </c>
      <c r="L2749" s="9" t="str">
        <v/>
      </c>
      <c r="M2749" s="12" t="str">
        <v/>
      </c>
      <c r="N2749" s="5" t="str">
        <v/>
      </c>
      <c r="O2749" s="5" t="str">
        <v/>
      </c>
      <c r="P2749" s="5" t="str">
        <v/>
      </c>
      <c r="Q2749" s="14" t="str">
        <v/>
      </c>
      <c r="R2749" s="15">
        <v>0</v>
      </c>
    </row>
    <row r="2750" spans="2:18" x14ac:dyDescent="0.35">
      <c r="B2750" s="9">
        <v>2799</v>
      </c>
      <c r="C2750" s="9" t="str">
        <v/>
      </c>
      <c r="D2750" s="9" t="str">
        <v/>
      </c>
      <c r="E2750" s="9" t="str">
        <v/>
      </c>
      <c r="F2750" s="9" t="str">
        <v/>
      </c>
      <c r="G2750" s="9" t="str">
        <v/>
      </c>
      <c r="H2750" s="9" t="str">
        <v/>
      </c>
      <c r="I2750" s="11" t="str">
        <v/>
      </c>
      <c r="J2750" s="9">
        <v>0</v>
      </c>
      <c r="K2750" s="9" t="str">
        <v/>
      </c>
      <c r="L2750" s="9" t="str">
        <v/>
      </c>
      <c r="M2750" s="12" t="str">
        <v/>
      </c>
      <c r="N2750" s="5" t="str">
        <v/>
      </c>
      <c r="O2750" s="5" t="str">
        <v/>
      </c>
      <c r="P2750" s="5" t="str">
        <v/>
      </c>
      <c r="Q2750" s="14" t="str">
        <v/>
      </c>
      <c r="R2750" s="15">
        <v>0</v>
      </c>
    </row>
    <row r="2751" spans="2:18" x14ac:dyDescent="0.35">
      <c r="B2751" s="9">
        <v>2800</v>
      </c>
      <c r="C2751" s="9" t="str">
        <v/>
      </c>
      <c r="D2751" s="9" t="str">
        <v/>
      </c>
      <c r="E2751" s="9" t="str">
        <v/>
      </c>
      <c r="F2751" s="9" t="str">
        <v/>
      </c>
      <c r="G2751" s="9" t="str">
        <v/>
      </c>
      <c r="H2751" s="9" t="str">
        <v/>
      </c>
      <c r="I2751" s="11" t="str">
        <v/>
      </c>
      <c r="J2751" s="9">
        <v>0</v>
      </c>
      <c r="K2751" s="9" t="str">
        <v/>
      </c>
      <c r="L2751" s="9" t="str">
        <v/>
      </c>
      <c r="M2751" s="12" t="str">
        <v/>
      </c>
      <c r="N2751" s="5" t="str">
        <v/>
      </c>
      <c r="O2751" s="5" t="str">
        <v/>
      </c>
      <c r="P2751" s="5" t="str">
        <v/>
      </c>
      <c r="Q2751" s="14" t="str">
        <v/>
      </c>
      <c r="R2751" s="15">
        <v>0</v>
      </c>
    </row>
    <row r="2752" spans="2:18" x14ac:dyDescent="0.35">
      <c r="B2752" s="9">
        <v>2801</v>
      </c>
      <c r="C2752" s="9" t="str">
        <v/>
      </c>
      <c r="D2752" s="9" t="str">
        <v/>
      </c>
      <c r="E2752" s="9" t="str">
        <v/>
      </c>
      <c r="F2752" s="9" t="str">
        <v/>
      </c>
      <c r="G2752" s="9" t="str">
        <v/>
      </c>
      <c r="H2752" s="9" t="str">
        <v/>
      </c>
      <c r="I2752" s="11" t="str">
        <v/>
      </c>
      <c r="J2752" s="9">
        <v>0</v>
      </c>
      <c r="K2752" s="9" t="str">
        <v/>
      </c>
      <c r="L2752" s="9" t="str">
        <v/>
      </c>
      <c r="M2752" s="12" t="str">
        <v/>
      </c>
      <c r="N2752" s="5" t="str">
        <v/>
      </c>
      <c r="O2752" s="5" t="str">
        <v/>
      </c>
      <c r="P2752" s="5" t="str">
        <v/>
      </c>
      <c r="Q2752" s="14" t="str">
        <v/>
      </c>
      <c r="R2752" s="15">
        <v>0</v>
      </c>
    </row>
    <row r="2753" spans="2:18" x14ac:dyDescent="0.35">
      <c r="B2753" s="9">
        <v>2802</v>
      </c>
      <c r="C2753" s="9" t="str">
        <v/>
      </c>
      <c r="D2753" s="9" t="str">
        <v/>
      </c>
      <c r="E2753" s="9" t="str">
        <v/>
      </c>
      <c r="F2753" s="9" t="str">
        <v/>
      </c>
      <c r="G2753" s="9" t="str">
        <v/>
      </c>
      <c r="H2753" s="9" t="str">
        <v/>
      </c>
      <c r="I2753" s="11" t="str">
        <v/>
      </c>
      <c r="J2753" s="9">
        <v>0</v>
      </c>
      <c r="K2753" s="9" t="str">
        <v/>
      </c>
      <c r="L2753" s="9" t="str">
        <v/>
      </c>
      <c r="M2753" s="12" t="str">
        <v/>
      </c>
      <c r="N2753" s="5" t="str">
        <v/>
      </c>
      <c r="O2753" s="5" t="str">
        <v/>
      </c>
      <c r="P2753" s="5" t="str">
        <v/>
      </c>
      <c r="Q2753" s="14" t="str">
        <v/>
      </c>
      <c r="R2753" s="15">
        <v>0</v>
      </c>
    </row>
    <row r="2754" spans="2:18" x14ac:dyDescent="0.35">
      <c r="B2754" s="9">
        <v>2803</v>
      </c>
      <c r="C2754" s="9" t="str">
        <v/>
      </c>
      <c r="D2754" s="9" t="str">
        <v/>
      </c>
      <c r="E2754" s="9" t="str">
        <v/>
      </c>
      <c r="F2754" s="9" t="str">
        <v/>
      </c>
      <c r="G2754" s="9" t="str">
        <v/>
      </c>
      <c r="H2754" s="9" t="str">
        <v/>
      </c>
      <c r="I2754" s="11" t="str">
        <v/>
      </c>
      <c r="J2754" s="9">
        <v>0</v>
      </c>
      <c r="K2754" s="9" t="str">
        <v/>
      </c>
      <c r="L2754" s="9" t="str">
        <v/>
      </c>
      <c r="M2754" s="12" t="str">
        <v/>
      </c>
      <c r="N2754" s="5" t="str">
        <v/>
      </c>
      <c r="O2754" s="5" t="str">
        <v/>
      </c>
      <c r="P2754" s="5" t="str">
        <v/>
      </c>
      <c r="Q2754" s="14" t="str">
        <v/>
      </c>
      <c r="R2754" s="15">
        <v>0</v>
      </c>
    </row>
    <row r="2755" spans="2:18" x14ac:dyDescent="0.35">
      <c r="B2755" s="9">
        <v>2804</v>
      </c>
      <c r="C2755" s="9" t="str">
        <v/>
      </c>
      <c r="D2755" s="9" t="str">
        <v/>
      </c>
      <c r="E2755" s="9" t="str">
        <v/>
      </c>
      <c r="F2755" s="9" t="str">
        <v/>
      </c>
      <c r="G2755" s="9" t="str">
        <v/>
      </c>
      <c r="H2755" s="9" t="str">
        <v/>
      </c>
      <c r="I2755" s="11" t="str">
        <v/>
      </c>
      <c r="J2755" s="9">
        <v>0</v>
      </c>
      <c r="K2755" s="9" t="str">
        <v/>
      </c>
      <c r="L2755" s="9" t="str">
        <v/>
      </c>
      <c r="M2755" s="12" t="str">
        <v/>
      </c>
      <c r="N2755" s="5" t="str">
        <v/>
      </c>
      <c r="O2755" s="5" t="str">
        <v/>
      </c>
      <c r="P2755" s="5" t="str">
        <v/>
      </c>
      <c r="Q2755" s="14" t="str">
        <v/>
      </c>
      <c r="R2755" s="15">
        <v>0</v>
      </c>
    </row>
    <row r="2756" spans="2:18" x14ac:dyDescent="0.35">
      <c r="B2756" s="9">
        <v>2805</v>
      </c>
      <c r="C2756" s="9" t="str">
        <v/>
      </c>
      <c r="D2756" s="9" t="str">
        <v/>
      </c>
      <c r="E2756" s="9" t="str">
        <v/>
      </c>
      <c r="F2756" s="9" t="str">
        <v/>
      </c>
      <c r="G2756" s="9" t="str">
        <v/>
      </c>
      <c r="H2756" s="9" t="str">
        <v/>
      </c>
      <c r="I2756" s="11" t="str">
        <v/>
      </c>
      <c r="J2756" s="9">
        <v>0</v>
      </c>
      <c r="K2756" s="9" t="str">
        <v/>
      </c>
      <c r="L2756" s="9" t="str">
        <v/>
      </c>
      <c r="M2756" s="12" t="str">
        <v/>
      </c>
      <c r="N2756" s="5" t="str">
        <v/>
      </c>
      <c r="O2756" s="5" t="str">
        <v/>
      </c>
      <c r="P2756" s="5" t="str">
        <v/>
      </c>
      <c r="Q2756" s="14" t="str">
        <v/>
      </c>
      <c r="R2756" s="15">
        <v>0</v>
      </c>
    </row>
    <row r="2757" spans="2:18" x14ac:dyDescent="0.35">
      <c r="B2757" s="9">
        <v>2806</v>
      </c>
      <c r="C2757" s="9" t="str">
        <v/>
      </c>
      <c r="D2757" s="9" t="str">
        <v/>
      </c>
      <c r="E2757" s="9" t="str">
        <v/>
      </c>
      <c r="F2757" s="9" t="str">
        <v/>
      </c>
      <c r="G2757" s="9" t="str">
        <v/>
      </c>
      <c r="H2757" s="9" t="str">
        <v/>
      </c>
      <c r="I2757" s="11" t="str">
        <v/>
      </c>
      <c r="J2757" s="9">
        <v>0</v>
      </c>
      <c r="K2757" s="9" t="str">
        <v/>
      </c>
      <c r="L2757" s="9" t="str">
        <v/>
      </c>
      <c r="M2757" s="12" t="str">
        <v/>
      </c>
      <c r="N2757" s="5" t="str">
        <v/>
      </c>
      <c r="O2757" s="5" t="str">
        <v/>
      </c>
      <c r="P2757" s="5" t="str">
        <v/>
      </c>
      <c r="Q2757" s="14" t="str">
        <v/>
      </c>
      <c r="R2757" s="15">
        <v>0</v>
      </c>
    </row>
    <row r="2758" spans="2:18" x14ac:dyDescent="0.35">
      <c r="B2758" s="9">
        <v>2807</v>
      </c>
      <c r="C2758" s="9" t="str">
        <v/>
      </c>
      <c r="D2758" s="9" t="str">
        <v/>
      </c>
      <c r="E2758" s="9" t="str">
        <v/>
      </c>
      <c r="F2758" s="9" t="str">
        <v/>
      </c>
      <c r="G2758" s="9" t="str">
        <v/>
      </c>
      <c r="H2758" s="9" t="str">
        <v/>
      </c>
      <c r="I2758" s="11" t="str">
        <v/>
      </c>
      <c r="J2758" s="9">
        <v>0</v>
      </c>
      <c r="K2758" s="9" t="str">
        <v/>
      </c>
      <c r="L2758" s="9" t="str">
        <v/>
      </c>
      <c r="M2758" s="12" t="str">
        <v/>
      </c>
      <c r="N2758" s="5" t="str">
        <v/>
      </c>
      <c r="O2758" s="5" t="str">
        <v/>
      </c>
      <c r="P2758" s="5" t="str">
        <v/>
      </c>
      <c r="Q2758" s="14" t="str">
        <v/>
      </c>
      <c r="R2758" s="15">
        <v>0</v>
      </c>
    </row>
    <row r="2759" spans="2:18" x14ac:dyDescent="0.35">
      <c r="B2759" s="9">
        <v>2808</v>
      </c>
      <c r="C2759" s="9" t="str">
        <v/>
      </c>
      <c r="D2759" s="9" t="str">
        <v/>
      </c>
      <c r="E2759" s="9" t="str">
        <v/>
      </c>
      <c r="F2759" s="9" t="str">
        <v/>
      </c>
      <c r="G2759" s="9" t="str">
        <v/>
      </c>
      <c r="H2759" s="9" t="str">
        <v/>
      </c>
      <c r="I2759" s="11" t="str">
        <v/>
      </c>
      <c r="J2759" s="9">
        <v>0</v>
      </c>
      <c r="K2759" s="9" t="str">
        <v/>
      </c>
      <c r="L2759" s="9" t="str">
        <v/>
      </c>
      <c r="M2759" s="12" t="str">
        <v/>
      </c>
      <c r="N2759" s="5" t="str">
        <v/>
      </c>
      <c r="O2759" s="5" t="str">
        <v/>
      </c>
      <c r="P2759" s="5" t="str">
        <v/>
      </c>
      <c r="Q2759" s="14" t="str">
        <v/>
      </c>
      <c r="R2759" s="15">
        <v>0</v>
      </c>
    </row>
    <row r="2760" spans="2:18" x14ac:dyDescent="0.35">
      <c r="B2760" s="9">
        <v>2809</v>
      </c>
      <c r="C2760" s="9" t="str">
        <v/>
      </c>
      <c r="D2760" s="9" t="str">
        <v/>
      </c>
      <c r="E2760" s="9" t="str">
        <v/>
      </c>
      <c r="F2760" s="9" t="str">
        <v/>
      </c>
      <c r="G2760" s="9" t="str">
        <v/>
      </c>
      <c r="H2760" s="9" t="str">
        <v/>
      </c>
      <c r="I2760" s="11" t="str">
        <v/>
      </c>
      <c r="J2760" s="9">
        <v>0</v>
      </c>
      <c r="K2760" s="9" t="str">
        <v/>
      </c>
      <c r="L2760" s="9" t="str">
        <v/>
      </c>
      <c r="M2760" s="12" t="str">
        <v/>
      </c>
      <c r="N2760" s="5" t="str">
        <v/>
      </c>
      <c r="O2760" s="5" t="str">
        <v/>
      </c>
      <c r="P2760" s="5" t="str">
        <v/>
      </c>
      <c r="Q2760" s="14" t="str">
        <v/>
      </c>
      <c r="R2760" s="15">
        <v>0</v>
      </c>
    </row>
    <row r="2761" spans="2:18" x14ac:dyDescent="0.35">
      <c r="B2761" s="9">
        <v>2810</v>
      </c>
      <c r="C2761" s="9" t="str">
        <v/>
      </c>
      <c r="D2761" s="9" t="str">
        <v/>
      </c>
      <c r="E2761" s="9" t="str">
        <v/>
      </c>
      <c r="F2761" s="9" t="str">
        <v/>
      </c>
      <c r="G2761" s="9" t="str">
        <v/>
      </c>
      <c r="H2761" s="9" t="str">
        <v/>
      </c>
      <c r="I2761" s="11" t="str">
        <v/>
      </c>
      <c r="J2761" s="9">
        <v>0</v>
      </c>
      <c r="K2761" s="9" t="str">
        <v/>
      </c>
      <c r="L2761" s="9" t="str">
        <v/>
      </c>
      <c r="M2761" s="12" t="str">
        <v/>
      </c>
      <c r="N2761" s="5" t="str">
        <v/>
      </c>
      <c r="O2761" s="5" t="str">
        <v/>
      </c>
      <c r="P2761" s="5" t="str">
        <v/>
      </c>
      <c r="Q2761" s="14" t="str">
        <v/>
      </c>
      <c r="R2761" s="15">
        <v>0</v>
      </c>
    </row>
    <row r="2762" spans="2:18" x14ac:dyDescent="0.35">
      <c r="B2762" s="9">
        <v>2811</v>
      </c>
      <c r="C2762" s="9" t="str">
        <v/>
      </c>
      <c r="D2762" s="9" t="str">
        <v/>
      </c>
      <c r="E2762" s="9" t="str">
        <v/>
      </c>
      <c r="F2762" s="9" t="str">
        <v/>
      </c>
      <c r="G2762" s="9" t="str">
        <v/>
      </c>
      <c r="H2762" s="9" t="str">
        <v/>
      </c>
      <c r="I2762" s="11" t="str">
        <v/>
      </c>
      <c r="J2762" s="9">
        <v>0</v>
      </c>
      <c r="K2762" s="9" t="str">
        <v/>
      </c>
      <c r="L2762" s="9" t="str">
        <v/>
      </c>
      <c r="M2762" s="12" t="str">
        <v/>
      </c>
      <c r="N2762" s="5" t="str">
        <v/>
      </c>
      <c r="O2762" s="5" t="str">
        <v/>
      </c>
      <c r="P2762" s="5" t="str">
        <v/>
      </c>
      <c r="Q2762" s="14" t="str">
        <v/>
      </c>
      <c r="R2762" s="15">
        <v>0</v>
      </c>
    </row>
    <row r="2763" spans="2:18" x14ac:dyDescent="0.35">
      <c r="B2763" s="9">
        <v>2812</v>
      </c>
      <c r="C2763" s="9" t="str">
        <v/>
      </c>
      <c r="D2763" s="9" t="str">
        <v/>
      </c>
      <c r="E2763" s="9" t="str">
        <v/>
      </c>
      <c r="F2763" s="9" t="str">
        <v/>
      </c>
      <c r="G2763" s="9" t="str">
        <v/>
      </c>
      <c r="H2763" s="9" t="str">
        <v/>
      </c>
      <c r="I2763" s="11" t="str">
        <v/>
      </c>
      <c r="J2763" s="9">
        <v>0</v>
      </c>
      <c r="K2763" s="9" t="str">
        <v/>
      </c>
      <c r="L2763" s="9" t="str">
        <v/>
      </c>
      <c r="M2763" s="12" t="str">
        <v/>
      </c>
      <c r="N2763" s="5" t="str">
        <v/>
      </c>
      <c r="O2763" s="5" t="str">
        <v/>
      </c>
      <c r="P2763" s="5" t="str">
        <v/>
      </c>
      <c r="Q2763" s="14" t="str">
        <v/>
      </c>
      <c r="R2763" s="15">
        <v>0</v>
      </c>
    </row>
    <row r="2764" spans="2:18" x14ac:dyDescent="0.35">
      <c r="B2764" s="9">
        <v>2813</v>
      </c>
      <c r="C2764" s="9" t="str">
        <v/>
      </c>
      <c r="D2764" s="9" t="str">
        <v/>
      </c>
      <c r="E2764" s="9" t="str">
        <v/>
      </c>
      <c r="F2764" s="9" t="str">
        <v/>
      </c>
      <c r="G2764" s="9" t="str">
        <v/>
      </c>
      <c r="H2764" s="9" t="str">
        <v/>
      </c>
      <c r="I2764" s="11" t="str">
        <v/>
      </c>
      <c r="J2764" s="9">
        <v>0</v>
      </c>
      <c r="K2764" s="9" t="str">
        <v/>
      </c>
      <c r="L2764" s="9" t="str">
        <v/>
      </c>
      <c r="M2764" s="12" t="str">
        <v/>
      </c>
      <c r="N2764" s="5" t="str">
        <v/>
      </c>
      <c r="O2764" s="5" t="str">
        <v/>
      </c>
      <c r="P2764" s="5" t="str">
        <v/>
      </c>
      <c r="Q2764" s="14" t="str">
        <v/>
      </c>
      <c r="R2764" s="15">
        <v>0</v>
      </c>
    </row>
    <row r="2765" spans="2:18" x14ac:dyDescent="0.35">
      <c r="B2765" s="9">
        <v>2814</v>
      </c>
      <c r="C2765" s="9" t="str">
        <v/>
      </c>
      <c r="D2765" s="9" t="str">
        <v/>
      </c>
      <c r="E2765" s="9" t="str">
        <v/>
      </c>
      <c r="F2765" s="9" t="str">
        <v/>
      </c>
      <c r="G2765" s="9" t="str">
        <v/>
      </c>
      <c r="H2765" s="9" t="str">
        <v/>
      </c>
      <c r="I2765" s="11" t="str">
        <v/>
      </c>
      <c r="J2765" s="9">
        <v>0</v>
      </c>
      <c r="K2765" s="9" t="str">
        <v/>
      </c>
      <c r="L2765" s="9" t="str">
        <v/>
      </c>
      <c r="M2765" s="12" t="str">
        <v/>
      </c>
      <c r="N2765" s="5" t="str">
        <v/>
      </c>
      <c r="O2765" s="5" t="str">
        <v/>
      </c>
      <c r="P2765" s="5" t="str">
        <v/>
      </c>
      <c r="Q2765" s="14" t="str">
        <v/>
      </c>
      <c r="R2765" s="15">
        <v>0</v>
      </c>
    </row>
    <row r="2766" spans="2:18" x14ac:dyDescent="0.35">
      <c r="B2766" s="9">
        <v>2815</v>
      </c>
      <c r="C2766" s="9" t="str">
        <v/>
      </c>
      <c r="D2766" s="9" t="str">
        <v/>
      </c>
      <c r="E2766" s="9" t="str">
        <v/>
      </c>
      <c r="F2766" s="9" t="str">
        <v/>
      </c>
      <c r="G2766" s="9" t="str">
        <v/>
      </c>
      <c r="H2766" s="9" t="str">
        <v/>
      </c>
      <c r="I2766" s="11" t="str">
        <v/>
      </c>
      <c r="J2766" s="9">
        <v>0</v>
      </c>
      <c r="K2766" s="9" t="str">
        <v/>
      </c>
      <c r="L2766" s="9" t="str">
        <v/>
      </c>
      <c r="M2766" s="12" t="str">
        <v/>
      </c>
      <c r="N2766" s="5" t="str">
        <v/>
      </c>
      <c r="O2766" s="5" t="str">
        <v/>
      </c>
      <c r="P2766" s="5" t="str">
        <v/>
      </c>
      <c r="Q2766" s="14" t="str">
        <v/>
      </c>
      <c r="R2766" s="15">
        <v>0</v>
      </c>
    </row>
    <row r="2767" spans="2:18" x14ac:dyDescent="0.35">
      <c r="B2767" s="9">
        <v>2816</v>
      </c>
      <c r="C2767" s="9" t="str">
        <v/>
      </c>
      <c r="D2767" s="9" t="str">
        <v/>
      </c>
      <c r="E2767" s="9" t="str">
        <v/>
      </c>
      <c r="F2767" s="9" t="str">
        <v/>
      </c>
      <c r="G2767" s="9" t="str">
        <v/>
      </c>
      <c r="H2767" s="9" t="str">
        <v/>
      </c>
      <c r="I2767" s="11" t="str">
        <v/>
      </c>
      <c r="J2767" s="9">
        <v>0</v>
      </c>
      <c r="K2767" s="9" t="str">
        <v/>
      </c>
      <c r="L2767" s="9" t="str">
        <v/>
      </c>
      <c r="M2767" s="12" t="str">
        <v/>
      </c>
      <c r="N2767" s="5" t="str">
        <v/>
      </c>
      <c r="O2767" s="5" t="str">
        <v/>
      </c>
      <c r="P2767" s="5" t="str">
        <v/>
      </c>
      <c r="Q2767" s="14" t="str">
        <v/>
      </c>
      <c r="R2767" s="15">
        <v>0</v>
      </c>
    </row>
    <row r="2768" spans="2:18" x14ac:dyDescent="0.35">
      <c r="B2768" s="9">
        <v>2817</v>
      </c>
      <c r="C2768" s="9" t="str">
        <v/>
      </c>
      <c r="D2768" s="9" t="str">
        <v/>
      </c>
      <c r="E2768" s="9" t="str">
        <v/>
      </c>
      <c r="F2768" s="9" t="str">
        <v/>
      </c>
      <c r="G2768" s="9" t="str">
        <v/>
      </c>
      <c r="H2768" s="9" t="str">
        <v/>
      </c>
      <c r="I2768" s="11" t="str">
        <v/>
      </c>
      <c r="J2768" s="9">
        <v>0</v>
      </c>
      <c r="K2768" s="9" t="str">
        <v/>
      </c>
      <c r="L2768" s="9" t="str">
        <v/>
      </c>
      <c r="M2768" s="12" t="str">
        <v/>
      </c>
      <c r="N2768" s="5" t="str">
        <v/>
      </c>
      <c r="O2768" s="5" t="str">
        <v/>
      </c>
      <c r="P2768" s="5" t="str">
        <v/>
      </c>
      <c r="Q2768" s="14" t="str">
        <v/>
      </c>
      <c r="R2768" s="15">
        <v>0</v>
      </c>
    </row>
    <row r="2769" spans="2:18" x14ac:dyDescent="0.35">
      <c r="B2769" s="9">
        <v>2818</v>
      </c>
      <c r="C2769" s="9" t="str">
        <v/>
      </c>
      <c r="D2769" s="9" t="str">
        <v/>
      </c>
      <c r="E2769" s="9" t="str">
        <v/>
      </c>
      <c r="F2769" s="9" t="str">
        <v/>
      </c>
      <c r="G2769" s="9" t="str">
        <v/>
      </c>
      <c r="H2769" s="9" t="str">
        <v/>
      </c>
      <c r="I2769" s="11" t="str">
        <v/>
      </c>
      <c r="J2769" s="9">
        <v>0</v>
      </c>
      <c r="K2769" s="9" t="str">
        <v/>
      </c>
      <c r="L2769" s="9" t="str">
        <v/>
      </c>
      <c r="M2769" s="12" t="str">
        <v/>
      </c>
      <c r="N2769" s="5" t="str">
        <v/>
      </c>
      <c r="O2769" s="5" t="str">
        <v/>
      </c>
      <c r="P2769" s="5" t="str">
        <v/>
      </c>
      <c r="Q2769" s="14" t="str">
        <v/>
      </c>
      <c r="R2769" s="15">
        <v>0</v>
      </c>
    </row>
    <row r="2770" spans="2:18" x14ac:dyDescent="0.35">
      <c r="B2770" s="9">
        <v>2819</v>
      </c>
      <c r="C2770" s="9" t="str">
        <v/>
      </c>
      <c r="D2770" s="9" t="str">
        <v/>
      </c>
      <c r="E2770" s="9" t="str">
        <v/>
      </c>
      <c r="F2770" s="9" t="str">
        <v/>
      </c>
      <c r="G2770" s="9" t="str">
        <v/>
      </c>
      <c r="H2770" s="9" t="str">
        <v/>
      </c>
      <c r="I2770" s="11" t="str">
        <v/>
      </c>
      <c r="J2770" s="9">
        <v>0</v>
      </c>
      <c r="K2770" s="9" t="str">
        <v/>
      </c>
      <c r="L2770" s="9" t="str">
        <v/>
      </c>
      <c r="M2770" s="12" t="str">
        <v/>
      </c>
      <c r="N2770" s="5" t="str">
        <v/>
      </c>
      <c r="O2770" s="5" t="str">
        <v/>
      </c>
      <c r="P2770" s="5" t="str">
        <v/>
      </c>
      <c r="Q2770" s="14" t="str">
        <v/>
      </c>
      <c r="R2770" s="15">
        <v>0</v>
      </c>
    </row>
    <row r="2771" spans="2:18" x14ac:dyDescent="0.35">
      <c r="B2771" s="9">
        <v>2820</v>
      </c>
      <c r="C2771" s="9" t="str">
        <v/>
      </c>
      <c r="D2771" s="9" t="str">
        <v/>
      </c>
      <c r="E2771" s="9" t="str">
        <v/>
      </c>
      <c r="F2771" s="9" t="str">
        <v/>
      </c>
      <c r="G2771" s="9" t="str">
        <v/>
      </c>
      <c r="H2771" s="9" t="str">
        <v/>
      </c>
      <c r="I2771" s="11" t="str">
        <v/>
      </c>
      <c r="J2771" s="9">
        <v>0</v>
      </c>
      <c r="K2771" s="9" t="str">
        <v/>
      </c>
      <c r="L2771" s="9" t="str">
        <v/>
      </c>
      <c r="M2771" s="12" t="str">
        <v/>
      </c>
      <c r="N2771" s="5" t="str">
        <v/>
      </c>
      <c r="O2771" s="5" t="str">
        <v/>
      </c>
      <c r="P2771" s="5" t="str">
        <v/>
      </c>
      <c r="Q2771" s="14" t="str">
        <v/>
      </c>
      <c r="R2771" s="15">
        <v>0</v>
      </c>
    </row>
    <row r="2772" spans="2:18" x14ac:dyDescent="0.35">
      <c r="B2772" s="9">
        <v>2821</v>
      </c>
      <c r="C2772" s="9" t="str">
        <v/>
      </c>
      <c r="D2772" s="9" t="str">
        <v/>
      </c>
      <c r="E2772" s="9" t="str">
        <v/>
      </c>
      <c r="F2772" s="9" t="str">
        <v/>
      </c>
      <c r="G2772" s="9" t="str">
        <v/>
      </c>
      <c r="H2772" s="9" t="str">
        <v/>
      </c>
      <c r="I2772" s="11" t="str">
        <v/>
      </c>
      <c r="J2772" s="9">
        <v>0</v>
      </c>
      <c r="K2772" s="9" t="str">
        <v/>
      </c>
      <c r="L2772" s="9" t="str">
        <v/>
      </c>
      <c r="M2772" s="12" t="str">
        <v/>
      </c>
      <c r="N2772" s="5" t="str">
        <v/>
      </c>
      <c r="O2772" s="5" t="str">
        <v/>
      </c>
      <c r="P2772" s="5" t="str">
        <v/>
      </c>
      <c r="Q2772" s="14" t="str">
        <v/>
      </c>
      <c r="R2772" s="15">
        <v>0</v>
      </c>
    </row>
    <row r="2773" spans="2:18" x14ac:dyDescent="0.35">
      <c r="B2773" s="9">
        <v>2822</v>
      </c>
      <c r="C2773" s="9" t="str">
        <v/>
      </c>
      <c r="D2773" s="9" t="str">
        <v/>
      </c>
      <c r="E2773" s="9" t="str">
        <v/>
      </c>
      <c r="F2773" s="9" t="str">
        <v/>
      </c>
      <c r="G2773" s="9" t="str">
        <v/>
      </c>
      <c r="H2773" s="9" t="str">
        <v/>
      </c>
      <c r="I2773" s="11" t="str">
        <v/>
      </c>
      <c r="J2773" s="9">
        <v>0</v>
      </c>
      <c r="K2773" s="9" t="str">
        <v/>
      </c>
      <c r="L2773" s="9" t="str">
        <v/>
      </c>
      <c r="M2773" s="12" t="str">
        <v/>
      </c>
      <c r="N2773" s="5" t="str">
        <v/>
      </c>
      <c r="O2773" s="5" t="str">
        <v/>
      </c>
      <c r="P2773" s="5" t="str">
        <v/>
      </c>
      <c r="Q2773" s="14" t="str">
        <v/>
      </c>
      <c r="R2773" s="15">
        <v>0</v>
      </c>
    </row>
    <row r="2774" spans="2:18" x14ac:dyDescent="0.35">
      <c r="B2774" s="9">
        <v>2823</v>
      </c>
      <c r="C2774" s="9" t="str">
        <v/>
      </c>
      <c r="D2774" s="9" t="str">
        <v/>
      </c>
      <c r="E2774" s="9" t="str">
        <v/>
      </c>
      <c r="F2774" s="9" t="str">
        <v/>
      </c>
      <c r="G2774" s="9" t="str">
        <v/>
      </c>
      <c r="H2774" s="9" t="str">
        <v/>
      </c>
      <c r="I2774" s="11" t="str">
        <v/>
      </c>
      <c r="J2774" s="9">
        <v>0</v>
      </c>
      <c r="K2774" s="9" t="str">
        <v/>
      </c>
      <c r="L2774" s="9" t="str">
        <v/>
      </c>
      <c r="M2774" s="12" t="str">
        <v/>
      </c>
      <c r="N2774" s="5" t="str">
        <v/>
      </c>
      <c r="O2774" s="5" t="str">
        <v/>
      </c>
      <c r="P2774" s="5" t="str">
        <v/>
      </c>
      <c r="Q2774" s="14" t="str">
        <v/>
      </c>
      <c r="R2774" s="15">
        <v>0</v>
      </c>
    </row>
    <row r="2775" spans="2:18" x14ac:dyDescent="0.35">
      <c r="B2775" s="9">
        <v>2824</v>
      </c>
      <c r="C2775" s="9" t="str">
        <v/>
      </c>
      <c r="D2775" s="9" t="str">
        <v/>
      </c>
      <c r="E2775" s="9" t="str">
        <v/>
      </c>
      <c r="F2775" s="9" t="str">
        <v/>
      </c>
      <c r="G2775" s="9" t="str">
        <v/>
      </c>
      <c r="H2775" s="9" t="str">
        <v/>
      </c>
      <c r="I2775" s="11" t="str">
        <v/>
      </c>
      <c r="J2775" s="9">
        <v>0</v>
      </c>
      <c r="K2775" s="9" t="str">
        <v/>
      </c>
      <c r="L2775" s="9" t="str">
        <v/>
      </c>
      <c r="M2775" s="12" t="str">
        <v/>
      </c>
      <c r="N2775" s="5" t="str">
        <v/>
      </c>
      <c r="O2775" s="5" t="str">
        <v/>
      </c>
      <c r="P2775" s="5" t="str">
        <v/>
      </c>
      <c r="Q2775" s="14" t="str">
        <v/>
      </c>
      <c r="R2775" s="15">
        <v>0</v>
      </c>
    </row>
  </sheetData>
  <autoFilter ref="B6:R2775" xr:uid="{094CA826-3768-4B4F-A3AA-E80355D90A13}">
    <sortState xmlns:xlrd2="http://schemas.microsoft.com/office/spreadsheetml/2017/richdata2" ref="B142:R204">
      <sortCondition ref="P6:P2198"/>
    </sortState>
  </autoFilter>
  <mergeCells count="2">
    <mergeCell ref="B5:M5"/>
    <mergeCell ref="N5:Q5"/>
  </mergeCells>
  <phoneticPr fontId="1" type="noConversion"/>
  <pageMargins left="0.7" right="0.7" top="0.75" bottom="0.75" header="0.3" footer="0.3"/>
  <pageSetup paperSize="9" scale="4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BEFA-0902-4144-A956-51DD5454F694}">
  <dimension ref="B2:E11"/>
  <sheetViews>
    <sheetView workbookViewId="0">
      <selection activeCell="H8" sqref="H8"/>
    </sheetView>
  </sheetViews>
  <sheetFormatPr defaultRowHeight="17.399999999999999" x14ac:dyDescent="0.4"/>
  <cols>
    <col min="1" max="1" width="3.296875" customWidth="1"/>
    <col min="2" max="2" width="22.69921875" bestFit="1" customWidth="1"/>
    <col min="3" max="3" width="13" bestFit="1" customWidth="1"/>
  </cols>
  <sheetData>
    <row r="2" spans="2:5" x14ac:dyDescent="0.4">
      <c r="B2" s="28" t="s">
        <v>0</v>
      </c>
      <c r="C2" s="28" t="s">
        <v>2</v>
      </c>
      <c r="D2" s="28" t="s">
        <v>4656</v>
      </c>
    </row>
    <row r="3" spans="2:5" x14ac:dyDescent="0.4">
      <c r="B3" s="30" t="s">
        <v>4649</v>
      </c>
      <c r="C3" s="30" t="s">
        <v>4650</v>
      </c>
      <c r="D3" s="30"/>
      <c r="E3" t="s">
        <v>4658</v>
      </c>
    </row>
    <row r="4" spans="2:5" x14ac:dyDescent="0.4">
      <c r="B4" s="30" t="s">
        <v>4649</v>
      </c>
      <c r="C4" s="30" t="s">
        <v>4651</v>
      </c>
      <c r="D4" s="30"/>
      <c r="E4" t="s">
        <v>4658</v>
      </c>
    </row>
    <row r="5" spans="2:5" x14ac:dyDescent="0.4">
      <c r="B5" s="30" t="s">
        <v>4649</v>
      </c>
      <c r="C5" s="30" t="s">
        <v>4563</v>
      </c>
      <c r="D5" s="30"/>
      <c r="E5" t="s">
        <v>4658</v>
      </c>
    </row>
    <row r="6" spans="2:5" x14ac:dyDescent="0.4">
      <c r="B6" s="30" t="s">
        <v>4649</v>
      </c>
      <c r="C6" s="30" t="s">
        <v>4652</v>
      </c>
      <c r="D6" s="30"/>
      <c r="E6" t="s">
        <v>4658</v>
      </c>
    </row>
    <row r="7" spans="2:5" x14ac:dyDescent="0.4">
      <c r="B7" s="30" t="s">
        <v>4649</v>
      </c>
      <c r="C7" s="30" t="s">
        <v>4577</v>
      </c>
      <c r="D7" s="30" t="s">
        <v>4655</v>
      </c>
      <c r="E7" s="33" t="s">
        <v>4657</v>
      </c>
    </row>
    <row r="8" spans="2:5" x14ac:dyDescent="0.4">
      <c r="B8" s="30" t="s">
        <v>4649</v>
      </c>
      <c r="C8" s="30" t="s">
        <v>4653</v>
      </c>
      <c r="D8" s="30" t="s">
        <v>4655</v>
      </c>
      <c r="E8" s="33" t="s">
        <v>4657</v>
      </c>
    </row>
    <row r="9" spans="2:5" x14ac:dyDescent="0.4">
      <c r="B9" s="30" t="s">
        <v>4649</v>
      </c>
      <c r="C9" s="30" t="s">
        <v>4551</v>
      </c>
      <c r="D9" s="30" t="s">
        <v>4655</v>
      </c>
      <c r="E9" s="33" t="s">
        <v>4657</v>
      </c>
    </row>
    <row r="10" spans="2:5" x14ac:dyDescent="0.4">
      <c r="B10" s="30" t="s">
        <v>4649</v>
      </c>
      <c r="C10" s="30" t="s">
        <v>4654</v>
      </c>
      <c r="D10" s="30"/>
      <c r="E10" t="s">
        <v>4658</v>
      </c>
    </row>
    <row r="11" spans="2:5" x14ac:dyDescent="0.4">
      <c r="B11" s="30" t="s">
        <v>4649</v>
      </c>
      <c r="C11" s="30" t="s">
        <v>1125</v>
      </c>
      <c r="D11" s="30"/>
      <c r="E11" t="s">
        <v>4658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1CAB-5DF3-48A3-B0CD-B0F44657E5FD}">
  <dimension ref="B2:B26"/>
  <sheetViews>
    <sheetView showGridLines="0" workbookViewId="0">
      <selection activeCell="E14" sqref="E14"/>
    </sheetView>
  </sheetViews>
  <sheetFormatPr defaultRowHeight="17.399999999999999" x14ac:dyDescent="0.4"/>
  <sheetData>
    <row r="2" spans="2:2" ht="21" x14ac:dyDescent="0.4">
      <c r="B2" s="23" t="s">
        <v>4595</v>
      </c>
    </row>
    <row r="3" spans="2:2" ht="21" x14ac:dyDescent="0.4">
      <c r="B3" s="23" t="s">
        <v>4596</v>
      </c>
    </row>
    <row r="5" spans="2:2" ht="19.2" x14ac:dyDescent="0.4">
      <c r="B5" s="25" t="s">
        <v>4597</v>
      </c>
    </row>
    <row r="6" spans="2:2" x14ac:dyDescent="0.4">
      <c r="B6" t="s">
        <v>4578</v>
      </c>
    </row>
    <row r="7" spans="2:2" x14ac:dyDescent="0.4">
      <c r="B7" t="s">
        <v>4583</v>
      </c>
    </row>
    <row r="8" spans="2:2" x14ac:dyDescent="0.4">
      <c r="B8" s="22" t="s">
        <v>4589</v>
      </c>
    </row>
    <row r="9" spans="2:2" x14ac:dyDescent="0.4">
      <c r="B9" s="22" t="s">
        <v>4590</v>
      </c>
    </row>
    <row r="10" spans="2:2" x14ac:dyDescent="0.4">
      <c r="B10" s="22"/>
    </row>
    <row r="11" spans="2:2" x14ac:dyDescent="0.4">
      <c r="B11" t="s">
        <v>4579</v>
      </c>
    </row>
    <row r="12" spans="2:2" x14ac:dyDescent="0.4">
      <c r="B12" t="s">
        <v>4591</v>
      </c>
    </row>
    <row r="13" spans="2:2" x14ac:dyDescent="0.4">
      <c r="B13" s="22" t="s">
        <v>4592</v>
      </c>
    </row>
    <row r="14" spans="2:2" x14ac:dyDescent="0.4">
      <c r="B14" s="22" t="s">
        <v>4593</v>
      </c>
    </row>
    <row r="15" spans="2:2" x14ac:dyDescent="0.4">
      <c r="B15" s="22"/>
    </row>
    <row r="16" spans="2:2" x14ac:dyDescent="0.4">
      <c r="B16" t="s">
        <v>4580</v>
      </c>
    </row>
    <row r="17" spans="2:2" x14ac:dyDescent="0.4">
      <c r="B17" t="s">
        <v>4581</v>
      </c>
    </row>
    <row r="18" spans="2:2" x14ac:dyDescent="0.4">
      <c r="B18" t="s">
        <v>4582</v>
      </c>
    </row>
    <row r="19" spans="2:2" x14ac:dyDescent="0.4">
      <c r="B19" s="22" t="s">
        <v>4594</v>
      </c>
    </row>
    <row r="21" spans="2:2" ht="19.2" x14ac:dyDescent="0.4">
      <c r="B21" s="24" t="s">
        <v>4598</v>
      </c>
    </row>
    <row r="22" spans="2:2" x14ac:dyDescent="0.4">
      <c r="B22" t="s">
        <v>4584</v>
      </c>
    </row>
    <row r="23" spans="2:2" x14ac:dyDescent="0.4">
      <c r="B23" t="s">
        <v>4585</v>
      </c>
    </row>
    <row r="24" spans="2:2" x14ac:dyDescent="0.4">
      <c r="B24" t="s">
        <v>4586</v>
      </c>
    </row>
    <row r="25" spans="2:2" x14ac:dyDescent="0.4">
      <c r="B25" t="s">
        <v>4587</v>
      </c>
    </row>
    <row r="26" spans="2:2" x14ac:dyDescent="0.4">
      <c r="B26" t="s">
        <v>4588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210E-5A6C-4796-9D0E-53C11CD6A6DA}">
  <dimension ref="C2:F71"/>
  <sheetViews>
    <sheetView workbookViewId="0">
      <selection activeCell="E10" sqref="E10"/>
    </sheetView>
  </sheetViews>
  <sheetFormatPr defaultRowHeight="17.399999999999999" x14ac:dyDescent="0.4"/>
  <cols>
    <col min="3" max="3" width="13.296875" bestFit="1" customWidth="1"/>
    <col min="5" max="5" width="14.8984375" bestFit="1" customWidth="1"/>
  </cols>
  <sheetData>
    <row r="2" spans="3:6" x14ac:dyDescent="0.4">
      <c r="C2" t="s">
        <v>4847</v>
      </c>
      <c r="E2" t="s">
        <v>14</v>
      </c>
    </row>
    <row r="3" spans="3:6" x14ac:dyDescent="0.35">
      <c r="C3" s="34" t="s">
        <v>29</v>
      </c>
      <c r="E3" s="30" t="s">
        <v>29</v>
      </c>
      <c r="F3" t="b">
        <f>C3=E3</f>
        <v>1</v>
      </c>
    </row>
    <row r="4" spans="3:6" x14ac:dyDescent="0.35">
      <c r="C4" s="34" t="s">
        <v>40</v>
      </c>
      <c r="E4" s="30" t="s">
        <v>40</v>
      </c>
      <c r="F4" t="b">
        <f t="shared" ref="F4:F67" si="0">C4=E4</f>
        <v>1</v>
      </c>
    </row>
    <row r="5" spans="3:6" x14ac:dyDescent="0.35">
      <c r="C5" s="34" t="s">
        <v>51</v>
      </c>
      <c r="E5" s="30" t="s">
        <v>51</v>
      </c>
      <c r="F5" t="b">
        <f t="shared" si="0"/>
        <v>1</v>
      </c>
    </row>
    <row r="6" spans="3:6" x14ac:dyDescent="0.35">
      <c r="C6" s="34" t="s">
        <v>969</v>
      </c>
      <c r="E6" s="30" t="s">
        <v>969</v>
      </c>
      <c r="F6" t="b">
        <f t="shared" si="0"/>
        <v>1</v>
      </c>
    </row>
    <row r="7" spans="3:6" x14ac:dyDescent="0.35">
      <c r="C7" s="34" t="s">
        <v>1624</v>
      </c>
      <c r="E7" s="30" t="s">
        <v>1624</v>
      </c>
      <c r="F7" t="b">
        <f t="shared" si="0"/>
        <v>1</v>
      </c>
    </row>
    <row r="8" spans="3:6" x14ac:dyDescent="0.35">
      <c r="C8" s="34" t="s">
        <v>2084</v>
      </c>
      <c r="E8" s="30" t="s">
        <v>2084</v>
      </c>
      <c r="F8" t="b">
        <f t="shared" si="0"/>
        <v>1</v>
      </c>
    </row>
    <row r="9" spans="3:6" x14ac:dyDescent="0.35">
      <c r="C9" s="34" t="s">
        <v>2087</v>
      </c>
      <c r="E9" s="30" t="s">
        <v>2087</v>
      </c>
      <c r="F9" t="b">
        <f t="shared" si="0"/>
        <v>1</v>
      </c>
    </row>
    <row r="10" spans="3:6" x14ac:dyDescent="0.35">
      <c r="C10" s="34"/>
      <c r="E10" s="38" t="s">
        <v>4844</v>
      </c>
      <c r="F10" t="b">
        <f t="shared" si="0"/>
        <v>0</v>
      </c>
    </row>
    <row r="11" spans="3:6" x14ac:dyDescent="0.35">
      <c r="C11" s="34" t="s">
        <v>2089</v>
      </c>
      <c r="E11" s="38" t="s">
        <v>2089</v>
      </c>
      <c r="F11" t="b">
        <f t="shared" si="0"/>
        <v>1</v>
      </c>
    </row>
    <row r="12" spans="3:6" x14ac:dyDescent="0.35">
      <c r="C12" s="34" t="s">
        <v>2125</v>
      </c>
      <c r="E12" s="30" t="s">
        <v>2125</v>
      </c>
      <c r="F12" t="b">
        <f t="shared" si="0"/>
        <v>1</v>
      </c>
    </row>
    <row r="13" spans="3:6" x14ac:dyDescent="0.35">
      <c r="C13" s="34" t="s">
        <v>2128</v>
      </c>
      <c r="E13" s="30" t="s">
        <v>2128</v>
      </c>
      <c r="F13" t="b">
        <f t="shared" si="0"/>
        <v>1</v>
      </c>
    </row>
    <row r="14" spans="3:6" x14ac:dyDescent="0.35">
      <c r="C14" s="34" t="s">
        <v>2130</v>
      </c>
      <c r="E14" s="30" t="s">
        <v>2130</v>
      </c>
      <c r="F14" t="b">
        <f t="shared" si="0"/>
        <v>1</v>
      </c>
    </row>
    <row r="15" spans="3:6" x14ac:dyDescent="0.35">
      <c r="C15" s="35" t="s">
        <v>2132</v>
      </c>
      <c r="E15" s="30" t="s">
        <v>2132</v>
      </c>
      <c r="F15" t="b">
        <f t="shared" si="0"/>
        <v>1</v>
      </c>
    </row>
    <row r="16" spans="3:6" x14ac:dyDescent="0.35">
      <c r="C16" s="34" t="s">
        <v>2134</v>
      </c>
      <c r="E16" s="30" t="s">
        <v>2134</v>
      </c>
      <c r="F16" t="b">
        <f t="shared" si="0"/>
        <v>1</v>
      </c>
    </row>
    <row r="17" spans="3:6" x14ac:dyDescent="0.35">
      <c r="C17" s="34" t="s">
        <v>2136</v>
      </c>
      <c r="E17" s="30" t="s">
        <v>2136</v>
      </c>
      <c r="F17" t="b">
        <f t="shared" si="0"/>
        <v>1</v>
      </c>
    </row>
    <row r="18" spans="3:6" x14ac:dyDescent="0.35">
      <c r="C18" s="34" t="s">
        <v>2145</v>
      </c>
      <c r="E18" s="30" t="s">
        <v>2145</v>
      </c>
      <c r="F18" t="b">
        <f t="shared" si="0"/>
        <v>1</v>
      </c>
    </row>
    <row r="19" spans="3:6" x14ac:dyDescent="0.35">
      <c r="C19" s="34" t="s">
        <v>2148</v>
      </c>
      <c r="E19" s="30" t="s">
        <v>2148</v>
      </c>
      <c r="F19" t="b">
        <f t="shared" si="0"/>
        <v>1</v>
      </c>
    </row>
    <row r="20" spans="3:6" x14ac:dyDescent="0.35">
      <c r="C20" s="34" t="s">
        <v>2150</v>
      </c>
      <c r="E20" s="30" t="s">
        <v>2150</v>
      </c>
      <c r="F20" t="b">
        <f t="shared" si="0"/>
        <v>1</v>
      </c>
    </row>
    <row r="21" spans="3:6" x14ac:dyDescent="0.35">
      <c r="C21" s="34" t="s">
        <v>2152</v>
      </c>
      <c r="E21" s="30" t="s">
        <v>2152</v>
      </c>
      <c r="F21" t="b">
        <f t="shared" si="0"/>
        <v>1</v>
      </c>
    </row>
    <row r="22" spans="3:6" x14ac:dyDescent="0.35">
      <c r="C22" s="34" t="s">
        <v>2155</v>
      </c>
      <c r="E22" s="30" t="s">
        <v>2155</v>
      </c>
      <c r="F22" t="b">
        <f t="shared" si="0"/>
        <v>1</v>
      </c>
    </row>
    <row r="23" spans="3:6" x14ac:dyDescent="0.35">
      <c r="C23" s="34" t="s">
        <v>2159</v>
      </c>
      <c r="E23" s="30" t="s">
        <v>2159</v>
      </c>
      <c r="F23" t="b">
        <f t="shared" si="0"/>
        <v>1</v>
      </c>
    </row>
    <row r="24" spans="3:6" x14ac:dyDescent="0.35">
      <c r="C24" s="34" t="s">
        <v>2178</v>
      </c>
      <c r="E24" s="30" t="s">
        <v>2178</v>
      </c>
      <c r="F24" t="b">
        <f t="shared" si="0"/>
        <v>1</v>
      </c>
    </row>
    <row r="25" spans="3:6" x14ac:dyDescent="0.35">
      <c r="C25" s="34" t="s">
        <v>2190</v>
      </c>
      <c r="E25" s="30" t="s">
        <v>2190</v>
      </c>
      <c r="F25" t="b">
        <f t="shared" si="0"/>
        <v>1</v>
      </c>
    </row>
    <row r="26" spans="3:6" x14ac:dyDescent="0.35">
      <c r="C26" s="34" t="s">
        <v>2193</v>
      </c>
      <c r="E26" s="30" t="s">
        <v>2193</v>
      </c>
      <c r="F26" t="b">
        <f t="shared" si="0"/>
        <v>1</v>
      </c>
    </row>
    <row r="27" spans="3:6" x14ac:dyDescent="0.35">
      <c r="C27" s="34" t="s">
        <v>2195</v>
      </c>
      <c r="E27" s="30" t="s">
        <v>2195</v>
      </c>
      <c r="F27" t="b">
        <f t="shared" si="0"/>
        <v>1</v>
      </c>
    </row>
    <row r="28" spans="3:6" x14ac:dyDescent="0.35">
      <c r="C28" s="34" t="s">
        <v>2197</v>
      </c>
      <c r="E28" s="30" t="s">
        <v>2197</v>
      </c>
      <c r="F28" t="b">
        <f t="shared" si="0"/>
        <v>1</v>
      </c>
    </row>
    <row r="29" spans="3:6" x14ac:dyDescent="0.35">
      <c r="C29" s="34" t="s">
        <v>2199</v>
      </c>
      <c r="E29" s="30" t="s">
        <v>2199</v>
      </c>
      <c r="F29" t="b">
        <f t="shared" si="0"/>
        <v>1</v>
      </c>
    </row>
    <row r="30" spans="3:6" x14ac:dyDescent="0.35">
      <c r="C30" s="34" t="s">
        <v>2201</v>
      </c>
      <c r="E30" s="30" t="s">
        <v>2201</v>
      </c>
      <c r="F30" t="b">
        <f t="shared" si="0"/>
        <v>1</v>
      </c>
    </row>
    <row r="31" spans="3:6" x14ac:dyDescent="0.35">
      <c r="C31" s="34" t="s">
        <v>2203</v>
      </c>
      <c r="E31" s="30" t="s">
        <v>2203</v>
      </c>
      <c r="F31" t="b">
        <f t="shared" si="0"/>
        <v>1</v>
      </c>
    </row>
    <row r="32" spans="3:6" x14ac:dyDescent="0.35">
      <c r="C32" s="34" t="s">
        <v>2205</v>
      </c>
      <c r="E32" s="30" t="s">
        <v>2205</v>
      </c>
      <c r="F32" t="b">
        <f t="shared" si="0"/>
        <v>1</v>
      </c>
    </row>
    <row r="33" spans="3:6" x14ac:dyDescent="0.35">
      <c r="C33" s="34" t="s">
        <v>2229</v>
      </c>
      <c r="E33" s="30" t="s">
        <v>2229</v>
      </c>
      <c r="F33" t="b">
        <f t="shared" si="0"/>
        <v>1</v>
      </c>
    </row>
    <row r="34" spans="3:6" x14ac:dyDescent="0.4">
      <c r="C34" s="37" t="s">
        <v>4644</v>
      </c>
      <c r="E34" s="30" t="s">
        <v>4644</v>
      </c>
      <c r="F34" t="b">
        <f t="shared" si="0"/>
        <v>1</v>
      </c>
    </row>
    <row r="35" spans="3:6" x14ac:dyDescent="0.4">
      <c r="C35" s="37" t="s">
        <v>4646</v>
      </c>
      <c r="E35" s="30" t="s">
        <v>4646</v>
      </c>
      <c r="F35" t="b">
        <f t="shared" si="0"/>
        <v>1</v>
      </c>
    </row>
    <row r="36" spans="3:6" x14ac:dyDescent="0.4">
      <c r="C36" s="36" t="s">
        <v>2234</v>
      </c>
      <c r="E36" s="30" t="s">
        <v>4845</v>
      </c>
      <c r="F36" t="b">
        <f t="shared" si="0"/>
        <v>1</v>
      </c>
    </row>
    <row r="37" spans="3:6" x14ac:dyDescent="0.35">
      <c r="C37" s="34" t="s">
        <v>2236</v>
      </c>
      <c r="E37" s="30" t="s">
        <v>2236</v>
      </c>
      <c r="F37" t="b">
        <f t="shared" si="0"/>
        <v>1</v>
      </c>
    </row>
    <row r="38" spans="3:6" x14ac:dyDescent="0.35">
      <c r="C38" s="34" t="s">
        <v>2254</v>
      </c>
      <c r="E38" s="30" t="s">
        <v>2254</v>
      </c>
      <c r="F38" t="b">
        <f t="shared" si="0"/>
        <v>1</v>
      </c>
    </row>
    <row r="39" spans="3:6" x14ac:dyDescent="0.35">
      <c r="C39" s="34" t="s">
        <v>2256</v>
      </c>
      <c r="E39" s="30" t="s">
        <v>2256</v>
      </c>
      <c r="F39" t="b">
        <f t="shared" si="0"/>
        <v>1</v>
      </c>
    </row>
    <row r="40" spans="3:6" x14ac:dyDescent="0.4">
      <c r="C40" s="37" t="s">
        <v>4648</v>
      </c>
      <c r="E40" s="30" t="s">
        <v>4648</v>
      </c>
      <c r="F40" t="b">
        <f t="shared" si="0"/>
        <v>1</v>
      </c>
    </row>
    <row r="41" spans="3:6" x14ac:dyDescent="0.35">
      <c r="C41" s="34" t="s">
        <v>2282</v>
      </c>
      <c r="E41" s="30" t="s">
        <v>2282</v>
      </c>
      <c r="F41" t="b">
        <f t="shared" si="0"/>
        <v>1</v>
      </c>
    </row>
    <row r="42" spans="3:6" x14ac:dyDescent="0.35">
      <c r="C42" s="34" t="s">
        <v>2286</v>
      </c>
      <c r="E42" s="30" t="s">
        <v>2286</v>
      </c>
      <c r="F42" t="b">
        <f t="shared" si="0"/>
        <v>1</v>
      </c>
    </row>
    <row r="43" spans="3:6" x14ac:dyDescent="0.35">
      <c r="C43" s="34" t="s">
        <v>2288</v>
      </c>
      <c r="E43" s="30" t="s">
        <v>2288</v>
      </c>
      <c r="F43" t="b">
        <f t="shared" si="0"/>
        <v>1</v>
      </c>
    </row>
    <row r="44" spans="3:6" x14ac:dyDescent="0.35">
      <c r="C44" s="34" t="s">
        <v>2290</v>
      </c>
      <c r="E44" s="30" t="s">
        <v>2290</v>
      </c>
      <c r="F44" t="b">
        <f t="shared" si="0"/>
        <v>1</v>
      </c>
    </row>
    <row r="45" spans="3:6" x14ac:dyDescent="0.35">
      <c r="C45" s="34" t="s">
        <v>2305</v>
      </c>
      <c r="E45" s="30" t="s">
        <v>2305</v>
      </c>
      <c r="F45" t="b">
        <f t="shared" si="0"/>
        <v>1</v>
      </c>
    </row>
    <row r="46" spans="3:6" x14ac:dyDescent="0.35">
      <c r="C46" s="34" t="s">
        <v>2307</v>
      </c>
      <c r="E46" s="30" t="s">
        <v>2307</v>
      </c>
      <c r="F46" t="b">
        <f t="shared" si="0"/>
        <v>1</v>
      </c>
    </row>
    <row r="47" spans="3:6" x14ac:dyDescent="0.35">
      <c r="C47" s="34" t="s">
        <v>2318</v>
      </c>
      <c r="E47" s="30" t="s">
        <v>2318</v>
      </c>
      <c r="F47" t="b">
        <f t="shared" si="0"/>
        <v>1</v>
      </c>
    </row>
    <row r="48" spans="3:6" x14ac:dyDescent="0.35">
      <c r="C48" s="35" t="s">
        <v>2322</v>
      </c>
      <c r="E48" s="30" t="s">
        <v>2322</v>
      </c>
      <c r="F48" t="b">
        <f t="shared" si="0"/>
        <v>1</v>
      </c>
    </row>
    <row r="49" spans="3:6" x14ac:dyDescent="0.35">
      <c r="C49" s="35" t="s">
        <v>2350</v>
      </c>
      <c r="E49" s="30" t="s">
        <v>2350</v>
      </c>
      <c r="F49" t="b">
        <f t="shared" si="0"/>
        <v>1</v>
      </c>
    </row>
    <row r="50" spans="3:6" x14ac:dyDescent="0.35">
      <c r="C50" s="34" t="s">
        <v>2369</v>
      </c>
      <c r="E50" s="30" t="s">
        <v>2369</v>
      </c>
      <c r="F50" t="b">
        <f t="shared" si="0"/>
        <v>1</v>
      </c>
    </row>
    <row r="51" spans="3:6" x14ac:dyDescent="0.35">
      <c r="C51" s="34" t="s">
        <v>2375</v>
      </c>
      <c r="E51" s="30" t="s">
        <v>2375</v>
      </c>
      <c r="F51" t="b">
        <f t="shared" si="0"/>
        <v>1</v>
      </c>
    </row>
    <row r="52" spans="3:6" x14ac:dyDescent="0.35">
      <c r="C52" s="34" t="s">
        <v>2377</v>
      </c>
      <c r="E52" s="30" t="s">
        <v>2377</v>
      </c>
      <c r="F52" t="b">
        <f t="shared" si="0"/>
        <v>1</v>
      </c>
    </row>
    <row r="53" spans="3:6" x14ac:dyDescent="0.35">
      <c r="C53" s="34" t="s">
        <v>2379</v>
      </c>
      <c r="E53" s="30" t="s">
        <v>2379</v>
      </c>
      <c r="F53" t="b">
        <f t="shared" si="0"/>
        <v>1</v>
      </c>
    </row>
    <row r="54" spans="3:6" x14ac:dyDescent="0.35">
      <c r="C54" s="34" t="s">
        <v>2381</v>
      </c>
      <c r="E54" s="30" t="s">
        <v>2381</v>
      </c>
      <c r="F54" t="b">
        <f t="shared" si="0"/>
        <v>1</v>
      </c>
    </row>
    <row r="55" spans="3:6" x14ac:dyDescent="0.35">
      <c r="C55" s="34" t="s">
        <v>2383</v>
      </c>
      <c r="E55" s="30" t="s">
        <v>2383</v>
      </c>
      <c r="F55" t="b">
        <f t="shared" si="0"/>
        <v>1</v>
      </c>
    </row>
    <row r="56" spans="3:6" x14ac:dyDescent="0.35">
      <c r="C56" s="34" t="s">
        <v>2385</v>
      </c>
      <c r="E56" s="30" t="s">
        <v>2385</v>
      </c>
      <c r="F56" t="b">
        <f t="shared" si="0"/>
        <v>1</v>
      </c>
    </row>
    <row r="57" spans="3:6" x14ac:dyDescent="0.35">
      <c r="C57" s="34" t="s">
        <v>2387</v>
      </c>
      <c r="E57" s="30" t="s">
        <v>2387</v>
      </c>
      <c r="F57" t="b">
        <f t="shared" si="0"/>
        <v>1</v>
      </c>
    </row>
    <row r="58" spans="3:6" x14ac:dyDescent="0.35">
      <c r="C58" s="34" t="s">
        <v>2389</v>
      </c>
      <c r="E58" s="30" t="s">
        <v>2389</v>
      </c>
      <c r="F58" t="b">
        <f t="shared" si="0"/>
        <v>1</v>
      </c>
    </row>
    <row r="59" spans="3:6" x14ac:dyDescent="0.35">
      <c r="C59" s="34" t="s">
        <v>2391</v>
      </c>
      <c r="E59" s="30" t="s">
        <v>2391</v>
      </c>
      <c r="F59" t="b">
        <f t="shared" si="0"/>
        <v>1</v>
      </c>
    </row>
    <row r="60" spans="3:6" x14ac:dyDescent="0.35">
      <c r="C60" s="34" t="s">
        <v>2393</v>
      </c>
      <c r="E60" s="30" t="s">
        <v>2393</v>
      </c>
      <c r="F60" t="b">
        <f t="shared" si="0"/>
        <v>1</v>
      </c>
    </row>
    <row r="61" spans="3:6" x14ac:dyDescent="0.35">
      <c r="C61" s="34" t="s">
        <v>2395</v>
      </c>
      <c r="E61" s="30" t="s">
        <v>2395</v>
      </c>
      <c r="F61" t="b">
        <f t="shared" si="0"/>
        <v>1</v>
      </c>
    </row>
    <row r="62" spans="3:6" x14ac:dyDescent="0.35">
      <c r="C62" s="34" t="s">
        <v>2397</v>
      </c>
      <c r="E62" s="30" t="s">
        <v>2397</v>
      </c>
      <c r="F62" t="b">
        <f t="shared" si="0"/>
        <v>1</v>
      </c>
    </row>
    <row r="63" spans="3:6" x14ac:dyDescent="0.35">
      <c r="C63" s="34" t="s">
        <v>2399</v>
      </c>
      <c r="E63" s="30" t="s">
        <v>2399</v>
      </c>
      <c r="F63" t="b">
        <f t="shared" si="0"/>
        <v>1</v>
      </c>
    </row>
    <row r="64" spans="3:6" x14ac:dyDescent="0.35">
      <c r="C64" s="34" t="s">
        <v>2402</v>
      </c>
      <c r="E64" s="30" t="s">
        <v>2402</v>
      </c>
      <c r="F64" t="b">
        <f t="shared" si="0"/>
        <v>1</v>
      </c>
    </row>
    <row r="65" spans="3:6" x14ac:dyDescent="0.35">
      <c r="C65" s="34" t="s">
        <v>2404</v>
      </c>
      <c r="E65" s="30" t="s">
        <v>2404</v>
      </c>
      <c r="F65" t="b">
        <f t="shared" si="0"/>
        <v>1</v>
      </c>
    </row>
    <row r="66" spans="3:6" x14ac:dyDescent="0.35">
      <c r="C66" s="34" t="s">
        <v>2757</v>
      </c>
      <c r="E66" s="30" t="s">
        <v>2757</v>
      </c>
      <c r="F66" t="b">
        <f t="shared" si="0"/>
        <v>1</v>
      </c>
    </row>
    <row r="67" spans="3:6" x14ac:dyDescent="0.35">
      <c r="C67" s="34" t="s">
        <v>2776</v>
      </c>
      <c r="E67" s="30" t="s">
        <v>4843</v>
      </c>
      <c r="F67" t="b">
        <f t="shared" si="0"/>
        <v>1</v>
      </c>
    </row>
    <row r="68" spans="3:6" x14ac:dyDescent="0.35">
      <c r="C68" s="34" t="s">
        <v>2826</v>
      </c>
      <c r="E68" s="30" t="s">
        <v>2826</v>
      </c>
      <c r="F68" t="b">
        <f t="shared" ref="F68:F71" si="1">C68=E68</f>
        <v>1</v>
      </c>
    </row>
    <row r="69" spans="3:6" x14ac:dyDescent="0.35">
      <c r="C69" s="34" t="s">
        <v>2828</v>
      </c>
      <c r="E69" s="30" t="s">
        <v>2828</v>
      </c>
      <c r="F69" t="b">
        <f t="shared" si="1"/>
        <v>1</v>
      </c>
    </row>
    <row r="70" spans="3:6" x14ac:dyDescent="0.35">
      <c r="C70" s="34" t="s">
        <v>2831</v>
      </c>
      <c r="E70" s="30" t="s">
        <v>2831</v>
      </c>
      <c r="F70" t="b">
        <f t="shared" si="1"/>
        <v>1</v>
      </c>
    </row>
    <row r="71" spans="3:6" x14ac:dyDescent="0.35">
      <c r="C71" s="34" t="s">
        <v>2857</v>
      </c>
      <c r="E71" s="30" t="s">
        <v>2857</v>
      </c>
      <c r="F71" t="b">
        <f t="shared" si="1"/>
        <v>1</v>
      </c>
    </row>
  </sheetData>
  <autoFilter ref="E2:E71" xr:uid="{9E74210E-5A6C-4796-9D0E-53C11CD6A6DA}">
    <sortState xmlns:xlrd2="http://schemas.microsoft.com/office/spreadsheetml/2017/richdata2" ref="E3:E71">
      <sortCondition ref="E2:E71"/>
    </sortState>
  </autoFilter>
  <phoneticPr fontId="1" type="noConversion"/>
  <conditionalFormatting sqref="C3:C71"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00C3FC-29E5-4B4E-988C-FE2F34E248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입출고현황_백업</vt:lpstr>
      <vt:lpstr>현수량 현황표</vt:lpstr>
      <vt:lpstr>위치</vt:lpstr>
      <vt:lpstr>연동데이터</vt:lpstr>
      <vt:lpstr>입출고현황</vt:lpstr>
      <vt:lpstr>리스트</vt:lpstr>
      <vt:lpstr>입고 프로세스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윤준희</dc:creator>
  <cp:lastModifiedBy>주현일</cp:lastModifiedBy>
  <cp:lastPrinted>2026-07-02T10:45:46Z</cp:lastPrinted>
  <dcterms:created xsi:type="dcterms:W3CDTF">2026-05-13T10:16:41Z</dcterms:created>
  <dcterms:modified xsi:type="dcterms:W3CDTF">2026-10-21T00:37:26Z</dcterms:modified>
</cp:coreProperties>
</file>